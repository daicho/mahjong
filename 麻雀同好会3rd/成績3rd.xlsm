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9795B9D-38D1-4353-AB70-1CBDDF1C2A13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119" r:id="rId6"/>
    <sheet name="たかの" sheetId="6121" r:id="rId7"/>
    <sheet name="だいち" sheetId="6123" r:id="rId8"/>
    <sheet name="ただ" sheetId="6125" r:id="rId9"/>
    <sheet name="りくと" sheetId="6127" r:id="rId10"/>
    <sheet name="れんたろう" sheetId="6129" r:id="rId11"/>
    <sheet name="まっつん" sheetId="6131" r:id="rId12"/>
    <sheet name="のり" sheetId="6133" r:id="rId13"/>
    <sheet name="ぱぱ" sheetId="6135" r:id="rId14"/>
    <sheet name="ほたに" sheetId="6137" r:id="rId15"/>
    <sheet name="いっしー" sheetId="6139" r:id="rId16"/>
    <sheet name="ともき" sheetId="6141" r:id="rId17"/>
    <sheet name="ともき2" sheetId="6142" state="hidden" r:id="rId18"/>
    <sheet name="いっしー2" sheetId="6140" state="hidden" r:id="rId19"/>
    <sheet name="ほたに2" sheetId="6138" state="hidden" r:id="rId20"/>
    <sheet name="ぱぱ2" sheetId="6136" state="hidden" r:id="rId21"/>
    <sheet name="のり2" sheetId="6134" state="hidden" r:id="rId22"/>
    <sheet name="まっつん2" sheetId="6132" state="hidden" r:id="rId23"/>
    <sheet name="れんたろう2" sheetId="6130" state="hidden" r:id="rId24"/>
    <sheet name="りくと2" sheetId="6128" state="hidden" r:id="rId25"/>
    <sheet name="ただ2" sheetId="6126" state="hidden" r:id="rId26"/>
    <sheet name="だいち2" sheetId="6124" state="hidden" r:id="rId27"/>
    <sheet name="たかの2" sheetId="6122" state="hidden" r:id="rId28"/>
    <sheet name="全体2" sheetId="6120" state="hidden" r:id="rId29"/>
    <sheet name="通算スコア" sheetId="3331" state="hidden" r:id="rId30"/>
    <sheet name="平均スコア" sheetId="3493" state="hidden" r:id="rId31"/>
    <sheet name="平均順位" sheetId="3183" state="hidden" r:id="rId32"/>
    <sheet name="トップ率" sheetId="3185" state="hidden" r:id="rId33"/>
    <sheet name="ラス率" sheetId="4886" state="hidden" r:id="rId34"/>
    <sheet name="アガリ率" sheetId="3189" state="hidden" r:id="rId35"/>
    <sheet name="放銃率" sheetId="3190" state="hidden" r:id="rId36"/>
    <sheet name="平均アガリ点" sheetId="3520" state="hidden" r:id="rId37"/>
    <sheet name="平均放銃点" sheetId="3521" state="hidden" r:id="rId38"/>
    <sheet name="ふっとび率" sheetId="3522" state="hidden" r:id="rId39"/>
    <sheet name="リーチ率" sheetId="3524" state="hidden" r:id="rId40"/>
    <sheet name="副露率" sheetId="3525" state="hidden" r:id="rId41"/>
    <sheet name="リーチ成功率" sheetId="4841" state="hidden" r:id="rId42"/>
    <sheet name="副露成功率" sheetId="3527" state="hidden" r:id="rId43"/>
    <sheet name="ツモ率" sheetId="3528" state="hidden" r:id="rId44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8">Template1!#REF!</definedName>
    <definedName name="ダマアガリ点" localSheetId="7">だいち!#REF!</definedName>
    <definedName name="ダマアガリ点" localSheetId="26">Template1!#REF!</definedName>
    <definedName name="ダマアガリ点" localSheetId="6">たかの!#REF!</definedName>
    <definedName name="ダマアガリ点" localSheetId="27">Template1!#REF!</definedName>
    <definedName name="ダマアガリ点" localSheetId="8">ただ!#REF!</definedName>
    <definedName name="ダマアガリ点" localSheetId="25">Template1!#REF!</definedName>
    <definedName name="ダマアガリ点" localSheetId="16">ともき!#REF!</definedName>
    <definedName name="ダマアガリ点" localSheetId="17">Template1!#REF!</definedName>
    <definedName name="ダマアガリ点" localSheetId="12">のり!#REF!</definedName>
    <definedName name="ダマアガリ点" localSheetId="21">Template1!#REF!</definedName>
    <definedName name="ダマアガリ点" localSheetId="13">ぱぱ!#REF!</definedName>
    <definedName name="ダマアガリ点" localSheetId="20">Template1!#REF!</definedName>
    <definedName name="ダマアガリ点" localSheetId="14">ほたに!#REF!</definedName>
    <definedName name="ダマアガリ点" localSheetId="19">Template1!#REF!</definedName>
    <definedName name="ダマアガリ点" localSheetId="11">まっつん!#REF!</definedName>
    <definedName name="ダマアガリ点" localSheetId="22">Template1!#REF!</definedName>
    <definedName name="ダマアガリ点" localSheetId="9">りくと!#REF!</definedName>
    <definedName name="ダマアガリ点" localSheetId="24">Template1!#REF!</definedName>
    <definedName name="ダマアガリ点" localSheetId="10">れんたろう!#REF!</definedName>
    <definedName name="ダマアガリ点" localSheetId="23">Template1!#REF!</definedName>
    <definedName name="ダマアガリ点" localSheetId="5">全体!#REF!</definedName>
    <definedName name="ダマアガリ点" localSheetId="28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8">Template1!#REF!</definedName>
    <definedName name="ふっとばし数" localSheetId="7">だいち!#REF!</definedName>
    <definedName name="ふっとばし数" localSheetId="26">Template1!#REF!</definedName>
    <definedName name="ふっとばし数" localSheetId="6">たかの!#REF!</definedName>
    <definedName name="ふっとばし数" localSheetId="27">Template1!#REF!</definedName>
    <definedName name="ふっとばし数" localSheetId="8">ただ!#REF!</definedName>
    <definedName name="ふっとばし数" localSheetId="25">Template1!#REF!</definedName>
    <definedName name="ふっとばし数" localSheetId="16">ともき!#REF!</definedName>
    <definedName name="ふっとばし数" localSheetId="17">Template1!#REF!</definedName>
    <definedName name="ふっとばし数" localSheetId="12">のり!#REF!</definedName>
    <definedName name="ふっとばし数" localSheetId="21">Template1!#REF!</definedName>
    <definedName name="ふっとばし数" localSheetId="13">ぱぱ!#REF!</definedName>
    <definedName name="ふっとばし数" localSheetId="20">Template1!#REF!</definedName>
    <definedName name="ふっとばし数" localSheetId="14">ほたに!#REF!</definedName>
    <definedName name="ふっとばし数" localSheetId="19">Template1!#REF!</definedName>
    <definedName name="ふっとばし数" localSheetId="11">まっつん!#REF!</definedName>
    <definedName name="ふっとばし数" localSheetId="22">Template1!#REF!</definedName>
    <definedName name="ふっとばし数" localSheetId="9">りくと!#REF!</definedName>
    <definedName name="ふっとばし数" localSheetId="24">Template1!#REF!</definedName>
    <definedName name="ふっとばし数" localSheetId="10">れんたろう!#REF!</definedName>
    <definedName name="ふっとばし数" localSheetId="23">Template1!#REF!</definedName>
    <definedName name="ふっとばし数" localSheetId="5">全体!#REF!</definedName>
    <definedName name="ふっとばし数" localSheetId="28">Template1!#REF!</definedName>
    <definedName name="ふっとばし数">Template1!#REF!</definedName>
    <definedName name="ふっとばし率" localSheetId="15">いっしー!#REF!</definedName>
    <definedName name="ふっとばし率" localSheetId="18">Template1!#REF!</definedName>
    <definedName name="ふっとばし率" localSheetId="7">だいち!#REF!</definedName>
    <definedName name="ふっとばし率" localSheetId="26">Template1!#REF!</definedName>
    <definedName name="ふっとばし率" localSheetId="6">たかの!#REF!</definedName>
    <definedName name="ふっとばし率" localSheetId="27">Template1!#REF!</definedName>
    <definedName name="ふっとばし率" localSheetId="8">ただ!#REF!</definedName>
    <definedName name="ふっとばし率" localSheetId="25">Template1!#REF!</definedName>
    <definedName name="ふっとばし率" localSheetId="16">ともき!#REF!</definedName>
    <definedName name="ふっとばし率" localSheetId="17">Template1!#REF!</definedName>
    <definedName name="ふっとばし率" localSheetId="12">のり!#REF!</definedName>
    <definedName name="ふっとばし率" localSheetId="21">Template1!#REF!</definedName>
    <definedName name="ふっとばし率" localSheetId="13">ぱぱ!#REF!</definedName>
    <definedName name="ふっとばし率" localSheetId="20">Template1!#REF!</definedName>
    <definedName name="ふっとばし率" localSheetId="14">ほたに!#REF!</definedName>
    <definedName name="ふっとばし率" localSheetId="19">Template1!#REF!</definedName>
    <definedName name="ふっとばし率" localSheetId="11">まっつん!#REF!</definedName>
    <definedName name="ふっとばし率" localSheetId="22">Template1!#REF!</definedName>
    <definedName name="ふっとばし率" localSheetId="9">りくと!#REF!</definedName>
    <definedName name="ふっとばし率" localSheetId="24">Template1!#REF!</definedName>
    <definedName name="ふっとばし率" localSheetId="10">れんたろう!#REF!</definedName>
    <definedName name="ふっとばし率" localSheetId="23">Template1!#REF!</definedName>
    <definedName name="ふっとばし率" localSheetId="5">全体!#REF!</definedName>
    <definedName name="ふっとばし率" localSheetId="28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8">Template1!#REF!</definedName>
    <definedName name="逆転数" localSheetId="7">だいち!#REF!</definedName>
    <definedName name="逆転数" localSheetId="26">Template1!#REF!</definedName>
    <definedName name="逆転数" localSheetId="6">たかの!#REF!</definedName>
    <definedName name="逆転数" localSheetId="27">Template1!#REF!</definedName>
    <definedName name="逆転数" localSheetId="8">ただ!#REF!</definedName>
    <definedName name="逆転数" localSheetId="25">Template1!#REF!</definedName>
    <definedName name="逆転数" localSheetId="16">ともき!#REF!</definedName>
    <definedName name="逆転数" localSheetId="17">Template1!#REF!</definedName>
    <definedName name="逆転数" localSheetId="12">のり!#REF!</definedName>
    <definedName name="逆転数" localSheetId="21">Template1!#REF!</definedName>
    <definedName name="逆転数" localSheetId="13">ぱぱ!#REF!</definedName>
    <definedName name="逆転数" localSheetId="20">Template1!#REF!</definedName>
    <definedName name="逆転数" localSheetId="14">ほたに!#REF!</definedName>
    <definedName name="逆転数" localSheetId="19">Template1!#REF!</definedName>
    <definedName name="逆転数" localSheetId="11">まっつん!#REF!</definedName>
    <definedName name="逆転数" localSheetId="22">Template1!#REF!</definedName>
    <definedName name="逆転数" localSheetId="9">りくと!#REF!</definedName>
    <definedName name="逆転数" localSheetId="24">Template1!#REF!</definedName>
    <definedName name="逆転数" localSheetId="10">れんたろう!#REF!</definedName>
    <definedName name="逆転数" localSheetId="23">Template1!#REF!</definedName>
    <definedName name="逆転数" localSheetId="5">全体!#REF!</definedName>
    <definedName name="逆転数" localSheetId="28">Template1!#REF!</definedName>
    <definedName name="逆転数">Template1!#REF!</definedName>
    <definedName name="逆転率" localSheetId="15">いっしー!#REF!</definedName>
    <definedName name="逆転率" localSheetId="18">Template1!#REF!</definedName>
    <definedName name="逆転率" localSheetId="7">だいち!#REF!</definedName>
    <definedName name="逆転率" localSheetId="26">Template1!#REF!</definedName>
    <definedName name="逆転率" localSheetId="6">たかの!#REF!</definedName>
    <definedName name="逆転率" localSheetId="27">Template1!#REF!</definedName>
    <definedName name="逆転率" localSheetId="8">ただ!#REF!</definedName>
    <definedName name="逆転率" localSheetId="25">Template1!#REF!</definedName>
    <definedName name="逆転率" localSheetId="16">ともき!#REF!</definedName>
    <definedName name="逆転率" localSheetId="17">Template1!#REF!</definedName>
    <definedName name="逆転率" localSheetId="12">のり!#REF!</definedName>
    <definedName name="逆転率" localSheetId="21">Template1!#REF!</definedName>
    <definedName name="逆転率" localSheetId="13">ぱぱ!#REF!</definedName>
    <definedName name="逆転率" localSheetId="20">Template1!#REF!</definedName>
    <definedName name="逆転率" localSheetId="14">ほたに!#REF!</definedName>
    <definedName name="逆転率" localSheetId="19">Template1!#REF!</definedName>
    <definedName name="逆転率" localSheetId="11">まっつん!#REF!</definedName>
    <definedName name="逆転率" localSheetId="22">Template1!#REF!</definedName>
    <definedName name="逆転率" localSheetId="9">りくと!#REF!</definedName>
    <definedName name="逆転率" localSheetId="24">Template1!#REF!</definedName>
    <definedName name="逆転率" localSheetId="10">れんたろう!#REF!</definedName>
    <definedName name="逆転率" localSheetId="23">Template1!#REF!</definedName>
    <definedName name="逆転率" localSheetId="5">全体!#REF!</definedName>
    <definedName name="逆転率" localSheetId="28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3" i="6129" l="1"/>
  <c r="O16" i="6141"/>
  <c r="O15" i="6141"/>
  <c r="C30" i="6141"/>
  <c r="B25" i="6141"/>
  <c r="B24" i="6141"/>
  <c r="C16" i="6141"/>
  <c r="B15" i="6141"/>
  <c r="H50" i="6141" s="1"/>
  <c r="C14" i="6141"/>
  <c r="B14" i="6141"/>
  <c r="B13" i="6141"/>
  <c r="C13" i="6141" s="1"/>
  <c r="O12" i="6141"/>
  <c r="C12" i="6141"/>
  <c r="O11" i="6141"/>
  <c r="C11" i="6141"/>
  <c r="O10" i="6141"/>
  <c r="C10" i="6141"/>
  <c r="C9" i="6141"/>
  <c r="C8" i="6141"/>
  <c r="O7" i="6141"/>
  <c r="C7" i="6141"/>
  <c r="O6" i="6141"/>
  <c r="B6" i="6141"/>
  <c r="O5" i="6141"/>
  <c r="B5" i="6141"/>
  <c r="O4" i="6141"/>
  <c r="O3" i="6141"/>
  <c r="O2" i="6141"/>
  <c r="O18" i="6133"/>
  <c r="O25" i="6119"/>
  <c r="H25" i="6141" l="1"/>
  <c r="C18" i="6141"/>
  <c r="H19" i="6141"/>
  <c r="H10" i="6141"/>
  <c r="H26" i="6141"/>
  <c r="H17" i="6141"/>
  <c r="H36" i="6141"/>
  <c r="H40" i="6141"/>
  <c r="C38" i="6141"/>
  <c r="C40" i="6141"/>
  <c r="H14" i="6141"/>
  <c r="B22" i="6141"/>
  <c r="C15" i="6141"/>
  <c r="H44" i="6141"/>
  <c r="C32" i="6141"/>
  <c r="C44" i="6141"/>
  <c r="H4" i="6141"/>
  <c r="H23" i="6141"/>
  <c r="H51" i="6141"/>
  <c r="H2" i="6141"/>
  <c r="H29" i="6141"/>
  <c r="H21" i="6141"/>
  <c r="H32" i="6141"/>
  <c r="H7" i="6141"/>
  <c r="H15" i="6141"/>
  <c r="C34" i="6141"/>
  <c r="C36" i="6141"/>
  <c r="H52" i="6141"/>
  <c r="H18" i="6141"/>
  <c r="H22" i="6141"/>
  <c r="H27" i="6141"/>
  <c r="C33" i="6141"/>
  <c r="C37" i="6141"/>
  <c r="C41" i="6141"/>
  <c r="H45" i="6141"/>
  <c r="H3" i="6141"/>
  <c r="H5" i="6141"/>
  <c r="H8" i="6141"/>
  <c r="H12" i="6141"/>
  <c r="C19" i="6141"/>
  <c r="B23" i="6141"/>
  <c r="H28" i="6141"/>
  <c r="H33" i="6141"/>
  <c r="H37" i="6141"/>
  <c r="H41" i="6141"/>
  <c r="H46" i="6141"/>
  <c r="C42" i="6141"/>
  <c r="H47" i="6141"/>
  <c r="H6" i="6141"/>
  <c r="C20" i="6141"/>
  <c r="H34" i="6141"/>
  <c r="H38" i="6141"/>
  <c r="H42" i="6141"/>
  <c r="H48" i="6141"/>
  <c r="H13" i="6141"/>
  <c r="H16" i="6141"/>
  <c r="H20" i="6141"/>
  <c r="H24" i="6141"/>
  <c r="H30" i="6141"/>
  <c r="C35" i="6141"/>
  <c r="C39" i="6141"/>
  <c r="C43" i="6141"/>
  <c r="H49" i="6141"/>
  <c r="H9" i="6141"/>
  <c r="H11" i="6141"/>
  <c r="C17" i="6141"/>
  <c r="C21" i="6141"/>
  <c r="H31" i="6141"/>
  <c r="H35" i="6141"/>
  <c r="H39" i="6141"/>
  <c r="H43" i="6141"/>
  <c r="O16" i="6131"/>
  <c r="O17" i="6139"/>
  <c r="O22" i="6123"/>
  <c r="O16" i="6139"/>
  <c r="O15" i="6139"/>
  <c r="C30" i="6139"/>
  <c r="B25" i="6139"/>
  <c r="C16" i="6139"/>
  <c r="B15" i="6139"/>
  <c r="H51" i="6139" s="1"/>
  <c r="H17" i="6139"/>
  <c r="B14" i="6139"/>
  <c r="C14" i="6139" s="1"/>
  <c r="B13" i="6139"/>
  <c r="C13" i="6139" s="1"/>
  <c r="O12" i="6139"/>
  <c r="C12" i="6139"/>
  <c r="O11" i="6139"/>
  <c r="C11" i="6139"/>
  <c r="O10" i="6139"/>
  <c r="C10" i="6139"/>
  <c r="C9" i="6139"/>
  <c r="C8" i="6139"/>
  <c r="O7" i="6139"/>
  <c r="C7" i="6139"/>
  <c r="O6" i="6139"/>
  <c r="B6" i="6139"/>
  <c r="O5" i="6139"/>
  <c r="B5" i="6139"/>
  <c r="O4" i="6139"/>
  <c r="O3" i="6139"/>
  <c r="O2" i="6139"/>
  <c r="O20" i="6133"/>
  <c r="O24" i="6119"/>
  <c r="H8" i="6139" l="1"/>
  <c r="H22" i="6139"/>
  <c r="H30" i="6139"/>
  <c r="B24" i="6139"/>
  <c r="C40" i="6139"/>
  <c r="H41" i="6139"/>
  <c r="H9" i="6139"/>
  <c r="H25" i="6139"/>
  <c r="H6" i="6139"/>
  <c r="C32" i="6139"/>
  <c r="C15" i="6139"/>
  <c r="C44" i="6139"/>
  <c r="H7" i="6139"/>
  <c r="H10" i="6139"/>
  <c r="H18" i="6139"/>
  <c r="H45" i="6139"/>
  <c r="H48" i="6139"/>
  <c r="B22" i="6139"/>
  <c r="C34" i="6139"/>
  <c r="H12" i="6139"/>
  <c r="H27" i="6139"/>
  <c r="H11" i="6139"/>
  <c r="C42" i="6139"/>
  <c r="H15" i="6139"/>
  <c r="H33" i="6139"/>
  <c r="C36" i="6139"/>
  <c r="H2" i="6139"/>
  <c r="H20" i="6139"/>
  <c r="H37" i="6139"/>
  <c r="H3" i="6139"/>
  <c r="H13" i="6139"/>
  <c r="C18" i="6139"/>
  <c r="H28" i="6139"/>
  <c r="C38" i="6139"/>
  <c r="H52" i="6139"/>
  <c r="H21" i="6139"/>
  <c r="H24" i="6139"/>
  <c r="H5" i="6139"/>
  <c r="C33" i="6139"/>
  <c r="C37" i="6139"/>
  <c r="C41" i="6139"/>
  <c r="H46" i="6139"/>
  <c r="C19" i="6139"/>
  <c r="B23" i="6139"/>
  <c r="H29" i="6139"/>
  <c r="H34" i="6139"/>
  <c r="H38" i="6139"/>
  <c r="H42" i="6139"/>
  <c r="H47" i="6139"/>
  <c r="H39" i="6139"/>
  <c r="H16" i="6139"/>
  <c r="H19" i="6139"/>
  <c r="H23" i="6139"/>
  <c r="H26" i="6139"/>
  <c r="H31" i="6139"/>
  <c r="C35" i="6139"/>
  <c r="C39" i="6139"/>
  <c r="C43" i="6139"/>
  <c r="H50" i="6139"/>
  <c r="C20" i="6139"/>
  <c r="H35" i="6139"/>
  <c r="H43" i="6139"/>
  <c r="H49" i="6139"/>
  <c r="H4" i="6139"/>
  <c r="H14" i="6139"/>
  <c r="C17" i="6139"/>
  <c r="C21" i="6139"/>
  <c r="H32" i="6139"/>
  <c r="H36" i="6139"/>
  <c r="H40" i="6139"/>
  <c r="H44" i="6139"/>
  <c r="O21" i="6121" l="1"/>
  <c r="O16" i="6129"/>
  <c r="O15" i="6129" l="1"/>
  <c r="O19" i="6137"/>
  <c r="O17" i="6127" l="1"/>
  <c r="O16" i="6133"/>
  <c r="O16" i="6137" l="1"/>
  <c r="O22" i="6127"/>
  <c r="O20" i="6121" l="1"/>
  <c r="O16" i="6123"/>
  <c r="O15" i="6133"/>
  <c r="O22" i="6133"/>
  <c r="O19" i="6131" l="1"/>
  <c r="O18" i="6135"/>
  <c r="O16" i="6125" l="1"/>
  <c r="O17" i="6131"/>
  <c r="O19" i="6133"/>
  <c r="O21" i="6133"/>
  <c r="O15" i="6121" l="1"/>
  <c r="O17" i="6135"/>
  <c r="O19" i="6135"/>
  <c r="O18" i="6127"/>
  <c r="O20" i="6125" l="1"/>
  <c r="O20" i="6129"/>
  <c r="O19" i="6129" l="1"/>
  <c r="O21" i="6123"/>
  <c r="O24" i="6133"/>
  <c r="O17" i="6137"/>
  <c r="O15" i="6137"/>
  <c r="O21" i="6135"/>
  <c r="O15" i="6125" l="1"/>
  <c r="O21" i="6125"/>
  <c r="O18" i="6137"/>
  <c r="O20" i="6137"/>
  <c r="C44" i="6137"/>
  <c r="C30" i="6137"/>
  <c r="B25" i="6137"/>
  <c r="C16" i="6137"/>
  <c r="B15" i="6137"/>
  <c r="H50" i="6137" s="1"/>
  <c r="H19" i="6137"/>
  <c r="B14" i="6137"/>
  <c r="B24" i="6137" s="1"/>
  <c r="B13" i="6137"/>
  <c r="C13" i="6137" s="1"/>
  <c r="O12" i="6137"/>
  <c r="C12" i="6137"/>
  <c r="O11" i="6137"/>
  <c r="H16" i="6137"/>
  <c r="C11" i="6137"/>
  <c r="O10" i="6137"/>
  <c r="C10" i="6137"/>
  <c r="C9" i="6137"/>
  <c r="C8" i="6137"/>
  <c r="O7" i="6137"/>
  <c r="C7" i="6137"/>
  <c r="O6" i="6137"/>
  <c r="B6" i="6137"/>
  <c r="O5" i="6137"/>
  <c r="B5" i="6137"/>
  <c r="O4" i="6137"/>
  <c r="O3" i="6137"/>
  <c r="O2" i="6137"/>
  <c r="H3" i="6137"/>
  <c r="O21" i="6131"/>
  <c r="O15" i="6131"/>
  <c r="O15" i="6119"/>
  <c r="C14" i="6137" l="1"/>
  <c r="H27" i="6137"/>
  <c r="H28" i="6137"/>
  <c r="H34" i="6137"/>
  <c r="C36" i="6137"/>
  <c r="H11" i="6137"/>
  <c r="H13" i="6137"/>
  <c r="C18" i="6137"/>
  <c r="H42" i="6137"/>
  <c r="H36" i="6137"/>
  <c r="H4" i="6137"/>
  <c r="C19" i="6137"/>
  <c r="H44" i="6137"/>
  <c r="H45" i="6137"/>
  <c r="H17" i="6137"/>
  <c r="H23" i="6137"/>
  <c r="H37" i="6137"/>
  <c r="H12" i="6137"/>
  <c r="C15" i="6137"/>
  <c r="C21" i="6137"/>
  <c r="H38" i="6137"/>
  <c r="H47" i="6137"/>
  <c r="H7" i="6137"/>
  <c r="H8" i="6137"/>
  <c r="H20" i="6137"/>
  <c r="H14" i="6137"/>
  <c r="H32" i="6137"/>
  <c r="H40" i="6137"/>
  <c r="H51" i="6137"/>
  <c r="H29" i="6137"/>
  <c r="H5" i="6137"/>
  <c r="B22" i="6137"/>
  <c r="C32" i="6137"/>
  <c r="C40" i="6137"/>
  <c r="H6" i="6137"/>
  <c r="H2" i="6137"/>
  <c r="C17" i="6137"/>
  <c r="H26" i="6137"/>
  <c r="H33" i="6137"/>
  <c r="H41" i="6137"/>
  <c r="H52" i="6137"/>
  <c r="H22" i="6137"/>
  <c r="H25" i="6137"/>
  <c r="H9" i="6137"/>
  <c r="C33" i="6137"/>
  <c r="C37" i="6137"/>
  <c r="C41" i="6137"/>
  <c r="H46" i="6137"/>
  <c r="B23" i="6137"/>
  <c r="H30" i="6137"/>
  <c r="C34" i="6137"/>
  <c r="C38" i="6137"/>
  <c r="C42" i="6137"/>
  <c r="H48" i="6137"/>
  <c r="H10" i="6137"/>
  <c r="C20" i="6137"/>
  <c r="H35" i="6137"/>
  <c r="H39" i="6137"/>
  <c r="H43" i="6137"/>
  <c r="H49" i="6137"/>
  <c r="H18" i="6137"/>
  <c r="H21" i="6137"/>
  <c r="H24" i="6137"/>
  <c r="H15" i="6137"/>
  <c r="H31" i="6137"/>
  <c r="C35" i="6137"/>
  <c r="C39" i="6137"/>
  <c r="C43" i="6137"/>
  <c r="O17" i="6123" l="1"/>
  <c r="O20" i="6127"/>
  <c r="O19" i="6123" l="1"/>
  <c r="O20" i="6131"/>
  <c r="O23" i="6131"/>
  <c r="O17" i="6121"/>
  <c r="O17" i="6125"/>
  <c r="O15" i="6127"/>
  <c r="O21" i="6127"/>
  <c r="O19" i="6121"/>
  <c r="O18" i="6125"/>
  <c r="O15" i="6123"/>
  <c r="O20" i="6135"/>
  <c r="O22" i="6135"/>
  <c r="O22" i="6129" l="1"/>
  <c r="O17" i="6129"/>
  <c r="O15" i="6135"/>
  <c r="O16" i="6135"/>
  <c r="C30" i="6135"/>
  <c r="B25" i="6135"/>
  <c r="C16" i="6135"/>
  <c r="B15" i="6135"/>
  <c r="H51" i="6135" s="1"/>
  <c r="B14" i="6135"/>
  <c r="B24" i="6135" s="1"/>
  <c r="B13" i="6135"/>
  <c r="C13" i="6135" s="1"/>
  <c r="O12" i="6135"/>
  <c r="C12" i="6135"/>
  <c r="O11" i="6135"/>
  <c r="C11" i="6135"/>
  <c r="O10" i="6135"/>
  <c r="C10" i="6135"/>
  <c r="C9" i="6135"/>
  <c r="C8" i="6135"/>
  <c r="O7" i="6135"/>
  <c r="C7" i="6135"/>
  <c r="O6" i="6135"/>
  <c r="B6" i="6135"/>
  <c r="O5" i="6135"/>
  <c r="B5" i="6135"/>
  <c r="O4" i="6135"/>
  <c r="O3" i="6135"/>
  <c r="O2" i="6135"/>
  <c r="O16" i="6119"/>
  <c r="O17" i="6133"/>
  <c r="O23" i="6133"/>
  <c r="C30" i="6133"/>
  <c r="B25" i="6133"/>
  <c r="C16" i="6133"/>
  <c r="B15" i="6133"/>
  <c r="H50" i="6133" s="1"/>
  <c r="B14" i="6133"/>
  <c r="B24" i="6133" s="1"/>
  <c r="B13" i="6133"/>
  <c r="C13" i="6133" s="1"/>
  <c r="O12" i="6133"/>
  <c r="C12" i="6133"/>
  <c r="O11" i="6133"/>
  <c r="C11" i="6133"/>
  <c r="O10" i="6133"/>
  <c r="C10" i="6133"/>
  <c r="C9" i="6133"/>
  <c r="C8" i="6133"/>
  <c r="O7" i="6133"/>
  <c r="C7" i="6133"/>
  <c r="O6" i="6133"/>
  <c r="B6" i="6133"/>
  <c r="O5" i="6133"/>
  <c r="B5" i="6133"/>
  <c r="O4" i="6133"/>
  <c r="O3" i="6133"/>
  <c r="O2" i="6133"/>
  <c r="O19" i="6119"/>
  <c r="C14" i="6133" l="1"/>
  <c r="C14" i="6135"/>
  <c r="H23" i="6135"/>
  <c r="H21" i="6135"/>
  <c r="H8" i="6135"/>
  <c r="H19" i="6135"/>
  <c r="H38" i="6135"/>
  <c r="H29" i="6135"/>
  <c r="C15" i="6135"/>
  <c r="H42" i="6135"/>
  <c r="H45" i="6135"/>
  <c r="H3" i="6135"/>
  <c r="H33" i="6135"/>
  <c r="H4" i="6135"/>
  <c r="C18" i="6135"/>
  <c r="H20" i="6135"/>
  <c r="C17" i="6135"/>
  <c r="C44" i="6135"/>
  <c r="C21" i="6135"/>
  <c r="H5" i="6135"/>
  <c r="H41" i="6135"/>
  <c r="H7" i="6135"/>
  <c r="H10" i="6135"/>
  <c r="C32" i="6135"/>
  <c r="H9" i="6135"/>
  <c r="H34" i="6135"/>
  <c r="H15" i="6135"/>
  <c r="C36" i="6135"/>
  <c r="H52" i="6135"/>
  <c r="H25" i="6135"/>
  <c r="C40" i="6135"/>
  <c r="B22" i="6135"/>
  <c r="H37" i="6135"/>
  <c r="H46" i="6135"/>
  <c r="H11" i="6135"/>
  <c r="H22" i="6135"/>
  <c r="H26" i="6135"/>
  <c r="H12" i="6135"/>
  <c r="C41" i="6135"/>
  <c r="C19" i="6135"/>
  <c r="B23" i="6135"/>
  <c r="H30" i="6135"/>
  <c r="H35" i="6135"/>
  <c r="H39" i="6135"/>
  <c r="H43" i="6135"/>
  <c r="H48" i="6135"/>
  <c r="H28" i="6135"/>
  <c r="C33" i="6135"/>
  <c r="C37" i="6135"/>
  <c r="H47" i="6135"/>
  <c r="H2" i="6135"/>
  <c r="H6" i="6135"/>
  <c r="H24" i="6135"/>
  <c r="H17" i="6135"/>
  <c r="H18" i="6135"/>
  <c r="H31" i="6135"/>
  <c r="C34" i="6135"/>
  <c r="C38" i="6135"/>
  <c r="C42" i="6135"/>
  <c r="H49" i="6135"/>
  <c r="C20" i="6135"/>
  <c r="H36" i="6135"/>
  <c r="H40" i="6135"/>
  <c r="H44" i="6135"/>
  <c r="H50" i="6135"/>
  <c r="H16" i="6135"/>
  <c r="H13" i="6135"/>
  <c r="H27" i="6135"/>
  <c r="H14" i="6135"/>
  <c r="H32" i="6135"/>
  <c r="C35" i="6135"/>
  <c r="C39" i="6135"/>
  <c r="C43" i="6135"/>
  <c r="H12" i="6133"/>
  <c r="B22" i="6133"/>
  <c r="H33" i="6133"/>
  <c r="C17" i="6133"/>
  <c r="H37" i="6133"/>
  <c r="C42" i="6133"/>
  <c r="H51" i="6133"/>
  <c r="H25" i="6133"/>
  <c r="H29" i="6133"/>
  <c r="C32" i="6133"/>
  <c r="H38" i="6133"/>
  <c r="H43" i="6133"/>
  <c r="H5" i="6133"/>
  <c r="H6" i="6133"/>
  <c r="H21" i="6133"/>
  <c r="C18" i="6133"/>
  <c r="H34" i="6133"/>
  <c r="C38" i="6133"/>
  <c r="H44" i="6133"/>
  <c r="H52" i="6133"/>
  <c r="H4" i="6133"/>
  <c r="H9" i="6133"/>
  <c r="H23" i="6133"/>
  <c r="C19" i="6133"/>
  <c r="H30" i="6133"/>
  <c r="H20" i="6133"/>
  <c r="H39" i="6133"/>
  <c r="C44" i="6133"/>
  <c r="H15" i="6133"/>
  <c r="H31" i="6133"/>
  <c r="C34" i="6133"/>
  <c r="H40" i="6133"/>
  <c r="H45" i="6133"/>
  <c r="H10" i="6133"/>
  <c r="H7" i="6133"/>
  <c r="H11" i="6133"/>
  <c r="H17" i="6133"/>
  <c r="C15" i="6133"/>
  <c r="C20" i="6133"/>
  <c r="H32" i="6133"/>
  <c r="H35" i="6133"/>
  <c r="C40" i="6133"/>
  <c r="H47" i="6133"/>
  <c r="H24" i="6133"/>
  <c r="C21" i="6133"/>
  <c r="H16" i="6133"/>
  <c r="H36" i="6133"/>
  <c r="H41" i="6133"/>
  <c r="H48" i="6133"/>
  <c r="H2" i="6133"/>
  <c r="H3" i="6133"/>
  <c r="H13" i="6133"/>
  <c r="C36" i="6133"/>
  <c r="H42" i="6133"/>
  <c r="H49" i="6133"/>
  <c r="H26" i="6133"/>
  <c r="H28" i="6133"/>
  <c r="H8" i="6133"/>
  <c r="C33" i="6133"/>
  <c r="C37" i="6133"/>
  <c r="C41" i="6133"/>
  <c r="H46" i="6133"/>
  <c r="B23" i="6133"/>
  <c r="H22" i="6133"/>
  <c r="H18" i="6133"/>
  <c r="H27" i="6133"/>
  <c r="H14" i="6133"/>
  <c r="H19" i="6133"/>
  <c r="C35" i="6133"/>
  <c r="C39" i="6133"/>
  <c r="C43" i="6133"/>
  <c r="O22" i="6131" l="1"/>
  <c r="O18" i="6131"/>
  <c r="C30" i="6131"/>
  <c r="B25" i="6131"/>
  <c r="C16" i="6131"/>
  <c r="B15" i="6131"/>
  <c r="H51" i="6131" s="1"/>
  <c r="B14" i="6131"/>
  <c r="B24" i="6131" s="1"/>
  <c r="B13" i="6131"/>
  <c r="C13" i="6131" s="1"/>
  <c r="O12" i="6131"/>
  <c r="C12" i="6131"/>
  <c r="O11" i="6131"/>
  <c r="C11" i="6131"/>
  <c r="O10" i="6131"/>
  <c r="C10" i="6131"/>
  <c r="C9" i="6131"/>
  <c r="C8" i="6131"/>
  <c r="O7" i="6131"/>
  <c r="C7" i="6131"/>
  <c r="O6" i="6131"/>
  <c r="B6" i="6131"/>
  <c r="O5" i="6131"/>
  <c r="B5" i="6131"/>
  <c r="O4" i="6131"/>
  <c r="O3" i="6131"/>
  <c r="O2" i="6131"/>
  <c r="O21" i="6129"/>
  <c r="O18" i="6129"/>
  <c r="C30" i="6129"/>
  <c r="B25" i="6129"/>
  <c r="C16" i="6129"/>
  <c r="B15" i="6129"/>
  <c r="H52" i="6129" s="1"/>
  <c r="B14" i="6129"/>
  <c r="B24" i="6129" s="1"/>
  <c r="B13" i="6129"/>
  <c r="C13" i="6129" s="1"/>
  <c r="O12" i="6129"/>
  <c r="C12" i="6129"/>
  <c r="O11" i="6129"/>
  <c r="C11" i="6129"/>
  <c r="O10" i="6129"/>
  <c r="C10" i="6129"/>
  <c r="C9" i="6129"/>
  <c r="C8" i="6129"/>
  <c r="O7" i="6129"/>
  <c r="C7" i="6129"/>
  <c r="O6" i="6129"/>
  <c r="B6" i="6129"/>
  <c r="O5" i="6129"/>
  <c r="B5" i="6129"/>
  <c r="O4" i="6129"/>
  <c r="O3" i="6129"/>
  <c r="O2" i="6129"/>
  <c r="O18" i="6119"/>
  <c r="O19" i="6127"/>
  <c r="O16" i="6127"/>
  <c r="C30" i="6127"/>
  <c r="B25" i="6127"/>
  <c r="C16" i="6127"/>
  <c r="B15" i="6127"/>
  <c r="H52" i="6127" s="1"/>
  <c r="B14" i="6127"/>
  <c r="B24" i="6127" s="1"/>
  <c r="B13" i="6127"/>
  <c r="C13" i="6127" s="1"/>
  <c r="O12" i="6127"/>
  <c r="C12" i="6127"/>
  <c r="O11" i="6127"/>
  <c r="C11" i="6127"/>
  <c r="O10" i="6127"/>
  <c r="C10" i="6127"/>
  <c r="C9" i="6127"/>
  <c r="C8" i="6127"/>
  <c r="O7" i="6127"/>
  <c r="C7" i="6127"/>
  <c r="O6" i="6127"/>
  <c r="B6" i="6127"/>
  <c r="O5" i="6127"/>
  <c r="B5" i="6127"/>
  <c r="O4" i="6127"/>
  <c r="O3" i="6127"/>
  <c r="O2" i="6127"/>
  <c r="O21" i="6119"/>
  <c r="O22" i="6119"/>
  <c r="C14" i="6129" l="1"/>
  <c r="C14" i="6127"/>
  <c r="C19" i="6127"/>
  <c r="C14" i="6131"/>
  <c r="H4" i="6131"/>
  <c r="H12" i="6131"/>
  <c r="C19" i="6131"/>
  <c r="H36" i="6131"/>
  <c r="H24" i="6131"/>
  <c r="H28" i="6131"/>
  <c r="H41" i="6131"/>
  <c r="C44" i="6131"/>
  <c r="C34" i="6131"/>
  <c r="H10" i="6131"/>
  <c r="H48" i="6131"/>
  <c r="H27" i="6131"/>
  <c r="H7" i="6131"/>
  <c r="H22" i="6131"/>
  <c r="C20" i="6131"/>
  <c r="C21" i="6131"/>
  <c r="H21" i="6131"/>
  <c r="H38" i="6131"/>
  <c r="H42" i="6131"/>
  <c r="H49" i="6131"/>
  <c r="H18" i="6131"/>
  <c r="H50" i="6131"/>
  <c r="H33" i="6131"/>
  <c r="H29" i="6131"/>
  <c r="H2" i="6131"/>
  <c r="H14" i="6131"/>
  <c r="C36" i="6131"/>
  <c r="C17" i="6131"/>
  <c r="B22" i="6131"/>
  <c r="H26" i="6131"/>
  <c r="H39" i="6131"/>
  <c r="C42" i="6131"/>
  <c r="H16" i="6131"/>
  <c r="H25" i="6131"/>
  <c r="H11" i="6131"/>
  <c r="C40" i="6131"/>
  <c r="H8" i="6131"/>
  <c r="H15" i="6131"/>
  <c r="C32" i="6131"/>
  <c r="H40" i="6131"/>
  <c r="H44" i="6131"/>
  <c r="H5" i="6131"/>
  <c r="H46" i="6131"/>
  <c r="C15" i="6131"/>
  <c r="H37" i="6131"/>
  <c r="H3" i="6131"/>
  <c r="H43" i="6131"/>
  <c r="H20" i="6131"/>
  <c r="H6" i="6131"/>
  <c r="H17" i="6131"/>
  <c r="C18" i="6131"/>
  <c r="H35" i="6131"/>
  <c r="C38" i="6131"/>
  <c r="H45" i="6131"/>
  <c r="H52" i="6131"/>
  <c r="H30" i="6131"/>
  <c r="H32" i="6131"/>
  <c r="H9" i="6131"/>
  <c r="C33" i="6131"/>
  <c r="C37" i="6131"/>
  <c r="C41" i="6131"/>
  <c r="H47" i="6131"/>
  <c r="B23" i="6131"/>
  <c r="H23" i="6131"/>
  <c r="H19" i="6131"/>
  <c r="H31" i="6131"/>
  <c r="H13" i="6131"/>
  <c r="H34" i="6131"/>
  <c r="C35" i="6131"/>
  <c r="C39" i="6131"/>
  <c r="C43" i="6131"/>
  <c r="C19" i="6129"/>
  <c r="H19" i="6129"/>
  <c r="H24" i="6129"/>
  <c r="H23" i="6129"/>
  <c r="C40" i="6129"/>
  <c r="H18" i="6129"/>
  <c r="C39" i="6129"/>
  <c r="H2" i="6129"/>
  <c r="C17" i="6129"/>
  <c r="H21" i="6129"/>
  <c r="H43" i="6129"/>
  <c r="C43" i="6129"/>
  <c r="C32" i="6129"/>
  <c r="H11" i="6129"/>
  <c r="H14" i="6129"/>
  <c r="H36" i="6129"/>
  <c r="H4" i="6129"/>
  <c r="H28" i="6129"/>
  <c r="H15" i="6129"/>
  <c r="C44" i="6129"/>
  <c r="H45" i="6129"/>
  <c r="C15" i="6129"/>
  <c r="H51" i="6129"/>
  <c r="H32" i="6129"/>
  <c r="H5" i="6129"/>
  <c r="C35" i="6129"/>
  <c r="H13" i="6129"/>
  <c r="H27" i="6129"/>
  <c r="H10" i="6129"/>
  <c r="H6" i="6129"/>
  <c r="H20" i="6129"/>
  <c r="H33" i="6129"/>
  <c r="C36" i="6129"/>
  <c r="H7" i="6129"/>
  <c r="H39" i="6129"/>
  <c r="H48" i="6129"/>
  <c r="C21" i="6129"/>
  <c r="H26" i="6129"/>
  <c r="H41" i="6129"/>
  <c r="H12" i="6129"/>
  <c r="H31" i="6129"/>
  <c r="H22" i="6129"/>
  <c r="H8" i="6129"/>
  <c r="C33" i="6129"/>
  <c r="C37" i="6129"/>
  <c r="C41" i="6129"/>
  <c r="H47" i="6129"/>
  <c r="H3" i="6129"/>
  <c r="H30" i="6129"/>
  <c r="H16" i="6129"/>
  <c r="H25" i="6129"/>
  <c r="H17" i="6129"/>
  <c r="C34" i="6129"/>
  <c r="C38" i="6129"/>
  <c r="C42" i="6129"/>
  <c r="H49" i="6129"/>
  <c r="B23" i="6129"/>
  <c r="H9" i="6129"/>
  <c r="C20" i="6129"/>
  <c r="H37" i="6129"/>
  <c r="H40" i="6129"/>
  <c r="H44" i="6129"/>
  <c r="H50" i="6129"/>
  <c r="H29" i="6129"/>
  <c r="C18" i="6129"/>
  <c r="B22" i="6129"/>
  <c r="H34" i="6129"/>
  <c r="H35" i="6129"/>
  <c r="H38" i="6129"/>
  <c r="H42" i="6129"/>
  <c r="H46" i="6129"/>
  <c r="H6" i="6127"/>
  <c r="H10" i="6127"/>
  <c r="H37" i="6127"/>
  <c r="C21" i="6127"/>
  <c r="H21" i="6127"/>
  <c r="H33" i="6127"/>
  <c r="H41" i="6127"/>
  <c r="C15" i="6127"/>
  <c r="H7" i="6127"/>
  <c r="H22" i="6127"/>
  <c r="H13" i="6127"/>
  <c r="C17" i="6127"/>
  <c r="H45" i="6127"/>
  <c r="H25" i="6127"/>
  <c r="H27" i="6127"/>
  <c r="H11" i="6127"/>
  <c r="C33" i="6127"/>
  <c r="C37" i="6127"/>
  <c r="C41" i="6127"/>
  <c r="H47" i="6127"/>
  <c r="H43" i="6127"/>
  <c r="H24" i="6127"/>
  <c r="H18" i="6127"/>
  <c r="H20" i="6127"/>
  <c r="C34" i="6127"/>
  <c r="C38" i="6127"/>
  <c r="H49" i="6127"/>
  <c r="H8" i="6127"/>
  <c r="C20" i="6127"/>
  <c r="H36" i="6127"/>
  <c r="H40" i="6127"/>
  <c r="H44" i="6127"/>
  <c r="H50" i="6127"/>
  <c r="B23" i="6127"/>
  <c r="H31" i="6127"/>
  <c r="H35" i="6127"/>
  <c r="H39" i="6127"/>
  <c r="H48" i="6127"/>
  <c r="H2" i="6127"/>
  <c r="H4" i="6127"/>
  <c r="H28" i="6127"/>
  <c r="C42" i="6127"/>
  <c r="H17" i="6127"/>
  <c r="H14" i="6127"/>
  <c r="H26" i="6127"/>
  <c r="H15" i="6127"/>
  <c r="H32" i="6127"/>
  <c r="C35" i="6127"/>
  <c r="C39" i="6127"/>
  <c r="C43" i="6127"/>
  <c r="H51" i="6127"/>
  <c r="H16" i="6127"/>
  <c r="H3" i="6127"/>
  <c r="H9" i="6127"/>
  <c r="H19" i="6127"/>
  <c r="H12" i="6127"/>
  <c r="H29" i="6127"/>
  <c r="C32" i="6127"/>
  <c r="C36" i="6127"/>
  <c r="C40" i="6127"/>
  <c r="C44" i="6127"/>
  <c r="H5" i="6127"/>
  <c r="H23" i="6127"/>
  <c r="C18" i="6127"/>
  <c r="B22" i="6127"/>
  <c r="H30" i="6127"/>
  <c r="H34" i="6127"/>
  <c r="H38" i="6127"/>
  <c r="H42" i="6127"/>
  <c r="H46" i="6127"/>
  <c r="O22" i="6125" l="1"/>
  <c r="O19" i="6125"/>
  <c r="C30" i="6125"/>
  <c r="B25" i="6125"/>
  <c r="C16" i="6125"/>
  <c r="B15" i="6125"/>
  <c r="H4" i="6125" s="1"/>
  <c r="B14" i="6125"/>
  <c r="B24" i="6125" s="1"/>
  <c r="B13" i="6125"/>
  <c r="C13" i="6125" s="1"/>
  <c r="O12" i="6125"/>
  <c r="C12" i="6125"/>
  <c r="O11" i="6125"/>
  <c r="C11" i="6125"/>
  <c r="O10" i="6125"/>
  <c r="C10" i="6125"/>
  <c r="C9" i="6125"/>
  <c r="C8" i="6125"/>
  <c r="O7" i="6125"/>
  <c r="C7" i="6125"/>
  <c r="O6" i="6125"/>
  <c r="B6" i="6125"/>
  <c r="O5" i="6125"/>
  <c r="B5" i="6125"/>
  <c r="O4" i="6125"/>
  <c r="O3" i="6125"/>
  <c r="O2" i="6125"/>
  <c r="O20" i="6123"/>
  <c r="O18" i="6123"/>
  <c r="C30" i="6123"/>
  <c r="B25" i="6123"/>
  <c r="C16" i="6123"/>
  <c r="B15" i="6123"/>
  <c r="H5" i="6123" s="1"/>
  <c r="B14" i="6123"/>
  <c r="B24" i="6123" s="1"/>
  <c r="B13" i="6123"/>
  <c r="C13" i="6123" s="1"/>
  <c r="O12" i="6123"/>
  <c r="C12" i="6123"/>
  <c r="O11" i="6123"/>
  <c r="C11" i="6123"/>
  <c r="O10" i="6123"/>
  <c r="C10" i="6123"/>
  <c r="C9" i="6123"/>
  <c r="C8" i="6123"/>
  <c r="O7" i="6123"/>
  <c r="C7" i="6123"/>
  <c r="O6" i="6123"/>
  <c r="B6" i="6123"/>
  <c r="O5" i="6123"/>
  <c r="B5" i="6123"/>
  <c r="O4" i="6123"/>
  <c r="O3" i="6123"/>
  <c r="O2" i="6123"/>
  <c r="O17" i="6119"/>
  <c r="O16" i="6121"/>
  <c r="O18" i="6121"/>
  <c r="C30" i="6121"/>
  <c r="B25" i="6121"/>
  <c r="C16" i="6121"/>
  <c r="B15" i="6121"/>
  <c r="H4" i="6121" s="1"/>
  <c r="B14" i="6121"/>
  <c r="B24" i="6121" s="1"/>
  <c r="B13" i="6121"/>
  <c r="C13" i="6121" s="1"/>
  <c r="O12" i="6121"/>
  <c r="C12" i="6121"/>
  <c r="O11" i="6121"/>
  <c r="C11" i="6121"/>
  <c r="O10" i="6121"/>
  <c r="C10" i="6121"/>
  <c r="C9" i="6121"/>
  <c r="C8" i="6121"/>
  <c r="O7" i="6121"/>
  <c r="C7" i="6121"/>
  <c r="O6" i="6121"/>
  <c r="B6" i="6121"/>
  <c r="O5" i="6121"/>
  <c r="B5" i="6121"/>
  <c r="O4" i="6121"/>
  <c r="O3" i="6121"/>
  <c r="O2" i="6121"/>
  <c r="O20" i="6119"/>
  <c r="O23" i="6119"/>
  <c r="C30" i="6119"/>
  <c r="B25" i="6119"/>
  <c r="C16" i="6119"/>
  <c r="B15" i="6119"/>
  <c r="H51" i="6119" s="1"/>
  <c r="B14" i="6119"/>
  <c r="B24" i="6119" s="1"/>
  <c r="B13" i="6119"/>
  <c r="C13" i="6119" s="1"/>
  <c r="O12" i="6119"/>
  <c r="C12" i="6119"/>
  <c r="O11" i="6119"/>
  <c r="C11" i="6119"/>
  <c r="O10" i="6119"/>
  <c r="C10" i="6119"/>
  <c r="C9" i="6119"/>
  <c r="C8" i="6119"/>
  <c r="O7" i="6119"/>
  <c r="C7" i="6119"/>
  <c r="O6" i="6119"/>
  <c r="B6" i="6119"/>
  <c r="O5" i="6119"/>
  <c r="B5" i="6119"/>
  <c r="O4" i="6119"/>
  <c r="O3" i="6119"/>
  <c r="O2" i="6119"/>
  <c r="C14" i="6125" l="1"/>
  <c r="C14" i="6123"/>
  <c r="H28" i="6125"/>
  <c r="H31" i="6123"/>
  <c r="C14" i="6121"/>
  <c r="H12" i="6125"/>
  <c r="H33" i="6125"/>
  <c r="C15" i="6125"/>
  <c r="H35" i="6125"/>
  <c r="C18" i="6125"/>
  <c r="H42" i="6125"/>
  <c r="H9" i="6125"/>
  <c r="H10" i="6125"/>
  <c r="B22" i="6125"/>
  <c r="H46" i="6125"/>
  <c r="H38" i="6125"/>
  <c r="H6" i="6125"/>
  <c r="H52" i="6125"/>
  <c r="H25" i="6125"/>
  <c r="C33" i="6125"/>
  <c r="C41" i="6125"/>
  <c r="C19" i="6125"/>
  <c r="B23" i="6125"/>
  <c r="H26" i="6125"/>
  <c r="H27" i="6125"/>
  <c r="H39" i="6125"/>
  <c r="H43" i="6125"/>
  <c r="H48" i="6125"/>
  <c r="H21" i="6125"/>
  <c r="H29" i="6125"/>
  <c r="H8" i="6125"/>
  <c r="C37" i="6125"/>
  <c r="H47" i="6125"/>
  <c r="H2" i="6125"/>
  <c r="H3" i="6125"/>
  <c r="H24" i="6125"/>
  <c r="H17" i="6125"/>
  <c r="H31" i="6125"/>
  <c r="H16" i="6125"/>
  <c r="C34" i="6125"/>
  <c r="C38" i="6125"/>
  <c r="C42" i="6125"/>
  <c r="H49" i="6125"/>
  <c r="C20" i="6125"/>
  <c r="H50" i="6125"/>
  <c r="H22" i="6125"/>
  <c r="H15" i="6125"/>
  <c r="H30" i="6125"/>
  <c r="H13" i="6125"/>
  <c r="H19" i="6125"/>
  <c r="C35" i="6125"/>
  <c r="C39" i="6125"/>
  <c r="C43" i="6125"/>
  <c r="H51" i="6125"/>
  <c r="H40" i="6125"/>
  <c r="H7" i="6125"/>
  <c r="H23" i="6125"/>
  <c r="C17" i="6125"/>
  <c r="C21" i="6125"/>
  <c r="H34" i="6125"/>
  <c r="H37" i="6125"/>
  <c r="H41" i="6125"/>
  <c r="H45" i="6125"/>
  <c r="H20" i="6125"/>
  <c r="H36" i="6125"/>
  <c r="H44" i="6125"/>
  <c r="H5" i="6125"/>
  <c r="H11" i="6125"/>
  <c r="H18" i="6125"/>
  <c r="H14" i="6125"/>
  <c r="H32" i="6125"/>
  <c r="C32" i="6125"/>
  <c r="C36" i="6125"/>
  <c r="C40" i="6125"/>
  <c r="C44" i="6125"/>
  <c r="C14" i="6119"/>
  <c r="H4" i="6123"/>
  <c r="C21" i="6123"/>
  <c r="H26" i="6123"/>
  <c r="H44" i="6123"/>
  <c r="H46" i="6123"/>
  <c r="H7" i="6123"/>
  <c r="H45" i="6123"/>
  <c r="H27" i="6123"/>
  <c r="H11" i="6123"/>
  <c r="H25" i="6123"/>
  <c r="H39" i="6123"/>
  <c r="H29" i="6123"/>
  <c r="H37" i="6123"/>
  <c r="H48" i="6123"/>
  <c r="H6" i="6123"/>
  <c r="C17" i="6123"/>
  <c r="H28" i="6123"/>
  <c r="C18" i="6123"/>
  <c r="H41" i="6123"/>
  <c r="H50" i="6123"/>
  <c r="B22" i="6123"/>
  <c r="H38" i="6123"/>
  <c r="H2" i="6123"/>
  <c r="C19" i="6123"/>
  <c r="H35" i="6123"/>
  <c r="H42" i="6123"/>
  <c r="H16" i="6123"/>
  <c r="C15" i="6123"/>
  <c r="H10" i="6123"/>
  <c r="H40" i="6123"/>
  <c r="H9" i="6123"/>
  <c r="H30" i="6123"/>
  <c r="C20" i="6123"/>
  <c r="H36" i="6123"/>
  <c r="H43" i="6123"/>
  <c r="H52" i="6123"/>
  <c r="H32" i="6123"/>
  <c r="H20" i="6123"/>
  <c r="H8" i="6123"/>
  <c r="C33" i="6123"/>
  <c r="C37" i="6123"/>
  <c r="C41" i="6123"/>
  <c r="H47" i="6123"/>
  <c r="B23" i="6123"/>
  <c r="H3" i="6123"/>
  <c r="H19" i="6123"/>
  <c r="H18" i="6123"/>
  <c r="H24" i="6123"/>
  <c r="H21" i="6123"/>
  <c r="C34" i="6123"/>
  <c r="C38" i="6123"/>
  <c r="C42" i="6123"/>
  <c r="H49" i="6123"/>
  <c r="H17" i="6123"/>
  <c r="H15" i="6123"/>
  <c r="H33" i="6123"/>
  <c r="H12" i="6123"/>
  <c r="H22" i="6123"/>
  <c r="C35" i="6123"/>
  <c r="C39" i="6123"/>
  <c r="C43" i="6123"/>
  <c r="H51" i="6123"/>
  <c r="H13" i="6123"/>
  <c r="H23" i="6123"/>
  <c r="H14" i="6123"/>
  <c r="H34" i="6123"/>
  <c r="C32" i="6123"/>
  <c r="C36" i="6123"/>
  <c r="C40" i="6123"/>
  <c r="C44" i="6123"/>
  <c r="H4" i="6119"/>
  <c r="H7" i="6121"/>
  <c r="H52" i="6121"/>
  <c r="C20" i="6121"/>
  <c r="H8" i="6121"/>
  <c r="C21" i="6121"/>
  <c r="H33" i="6121"/>
  <c r="H24" i="6121"/>
  <c r="H25" i="6121"/>
  <c r="H34" i="6121"/>
  <c r="H41" i="6121"/>
  <c r="H42" i="6121"/>
  <c r="H35" i="6121"/>
  <c r="H43" i="6121"/>
  <c r="H47" i="6121"/>
  <c r="H19" i="6121"/>
  <c r="H36" i="6121"/>
  <c r="H44" i="6121"/>
  <c r="H5" i="6121"/>
  <c r="H10" i="6121"/>
  <c r="H18" i="6121"/>
  <c r="H37" i="6121"/>
  <c r="H45" i="6121"/>
  <c r="H6" i="6121"/>
  <c r="C17" i="6121"/>
  <c r="H31" i="6121"/>
  <c r="H12" i="6121"/>
  <c r="C18" i="6121"/>
  <c r="H39" i="6121"/>
  <c r="H49" i="6121"/>
  <c r="B22" i="6121"/>
  <c r="C15" i="6121"/>
  <c r="H38" i="6121"/>
  <c r="C19" i="6121"/>
  <c r="H23" i="6121"/>
  <c r="H40" i="6121"/>
  <c r="H51" i="6121"/>
  <c r="H27" i="6121"/>
  <c r="H22" i="6121"/>
  <c r="H13" i="6121"/>
  <c r="C33" i="6121"/>
  <c r="C37" i="6121"/>
  <c r="C41" i="6121"/>
  <c r="H46" i="6121"/>
  <c r="B23" i="6121"/>
  <c r="H2" i="6121"/>
  <c r="H3" i="6121"/>
  <c r="H21" i="6121"/>
  <c r="H14" i="6121"/>
  <c r="H29" i="6121"/>
  <c r="H16" i="6121"/>
  <c r="C34" i="6121"/>
  <c r="C38" i="6121"/>
  <c r="C42" i="6121"/>
  <c r="H48" i="6121"/>
  <c r="H20" i="6121"/>
  <c r="H26" i="6121"/>
  <c r="H28" i="6121"/>
  <c r="H15" i="6121"/>
  <c r="H32" i="6121"/>
  <c r="C35" i="6121"/>
  <c r="C39" i="6121"/>
  <c r="C43" i="6121"/>
  <c r="H50" i="6121"/>
  <c r="H9" i="6121"/>
  <c r="H17" i="6121"/>
  <c r="H11" i="6121"/>
  <c r="H30" i="6121"/>
  <c r="C32" i="6121"/>
  <c r="C36" i="6121"/>
  <c r="C40" i="6121"/>
  <c r="C44" i="6121"/>
  <c r="H11" i="6119"/>
  <c r="C19" i="6119"/>
  <c r="C20" i="6119"/>
  <c r="H31" i="6119"/>
  <c r="H35" i="6119"/>
  <c r="H29" i="6119"/>
  <c r="H42" i="6119"/>
  <c r="C44" i="6119"/>
  <c r="H17" i="6119"/>
  <c r="H34" i="6119"/>
  <c r="H24" i="6119"/>
  <c r="C40" i="6119"/>
  <c r="H49" i="6119"/>
  <c r="H27" i="6119"/>
  <c r="H6" i="6119"/>
  <c r="H14" i="6119"/>
  <c r="H12" i="6119"/>
  <c r="H48" i="6119"/>
  <c r="C21" i="6119"/>
  <c r="H18" i="6119"/>
  <c r="H43" i="6119"/>
  <c r="H2" i="6119"/>
  <c r="H3" i="6119"/>
  <c r="C36" i="6119"/>
  <c r="H8" i="6119"/>
  <c r="H40" i="6119"/>
  <c r="H15" i="6119"/>
  <c r="C34" i="6119"/>
  <c r="H10" i="6119"/>
  <c r="H28" i="6119"/>
  <c r="H50" i="6119"/>
  <c r="C17" i="6119"/>
  <c r="B22" i="6119"/>
  <c r="H30" i="6119"/>
  <c r="C42" i="6119"/>
  <c r="C32" i="6119"/>
  <c r="H45" i="6119"/>
  <c r="H5" i="6119"/>
  <c r="H33" i="6119"/>
  <c r="C15" i="6119"/>
  <c r="H39" i="6119"/>
  <c r="H26" i="6119"/>
  <c r="H32" i="6119"/>
  <c r="H44" i="6119"/>
  <c r="H19" i="6119"/>
  <c r="H25" i="6119"/>
  <c r="H41" i="6119"/>
  <c r="H7" i="6119"/>
  <c r="H22" i="6119"/>
  <c r="C18" i="6119"/>
  <c r="H38" i="6119"/>
  <c r="C38" i="6119"/>
  <c r="H46" i="6119"/>
  <c r="H52" i="6119"/>
  <c r="H36" i="6119"/>
  <c r="H23" i="6119"/>
  <c r="H9" i="6119"/>
  <c r="C33" i="6119"/>
  <c r="C37" i="6119"/>
  <c r="C41" i="6119"/>
  <c r="H47" i="6119"/>
  <c r="B23" i="6119"/>
  <c r="H20" i="6119"/>
  <c r="H16" i="6119"/>
  <c r="H37" i="6119"/>
  <c r="H13" i="6119"/>
  <c r="H21" i="6119"/>
  <c r="C35" i="6119"/>
  <c r="C39" i="6119"/>
  <c r="C43" i="6119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<sst xmlns="http://schemas.openxmlformats.org/spreadsheetml/2006/main" count="3286" uniqueCount="275">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</sst>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5.xml"/><Relationship Id="rId42" Type="http://schemas.openxmlformats.org/officeDocument/2006/relationships/chartsheet" Target="chartsheets/sheet13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4.xml"/><Relationship Id="rId38" Type="http://schemas.openxmlformats.org/officeDocument/2006/relationships/chartsheet" Target="chartsheets/sheet9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3.xml"/><Relationship Id="rId37" Type="http://schemas.openxmlformats.org/officeDocument/2006/relationships/chartsheet" Target="chartsheets/sheet8.xml"/><Relationship Id="rId40" Type="http://schemas.openxmlformats.org/officeDocument/2006/relationships/chartsheet" Target="chartsheets/sheet11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7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2.xml"/><Relationship Id="rId44" Type="http://schemas.openxmlformats.org/officeDocument/2006/relationships/chartsheet" Target="chartsheets/sheet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1.xml"/><Relationship Id="rId35" Type="http://schemas.openxmlformats.org/officeDocument/2006/relationships/chartsheet" Target="chartsheets/sheet6.xml"/><Relationship Id="rId43" Type="http://schemas.openxmlformats.org/officeDocument/2006/relationships/chartsheet" Target="chartsheets/sheet1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全体!$K$2:$K$704</c:f>
              <c:numCache>
                <c:formatCode>General</c:formatCode>
                <c:ptCount val="7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</c:numCache>
            </c:numRef>
          </c:xVal>
          <c:yVal>
            <c:numRef>
              <c:f>全体!$L$2:$L$704</c:f>
              <c:numCache>
                <c:formatCode>\+0.0;\-0.0;\±0</c:formatCode>
                <c:ptCount val="70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3D-44ED-A25F-9E8D6F21C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-25.751072961373392</c:v>
                </c:pt>
                <c:pt idx="1">
                  <c:v>10.189228529839884</c:v>
                </c:pt>
                <c:pt idx="2">
                  <c:v>-10.852713178294573</c:v>
                </c:pt>
                <c:pt idx="3">
                  <c:v>9.9009900990099009</c:v>
                </c:pt>
                <c:pt idx="4">
                  <c:v>9.0090090090090094</c:v>
                </c:pt>
                <c:pt idx="5">
                  <c:v>12.903225806451612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DD-4B35-B07D-AD2EF257D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131</c:v>
                </c:pt>
                <c:pt idx="1">
                  <c:v>285</c:v>
                </c:pt>
                <c:pt idx="2">
                  <c:v>344</c:v>
                </c:pt>
                <c:pt idx="3">
                  <c:v>302</c:v>
                </c:pt>
                <c:pt idx="4">
                  <c:v>279</c:v>
                </c:pt>
                <c:pt idx="5">
                  <c:v>178</c:v>
                </c:pt>
                <c:pt idx="6">
                  <c:v>92</c:v>
                </c:pt>
                <c:pt idx="7">
                  <c:v>52</c:v>
                </c:pt>
                <c:pt idx="8">
                  <c:v>19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2-4D5B-BFF0-19D0CD6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たかの!$L$2:$L$66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A-42E7-AEDA-418DAF8A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1509.375</c:v>
                </c:pt>
                <c:pt idx="1">
                  <c:v>-2114.2857142857142</c:v>
                </c:pt>
                <c:pt idx="2">
                  <c:v>-1685.2459016393443</c:v>
                </c:pt>
                <c:pt idx="3">
                  <c:v>-1407.0175438596491</c:v>
                </c:pt>
                <c:pt idx="4">
                  <c:v>-439.28571428571428</c:v>
                </c:pt>
                <c:pt idx="5">
                  <c:v>-2470.8333333333335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C-4646-A386-0129434D4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20</c:v>
                </c:pt>
                <c:pt idx="1">
                  <c:v>31</c:v>
                </c:pt>
                <c:pt idx="2">
                  <c:v>31</c:v>
                </c:pt>
                <c:pt idx="3">
                  <c:v>23</c:v>
                </c:pt>
                <c:pt idx="4">
                  <c:v>17</c:v>
                </c:pt>
                <c:pt idx="5">
                  <c:v>12</c:v>
                </c:pt>
                <c:pt idx="6">
                  <c:v>9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B-4FA1-BEAC-44029251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だいち!$K$2:$K$147</c:f>
              <c:numCache>
                <c:formatCode>General</c:formatCode>
                <c:ptCount val="1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</c:numCache>
            </c:numRef>
          </c:xVal>
          <c:yVal>
            <c:numRef>
              <c:f>だいち!$L$2:$L$147</c:f>
              <c:numCache>
                <c:formatCode>\+0.0;\-0.0;\±0</c:formatCode>
                <c:ptCount val="14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54-4A8D-8521-F28E6BEFA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1027.0833333333333</c:v>
                </c:pt>
                <c:pt idx="1">
                  <c:v>1007.8014184397163</c:v>
                </c:pt>
                <c:pt idx="2">
                  <c:v>994.07407407407402</c:v>
                </c:pt>
                <c:pt idx="3">
                  <c:v>170.4</c:v>
                </c:pt>
                <c:pt idx="4">
                  <c:v>1865.2173913043478</c:v>
                </c:pt>
                <c:pt idx="5">
                  <c:v>2041.0526315789473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A5-4A3D-81F1-B3E00C23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36</c:v>
                </c:pt>
                <c:pt idx="1">
                  <c:v>70</c:v>
                </c:pt>
                <c:pt idx="2">
                  <c:v>88</c:v>
                </c:pt>
                <c:pt idx="3">
                  <c:v>75</c:v>
                </c:pt>
                <c:pt idx="4">
                  <c:v>60</c:v>
                </c:pt>
                <c:pt idx="5">
                  <c:v>37</c:v>
                </c:pt>
                <c:pt idx="6">
                  <c:v>18</c:v>
                </c:pt>
                <c:pt idx="7">
                  <c:v>6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99-4663-A8AF-51CE2FA78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ただ!$L$2:$L$131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C-4647-82F2-630678748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-1472.65625</c:v>
                </c:pt>
                <c:pt idx="1">
                  <c:v>1412.6984126984128</c:v>
                </c:pt>
                <c:pt idx="2">
                  <c:v>-255.65217391304347</c:v>
                </c:pt>
                <c:pt idx="3">
                  <c:v>237.61467889908258</c:v>
                </c:pt>
                <c:pt idx="4">
                  <c:v>-927</c:v>
                </c:pt>
                <c:pt idx="5">
                  <c:v>1467.0588235294117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AA-4162-A6D4-2429DC642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23</c:v>
                </c:pt>
                <c:pt idx="1">
                  <c:v>50</c:v>
                </c:pt>
                <c:pt idx="2">
                  <c:v>69</c:v>
                </c:pt>
                <c:pt idx="3">
                  <c:v>68</c:v>
                </c:pt>
                <c:pt idx="4">
                  <c:v>49</c:v>
                </c:pt>
                <c:pt idx="5">
                  <c:v>36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A-473C-9946-C1DE8A8BD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りくと!$K$2:$K$82</c:f>
              <c:numCache>
                <c:formatCode>General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りくと!$L$2:$L$82</c:f>
              <c:numCache>
                <c:formatCode>\+0.0;\-0.0;\±0</c:formatCode>
                <c:ptCount val="8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6-47AF-B37F-09F21151F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-443.03797468354429</c:v>
                </c:pt>
                <c:pt idx="1">
                  <c:v>-1150.632911392405</c:v>
                </c:pt>
                <c:pt idx="2">
                  <c:v>927.39726027397262</c:v>
                </c:pt>
                <c:pt idx="3">
                  <c:v>-261.11111111111109</c:v>
                </c:pt>
                <c:pt idx="4">
                  <c:v>-2939.705882352941</c:v>
                </c:pt>
                <c:pt idx="5">
                  <c:v>-1740.6779661016949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7-4942-923C-78BE7DC28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14</c:v>
                </c:pt>
                <c:pt idx="1">
                  <c:v>34</c:v>
                </c:pt>
                <c:pt idx="2">
                  <c:v>44</c:v>
                </c:pt>
                <c:pt idx="3">
                  <c:v>30</c:v>
                </c:pt>
                <c:pt idx="4">
                  <c:v>32</c:v>
                </c:pt>
                <c:pt idx="5">
                  <c:v>19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6-4259-AB5E-61990DE2C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れんたろう!$L$2:$L$97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1-4F4C-AA6F-5074DC715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1322.1052631578948</c:v>
                </c:pt>
                <c:pt idx="1">
                  <c:v>-1483.8709677419354</c:v>
                </c:pt>
                <c:pt idx="2">
                  <c:v>-429.76190476190476</c:v>
                </c:pt>
                <c:pt idx="3">
                  <c:v>2795</c:v>
                </c:pt>
                <c:pt idx="4">
                  <c:v>619.71830985915494</c:v>
                </c:pt>
                <c:pt idx="5">
                  <c:v>233.92857142857142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4-4896-8F81-AD328DBB6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5</c:v>
                </c:pt>
                <c:pt idx="1">
                  <c:v>18</c:v>
                </c:pt>
                <c:pt idx="2">
                  <c:v>28</c:v>
                </c:pt>
                <c:pt idx="3">
                  <c:v>37</c:v>
                </c:pt>
                <c:pt idx="4">
                  <c:v>54</c:v>
                </c:pt>
                <c:pt idx="5">
                  <c:v>23</c:v>
                </c:pt>
                <c:pt idx="6">
                  <c:v>20</c:v>
                </c:pt>
                <c:pt idx="7">
                  <c:v>15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DE-418D-9AC6-2CB947580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まっつん!$L$2:$L$109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7-4B8C-9A79-B9AAC1A7C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464.48598130841123</c:v>
                </c:pt>
                <c:pt idx="1">
                  <c:v>556.73076923076928</c:v>
                </c:pt>
                <c:pt idx="2">
                  <c:v>326.53061224489795</c:v>
                </c:pt>
                <c:pt idx="3">
                  <c:v>187.64044943820224</c:v>
                </c:pt>
                <c:pt idx="4">
                  <c:v>-235.89743589743588</c:v>
                </c:pt>
                <c:pt idx="5">
                  <c:v>-764.17910447761199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C4-4B5A-8CDF-892CD5D1F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15</c:v>
                </c:pt>
                <c:pt idx="1">
                  <c:v>46</c:v>
                </c:pt>
                <c:pt idx="2">
                  <c:v>49</c:v>
                </c:pt>
                <c:pt idx="3">
                  <c:v>43</c:v>
                </c:pt>
                <c:pt idx="4">
                  <c:v>40</c:v>
                </c:pt>
                <c:pt idx="5">
                  <c:v>29</c:v>
                </c:pt>
                <c:pt idx="6">
                  <c:v>12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3D3-BDA1-6C913AD6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のり!$L$2:$L$50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89-4685-9BA5-954D003CA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-2208.3333333333335</c:v>
                </c:pt>
                <c:pt idx="1">
                  <c:v>497.91666666666669</c:v>
                </c:pt>
                <c:pt idx="2">
                  <c:v>-1412.7659574468084</c:v>
                </c:pt>
                <c:pt idx="3">
                  <c:v>-3121.4285714285716</c:v>
                </c:pt>
                <c:pt idx="4">
                  <c:v>-1230</c:v>
                </c:pt>
                <c:pt idx="5">
                  <c:v>-2094.1176470588234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A6-48F7-840D-C9219320E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21</c:v>
                </c:pt>
                <c:pt idx="3">
                  <c:v>13</c:v>
                </c:pt>
                <c:pt idx="4">
                  <c:v>13</c:v>
                </c:pt>
                <c:pt idx="5">
                  <c:v>7</c:v>
                </c:pt>
                <c:pt idx="6">
                  <c:v>7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0-4C98-8AD9-9789242E8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C-444A-B49C-04FC49A24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4-4336-8A9A-BA353C595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2-423C-B20E-3850F504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7D-4BA9-B19C-C9DB91427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CE-48F8-BA5E-8A12854F9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5-4486-BDC5-6507FA80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71-486C-A6BC-7DA513A19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8-40E2-BFC1-CA7F3061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85-461E-8F32-72F4F743B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17.600000000000001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C1-416F-AA73-CF0DA93A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2600</c:v>
                </c:pt>
                <c:pt idx="1">
                  <c:v>0</c:v>
                </c:pt>
                <c:pt idx="2">
                  <c:v>1300</c:v>
                </c:pt>
                <c:pt idx="3">
                  <c:v>4000</c:v>
                </c:pt>
                <c:pt idx="4">
                  <c:v>-8000</c:v>
                </c:pt>
                <c:pt idx="5">
                  <c:v>7700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A3-42BE-BB81-9FC0B4AE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D5-4AEC-99E9-FEBC1C790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17.600000000000001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ともき2!$C$3:$C$4</c:f>
              <c:numCache>
                <c:formatCode>\+0.0;\-0.0;\±0</c:formatCode>
                <c:ptCount val="2"/>
                <c:pt idx="1">
                  <c:v>17.600000000000001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073014835556412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ともき2!$D$3:$D$4</c:f>
              <c:numCache>
                <c:formatCode>0.00\ "位"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ともき2!$E$3:$E$4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ともき2!$G$3:$G$4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964028776978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ともき2!$H$3:$H$4</c:f>
              <c:numCache>
                <c:formatCode>0.0%</c:formatCode>
                <c:ptCount val="2"/>
                <c:pt idx="1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412127440904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ともき2!$I$3:$I$4</c:f>
              <c:numCache>
                <c:formatCode>0</c:formatCode>
                <c:ptCount val="2"/>
                <c:pt idx="1">
                  <c:v>3900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2.13704994192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ともき2!$J$3:$J$4</c:f>
              <c:numCache>
                <c:formatCode>0</c:formatCode>
                <c:ptCount val="2"/>
                <c:pt idx="1">
                  <c:v>-8000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19.2872117400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71509971509971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ともき2!$L$3:$L$4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854059609455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ともき2!$M$3:$M$4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502911956149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ともき2!$N$3:$N$4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029689608636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041979010494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ともき2!$P$3:$P$4</c:f>
              <c:numCache>
                <c:formatCode>0.0%</c:formatCode>
                <c:ptCount val="2"/>
                <c:pt idx="1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347270615563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8B0DE7A-C7B0-4B19-A190-5E151FB5F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74062C-75BC-4626-ADEA-C5EF38FD6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0E16E5B-C9CD-43AA-B422-5A9AB3418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6"/>
      <c r="C1" s="157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8">
        <v>0</v>
      </c>
      <c r="C2" s="159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60">
        <v>0</v>
      </c>
      <c r="C3" s="161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62">
        <v>0</v>
      </c>
      <c r="C4" s="163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4">
        <f>IF(B$2=0,0,B$4/B$2)</f>
        <v>0</v>
      </c>
      <c r="C5" s="165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4">
        <f>IF(B$2=0,0,(B$7*1+B$8*2+B$9*3)/B$2)</f>
        <v>0</v>
      </c>
      <c r="C6" s="155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52">
        <v>0</v>
      </c>
      <c r="C28" s="153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50">
        <v>-1000000</v>
      </c>
      <c r="C29" s="151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0"/>
  <sheetViews>
    <sheetView workbookViewId="0"/>
  </sheetViews>
  <sheetFormatPr defaultColWidth="9" defaultRowHeight="18" x14ac:dyDescent="0.45"/>
  <cols>
    <col min="1" max="1" width="19.19921875" style="28" customWidth="1"/>
    <col min="2" max="2" width="19.1992187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2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702</v>
      </c>
    </row>
    <row r="2" spans="1:2" x14ac:dyDescent="0.45">
      <c r="A2" t="s">
        <v>161</v>
      </c>
      <c r="B2">
        <v>64</v>
      </c>
    </row>
    <row r="3" spans="1:2" x14ac:dyDescent="0.45">
      <c r="A3" t="s">
        <v>126</v>
      </c>
      <c r="B3">
        <v>145</v>
      </c>
    </row>
    <row r="4" spans="1:2" x14ac:dyDescent="0.45">
      <c r="A4" t="s">
        <v>127</v>
      </c>
      <c r="B4">
        <v>129</v>
      </c>
    </row>
    <row r="5" spans="1:2" x14ac:dyDescent="0.45">
      <c r="A5" t="s">
        <v>172</v>
      </c>
      <c r="B5">
        <v>80</v>
      </c>
    </row>
    <row r="6" spans="1:2" x14ac:dyDescent="0.45">
      <c r="A6" t="s">
        <v>170</v>
      </c>
      <c r="B6">
        <v>95</v>
      </c>
    </row>
    <row r="7" spans="1:2" x14ac:dyDescent="0.45">
      <c r="A7" t="s">
        <v>171</v>
      </c>
      <c r="B7">
        <v>107</v>
      </c>
    </row>
    <row r="8" spans="1:2" x14ac:dyDescent="0.45">
      <c r="A8" t="s">
        <v>197</v>
      </c>
      <c r="B8">
        <v>48</v>
      </c>
    </row>
    <row r="9" spans="1:2" x14ac:dyDescent="0.45">
      <c r="A9" t="s">
        <v>196</v>
      </c>
      <c r="B9">
        <v>24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4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8" t="s">
        <v>6</v>
      </c>
      <c r="C1" s="169"/>
      <c r="D1" s="168" t="s">
        <v>7</v>
      </c>
      <c r="E1" s="169"/>
      <c r="F1" s="168" t="s">
        <v>15</v>
      </c>
      <c r="G1" s="169"/>
      <c r="H1" s="168" t="s">
        <v>14</v>
      </c>
      <c r="I1" s="169"/>
      <c r="J1" s="168" t="s">
        <v>155</v>
      </c>
      <c r="K1" s="169"/>
      <c r="L1" s="168" t="s">
        <v>145</v>
      </c>
      <c r="M1" s="169"/>
      <c r="N1" s="168" t="s">
        <v>146</v>
      </c>
      <c r="O1" s="169"/>
      <c r="P1" s="168" t="s">
        <v>5</v>
      </c>
      <c r="Q1" s="169"/>
      <c r="R1" s="168" t="s">
        <v>16</v>
      </c>
      <c r="S1" s="169"/>
      <c r="T1" s="168" t="s">
        <v>17</v>
      </c>
      <c r="U1" s="169"/>
      <c r="V1" s="168" t="s">
        <v>122</v>
      </c>
      <c r="W1" s="169"/>
      <c r="X1" s="168" t="s">
        <v>119</v>
      </c>
      <c r="Y1" s="169"/>
      <c r="Z1" s="168" t="s">
        <v>125</v>
      </c>
      <c r="AA1" s="169"/>
      <c r="AB1" s="168" t="s">
        <v>147</v>
      </c>
      <c r="AC1" s="169"/>
      <c r="AD1" s="168" t="s">
        <v>140</v>
      </c>
      <c r="AE1" s="169"/>
      <c r="AF1" s="168" t="s">
        <v>192</v>
      </c>
      <c r="AG1" s="169"/>
    </row>
    <row r="2" spans="1:33" x14ac:dyDescent="0.45">
      <c r="A2" s="68" t="s">
        <v>154</v>
      </c>
      <c r="B2" s="170"/>
      <c r="C2" s="171"/>
      <c r="D2" s="170"/>
      <c r="E2" s="171"/>
      <c r="F2" s="166">
        <v>0.98977806461594187</v>
      </c>
      <c r="G2" s="167"/>
      <c r="H2" s="166">
        <v>0.8519460792332878</v>
      </c>
      <c r="I2" s="167"/>
      <c r="J2" s="166">
        <v>0.88639409071047581</v>
      </c>
      <c r="K2" s="167"/>
      <c r="L2" s="166">
        <v>0.82667655488975444</v>
      </c>
      <c r="M2" s="167"/>
      <c r="N2" s="166">
        <v>0.53948816663607801</v>
      </c>
      <c r="O2" s="167"/>
      <c r="P2" s="166">
        <v>0.53922845585946844</v>
      </c>
      <c r="Q2" s="167"/>
      <c r="R2" s="166">
        <v>1.432053899296337E-2</v>
      </c>
      <c r="S2" s="167"/>
      <c r="T2" s="166">
        <v>0.50258626947444707</v>
      </c>
      <c r="U2" s="167"/>
      <c r="V2" s="166">
        <v>0.67779411704022996</v>
      </c>
      <c r="W2" s="167"/>
      <c r="X2" s="166">
        <v>-0.12103007200819497</v>
      </c>
      <c r="Y2" s="167"/>
      <c r="Z2" s="166">
        <v>0.46519392732155596</v>
      </c>
      <c r="AA2" s="167"/>
      <c r="AB2" s="166">
        <v>0.20036902891437039</v>
      </c>
      <c r="AC2" s="167"/>
      <c r="AD2" s="166">
        <v>0.26679534271245792</v>
      </c>
      <c r="AE2" s="167"/>
      <c r="AF2" s="166">
        <v>0.83348648746132614</v>
      </c>
      <c r="AG2" s="167"/>
    </row>
    <row r="3" spans="1:33" x14ac:dyDescent="0.45">
      <c r="A3" s="70">
        <v>1</v>
      </c>
      <c r="B3" s="71" t="s">
        <v>126</v>
      </c>
      <c r="C3" s="72">
        <v>1175.0000000000002</v>
      </c>
      <c r="D3" s="73" t="s">
        <v>274</v>
      </c>
      <c r="E3" s="92">
        <v>17.600000000000001</v>
      </c>
      <c r="F3" s="73" t="s">
        <v>274</v>
      </c>
      <c r="G3" s="74">
        <v>1</v>
      </c>
      <c r="H3" s="73" t="s">
        <v>274</v>
      </c>
      <c r="I3" s="75">
        <v>1</v>
      </c>
      <c r="J3" s="73" t="s">
        <v>203</v>
      </c>
      <c r="K3" s="75">
        <v>0</v>
      </c>
      <c r="L3" s="73" t="s">
        <v>274</v>
      </c>
      <c r="M3" s="76">
        <v>0.66666666666666663</v>
      </c>
      <c r="N3" s="73" t="s">
        <v>203</v>
      </c>
      <c r="O3" s="76">
        <v>6.6666666666666666E-2</v>
      </c>
      <c r="P3" s="73" t="s">
        <v>170</v>
      </c>
      <c r="Q3" s="77">
        <v>10903.271028037383</v>
      </c>
      <c r="R3" s="73" t="s">
        <v>196</v>
      </c>
      <c r="S3" s="77">
        <v>-6836.8421052631575</v>
      </c>
      <c r="T3" s="73" t="s">
        <v>203</v>
      </c>
      <c r="U3" s="75">
        <v>0</v>
      </c>
      <c r="V3" s="73" t="s">
        <v>274</v>
      </c>
      <c r="W3" s="76">
        <v>0.66666666666666663</v>
      </c>
      <c r="X3" s="73" t="s">
        <v>228</v>
      </c>
      <c r="Y3" s="76">
        <v>0.35483870967741937</v>
      </c>
      <c r="Z3" s="73" t="s">
        <v>274</v>
      </c>
      <c r="AA3" s="76">
        <v>1</v>
      </c>
      <c r="AB3" s="73" t="s">
        <v>203</v>
      </c>
      <c r="AC3" s="76">
        <v>1</v>
      </c>
      <c r="AD3" s="73" t="s">
        <v>196</v>
      </c>
      <c r="AE3" s="76">
        <v>0.56451612903225812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335.30000000000013</v>
      </c>
      <c r="D4" s="81" t="s">
        <v>203</v>
      </c>
      <c r="E4" s="93">
        <v>13.1</v>
      </c>
      <c r="F4" s="81" t="s">
        <v>203</v>
      </c>
      <c r="G4" s="82">
        <v>1.5</v>
      </c>
      <c r="H4" s="81" t="s">
        <v>203</v>
      </c>
      <c r="I4" s="83">
        <v>0.5</v>
      </c>
      <c r="J4" s="81" t="s">
        <v>274</v>
      </c>
      <c r="K4" s="83">
        <v>0</v>
      </c>
      <c r="L4" s="81" t="s">
        <v>203</v>
      </c>
      <c r="M4" s="84">
        <v>0.46666666666666667</v>
      </c>
      <c r="N4" s="81" t="s">
        <v>126</v>
      </c>
      <c r="O4" s="84">
        <v>0.13153456998313659</v>
      </c>
      <c r="P4" s="81" t="s">
        <v>171</v>
      </c>
      <c r="Q4" s="85">
        <v>8514.3426294820711</v>
      </c>
      <c r="R4" s="81" t="s">
        <v>172</v>
      </c>
      <c r="S4" s="85">
        <v>-7549.6124031007748</v>
      </c>
      <c r="T4" s="81" t="s">
        <v>274</v>
      </c>
      <c r="U4" s="83">
        <v>0</v>
      </c>
      <c r="V4" s="81" t="s">
        <v>170</v>
      </c>
      <c r="W4" s="84">
        <v>0.31716906946264745</v>
      </c>
      <c r="X4" s="81" t="s">
        <v>203</v>
      </c>
      <c r="Y4" s="84">
        <v>0.33333333333333331</v>
      </c>
      <c r="Z4" s="81" t="s">
        <v>126</v>
      </c>
      <c r="AA4" s="84">
        <v>0.60559006211180122</v>
      </c>
      <c r="AB4" s="81" t="s">
        <v>126</v>
      </c>
      <c r="AC4" s="84">
        <v>0.47547169811320755</v>
      </c>
      <c r="AD4" s="81" t="s">
        <v>170</v>
      </c>
      <c r="AE4" s="84">
        <v>0.52336448598130836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171</v>
      </c>
      <c r="C5" s="80">
        <v>106.29999999999998</v>
      </c>
      <c r="D5" s="81" t="s">
        <v>126</v>
      </c>
      <c r="E5" s="93">
        <v>8.1034482758620712</v>
      </c>
      <c r="F5" s="81" t="s">
        <v>126</v>
      </c>
      <c r="G5" s="82">
        <v>1.806896551724138</v>
      </c>
      <c r="H5" s="81" t="s">
        <v>126</v>
      </c>
      <c r="I5" s="83">
        <v>0.45517241379310347</v>
      </c>
      <c r="J5" s="81" t="s">
        <v>126</v>
      </c>
      <c r="K5" s="83">
        <v>0.2620689655172414</v>
      </c>
      <c r="L5" s="81" t="s">
        <v>126</v>
      </c>
      <c r="M5" s="84">
        <v>0.34148397976391232</v>
      </c>
      <c r="N5" s="81" t="s">
        <v>171</v>
      </c>
      <c r="O5" s="84">
        <v>0.1351981351981352</v>
      </c>
      <c r="P5" s="81" t="s">
        <v>141</v>
      </c>
      <c r="Q5" s="85">
        <v>8462.1370499419281</v>
      </c>
      <c r="R5" s="81" t="s">
        <v>171</v>
      </c>
      <c r="S5" s="85">
        <v>-7597.4137931034484</v>
      </c>
      <c r="T5" s="81" t="s">
        <v>126</v>
      </c>
      <c r="U5" s="83">
        <v>4.8275862068965517E-2</v>
      </c>
      <c r="V5" s="81" t="s">
        <v>172</v>
      </c>
      <c r="W5" s="84">
        <v>0.28193832599118945</v>
      </c>
      <c r="X5" s="81" t="s">
        <v>127</v>
      </c>
      <c r="Y5" s="84">
        <v>0.31082331174838113</v>
      </c>
      <c r="Z5" s="81" t="s">
        <v>196</v>
      </c>
      <c r="AA5" s="84">
        <v>0.5901639344262295</v>
      </c>
      <c r="AB5" s="81" t="s">
        <v>171</v>
      </c>
      <c r="AC5" s="84">
        <v>0.43548387096774194</v>
      </c>
      <c r="AD5" s="81" t="s">
        <v>172</v>
      </c>
      <c r="AE5" s="84">
        <v>0.45549738219895286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3.5294736842105277</v>
      </c>
      <c r="F6" s="81" t="s">
        <v>170</v>
      </c>
      <c r="G6" s="82">
        <v>1.9368421052631579</v>
      </c>
      <c r="H6" s="81" t="s">
        <v>228</v>
      </c>
      <c r="I6" s="83">
        <v>0.42857142857142855</v>
      </c>
      <c r="J6" s="81" t="s">
        <v>171</v>
      </c>
      <c r="K6" s="83">
        <v>0.27102803738317754</v>
      </c>
      <c r="L6" s="81" t="s">
        <v>127</v>
      </c>
      <c r="M6" s="84">
        <v>0.30064754856614245</v>
      </c>
      <c r="N6" s="81" t="s">
        <v>161</v>
      </c>
      <c r="O6" s="84">
        <v>0.16225749559082892</v>
      </c>
      <c r="P6" s="81" t="s">
        <v>196</v>
      </c>
      <c r="Q6" s="85">
        <v>8456.4516129032254</v>
      </c>
      <c r="R6" s="81" t="s">
        <v>161</v>
      </c>
      <c r="S6" s="85">
        <v>-7669.565217391304</v>
      </c>
      <c r="T6" s="81" t="s">
        <v>171</v>
      </c>
      <c r="U6" s="83">
        <v>7.476635514018691E-2</v>
      </c>
      <c r="V6" s="81" t="s">
        <v>171</v>
      </c>
      <c r="W6" s="84">
        <v>0.27272727272727271</v>
      </c>
      <c r="X6" s="81" t="s">
        <v>161</v>
      </c>
      <c r="Y6" s="84">
        <v>0.24162257495590828</v>
      </c>
      <c r="Z6" s="81" t="s">
        <v>171</v>
      </c>
      <c r="AA6" s="84">
        <v>0.57692307692307687</v>
      </c>
      <c r="AB6" s="81" t="s">
        <v>197</v>
      </c>
      <c r="AC6" s="84">
        <v>0.43529411764705883</v>
      </c>
      <c r="AD6" s="81" t="s">
        <v>171</v>
      </c>
      <c r="AE6" s="84">
        <v>0.44621513944223107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24.699999999999804</v>
      </c>
      <c r="D7" s="81" t="s">
        <v>171</v>
      </c>
      <c r="E7" s="93">
        <v>0.99345794392523346</v>
      </c>
      <c r="F7" s="81" t="s">
        <v>127</v>
      </c>
      <c r="G7" s="82">
        <v>1.9534883720930232</v>
      </c>
      <c r="H7" s="81" t="s">
        <v>170</v>
      </c>
      <c r="I7" s="83">
        <v>0.38947368421052631</v>
      </c>
      <c r="J7" s="81" t="s">
        <v>127</v>
      </c>
      <c r="K7" s="83">
        <v>0.29457364341085274</v>
      </c>
      <c r="L7" s="81" t="s">
        <v>141</v>
      </c>
      <c r="M7" s="84">
        <v>0.29496402877697842</v>
      </c>
      <c r="N7" s="81" t="s">
        <v>141</v>
      </c>
      <c r="O7" s="84">
        <v>0.16341212744090441</v>
      </c>
      <c r="P7" s="81" t="s">
        <v>127</v>
      </c>
      <c r="Q7" s="85">
        <v>8425.8461538461543</v>
      </c>
      <c r="R7" s="81" t="s">
        <v>126</v>
      </c>
      <c r="S7" s="85">
        <v>-7669.8717948717949</v>
      </c>
      <c r="T7" s="81" t="s">
        <v>172</v>
      </c>
      <c r="U7" s="83">
        <v>7.4999999999999997E-2</v>
      </c>
      <c r="V7" s="81" t="s">
        <v>126</v>
      </c>
      <c r="W7" s="84">
        <v>0.27150084317032042</v>
      </c>
      <c r="X7" s="81" t="s">
        <v>141</v>
      </c>
      <c r="Y7" s="84">
        <v>0.22850291195614936</v>
      </c>
      <c r="Z7" s="81" t="s">
        <v>172</v>
      </c>
      <c r="AA7" s="84">
        <v>0.56770833333333337</v>
      </c>
      <c r="AB7" s="81" t="s">
        <v>141</v>
      </c>
      <c r="AC7" s="84">
        <v>0.41604197901049478</v>
      </c>
      <c r="AD7" s="81" t="s">
        <v>197</v>
      </c>
      <c r="AE7" s="84">
        <v>0.44444444444444442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274</v>
      </c>
      <c r="C8" s="80">
        <v>17.600000000000001</v>
      </c>
      <c r="D8" s="81" t="s">
        <v>127</v>
      </c>
      <c r="E8" s="93">
        <v>0.19147286821705276</v>
      </c>
      <c r="F8" s="81" t="s">
        <v>196</v>
      </c>
      <c r="G8" s="82">
        <v>2</v>
      </c>
      <c r="H8" s="81" t="s">
        <v>196</v>
      </c>
      <c r="I8" s="83">
        <v>0.375</v>
      </c>
      <c r="J8" s="81" t="s">
        <v>170</v>
      </c>
      <c r="K8" s="83">
        <v>0.32631578947368423</v>
      </c>
      <c r="L8" s="81" t="s">
        <v>171</v>
      </c>
      <c r="M8" s="84">
        <v>0.29254079254079252</v>
      </c>
      <c r="N8" s="81" t="s">
        <v>196</v>
      </c>
      <c r="O8" s="84">
        <v>0.16593886462882096</v>
      </c>
      <c r="P8" s="81" t="s">
        <v>126</v>
      </c>
      <c r="Q8" s="85">
        <v>8205.6790123456794</v>
      </c>
      <c r="R8" s="81" t="s">
        <v>141</v>
      </c>
      <c r="S8" s="85">
        <v>-7819.287211740042</v>
      </c>
      <c r="T8" s="81" t="s">
        <v>161</v>
      </c>
      <c r="U8" s="83">
        <v>7.8125E-2</v>
      </c>
      <c r="V8" s="81" t="s">
        <v>203</v>
      </c>
      <c r="W8" s="84">
        <v>0.26666666666666666</v>
      </c>
      <c r="X8" s="81" t="s">
        <v>126</v>
      </c>
      <c r="Y8" s="84">
        <v>0.22344013490725126</v>
      </c>
      <c r="Z8" s="81" t="s">
        <v>141</v>
      </c>
      <c r="AA8" s="84">
        <v>0.55802968960863697</v>
      </c>
      <c r="AB8" s="81" t="s">
        <v>172</v>
      </c>
      <c r="AC8" s="84">
        <v>0.40579710144927539</v>
      </c>
      <c r="AD8" s="81" t="s">
        <v>141</v>
      </c>
      <c r="AE8" s="84">
        <v>0.44134727061556328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2.1999999999999957</v>
      </c>
      <c r="D9" s="81" t="s">
        <v>196</v>
      </c>
      <c r="E9" s="93">
        <v>9.1666666666666494E-2</v>
      </c>
      <c r="F9" s="81" t="s">
        <v>141</v>
      </c>
      <c r="G9" s="82">
        <v>2</v>
      </c>
      <c r="H9" s="81" t="s">
        <v>127</v>
      </c>
      <c r="I9" s="83">
        <v>0.34108527131782945</v>
      </c>
      <c r="J9" s="81" t="s">
        <v>141</v>
      </c>
      <c r="K9" s="83">
        <v>0.33333333333333331</v>
      </c>
      <c r="L9" s="81" t="s">
        <v>170</v>
      </c>
      <c r="M9" s="84">
        <v>0.28047182175622543</v>
      </c>
      <c r="N9" s="81" t="s">
        <v>274</v>
      </c>
      <c r="O9" s="84">
        <v>0.16666666666666666</v>
      </c>
      <c r="P9" s="81" t="s">
        <v>197</v>
      </c>
      <c r="Q9" s="85">
        <v>8000</v>
      </c>
      <c r="R9" s="81" t="s">
        <v>127</v>
      </c>
      <c r="S9" s="85">
        <v>-7975.3694581280788</v>
      </c>
      <c r="T9" s="81" t="s">
        <v>196</v>
      </c>
      <c r="U9" s="83">
        <v>8.3333333333333329E-2</v>
      </c>
      <c r="V9" s="81" t="s">
        <v>196</v>
      </c>
      <c r="W9" s="84">
        <v>0.26637554585152839</v>
      </c>
      <c r="X9" s="81" t="s">
        <v>197</v>
      </c>
      <c r="Y9" s="84">
        <v>0.21794871794871795</v>
      </c>
      <c r="Z9" s="81" t="s">
        <v>170</v>
      </c>
      <c r="AA9" s="84">
        <v>0.55371900826446285</v>
      </c>
      <c r="AB9" s="81" t="s">
        <v>170</v>
      </c>
      <c r="AC9" s="84">
        <v>0.4</v>
      </c>
      <c r="AD9" s="81" t="s">
        <v>126</v>
      </c>
      <c r="AE9" s="84">
        <v>0.42222222222222222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141</v>
      </c>
      <c r="C10" s="80">
        <v>-4.2632564145606011E-14</v>
      </c>
      <c r="D10" s="81" t="s">
        <v>141</v>
      </c>
      <c r="E10" s="93">
        <v>-6.0730148355564125E-17</v>
      </c>
      <c r="F10" s="81" t="s">
        <v>171</v>
      </c>
      <c r="G10" s="82">
        <v>2.0093457943925235</v>
      </c>
      <c r="H10" s="81" t="s">
        <v>141</v>
      </c>
      <c r="I10" s="83">
        <v>0.33333333333333331</v>
      </c>
      <c r="J10" s="81" t="s">
        <v>172</v>
      </c>
      <c r="K10" s="83">
        <v>0.375</v>
      </c>
      <c r="L10" s="81" t="s">
        <v>172</v>
      </c>
      <c r="M10" s="84">
        <v>0.28046989720998533</v>
      </c>
      <c r="N10" s="81" t="s">
        <v>170</v>
      </c>
      <c r="O10" s="84">
        <v>0.17693315858453473</v>
      </c>
      <c r="P10" s="81" t="s">
        <v>172</v>
      </c>
      <c r="Q10" s="85">
        <v>7791.0994764397901</v>
      </c>
      <c r="R10" s="81" t="s">
        <v>203</v>
      </c>
      <c r="S10" s="85">
        <v>-8000</v>
      </c>
      <c r="T10" s="81" t="s">
        <v>141</v>
      </c>
      <c r="U10" s="83">
        <v>9.9715099715099717E-2</v>
      </c>
      <c r="V10" s="81" t="s">
        <v>141</v>
      </c>
      <c r="W10" s="84">
        <v>0.25385405960945528</v>
      </c>
      <c r="X10" s="81" t="s">
        <v>171</v>
      </c>
      <c r="Y10" s="84">
        <v>0.21678321678321677</v>
      </c>
      <c r="Z10" s="81" t="s">
        <v>197</v>
      </c>
      <c r="AA10" s="84">
        <v>0.55128205128205132</v>
      </c>
      <c r="AB10" s="81" t="s">
        <v>161</v>
      </c>
      <c r="AC10" s="84">
        <v>0.39416058394160586</v>
      </c>
      <c r="AD10" s="81" t="s">
        <v>127</v>
      </c>
      <c r="AE10" s="84">
        <v>0.41230769230769232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228</v>
      </c>
      <c r="C11" s="80">
        <v>-104.80000000000001</v>
      </c>
      <c r="D11" s="81" t="s">
        <v>172</v>
      </c>
      <c r="E11" s="93">
        <v>-6.0825000000000005</v>
      </c>
      <c r="F11" s="81" t="s">
        <v>228</v>
      </c>
      <c r="G11" s="82">
        <v>2.1428571428571428</v>
      </c>
      <c r="H11" s="81" t="s">
        <v>161</v>
      </c>
      <c r="I11" s="83">
        <v>0.296875</v>
      </c>
      <c r="J11" s="81" t="s">
        <v>196</v>
      </c>
      <c r="K11" s="83">
        <v>0.375</v>
      </c>
      <c r="L11" s="81" t="s">
        <v>196</v>
      </c>
      <c r="M11" s="84">
        <v>0.27074235807860264</v>
      </c>
      <c r="N11" s="81" t="s">
        <v>197</v>
      </c>
      <c r="O11" s="84">
        <v>0.18205128205128204</v>
      </c>
      <c r="P11" s="81" t="s">
        <v>228</v>
      </c>
      <c r="Q11" s="85">
        <v>7473.333333333333</v>
      </c>
      <c r="R11" s="81" t="s">
        <v>274</v>
      </c>
      <c r="S11" s="85">
        <v>-8000</v>
      </c>
      <c r="T11" s="81" t="s">
        <v>170</v>
      </c>
      <c r="U11" s="83">
        <v>0.11578947368421053</v>
      </c>
      <c r="V11" s="81" t="s">
        <v>228</v>
      </c>
      <c r="W11" s="84">
        <v>0.24193548387096775</v>
      </c>
      <c r="X11" s="81" t="s">
        <v>172</v>
      </c>
      <c r="Y11" s="84">
        <v>0.20264317180616739</v>
      </c>
      <c r="Z11" s="81" t="s">
        <v>228</v>
      </c>
      <c r="AA11" s="84">
        <v>0.53333333333333333</v>
      </c>
      <c r="AB11" s="81" t="s">
        <v>127</v>
      </c>
      <c r="AC11" s="84">
        <v>0.38095238095238093</v>
      </c>
      <c r="AD11" s="81" t="s">
        <v>161</v>
      </c>
      <c r="AE11" s="84">
        <v>0.3825503355704698</v>
      </c>
      <c r="AF11" s="81" t="s">
        <v>172</v>
      </c>
      <c r="AG11" s="88">
        <v>69500</v>
      </c>
    </row>
    <row r="12" spans="1:33" x14ac:dyDescent="0.45">
      <c r="A12" s="78">
        <v>10</v>
      </c>
      <c r="B12" s="79" t="s">
        <v>172</v>
      </c>
      <c r="C12" s="80">
        <v>-486.6</v>
      </c>
      <c r="D12" s="81" t="s">
        <v>161</v>
      </c>
      <c r="E12" s="93">
        <v>-8.6078125000000032</v>
      </c>
      <c r="F12" s="81" t="s">
        <v>172</v>
      </c>
      <c r="G12" s="82">
        <v>2.1625000000000001</v>
      </c>
      <c r="H12" s="81" t="s">
        <v>171</v>
      </c>
      <c r="I12" s="83">
        <v>0.26168224299065418</v>
      </c>
      <c r="J12" s="81" t="s">
        <v>197</v>
      </c>
      <c r="K12" s="83">
        <v>0.47916666666666669</v>
      </c>
      <c r="L12" s="81" t="s">
        <v>161</v>
      </c>
      <c r="M12" s="84">
        <v>0.26278659611992944</v>
      </c>
      <c r="N12" s="81" t="s">
        <v>127</v>
      </c>
      <c r="O12" s="84">
        <v>0.1877890841813136</v>
      </c>
      <c r="P12" s="81" t="s">
        <v>203</v>
      </c>
      <c r="Q12" s="85">
        <v>7385.7142857142853</v>
      </c>
      <c r="R12" s="81" t="s">
        <v>197</v>
      </c>
      <c r="S12" s="85">
        <v>-8015.4929577464791</v>
      </c>
      <c r="T12" s="81" t="s">
        <v>127</v>
      </c>
      <c r="U12" s="83">
        <v>0.13953488372093023</v>
      </c>
      <c r="V12" s="81" t="s">
        <v>127</v>
      </c>
      <c r="W12" s="84">
        <v>0.2294172062904718</v>
      </c>
      <c r="X12" s="81" t="s">
        <v>170</v>
      </c>
      <c r="Y12" s="84">
        <v>0.16382699868938402</v>
      </c>
      <c r="Z12" s="81" t="s">
        <v>203</v>
      </c>
      <c r="AA12" s="84">
        <v>0.5</v>
      </c>
      <c r="AB12" s="81" t="s">
        <v>196</v>
      </c>
      <c r="AC12" s="84">
        <v>0.34285714285714286</v>
      </c>
      <c r="AD12" s="81" t="s">
        <v>228</v>
      </c>
      <c r="AE12" s="84">
        <v>0.33333333333333331</v>
      </c>
      <c r="AF12" s="81" t="s">
        <v>228</v>
      </c>
      <c r="AG12" s="88">
        <v>59500</v>
      </c>
    </row>
    <row r="13" spans="1:33" x14ac:dyDescent="0.45">
      <c r="A13" s="78">
        <v>11</v>
      </c>
      <c r="B13" s="79" t="s">
        <v>197</v>
      </c>
      <c r="C13" s="80">
        <v>-545.00000000000011</v>
      </c>
      <c r="D13" s="81" t="s">
        <v>197</v>
      </c>
      <c r="E13" s="93">
        <v>-11.35416666666667</v>
      </c>
      <c r="F13" s="81" t="s">
        <v>161</v>
      </c>
      <c r="G13" s="82">
        <v>2.203125</v>
      </c>
      <c r="H13" s="81" t="s">
        <v>172</v>
      </c>
      <c r="I13" s="83">
        <v>0.21249999999999999</v>
      </c>
      <c r="J13" s="81" t="s">
        <v>161</v>
      </c>
      <c r="K13" s="83">
        <v>0.5</v>
      </c>
      <c r="L13" s="81" t="s">
        <v>197</v>
      </c>
      <c r="M13" s="84">
        <v>0.25384615384615383</v>
      </c>
      <c r="N13" s="81" t="s">
        <v>172</v>
      </c>
      <c r="O13" s="84">
        <v>0.1894273127753304</v>
      </c>
      <c r="P13" s="81" t="s">
        <v>161</v>
      </c>
      <c r="Q13" s="85">
        <v>7086.5771812080538</v>
      </c>
      <c r="R13" s="81" t="s">
        <v>170</v>
      </c>
      <c r="S13" s="85">
        <v>-8366.6666666666661</v>
      </c>
      <c r="T13" s="81" t="s">
        <v>197</v>
      </c>
      <c r="U13" s="83">
        <v>0.1875</v>
      </c>
      <c r="V13" s="81" t="s">
        <v>197</v>
      </c>
      <c r="W13" s="84">
        <v>0.2</v>
      </c>
      <c r="X13" s="81" t="s">
        <v>196</v>
      </c>
      <c r="Y13" s="84">
        <v>0.15283842794759825</v>
      </c>
      <c r="Z13" s="81" t="s">
        <v>127</v>
      </c>
      <c r="AA13" s="84">
        <v>0.48790322580645162</v>
      </c>
      <c r="AB13" s="81" t="s">
        <v>228</v>
      </c>
      <c r="AC13" s="84">
        <v>0.27272727272727271</v>
      </c>
      <c r="AD13" s="81" t="s">
        <v>203</v>
      </c>
      <c r="AE13" s="84">
        <v>0.2857142857142857</v>
      </c>
      <c r="AF13" s="81" t="s">
        <v>203</v>
      </c>
      <c r="AG13" s="88">
        <v>52800</v>
      </c>
    </row>
    <row r="14" spans="1:33" x14ac:dyDescent="0.45">
      <c r="A14" s="78">
        <v>12</v>
      </c>
      <c r="B14" s="79" t="s">
        <v>161</v>
      </c>
      <c r="C14" s="80">
        <v>-550.9000000000002</v>
      </c>
      <c r="D14" s="81" t="s">
        <v>228</v>
      </c>
      <c r="E14" s="93">
        <v>-14.971428571428573</v>
      </c>
      <c r="F14" s="81" t="s">
        <v>197</v>
      </c>
      <c r="G14" s="82">
        <v>2.2916666666666665</v>
      </c>
      <c r="H14" s="81" t="s">
        <v>197</v>
      </c>
      <c r="I14" s="83">
        <v>0.1875</v>
      </c>
      <c r="J14" s="81" t="s">
        <v>228</v>
      </c>
      <c r="K14" s="83">
        <v>0.5714285714285714</v>
      </c>
      <c r="L14" s="81" t="s">
        <v>228</v>
      </c>
      <c r="M14" s="84">
        <v>0.24193548387096775</v>
      </c>
      <c r="N14" s="81" t="s">
        <v>228</v>
      </c>
      <c r="O14" s="84">
        <v>0.19354838709677419</v>
      </c>
      <c r="P14" s="81" t="s">
        <v>274</v>
      </c>
      <c r="Q14" s="85">
        <v>3900</v>
      </c>
      <c r="R14" s="81" t="s">
        <v>228</v>
      </c>
      <c r="S14" s="85">
        <v>-9075</v>
      </c>
      <c r="T14" s="81" t="s">
        <v>228</v>
      </c>
      <c r="U14" s="83">
        <v>0.5714285714285714</v>
      </c>
      <c r="V14" s="81" t="s">
        <v>161</v>
      </c>
      <c r="W14" s="84">
        <v>0.14462081128747795</v>
      </c>
      <c r="X14" s="81" t="s">
        <v>274</v>
      </c>
      <c r="Y14" s="84">
        <v>0</v>
      </c>
      <c r="Z14" s="81" t="s">
        <v>161</v>
      </c>
      <c r="AA14" s="84">
        <v>0.48780487804878048</v>
      </c>
      <c r="AB14" s="81" t="s">
        <v>274</v>
      </c>
      <c r="AC14" s="84">
        <v>0</v>
      </c>
      <c r="AD14" s="81" t="s">
        <v>274</v>
      </c>
      <c r="AE14" s="84">
        <v>0.25</v>
      </c>
      <c r="AF14" s="81" t="s">
        <v>274</v>
      </c>
      <c r="AG14" s="88">
        <v>42600</v>
      </c>
    </row>
  </sheetData>
  <sortState xmlns:xlrd2="http://schemas.microsoft.com/office/spreadsheetml/2017/richdata2" ref="AF3:AG42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4557-8680-4C68-9C14-24ABF1194E04}">
  <sheetPr codeName="Sheet4"/>
  <dimension ref="A1:Q70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141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702</v>
      </c>
      <c r="C2" s="159"/>
      <c r="E2" s="58" t="s">
        <v>66</v>
      </c>
      <c r="F2" s="55" t="s">
        <v>22</v>
      </c>
      <c r="G2" s="43">
        <v>1316</v>
      </c>
      <c r="H2" s="128">
        <f>IF(B$15=0,0,G2/B$15)</f>
        <v>0.76422764227642281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-25.751072961373392</v>
      </c>
      <c r="P2" s="114">
        <v>699</v>
      </c>
      <c r="Q2" s="98">
        <v>-18000</v>
      </c>
    </row>
    <row r="3" spans="1:17" x14ac:dyDescent="0.45">
      <c r="A3" s="51" t="s">
        <v>8</v>
      </c>
      <c r="B3" s="160">
        <v>5838</v>
      </c>
      <c r="C3" s="161"/>
      <c r="E3" s="59" t="s">
        <v>72</v>
      </c>
      <c r="F3" s="56" t="s">
        <v>27</v>
      </c>
      <c r="G3" s="44">
        <v>930</v>
      </c>
      <c r="H3" s="129">
        <f>IF(B$15=0,0,G3/B$15)</f>
        <v>0.54006968641114983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10.189228529839884</v>
      </c>
      <c r="P3" s="115">
        <v>687</v>
      </c>
      <c r="Q3" s="99">
        <v>7000</v>
      </c>
    </row>
    <row r="4" spans="1:17" x14ac:dyDescent="0.45">
      <c r="A4" s="51" t="s">
        <v>6</v>
      </c>
      <c r="B4" s="162">
        <v>-4.2632564145606011E-14</v>
      </c>
      <c r="C4" s="163"/>
      <c r="E4" s="59" t="s">
        <v>64</v>
      </c>
      <c r="F4" s="56" t="s">
        <v>20</v>
      </c>
      <c r="G4" s="44">
        <v>795</v>
      </c>
      <c r="H4" s="129">
        <f>IF(B$15=0,0,G4/B$15)</f>
        <v>0.4616724738675958</v>
      </c>
      <c r="I4" s="90">
        <v>7</v>
      </c>
      <c r="K4" s="36">
        <v>2</v>
      </c>
      <c r="L4" s="95">
        <v>45.6</v>
      </c>
      <c r="N4" s="111" t="s">
        <v>132</v>
      </c>
      <c r="O4" s="118">
        <f t="shared" si="0"/>
        <v>-10.852713178294573</v>
      </c>
      <c r="P4" s="115">
        <v>645</v>
      </c>
      <c r="Q4" s="99">
        <v>-7000</v>
      </c>
    </row>
    <row r="5" spans="1:17" x14ac:dyDescent="0.45">
      <c r="A5" s="51" t="s">
        <v>7</v>
      </c>
      <c r="B5" s="164">
        <f>IF(B$2=0,0,B$4/B$2)</f>
        <v>-6.0730148355564125E-17</v>
      </c>
      <c r="C5" s="165"/>
      <c r="E5" s="59" t="s">
        <v>166</v>
      </c>
      <c r="F5" s="56" t="s">
        <v>167</v>
      </c>
      <c r="G5" s="44">
        <v>690</v>
      </c>
      <c r="H5" s="129">
        <f>IF(B$15=0,0,G5/B$15)</f>
        <v>0.40069686411149824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9.9009900990099009</v>
      </c>
      <c r="P5" s="115">
        <v>606</v>
      </c>
      <c r="Q5" s="99">
        <v>6000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68</v>
      </c>
      <c r="F6" s="56" t="s">
        <v>12</v>
      </c>
      <c r="G6" s="44">
        <v>536</v>
      </c>
      <c r="H6" s="129">
        <f>IF(B$15=0,0,G6/B$15)</f>
        <v>0.31126596980255516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9.0090090090090094</v>
      </c>
      <c r="P6" s="115">
        <v>555</v>
      </c>
      <c r="Q6" s="99">
        <v>5000</v>
      </c>
    </row>
    <row r="7" spans="1:17" x14ac:dyDescent="0.45">
      <c r="A7" s="51" t="s">
        <v>2</v>
      </c>
      <c r="B7" s="44">
        <v>234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489</v>
      </c>
      <c r="H7" s="129">
        <f>IF(B$15=0,0,G7/B$15)</f>
        <v>0.28397212543554007</v>
      </c>
      <c r="I7" s="90">
        <v>5</v>
      </c>
      <c r="K7" s="36">
        <v>5</v>
      </c>
      <c r="L7" s="95">
        <v>-11.299999999999997</v>
      </c>
      <c r="N7" s="112" t="s">
        <v>135</v>
      </c>
      <c r="O7" s="119">
        <f t="shared" si="0"/>
        <v>12.903225806451612</v>
      </c>
      <c r="P7" s="116">
        <v>465</v>
      </c>
      <c r="Q7" s="100">
        <v>6000</v>
      </c>
    </row>
    <row r="8" spans="1:17" x14ac:dyDescent="0.45">
      <c r="A8" s="51" t="s">
        <v>3</v>
      </c>
      <c r="B8" s="44">
        <v>234</v>
      </c>
      <c r="C8" s="37">
        <f t="shared" si="1"/>
        <v>0.33333333333333331</v>
      </c>
      <c r="E8" s="59" t="s">
        <v>69</v>
      </c>
      <c r="F8" s="56" t="s">
        <v>24</v>
      </c>
      <c r="G8" s="44">
        <v>251</v>
      </c>
      <c r="H8" s="129">
        <f>IF(B$15=0,0,G8/B$15)</f>
        <v>0.14576074332171893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234</v>
      </c>
      <c r="C9" s="38">
        <f t="shared" si="1"/>
        <v>0.33333333333333331</v>
      </c>
      <c r="E9" s="59" t="s">
        <v>89</v>
      </c>
      <c r="F9" s="56" t="s">
        <v>44</v>
      </c>
      <c r="G9" s="44">
        <v>229</v>
      </c>
      <c r="H9" s="129">
        <f>IF(B$15=0,0,G9/B$15)</f>
        <v>0.13298490127758419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70</v>
      </c>
      <c r="C10" s="40">
        <f t="shared" si="1"/>
        <v>9.9715099715099717E-2</v>
      </c>
      <c r="E10" s="59" t="s">
        <v>65</v>
      </c>
      <c r="F10" s="56" t="s">
        <v>21</v>
      </c>
      <c r="G10" s="44">
        <v>181</v>
      </c>
      <c r="H10" s="129">
        <f>IF(B$15=0,0,G10/B$15)</f>
        <v>0.10511033681765389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-1.6709401709401714</v>
      </c>
      <c r="P10" s="114">
        <v>234</v>
      </c>
      <c r="Q10" s="102">
        <v>-391.00000000000011</v>
      </c>
    </row>
    <row r="11" spans="1:17" x14ac:dyDescent="0.45">
      <c r="A11" s="54" t="s">
        <v>121</v>
      </c>
      <c r="B11" s="47">
        <v>1482</v>
      </c>
      <c r="C11" s="42">
        <f>IF(B$3=0,0,B11/B$3)</f>
        <v>0.25385405960945528</v>
      </c>
      <c r="E11" s="59" t="s">
        <v>70</v>
      </c>
      <c r="F11" s="56" t="s">
        <v>25</v>
      </c>
      <c r="G11" s="44">
        <v>157</v>
      </c>
      <c r="H11" s="129">
        <f>IF(B$15=0,0,G11/B$15)</f>
        <v>9.1173054587688734E-2</v>
      </c>
      <c r="I11" s="90">
        <v>8</v>
      </c>
      <c r="K11" s="36">
        <v>9</v>
      </c>
      <c r="L11" s="95">
        <v>0</v>
      </c>
      <c r="N11" s="111" t="s">
        <v>158</v>
      </c>
      <c r="O11" s="121">
        <f>IF(P11=0,0,Q11/P11)</f>
        <v>1.0435897435897434</v>
      </c>
      <c r="P11" s="115">
        <v>234</v>
      </c>
      <c r="Q11" s="103">
        <v>244.2</v>
      </c>
    </row>
    <row r="12" spans="1:17" x14ac:dyDescent="0.45">
      <c r="A12" s="51" t="s">
        <v>118</v>
      </c>
      <c r="B12" s="44">
        <v>1334</v>
      </c>
      <c r="C12" s="37">
        <f>IF(B$3=0,0,B12/B$3)</f>
        <v>0.22850291195614936</v>
      </c>
      <c r="E12" s="59" t="s">
        <v>71</v>
      </c>
      <c r="F12" s="56" t="s">
        <v>26</v>
      </c>
      <c r="G12" s="44">
        <v>135</v>
      </c>
      <c r="H12" s="129">
        <f>IF(B$15=0,0,G12/B$15)</f>
        <v>7.8397212543554001E-2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0.62735042735042679</v>
      </c>
      <c r="P12" s="116">
        <v>234</v>
      </c>
      <c r="Q12" s="104">
        <v>146.79999999999987</v>
      </c>
    </row>
    <row r="13" spans="1:17" x14ac:dyDescent="0.45">
      <c r="A13" s="50" t="s">
        <v>123</v>
      </c>
      <c r="B13" s="43">
        <f>B19</f>
        <v>827</v>
      </c>
      <c r="C13" s="35">
        <f>IF(B$11=0,0,B13/B$11)</f>
        <v>0.55802968960863697</v>
      </c>
      <c r="E13" s="59" t="s">
        <v>86</v>
      </c>
      <c r="F13" s="56" t="s">
        <v>41</v>
      </c>
      <c r="G13" s="44">
        <v>89</v>
      </c>
      <c r="H13" s="129">
        <f>IF(B$15=0,0,G13/B$15)</f>
        <v>5.1684088269454122E-2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555</v>
      </c>
      <c r="C14" s="35">
        <f>IF(B$12=0,0,B14/B$12)</f>
        <v>0.41604197901049478</v>
      </c>
      <c r="E14" s="59" t="s">
        <v>83</v>
      </c>
      <c r="F14" s="56" t="s">
        <v>38</v>
      </c>
      <c r="G14" s="44">
        <v>87</v>
      </c>
      <c r="H14" s="129">
        <f>IF(B$15=0,0,G14/B$15)</f>
        <v>5.0522648083623695E-2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1722</v>
      </c>
      <c r="C15" s="35">
        <f>IF(B$3=0,0,B15/B$3)</f>
        <v>0.29496402877697842</v>
      </c>
      <c r="E15" s="59" t="s">
        <v>162</v>
      </c>
      <c r="F15" s="56" t="s">
        <v>163</v>
      </c>
      <c r="G15" s="44">
        <v>43</v>
      </c>
      <c r="H15" s="129">
        <f>IF(B$15=0,0,G15/B$15)</f>
        <v>2.4970963995354239E-2</v>
      </c>
      <c r="I15" s="90">
        <v>3</v>
      </c>
      <c r="K15" s="36">
        <v>13</v>
      </c>
      <c r="L15" s="95">
        <v>-1.7</v>
      </c>
      <c r="N15" s="110" t="s">
        <v>228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5">
      <c r="A16" s="51" t="s">
        <v>13</v>
      </c>
      <c r="B16" s="44">
        <v>954</v>
      </c>
      <c r="C16" s="37">
        <f>IF(B$3=0,0,B16/B$3)</f>
        <v>0.16341212744090441</v>
      </c>
      <c r="E16" s="59" t="s">
        <v>78</v>
      </c>
      <c r="F16" s="56" t="s">
        <v>33</v>
      </c>
      <c r="G16" s="44">
        <v>40</v>
      </c>
      <c r="H16" s="129">
        <f>IF(B$15=0,0,G16/B$15)</f>
        <v>2.3228803716608595E-2</v>
      </c>
      <c r="I16" s="90">
        <v>5</v>
      </c>
      <c r="K16" s="36">
        <v>14</v>
      </c>
      <c r="L16" s="95">
        <v>24.3</v>
      </c>
      <c r="N16" s="111" t="s">
        <v>197</v>
      </c>
      <c r="O16" s="121">
        <f>IF(P16=0,0,Q16/P16)</f>
        <v>17.031249999999982</v>
      </c>
      <c r="P16" s="115">
        <v>96</v>
      </c>
      <c r="Q16" s="103">
        <v>1634.9999999999984</v>
      </c>
    </row>
    <row r="17" spans="1:17" x14ac:dyDescent="0.45">
      <c r="A17" s="51" t="s">
        <v>12</v>
      </c>
      <c r="B17" s="44">
        <v>760</v>
      </c>
      <c r="C17" s="37">
        <f>IF(B$15=0,0,B17/B$15)</f>
        <v>0.44134727061556328</v>
      </c>
      <c r="E17" s="59" t="s">
        <v>81</v>
      </c>
      <c r="F17" s="56" t="s">
        <v>36</v>
      </c>
      <c r="G17" s="44">
        <v>31</v>
      </c>
      <c r="H17" s="129">
        <f>IF(B$15=0,0,G17/B$15)</f>
        <v>1.8002322880371662E-2</v>
      </c>
      <c r="I17" s="90">
        <v>5</v>
      </c>
      <c r="K17" s="36">
        <v>15</v>
      </c>
      <c r="L17" s="95">
        <v>0</v>
      </c>
      <c r="N17" s="111" t="s">
        <v>161</v>
      </c>
      <c r="O17" s="121">
        <f>IF(P17=0,0,Q17/P17)</f>
        <v>12.911718749999999</v>
      </c>
      <c r="P17" s="115">
        <v>128</v>
      </c>
      <c r="Q17" s="103">
        <v>1652.6999999999998</v>
      </c>
    </row>
    <row r="18" spans="1:17" x14ac:dyDescent="0.45">
      <c r="A18" s="51" t="s">
        <v>11</v>
      </c>
      <c r="B18" s="44">
        <v>962</v>
      </c>
      <c r="C18" s="37">
        <f>IF(B$15=0,0,B18/B$15)</f>
        <v>0.55865272938443666</v>
      </c>
      <c r="E18" s="59" t="s">
        <v>91</v>
      </c>
      <c r="F18" s="56" t="s">
        <v>46</v>
      </c>
      <c r="G18" s="44">
        <v>24</v>
      </c>
      <c r="H18" s="129">
        <f>IF(B$15=0,0,G18/B$15)</f>
        <v>1.3937282229965157E-2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9.1237499999999976</v>
      </c>
      <c r="P18" s="115">
        <v>160</v>
      </c>
      <c r="Q18" s="103">
        <v>1459.7999999999997</v>
      </c>
    </row>
    <row r="19" spans="1:17" x14ac:dyDescent="0.45">
      <c r="A19" s="51" t="s">
        <v>195</v>
      </c>
      <c r="B19" s="44">
        <v>827</v>
      </c>
      <c r="C19" s="37">
        <f>IF(B$15=0,0,B19/B$15)</f>
        <v>0.48025551684088269</v>
      </c>
      <c r="E19" s="59" t="s">
        <v>79</v>
      </c>
      <c r="F19" s="56" t="s">
        <v>34</v>
      </c>
      <c r="G19" s="44">
        <v>21</v>
      </c>
      <c r="H19" s="129">
        <f>IF(B$15=0,0,G19/B$15)</f>
        <v>1.2195121951219513E-2</v>
      </c>
      <c r="I19" s="90">
        <v>5</v>
      </c>
      <c r="K19" s="36">
        <v>17</v>
      </c>
      <c r="L19" s="95">
        <v>-20.5</v>
      </c>
      <c r="N19" s="111" t="s">
        <v>196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5">
      <c r="A20" s="51" t="s">
        <v>193</v>
      </c>
      <c r="B20" s="44">
        <v>555</v>
      </c>
      <c r="C20" s="37">
        <f>IF(B$15=0,0,B20/B$15)</f>
        <v>0.32229965156794427</v>
      </c>
      <c r="E20" s="59" t="s">
        <v>75</v>
      </c>
      <c r="F20" s="56" t="s">
        <v>30</v>
      </c>
      <c r="G20" s="44">
        <v>13</v>
      </c>
      <c r="H20" s="129">
        <f>IF(B$15=0,0,G20/B$15)</f>
        <v>7.5493612078977937E-3</v>
      </c>
      <c r="I20" s="90">
        <v>4</v>
      </c>
      <c r="K20" s="36">
        <v>18</v>
      </c>
      <c r="L20" s="95">
        <v>0</v>
      </c>
      <c r="N20" s="111" t="s">
        <v>127</v>
      </c>
      <c r="O20" s="121">
        <f>IF(P20=0,0,Q20/P20)</f>
        <v>-0.28720930232558611</v>
      </c>
      <c r="P20" s="115">
        <v>258</v>
      </c>
      <c r="Q20" s="103">
        <v>-74.100000000001216</v>
      </c>
    </row>
    <row r="21" spans="1:17" x14ac:dyDescent="0.45">
      <c r="A21" s="51" t="s">
        <v>194</v>
      </c>
      <c r="B21" s="44">
        <v>340</v>
      </c>
      <c r="C21" s="37">
        <f>IF(B$15=0,0,B21/B$15)</f>
        <v>0.19744483159117304</v>
      </c>
      <c r="E21" s="59" t="s">
        <v>92</v>
      </c>
      <c r="F21" s="56" t="s">
        <v>47</v>
      </c>
      <c r="G21" s="44">
        <v>11</v>
      </c>
      <c r="H21" s="129">
        <f>IF(B$15=0,0,G21/B$15)</f>
        <v>6.387921022067364E-3</v>
      </c>
      <c r="I21" s="90">
        <v>5</v>
      </c>
      <c r="K21" s="36">
        <v>19</v>
      </c>
      <c r="L21" s="95">
        <v>-22.4</v>
      </c>
      <c r="N21" s="111" t="s">
        <v>171</v>
      </c>
      <c r="O21" s="121">
        <f>IF(P21=0,0,Q21/P21)</f>
        <v>-1.4901869158878518</v>
      </c>
      <c r="P21" s="115">
        <v>214</v>
      </c>
      <c r="Q21" s="103">
        <v>-318.90000000000026</v>
      </c>
    </row>
    <row r="22" spans="1:17" x14ac:dyDescent="0.45">
      <c r="A22" s="51" t="s">
        <v>5</v>
      </c>
      <c r="B22" s="48">
        <f>IF(B$15=0,0,C22/B$15)</f>
        <v>8462.1370499419281</v>
      </c>
      <c r="C22" s="39">
        <v>14571800</v>
      </c>
      <c r="E22" s="59" t="s">
        <v>73</v>
      </c>
      <c r="F22" s="56" t="s">
        <v>28</v>
      </c>
      <c r="G22" s="44">
        <v>7</v>
      </c>
      <c r="H22" s="129">
        <f>IF(B$15=0,0,G22/B$15)</f>
        <v>4.0650406504065045E-3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>IF(P22=0,0,Q22/P22)</f>
        <v>-5.294210526315787</v>
      </c>
      <c r="P22" s="115">
        <v>190</v>
      </c>
      <c r="Q22" s="103">
        <v>-1005.8999999999995</v>
      </c>
    </row>
    <row r="23" spans="1:17" x14ac:dyDescent="0.45">
      <c r="A23" s="52" t="s">
        <v>177</v>
      </c>
      <c r="B23" s="136">
        <f>IF($B$15-B$14=0,0,C23/($B$15-B$14))</f>
        <v>9064.8671808054842</v>
      </c>
      <c r="C23" s="137">
        <v>10578700</v>
      </c>
      <c r="E23" s="59" t="s">
        <v>84</v>
      </c>
      <c r="F23" s="56" t="s">
        <v>39</v>
      </c>
      <c r="G23" s="44">
        <v>7</v>
      </c>
      <c r="H23" s="129">
        <f>IF(B$15=0,0,G23/B$15)</f>
        <v>4.0650406504065045E-3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-12.155172413793098</v>
      </c>
      <c r="P23" s="115">
        <v>290</v>
      </c>
      <c r="Q23" s="103">
        <v>-3524.9999999999982</v>
      </c>
    </row>
    <row r="24" spans="1:17" x14ac:dyDescent="0.45">
      <c r="A24" s="52" t="s">
        <v>178</v>
      </c>
      <c r="B24" s="136">
        <f>IF(B$14=0,0,C24/B$14)</f>
        <v>7194.7747747747744</v>
      </c>
      <c r="C24" s="137">
        <v>3993100</v>
      </c>
      <c r="E24" s="59" t="s">
        <v>74</v>
      </c>
      <c r="F24" s="56" t="s">
        <v>29</v>
      </c>
      <c r="G24" s="44">
        <v>6</v>
      </c>
      <c r="H24" s="129">
        <f>IF(B$15=0,0,G24/B$15)</f>
        <v>3.4843205574912892E-3</v>
      </c>
      <c r="I24" s="90">
        <v>5</v>
      </c>
      <c r="K24" s="36">
        <v>22</v>
      </c>
      <c r="L24" s="95">
        <v>-25.099999999999994</v>
      </c>
      <c r="N24" s="111" t="s">
        <v>203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5">
      <c r="A25" s="52" t="s">
        <v>176</v>
      </c>
      <c r="B25" s="136">
        <f>IF(B$16=0,0,C25/B$16)</f>
        <v>-7819.287211740042</v>
      </c>
      <c r="C25" s="137">
        <v>-7459600</v>
      </c>
      <c r="E25" s="59" t="s">
        <v>85</v>
      </c>
      <c r="F25" s="56" t="s">
        <v>40</v>
      </c>
      <c r="G25" s="44">
        <v>6</v>
      </c>
      <c r="H25" s="129">
        <f>IF(B$15=0,0,G25/B$15)</f>
        <v>3.4843205574912892E-3</v>
      </c>
      <c r="I25" s="90">
        <v>5</v>
      </c>
      <c r="K25" s="36">
        <v>23</v>
      </c>
      <c r="L25" s="95">
        <v>-26.799999999999994</v>
      </c>
      <c r="N25" s="111" t="s">
        <v>274</v>
      </c>
      <c r="O25" s="121">
        <f>IF(P25=0,0,Q25/P25)</f>
        <v>-26.400000000000002</v>
      </c>
      <c r="P25" s="115">
        <v>2</v>
      </c>
      <c r="Q25" s="103">
        <v>-52.800000000000004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77</v>
      </c>
      <c r="F26" s="56" t="s">
        <v>32</v>
      </c>
      <c r="G26" s="44">
        <v>5</v>
      </c>
      <c r="H26" s="129">
        <f>IF(B$15=0,0,G26/B$15)</f>
        <v>2.9036004645760743E-3</v>
      </c>
      <c r="I26" s="90">
        <v>4</v>
      </c>
      <c r="K26" s="36">
        <v>24</v>
      </c>
      <c r="L26" s="95">
        <v>7.1054273576010019E-15</v>
      </c>
    </row>
    <row r="27" spans="1:17" x14ac:dyDescent="0.45">
      <c r="A27" s="51" t="s">
        <v>165</v>
      </c>
      <c r="B27" s="44">
        <v>31</v>
      </c>
      <c r="C27" s="131">
        <v>6</v>
      </c>
      <c r="E27" s="59" t="s">
        <v>88</v>
      </c>
      <c r="F27" s="56" t="s">
        <v>43</v>
      </c>
      <c r="G27" s="44">
        <v>5</v>
      </c>
      <c r="H27" s="129">
        <f>IF(B$15=0,0,G27/B$15)</f>
        <v>2.9036004645760743E-3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52">
        <v>8</v>
      </c>
      <c r="C28" s="153"/>
      <c r="E28" s="59" t="s">
        <v>90</v>
      </c>
      <c r="F28" s="56" t="s">
        <v>45</v>
      </c>
      <c r="G28" s="44">
        <v>4</v>
      </c>
      <c r="H28" s="129">
        <f>IF(B$15=0,0,G28/B$15)</f>
        <v>2.3228803716608595E-3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50">
        <v>149100</v>
      </c>
      <c r="C29" s="151"/>
      <c r="E29" s="59" t="s">
        <v>95</v>
      </c>
      <c r="F29" s="56" t="s">
        <v>50</v>
      </c>
      <c r="G29" s="44">
        <v>4</v>
      </c>
      <c r="H29" s="129">
        <f>IF(B$15=0,0,G29/B$15)</f>
        <v>2.3228803716608595E-3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16</v>
      </c>
      <c r="C30" s="40">
        <f>IF(B$3=0,0,B30/B$3)</f>
        <v>2.7406646111682084E-3</v>
      </c>
      <c r="E30" s="59" t="s">
        <v>93</v>
      </c>
      <c r="F30" s="56" t="s">
        <v>48</v>
      </c>
      <c r="G30" s="44">
        <v>3</v>
      </c>
      <c r="H30" s="129">
        <f>IF(B$15=0,0,G30/B$15)</f>
        <v>1.7421602787456446E-3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87</v>
      </c>
      <c r="F31" s="56" t="s">
        <v>42</v>
      </c>
      <c r="G31" s="44">
        <v>2</v>
      </c>
      <c r="H31" s="129">
        <f>IF(B$15=0,0,G31/B$15)</f>
        <v>1.1614401858304297E-3</v>
      </c>
      <c r="I31" s="90">
        <v>3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131</v>
      </c>
      <c r="C32" s="141">
        <f>IF(B$15=0,0,B32/B$15)</f>
        <v>7.6074332171893147E-2</v>
      </c>
      <c r="E32" s="59" t="s">
        <v>97</v>
      </c>
      <c r="F32" s="56" t="s">
        <v>52</v>
      </c>
      <c r="G32" s="44">
        <v>1</v>
      </c>
      <c r="H32" s="129">
        <f>IF(B$15=0,0,G32/B$15)</f>
        <v>5.8072009291521487E-4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285</v>
      </c>
      <c r="C33" s="37">
        <f t="shared" ref="C33:C44" si="2">IF(B$15=0,0,B33/B$15)</f>
        <v>0.16550522648083624</v>
      </c>
      <c r="E33" s="59" t="s">
        <v>101</v>
      </c>
      <c r="F33" s="56" t="s">
        <v>56</v>
      </c>
      <c r="G33" s="44">
        <v>1</v>
      </c>
      <c r="H33" s="129">
        <f>IF(B$15=0,0,G33/B$15)</f>
        <v>5.8072009291521487E-4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344</v>
      </c>
      <c r="C34" s="37">
        <f>IF(B$15=0,0,B34/B$15)</f>
        <v>0.19976771196283391</v>
      </c>
      <c r="E34" s="59" t="s">
        <v>106</v>
      </c>
      <c r="F34" s="56" t="s">
        <v>113</v>
      </c>
      <c r="G34" s="44">
        <v>1</v>
      </c>
      <c r="H34" s="129">
        <f>IF(B$15=0,0,G34/B$15)</f>
        <v>5.8072009291521487E-4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302</v>
      </c>
      <c r="C35" s="37">
        <f t="shared" si="2"/>
        <v>0.17537746806039489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279</v>
      </c>
      <c r="C36" s="37">
        <f t="shared" si="2"/>
        <v>0.16202090592334495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178</v>
      </c>
      <c r="C37" s="37">
        <f t="shared" si="2"/>
        <v>0.10336817653890824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92</v>
      </c>
      <c r="C38" s="37">
        <f t="shared" si="2"/>
        <v>5.3426248548199766E-2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52</v>
      </c>
      <c r="C39" s="37">
        <f t="shared" si="2"/>
        <v>3.0197444831591175E-2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19</v>
      </c>
      <c r="C40" s="37">
        <f t="shared" si="2"/>
        <v>1.1033681765389082E-2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7</v>
      </c>
      <c r="C41" s="37">
        <f t="shared" si="2"/>
        <v>4.0650406504065045E-3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3.4843205574912892E-3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3.4843205574912892E-3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21</v>
      </c>
      <c r="C44" s="40">
        <f t="shared" si="2"/>
        <v>1.2195121951219513E-2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500CF-74A8-42FF-AB0B-83A1F20C2F6E}">
  <sheetPr codeName="Sheet7"/>
  <dimension ref="A1:Q6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161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64</v>
      </c>
      <c r="C2" s="159"/>
      <c r="E2" s="58" t="s">
        <v>66</v>
      </c>
      <c r="F2" s="55" t="s">
        <v>22</v>
      </c>
      <c r="G2" s="43">
        <v>112</v>
      </c>
      <c r="H2" s="128">
        <f>IF(B$15=0,0,G2/B$15)</f>
        <v>0.75167785234899331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1509.375</v>
      </c>
      <c r="P2" s="114">
        <v>64</v>
      </c>
      <c r="Q2" s="98">
        <v>96600</v>
      </c>
    </row>
    <row r="3" spans="1:17" x14ac:dyDescent="0.45">
      <c r="A3" s="51" t="s">
        <v>8</v>
      </c>
      <c r="B3" s="160">
        <v>567</v>
      </c>
      <c r="C3" s="161"/>
      <c r="E3" s="59" t="s">
        <v>72</v>
      </c>
      <c r="F3" s="56" t="s">
        <v>27</v>
      </c>
      <c r="G3" s="44">
        <v>85</v>
      </c>
      <c r="H3" s="129">
        <f>IF(B$15=0,0,G3/B$15)</f>
        <v>0.57046979865771807</v>
      </c>
      <c r="I3" s="90">
        <v>4</v>
      </c>
      <c r="K3" s="36">
        <v>1</v>
      </c>
      <c r="L3" s="95">
        <v>-4.5999999999999996</v>
      </c>
      <c r="N3" s="111" t="s">
        <v>131</v>
      </c>
      <c r="O3" s="118">
        <f t="shared" si="0"/>
        <v>-2114.2857142857142</v>
      </c>
      <c r="P3" s="115">
        <v>63</v>
      </c>
      <c r="Q3" s="99">
        <v>-133200</v>
      </c>
    </row>
    <row r="4" spans="1:17" x14ac:dyDescent="0.45">
      <c r="A4" s="51" t="s">
        <v>6</v>
      </c>
      <c r="B4" s="162">
        <v>-550.9000000000002</v>
      </c>
      <c r="C4" s="163"/>
      <c r="E4" s="59" t="s">
        <v>166</v>
      </c>
      <c r="F4" s="56" t="s">
        <v>167</v>
      </c>
      <c r="G4" s="44">
        <v>61</v>
      </c>
      <c r="H4" s="129">
        <f>IF(B$15=0,0,G4/B$15)</f>
        <v>0.40939597315436244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-1685.2459016393443</v>
      </c>
      <c r="P4" s="115">
        <v>61</v>
      </c>
      <c r="Q4" s="99">
        <v>-102800</v>
      </c>
    </row>
    <row r="5" spans="1:17" x14ac:dyDescent="0.45">
      <c r="A5" s="51" t="s">
        <v>7</v>
      </c>
      <c r="B5" s="164">
        <f>IF(B$2=0,0,B$4/B$2)</f>
        <v>-8.6078125000000032</v>
      </c>
      <c r="C5" s="165"/>
      <c r="E5" s="59" t="s">
        <v>64</v>
      </c>
      <c r="F5" s="56" t="s">
        <v>20</v>
      </c>
      <c r="G5" s="44">
        <v>39</v>
      </c>
      <c r="H5" s="129">
        <f>IF(B$15=0,0,G5/B$15)</f>
        <v>0.26174496644295303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-1407.0175438596491</v>
      </c>
      <c r="P5" s="115">
        <v>57</v>
      </c>
      <c r="Q5" s="99">
        <v>-80200</v>
      </c>
    </row>
    <row r="6" spans="1:17" x14ac:dyDescent="0.45">
      <c r="A6" s="51" t="s">
        <v>1</v>
      </c>
      <c r="B6" s="154">
        <f>IF(B$2=0,0,(B$7*1+B$8*2+B$9*3)/B$2)</f>
        <v>2.203125</v>
      </c>
      <c r="C6" s="155"/>
      <c r="E6" s="59" t="s">
        <v>68</v>
      </c>
      <c r="F6" s="56" t="s">
        <v>12</v>
      </c>
      <c r="G6" s="44">
        <v>38</v>
      </c>
      <c r="H6" s="129">
        <f>IF(B$15=0,0,G6/B$15)</f>
        <v>0.25503355704697989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-439.28571428571428</v>
      </c>
      <c r="P6" s="115">
        <v>56</v>
      </c>
      <c r="Q6" s="99">
        <v>-24600</v>
      </c>
    </row>
    <row r="7" spans="1:17" x14ac:dyDescent="0.45">
      <c r="A7" s="51" t="s">
        <v>2</v>
      </c>
      <c r="B7" s="44">
        <v>19</v>
      </c>
      <c r="C7" s="37">
        <f t="shared" ref="C7:C10" si="1">IF(B$2=0,0,B7/B$2)</f>
        <v>0.296875</v>
      </c>
      <c r="E7" s="59" t="s">
        <v>69</v>
      </c>
      <c r="F7" s="56" t="s">
        <v>24</v>
      </c>
      <c r="G7" s="44">
        <v>29</v>
      </c>
      <c r="H7" s="129">
        <f>IF(B$15=0,0,G7/B$15)</f>
        <v>0.19463087248322147</v>
      </c>
      <c r="I7" s="90">
        <v>4</v>
      </c>
      <c r="K7" s="36">
        <v>5</v>
      </c>
      <c r="L7" s="95">
        <v>-55.8</v>
      </c>
      <c r="N7" s="112" t="s">
        <v>135</v>
      </c>
      <c r="O7" s="119">
        <f t="shared" si="0"/>
        <v>-2470.8333333333335</v>
      </c>
      <c r="P7" s="116">
        <v>48</v>
      </c>
      <c r="Q7" s="100">
        <v>-118600</v>
      </c>
    </row>
    <row r="8" spans="1:17" x14ac:dyDescent="0.45">
      <c r="A8" s="51" t="s">
        <v>3</v>
      </c>
      <c r="B8" s="44">
        <v>13</v>
      </c>
      <c r="C8" s="37">
        <f t="shared" si="1"/>
        <v>0.203125</v>
      </c>
      <c r="E8" s="59" t="s">
        <v>67</v>
      </c>
      <c r="F8" s="56" t="s">
        <v>23</v>
      </c>
      <c r="G8" s="44">
        <v>21</v>
      </c>
      <c r="H8" s="129">
        <f>IF(B$15=0,0,G8/B$15)</f>
        <v>0.14093959731543623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32</v>
      </c>
      <c r="C9" s="38">
        <f t="shared" si="1"/>
        <v>0.5</v>
      </c>
      <c r="E9" s="59" t="s">
        <v>70</v>
      </c>
      <c r="F9" s="56" t="s">
        <v>25</v>
      </c>
      <c r="G9" s="44">
        <v>19</v>
      </c>
      <c r="H9" s="129">
        <f>IF(B$15=0,0,G9/B$15)</f>
        <v>0.12751677852348994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7.8125E-2</v>
      </c>
      <c r="E10" s="59" t="s">
        <v>71</v>
      </c>
      <c r="F10" s="56" t="s">
        <v>26</v>
      </c>
      <c r="G10" s="44">
        <v>16</v>
      </c>
      <c r="H10" s="129">
        <f>IF(B$15=0,0,G10/B$15)</f>
        <v>0.10738255033557047</v>
      </c>
      <c r="I10" s="90">
        <v>3</v>
      </c>
      <c r="K10" s="36">
        <v>8</v>
      </c>
      <c r="L10" s="95">
        <v>-76.900000000000006</v>
      </c>
      <c r="N10" s="110" t="s">
        <v>157</v>
      </c>
      <c r="O10" s="120">
        <f>IF(P10=0,0,Q10/P10)</f>
        <v>-14.545833333333333</v>
      </c>
      <c r="P10" s="114">
        <v>24</v>
      </c>
      <c r="Q10" s="102">
        <v>-349.09999999999997</v>
      </c>
    </row>
    <row r="11" spans="1:17" x14ac:dyDescent="0.45">
      <c r="A11" s="54" t="s">
        <v>121</v>
      </c>
      <c r="B11" s="47">
        <v>82</v>
      </c>
      <c r="C11" s="42">
        <f>IF(B$3=0,0,B11/B$3)</f>
        <v>0.14462081128747795</v>
      </c>
      <c r="E11" s="59" t="s">
        <v>83</v>
      </c>
      <c r="F11" s="56" t="s">
        <v>38</v>
      </c>
      <c r="G11" s="44">
        <v>13</v>
      </c>
      <c r="H11" s="129">
        <f>IF(B$15=0,0,G11/B$15)</f>
        <v>8.7248322147651006E-2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-8.1105263157894729</v>
      </c>
      <c r="P11" s="115">
        <v>19</v>
      </c>
      <c r="Q11" s="103">
        <v>-154.1</v>
      </c>
    </row>
    <row r="12" spans="1:17" x14ac:dyDescent="0.45">
      <c r="A12" s="51" t="s">
        <v>118</v>
      </c>
      <c r="B12" s="44">
        <v>137</v>
      </c>
      <c r="C12" s="37">
        <f>IF(B$3=0,0,B12/B$3)</f>
        <v>0.24162257495590828</v>
      </c>
      <c r="E12" s="59" t="s">
        <v>65</v>
      </c>
      <c r="F12" s="56" t="s">
        <v>21</v>
      </c>
      <c r="G12" s="44">
        <v>9</v>
      </c>
      <c r="H12" s="129">
        <f>IF(B$15=0,0,G12/B$15)</f>
        <v>6.0402684563758392E-2</v>
      </c>
      <c r="I12" s="90">
        <v>11</v>
      </c>
      <c r="K12" s="36">
        <v>10</v>
      </c>
      <c r="L12" s="95">
        <v>-32.700000000000003</v>
      </c>
      <c r="N12" s="112" t="s">
        <v>159</v>
      </c>
      <c r="O12" s="122">
        <f>IF(P12=0,0,Q12/P12)</f>
        <v>-2.2714285714285709</v>
      </c>
      <c r="P12" s="116">
        <v>21</v>
      </c>
      <c r="Q12" s="104">
        <v>-47.699999999999989</v>
      </c>
    </row>
    <row r="13" spans="1:17" x14ac:dyDescent="0.45">
      <c r="A13" s="50" t="s">
        <v>123</v>
      </c>
      <c r="B13" s="43">
        <f>B19</f>
        <v>40</v>
      </c>
      <c r="C13" s="35">
        <f>IF(B$11=0,0,B13/B$11)</f>
        <v>0.48780487804878048</v>
      </c>
      <c r="E13" s="59" t="s">
        <v>89</v>
      </c>
      <c r="F13" s="56" t="s">
        <v>44</v>
      </c>
      <c r="G13" s="44">
        <v>9</v>
      </c>
      <c r="H13" s="129">
        <f>IF(B$15=0,0,G13/B$15)</f>
        <v>6.0402684563758392E-2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54</v>
      </c>
      <c r="C14" s="35">
        <f>IF(B$12=0,0,B14/B$12)</f>
        <v>0.39416058394160586</v>
      </c>
      <c r="E14" s="59" t="s">
        <v>81</v>
      </c>
      <c r="F14" s="56" t="s">
        <v>36</v>
      </c>
      <c r="G14" s="44">
        <v>5</v>
      </c>
      <c r="H14" s="129">
        <f>IF(B$15=0,0,G14/B$15)</f>
        <v>3.3557046979865772E-2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149</v>
      </c>
      <c r="C15" s="35">
        <f>IF(B$3=0,0,B15/B$3)</f>
        <v>0.26278659611992944</v>
      </c>
      <c r="E15" s="59" t="s">
        <v>86</v>
      </c>
      <c r="F15" s="56" t="s">
        <v>41</v>
      </c>
      <c r="G15" s="44">
        <v>5</v>
      </c>
      <c r="H15" s="129">
        <f>IF(B$15=0,0,G15/B$15)</f>
        <v>3.3557046979865772E-2</v>
      </c>
      <c r="I15" s="90">
        <v>8</v>
      </c>
      <c r="K15" s="36">
        <v>13</v>
      </c>
      <c r="L15" s="95">
        <v>-66.2</v>
      </c>
      <c r="N15" s="110" t="s">
        <v>196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5">
      <c r="A16" s="51" t="s">
        <v>13</v>
      </c>
      <c r="B16" s="44">
        <v>92</v>
      </c>
      <c r="C16" s="37">
        <f>IF(B$3=0,0,B16/B$3)</f>
        <v>0.16225749559082892</v>
      </c>
      <c r="E16" s="59" t="s">
        <v>91</v>
      </c>
      <c r="F16" s="56" t="s">
        <v>46</v>
      </c>
      <c r="G16" s="44">
        <v>3</v>
      </c>
      <c r="H16" s="129">
        <f>IF(B$15=0,0,G16/B$15)</f>
        <v>2.0134228187919462E-2</v>
      </c>
      <c r="I16" s="90">
        <v>3</v>
      </c>
      <c r="K16" s="36">
        <v>14</v>
      </c>
      <c r="L16" s="95">
        <v>-51.1</v>
      </c>
      <c r="N16" s="111" t="s">
        <v>127</v>
      </c>
      <c r="O16" s="121">
        <f>IF(P16=0,0,Q16/P16)</f>
        <v>-4.1851851851851869</v>
      </c>
      <c r="P16" s="115">
        <v>27</v>
      </c>
      <c r="Q16" s="103">
        <v>-113.00000000000004</v>
      </c>
    </row>
    <row r="17" spans="1:17" x14ac:dyDescent="0.45">
      <c r="A17" s="51" t="s">
        <v>12</v>
      </c>
      <c r="B17" s="44">
        <v>57</v>
      </c>
      <c r="C17" s="37">
        <f>IF(B$15=0,0,B17/B$15)</f>
        <v>0.3825503355704698</v>
      </c>
      <c r="E17" s="59" t="s">
        <v>79</v>
      </c>
      <c r="F17" s="56" t="s">
        <v>34</v>
      </c>
      <c r="G17" s="44">
        <v>2</v>
      </c>
      <c r="H17" s="129">
        <f>IF(B$15=0,0,G17/B$15)</f>
        <v>1.3422818791946308E-2</v>
      </c>
      <c r="I17" s="90">
        <v>4</v>
      </c>
      <c r="K17" s="36">
        <v>15</v>
      </c>
      <c r="L17" s="95">
        <v>-65.2</v>
      </c>
      <c r="N17" s="111" t="s">
        <v>171</v>
      </c>
      <c r="O17" s="121">
        <f>IF(P17=0,0,Q17/P17)</f>
        <v>-5.6476190476190471</v>
      </c>
      <c r="P17" s="115">
        <v>21</v>
      </c>
      <c r="Q17" s="103">
        <v>-118.6</v>
      </c>
    </row>
    <row r="18" spans="1:17" x14ac:dyDescent="0.45">
      <c r="A18" s="51" t="s">
        <v>11</v>
      </c>
      <c r="B18" s="44">
        <v>92</v>
      </c>
      <c r="C18" s="37">
        <f>IF(B$15=0,0,B18/B$15)</f>
        <v>0.6174496644295302</v>
      </c>
      <c r="E18" s="59" t="s">
        <v>88</v>
      </c>
      <c r="F18" s="56" t="s">
        <v>43</v>
      </c>
      <c r="G18" s="44">
        <v>2</v>
      </c>
      <c r="H18" s="129">
        <f>IF(B$15=0,0,G18/B$15)</f>
        <v>1.3422818791946308E-2</v>
      </c>
      <c r="I18" s="90">
        <v>1</v>
      </c>
      <c r="K18" s="36">
        <v>16</v>
      </c>
      <c r="L18" s="95">
        <v>-70.600000000000009</v>
      </c>
      <c r="N18" s="111" t="s">
        <v>126</v>
      </c>
      <c r="O18" s="121">
        <f>IF(P18=0,0,Q18/P18)</f>
        <v>-10.394117647058824</v>
      </c>
      <c r="P18" s="115">
        <v>34</v>
      </c>
      <c r="Q18" s="103">
        <v>-353.40000000000003</v>
      </c>
    </row>
    <row r="19" spans="1:17" x14ac:dyDescent="0.45">
      <c r="A19" s="51" t="s">
        <v>195</v>
      </c>
      <c r="B19" s="44">
        <v>40</v>
      </c>
      <c r="C19" s="37">
        <f>IF(B$15=0,0,B19/B$15)</f>
        <v>0.26845637583892618</v>
      </c>
      <c r="E19" s="59" t="s">
        <v>74</v>
      </c>
      <c r="F19" s="56" t="s">
        <v>29</v>
      </c>
      <c r="G19" s="44">
        <v>1</v>
      </c>
      <c r="H19" s="129">
        <f>IF(B$15=0,0,G19/B$15)</f>
        <v>6.7114093959731542E-3</v>
      </c>
      <c r="I19" s="90">
        <v>2</v>
      </c>
      <c r="K19" s="36">
        <v>17</v>
      </c>
      <c r="L19" s="95">
        <v>-65.2</v>
      </c>
      <c r="N19" s="111" t="s">
        <v>172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5">
      <c r="A20" s="51" t="s">
        <v>193</v>
      </c>
      <c r="B20" s="44">
        <v>54</v>
      </c>
      <c r="C20" s="37">
        <f>IF(B$15=0,0,B20/B$15)</f>
        <v>0.36241610738255031</v>
      </c>
      <c r="E20" s="59" t="s">
        <v>75</v>
      </c>
      <c r="F20" s="56" t="s">
        <v>30</v>
      </c>
      <c r="G20" s="44">
        <v>1</v>
      </c>
      <c r="H20" s="129">
        <f>IF(B$15=0,0,G20/B$15)</f>
        <v>6.7114093959731542E-3</v>
      </c>
      <c r="I20" s="90">
        <v>5</v>
      </c>
      <c r="K20" s="36">
        <v>18</v>
      </c>
      <c r="L20" s="95">
        <v>-80.2</v>
      </c>
      <c r="N20" s="111" t="s">
        <v>197</v>
      </c>
      <c r="O20" s="121">
        <f>IF(P20=0,0,Q20/P20)</f>
        <v>-34.137499999999996</v>
      </c>
      <c r="P20" s="115">
        <v>8</v>
      </c>
      <c r="Q20" s="103">
        <v>-273.09999999999997</v>
      </c>
    </row>
    <row r="21" spans="1:17" x14ac:dyDescent="0.45">
      <c r="A21" s="51" t="s">
        <v>194</v>
      </c>
      <c r="B21" s="44">
        <v>55</v>
      </c>
      <c r="C21" s="37">
        <f>IF(B$15=0,0,B21/B$15)</f>
        <v>0.36912751677852351</v>
      </c>
      <c r="E21" s="59" t="s">
        <v>77</v>
      </c>
      <c r="F21" s="56" t="s">
        <v>32</v>
      </c>
      <c r="G21" s="44">
        <v>1</v>
      </c>
      <c r="H21" s="129">
        <f>IF(B$15=0,0,G21/B$15)</f>
        <v>6.7114093959731542E-3</v>
      </c>
      <c r="I21" s="90">
        <v>2</v>
      </c>
      <c r="K21" s="36">
        <v>19</v>
      </c>
      <c r="L21" s="95">
        <v>-115.1</v>
      </c>
      <c r="N21" s="111" t="s">
        <v>170</v>
      </c>
      <c r="O21" s="121">
        <f>IF(P21=0,0,Q21/P21)</f>
        <v>-37.1</v>
      </c>
      <c r="P21" s="115">
        <v>18</v>
      </c>
      <c r="Q21" s="103">
        <v>-667.80000000000007</v>
      </c>
    </row>
    <row r="22" spans="1:17" x14ac:dyDescent="0.45">
      <c r="A22" s="51" t="s">
        <v>5</v>
      </c>
      <c r="B22" s="48">
        <f>IF(B$15=0,0,C22/B$15)</f>
        <v>7086.5771812080538</v>
      </c>
      <c r="C22" s="39">
        <v>1055900</v>
      </c>
      <c r="E22" s="59" t="s">
        <v>84</v>
      </c>
      <c r="F22" s="56" t="s">
        <v>39</v>
      </c>
      <c r="G22" s="44">
        <v>1</v>
      </c>
      <c r="H22" s="129">
        <f>IF(B$15=0,0,G22/B$15)</f>
        <v>6.7114093959731542E-3</v>
      </c>
      <c r="I22" s="90">
        <v>3</v>
      </c>
      <c r="K22" s="36">
        <v>20</v>
      </c>
      <c r="L22" s="95">
        <v>-88.8</v>
      </c>
    </row>
    <row r="23" spans="1:17" x14ac:dyDescent="0.45">
      <c r="A23" s="52" t="s">
        <v>177</v>
      </c>
      <c r="B23" s="136">
        <f>IF($B$15-B$14=0,0,C23/($B$15-B$14))</f>
        <v>7380</v>
      </c>
      <c r="C23" s="137">
        <v>701100</v>
      </c>
      <c r="E23" s="59" t="s">
        <v>93</v>
      </c>
      <c r="F23" s="56" t="s">
        <v>48</v>
      </c>
      <c r="G23" s="44">
        <v>1</v>
      </c>
      <c r="H23" s="129">
        <f>IF(B$15=0,0,G23/B$15)</f>
        <v>6.7114093959731542E-3</v>
      </c>
      <c r="I23" s="90">
        <v>1</v>
      </c>
      <c r="K23" s="36">
        <v>21</v>
      </c>
      <c r="L23" s="95">
        <v>-111.4</v>
      </c>
    </row>
    <row r="24" spans="1:17" x14ac:dyDescent="0.45">
      <c r="A24" s="52" t="s">
        <v>178</v>
      </c>
      <c r="B24" s="136">
        <f>IF(B$14=0,0,C24/B$14)</f>
        <v>6570.3703703703704</v>
      </c>
      <c r="C24" s="137">
        <v>354800</v>
      </c>
      <c r="E24" s="59" t="s">
        <v>73</v>
      </c>
      <c r="F24" s="56" t="s">
        <v>28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-7669.565217391304</v>
      </c>
      <c r="C25" s="137">
        <v>-705600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78</v>
      </c>
      <c r="F26" s="56" t="s">
        <v>33</v>
      </c>
      <c r="G26" s="44">
        <v>0</v>
      </c>
      <c r="H26" s="129">
        <f>IF(B$15=0,0,G26/B$15)</f>
        <v>0</v>
      </c>
      <c r="I26" s="90">
        <v>9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0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52">
        <v>6</v>
      </c>
      <c r="C28" s="153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50">
        <v>86900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3.5273368606701938E-3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20</v>
      </c>
      <c r="C32" s="141">
        <f>IF(B$15=0,0,B32/B$15)</f>
        <v>0.13422818791946309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31</v>
      </c>
      <c r="C33" s="37">
        <f t="shared" ref="C33:C44" si="2">IF(B$15=0,0,B33/B$15)</f>
        <v>0.20805369127516779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31</v>
      </c>
      <c r="C34" s="37">
        <f>IF(B$15=0,0,B34/B$15)</f>
        <v>0.20805369127516779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23</v>
      </c>
      <c r="C35" s="37">
        <f t="shared" si="2"/>
        <v>0.15436241610738255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17</v>
      </c>
      <c r="C36" s="37">
        <f t="shared" si="2"/>
        <v>0.11409395973154363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12</v>
      </c>
      <c r="C37" s="37">
        <f t="shared" si="2"/>
        <v>8.0536912751677847E-2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9</v>
      </c>
      <c r="C38" s="37">
        <f t="shared" si="2"/>
        <v>6.0402684563758392E-2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5</v>
      </c>
      <c r="C39" s="37">
        <f t="shared" si="2"/>
        <v>3.3557046979865772E-2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1</v>
      </c>
      <c r="C44" s="40">
        <f t="shared" si="2"/>
        <v>6.7114093959731542E-3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</sheetData>
  <sortState xmlns:xlrd2="http://schemas.microsoft.com/office/spreadsheetml/2017/richdata2" ref="N15:Q21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2E6D-5883-48B0-9AA0-7279938E402B}">
  <sheetPr codeName="Sheet9"/>
  <dimension ref="A1:Q14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145</v>
      </c>
      <c r="C2" s="159"/>
      <c r="E2" s="58" t="s">
        <v>66</v>
      </c>
      <c r="F2" s="55" t="s">
        <v>22</v>
      </c>
      <c r="G2" s="43">
        <v>268</v>
      </c>
      <c r="H2" s="128">
        <f>IF(B$15=0,0,G2/B$15)</f>
        <v>0.66172839506172842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1027.0833333333333</v>
      </c>
      <c r="P2" s="114">
        <v>144</v>
      </c>
      <c r="Q2" s="98">
        <v>147900</v>
      </c>
    </row>
    <row r="3" spans="1:17" x14ac:dyDescent="0.45">
      <c r="A3" s="51" t="s">
        <v>8</v>
      </c>
      <c r="B3" s="160">
        <v>1186</v>
      </c>
      <c r="C3" s="161"/>
      <c r="E3" s="59" t="s">
        <v>72</v>
      </c>
      <c r="F3" s="56" t="s">
        <v>27</v>
      </c>
      <c r="G3" s="44">
        <v>202</v>
      </c>
      <c r="H3" s="129">
        <f>IF(B$15=0,0,G3/B$15)</f>
        <v>0.49876543209876545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1007.8014184397163</v>
      </c>
      <c r="P3" s="115">
        <v>141</v>
      </c>
      <c r="Q3" s="99">
        <v>142100</v>
      </c>
    </row>
    <row r="4" spans="1:17" x14ac:dyDescent="0.45">
      <c r="A4" s="51" t="s">
        <v>6</v>
      </c>
      <c r="B4" s="162">
        <v>1175.0000000000002</v>
      </c>
      <c r="C4" s="163"/>
      <c r="E4" s="59" t="s">
        <v>64</v>
      </c>
      <c r="F4" s="56" t="s">
        <v>20</v>
      </c>
      <c r="G4" s="44">
        <v>185</v>
      </c>
      <c r="H4" s="129">
        <f>IF(B$15=0,0,G4/B$15)</f>
        <v>0.4567901234567901</v>
      </c>
      <c r="I4" s="90">
        <v>8</v>
      </c>
      <c r="K4" s="36">
        <v>2</v>
      </c>
      <c r="L4" s="95">
        <v>14.400000000000006</v>
      </c>
      <c r="N4" s="111" t="s">
        <v>132</v>
      </c>
      <c r="O4" s="118">
        <f t="shared" si="0"/>
        <v>994.07407407407402</v>
      </c>
      <c r="P4" s="115">
        <v>135</v>
      </c>
      <c r="Q4" s="99">
        <v>134200</v>
      </c>
    </row>
    <row r="5" spans="1:17" x14ac:dyDescent="0.45">
      <c r="A5" s="51" t="s">
        <v>7</v>
      </c>
      <c r="B5" s="164">
        <f>IF(B$2=0,0,B$4/B$2)</f>
        <v>8.1034482758620712</v>
      </c>
      <c r="C5" s="165"/>
      <c r="E5" s="59" t="s">
        <v>166</v>
      </c>
      <c r="F5" s="56" t="s">
        <v>167</v>
      </c>
      <c r="G5" s="44">
        <v>156</v>
      </c>
      <c r="H5" s="129">
        <f>IF(B$15=0,0,G5/B$15)</f>
        <v>0.38518518518518519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170.4</v>
      </c>
      <c r="P5" s="115">
        <v>125</v>
      </c>
      <c r="Q5" s="99">
        <v>21300</v>
      </c>
    </row>
    <row r="6" spans="1:17" x14ac:dyDescent="0.45">
      <c r="A6" s="51" t="s">
        <v>1</v>
      </c>
      <c r="B6" s="154">
        <f>IF(B$2=0,0,(B$7*1+B$8*2+B$9*3)/B$2)</f>
        <v>1.806896551724138</v>
      </c>
      <c r="C6" s="155"/>
      <c r="E6" s="59" t="s">
        <v>68</v>
      </c>
      <c r="F6" s="56" t="s">
        <v>12</v>
      </c>
      <c r="G6" s="44">
        <v>118</v>
      </c>
      <c r="H6" s="129">
        <f>IF(B$15=0,0,G6/B$15)</f>
        <v>0.29135802469135802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1865.2173913043478</v>
      </c>
      <c r="P6" s="115">
        <v>115</v>
      </c>
      <c r="Q6" s="99">
        <v>214500</v>
      </c>
    </row>
    <row r="7" spans="1:17" x14ac:dyDescent="0.45">
      <c r="A7" s="51" t="s">
        <v>2</v>
      </c>
      <c r="B7" s="44">
        <v>66</v>
      </c>
      <c r="C7" s="37">
        <f t="shared" ref="C7:C10" si="1">IF(B$2=0,0,B7/B$2)</f>
        <v>0.45517241379310347</v>
      </c>
      <c r="E7" s="59" t="s">
        <v>67</v>
      </c>
      <c r="F7" s="56" t="s">
        <v>23</v>
      </c>
      <c r="G7" s="44">
        <v>105</v>
      </c>
      <c r="H7" s="129">
        <f>IF(B$15=0,0,G7/B$15)</f>
        <v>0.25925925925925924</v>
      </c>
      <c r="I7" s="90">
        <v>7</v>
      </c>
      <c r="K7" s="36">
        <v>5</v>
      </c>
      <c r="L7" s="95">
        <v>99.9</v>
      </c>
      <c r="N7" s="112" t="s">
        <v>135</v>
      </c>
      <c r="O7" s="119">
        <f t="shared" si="0"/>
        <v>2041.0526315789473</v>
      </c>
      <c r="P7" s="116">
        <v>95</v>
      </c>
      <c r="Q7" s="100">
        <v>193900</v>
      </c>
    </row>
    <row r="8" spans="1:17" x14ac:dyDescent="0.45">
      <c r="A8" s="51" t="s">
        <v>3</v>
      </c>
      <c r="B8" s="44">
        <v>41</v>
      </c>
      <c r="C8" s="37">
        <f t="shared" si="1"/>
        <v>0.28275862068965518</v>
      </c>
      <c r="E8" s="59" t="s">
        <v>89</v>
      </c>
      <c r="F8" s="56" t="s">
        <v>44</v>
      </c>
      <c r="G8" s="44">
        <v>59</v>
      </c>
      <c r="H8" s="129">
        <f>IF(B$15=0,0,G8/B$15)</f>
        <v>0.14567901234567901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0.2620689655172414</v>
      </c>
      <c r="E9" s="59" t="s">
        <v>69</v>
      </c>
      <c r="F9" s="56" t="s">
        <v>24</v>
      </c>
      <c r="G9" s="44">
        <v>56</v>
      </c>
      <c r="H9" s="129">
        <f>IF(B$15=0,0,G9/B$15)</f>
        <v>0.13827160493827159</v>
      </c>
      <c r="I9" s="90">
        <v>7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4.8275862068965517E-2</v>
      </c>
      <c r="E10" s="59" t="s">
        <v>65</v>
      </c>
      <c r="F10" s="56" t="s">
        <v>21</v>
      </c>
      <c r="G10" s="44">
        <v>47</v>
      </c>
      <c r="H10" s="129">
        <f>IF(B$15=0,0,G10/B$15)</f>
        <v>0.11604938271604938</v>
      </c>
      <c r="I10" s="90">
        <v>6</v>
      </c>
      <c r="K10" s="36">
        <v>8</v>
      </c>
      <c r="L10" s="95">
        <v>148.1</v>
      </c>
      <c r="N10" s="110" t="s">
        <v>157</v>
      </c>
      <c r="O10" s="120">
        <f>IF(P10=0,0,Q10/P10)</f>
        <v>12.277499999999996</v>
      </c>
      <c r="P10" s="114">
        <v>40</v>
      </c>
      <c r="Q10" s="102">
        <v>491.09999999999985</v>
      </c>
    </row>
    <row r="11" spans="1:17" x14ac:dyDescent="0.45">
      <c r="A11" s="54" t="s">
        <v>121</v>
      </c>
      <c r="B11" s="47">
        <v>322</v>
      </c>
      <c r="C11" s="42">
        <f>IF(B$3=0,0,B11/B$3)</f>
        <v>0.27150084317032042</v>
      </c>
      <c r="E11" s="59" t="s">
        <v>71</v>
      </c>
      <c r="F11" s="56" t="s">
        <v>26</v>
      </c>
      <c r="G11" s="44">
        <v>27</v>
      </c>
      <c r="H11" s="129">
        <f>IF(B$15=0,0,G11/B$15)</f>
        <v>6.6666666666666666E-2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2.6980392156862743</v>
      </c>
      <c r="P11" s="115">
        <v>51</v>
      </c>
      <c r="Q11" s="103">
        <v>137.6</v>
      </c>
    </row>
    <row r="12" spans="1:17" x14ac:dyDescent="0.45">
      <c r="A12" s="51" t="s">
        <v>118</v>
      </c>
      <c r="B12" s="44">
        <v>265</v>
      </c>
      <c r="C12" s="37">
        <f>IF(B$3=0,0,B12/B$3)</f>
        <v>0.22344013490725126</v>
      </c>
      <c r="E12" s="59" t="s">
        <v>86</v>
      </c>
      <c r="F12" s="56" t="s">
        <v>41</v>
      </c>
      <c r="G12" s="44">
        <v>27</v>
      </c>
      <c r="H12" s="129">
        <f>IF(B$15=0,0,G12/B$15)</f>
        <v>6.6666666666666666E-2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10.116666666666664</v>
      </c>
      <c r="P12" s="116">
        <v>54</v>
      </c>
      <c r="Q12" s="104">
        <v>546.29999999999984</v>
      </c>
    </row>
    <row r="13" spans="1:17" x14ac:dyDescent="0.45">
      <c r="A13" s="50" t="s">
        <v>123</v>
      </c>
      <c r="B13" s="43">
        <f>B19</f>
        <v>195</v>
      </c>
      <c r="C13" s="35">
        <f>IF(B$11=0,0,B13/B$11)</f>
        <v>0.60559006211180122</v>
      </c>
      <c r="E13" s="59" t="s">
        <v>70</v>
      </c>
      <c r="F13" s="56" t="s">
        <v>25</v>
      </c>
      <c r="G13" s="44">
        <v>22</v>
      </c>
      <c r="H13" s="129">
        <f>IF(B$15=0,0,G13/B$15)</f>
        <v>5.4320987654320987E-2</v>
      </c>
      <c r="I13" s="90">
        <v>12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126</v>
      </c>
      <c r="C14" s="35">
        <f>IF(B$12=0,0,B14/B$12)</f>
        <v>0.47547169811320755</v>
      </c>
      <c r="E14" s="59" t="s">
        <v>83</v>
      </c>
      <c r="F14" s="56" t="s">
        <v>38</v>
      </c>
      <c r="G14" s="44">
        <v>17</v>
      </c>
      <c r="H14" s="129">
        <f>IF(B$15=0,0,G14/B$15)</f>
        <v>4.1975308641975309E-2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405</v>
      </c>
      <c r="C15" s="35">
        <f>IF(B$3=0,0,B15/B$3)</f>
        <v>0.34148397976391232</v>
      </c>
      <c r="E15" s="59" t="s">
        <v>78</v>
      </c>
      <c r="F15" s="56" t="s">
        <v>33</v>
      </c>
      <c r="G15" s="44">
        <v>15</v>
      </c>
      <c r="H15" s="129">
        <f>IF(B$15=0,0,G15/B$15)</f>
        <v>3.7037037037037035E-2</v>
      </c>
      <c r="I15" s="90">
        <v>2</v>
      </c>
      <c r="K15" s="36">
        <v>13</v>
      </c>
      <c r="L15" s="95">
        <v>206.39999999999998</v>
      </c>
      <c r="N15" s="110" t="s">
        <v>196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5">
      <c r="A16" s="51" t="s">
        <v>13</v>
      </c>
      <c r="B16" s="44">
        <v>156</v>
      </c>
      <c r="C16" s="37">
        <f>IF(B$3=0,0,B16/B$3)</f>
        <v>0.13153456998313659</v>
      </c>
      <c r="E16" s="59" t="s">
        <v>162</v>
      </c>
      <c r="F16" s="56" t="s">
        <v>163</v>
      </c>
      <c r="G16" s="44">
        <v>13</v>
      </c>
      <c r="H16" s="129">
        <f>IF(B$15=0,0,G16/B$15)</f>
        <v>3.2098765432098768E-2</v>
      </c>
      <c r="I16" s="90">
        <v>2</v>
      </c>
      <c r="K16" s="36">
        <v>14</v>
      </c>
      <c r="L16" s="95">
        <v>240.09999999999997</v>
      </c>
      <c r="N16" s="111" t="s">
        <v>197</v>
      </c>
      <c r="O16" s="121">
        <f>IF(P16=0,0,Q16/P16)</f>
        <v>26.026666666666664</v>
      </c>
      <c r="P16" s="115">
        <v>15</v>
      </c>
      <c r="Q16" s="103">
        <v>390.4</v>
      </c>
    </row>
    <row r="17" spans="1:17" x14ac:dyDescent="0.45">
      <c r="A17" s="51" t="s">
        <v>12</v>
      </c>
      <c r="B17" s="44">
        <v>171</v>
      </c>
      <c r="C17" s="37">
        <f>IF(B$15=0,0,B17/B$15)</f>
        <v>0.42222222222222222</v>
      </c>
      <c r="E17" s="59" t="s">
        <v>75</v>
      </c>
      <c r="F17" s="56" t="s">
        <v>30</v>
      </c>
      <c r="G17" s="44">
        <v>4</v>
      </c>
      <c r="H17" s="129">
        <f>IF(B$15=0,0,G17/B$15)</f>
        <v>9.876543209876543E-3</v>
      </c>
      <c r="I17" s="90">
        <v>3</v>
      </c>
      <c r="K17" s="36">
        <v>15</v>
      </c>
      <c r="L17" s="95">
        <v>269.49999999999994</v>
      </c>
      <c r="N17" s="111" t="s">
        <v>172</v>
      </c>
      <c r="O17" s="121">
        <f>IF(P17=0,0,Q17/P17)</f>
        <v>14.407692307692308</v>
      </c>
      <c r="P17" s="115">
        <v>52</v>
      </c>
      <c r="Q17" s="103">
        <v>749.2</v>
      </c>
    </row>
    <row r="18" spans="1:17" x14ac:dyDescent="0.45">
      <c r="A18" s="51" t="s">
        <v>11</v>
      </c>
      <c r="B18" s="44">
        <v>234</v>
      </c>
      <c r="C18" s="37">
        <f>IF(B$15=0,0,B18/B$15)</f>
        <v>0.57777777777777772</v>
      </c>
      <c r="E18" s="59" t="s">
        <v>81</v>
      </c>
      <c r="F18" s="56" t="s">
        <v>36</v>
      </c>
      <c r="G18" s="44">
        <v>4</v>
      </c>
      <c r="H18" s="129">
        <f>IF(B$15=0,0,G18/B$15)</f>
        <v>9.876543209876543E-3</v>
      </c>
      <c r="I18" s="90">
        <v>9</v>
      </c>
      <c r="K18" s="36">
        <v>16</v>
      </c>
      <c r="L18" s="95">
        <v>323.69999999999993</v>
      </c>
      <c r="N18" s="111" t="s">
        <v>127</v>
      </c>
      <c r="O18" s="121">
        <f>IF(P18=0,0,Q18/P18)</f>
        <v>14.101123595505621</v>
      </c>
      <c r="P18" s="115">
        <v>89</v>
      </c>
      <c r="Q18" s="103">
        <v>1255.0000000000002</v>
      </c>
    </row>
    <row r="19" spans="1:17" x14ac:dyDescent="0.45">
      <c r="A19" s="51" t="s">
        <v>195</v>
      </c>
      <c r="B19" s="44">
        <v>195</v>
      </c>
      <c r="C19" s="37">
        <f>IF(B$15=0,0,B19/B$15)</f>
        <v>0.48148148148148145</v>
      </c>
      <c r="E19" s="59" t="s">
        <v>77</v>
      </c>
      <c r="F19" s="56" t="s">
        <v>32</v>
      </c>
      <c r="G19" s="44">
        <v>3</v>
      </c>
      <c r="H19" s="129">
        <f>IF(B$15=0,0,G19/B$15)</f>
        <v>7.4074074074074077E-3</v>
      </c>
      <c r="I19" s="90">
        <v>1</v>
      </c>
      <c r="K19" s="36">
        <v>17</v>
      </c>
      <c r="L19" s="95">
        <v>359.09999999999991</v>
      </c>
      <c r="N19" s="111" t="s">
        <v>171</v>
      </c>
      <c r="O19" s="121">
        <f>IF(P19=0,0,Q19/P19)</f>
        <v>13.271698113207547</v>
      </c>
      <c r="P19" s="115">
        <v>53</v>
      </c>
      <c r="Q19" s="103">
        <v>703.4</v>
      </c>
    </row>
    <row r="20" spans="1:17" x14ac:dyDescent="0.45">
      <c r="A20" s="51" t="s">
        <v>193</v>
      </c>
      <c r="B20" s="44">
        <v>126</v>
      </c>
      <c r="C20" s="37">
        <f>IF(B$15=0,0,B20/B$15)</f>
        <v>0.31111111111111112</v>
      </c>
      <c r="E20" s="59" t="s">
        <v>84</v>
      </c>
      <c r="F20" s="56" t="s">
        <v>39</v>
      </c>
      <c r="G20" s="44">
        <v>3</v>
      </c>
      <c r="H20" s="129">
        <f>IF(B$15=0,0,G20/B$15)</f>
        <v>7.4074074074074077E-3</v>
      </c>
      <c r="I20" s="90">
        <v>2</v>
      </c>
      <c r="K20" s="36">
        <v>18</v>
      </c>
      <c r="L20" s="95">
        <v>352.39999999999992</v>
      </c>
      <c r="N20" s="111" t="s">
        <v>161</v>
      </c>
      <c r="O20" s="121">
        <f>IF(P20=0,0,Q20/P20)</f>
        <v>10.394117647058822</v>
      </c>
      <c r="P20" s="115">
        <v>34</v>
      </c>
      <c r="Q20" s="103">
        <v>353.4</v>
      </c>
    </row>
    <row r="21" spans="1:17" x14ac:dyDescent="0.45">
      <c r="A21" s="51" t="s">
        <v>194</v>
      </c>
      <c r="B21" s="44">
        <v>84</v>
      </c>
      <c r="C21" s="37">
        <f>IF(B$15=0,0,B21/B$15)</f>
        <v>0.2074074074074074</v>
      </c>
      <c r="E21" s="59" t="s">
        <v>91</v>
      </c>
      <c r="F21" s="56" t="s">
        <v>46</v>
      </c>
      <c r="G21" s="44">
        <v>3</v>
      </c>
      <c r="H21" s="129">
        <f>IF(B$15=0,0,G21/B$15)</f>
        <v>7.4074074074074077E-3</v>
      </c>
      <c r="I21" s="90">
        <v>7</v>
      </c>
      <c r="K21" s="36">
        <v>19</v>
      </c>
      <c r="L21" s="95">
        <v>383.19999999999993</v>
      </c>
      <c r="N21" s="111" t="s">
        <v>170</v>
      </c>
      <c r="O21" s="121">
        <f>IF(P21=0,0,Q21/P21)</f>
        <v>-4.5578947368421048</v>
      </c>
      <c r="P21" s="115">
        <v>38</v>
      </c>
      <c r="Q21" s="103">
        <v>-173.2</v>
      </c>
    </row>
    <row r="22" spans="1:17" x14ac:dyDescent="0.45">
      <c r="A22" s="51" t="s">
        <v>5</v>
      </c>
      <c r="B22" s="48">
        <f>IF(B$15=0,0,C22/B$15)</f>
        <v>8205.6790123456794</v>
      </c>
      <c r="C22" s="39">
        <v>3323300</v>
      </c>
      <c r="E22" s="59" t="s">
        <v>92</v>
      </c>
      <c r="F22" s="56" t="s">
        <v>47</v>
      </c>
      <c r="G22" s="44">
        <v>3</v>
      </c>
      <c r="H22" s="129">
        <f>IF(B$15=0,0,G22/B$15)</f>
        <v>7.4074074074074077E-3</v>
      </c>
      <c r="I22" s="90">
        <v>4</v>
      </c>
      <c r="K22" s="36">
        <v>20</v>
      </c>
      <c r="L22" s="95">
        <v>365.49999999999994</v>
      </c>
      <c r="N22" s="111" t="s">
        <v>203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5">
      <c r="A23" s="52" t="s">
        <v>177</v>
      </c>
      <c r="B23" s="136">
        <f>IF($B$15-B$14=0,0,C23/($B$15-B$14))</f>
        <v>8551.6129032258068</v>
      </c>
      <c r="C23" s="137">
        <v>2385900</v>
      </c>
      <c r="E23" s="59" t="s">
        <v>79</v>
      </c>
      <c r="F23" s="56" t="s">
        <v>34</v>
      </c>
      <c r="G23" s="44">
        <v>2</v>
      </c>
      <c r="H23" s="129">
        <f>IF(B$15=0,0,G23/B$15)</f>
        <v>4.9382716049382715E-3</v>
      </c>
      <c r="I23" s="90">
        <v>8</v>
      </c>
      <c r="K23" s="36">
        <v>21</v>
      </c>
      <c r="L23" s="95">
        <v>371.39999999999992</v>
      </c>
    </row>
    <row r="24" spans="1:17" x14ac:dyDescent="0.45">
      <c r="A24" s="52" t="s">
        <v>178</v>
      </c>
      <c r="B24" s="136">
        <f>IF(B$14=0,0,C24/B$14)</f>
        <v>7439.6825396825398</v>
      </c>
      <c r="C24" s="137">
        <v>937400</v>
      </c>
      <c r="E24" s="59" t="s">
        <v>85</v>
      </c>
      <c r="F24" s="56" t="s">
        <v>40</v>
      </c>
      <c r="G24" s="44">
        <v>2</v>
      </c>
      <c r="H24" s="129">
        <f>IF(B$15=0,0,G24/B$15)</f>
        <v>4.9382716049382715E-3</v>
      </c>
      <c r="I24" s="90">
        <v>3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-7669.8717948717949</v>
      </c>
      <c r="C25" s="137">
        <v>-1196500</v>
      </c>
      <c r="E25" s="59" t="s">
        <v>88</v>
      </c>
      <c r="F25" s="56" t="s">
        <v>43</v>
      </c>
      <c r="G25" s="44">
        <v>2</v>
      </c>
      <c r="H25" s="129">
        <f>IF(B$15=0,0,G25/B$15)</f>
        <v>4.9382716049382715E-3</v>
      </c>
      <c r="I25" s="90">
        <v>2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95</v>
      </c>
      <c r="F26" s="56" t="s">
        <v>50</v>
      </c>
      <c r="G26" s="44">
        <v>2</v>
      </c>
      <c r="H26" s="129">
        <f>IF(B$15=0,0,G26/B$15)</f>
        <v>4.9382716049382715E-3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12</v>
      </c>
      <c r="E27" s="59" t="s">
        <v>74</v>
      </c>
      <c r="F27" s="56" t="s">
        <v>29</v>
      </c>
      <c r="G27" s="44">
        <v>1</v>
      </c>
      <c r="H27" s="129">
        <f>IF(B$15=0,0,G27/B$15)</f>
        <v>2.4691358024691358E-3</v>
      </c>
      <c r="I27" s="90">
        <v>6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52">
        <v>7</v>
      </c>
      <c r="C28" s="153"/>
      <c r="E28" s="59" t="s">
        <v>90</v>
      </c>
      <c r="F28" s="56" t="s">
        <v>45</v>
      </c>
      <c r="G28" s="44">
        <v>1</v>
      </c>
      <c r="H28" s="129">
        <f>IF(B$15=0,0,G28/B$15)</f>
        <v>2.4691358024691358E-3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50">
        <v>149100</v>
      </c>
      <c r="C29" s="151"/>
      <c r="E29" s="59" t="s">
        <v>106</v>
      </c>
      <c r="F29" s="56" t="s">
        <v>113</v>
      </c>
      <c r="G29" s="44">
        <v>1</v>
      </c>
      <c r="H29" s="129">
        <f>IF(B$15=0,0,G29/B$15)</f>
        <v>2.4691358024691358E-3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8.4317032040472171E-4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36</v>
      </c>
      <c r="C32" s="141">
        <f>IF(B$15=0,0,B32/B$15)</f>
        <v>8.8888888888888892E-2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70</v>
      </c>
      <c r="C33" s="37">
        <f t="shared" ref="C33:C44" si="2">IF(B$15=0,0,B33/B$15)</f>
        <v>0.1728395061728395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88</v>
      </c>
      <c r="C34" s="37">
        <f>IF(B$15=0,0,B34/B$15)</f>
        <v>0.21728395061728395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75</v>
      </c>
      <c r="C35" s="37">
        <f t="shared" si="2"/>
        <v>0.18518518518518517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60</v>
      </c>
      <c r="C36" s="37">
        <f t="shared" si="2"/>
        <v>0.14814814814814814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37</v>
      </c>
      <c r="C37" s="37">
        <f t="shared" si="2"/>
        <v>9.1358024691358022E-2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18</v>
      </c>
      <c r="C38" s="37">
        <f t="shared" si="2"/>
        <v>4.4444444444444446E-2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6</v>
      </c>
      <c r="C39" s="37">
        <f t="shared" si="2"/>
        <v>1.4814814814814815E-2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8</v>
      </c>
      <c r="C40" s="37">
        <f t="shared" si="2"/>
        <v>1.9753086419753086E-2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2.4691358024691358E-3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2"/>
        <v>1.4814814814814815E-2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A2B3B-3E41-4302-9922-F85E1AD08E24}">
  <sheetPr codeName="Sheet11"/>
  <dimension ref="A1:Q13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127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129</v>
      </c>
      <c r="C2" s="159"/>
      <c r="E2" s="58" t="s">
        <v>66</v>
      </c>
      <c r="F2" s="55" t="s">
        <v>22</v>
      </c>
      <c r="G2" s="43">
        <v>272</v>
      </c>
      <c r="H2" s="128">
        <f>IF(B$15=0,0,G2/B$15)</f>
        <v>0.83692307692307688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-1472.65625</v>
      </c>
      <c r="P2" s="114">
        <v>128</v>
      </c>
      <c r="Q2" s="98">
        <v>-188500</v>
      </c>
    </row>
    <row r="3" spans="1:17" x14ac:dyDescent="0.45">
      <c r="A3" s="51" t="s">
        <v>8</v>
      </c>
      <c r="B3" s="160">
        <v>1081</v>
      </c>
      <c r="C3" s="161"/>
      <c r="E3" s="59" t="s">
        <v>72</v>
      </c>
      <c r="F3" s="56" t="s">
        <v>27</v>
      </c>
      <c r="G3" s="44">
        <v>190</v>
      </c>
      <c r="H3" s="129">
        <f>IF(B$15=0,0,G3/B$15)</f>
        <v>0.58461538461538465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1412.6984126984128</v>
      </c>
      <c r="P3" s="115">
        <v>126</v>
      </c>
      <c r="Q3" s="99">
        <v>178000</v>
      </c>
    </row>
    <row r="4" spans="1:17" x14ac:dyDescent="0.45">
      <c r="A4" s="51" t="s">
        <v>6</v>
      </c>
      <c r="B4" s="162">
        <v>24.699999999999804</v>
      </c>
      <c r="C4" s="163"/>
      <c r="E4" s="59" t="s">
        <v>166</v>
      </c>
      <c r="F4" s="56" t="s">
        <v>167</v>
      </c>
      <c r="G4" s="44">
        <v>129</v>
      </c>
      <c r="H4" s="129">
        <f>IF(B$15=0,0,G4/B$15)</f>
        <v>0.39692307692307693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-255.65217391304347</v>
      </c>
      <c r="P4" s="115">
        <v>115</v>
      </c>
      <c r="Q4" s="99">
        <v>-29400</v>
      </c>
    </row>
    <row r="5" spans="1:17" x14ac:dyDescent="0.45">
      <c r="A5" s="51" t="s">
        <v>7</v>
      </c>
      <c r="B5" s="164">
        <f>IF(B$2=0,0,B$4/B$2)</f>
        <v>0.19147286821705276</v>
      </c>
      <c r="C5" s="165"/>
      <c r="E5" s="59" t="s">
        <v>64</v>
      </c>
      <c r="F5" s="56" t="s">
        <v>20</v>
      </c>
      <c r="G5" s="44">
        <v>123</v>
      </c>
      <c r="H5" s="129">
        <f>IF(B$15=0,0,G5/B$15)</f>
        <v>0.37846153846153846</v>
      </c>
      <c r="I5" s="90">
        <v>10</v>
      </c>
      <c r="K5" s="36">
        <v>3</v>
      </c>
      <c r="L5" s="95">
        <v>-58.599999999999994</v>
      </c>
      <c r="N5" s="111" t="s">
        <v>133</v>
      </c>
      <c r="O5" s="118">
        <f t="shared" si="0"/>
        <v>237.61467889908258</v>
      </c>
      <c r="P5" s="115">
        <v>109</v>
      </c>
      <c r="Q5" s="99">
        <v>25900</v>
      </c>
    </row>
    <row r="6" spans="1:17" x14ac:dyDescent="0.45">
      <c r="A6" s="51" t="s">
        <v>1</v>
      </c>
      <c r="B6" s="154">
        <f>IF(B$2=0,0,(B$7*1+B$8*2+B$9*3)/B$2)</f>
        <v>1.9534883720930232</v>
      </c>
      <c r="C6" s="155"/>
      <c r="E6" s="59" t="s">
        <v>68</v>
      </c>
      <c r="F6" s="56" t="s">
        <v>12</v>
      </c>
      <c r="G6" s="44">
        <v>87</v>
      </c>
      <c r="H6" s="129">
        <f>IF(B$15=0,0,G6/B$15)</f>
        <v>0.26769230769230767</v>
      </c>
      <c r="I6" s="90">
        <v>8</v>
      </c>
      <c r="K6" s="36">
        <v>4</v>
      </c>
      <c r="L6" s="95">
        <v>-38.099999999999994</v>
      </c>
      <c r="N6" s="111" t="s">
        <v>134</v>
      </c>
      <c r="O6" s="118">
        <f t="shared" si="0"/>
        <v>-927</v>
      </c>
      <c r="P6" s="115">
        <v>100</v>
      </c>
      <c r="Q6" s="99">
        <v>-92700</v>
      </c>
    </row>
    <row r="7" spans="1:17" x14ac:dyDescent="0.45">
      <c r="A7" s="51" t="s">
        <v>2</v>
      </c>
      <c r="B7" s="44">
        <v>44</v>
      </c>
      <c r="C7" s="37">
        <f t="shared" ref="C7:C10" si="1">IF(B$2=0,0,B7/B$2)</f>
        <v>0.34108527131782945</v>
      </c>
      <c r="E7" s="59" t="s">
        <v>67</v>
      </c>
      <c r="F7" s="56" t="s">
        <v>23</v>
      </c>
      <c r="G7" s="44">
        <v>69</v>
      </c>
      <c r="H7" s="129">
        <f>IF(B$15=0,0,G7/B$15)</f>
        <v>0.21230769230769231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1467.0588235294117</v>
      </c>
      <c r="P7" s="116">
        <v>85</v>
      </c>
      <c r="Q7" s="100">
        <v>124700</v>
      </c>
    </row>
    <row r="8" spans="1:17" x14ac:dyDescent="0.45">
      <c r="A8" s="51" t="s">
        <v>3</v>
      </c>
      <c r="B8" s="44">
        <v>47</v>
      </c>
      <c r="C8" s="37">
        <f t="shared" si="1"/>
        <v>0.36434108527131781</v>
      </c>
      <c r="E8" s="59" t="s">
        <v>89</v>
      </c>
      <c r="F8" s="56" t="s">
        <v>44</v>
      </c>
      <c r="G8" s="44">
        <v>40</v>
      </c>
      <c r="H8" s="129">
        <f>IF(B$15=0,0,G8/B$15)</f>
        <v>0.12307692307692308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38</v>
      </c>
      <c r="C9" s="38">
        <f t="shared" si="1"/>
        <v>0.29457364341085274</v>
      </c>
      <c r="E9" s="59" t="s">
        <v>69</v>
      </c>
      <c r="F9" s="56" t="s">
        <v>24</v>
      </c>
      <c r="G9" s="44">
        <v>38</v>
      </c>
      <c r="H9" s="129">
        <f>IF(B$15=0,0,G9/B$15)</f>
        <v>0.11692307692307692</v>
      </c>
      <c r="I9" s="90">
        <v>9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0.13953488372093023</v>
      </c>
      <c r="E10" s="59" t="s">
        <v>71</v>
      </c>
      <c r="F10" s="56" t="s">
        <v>26</v>
      </c>
      <c r="G10" s="44">
        <v>30</v>
      </c>
      <c r="H10" s="129">
        <f>IF(B$15=0,0,G10/B$15)</f>
        <v>9.2307692307692313E-2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1.6058823529411772</v>
      </c>
      <c r="P10" s="114">
        <v>34</v>
      </c>
      <c r="Q10" s="102">
        <v>54.600000000000023</v>
      </c>
    </row>
    <row r="11" spans="1:17" x14ac:dyDescent="0.45">
      <c r="A11" s="54" t="s">
        <v>121</v>
      </c>
      <c r="B11" s="47">
        <v>248</v>
      </c>
      <c r="C11" s="42">
        <f>IF(B$3=0,0,B11/B$3)</f>
        <v>0.2294172062904718</v>
      </c>
      <c r="E11" s="59" t="s">
        <v>70</v>
      </c>
      <c r="F11" s="56" t="s">
        <v>25</v>
      </c>
      <c r="G11" s="44">
        <v>28</v>
      </c>
      <c r="H11" s="129">
        <f>IF(B$15=0,0,G11/B$15)</f>
        <v>8.615384615384615E-2</v>
      </c>
      <c r="I11" s="90">
        <v>9</v>
      </c>
      <c r="K11" s="36">
        <v>9</v>
      </c>
      <c r="L11" s="95">
        <v>-83.699999999999989</v>
      </c>
      <c r="N11" s="111" t="s">
        <v>158</v>
      </c>
      <c r="O11" s="121">
        <f>IF(P11=0,0,Q11/P11)</f>
        <v>4.0386363636363649</v>
      </c>
      <c r="P11" s="115">
        <v>44</v>
      </c>
      <c r="Q11" s="103">
        <v>177.70000000000005</v>
      </c>
    </row>
    <row r="12" spans="1:17" x14ac:dyDescent="0.45">
      <c r="A12" s="51" t="s">
        <v>118</v>
      </c>
      <c r="B12" s="44">
        <v>336</v>
      </c>
      <c r="C12" s="37">
        <f>IF(B$3=0,0,B12/B$3)</f>
        <v>0.31082331174838113</v>
      </c>
      <c r="E12" s="59" t="s">
        <v>65</v>
      </c>
      <c r="F12" s="56" t="s">
        <v>21</v>
      </c>
      <c r="G12" s="44">
        <v>27</v>
      </c>
      <c r="H12" s="129">
        <f>IF(B$15=0,0,G12/B$15)</f>
        <v>8.3076923076923076E-2</v>
      </c>
      <c r="I12" s="90">
        <v>9</v>
      </c>
      <c r="K12" s="36">
        <v>10</v>
      </c>
      <c r="L12" s="95">
        <v>-78.399999999999991</v>
      </c>
      <c r="N12" s="112" t="s">
        <v>159</v>
      </c>
      <c r="O12" s="122">
        <f>IF(P12=0,0,Q12/P12)</f>
        <v>-4.0705882352941183</v>
      </c>
      <c r="P12" s="116">
        <v>51</v>
      </c>
      <c r="Q12" s="104">
        <v>-207.60000000000002</v>
      </c>
    </row>
    <row r="13" spans="1:17" x14ac:dyDescent="0.45">
      <c r="A13" s="50" t="s">
        <v>123</v>
      </c>
      <c r="B13" s="43">
        <f>B19</f>
        <v>121</v>
      </c>
      <c r="C13" s="35">
        <f>IF(B$11=0,0,B13/B$11)</f>
        <v>0.48790322580645162</v>
      </c>
      <c r="E13" s="59" t="s">
        <v>86</v>
      </c>
      <c r="F13" s="56" t="s">
        <v>41</v>
      </c>
      <c r="G13" s="44">
        <v>21</v>
      </c>
      <c r="H13" s="129">
        <f>IF(B$15=0,0,G13/B$15)</f>
        <v>6.4615384615384616E-2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128</v>
      </c>
      <c r="C14" s="35">
        <f>IF(B$12=0,0,B14/B$12)</f>
        <v>0.38095238095238093</v>
      </c>
      <c r="E14" s="59" t="s">
        <v>83</v>
      </c>
      <c r="F14" s="56" t="s">
        <v>38</v>
      </c>
      <c r="G14" s="44">
        <v>19</v>
      </c>
      <c r="H14" s="129">
        <f>IF(B$15=0,0,G14/B$15)</f>
        <v>5.8461538461538461E-2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325</v>
      </c>
      <c r="C15" s="35">
        <f>IF(B$3=0,0,B15/B$3)</f>
        <v>0.30064754856614245</v>
      </c>
      <c r="E15" s="59" t="s">
        <v>78</v>
      </c>
      <c r="F15" s="56" t="s">
        <v>33</v>
      </c>
      <c r="G15" s="44">
        <v>9</v>
      </c>
      <c r="H15" s="129">
        <f>IF(B$15=0,0,G15/B$15)</f>
        <v>2.7692307692307693E-2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203</v>
      </c>
      <c r="C16" s="37">
        <f>IF(B$3=0,0,B16/B$3)</f>
        <v>0.1877890841813136</v>
      </c>
      <c r="E16" s="59" t="s">
        <v>91</v>
      </c>
      <c r="F16" s="56" t="s">
        <v>46</v>
      </c>
      <c r="G16" s="44">
        <v>9</v>
      </c>
      <c r="H16" s="129">
        <f>IF(B$15=0,0,G16/B$15)</f>
        <v>2.7692307692307693E-2</v>
      </c>
      <c r="I16" s="90">
        <v>1</v>
      </c>
      <c r="K16" s="36">
        <v>14</v>
      </c>
      <c r="L16" s="95">
        <v>-138.4</v>
      </c>
      <c r="N16" s="111" t="s">
        <v>197</v>
      </c>
      <c r="O16" s="121">
        <f>IF(P16=0,0,Q16/P16)</f>
        <v>16.62857142857143</v>
      </c>
      <c r="P16" s="115">
        <v>14</v>
      </c>
      <c r="Q16" s="103">
        <v>232.8</v>
      </c>
    </row>
    <row r="17" spans="1:17" x14ac:dyDescent="0.45">
      <c r="A17" s="51" t="s">
        <v>12</v>
      </c>
      <c r="B17" s="44">
        <v>134</v>
      </c>
      <c r="C17" s="37">
        <f>IF(B$15=0,0,B17/B$15)</f>
        <v>0.41230769230769232</v>
      </c>
      <c r="E17" s="59" t="s">
        <v>81</v>
      </c>
      <c r="F17" s="56" t="s">
        <v>36</v>
      </c>
      <c r="G17" s="44">
        <v>8</v>
      </c>
      <c r="H17" s="129">
        <f>IF(B$15=0,0,G17/B$15)</f>
        <v>2.4615384615384615E-2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>IF(P17=0,0,Q17/P17)</f>
        <v>14.939534883720924</v>
      </c>
      <c r="P17" s="115">
        <v>43</v>
      </c>
      <c r="Q17" s="103">
        <v>642.39999999999975</v>
      </c>
    </row>
    <row r="18" spans="1:17" x14ac:dyDescent="0.45">
      <c r="A18" s="51" t="s">
        <v>11</v>
      </c>
      <c r="B18" s="44">
        <v>191</v>
      </c>
      <c r="C18" s="37">
        <f>IF(B$15=0,0,B18/B$15)</f>
        <v>0.58769230769230774</v>
      </c>
      <c r="E18" s="59" t="s">
        <v>79</v>
      </c>
      <c r="F18" s="56" t="s">
        <v>34</v>
      </c>
      <c r="G18" s="44">
        <v>6</v>
      </c>
      <c r="H18" s="129">
        <f>IF(B$15=0,0,G18/B$15)</f>
        <v>1.8461538461538463E-2</v>
      </c>
      <c r="I18" s="90">
        <v>3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121</v>
      </c>
      <c r="C19" s="37">
        <f>IF(B$15=0,0,B19/B$15)</f>
        <v>0.37230769230769228</v>
      </c>
      <c r="E19" s="59" t="s">
        <v>92</v>
      </c>
      <c r="F19" s="56" t="s">
        <v>47</v>
      </c>
      <c r="G19" s="44">
        <v>3</v>
      </c>
      <c r="H19" s="129">
        <f>IF(B$15=0,0,G19/B$15)</f>
        <v>9.2307692307692316E-3</v>
      </c>
      <c r="I19" s="90">
        <v>3</v>
      </c>
      <c r="K19" s="36">
        <v>17</v>
      </c>
      <c r="L19" s="95">
        <v>-179.70000000000002</v>
      </c>
      <c r="N19" s="111" t="s">
        <v>161</v>
      </c>
      <c r="O19" s="121">
        <f>IF(P19=0,0,Q19/P19)</f>
        <v>4.1851851851851842</v>
      </c>
      <c r="P19" s="115">
        <v>27</v>
      </c>
      <c r="Q19" s="103">
        <v>112.99999999999999</v>
      </c>
    </row>
    <row r="20" spans="1:17" x14ac:dyDescent="0.45">
      <c r="A20" s="51" t="s">
        <v>193</v>
      </c>
      <c r="B20" s="44">
        <v>128</v>
      </c>
      <c r="C20" s="37">
        <f>IF(B$15=0,0,B20/B$15)</f>
        <v>0.39384615384615385</v>
      </c>
      <c r="E20" s="59" t="s">
        <v>162</v>
      </c>
      <c r="F20" s="56" t="s">
        <v>163</v>
      </c>
      <c r="G20" s="44">
        <v>3</v>
      </c>
      <c r="H20" s="129">
        <f>IF(B$15=0,0,G20/B$15)</f>
        <v>9.2307692307692316E-3</v>
      </c>
      <c r="I20" s="90">
        <v>7</v>
      </c>
      <c r="K20" s="36">
        <v>18</v>
      </c>
      <c r="L20" s="95">
        <v>-112.90000000000002</v>
      </c>
      <c r="N20" s="111" t="s">
        <v>170</v>
      </c>
      <c r="O20" s="121">
        <f>IF(P20=0,0,Q20/P20)</f>
        <v>3.5842105263157951</v>
      </c>
      <c r="P20" s="115">
        <v>38</v>
      </c>
      <c r="Q20" s="103">
        <v>136.20000000000022</v>
      </c>
    </row>
    <row r="21" spans="1:17" x14ac:dyDescent="0.45">
      <c r="A21" s="51" t="s">
        <v>194</v>
      </c>
      <c r="B21" s="44">
        <v>76</v>
      </c>
      <c r="C21" s="37">
        <f>IF(B$15=0,0,B21/B$15)</f>
        <v>0.23384615384615384</v>
      </c>
      <c r="E21" s="59" t="s">
        <v>74</v>
      </c>
      <c r="F21" s="56" t="s">
        <v>29</v>
      </c>
      <c r="G21" s="44">
        <v>2</v>
      </c>
      <c r="H21" s="129">
        <f>IF(B$15=0,0,G21/B$15)</f>
        <v>6.1538461538461538E-3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-0.33499999999999791</v>
      </c>
      <c r="P21" s="115">
        <v>40</v>
      </c>
      <c r="Q21" s="103">
        <v>-13.399999999999917</v>
      </c>
    </row>
    <row r="22" spans="1:17" x14ac:dyDescent="0.45">
      <c r="A22" s="51" t="s">
        <v>5</v>
      </c>
      <c r="B22" s="48">
        <f>IF(B$15=0,0,C22/B$15)</f>
        <v>8425.8461538461543</v>
      </c>
      <c r="C22" s="39">
        <v>2738400</v>
      </c>
      <c r="E22" s="59" t="s">
        <v>75</v>
      </c>
      <c r="F22" s="56" t="s">
        <v>30</v>
      </c>
      <c r="G22" s="44">
        <v>2</v>
      </c>
      <c r="H22" s="129">
        <f>IF(B$15=0,0,G22/B$15)</f>
        <v>6.1538461538461538E-3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>IF(P22=0,0,Q22/P22)</f>
        <v>-14.101123595505621</v>
      </c>
      <c r="P22" s="115">
        <v>89</v>
      </c>
      <c r="Q22" s="103">
        <v>-1255.0000000000002</v>
      </c>
    </row>
    <row r="23" spans="1:17" x14ac:dyDescent="0.45">
      <c r="A23" s="52" t="s">
        <v>177</v>
      </c>
      <c r="B23" s="136">
        <f>IF($B$15-B$14=0,0,C23/($B$15-B$14))</f>
        <v>9124.3654822335029</v>
      </c>
      <c r="C23" s="137">
        <v>1797500</v>
      </c>
      <c r="E23" s="59" t="s">
        <v>73</v>
      </c>
      <c r="F23" s="56" t="s">
        <v>28</v>
      </c>
      <c r="G23" s="44">
        <v>1</v>
      </c>
      <c r="H23" s="129">
        <f>IF(B$15=0,0,G23/B$15)</f>
        <v>3.0769230769230769E-3</v>
      </c>
      <c r="I23" s="90">
        <v>4</v>
      </c>
      <c r="K23" s="36">
        <v>21</v>
      </c>
      <c r="L23" s="95">
        <v>-67.200000000000031</v>
      </c>
    </row>
    <row r="24" spans="1:17" x14ac:dyDescent="0.45">
      <c r="A24" s="52" t="s">
        <v>178</v>
      </c>
      <c r="B24" s="136">
        <f>IF(B$14=0,0,C24/B$14)</f>
        <v>7350.78125</v>
      </c>
      <c r="C24" s="137">
        <v>940900</v>
      </c>
      <c r="E24" s="59" t="s">
        <v>77</v>
      </c>
      <c r="F24" s="56" t="s">
        <v>32</v>
      </c>
      <c r="G24" s="44">
        <v>1</v>
      </c>
      <c r="H24" s="129">
        <f>IF(B$15=0,0,G24/B$15)</f>
        <v>3.0769230769230769E-3</v>
      </c>
      <c r="I24" s="90">
        <v>3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-7975.3694581280788</v>
      </c>
      <c r="C25" s="137">
        <v>-1619000</v>
      </c>
      <c r="E25" s="59" t="s">
        <v>84</v>
      </c>
      <c r="F25" s="56" t="s">
        <v>39</v>
      </c>
      <c r="G25" s="44">
        <v>1</v>
      </c>
      <c r="H25" s="129">
        <f>IF(B$15=0,0,G25/B$15)</f>
        <v>3.0769230769230769E-3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3.0769230769230769E-3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4</v>
      </c>
      <c r="E27" s="59" t="s">
        <v>95</v>
      </c>
      <c r="F27" s="56" t="s">
        <v>50</v>
      </c>
      <c r="G27" s="44">
        <v>1</v>
      </c>
      <c r="H27" s="129">
        <f>IF(B$15=0,0,G27/B$15)</f>
        <v>3.0769230769230769E-3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50">
        <v>91800</v>
      </c>
      <c r="C29" s="151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4</v>
      </c>
      <c r="C30" s="40">
        <f>IF(B$3=0,0,B30/B$3)</f>
        <v>3.7002775208140612E-3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23</v>
      </c>
      <c r="C32" s="141">
        <f>IF(B$15=0,0,B32/B$15)</f>
        <v>7.0769230769230765E-2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4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50</v>
      </c>
      <c r="C33" s="37">
        <f t="shared" ref="C33:C44" si="2">IF(B$15=0,0,B33/B$15)</f>
        <v>0.15384615384615385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69</v>
      </c>
      <c r="C34" s="37">
        <f>IF(B$15=0,0,B34/B$15)</f>
        <v>0.21230769230769231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68</v>
      </c>
      <c r="C35" s="37">
        <f t="shared" si="2"/>
        <v>0.20923076923076922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49</v>
      </c>
      <c r="C36" s="37">
        <f t="shared" si="2"/>
        <v>0.15076923076923077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36</v>
      </c>
      <c r="C37" s="37">
        <f t="shared" si="2"/>
        <v>0.11076923076923077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10</v>
      </c>
      <c r="C38" s="37">
        <f t="shared" si="2"/>
        <v>3.0769230769230771E-2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2"/>
        <v>2.4615384615384615E-2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5</v>
      </c>
      <c r="C40" s="37">
        <f t="shared" si="2"/>
        <v>1.5384615384615385E-2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3.0769230769230769E-3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6.1538461538461538E-3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1.2307692307692308E-2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F757-5CF2-4536-88D9-D3B001E25C97}">
  <sheetPr codeName="Sheet13"/>
  <dimension ref="A1:Q8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172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80</v>
      </c>
      <c r="C2" s="159"/>
      <c r="E2" s="58" t="s">
        <v>66</v>
      </c>
      <c r="F2" s="55" t="s">
        <v>22</v>
      </c>
      <c r="G2" s="43">
        <v>145</v>
      </c>
      <c r="H2" s="128">
        <f>IF(B$15=0,0,G2/B$15)</f>
        <v>0.75916230366492143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-443.03797468354429</v>
      </c>
      <c r="P2" s="114">
        <v>79</v>
      </c>
      <c r="Q2" s="98">
        <v>-35000</v>
      </c>
    </row>
    <row r="3" spans="1:17" x14ac:dyDescent="0.45">
      <c r="A3" s="51" t="s">
        <v>8</v>
      </c>
      <c r="B3" s="160">
        <v>681</v>
      </c>
      <c r="C3" s="161"/>
      <c r="E3" s="59" t="s">
        <v>64</v>
      </c>
      <c r="F3" s="56" t="s">
        <v>20</v>
      </c>
      <c r="G3" s="44">
        <v>108</v>
      </c>
      <c r="H3" s="129">
        <f>IF(B$15=0,0,G3/B$15)</f>
        <v>0.56544502617801051</v>
      </c>
      <c r="I3" s="90">
        <v>3</v>
      </c>
      <c r="K3" s="36">
        <v>1</v>
      </c>
      <c r="L3" s="95">
        <v>-37.799999999999997</v>
      </c>
      <c r="N3" s="111" t="s">
        <v>131</v>
      </c>
      <c r="O3" s="118">
        <f t="shared" si="0"/>
        <v>-1150.632911392405</v>
      </c>
      <c r="P3" s="115">
        <v>79</v>
      </c>
      <c r="Q3" s="99">
        <v>-90900</v>
      </c>
    </row>
    <row r="4" spans="1:17" x14ac:dyDescent="0.45">
      <c r="A4" s="51" t="s">
        <v>6</v>
      </c>
      <c r="B4" s="162">
        <v>-486.6</v>
      </c>
      <c r="C4" s="163"/>
      <c r="E4" s="59" t="s">
        <v>72</v>
      </c>
      <c r="F4" s="56" t="s">
        <v>27</v>
      </c>
      <c r="G4" s="44">
        <v>96</v>
      </c>
      <c r="H4" s="129">
        <f>IF(B$15=0,0,G4/B$15)</f>
        <v>0.50261780104712039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927.39726027397262</v>
      </c>
      <c r="P4" s="115">
        <v>73</v>
      </c>
      <c r="Q4" s="99">
        <v>67700</v>
      </c>
    </row>
    <row r="5" spans="1:17" x14ac:dyDescent="0.45">
      <c r="A5" s="51" t="s">
        <v>7</v>
      </c>
      <c r="B5" s="164">
        <f>IF(B$2=0,0,B$4/B$2)</f>
        <v>-6.0825000000000005</v>
      </c>
      <c r="C5" s="165"/>
      <c r="E5" s="59" t="s">
        <v>166</v>
      </c>
      <c r="F5" s="56" t="s">
        <v>167</v>
      </c>
      <c r="G5" s="44">
        <v>81</v>
      </c>
      <c r="H5" s="129">
        <f>IF(B$15=0,0,G5/B$15)</f>
        <v>0.42408376963350786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-261.11111111111109</v>
      </c>
      <c r="P5" s="115">
        <v>72</v>
      </c>
      <c r="Q5" s="99">
        <v>-18800</v>
      </c>
    </row>
    <row r="6" spans="1:17" x14ac:dyDescent="0.45">
      <c r="A6" s="51" t="s">
        <v>1</v>
      </c>
      <c r="B6" s="154">
        <f>IF(B$2=0,0,(B$7*1+B$8*2+B$9*3)/B$2)</f>
        <v>2.1625000000000001</v>
      </c>
      <c r="C6" s="155"/>
      <c r="E6" s="59" t="s">
        <v>68</v>
      </c>
      <c r="F6" s="56" t="s">
        <v>12</v>
      </c>
      <c r="G6" s="44">
        <v>66</v>
      </c>
      <c r="H6" s="129">
        <f>IF(B$15=0,0,G6/B$15)</f>
        <v>0.34554973821989526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-2939.705882352941</v>
      </c>
      <c r="P6" s="115">
        <v>68</v>
      </c>
      <c r="Q6" s="99">
        <v>-199900</v>
      </c>
    </row>
    <row r="7" spans="1:17" x14ac:dyDescent="0.45">
      <c r="A7" s="51" t="s">
        <v>2</v>
      </c>
      <c r="B7" s="44">
        <v>17</v>
      </c>
      <c r="C7" s="37">
        <f t="shared" ref="C7:C10" si="1">IF(B$2=0,0,B7/B$2)</f>
        <v>0.21249999999999999</v>
      </c>
      <c r="E7" s="59" t="s">
        <v>67</v>
      </c>
      <c r="F7" s="56" t="s">
        <v>23</v>
      </c>
      <c r="G7" s="44">
        <v>54</v>
      </c>
      <c r="H7" s="129">
        <f>IF(B$15=0,0,G7/B$15)</f>
        <v>0.28272251308900526</v>
      </c>
      <c r="I7" s="90">
        <v>6</v>
      </c>
      <c r="K7" s="36">
        <v>5</v>
      </c>
      <c r="L7" s="95">
        <v>-33.699999999999989</v>
      </c>
      <c r="N7" s="112" t="s">
        <v>135</v>
      </c>
      <c r="O7" s="119">
        <f t="shared" si="0"/>
        <v>-1740.6779661016949</v>
      </c>
      <c r="P7" s="116">
        <v>59</v>
      </c>
      <c r="Q7" s="100">
        <v>-102700</v>
      </c>
    </row>
    <row r="8" spans="1:17" x14ac:dyDescent="0.45">
      <c r="A8" s="51" t="s">
        <v>3</v>
      </c>
      <c r="B8" s="44">
        <v>33</v>
      </c>
      <c r="C8" s="37">
        <f t="shared" si="1"/>
        <v>0.41249999999999998</v>
      </c>
      <c r="E8" s="59" t="s">
        <v>69</v>
      </c>
      <c r="F8" s="56" t="s">
        <v>24</v>
      </c>
      <c r="G8" s="44">
        <v>26</v>
      </c>
      <c r="H8" s="129">
        <f>IF(B$15=0,0,G8/B$15)</f>
        <v>0.13612565445026178</v>
      </c>
      <c r="I8" s="90">
        <v>8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30</v>
      </c>
      <c r="C9" s="38">
        <f t="shared" si="1"/>
        <v>0.375</v>
      </c>
      <c r="E9" s="59" t="s">
        <v>70</v>
      </c>
      <c r="F9" s="56" t="s">
        <v>25</v>
      </c>
      <c r="G9" s="44">
        <v>25</v>
      </c>
      <c r="H9" s="129">
        <f>IF(B$15=0,0,G9/B$15)</f>
        <v>0.13089005235602094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7.4999999999999997E-2</v>
      </c>
      <c r="E10" s="59" t="s">
        <v>65</v>
      </c>
      <c r="F10" s="56" t="s">
        <v>21</v>
      </c>
      <c r="G10" s="44">
        <v>23</v>
      </c>
      <c r="H10" s="129">
        <f>IF(B$15=0,0,G10/B$15)</f>
        <v>0.12041884816753927</v>
      </c>
      <c r="I10" s="90">
        <v>5</v>
      </c>
      <c r="K10" s="36">
        <v>8</v>
      </c>
      <c r="L10" s="95">
        <v>-62.999999999999993</v>
      </c>
      <c r="N10" s="110" t="s">
        <v>157</v>
      </c>
      <c r="O10" s="120">
        <f>IF(P10=0,0,Q10/P10)</f>
        <v>-3.8062500000000008</v>
      </c>
      <c r="P10" s="114">
        <v>32</v>
      </c>
      <c r="Q10" s="102">
        <v>-121.80000000000003</v>
      </c>
    </row>
    <row r="11" spans="1:17" x14ac:dyDescent="0.45">
      <c r="A11" s="54" t="s">
        <v>121</v>
      </c>
      <c r="B11" s="47">
        <v>192</v>
      </c>
      <c r="C11" s="42">
        <f>IF(B$3=0,0,B11/B$3)</f>
        <v>0.28193832599118945</v>
      </c>
      <c r="E11" s="59" t="s">
        <v>89</v>
      </c>
      <c r="F11" s="56" t="s">
        <v>44</v>
      </c>
      <c r="G11" s="44">
        <v>22</v>
      </c>
      <c r="H11" s="129">
        <f>IF(B$15=0,0,G11/B$15)</f>
        <v>0.11518324607329843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-8.204545454545455</v>
      </c>
      <c r="P11" s="115">
        <v>22</v>
      </c>
      <c r="Q11" s="103">
        <v>-180.50000000000003</v>
      </c>
    </row>
    <row r="12" spans="1:17" x14ac:dyDescent="0.45">
      <c r="A12" s="51" t="s">
        <v>118</v>
      </c>
      <c r="B12" s="44">
        <v>138</v>
      </c>
      <c r="C12" s="37">
        <f>IF(B$3=0,0,B12/B$3)</f>
        <v>0.20264317180616739</v>
      </c>
      <c r="E12" s="59" t="s">
        <v>83</v>
      </c>
      <c r="F12" s="56" t="s">
        <v>38</v>
      </c>
      <c r="G12" s="44">
        <v>10</v>
      </c>
      <c r="H12" s="129">
        <f>IF(B$15=0,0,G12/B$15)</f>
        <v>5.2356020942408377E-2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-7.0884615384615364</v>
      </c>
      <c r="P12" s="116">
        <v>26</v>
      </c>
      <c r="Q12" s="104">
        <v>-184.29999999999995</v>
      </c>
    </row>
    <row r="13" spans="1:17" x14ac:dyDescent="0.45">
      <c r="A13" s="50" t="s">
        <v>123</v>
      </c>
      <c r="B13" s="43">
        <f>B19</f>
        <v>109</v>
      </c>
      <c r="C13" s="35">
        <f>IF(B$11=0,0,B13/B$11)</f>
        <v>0.56770833333333337</v>
      </c>
      <c r="E13" s="59" t="s">
        <v>71</v>
      </c>
      <c r="F13" s="56" t="s">
        <v>26</v>
      </c>
      <c r="G13" s="44">
        <v>8</v>
      </c>
      <c r="H13" s="129">
        <f>IF(B$15=0,0,G13/B$15)</f>
        <v>4.1884816753926704E-2</v>
      </c>
      <c r="I13" s="90">
        <v>12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56</v>
      </c>
      <c r="C14" s="35">
        <f>IF(B$12=0,0,B14/B$12)</f>
        <v>0.40579710144927539</v>
      </c>
      <c r="E14" s="59" t="s">
        <v>78</v>
      </c>
      <c r="F14" s="56" t="s">
        <v>33</v>
      </c>
      <c r="G14" s="44">
        <v>7</v>
      </c>
      <c r="H14" s="129">
        <f>IF(B$15=0,0,G14/B$15)</f>
        <v>3.6649214659685861E-2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191</v>
      </c>
      <c r="C15" s="35">
        <f>IF(B$3=0,0,B15/B$3)</f>
        <v>0.28046989720998533</v>
      </c>
      <c r="E15" s="59" t="s">
        <v>86</v>
      </c>
      <c r="F15" s="56" t="s">
        <v>41</v>
      </c>
      <c r="G15" s="44">
        <v>6</v>
      </c>
      <c r="H15" s="129">
        <f>IF(B$15=0,0,G15/B$15)</f>
        <v>3.1413612565445025E-2</v>
      </c>
      <c r="I15" s="90">
        <v>9</v>
      </c>
      <c r="K15" s="36">
        <v>13</v>
      </c>
      <c r="L15" s="95">
        <v>-207.3</v>
      </c>
      <c r="N15" s="110" t="s">
        <v>161</v>
      </c>
      <c r="O15" s="120">
        <f t="shared" ref="O15:O22" si="2">IF(P15=0,0,Q15/P15)</f>
        <v>12.242857142857146</v>
      </c>
      <c r="P15" s="114">
        <v>14</v>
      </c>
      <c r="Q15" s="102">
        <v>171.40000000000003</v>
      </c>
    </row>
    <row r="16" spans="1:17" x14ac:dyDescent="0.45">
      <c r="A16" s="51" t="s">
        <v>13</v>
      </c>
      <c r="B16" s="44">
        <v>129</v>
      </c>
      <c r="C16" s="37">
        <f>IF(B$3=0,0,B16/B$3)</f>
        <v>0.1894273127753304</v>
      </c>
      <c r="E16" s="59" t="s">
        <v>162</v>
      </c>
      <c r="F16" s="56" t="s">
        <v>163</v>
      </c>
      <c r="G16" s="44">
        <v>4</v>
      </c>
      <c r="H16" s="129">
        <f>IF(B$15=0,0,G16/B$15)</f>
        <v>2.0942408376963352E-2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5.0235294117647067</v>
      </c>
      <c r="P16" s="115">
        <v>17</v>
      </c>
      <c r="Q16" s="103">
        <v>85.40000000000002</v>
      </c>
    </row>
    <row r="17" spans="1:17" x14ac:dyDescent="0.45">
      <c r="A17" s="51" t="s">
        <v>12</v>
      </c>
      <c r="B17" s="44">
        <v>87</v>
      </c>
      <c r="C17" s="37">
        <f>IF(B$15=0,0,B17/B$15)</f>
        <v>0.45549738219895286</v>
      </c>
      <c r="E17" s="59" t="s">
        <v>75</v>
      </c>
      <c r="F17" s="56" t="s">
        <v>30</v>
      </c>
      <c r="G17" s="44">
        <v>3</v>
      </c>
      <c r="H17" s="129">
        <f>IF(B$15=0,0,G17/B$15)</f>
        <v>1.5706806282722512E-2</v>
      </c>
      <c r="I17" s="90">
        <v>2</v>
      </c>
      <c r="K17" s="36">
        <v>15</v>
      </c>
      <c r="L17" s="95">
        <v>-221.5</v>
      </c>
      <c r="N17" s="111" t="s">
        <v>197</v>
      </c>
      <c r="O17" s="121">
        <f t="shared" si="2"/>
        <v>3.1666666666666656</v>
      </c>
      <c r="P17" s="115">
        <v>3</v>
      </c>
      <c r="Q17" s="103">
        <v>9.4999999999999964</v>
      </c>
    </row>
    <row r="18" spans="1:17" x14ac:dyDescent="0.45">
      <c r="A18" s="51" t="s">
        <v>11</v>
      </c>
      <c r="B18" s="44">
        <v>104</v>
      </c>
      <c r="C18" s="37">
        <f>IF(B$15=0,0,B18/B$15)</f>
        <v>0.54450261780104714</v>
      </c>
      <c r="E18" s="59" t="s">
        <v>81</v>
      </c>
      <c r="F18" s="56" t="s">
        <v>36</v>
      </c>
      <c r="G18" s="44">
        <v>3</v>
      </c>
      <c r="H18" s="129">
        <f>IF(B$15=0,0,G18/B$15)</f>
        <v>1.5706806282722512E-2</v>
      </c>
      <c r="I18" s="90">
        <v>8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109</v>
      </c>
      <c r="C19" s="37">
        <f>IF(B$15=0,0,B19/B$15)</f>
        <v>0.5706806282722513</v>
      </c>
      <c r="E19" s="59" t="s">
        <v>79</v>
      </c>
      <c r="F19" s="56" t="s">
        <v>34</v>
      </c>
      <c r="G19" s="44">
        <v>2</v>
      </c>
      <c r="H19" s="129">
        <f>IF(B$15=0,0,G19/B$15)</f>
        <v>1.0471204188481676E-2</v>
      </c>
      <c r="I19" s="90">
        <v>6</v>
      </c>
      <c r="K19" s="36">
        <v>17</v>
      </c>
      <c r="L19" s="95">
        <v>-251.4</v>
      </c>
      <c r="N19" s="111" t="s">
        <v>171</v>
      </c>
      <c r="O19" s="121">
        <f t="shared" si="2"/>
        <v>-13.965</v>
      </c>
      <c r="P19" s="115">
        <v>20</v>
      </c>
      <c r="Q19" s="103">
        <v>-279.3</v>
      </c>
    </row>
    <row r="20" spans="1:17" x14ac:dyDescent="0.45">
      <c r="A20" s="51" t="s">
        <v>193</v>
      </c>
      <c r="B20" s="44">
        <v>56</v>
      </c>
      <c r="C20" s="37">
        <f>IF(B$15=0,0,B20/B$15)</f>
        <v>0.29319371727748689</v>
      </c>
      <c r="E20" s="59" t="s">
        <v>91</v>
      </c>
      <c r="F20" s="56" t="s">
        <v>46</v>
      </c>
      <c r="G20" s="44">
        <v>1</v>
      </c>
      <c r="H20" s="129">
        <f>IF(B$15=0,0,G20/B$15)</f>
        <v>5.235602094240838E-3</v>
      </c>
      <c r="I20" s="90">
        <v>8</v>
      </c>
      <c r="K20" s="36">
        <v>18</v>
      </c>
      <c r="L20" s="95">
        <v>-240</v>
      </c>
      <c r="N20" s="111" t="s">
        <v>126</v>
      </c>
      <c r="O20" s="121">
        <f t="shared" si="2"/>
        <v>-14.407692307692312</v>
      </c>
      <c r="P20" s="115">
        <v>52</v>
      </c>
      <c r="Q20" s="103">
        <v>-749.20000000000016</v>
      </c>
    </row>
    <row r="21" spans="1:17" x14ac:dyDescent="0.45">
      <c r="A21" s="51" t="s">
        <v>194</v>
      </c>
      <c r="B21" s="44">
        <v>26</v>
      </c>
      <c r="C21" s="37">
        <f>IF(B$15=0,0,B21/B$15)</f>
        <v>0.13612565445026178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-14.939534883720924</v>
      </c>
      <c r="P21" s="115">
        <v>43</v>
      </c>
      <c r="Q21" s="103">
        <v>-642.39999999999975</v>
      </c>
    </row>
    <row r="22" spans="1:17" x14ac:dyDescent="0.45">
      <c r="A22" s="51" t="s">
        <v>5</v>
      </c>
      <c r="B22" s="48">
        <f>IF(B$15=0,0,C22/B$15)</f>
        <v>7791.0994764397901</v>
      </c>
      <c r="C22" s="39">
        <v>1488100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228</v>
      </c>
      <c r="O22" s="121">
        <f t="shared" si="2"/>
        <v>-56.6</v>
      </c>
      <c r="P22" s="115">
        <v>1</v>
      </c>
      <c r="Q22" s="103">
        <v>-56.6</v>
      </c>
    </row>
    <row r="23" spans="1:17" x14ac:dyDescent="0.45">
      <c r="A23" s="52" t="s">
        <v>177</v>
      </c>
      <c r="B23" s="136">
        <f>IF($B$15-B$14=0,0,C23/($B$15-B$14))</f>
        <v>8354.8148148148157</v>
      </c>
      <c r="C23" s="137">
        <v>1127900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</row>
    <row r="24" spans="1:17" x14ac:dyDescent="0.45">
      <c r="A24" s="52" t="s">
        <v>178</v>
      </c>
      <c r="B24" s="136">
        <f>IF(B$14=0,0,C24/B$14)</f>
        <v>6432.1428571428569</v>
      </c>
      <c r="C24" s="137">
        <v>360200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-7549.6124031007748</v>
      </c>
      <c r="C25" s="137">
        <v>-973900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2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17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52">
        <v>8</v>
      </c>
      <c r="C28" s="153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50">
        <v>69500</v>
      </c>
      <c r="C29" s="151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4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4.4052863436123352E-3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14</v>
      </c>
      <c r="C32" s="141">
        <f>IF(B$15=0,0,B32/B$15)</f>
        <v>7.3298429319371722E-2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34</v>
      </c>
      <c r="C33" s="37">
        <f t="shared" ref="C33:C44" si="3">IF(B$15=0,0,B33/B$15)</f>
        <v>0.17801047120418848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44</v>
      </c>
      <c r="C34" s="37">
        <f>IF(B$15=0,0,B34/B$15)</f>
        <v>0.23036649214659685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30</v>
      </c>
      <c r="C35" s="37">
        <f t="shared" si="3"/>
        <v>0.15706806282722513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32</v>
      </c>
      <c r="C36" s="37">
        <f t="shared" si="3"/>
        <v>0.16753926701570682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19</v>
      </c>
      <c r="C37" s="37">
        <f t="shared" si="3"/>
        <v>9.947643979057591E-2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5.7591623036649213E-2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4</v>
      </c>
      <c r="C39" s="37">
        <f t="shared" si="3"/>
        <v>2.0942408376963352E-2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5.235602094240838E-3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1.0471204188481676E-2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</sheetData>
  <sortState xmlns:xlrd2="http://schemas.microsoft.com/office/spreadsheetml/2017/richdata2" ref="E2:I8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31DC-A1BB-4540-93F5-6AC2AD443A34}">
  <sheetPr codeName="Sheet15"/>
  <dimension ref="A1:Q9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170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95</v>
      </c>
      <c r="C2" s="159"/>
      <c r="E2" s="58" t="s">
        <v>66</v>
      </c>
      <c r="F2" s="55" t="s">
        <v>22</v>
      </c>
      <c r="G2" s="43">
        <v>180</v>
      </c>
      <c r="H2" s="128">
        <f>IF(B$15=0,0,G2/B$15)</f>
        <v>0.84112149532710279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1322.1052631578948</v>
      </c>
      <c r="P2" s="114">
        <v>95</v>
      </c>
      <c r="Q2" s="98">
        <v>125600</v>
      </c>
    </row>
    <row r="3" spans="1:17" x14ac:dyDescent="0.45">
      <c r="A3" s="51" t="s">
        <v>8</v>
      </c>
      <c r="B3" s="160">
        <v>763</v>
      </c>
      <c r="C3" s="161"/>
      <c r="E3" s="59" t="s">
        <v>72</v>
      </c>
      <c r="F3" s="56" t="s">
        <v>27</v>
      </c>
      <c r="G3" s="44">
        <v>122</v>
      </c>
      <c r="H3" s="129">
        <f>IF(B$15=0,0,G3/B$15)</f>
        <v>0.57009345794392519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-1483.8709677419354</v>
      </c>
      <c r="P3" s="115">
        <v>93</v>
      </c>
      <c r="Q3" s="99">
        <v>-138000</v>
      </c>
    </row>
    <row r="4" spans="1:17" x14ac:dyDescent="0.45">
      <c r="A4" s="51" t="s">
        <v>6</v>
      </c>
      <c r="B4" s="162">
        <v>335.30000000000013</v>
      </c>
      <c r="C4" s="163"/>
      <c r="E4" s="59" t="s">
        <v>64</v>
      </c>
      <c r="F4" s="56" t="s">
        <v>20</v>
      </c>
      <c r="G4" s="44">
        <v>119</v>
      </c>
      <c r="H4" s="129">
        <f>IF(B$15=0,0,G4/B$15)</f>
        <v>0.55607476635514019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-429.76190476190476</v>
      </c>
      <c r="P4" s="115">
        <v>84</v>
      </c>
      <c r="Q4" s="99">
        <v>-36100</v>
      </c>
    </row>
    <row r="5" spans="1:17" x14ac:dyDescent="0.45">
      <c r="A5" s="51" t="s">
        <v>7</v>
      </c>
      <c r="B5" s="164">
        <f>IF(B$2=0,0,B$4/B$2)</f>
        <v>3.5294736842105277</v>
      </c>
      <c r="C5" s="165"/>
      <c r="E5" s="59" t="s">
        <v>67</v>
      </c>
      <c r="F5" s="56" t="s">
        <v>23</v>
      </c>
      <c r="G5" s="44">
        <v>94</v>
      </c>
      <c r="H5" s="129">
        <f>IF(B$15=0,0,G5/B$15)</f>
        <v>0.43925233644859812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2795</v>
      </c>
      <c r="P5" s="115">
        <v>80</v>
      </c>
      <c r="Q5" s="99">
        <v>223600</v>
      </c>
    </row>
    <row r="6" spans="1:17" x14ac:dyDescent="0.45">
      <c r="A6" s="51" t="s">
        <v>1</v>
      </c>
      <c r="B6" s="154">
        <f>IF(B$2=0,0,(B$7*1+B$8*2+B$9*3)/B$2)</f>
        <v>1.9368421052631579</v>
      </c>
      <c r="C6" s="155"/>
      <c r="E6" s="59" t="s">
        <v>68</v>
      </c>
      <c r="F6" s="56" t="s">
        <v>12</v>
      </c>
      <c r="G6" s="44">
        <v>86</v>
      </c>
      <c r="H6" s="129">
        <f>IF(B$15=0,0,G6/B$15)</f>
        <v>0.40186915887850466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619.71830985915494</v>
      </c>
      <c r="P6" s="115">
        <v>71</v>
      </c>
      <c r="Q6" s="99">
        <v>44000</v>
      </c>
    </row>
    <row r="7" spans="1:17" x14ac:dyDescent="0.45">
      <c r="A7" s="51" t="s">
        <v>2</v>
      </c>
      <c r="B7" s="44">
        <v>37</v>
      </c>
      <c r="C7" s="37">
        <f t="shared" ref="C7:C10" si="1">IF(B$2=0,0,B7/B$2)</f>
        <v>0.38947368421052631</v>
      </c>
      <c r="E7" s="59" t="s">
        <v>166</v>
      </c>
      <c r="F7" s="56" t="s">
        <v>167</v>
      </c>
      <c r="G7" s="44">
        <v>82</v>
      </c>
      <c r="H7" s="129">
        <f>IF(B$15=0,0,G7/B$15)</f>
        <v>0.38317757009345793</v>
      </c>
      <c r="I7" s="90">
        <v>8</v>
      </c>
      <c r="K7" s="36">
        <v>5</v>
      </c>
      <c r="L7" s="95">
        <v>-118.3</v>
      </c>
      <c r="N7" s="112" t="s">
        <v>135</v>
      </c>
      <c r="O7" s="119">
        <f t="shared" si="0"/>
        <v>233.92857142857142</v>
      </c>
      <c r="P7" s="116">
        <v>56</v>
      </c>
      <c r="Q7" s="100">
        <v>13100</v>
      </c>
    </row>
    <row r="8" spans="1:17" x14ac:dyDescent="0.45">
      <c r="A8" s="51" t="s">
        <v>3</v>
      </c>
      <c r="B8" s="44">
        <v>27</v>
      </c>
      <c r="C8" s="37">
        <f t="shared" si="1"/>
        <v>0.28421052631578947</v>
      </c>
      <c r="E8" s="59" t="s">
        <v>89</v>
      </c>
      <c r="F8" s="56" t="s">
        <v>44</v>
      </c>
      <c r="G8" s="44">
        <v>48</v>
      </c>
      <c r="H8" s="129">
        <f>IF(B$15=0,0,G8/B$15)</f>
        <v>0.22429906542056074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31</v>
      </c>
      <c r="C9" s="38">
        <f t="shared" si="1"/>
        <v>0.32631578947368423</v>
      </c>
      <c r="E9" s="59" t="s">
        <v>69</v>
      </c>
      <c r="F9" s="56" t="s">
        <v>24</v>
      </c>
      <c r="G9" s="44">
        <v>45</v>
      </c>
      <c r="H9" s="129">
        <f>IF(B$15=0,0,G9/B$15)</f>
        <v>0.2102803738317757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11</v>
      </c>
      <c r="C10" s="40">
        <f t="shared" si="1"/>
        <v>0.11578947368421053</v>
      </c>
      <c r="E10" s="59" t="s">
        <v>65</v>
      </c>
      <c r="F10" s="56" t="s">
        <v>21</v>
      </c>
      <c r="G10" s="44">
        <v>32</v>
      </c>
      <c r="H10" s="129">
        <f>IF(B$15=0,0,G10/B$15)</f>
        <v>0.14953271028037382</v>
      </c>
      <c r="I10" s="90">
        <v>3</v>
      </c>
      <c r="K10" s="36">
        <v>8</v>
      </c>
      <c r="L10" s="95">
        <v>-110.19999999999999</v>
      </c>
      <c r="N10" s="110" t="s">
        <v>157</v>
      </c>
      <c r="O10" s="120">
        <f>IF(P10=0,0,Q10/P10)</f>
        <v>0.81851851851851876</v>
      </c>
      <c r="P10" s="114">
        <v>27</v>
      </c>
      <c r="Q10" s="102">
        <v>22.100000000000005</v>
      </c>
    </row>
    <row r="11" spans="1:17" x14ac:dyDescent="0.45">
      <c r="A11" s="54" t="s">
        <v>121</v>
      </c>
      <c r="B11" s="47">
        <v>242</v>
      </c>
      <c r="C11" s="42">
        <f>IF(B$3=0,0,B11/B$3)</f>
        <v>0.31716906946264745</v>
      </c>
      <c r="E11" s="59" t="s">
        <v>70</v>
      </c>
      <c r="F11" s="56" t="s">
        <v>25</v>
      </c>
      <c r="G11" s="44">
        <v>23</v>
      </c>
      <c r="H11" s="129">
        <f>IF(B$15=0,0,G11/B$15)</f>
        <v>0.10747663551401869</v>
      </c>
      <c r="I11" s="90">
        <v>6</v>
      </c>
      <c r="K11" s="36">
        <v>9</v>
      </c>
      <c r="L11" s="95">
        <v>-120.99999999999999</v>
      </c>
      <c r="N11" s="111" t="s">
        <v>158</v>
      </c>
      <c r="O11" s="121">
        <f>IF(P11=0,0,Q11/P11)</f>
        <v>6.1205128205128192</v>
      </c>
      <c r="P11" s="115">
        <v>39</v>
      </c>
      <c r="Q11" s="103">
        <v>238.69999999999996</v>
      </c>
    </row>
    <row r="12" spans="1:17" x14ac:dyDescent="0.45">
      <c r="A12" s="51" t="s">
        <v>118</v>
      </c>
      <c r="B12" s="44">
        <v>125</v>
      </c>
      <c r="C12" s="37">
        <f>IF(B$3=0,0,B12/B$3)</f>
        <v>0.16382699868938402</v>
      </c>
      <c r="E12" s="59" t="s">
        <v>162</v>
      </c>
      <c r="F12" s="56" t="s">
        <v>163</v>
      </c>
      <c r="G12" s="44">
        <v>16</v>
      </c>
      <c r="H12" s="129">
        <f>IF(B$15=0,0,G12/B$15)</f>
        <v>7.476635514018691E-2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2.5689655172413799</v>
      </c>
      <c r="P12" s="116">
        <v>29</v>
      </c>
      <c r="Q12" s="104">
        <v>74.500000000000014</v>
      </c>
    </row>
    <row r="13" spans="1:17" x14ac:dyDescent="0.45">
      <c r="A13" s="50" t="s">
        <v>123</v>
      </c>
      <c r="B13" s="43">
        <f>B19</f>
        <v>134</v>
      </c>
      <c r="C13" s="35">
        <f>IF(B$11=0,0,B13/B$11)</f>
        <v>0.55371900826446285</v>
      </c>
      <c r="E13" s="59" t="s">
        <v>71</v>
      </c>
      <c r="F13" s="56" t="s">
        <v>26</v>
      </c>
      <c r="G13" s="44">
        <v>11</v>
      </c>
      <c r="H13" s="129">
        <f>IF(B$15=0,0,G13/B$15)</f>
        <v>5.1401869158878503E-2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50</v>
      </c>
      <c r="C14" s="35">
        <f>IF(B$12=0,0,B14/B$12)</f>
        <v>0.4</v>
      </c>
      <c r="E14" s="59" t="s">
        <v>83</v>
      </c>
      <c r="F14" s="56" t="s">
        <v>38</v>
      </c>
      <c r="G14" s="44">
        <v>7</v>
      </c>
      <c r="H14" s="129">
        <f>IF(B$15=0,0,G14/B$15)</f>
        <v>3.2710280373831772E-2</v>
      </c>
      <c r="I14" s="90">
        <v>10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214</v>
      </c>
      <c r="C15" s="35">
        <f>IF(B$3=0,0,B15/B$3)</f>
        <v>0.28047182175622543</v>
      </c>
      <c r="E15" s="59" t="s">
        <v>86</v>
      </c>
      <c r="F15" s="56" t="s">
        <v>41</v>
      </c>
      <c r="G15" s="44">
        <v>6</v>
      </c>
      <c r="H15" s="129">
        <f>IF(B$15=0,0,G15/B$15)</f>
        <v>2.8037383177570093E-2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135</v>
      </c>
      <c r="C16" s="37">
        <f>IF(B$3=0,0,B16/B$3)</f>
        <v>0.17693315858453473</v>
      </c>
      <c r="E16" s="59" t="s">
        <v>81</v>
      </c>
      <c r="F16" s="56" t="s">
        <v>36</v>
      </c>
      <c r="G16" s="44">
        <v>4</v>
      </c>
      <c r="H16" s="129">
        <f>IF(B$15=0,0,G16/B$15)</f>
        <v>1.8691588785046728E-2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>IF(P16=0,0,Q16/P16)</f>
        <v>37.1</v>
      </c>
      <c r="P16" s="115">
        <v>18</v>
      </c>
      <c r="Q16" s="103">
        <v>667.80000000000007</v>
      </c>
    </row>
    <row r="17" spans="1:17" x14ac:dyDescent="0.45">
      <c r="A17" s="51" t="s">
        <v>12</v>
      </c>
      <c r="B17" s="44">
        <v>112</v>
      </c>
      <c r="C17" s="37">
        <f>IF(B$15=0,0,B17/B$15)</f>
        <v>0.52336448598130836</v>
      </c>
      <c r="E17" s="59" t="s">
        <v>91</v>
      </c>
      <c r="F17" s="56" t="s">
        <v>46</v>
      </c>
      <c r="G17" s="44">
        <v>4</v>
      </c>
      <c r="H17" s="129">
        <f>IF(B$15=0,0,G17/B$15)</f>
        <v>1.8691588785046728E-2</v>
      </c>
      <c r="I17" s="90">
        <v>4</v>
      </c>
      <c r="K17" s="36">
        <v>15</v>
      </c>
      <c r="L17" s="95">
        <v>-101.79999999999997</v>
      </c>
      <c r="N17" s="111" t="s">
        <v>197</v>
      </c>
      <c r="O17" s="121">
        <f>IF(P17=0,0,Q17/P17)</f>
        <v>9.4086956521739165</v>
      </c>
      <c r="P17" s="115">
        <v>23</v>
      </c>
      <c r="Q17" s="103">
        <v>216.40000000000006</v>
      </c>
    </row>
    <row r="18" spans="1:17" x14ac:dyDescent="0.45">
      <c r="A18" s="51" t="s">
        <v>11</v>
      </c>
      <c r="B18" s="44">
        <v>102</v>
      </c>
      <c r="C18" s="37">
        <f>IF(B$15=0,0,B18/B$15)</f>
        <v>0.47663551401869159</v>
      </c>
      <c r="E18" s="59" t="s">
        <v>92</v>
      </c>
      <c r="F18" s="56" t="s">
        <v>47</v>
      </c>
      <c r="G18" s="44">
        <v>4</v>
      </c>
      <c r="H18" s="129">
        <f>IF(B$15=0,0,G18/B$15)</f>
        <v>1.8691588785046728E-2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6.2608695652173889</v>
      </c>
      <c r="P18" s="115">
        <v>46</v>
      </c>
      <c r="Q18" s="103">
        <v>287.99999999999989</v>
      </c>
    </row>
    <row r="19" spans="1:17" x14ac:dyDescent="0.45">
      <c r="A19" s="51" t="s">
        <v>195</v>
      </c>
      <c r="B19" s="44">
        <v>134</v>
      </c>
      <c r="C19" s="37">
        <f>IF(B$15=0,0,B19/B$15)</f>
        <v>0.62616822429906538</v>
      </c>
      <c r="E19" s="59" t="s">
        <v>73</v>
      </c>
      <c r="F19" s="56" t="s">
        <v>28</v>
      </c>
      <c r="G19" s="44">
        <v>2</v>
      </c>
      <c r="H19" s="129">
        <f>IF(B$15=0,0,G19/B$15)</f>
        <v>9.3457943925233638E-3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4.557894736842103</v>
      </c>
      <c r="P19" s="115">
        <v>38</v>
      </c>
      <c r="Q19" s="103">
        <v>173.1999999999999</v>
      </c>
    </row>
    <row r="20" spans="1:17" x14ac:dyDescent="0.45">
      <c r="A20" s="51" t="s">
        <v>193</v>
      </c>
      <c r="B20" s="44">
        <v>50</v>
      </c>
      <c r="C20" s="37">
        <f>IF(B$15=0,0,B20/B$15)</f>
        <v>0.23364485981308411</v>
      </c>
      <c r="E20" s="59" t="s">
        <v>78</v>
      </c>
      <c r="F20" s="56" t="s">
        <v>33</v>
      </c>
      <c r="G20" s="44">
        <v>2</v>
      </c>
      <c r="H20" s="129">
        <f>IF(B$15=0,0,G20/B$15)</f>
        <v>9.3457943925233638E-3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-3.584210526315792</v>
      </c>
      <c r="P20" s="115">
        <v>38</v>
      </c>
      <c r="Q20" s="103">
        <v>-136.2000000000001</v>
      </c>
    </row>
    <row r="21" spans="1:17" x14ac:dyDescent="0.45">
      <c r="A21" s="51" t="s">
        <v>194</v>
      </c>
      <c r="B21" s="44">
        <v>30</v>
      </c>
      <c r="C21" s="37">
        <f>IF(B$15=0,0,B21/B$15)</f>
        <v>0.14018691588785046</v>
      </c>
      <c r="E21" s="59" t="s">
        <v>79</v>
      </c>
      <c r="F21" s="56" t="s">
        <v>34</v>
      </c>
      <c r="G21" s="44">
        <v>2</v>
      </c>
      <c r="H21" s="129">
        <f>IF(B$15=0,0,G21/B$15)</f>
        <v>9.3457943925233638E-3</v>
      </c>
      <c r="I21" s="90">
        <v>7</v>
      </c>
      <c r="K21" s="36">
        <v>19</v>
      </c>
      <c r="L21" s="95">
        <v>-27.799999999999969</v>
      </c>
      <c r="N21" s="111" t="s">
        <v>172</v>
      </c>
      <c r="O21" s="121">
        <f>IF(P21=0,0,Q21/P21)</f>
        <v>-5.0235294117647058</v>
      </c>
      <c r="P21" s="115">
        <v>17</v>
      </c>
      <c r="Q21" s="103">
        <v>-85.4</v>
      </c>
    </row>
    <row r="22" spans="1:17" x14ac:dyDescent="0.45">
      <c r="A22" s="51" t="s">
        <v>5</v>
      </c>
      <c r="B22" s="48">
        <f>IF(B$15=0,0,C22/B$15)</f>
        <v>10903.271028037383</v>
      </c>
      <c r="C22" s="39">
        <v>2333300</v>
      </c>
      <c r="E22" s="59" t="s">
        <v>84</v>
      </c>
      <c r="F22" s="56" t="s">
        <v>39</v>
      </c>
      <c r="G22" s="44">
        <v>2</v>
      </c>
      <c r="H22" s="129">
        <f>IF(B$15=0,0,G22/B$15)</f>
        <v>9.3457943925233638E-3</v>
      </c>
      <c r="I22" s="90">
        <v>1</v>
      </c>
      <c r="K22" s="36">
        <v>20</v>
      </c>
      <c r="L22" s="95">
        <v>-50.39999999999997</v>
      </c>
      <c r="N22" s="111" t="s">
        <v>196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5">
      <c r="A23" s="52" t="s">
        <v>177</v>
      </c>
      <c r="B23" s="136">
        <f>IF($B$15-B$14=0,0,C23/($B$15-B$14))</f>
        <v>11610.975609756097</v>
      </c>
      <c r="C23" s="137">
        <v>1904200</v>
      </c>
      <c r="E23" s="59" t="s">
        <v>90</v>
      </c>
      <c r="F23" s="56" t="s">
        <v>45</v>
      </c>
      <c r="G23" s="44">
        <v>2</v>
      </c>
      <c r="H23" s="129">
        <f>IF(B$15=0,0,G23/B$15)</f>
        <v>9.3457943925233638E-3</v>
      </c>
      <c r="I23" s="90">
        <v>1</v>
      </c>
      <c r="K23" s="36">
        <v>21</v>
      </c>
      <c r="L23" s="95">
        <v>-59.89999999999997</v>
      </c>
      <c r="N23" s="111" t="s">
        <v>274</v>
      </c>
      <c r="O23" s="121">
        <f>IF(P23=0,0,Q23/P23)</f>
        <v>-40.799999999999997</v>
      </c>
      <c r="P23" s="115">
        <v>1</v>
      </c>
      <c r="Q23" s="103">
        <v>-40.799999999999997</v>
      </c>
    </row>
    <row r="24" spans="1:17" x14ac:dyDescent="0.45">
      <c r="A24" s="52" t="s">
        <v>178</v>
      </c>
      <c r="B24" s="136">
        <f>IF(B$14=0,0,C24/B$14)</f>
        <v>8582</v>
      </c>
      <c r="C24" s="137">
        <v>429100</v>
      </c>
      <c r="E24" s="59" t="s">
        <v>75</v>
      </c>
      <c r="F24" s="56" t="s">
        <v>30</v>
      </c>
      <c r="G24" s="44">
        <v>1</v>
      </c>
      <c r="H24" s="129">
        <f>IF(B$15=0,0,G24/B$15)</f>
        <v>4.6728971962616819E-3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-8366.6666666666661</v>
      </c>
      <c r="C25" s="137">
        <v>-1129500</v>
      </c>
      <c r="E25" s="59" t="s">
        <v>85</v>
      </c>
      <c r="F25" s="56" t="s">
        <v>40</v>
      </c>
      <c r="G25" s="44">
        <v>1</v>
      </c>
      <c r="H25" s="129">
        <f>IF(B$15=0,0,G25/B$15)</f>
        <v>4.6728971962616819E-3</v>
      </c>
      <c r="I25" s="90">
        <v>4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93</v>
      </c>
      <c r="F26" s="56" t="s">
        <v>48</v>
      </c>
      <c r="G26" s="44">
        <v>1</v>
      </c>
      <c r="H26" s="129">
        <f>IF(B$15=0,0,G26/B$15)</f>
        <v>4.6728971962616819E-3</v>
      </c>
      <c r="I26" s="90">
        <v>2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6</v>
      </c>
      <c r="E27" s="59" t="s">
        <v>97</v>
      </c>
      <c r="F27" s="56" t="s">
        <v>52</v>
      </c>
      <c r="G27" s="44">
        <v>1</v>
      </c>
      <c r="H27" s="129">
        <f>IF(B$15=0,0,G27/B$15)</f>
        <v>4.6728971962616819E-3</v>
      </c>
      <c r="I27" s="90">
        <v>1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52">
        <v>8</v>
      </c>
      <c r="C28" s="153"/>
      <c r="E28" s="59" t="s">
        <v>74</v>
      </c>
      <c r="F28" s="56" t="s">
        <v>29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50">
        <v>122100</v>
      </c>
      <c r="C29" s="151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1.3106159895150721E-3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5</v>
      </c>
      <c r="C32" s="141">
        <f>IF(B$15=0,0,B32/B$15)</f>
        <v>2.336448598130841E-2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18</v>
      </c>
      <c r="C33" s="37">
        <f t="shared" ref="C33:C44" si="2">IF(B$15=0,0,B33/B$15)</f>
        <v>8.4112149532710276E-2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4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28</v>
      </c>
      <c r="C34" s="37">
        <f>IF(B$15=0,0,B34/B$15)</f>
        <v>0.13084112149532709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37</v>
      </c>
      <c r="C35" s="37">
        <f t="shared" si="2"/>
        <v>0.17289719626168223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54</v>
      </c>
      <c r="C36" s="37">
        <f t="shared" si="2"/>
        <v>0.25233644859813081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23</v>
      </c>
      <c r="C37" s="37">
        <f t="shared" si="2"/>
        <v>0.10747663551401869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20</v>
      </c>
      <c r="C38" s="37">
        <f t="shared" si="2"/>
        <v>9.3457943925233641E-2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15</v>
      </c>
      <c r="C39" s="37">
        <f t="shared" si="2"/>
        <v>7.0093457943925228E-2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3</v>
      </c>
      <c r="C40" s="37">
        <f t="shared" si="2"/>
        <v>1.4018691588785047E-2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9.3457943925233638E-3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9.3457943925233638E-3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4.6728971962616819E-3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2.8037383177570093E-2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A29E7-338E-4A8A-AF8E-B7CF03599549}">
  <sheetPr codeName="Sheet17"/>
  <dimension ref="A1:Q10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171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107</v>
      </c>
      <c r="C2" s="159"/>
      <c r="E2" s="58" t="s">
        <v>66</v>
      </c>
      <c r="F2" s="55" t="s">
        <v>22</v>
      </c>
      <c r="G2" s="43">
        <v>193</v>
      </c>
      <c r="H2" s="128">
        <f>IF(B$15=0,0,G2/B$15)</f>
        <v>0.7689243027888446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464.48598130841123</v>
      </c>
      <c r="P2" s="114">
        <v>107</v>
      </c>
      <c r="Q2" s="98">
        <v>49700</v>
      </c>
    </row>
    <row r="3" spans="1:17" x14ac:dyDescent="0.45">
      <c r="A3" s="51" t="s">
        <v>8</v>
      </c>
      <c r="B3" s="160">
        <v>858</v>
      </c>
      <c r="C3" s="161"/>
      <c r="E3" s="59" t="s">
        <v>72</v>
      </c>
      <c r="F3" s="56" t="s">
        <v>27</v>
      </c>
      <c r="G3" s="44">
        <v>140</v>
      </c>
      <c r="H3" s="129">
        <f>IF(B$15=0,0,G3/B$15)</f>
        <v>0.55776892430278879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556.73076923076928</v>
      </c>
      <c r="P3" s="115">
        <v>104</v>
      </c>
      <c r="Q3" s="99">
        <v>57900</v>
      </c>
    </row>
    <row r="4" spans="1:17" x14ac:dyDescent="0.45">
      <c r="A4" s="51" t="s">
        <v>6</v>
      </c>
      <c r="B4" s="162">
        <v>106.29999999999998</v>
      </c>
      <c r="C4" s="163"/>
      <c r="E4" s="59" t="s">
        <v>64</v>
      </c>
      <c r="F4" s="56" t="s">
        <v>20</v>
      </c>
      <c r="G4" s="44">
        <v>129</v>
      </c>
      <c r="H4" s="129">
        <f>IF(B$15=0,0,G4/B$15)</f>
        <v>0.51394422310756971</v>
      </c>
      <c r="I4" s="90">
        <v>6</v>
      </c>
      <c r="K4" s="36">
        <v>2</v>
      </c>
      <c r="L4" s="95">
        <v>8.1000000000000014</v>
      </c>
      <c r="N4" s="111" t="s">
        <v>132</v>
      </c>
      <c r="O4" s="118">
        <f t="shared" si="0"/>
        <v>326.53061224489795</v>
      </c>
      <c r="P4" s="115">
        <v>98</v>
      </c>
      <c r="Q4" s="99">
        <v>32000</v>
      </c>
    </row>
    <row r="5" spans="1:17" x14ac:dyDescent="0.45">
      <c r="A5" s="51" t="s">
        <v>7</v>
      </c>
      <c r="B5" s="164">
        <f>IF(B$2=0,0,B$4/B$2)</f>
        <v>0.99345794392523346</v>
      </c>
      <c r="C5" s="165"/>
      <c r="E5" s="59" t="s">
        <v>166</v>
      </c>
      <c r="F5" s="56" t="s">
        <v>167</v>
      </c>
      <c r="G5" s="44">
        <v>115</v>
      </c>
      <c r="H5" s="129">
        <f>IF(B$15=0,0,G5/B$15)</f>
        <v>0.45816733067729082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187.64044943820224</v>
      </c>
      <c r="P5" s="115">
        <v>89</v>
      </c>
      <c r="Q5" s="99">
        <v>16700</v>
      </c>
    </row>
    <row r="6" spans="1:17" x14ac:dyDescent="0.45">
      <c r="A6" s="51" t="s">
        <v>1</v>
      </c>
      <c r="B6" s="154">
        <f>IF(B$2=0,0,(B$7*1+B$8*2+B$9*3)/B$2)</f>
        <v>2.0093457943925235</v>
      </c>
      <c r="C6" s="155"/>
      <c r="E6" s="59" t="s">
        <v>67</v>
      </c>
      <c r="F6" s="56" t="s">
        <v>23</v>
      </c>
      <c r="G6" s="44">
        <v>95</v>
      </c>
      <c r="H6" s="129">
        <f>IF(B$15=0,0,G6/B$15)</f>
        <v>0.37848605577689243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-235.89743589743588</v>
      </c>
      <c r="P6" s="115">
        <v>78</v>
      </c>
      <c r="Q6" s="99">
        <v>-18400</v>
      </c>
    </row>
    <row r="7" spans="1:17" x14ac:dyDescent="0.45">
      <c r="A7" s="51" t="s">
        <v>2</v>
      </c>
      <c r="B7" s="44">
        <v>28</v>
      </c>
      <c r="C7" s="37">
        <f t="shared" ref="C7:C10" si="1">IF(B$2=0,0,B7/B$2)</f>
        <v>0.26168224299065418</v>
      </c>
      <c r="E7" s="59" t="s">
        <v>68</v>
      </c>
      <c r="F7" s="56" t="s">
        <v>12</v>
      </c>
      <c r="G7" s="44">
        <v>83</v>
      </c>
      <c r="H7" s="129">
        <f>IF(B$15=0,0,G7/B$15)</f>
        <v>0.33067729083665337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-764.17910447761199</v>
      </c>
      <c r="P7" s="116">
        <v>67</v>
      </c>
      <c r="Q7" s="100">
        <v>-51200</v>
      </c>
    </row>
    <row r="8" spans="1:17" x14ac:dyDescent="0.45">
      <c r="A8" s="51" t="s">
        <v>3</v>
      </c>
      <c r="B8" s="44">
        <v>50</v>
      </c>
      <c r="C8" s="37">
        <f t="shared" si="1"/>
        <v>0.46728971962616822</v>
      </c>
      <c r="E8" s="59" t="s">
        <v>69</v>
      </c>
      <c r="F8" s="56" t="s">
        <v>24</v>
      </c>
      <c r="G8" s="44">
        <v>35</v>
      </c>
      <c r="H8" s="129">
        <f>IF(B$15=0,0,G8/B$15)</f>
        <v>0.1394422310756972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29</v>
      </c>
      <c r="C9" s="38">
        <f t="shared" si="1"/>
        <v>0.27102803738317754</v>
      </c>
      <c r="E9" s="59" t="s">
        <v>89</v>
      </c>
      <c r="F9" s="56" t="s">
        <v>44</v>
      </c>
      <c r="G9" s="44">
        <v>28</v>
      </c>
      <c r="H9" s="129">
        <f>IF(B$15=0,0,G9/B$15)</f>
        <v>0.11155378486055777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7.476635514018691E-2</v>
      </c>
      <c r="E10" s="59" t="s">
        <v>71</v>
      </c>
      <c r="F10" s="56" t="s">
        <v>26</v>
      </c>
      <c r="G10" s="44">
        <v>24</v>
      </c>
      <c r="H10" s="129">
        <f>IF(B$15=0,0,G10/B$15)</f>
        <v>9.5617529880478086E-2</v>
      </c>
      <c r="I10" s="90">
        <v>6</v>
      </c>
      <c r="K10" s="36">
        <v>8</v>
      </c>
      <c r="L10" s="95">
        <v>-46.7</v>
      </c>
      <c r="N10" s="110" t="s">
        <v>157</v>
      </c>
      <c r="O10" s="120">
        <f>IF(P10=0,0,Q10/P10)</f>
        <v>0.6297872340425531</v>
      </c>
      <c r="P10" s="114">
        <v>47</v>
      </c>
      <c r="Q10" s="102">
        <v>29.599999999999994</v>
      </c>
    </row>
    <row r="11" spans="1:17" x14ac:dyDescent="0.45">
      <c r="A11" s="54" t="s">
        <v>121</v>
      </c>
      <c r="B11" s="47">
        <v>234</v>
      </c>
      <c r="C11" s="42">
        <f>IF(B$3=0,0,B11/B$3)</f>
        <v>0.27272727272727271</v>
      </c>
      <c r="E11" s="59" t="s">
        <v>65</v>
      </c>
      <c r="F11" s="56" t="s">
        <v>21</v>
      </c>
      <c r="G11" s="44">
        <v>20</v>
      </c>
      <c r="H11" s="129">
        <f>IF(B$15=0,0,G11/B$15)</f>
        <v>7.9681274900398405E-2</v>
      </c>
      <c r="I11" s="90">
        <v>10</v>
      </c>
      <c r="K11" s="36">
        <v>9</v>
      </c>
      <c r="L11" s="95">
        <v>-90.9</v>
      </c>
      <c r="N11" s="111" t="s">
        <v>158</v>
      </c>
      <c r="O11" s="121">
        <f>IF(P11=0,0,Q11/P11)</f>
        <v>2.7843750000000007</v>
      </c>
      <c r="P11" s="115">
        <v>32</v>
      </c>
      <c r="Q11" s="103">
        <v>89.100000000000023</v>
      </c>
    </row>
    <row r="12" spans="1:17" x14ac:dyDescent="0.45">
      <c r="A12" s="51" t="s">
        <v>118</v>
      </c>
      <c r="B12" s="44">
        <v>186</v>
      </c>
      <c r="C12" s="37">
        <f>IF(B$3=0,0,B12/B$3)</f>
        <v>0.21678321678321677</v>
      </c>
      <c r="E12" s="59" t="s">
        <v>70</v>
      </c>
      <c r="F12" s="56" t="s">
        <v>25</v>
      </c>
      <c r="G12" s="44">
        <v>19</v>
      </c>
      <c r="H12" s="129">
        <f>IF(B$15=0,0,G12/B$15)</f>
        <v>7.5697211155378488E-2</v>
      </c>
      <c r="I12" s="90">
        <v>10</v>
      </c>
      <c r="K12" s="36">
        <v>10</v>
      </c>
      <c r="L12" s="95">
        <v>-146.69999999999999</v>
      </c>
      <c r="N12" s="112" t="s">
        <v>159</v>
      </c>
      <c r="O12" s="122">
        <f>IF(P12=0,0,Q12/P12)</f>
        <v>-0.44285714285714306</v>
      </c>
      <c r="P12" s="116">
        <v>28</v>
      </c>
      <c r="Q12" s="104">
        <v>-12.400000000000006</v>
      </c>
    </row>
    <row r="13" spans="1:17" x14ac:dyDescent="0.45">
      <c r="A13" s="50" t="s">
        <v>123</v>
      </c>
      <c r="B13" s="43">
        <f>B19</f>
        <v>135</v>
      </c>
      <c r="C13" s="35">
        <f>IF(B$11=0,0,B13/B$11)</f>
        <v>0.57692307692307687</v>
      </c>
      <c r="E13" s="59" t="s">
        <v>86</v>
      </c>
      <c r="F13" s="56" t="s">
        <v>41</v>
      </c>
      <c r="G13" s="44">
        <v>13</v>
      </c>
      <c r="H13" s="129">
        <f>IF(B$15=0,0,G13/B$15)</f>
        <v>5.1792828685258967E-2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81</v>
      </c>
      <c r="C14" s="35">
        <f>IF(B$12=0,0,B14/B$12)</f>
        <v>0.43548387096774194</v>
      </c>
      <c r="E14" s="59" t="s">
        <v>83</v>
      </c>
      <c r="F14" s="56" t="s">
        <v>38</v>
      </c>
      <c r="G14" s="44">
        <v>9</v>
      </c>
      <c r="H14" s="129">
        <f>IF(B$15=0,0,G14/B$15)</f>
        <v>3.5856573705179286E-2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251</v>
      </c>
      <c r="C15" s="35">
        <f>IF(B$3=0,0,B15/B$3)</f>
        <v>0.29254079254079252</v>
      </c>
      <c r="E15" s="59" t="s">
        <v>79</v>
      </c>
      <c r="F15" s="56" t="s">
        <v>34</v>
      </c>
      <c r="G15" s="44">
        <v>6</v>
      </c>
      <c r="H15" s="129">
        <f>IF(B$15=0,0,G15/B$15)</f>
        <v>2.3904382470119521E-2</v>
      </c>
      <c r="I15" s="90">
        <v>2</v>
      </c>
      <c r="K15" s="36">
        <v>13</v>
      </c>
      <c r="L15" s="95">
        <v>-68.399999999999991</v>
      </c>
      <c r="N15" s="110" t="s">
        <v>228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116</v>
      </c>
      <c r="C16" s="37">
        <f>IF(B$3=0,0,B16/B$3)</f>
        <v>0.1351981351981352</v>
      </c>
      <c r="E16" s="59" t="s">
        <v>162</v>
      </c>
      <c r="F16" s="56" t="s">
        <v>163</v>
      </c>
      <c r="G16" s="44">
        <v>6</v>
      </c>
      <c r="H16" s="129">
        <f>IF(B$15=0,0,G16/B$15)</f>
        <v>2.3904382470119521E-2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112</v>
      </c>
      <c r="C17" s="37">
        <f>IF(B$15=0,0,B17/B$15)</f>
        <v>0.44621513944223107</v>
      </c>
      <c r="E17" s="59" t="s">
        <v>73</v>
      </c>
      <c r="F17" s="56" t="s">
        <v>28</v>
      </c>
      <c r="G17" s="44">
        <v>4</v>
      </c>
      <c r="H17" s="129">
        <f>IF(B$15=0,0,G17/B$15)</f>
        <v>1.5936254980079681E-2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5">
      <c r="A18" s="51" t="s">
        <v>11</v>
      </c>
      <c r="B18" s="44">
        <v>139</v>
      </c>
      <c r="C18" s="37">
        <f>IF(B$15=0,0,B18/B$15)</f>
        <v>0.55378486055776888</v>
      </c>
      <c r="E18" s="59" t="s">
        <v>81</v>
      </c>
      <c r="F18" s="56" t="s">
        <v>36</v>
      </c>
      <c r="G18" s="44">
        <v>4</v>
      </c>
      <c r="H18" s="129">
        <f>IF(B$15=0,0,G18/B$15)</f>
        <v>1.5936254980079681E-2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13.965000000000003</v>
      </c>
      <c r="P18" s="115">
        <v>20</v>
      </c>
      <c r="Q18" s="103">
        <v>279.30000000000007</v>
      </c>
    </row>
    <row r="19" spans="1:17" x14ac:dyDescent="0.45">
      <c r="A19" s="51" t="s">
        <v>195</v>
      </c>
      <c r="B19" s="44">
        <v>135</v>
      </c>
      <c r="C19" s="37">
        <f>IF(B$15=0,0,B19/B$15)</f>
        <v>0.53784860557768921</v>
      </c>
      <c r="E19" s="59" t="s">
        <v>78</v>
      </c>
      <c r="F19" s="56" t="s">
        <v>33</v>
      </c>
      <c r="G19" s="44">
        <v>3</v>
      </c>
      <c r="H19" s="129">
        <f>IF(B$15=0,0,G19/B$15)</f>
        <v>1.1952191235059761E-2</v>
      </c>
      <c r="I19" s="90">
        <v>6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81</v>
      </c>
      <c r="C20" s="37">
        <f>IF(B$15=0,0,B20/B$15)</f>
        <v>0.32270916334661354</v>
      </c>
      <c r="E20" s="59" t="s">
        <v>85</v>
      </c>
      <c r="F20" s="56" t="s">
        <v>40</v>
      </c>
      <c r="G20" s="44">
        <v>2</v>
      </c>
      <c r="H20" s="129">
        <f>IF(B$15=0,0,G20/B$15)</f>
        <v>7.9681274900398405E-3</v>
      </c>
      <c r="I20" s="90">
        <v>2</v>
      </c>
      <c r="K20" s="36">
        <v>18</v>
      </c>
      <c r="L20" s="95">
        <v>-62.399999999999991</v>
      </c>
      <c r="N20" s="111" t="s">
        <v>161</v>
      </c>
      <c r="O20" s="121">
        <f t="shared" si="2"/>
        <v>5.647619047619048</v>
      </c>
      <c r="P20" s="115">
        <v>21</v>
      </c>
      <c r="Q20" s="103">
        <v>118.60000000000001</v>
      </c>
    </row>
    <row r="21" spans="1:17" x14ac:dyDescent="0.45">
      <c r="A21" s="51" t="s">
        <v>194</v>
      </c>
      <c r="B21" s="44">
        <v>35</v>
      </c>
      <c r="C21" s="37">
        <f>IF(B$15=0,0,B21/B$15)</f>
        <v>0.1394422310756972</v>
      </c>
      <c r="E21" s="59" t="s">
        <v>91</v>
      </c>
      <c r="F21" s="56" t="s">
        <v>46</v>
      </c>
      <c r="G21" s="44">
        <v>2</v>
      </c>
      <c r="H21" s="129">
        <f>IF(B$15=0,0,G21/B$15)</f>
        <v>7.9681274900398405E-3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0.33500000000000069</v>
      </c>
      <c r="P21" s="115">
        <v>40</v>
      </c>
      <c r="Q21" s="103">
        <v>13.400000000000027</v>
      </c>
    </row>
    <row r="22" spans="1:17" x14ac:dyDescent="0.45">
      <c r="A22" s="51" t="s">
        <v>5</v>
      </c>
      <c r="B22" s="48">
        <f>IF(B$15=0,0,C22/B$15)</f>
        <v>8514.3426294820711</v>
      </c>
      <c r="C22" s="39">
        <v>2137100</v>
      </c>
      <c r="E22" s="59" t="s">
        <v>74</v>
      </c>
      <c r="F22" s="56" t="s">
        <v>29</v>
      </c>
      <c r="G22" s="44">
        <v>1</v>
      </c>
      <c r="H22" s="129">
        <f>IF(B$15=0,0,G22/B$15)</f>
        <v>3.9840637450199202E-3</v>
      </c>
      <c r="I22" s="90">
        <v>4</v>
      </c>
      <c r="K22" s="36">
        <v>20</v>
      </c>
      <c r="L22" s="95">
        <v>-93.199999999999989</v>
      </c>
      <c r="N22" s="111" t="s">
        <v>170</v>
      </c>
      <c r="O22" s="121">
        <f t="shared" si="2"/>
        <v>-6.2608695652173916</v>
      </c>
      <c r="P22" s="115">
        <v>46</v>
      </c>
      <c r="Q22" s="103">
        <v>-288</v>
      </c>
    </row>
    <row r="23" spans="1:17" x14ac:dyDescent="0.45">
      <c r="A23" s="52" t="s">
        <v>177</v>
      </c>
      <c r="B23" s="136">
        <f>IF($B$15-B$14=0,0,C23/($B$15-B$14))</f>
        <v>9399.4117647058829</v>
      </c>
      <c r="C23" s="137">
        <v>1597900</v>
      </c>
      <c r="E23" s="59" t="s">
        <v>75</v>
      </c>
      <c r="F23" s="56" t="s">
        <v>30</v>
      </c>
      <c r="G23" s="44">
        <v>1</v>
      </c>
      <c r="H23" s="129">
        <f>IF(B$15=0,0,G23/B$15)</f>
        <v>3.9840637450199202E-3</v>
      </c>
      <c r="I23" s="90">
        <v>8</v>
      </c>
      <c r="K23" s="36">
        <v>21</v>
      </c>
      <c r="L23" s="95">
        <v>-123.69999999999999</v>
      </c>
      <c r="N23" s="111" t="s">
        <v>126</v>
      </c>
      <c r="O23" s="121">
        <f t="shared" si="2"/>
        <v>-13.271698113207547</v>
      </c>
      <c r="P23" s="115">
        <v>53</v>
      </c>
      <c r="Q23" s="103">
        <v>-703.4</v>
      </c>
    </row>
    <row r="24" spans="1:17" x14ac:dyDescent="0.45">
      <c r="A24" s="52" t="s">
        <v>178</v>
      </c>
      <c r="B24" s="136">
        <f>IF(B$14=0,0,C24/B$14)</f>
        <v>6656.7901234567898</v>
      </c>
      <c r="C24" s="137">
        <v>539200</v>
      </c>
      <c r="E24" s="59" t="s">
        <v>87</v>
      </c>
      <c r="F24" s="56" t="s">
        <v>42</v>
      </c>
      <c r="G24" s="44">
        <v>1</v>
      </c>
      <c r="H24" s="129">
        <f>IF(B$15=0,0,G24/B$15)</f>
        <v>3.9840637450199202E-3</v>
      </c>
      <c r="I24" s="90">
        <v>2</v>
      </c>
      <c r="K24" s="36">
        <v>22</v>
      </c>
      <c r="L24" s="95">
        <v>-66.999999999999986</v>
      </c>
    </row>
    <row r="25" spans="1:17" x14ac:dyDescent="0.45">
      <c r="A25" s="52" t="s">
        <v>176</v>
      </c>
      <c r="B25" s="136">
        <f>IF(B$16=0,0,C25/B$16)</f>
        <v>-7597.4137931034484</v>
      </c>
      <c r="C25" s="137">
        <v>-881300</v>
      </c>
      <c r="E25" s="59" t="s">
        <v>88</v>
      </c>
      <c r="F25" s="56" t="s">
        <v>43</v>
      </c>
      <c r="G25" s="44">
        <v>1</v>
      </c>
      <c r="H25" s="129">
        <f>IF(B$15=0,0,G25/B$15)</f>
        <v>3.9840637450199202E-3</v>
      </c>
      <c r="I25" s="90">
        <v>3</v>
      </c>
      <c r="K25" s="36">
        <v>23</v>
      </c>
      <c r="L25" s="95">
        <v>-59.599999999999987</v>
      </c>
    </row>
    <row r="26" spans="1:17" x14ac:dyDescent="0.45">
      <c r="A26" s="51" t="s">
        <v>164</v>
      </c>
      <c r="B26" s="44">
        <v>6</v>
      </c>
      <c r="C26" s="131">
        <v>2</v>
      </c>
      <c r="E26" s="59" t="s">
        <v>93</v>
      </c>
      <c r="F26" s="56" t="s">
        <v>48</v>
      </c>
      <c r="G26" s="44">
        <v>1</v>
      </c>
      <c r="H26" s="129">
        <f>IF(B$15=0,0,G26/B$15)</f>
        <v>3.9840637450199202E-3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6</v>
      </c>
      <c r="E27" s="59" t="s">
        <v>101</v>
      </c>
      <c r="F27" s="56" t="s">
        <v>56</v>
      </c>
      <c r="G27" s="44">
        <v>1</v>
      </c>
      <c r="H27" s="129">
        <f>IF(B$15=0,0,G27/B$15)</f>
        <v>3.9840637450199202E-3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52">
        <v>8</v>
      </c>
      <c r="C28" s="153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50">
        <v>101400</v>
      </c>
      <c r="C29" s="151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5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2.331002331002331E-3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15</v>
      </c>
      <c r="C32" s="141">
        <f>IF(B$15=0,0,B32/B$15)</f>
        <v>5.9760956175298807E-2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46</v>
      </c>
      <c r="C33" s="37">
        <f t="shared" ref="C33:C44" si="3">IF(B$15=0,0,B33/B$15)</f>
        <v>0.18326693227091634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49</v>
      </c>
      <c r="C34" s="37">
        <f>IF(B$15=0,0,B34/B$15)</f>
        <v>0.19521912350597609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43</v>
      </c>
      <c r="C35" s="37">
        <f t="shared" si="3"/>
        <v>0.17131474103585656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40</v>
      </c>
      <c r="C36" s="37">
        <f t="shared" si="3"/>
        <v>0.15936254980079681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29</v>
      </c>
      <c r="C37" s="37">
        <f t="shared" si="3"/>
        <v>0.11553784860557768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12</v>
      </c>
      <c r="C38" s="37">
        <f t="shared" si="3"/>
        <v>4.7808764940239043E-2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2.7888446215139442E-2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1.1952191235059761E-2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7.9681274900398405E-3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3.9840637450199202E-3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7.9681274900398405E-3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7.9681274900398405E-3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</sheetData>
  <sortState xmlns:xlrd2="http://schemas.microsoft.com/office/spreadsheetml/2017/richdata2" ref="E2:I11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7523-D718-455E-91B6-0DBBD4BF16B4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197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48</v>
      </c>
      <c r="C2" s="159"/>
      <c r="E2" s="58" t="s">
        <v>66</v>
      </c>
      <c r="F2" s="55" t="s">
        <v>22</v>
      </c>
      <c r="G2" s="43">
        <v>68</v>
      </c>
      <c r="H2" s="128">
        <f>IF(B$15=0,0,G2/B$15)</f>
        <v>0.68686868686868685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-2208.3333333333335</v>
      </c>
      <c r="P2" s="114">
        <v>48</v>
      </c>
      <c r="Q2" s="98">
        <v>-106000</v>
      </c>
    </row>
    <row r="3" spans="1:17" x14ac:dyDescent="0.45">
      <c r="A3" s="51" t="s">
        <v>8</v>
      </c>
      <c r="B3" s="160">
        <v>390</v>
      </c>
      <c r="C3" s="161"/>
      <c r="E3" s="59" t="s">
        <v>72</v>
      </c>
      <c r="F3" s="56" t="s">
        <v>27</v>
      </c>
      <c r="G3" s="44">
        <v>60</v>
      </c>
      <c r="H3" s="129">
        <f>IF(B$15=0,0,G3/B$15)</f>
        <v>0.60606060606060608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497.91666666666669</v>
      </c>
      <c r="P3" s="115">
        <v>48</v>
      </c>
      <c r="Q3" s="99">
        <v>23900</v>
      </c>
    </row>
    <row r="4" spans="1:17" x14ac:dyDescent="0.45">
      <c r="A4" s="51" t="s">
        <v>6</v>
      </c>
      <c r="B4" s="162">
        <v>-545.00000000000011</v>
      </c>
      <c r="C4" s="163"/>
      <c r="E4" s="59" t="s">
        <v>64</v>
      </c>
      <c r="F4" s="56" t="s">
        <v>20</v>
      </c>
      <c r="G4" s="44">
        <v>42</v>
      </c>
      <c r="H4" s="129">
        <f>IF(B$15=0,0,G4/B$15)</f>
        <v>0.42424242424242425</v>
      </c>
      <c r="I4" s="90">
        <v>9</v>
      </c>
      <c r="K4" s="36">
        <v>2</v>
      </c>
      <c r="L4" s="95">
        <v>-40.6</v>
      </c>
      <c r="N4" s="111" t="s">
        <v>132</v>
      </c>
      <c r="O4" s="118">
        <f t="shared" si="0"/>
        <v>-1412.7659574468084</v>
      </c>
      <c r="P4" s="115">
        <v>47</v>
      </c>
      <c r="Q4" s="99">
        <v>-66400</v>
      </c>
    </row>
    <row r="5" spans="1:17" x14ac:dyDescent="0.45">
      <c r="A5" s="51" t="s">
        <v>7</v>
      </c>
      <c r="B5" s="164">
        <f>IF(B$2=0,0,B$4/B$2)</f>
        <v>-11.35416666666667</v>
      </c>
      <c r="C5" s="165"/>
      <c r="E5" s="59" t="s">
        <v>166</v>
      </c>
      <c r="F5" s="56" t="s">
        <v>167</v>
      </c>
      <c r="G5" s="44">
        <v>36</v>
      </c>
      <c r="H5" s="129">
        <f>IF(B$15=0,0,G5/B$15)</f>
        <v>0.36363636363636365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-3121.4285714285716</v>
      </c>
      <c r="P5" s="115">
        <v>42</v>
      </c>
      <c r="Q5" s="99">
        <v>-131100</v>
      </c>
    </row>
    <row r="6" spans="1:17" x14ac:dyDescent="0.45">
      <c r="A6" s="51" t="s">
        <v>1</v>
      </c>
      <c r="B6" s="154">
        <f>IF(B$2=0,0,(B$7*1+B$8*2+B$9*3)/B$2)</f>
        <v>2.2916666666666665</v>
      </c>
      <c r="C6" s="155"/>
      <c r="E6" s="59" t="s">
        <v>67</v>
      </c>
      <c r="F6" s="56" t="s">
        <v>23</v>
      </c>
      <c r="G6" s="44">
        <v>25</v>
      </c>
      <c r="H6" s="129">
        <f>IF(B$15=0,0,G6/B$15)</f>
        <v>0.25252525252525254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-1230</v>
      </c>
      <c r="P6" s="115">
        <v>40</v>
      </c>
      <c r="Q6" s="99">
        <v>-49200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0.1875</v>
      </c>
      <c r="E7" s="59" t="s">
        <v>68</v>
      </c>
      <c r="F7" s="56" t="s">
        <v>12</v>
      </c>
      <c r="G7" s="44">
        <v>25</v>
      </c>
      <c r="H7" s="129">
        <f>IF(B$15=0,0,G7/B$15)</f>
        <v>0.25252525252525254</v>
      </c>
      <c r="I7" s="90">
        <v>10</v>
      </c>
      <c r="K7" s="36">
        <v>5</v>
      </c>
      <c r="L7" s="95">
        <v>-124.3</v>
      </c>
      <c r="N7" s="112" t="s">
        <v>135</v>
      </c>
      <c r="O7" s="119">
        <f t="shared" si="0"/>
        <v>-2094.1176470588234</v>
      </c>
      <c r="P7" s="116">
        <v>34</v>
      </c>
      <c r="Q7" s="100">
        <v>-71200</v>
      </c>
    </row>
    <row r="8" spans="1:17" x14ac:dyDescent="0.45">
      <c r="A8" s="51" t="s">
        <v>3</v>
      </c>
      <c r="B8" s="44">
        <v>16</v>
      </c>
      <c r="C8" s="37">
        <f t="shared" si="1"/>
        <v>0.33333333333333331</v>
      </c>
      <c r="E8" s="59" t="s">
        <v>89</v>
      </c>
      <c r="F8" s="56" t="s">
        <v>44</v>
      </c>
      <c r="G8" s="44">
        <v>13</v>
      </c>
      <c r="H8" s="129">
        <f>IF(B$15=0,0,G8/B$15)</f>
        <v>0.13131313131313133</v>
      </c>
      <c r="I8" s="90">
        <v>6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23</v>
      </c>
      <c r="C9" s="38">
        <f t="shared" si="1"/>
        <v>0.47916666666666669</v>
      </c>
      <c r="E9" s="59" t="s">
        <v>70</v>
      </c>
      <c r="F9" s="56" t="s">
        <v>25</v>
      </c>
      <c r="G9" s="44">
        <v>12</v>
      </c>
      <c r="H9" s="129">
        <f>IF(B$15=0,0,G9/B$15)</f>
        <v>0.12121212121212122</v>
      </c>
      <c r="I9" s="90">
        <v>5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0.1875</v>
      </c>
      <c r="E10" s="59" t="s">
        <v>65</v>
      </c>
      <c r="F10" s="56" t="s">
        <v>21</v>
      </c>
      <c r="G10" s="44">
        <v>10</v>
      </c>
      <c r="H10" s="129">
        <f>IF(B$15=0,0,G10/B$15)</f>
        <v>0.10101010101010101</v>
      </c>
      <c r="I10" s="90">
        <v>8</v>
      </c>
      <c r="K10" s="36">
        <v>8</v>
      </c>
      <c r="L10" s="95">
        <v>-152.6</v>
      </c>
      <c r="N10" s="110" t="s">
        <v>157</v>
      </c>
      <c r="O10" s="120">
        <f>IF(P10=0,0,Q10/P10)</f>
        <v>-21.957894736842103</v>
      </c>
      <c r="P10" s="114">
        <v>19</v>
      </c>
      <c r="Q10" s="102">
        <v>-417.2</v>
      </c>
    </row>
    <row r="11" spans="1:17" x14ac:dyDescent="0.45">
      <c r="A11" s="54" t="s">
        <v>121</v>
      </c>
      <c r="B11" s="47">
        <v>78</v>
      </c>
      <c r="C11" s="42">
        <f>IF(B$3=0,0,B11/B$3)</f>
        <v>0.2</v>
      </c>
      <c r="E11" s="59" t="s">
        <v>71</v>
      </c>
      <c r="F11" s="56" t="s">
        <v>26</v>
      </c>
      <c r="G11" s="44">
        <v>10</v>
      </c>
      <c r="H11" s="129">
        <f>IF(B$15=0,0,G11/B$15)</f>
        <v>0.10101010101010101</v>
      </c>
      <c r="I11" s="90">
        <v>4</v>
      </c>
      <c r="K11" s="36">
        <v>9</v>
      </c>
      <c r="L11" s="95">
        <v>-150.6</v>
      </c>
      <c r="N11" s="111" t="s">
        <v>158</v>
      </c>
      <c r="O11" s="121">
        <f>IF(P11=0,0,Q11/P11)</f>
        <v>-4.4285714285714279</v>
      </c>
      <c r="P11" s="115">
        <v>14</v>
      </c>
      <c r="Q11" s="103">
        <v>-61.999999999999986</v>
      </c>
    </row>
    <row r="12" spans="1:17" x14ac:dyDescent="0.45">
      <c r="A12" s="51" t="s">
        <v>118</v>
      </c>
      <c r="B12" s="44">
        <v>85</v>
      </c>
      <c r="C12" s="37">
        <f>IF(B$3=0,0,B12/B$3)</f>
        <v>0.21794871794871795</v>
      </c>
      <c r="E12" s="59" t="s">
        <v>69</v>
      </c>
      <c r="F12" s="56" t="s">
        <v>24</v>
      </c>
      <c r="G12" s="44">
        <v>7</v>
      </c>
      <c r="H12" s="129">
        <f>IF(B$15=0,0,G12/B$15)</f>
        <v>7.0707070707070704E-2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-4.3866666666666667</v>
      </c>
      <c r="P12" s="116">
        <v>15</v>
      </c>
      <c r="Q12" s="104">
        <v>-65.8</v>
      </c>
    </row>
    <row r="13" spans="1:17" x14ac:dyDescent="0.45">
      <c r="A13" s="50" t="s">
        <v>123</v>
      </c>
      <c r="B13" s="43">
        <f>B19</f>
        <v>43</v>
      </c>
      <c r="C13" s="35">
        <f>IF(B$11=0,0,B13/B$11)</f>
        <v>0.55128205128205132</v>
      </c>
      <c r="E13" s="59" t="s">
        <v>83</v>
      </c>
      <c r="F13" s="56" t="s">
        <v>38</v>
      </c>
      <c r="G13" s="44">
        <v>7</v>
      </c>
      <c r="H13" s="129">
        <f>IF(B$15=0,0,G13/B$15)</f>
        <v>7.0707070707070704E-2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37</v>
      </c>
      <c r="C14" s="35">
        <f>IF(B$12=0,0,B14/B$12)</f>
        <v>0.43529411764705883</v>
      </c>
      <c r="E14" s="59" t="s">
        <v>86</v>
      </c>
      <c r="F14" s="56" t="s">
        <v>41</v>
      </c>
      <c r="G14" s="44">
        <v>7</v>
      </c>
      <c r="H14" s="129">
        <f>IF(B$15=0,0,G14/B$15)</f>
        <v>7.0707070707070704E-2</v>
      </c>
      <c r="I14" s="90">
        <v>1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99</v>
      </c>
      <c r="C15" s="35">
        <f>IF(B$3=0,0,B15/B$3)</f>
        <v>0.25384615384615383</v>
      </c>
      <c r="E15" s="59" t="s">
        <v>81</v>
      </c>
      <c r="F15" s="56" t="s">
        <v>36</v>
      </c>
      <c r="G15" s="44">
        <v>2</v>
      </c>
      <c r="H15" s="129">
        <f>IF(B$15=0,0,G15/B$15)</f>
        <v>2.0202020202020204E-2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>IF(P15=0,0,Q15/P15)</f>
        <v>34.137499999999996</v>
      </c>
      <c r="P15" s="114">
        <v>8</v>
      </c>
      <c r="Q15" s="102">
        <v>273.09999999999997</v>
      </c>
    </row>
    <row r="16" spans="1:17" x14ac:dyDescent="0.45">
      <c r="A16" s="51" t="s">
        <v>13</v>
      </c>
      <c r="B16" s="44">
        <v>71</v>
      </c>
      <c r="C16" s="37">
        <f>IF(B$3=0,0,B16/B$3)</f>
        <v>0.18205128205128204</v>
      </c>
      <c r="E16" s="59" t="s">
        <v>91</v>
      </c>
      <c r="F16" s="56" t="s">
        <v>46</v>
      </c>
      <c r="G16" s="44">
        <v>2</v>
      </c>
      <c r="H16" s="129">
        <f>IF(B$15=0,0,G16/B$15)</f>
        <v>2.0202020202020204E-2</v>
      </c>
      <c r="I16" s="90">
        <v>2</v>
      </c>
      <c r="K16" s="36">
        <v>14</v>
      </c>
      <c r="L16" s="95">
        <v>-266.90000000000003</v>
      </c>
      <c r="N16" s="111" t="s">
        <v>172</v>
      </c>
      <c r="O16" s="121">
        <f>IF(P16=0,0,Q16/P16)</f>
        <v>-3.1666666666666656</v>
      </c>
      <c r="P16" s="115">
        <v>3</v>
      </c>
      <c r="Q16" s="103">
        <v>-9.4999999999999964</v>
      </c>
    </row>
    <row r="17" spans="1:17" x14ac:dyDescent="0.45">
      <c r="A17" s="51" t="s">
        <v>12</v>
      </c>
      <c r="B17" s="44">
        <v>44</v>
      </c>
      <c r="C17" s="37">
        <f>IF(B$15=0,0,B17/B$15)</f>
        <v>0.44444444444444442</v>
      </c>
      <c r="E17" s="59" t="s">
        <v>74</v>
      </c>
      <c r="F17" s="56" t="s">
        <v>29</v>
      </c>
      <c r="G17" s="44">
        <v>1</v>
      </c>
      <c r="H17" s="129">
        <f>IF(B$15=0,0,G17/B$15)</f>
        <v>1.0101010101010102E-2</v>
      </c>
      <c r="I17" s="90">
        <v>1</v>
      </c>
      <c r="K17" s="36">
        <v>15</v>
      </c>
      <c r="L17" s="95">
        <v>-272.50000000000006</v>
      </c>
      <c r="N17" s="111" t="s">
        <v>170</v>
      </c>
      <c r="O17" s="121">
        <f>IF(P17=0,0,Q17/P17)</f>
        <v>-9.4086956521739129</v>
      </c>
      <c r="P17" s="115">
        <v>23</v>
      </c>
      <c r="Q17" s="103">
        <v>-216.4</v>
      </c>
    </row>
    <row r="18" spans="1:17" x14ac:dyDescent="0.45">
      <c r="A18" s="51" t="s">
        <v>11</v>
      </c>
      <c r="B18" s="44">
        <v>55</v>
      </c>
      <c r="C18" s="37">
        <f>IF(B$15=0,0,B18/B$15)</f>
        <v>0.55555555555555558</v>
      </c>
      <c r="E18" s="59" t="s">
        <v>78</v>
      </c>
      <c r="F18" s="56" t="s">
        <v>33</v>
      </c>
      <c r="G18" s="44">
        <v>1</v>
      </c>
      <c r="H18" s="129">
        <f>IF(B$15=0,0,G18/B$15)</f>
        <v>1.0101010101010102E-2</v>
      </c>
      <c r="I18" s="90">
        <v>7</v>
      </c>
      <c r="K18" s="36">
        <v>16</v>
      </c>
      <c r="L18" s="95">
        <v>-320.30000000000007</v>
      </c>
      <c r="N18" s="111" t="s">
        <v>274</v>
      </c>
      <c r="O18" s="121">
        <f>IF(P18=0,0,Q18/P18)</f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43</v>
      </c>
      <c r="C19" s="37">
        <f>IF(B$15=0,0,B19/B$15)</f>
        <v>0.43434343434343436</v>
      </c>
      <c r="E19" s="59" t="s">
        <v>92</v>
      </c>
      <c r="F19" s="56" t="s">
        <v>47</v>
      </c>
      <c r="G19" s="44">
        <v>1</v>
      </c>
      <c r="H19" s="129">
        <f>IF(B$15=0,0,G19/B$15)</f>
        <v>1.0101010101010102E-2</v>
      </c>
      <c r="I19" s="90">
        <v>2</v>
      </c>
      <c r="K19" s="36">
        <v>17</v>
      </c>
      <c r="L19" s="95">
        <v>-352.60000000000008</v>
      </c>
      <c r="N19" s="111" t="s">
        <v>127</v>
      </c>
      <c r="O19" s="121">
        <f>IF(P19=0,0,Q19/P19)</f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37</v>
      </c>
      <c r="C20" s="37">
        <f>IF(B$15=0,0,B20/B$15)</f>
        <v>0.37373737373737376</v>
      </c>
      <c r="E20" s="59" t="s">
        <v>95</v>
      </c>
      <c r="F20" s="56" t="s">
        <v>50</v>
      </c>
      <c r="G20" s="44">
        <v>1</v>
      </c>
      <c r="H20" s="129">
        <f>IF(B$15=0,0,G20/B$15)</f>
        <v>1.0101010101010102E-2</v>
      </c>
      <c r="I20" s="90">
        <v>1</v>
      </c>
      <c r="K20" s="36">
        <v>18</v>
      </c>
      <c r="L20" s="95">
        <v>-355.50000000000006</v>
      </c>
      <c r="N20" s="111" t="s">
        <v>203</v>
      </c>
      <c r="O20" s="121">
        <f>IF(P20=0,0,Q20/P20)</f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19</v>
      </c>
      <c r="C21" s="37">
        <f>IF(B$15=0,0,B21/B$15)</f>
        <v>0.19191919191919191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-400.60000000000008</v>
      </c>
      <c r="N21" s="111" t="s">
        <v>171</v>
      </c>
      <c r="O21" s="121">
        <f>IF(P21=0,0,Q21/P21)</f>
        <v>-25.104347826086954</v>
      </c>
      <c r="P21" s="115">
        <v>23</v>
      </c>
      <c r="Q21" s="103">
        <v>-577.4</v>
      </c>
    </row>
    <row r="22" spans="1:17" x14ac:dyDescent="0.45">
      <c r="A22" s="51" t="s">
        <v>5</v>
      </c>
      <c r="B22" s="48">
        <f>IF(B$15=0,0,C22/B$15)</f>
        <v>8000</v>
      </c>
      <c r="C22" s="39">
        <v>792000</v>
      </c>
      <c r="E22" s="59" t="s">
        <v>75</v>
      </c>
      <c r="F22" s="56" t="s">
        <v>30</v>
      </c>
      <c r="G22" s="44">
        <v>0</v>
      </c>
      <c r="H22" s="129">
        <f>IF(B$15=0,0,G22/B$15)</f>
        <v>0</v>
      </c>
      <c r="I22" s="90">
        <v>9</v>
      </c>
      <c r="K22" s="36">
        <v>20</v>
      </c>
      <c r="L22" s="95">
        <v>-428.10000000000008</v>
      </c>
      <c r="N22" s="111" t="s">
        <v>126</v>
      </c>
      <c r="O22" s="121">
        <f>IF(P22=0,0,Q22/P22)</f>
        <v>-26.026666666666667</v>
      </c>
      <c r="P22" s="115">
        <v>15</v>
      </c>
      <c r="Q22" s="103">
        <v>-390.40000000000003</v>
      </c>
    </row>
    <row r="23" spans="1:17" x14ac:dyDescent="0.45">
      <c r="A23" s="52" t="s">
        <v>177</v>
      </c>
      <c r="B23" s="136">
        <f>IF($B$15-B$14=0,0,C23/($B$15-B$14))</f>
        <v>8433.8709677419356</v>
      </c>
      <c r="C23" s="137">
        <v>522900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-423.7000000000001</v>
      </c>
      <c r="N23" s="111" t="s">
        <v>196</v>
      </c>
      <c r="O23" s="121">
        <f>IF(P23=0,0,Q23/P23)</f>
        <v>-60.640000000000008</v>
      </c>
      <c r="P23" s="115">
        <v>5</v>
      </c>
      <c r="Q23" s="103">
        <v>-303.20000000000005</v>
      </c>
    </row>
    <row r="24" spans="1:17" x14ac:dyDescent="0.45">
      <c r="A24" s="52" t="s">
        <v>178</v>
      </c>
      <c r="B24" s="136">
        <f>IF(B$14=0,0,C24/B$14)</f>
        <v>7272.9729729729734</v>
      </c>
      <c r="C24" s="137">
        <v>269100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-465.00000000000011</v>
      </c>
      <c r="N24" s="111" t="s">
        <v>228</v>
      </c>
      <c r="O24" s="121">
        <f>IF(P24=0,0,Q24/P24)</f>
        <v>-65.55</v>
      </c>
      <c r="P24" s="115">
        <v>2</v>
      </c>
      <c r="Q24" s="103">
        <v>-131.1</v>
      </c>
    </row>
    <row r="25" spans="1:17" x14ac:dyDescent="0.45">
      <c r="A25" s="52" t="s">
        <v>176</v>
      </c>
      <c r="B25" s="136">
        <f>IF(B$16=0,0,C25/B$16)</f>
        <v>-8015.4929577464791</v>
      </c>
      <c r="C25" s="137">
        <v>-569100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-450.10000000000014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19</v>
      </c>
      <c r="C27" s="131">
        <v>3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52">
        <v>6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50">
        <v>85100</v>
      </c>
      <c r="C29" s="151"/>
      <c r="E29" s="59" t="s">
        <v>85</v>
      </c>
      <c r="F29" s="56" t="s">
        <v>40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1</v>
      </c>
      <c r="C30" s="40">
        <f>IF(B$3=0,0,B30/B$3)</f>
        <v>2.5641025641025641E-3</v>
      </c>
      <c r="E30" s="59" t="s">
        <v>87</v>
      </c>
      <c r="F30" s="56" t="s">
        <v>42</v>
      </c>
      <c r="G30" s="44">
        <v>0</v>
      </c>
      <c r="H30" s="129">
        <f>IF(B$15=0,0,G30/B$15)</f>
        <v>0</v>
      </c>
      <c r="I30" s="90">
        <v>4</v>
      </c>
      <c r="K30" s="36">
        <v>28</v>
      </c>
      <c r="L30" s="95">
        <v>-447.30000000000013</v>
      </c>
    </row>
    <row r="31" spans="1:17" x14ac:dyDescent="0.45">
      <c r="E31" s="59" t="s">
        <v>88</v>
      </c>
      <c r="F31" s="56" t="s">
        <v>43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8</v>
      </c>
      <c r="C32" s="141">
        <f>IF(B$15=0,0,B32/B$15)</f>
        <v>8.0808080808080815E-2</v>
      </c>
      <c r="E32" s="59" t="s">
        <v>90</v>
      </c>
      <c r="F32" s="56" t="s">
        <v>45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22</v>
      </c>
      <c r="C33" s="37">
        <f t="shared" ref="C33:C44" si="2">IF(B$15=0,0,B33/B$15)</f>
        <v>0.22222222222222221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21</v>
      </c>
      <c r="C34" s="37">
        <f>IF(B$15=0,0,B34/B$15)</f>
        <v>0.21212121212121213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13</v>
      </c>
      <c r="C35" s="37">
        <f t="shared" si="2"/>
        <v>0.13131313131313133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13</v>
      </c>
      <c r="C36" s="37">
        <f t="shared" si="2"/>
        <v>0.13131313131313133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7</v>
      </c>
      <c r="C37" s="37">
        <f t="shared" si="2"/>
        <v>7.0707070707070704E-2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7</v>
      </c>
      <c r="C38" s="37">
        <f t="shared" si="2"/>
        <v>7.0707070707070704E-2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2"/>
        <v>5.0505050505050504E-2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1.0101010101010102E-2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2.0202020202020204E-2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-623.30000000000007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-588.1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C335-5A3E-49C9-9DBD-5B180DACC0B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196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24</v>
      </c>
      <c r="C2" s="159"/>
      <c r="E2" s="58" t="s">
        <v>66</v>
      </c>
      <c r="F2" s="55" t="s">
        <v>22</v>
      </c>
      <c r="G2" s="43">
        <v>63</v>
      </c>
      <c r="H2" s="128">
        <f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5">
      <c r="A3" s="51" t="s">
        <v>8</v>
      </c>
      <c r="B3" s="160">
        <v>229</v>
      </c>
      <c r="C3" s="161"/>
      <c r="E3" s="59" t="s">
        <v>64</v>
      </c>
      <c r="F3" s="56" t="s">
        <v>20</v>
      </c>
      <c r="G3" s="44">
        <v>36</v>
      </c>
      <c r="H3" s="129">
        <f>IF(B$15=0,0,G3/B$15)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5">
      <c r="A4" s="51" t="s">
        <v>6</v>
      </c>
      <c r="B4" s="162">
        <v>2.1999999999999957</v>
      </c>
      <c r="C4" s="163"/>
      <c r="E4" s="59" t="s">
        <v>68</v>
      </c>
      <c r="F4" s="56" t="s">
        <v>12</v>
      </c>
      <c r="G4" s="44">
        <v>27</v>
      </c>
      <c r="H4" s="129">
        <f>IF(B$15=0,0,G4/B$15)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5">
      <c r="A5" s="51" t="s">
        <v>7</v>
      </c>
      <c r="B5" s="164">
        <f>IF(B$2=0,0,B$4/B$2)</f>
        <v>9.1666666666666494E-2</v>
      </c>
      <c r="C5" s="165"/>
      <c r="E5" s="59" t="s">
        <v>166</v>
      </c>
      <c r="F5" s="56" t="s">
        <v>167</v>
      </c>
      <c r="G5" s="44">
        <v>24</v>
      </c>
      <c r="H5" s="129">
        <f>IF(B$15=0,0,G5/B$15)</f>
        <v>0.38709677419354838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5">
      <c r="A6" s="51" t="s">
        <v>1</v>
      </c>
      <c r="B6" s="154">
        <f>IF(B$2=0,0,(B$7*1+B$8*2+B$9*3)/B$2)</f>
        <v>2</v>
      </c>
      <c r="C6" s="155"/>
      <c r="E6" s="59" t="s">
        <v>72</v>
      </c>
      <c r="F6" s="56" t="s">
        <v>27</v>
      </c>
      <c r="G6" s="44">
        <v>21</v>
      </c>
      <c r="H6" s="129">
        <f>IF(B$15=0,0,G6/B$15)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16</v>
      </c>
      <c r="H7" s="129">
        <f>IF(B$15=0,0,G7/B$15)</f>
        <v>0.25806451612903225</v>
      </c>
      <c r="I7" s="90">
        <v>8</v>
      </c>
      <c r="K7" s="36">
        <v>5</v>
      </c>
      <c r="L7" s="95">
        <v>127.9</v>
      </c>
      <c r="N7" s="112" t="s">
        <v>135</v>
      </c>
      <c r="O7" s="119">
        <f t="shared" si="0"/>
        <v>1223.5294117647059</v>
      </c>
      <c r="P7" s="116">
        <v>17</v>
      </c>
      <c r="Q7" s="100">
        <v>20800</v>
      </c>
    </row>
    <row r="8" spans="1:17" x14ac:dyDescent="0.45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IF(B$15=0,0,G8/B$15)</f>
        <v>0.20967741935483872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0.14516129032258066</v>
      </c>
      <c r="I9" s="90">
        <v>4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IF(B$15=0,0,G10/B$15)</f>
        <v>9.6774193548387094E-2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>IF(B$15=0,0,G11/B$15)</f>
        <v>9.6774193548387094E-2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5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>IF(B$15=0,0,G12/B$15)</f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>IF(B$15=0,0,G13/B$15)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>IF(B$15=0,0,G14/B$15)</f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>IF(B$15=0,0,G15/B$15)</f>
        <v>3.2258064516129031E-2</v>
      </c>
      <c r="I15" s="90">
        <v>11</v>
      </c>
      <c r="K15" s="36">
        <v>13</v>
      </c>
      <c r="L15" s="95">
        <v>76.7</v>
      </c>
      <c r="N15" s="110" t="s">
        <v>197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>IF(B$15=0,0,G16/B$15)</f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5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>IF(B$15=0,0,G17/B$15)</f>
        <v>1.6129032258064516E-2</v>
      </c>
      <c r="I17" s="90">
        <v>6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>IF(B$15=0,0,G18/B$15)</f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>IF(B$15=0,0,G19/B$15)</f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>IF(B$15=0,0,G20/B$15)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5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9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</row>
    <row r="28" spans="1:17" x14ac:dyDescent="0.45">
      <c r="A28" s="86" t="s">
        <v>138</v>
      </c>
      <c r="B28" s="152">
        <v>7</v>
      </c>
      <c r="C28" s="153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50">
        <v>95200</v>
      </c>
      <c r="C29" s="151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9</v>
      </c>
    </row>
    <row r="32" spans="1:17" x14ac:dyDescent="0.45">
      <c r="A32" s="86" t="s">
        <v>183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0.14516129032258066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0.16129032258064516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0.19354838709677419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4.8387096774193547E-2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3.2258064516129031E-2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1.6129032258064516E-2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C0CE-FF64-4D0E-999A-38EA4A1519EC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228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7</v>
      </c>
      <c r="C2" s="159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60">
        <v>62</v>
      </c>
      <c r="C3" s="161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5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62">
        <v>-104.80000000000001</v>
      </c>
      <c r="C4" s="163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4">
        <f>IF(B$2=0,0,B$4/B$2)</f>
        <v>-14.971428571428573</v>
      </c>
      <c r="C5" s="165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4">
        <f>IF(B$2=0,0,(B$7*1+B$8*2+B$9*3)/B$2)</f>
        <v>2.1428571428571428</v>
      </c>
      <c r="C6" s="155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2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12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4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11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9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9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10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59500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F2CAF-BDFE-45D0-A480-50FA82771875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203</v>
      </c>
      <c r="C1" s="157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2</v>
      </c>
      <c r="C2" s="159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60">
        <v>15</v>
      </c>
      <c r="C3" s="161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62">
        <v>26.2</v>
      </c>
      <c r="C4" s="163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4">
        <f>IF(B$2=0,0,B$4/B$2)</f>
        <v>13.1</v>
      </c>
      <c r="C5" s="165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4">
        <f>IF(B$2=0,0,(B$7*1+B$8*2+B$9*3)/B$2)</f>
        <v>1.5</v>
      </c>
      <c r="C6" s="155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11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7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12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5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9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9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10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11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4</v>
      </c>
    </row>
    <row r="28" spans="1:17" x14ac:dyDescent="0.45">
      <c r="A28" s="86" t="s">
        <v>138</v>
      </c>
      <c r="B28" s="152">
        <v>4</v>
      </c>
      <c r="C28" s="153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50">
        <v>52800</v>
      </c>
      <c r="C29" s="151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9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8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0EE47-776B-44AA-81BA-0A18D75D0782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6" t="s">
        <v>274</v>
      </c>
      <c r="C1" s="157"/>
      <c r="E1" s="125" t="s">
        <v>160</v>
      </c>
      <c r="F1" s="147" t="s">
        <v>115</v>
      </c>
      <c r="G1" s="146" t="s">
        <v>116</v>
      </c>
      <c r="H1" s="126" t="s">
        <v>117</v>
      </c>
      <c r="I1" s="147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8">
        <v>1</v>
      </c>
      <c r="C2" s="159"/>
      <c r="E2" s="58" t="s">
        <v>64</v>
      </c>
      <c r="F2" s="55" t="s">
        <v>20</v>
      </c>
      <c r="G2" s="43">
        <v>4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2600</v>
      </c>
      <c r="P2" s="114">
        <v>1</v>
      </c>
      <c r="Q2" s="98">
        <v>2600</v>
      </c>
    </row>
    <row r="3" spans="1:17" x14ac:dyDescent="0.45">
      <c r="A3" s="51" t="s">
        <v>8</v>
      </c>
      <c r="B3" s="160">
        <v>6</v>
      </c>
      <c r="C3" s="161"/>
      <c r="E3" s="59" t="s">
        <v>65</v>
      </c>
      <c r="F3" s="56" t="s">
        <v>21</v>
      </c>
      <c r="G3" s="44">
        <v>1</v>
      </c>
      <c r="H3" s="129">
        <f>IF(B$15=0,0,G3/B$15)</f>
        <v>0.25</v>
      </c>
      <c r="I3" s="90">
        <v>1</v>
      </c>
      <c r="K3" s="36">
        <v>1</v>
      </c>
      <c r="L3" s="95">
        <v>17.600000000000001</v>
      </c>
      <c r="N3" s="111" t="s">
        <v>131</v>
      </c>
      <c r="O3" s="118">
        <f t="shared" si="0"/>
        <v>0</v>
      </c>
      <c r="P3" s="115">
        <v>1</v>
      </c>
      <c r="Q3" s="99">
        <v>0</v>
      </c>
    </row>
    <row r="4" spans="1:17" x14ac:dyDescent="0.45">
      <c r="A4" s="51" t="s">
        <v>6</v>
      </c>
      <c r="B4" s="162">
        <v>17.600000000000001</v>
      </c>
      <c r="C4" s="163"/>
      <c r="E4" s="59" t="s">
        <v>66</v>
      </c>
      <c r="F4" s="56" t="s">
        <v>22</v>
      </c>
      <c r="G4" s="44">
        <v>1</v>
      </c>
      <c r="H4" s="129">
        <f>IF(B$15=0,0,G4/B$15)</f>
        <v>0.25</v>
      </c>
      <c r="I4" s="90">
        <v>12</v>
      </c>
      <c r="N4" s="111" t="s">
        <v>132</v>
      </c>
      <c r="O4" s="118">
        <f t="shared" si="0"/>
        <v>1300</v>
      </c>
      <c r="P4" s="115">
        <v>1</v>
      </c>
      <c r="Q4" s="99">
        <v>1300</v>
      </c>
    </row>
    <row r="5" spans="1:17" x14ac:dyDescent="0.45">
      <c r="A5" s="51" t="s">
        <v>7</v>
      </c>
      <c r="B5" s="164">
        <f>IF(B$2=0,0,B$4/B$2)</f>
        <v>17.600000000000001</v>
      </c>
      <c r="C5" s="165"/>
      <c r="E5" s="59" t="s">
        <v>68</v>
      </c>
      <c r="F5" s="56" t="s">
        <v>12</v>
      </c>
      <c r="G5" s="44">
        <v>1</v>
      </c>
      <c r="H5" s="129">
        <f>IF(B$15=0,0,G5/B$15)</f>
        <v>0.25</v>
      </c>
      <c r="I5" s="90">
        <v>11</v>
      </c>
      <c r="N5" s="111" t="s">
        <v>133</v>
      </c>
      <c r="O5" s="118">
        <f t="shared" si="0"/>
        <v>4000</v>
      </c>
      <c r="P5" s="115">
        <v>1</v>
      </c>
      <c r="Q5" s="99">
        <v>4000</v>
      </c>
    </row>
    <row r="6" spans="1:17" x14ac:dyDescent="0.45">
      <c r="A6" s="51" t="s">
        <v>1</v>
      </c>
      <c r="B6" s="154">
        <f>IF(B$2=0,0,(B$7*1+B$8*2+B$9*3)/B$2)</f>
        <v>1</v>
      </c>
      <c r="C6" s="155"/>
      <c r="E6" s="59" t="s">
        <v>69</v>
      </c>
      <c r="F6" s="56" t="s">
        <v>24</v>
      </c>
      <c r="G6" s="44">
        <v>1</v>
      </c>
      <c r="H6" s="129">
        <f>IF(B$15=0,0,G6/B$15)</f>
        <v>0.25</v>
      </c>
      <c r="I6" s="90">
        <v>1</v>
      </c>
      <c r="N6" s="111" t="s">
        <v>134</v>
      </c>
      <c r="O6" s="118">
        <f t="shared" si="0"/>
        <v>-8000</v>
      </c>
      <c r="P6" s="115">
        <v>1</v>
      </c>
      <c r="Q6" s="99">
        <v>-8000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1</v>
      </c>
      <c r="E7" s="59" t="s">
        <v>70</v>
      </c>
      <c r="F7" s="56" t="s">
        <v>25</v>
      </c>
      <c r="G7" s="44">
        <v>1</v>
      </c>
      <c r="H7" s="129">
        <f>IF(B$15=0,0,G7/B$15)</f>
        <v>0.25</v>
      </c>
      <c r="I7" s="90">
        <v>1</v>
      </c>
      <c r="N7" s="112" t="s">
        <v>135</v>
      </c>
      <c r="O7" s="119">
        <f t="shared" si="0"/>
        <v>7700</v>
      </c>
      <c r="P7" s="116">
        <v>1</v>
      </c>
      <c r="Q7" s="100">
        <v>7700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71</v>
      </c>
      <c r="F8" s="56" t="s">
        <v>26</v>
      </c>
      <c r="G8" s="44">
        <v>1</v>
      </c>
      <c r="H8" s="129">
        <f>IF(B$15=0,0,G8/B$15)</f>
        <v>0.25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67</v>
      </c>
      <c r="F9" s="56" t="s">
        <v>23</v>
      </c>
      <c r="G9" s="44">
        <v>0</v>
      </c>
      <c r="H9" s="129">
        <f>IF(B$15=0,0,G9/B$15)</f>
        <v>0</v>
      </c>
      <c r="I9" s="90">
        <v>12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72</v>
      </c>
      <c r="F10" s="56" t="s">
        <v>27</v>
      </c>
      <c r="G10" s="44">
        <v>0</v>
      </c>
      <c r="H10" s="129">
        <f>IF(B$15=0,0,G10/B$15)</f>
        <v>0</v>
      </c>
      <c r="I10" s="90">
        <v>12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0.66666666666666663</v>
      </c>
      <c r="E11" s="59" t="s">
        <v>73</v>
      </c>
      <c r="F11" s="56" t="s">
        <v>28</v>
      </c>
      <c r="G11" s="44">
        <v>0</v>
      </c>
      <c r="H11" s="129">
        <f>IF(B$15=0,0,G11/B$15)</f>
        <v>0</v>
      </c>
      <c r="I11" s="90">
        <v>5</v>
      </c>
      <c r="N11" s="111" t="s">
        <v>158</v>
      </c>
      <c r="O11" s="121">
        <f>IF(P11=0,0,Q11/P11)</f>
        <v>17.600000000000001</v>
      </c>
      <c r="P11" s="115">
        <v>1</v>
      </c>
      <c r="Q11" s="103">
        <v>17.600000000000001</v>
      </c>
    </row>
    <row r="12" spans="1:17" x14ac:dyDescent="0.45">
      <c r="A12" s="51" t="s">
        <v>118</v>
      </c>
      <c r="B12" s="44">
        <v>0</v>
      </c>
      <c r="C12" s="37">
        <f>IF(B$3=0,0,B12/B$3)</f>
        <v>0</v>
      </c>
      <c r="E12" s="59" t="s">
        <v>74</v>
      </c>
      <c r="F12" s="56" t="s">
        <v>29</v>
      </c>
      <c r="G12" s="44">
        <v>0</v>
      </c>
      <c r="H12" s="129">
        <f>IF(B$15=0,0,G12/B$15)</f>
        <v>0</v>
      </c>
      <c r="I12" s="90">
        <v>7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50" t="s">
        <v>123</v>
      </c>
      <c r="B13" s="43">
        <f>B19</f>
        <v>4</v>
      </c>
      <c r="C13" s="35">
        <f>IF(B$11=0,0,B13/B$11)</f>
        <v>1</v>
      </c>
      <c r="E13" s="59" t="s">
        <v>75</v>
      </c>
      <c r="F13" s="56" t="s">
        <v>30</v>
      </c>
      <c r="G13" s="44">
        <v>0</v>
      </c>
      <c r="H13" s="129">
        <f>IF(B$15=0,0,G13/B$15)</f>
        <v>0</v>
      </c>
      <c r="I13" s="90">
        <v>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0</v>
      </c>
      <c r="C14" s="35">
        <f>IF(B$12=0,0,B14/B$12)</f>
        <v>0</v>
      </c>
      <c r="E14" s="59" t="s">
        <v>76</v>
      </c>
      <c r="F14" s="56" t="s">
        <v>31</v>
      </c>
      <c r="G14" s="44">
        <v>0</v>
      </c>
      <c r="H14" s="129">
        <f>IF(B$15=0,0,G14/B$15)</f>
        <v>0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</v>
      </c>
      <c r="C15" s="35">
        <f>IF(B$3=0,0,B15/B$3)</f>
        <v>0.66666666666666663</v>
      </c>
      <c r="E15" s="59" t="s">
        <v>77</v>
      </c>
      <c r="F15" s="56" t="s">
        <v>32</v>
      </c>
      <c r="G15" s="44">
        <v>0</v>
      </c>
      <c r="H15" s="129">
        <f>IF(B$15=0,0,G15/B$15)</f>
        <v>0</v>
      </c>
      <c r="I15" s="90">
        <v>5</v>
      </c>
      <c r="N15" s="110" t="s">
        <v>170</v>
      </c>
      <c r="O15" s="120">
        <f>IF(P15=0,0,Q15/P15)</f>
        <v>40.799999999999997</v>
      </c>
      <c r="P15" s="114">
        <v>1</v>
      </c>
      <c r="Q15" s="102">
        <v>40.799999999999997</v>
      </c>
    </row>
    <row r="16" spans="1:17" x14ac:dyDescent="0.45">
      <c r="A16" s="51" t="s">
        <v>13</v>
      </c>
      <c r="B16" s="44">
        <v>1</v>
      </c>
      <c r="C16" s="37">
        <f>IF(B$3=0,0,B16/B$3)</f>
        <v>0.16666666666666666</v>
      </c>
      <c r="E16" s="59" t="s">
        <v>78</v>
      </c>
      <c r="F16" s="56" t="s">
        <v>33</v>
      </c>
      <c r="G16" s="44">
        <v>0</v>
      </c>
      <c r="H16" s="129">
        <f>IF(B$15=0,0,G16/B$15)</f>
        <v>0</v>
      </c>
      <c r="I16" s="90">
        <v>9</v>
      </c>
      <c r="N16" s="111" t="s">
        <v>197</v>
      </c>
      <c r="O16" s="121">
        <f>IF(P16=0,0,Q16/P16)</f>
        <v>12.000000000000002</v>
      </c>
      <c r="P16" s="115">
        <v>1</v>
      </c>
      <c r="Q16" s="103">
        <v>12.000000000000002</v>
      </c>
    </row>
    <row r="17" spans="1:9" x14ac:dyDescent="0.45">
      <c r="A17" s="51" t="s">
        <v>12</v>
      </c>
      <c r="B17" s="44">
        <v>1</v>
      </c>
      <c r="C17" s="37">
        <f>IF(B$15=0,0,B17/B$15)</f>
        <v>0.25</v>
      </c>
      <c r="E17" s="59" t="s">
        <v>79</v>
      </c>
      <c r="F17" s="56" t="s">
        <v>34</v>
      </c>
      <c r="G17" s="44">
        <v>0</v>
      </c>
      <c r="H17" s="129">
        <f>IF(B$15=0,0,G17/B$15)</f>
        <v>0</v>
      </c>
      <c r="I17" s="90">
        <v>9</v>
      </c>
    </row>
    <row r="18" spans="1:9" x14ac:dyDescent="0.45">
      <c r="A18" s="51" t="s">
        <v>11</v>
      </c>
      <c r="B18" s="44">
        <v>3</v>
      </c>
      <c r="C18" s="37">
        <f>IF(B$15=0,0,B18/B$15)</f>
        <v>0.75</v>
      </c>
      <c r="E18" s="59" t="s">
        <v>80</v>
      </c>
      <c r="F18" s="56" t="s">
        <v>35</v>
      </c>
      <c r="G18" s="44">
        <v>0</v>
      </c>
      <c r="H18" s="129">
        <f>IF(B$15=0,0,G18/B$15)</f>
        <v>0</v>
      </c>
      <c r="I18" s="90">
        <v>1</v>
      </c>
    </row>
    <row r="19" spans="1:9" x14ac:dyDescent="0.45">
      <c r="A19" s="51" t="s">
        <v>195</v>
      </c>
      <c r="B19" s="44">
        <v>4</v>
      </c>
      <c r="C19" s="37">
        <f>IF(B$15=0,0,B19/B$15)</f>
        <v>1</v>
      </c>
      <c r="E19" s="59" t="s">
        <v>81</v>
      </c>
      <c r="F19" s="56" t="s">
        <v>36</v>
      </c>
      <c r="G19" s="44">
        <v>0</v>
      </c>
      <c r="H19" s="129">
        <f>IF(B$15=0,0,G19/B$15)</f>
        <v>0</v>
      </c>
      <c r="I19" s="90">
        <v>10</v>
      </c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56" t="s">
        <v>37</v>
      </c>
      <c r="G20" s="44">
        <v>0</v>
      </c>
      <c r="H20" s="129">
        <f>IF(B$15=0,0,G20/B$15)</f>
        <v>0</v>
      </c>
      <c r="I20" s="90">
        <v>1</v>
      </c>
    </row>
    <row r="21" spans="1:9" x14ac:dyDescent="0.45">
      <c r="A21" s="51" t="s">
        <v>194</v>
      </c>
      <c r="B21" s="44">
        <v>0</v>
      </c>
      <c r="C21" s="37">
        <f>IF(B$15=0,0,B21/B$15)</f>
        <v>0</v>
      </c>
      <c r="E21" s="59" t="s">
        <v>83</v>
      </c>
      <c r="F21" s="56" t="s">
        <v>38</v>
      </c>
      <c r="G21" s="44">
        <v>0</v>
      </c>
      <c r="H21" s="129">
        <f>IF(B$15=0,0,G21/B$15)</f>
        <v>0</v>
      </c>
      <c r="I21" s="90">
        <v>12</v>
      </c>
    </row>
    <row r="22" spans="1:9" x14ac:dyDescent="0.45">
      <c r="A22" s="51" t="s">
        <v>5</v>
      </c>
      <c r="B22" s="48">
        <f>IF(B$15=0,0,C22/B$15)</f>
        <v>3900</v>
      </c>
      <c r="C22" s="39">
        <v>15600</v>
      </c>
      <c r="E22" s="59" t="s">
        <v>84</v>
      </c>
      <c r="F22" s="56" t="s">
        <v>39</v>
      </c>
      <c r="G22" s="44">
        <v>0</v>
      </c>
      <c r="H22" s="129">
        <f>IF(B$15=0,0,G22/B$15)</f>
        <v>0</v>
      </c>
      <c r="I22" s="90">
        <v>6</v>
      </c>
    </row>
    <row r="23" spans="1:9" x14ac:dyDescent="0.45">
      <c r="A23" s="52" t="s">
        <v>177</v>
      </c>
      <c r="B23" s="136">
        <f>IF($B$15-B$14=0,0,C23/($B$15-B$14))</f>
        <v>3900</v>
      </c>
      <c r="C23" s="137">
        <v>15600</v>
      </c>
      <c r="E23" s="59" t="s">
        <v>85</v>
      </c>
      <c r="F23" s="56" t="s">
        <v>40</v>
      </c>
      <c r="G23" s="44">
        <v>0</v>
      </c>
      <c r="H23" s="129">
        <f>IF(B$15=0,0,G23/B$15)</f>
        <v>0</v>
      </c>
      <c r="I23" s="90">
        <v>6</v>
      </c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56" t="s">
        <v>41</v>
      </c>
      <c r="G24" s="44">
        <v>0</v>
      </c>
      <c r="H24" s="129">
        <f>IF(B$15=0,0,G24/B$15)</f>
        <v>0</v>
      </c>
      <c r="I24" s="90">
        <v>11</v>
      </c>
    </row>
    <row r="25" spans="1:9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87</v>
      </c>
      <c r="F25" s="56" t="s">
        <v>42</v>
      </c>
      <c r="G25" s="44">
        <v>0</v>
      </c>
      <c r="H25" s="129">
        <f>IF(B$15=0,0,G25/B$15)</f>
        <v>0</v>
      </c>
      <c r="I25" s="90">
        <v>4</v>
      </c>
    </row>
    <row r="26" spans="1:9" x14ac:dyDescent="0.45">
      <c r="A26" s="51" t="s">
        <v>164</v>
      </c>
      <c r="B26" s="44">
        <v>2</v>
      </c>
      <c r="C26" s="131">
        <v>1</v>
      </c>
      <c r="E26" s="59" t="s">
        <v>88</v>
      </c>
      <c r="F26" s="56" t="s">
        <v>43</v>
      </c>
      <c r="G26" s="44">
        <v>0</v>
      </c>
      <c r="H26" s="129">
        <f>IF(B$15=0,0,G26/B$15)</f>
        <v>0</v>
      </c>
      <c r="I26" s="90">
        <v>5</v>
      </c>
    </row>
    <row r="27" spans="1:9" x14ac:dyDescent="0.45">
      <c r="A27" s="51" t="s">
        <v>165</v>
      </c>
      <c r="B27" s="44">
        <v>4</v>
      </c>
      <c r="C27" s="131">
        <v>1</v>
      </c>
      <c r="E27" s="59" t="s">
        <v>89</v>
      </c>
      <c r="F27" s="56" t="s">
        <v>44</v>
      </c>
      <c r="G27" s="44">
        <v>0</v>
      </c>
      <c r="H27" s="129">
        <f>IF(B$15=0,0,G27/B$15)</f>
        <v>0</v>
      </c>
      <c r="I27" s="90">
        <v>12</v>
      </c>
    </row>
    <row r="28" spans="1:9" x14ac:dyDescent="0.45">
      <c r="A28" s="86" t="s">
        <v>138</v>
      </c>
      <c r="B28" s="152">
        <v>1</v>
      </c>
      <c r="C28" s="153"/>
      <c r="E28" s="59" t="s">
        <v>90</v>
      </c>
      <c r="F28" s="56" t="s">
        <v>45</v>
      </c>
      <c r="G28" s="44">
        <v>0</v>
      </c>
      <c r="H28" s="129">
        <f>IF(B$15=0,0,G28/B$15)</f>
        <v>0</v>
      </c>
      <c r="I28" s="90">
        <v>5</v>
      </c>
    </row>
    <row r="29" spans="1:9" x14ac:dyDescent="0.45">
      <c r="A29" s="54" t="s">
        <v>192</v>
      </c>
      <c r="B29" s="150">
        <v>42600</v>
      </c>
      <c r="C29" s="151"/>
      <c r="E29" s="59" t="s">
        <v>91</v>
      </c>
      <c r="F29" s="56" t="s">
        <v>46</v>
      </c>
      <c r="G29" s="44">
        <v>0</v>
      </c>
      <c r="H29" s="129">
        <f>IF(B$15=0,0,G29/B$15)</f>
        <v>0</v>
      </c>
      <c r="I29" s="90">
        <v>9</v>
      </c>
    </row>
    <row r="30" spans="1:9" x14ac:dyDescent="0.45">
      <c r="A30" s="53" t="s">
        <v>139</v>
      </c>
      <c r="B30" s="61">
        <v>0</v>
      </c>
      <c r="C30" s="40">
        <f>IF(B$3=0,0,B30/B$3)</f>
        <v>0</v>
      </c>
      <c r="E30" s="59" t="s">
        <v>92</v>
      </c>
      <c r="F30" s="56" t="s">
        <v>47</v>
      </c>
      <c r="G30" s="44">
        <v>0</v>
      </c>
      <c r="H30" s="129">
        <f>IF(B$15=0,0,G30/B$15)</f>
        <v>0</v>
      </c>
      <c r="I30" s="90">
        <v>6</v>
      </c>
    </row>
    <row r="31" spans="1:9" x14ac:dyDescent="0.45">
      <c r="E31" s="59" t="s">
        <v>93</v>
      </c>
      <c r="F31" s="56" t="s">
        <v>48</v>
      </c>
      <c r="G31" s="44">
        <v>0</v>
      </c>
      <c r="H31" s="129">
        <f>IF(B$15=0,0,G31/B$15)</f>
        <v>0</v>
      </c>
      <c r="I31" s="90">
        <v>5</v>
      </c>
    </row>
    <row r="32" spans="1:9" x14ac:dyDescent="0.45">
      <c r="A32" s="86" t="s">
        <v>183</v>
      </c>
      <c r="B32" s="148">
        <v>1</v>
      </c>
      <c r="C32" s="141">
        <f>IF(B$15=0,0,B32/B$15)</f>
        <v>0.25</v>
      </c>
      <c r="E32" s="59" t="s">
        <v>94</v>
      </c>
      <c r="F32" s="56" t="s">
        <v>49</v>
      </c>
      <c r="G32" s="44">
        <v>0</v>
      </c>
      <c r="H32" s="129">
        <f>IF(B$15=0,0,G32/B$15)</f>
        <v>0</v>
      </c>
      <c r="I32" s="90">
        <v>1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0.25</v>
      </c>
      <c r="E33" s="59" t="s">
        <v>95</v>
      </c>
      <c r="F33" s="56" t="s">
        <v>50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9">
        <v>1</v>
      </c>
      <c r="C34" s="37">
        <f>IF(B$15=0,0,B34/B$15)</f>
        <v>0.25</v>
      </c>
      <c r="E34" s="59" t="s">
        <v>96</v>
      </c>
      <c r="F34" s="56" t="s">
        <v>51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9">
        <v>1</v>
      </c>
      <c r="C35" s="37">
        <f t="shared" si="2"/>
        <v>0.25</v>
      </c>
      <c r="E35" s="59" t="s">
        <v>97</v>
      </c>
      <c r="F35" s="56" t="s">
        <v>52</v>
      </c>
      <c r="G35" s="44">
        <v>0</v>
      </c>
      <c r="H35" s="129">
        <f>IF(B$15=0,0,G35/B$15)</f>
        <v>0</v>
      </c>
      <c r="I35" s="90">
        <v>3</v>
      </c>
    </row>
    <row r="36" spans="1:9" x14ac:dyDescent="0.45">
      <c r="A36" s="51" t="s">
        <v>182</v>
      </c>
      <c r="B36" s="149">
        <v>0</v>
      </c>
      <c r="C36" s="37">
        <f t="shared" si="2"/>
        <v>0</v>
      </c>
      <c r="E36" s="59" t="s">
        <v>98</v>
      </c>
      <c r="F36" s="56" t="s">
        <v>53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9">
        <v>0</v>
      </c>
      <c r="C37" s="37">
        <f t="shared" si="2"/>
        <v>0</v>
      </c>
      <c r="E37" s="59" t="s">
        <v>99</v>
      </c>
      <c r="F37" s="56" t="s">
        <v>54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9">
        <v>0</v>
      </c>
      <c r="C38" s="37">
        <f t="shared" si="2"/>
        <v>0</v>
      </c>
      <c r="E38" s="59" t="s">
        <v>100</v>
      </c>
      <c r="F38" s="56" t="s">
        <v>55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9">
        <v>0</v>
      </c>
      <c r="C39" s="37">
        <f t="shared" si="2"/>
        <v>0</v>
      </c>
      <c r="E39" s="59" t="s">
        <v>101</v>
      </c>
      <c r="F39" s="56" t="s">
        <v>56</v>
      </c>
      <c r="G39" s="44">
        <v>0</v>
      </c>
      <c r="H39" s="129">
        <f>IF(B$15=0,0,G39/B$15)</f>
        <v>0</v>
      </c>
      <c r="I39" s="90">
        <v>3</v>
      </c>
    </row>
    <row r="40" spans="1:9" x14ac:dyDescent="0.45">
      <c r="A40" s="51" t="s">
        <v>187</v>
      </c>
      <c r="B40" s="149">
        <v>0</v>
      </c>
      <c r="C40" s="37">
        <f t="shared" si="2"/>
        <v>0</v>
      </c>
      <c r="E40" s="59" t="s">
        <v>102</v>
      </c>
      <c r="F40" s="56" t="s">
        <v>57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9">
        <v>0</v>
      </c>
      <c r="C41" s="37">
        <f t="shared" si="2"/>
        <v>0</v>
      </c>
      <c r="E41" s="59" t="s">
        <v>103</v>
      </c>
      <c r="F41" s="56" t="s">
        <v>58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9">
        <v>0</v>
      </c>
      <c r="C42" s="37">
        <f t="shared" si="2"/>
        <v>0</v>
      </c>
      <c r="E42" s="59" t="s">
        <v>104</v>
      </c>
      <c r="F42" s="56" t="s">
        <v>59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9">
        <v>0</v>
      </c>
      <c r="C43" s="37">
        <f t="shared" si="2"/>
        <v>0</v>
      </c>
      <c r="E43" s="59" t="s">
        <v>105</v>
      </c>
      <c r="F43" s="56" t="s">
        <v>112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106</v>
      </c>
      <c r="F44" s="56" t="s">
        <v>113</v>
      </c>
      <c r="G44" s="44">
        <v>0</v>
      </c>
      <c r="H44" s="129">
        <f>IF(B$15=0,0,G44/B$15)</f>
        <v>0</v>
      </c>
      <c r="I44" s="90">
        <v>3</v>
      </c>
    </row>
    <row r="45" spans="1:9" x14ac:dyDescent="0.45">
      <c r="E45" s="59" t="s">
        <v>107</v>
      </c>
      <c r="F45" s="56" t="s">
        <v>114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108</v>
      </c>
      <c r="F46" s="56" t="s">
        <v>60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109</v>
      </c>
      <c r="F47" s="56" t="s">
        <v>61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110</v>
      </c>
      <c r="F48" s="56" t="s">
        <v>62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111</v>
      </c>
      <c r="F49" s="56" t="s">
        <v>63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162</v>
      </c>
      <c r="F50" s="56" t="s">
        <v>163</v>
      </c>
      <c r="G50" s="44">
        <v>0</v>
      </c>
      <c r="H50" s="129">
        <f>IF(B$15=0,0,G50/B$15)</f>
        <v>0</v>
      </c>
      <c r="I50" s="90">
        <v>8</v>
      </c>
    </row>
    <row r="51" spans="5:9" x14ac:dyDescent="0.45">
      <c r="E51" s="132" t="s">
        <v>166</v>
      </c>
      <c r="F51" s="133" t="s">
        <v>167</v>
      </c>
      <c r="G51" s="45">
        <v>0</v>
      </c>
      <c r="H51" s="134">
        <f>IF(B$15=0,0,G51/B$15)</f>
        <v>0</v>
      </c>
      <c r="I51" s="135">
        <v>12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3CDC9-CF00-4A86-950D-740FA3027C9A}">
  <sheetPr codeName="Sheet28"/>
  <dimension ref="A1:Q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DB93C-25E2-4961-994F-A36CE99A44AA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4AA1A-DF06-4A3B-81CD-10DB110FE139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0A651-F155-4F26-A5F2-8454E5EAD96C}">
  <sheetPr codeName="Sheet22"/>
  <dimension ref="A1:Q2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832D1-E5F9-4D57-AA9F-C483D2F1B5B1}">
  <sheetPr codeName="Sheet20"/>
  <dimension ref="A1:Q5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A109B-B247-41DB-B57D-6BDAED8046E3}">
  <sheetPr codeName="Sheet18"/>
  <dimension ref="A1:Q1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1A2B-5670-475E-AAE3-2956C8A0D252}">
  <sheetPr codeName="Sheet16"/>
  <dimension ref="A1:Q9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CCE3D-1C44-4BEB-9DE9-9BF9D7BC5882}">
  <sheetPr codeName="Sheet14"/>
  <dimension ref="A1:Q8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D679A-D46F-4FBE-AAA0-4CCFB72495B5}">
  <sheetPr codeName="Sheet12"/>
  <dimension ref="A1:Q13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53233-0DBD-46B5-AF1F-AC99D8594D07}">
  <sheetPr codeName="Sheet10"/>
  <dimension ref="A1:Q14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4AFE1-70F0-4B53-8047-E4CAA74D512A}">
  <sheetPr codeName="Sheet8"/>
  <dimension ref="A1:Q6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9ADC5-47C2-40EC-BDC5-128888A11E22}">
  <sheetPr codeName="Sheet6"/>
  <dimension ref="A1:Q23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689</vt:i4>
      </vt:variant>
    </vt:vector>
  </HeadingPairs>
  <TitlesOfParts>
    <vt:vector size="73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2019-12-03T14:49:57Z</dcterms:modified>
</cp:coreProperties>
</file>