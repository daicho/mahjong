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5EEF205C-9421-4B2A-B98F-72B079F77B6D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55" r:id="rId6"/>
    <sheet name="たかの" sheetId="5857" r:id="rId7"/>
    <sheet name="だいち" sheetId="5859" r:id="rId8"/>
    <sheet name="ただ" sheetId="5861" r:id="rId9"/>
    <sheet name="りくと" sheetId="5863" r:id="rId10"/>
    <sheet name="れんたろう" sheetId="5865" r:id="rId11"/>
    <sheet name="まっつん" sheetId="5867" r:id="rId12"/>
    <sheet name="のり" sheetId="5869" r:id="rId13"/>
    <sheet name="ぱぱ" sheetId="5871" r:id="rId14"/>
    <sheet name="ほたに" sheetId="5873" r:id="rId15"/>
    <sheet name="いっしー" sheetId="5875" r:id="rId16"/>
    <sheet name="いっしー2" sheetId="5876" state="hidden" r:id="rId17"/>
    <sheet name="ほたに2" sheetId="5874" state="hidden" r:id="rId18"/>
    <sheet name="ぱぱ2" sheetId="5872" state="hidden" r:id="rId19"/>
    <sheet name="のり2" sheetId="5870" state="hidden" r:id="rId20"/>
    <sheet name="まっつん2" sheetId="5868" state="hidden" r:id="rId21"/>
    <sheet name="れんたろう2" sheetId="5866" state="hidden" r:id="rId22"/>
    <sheet name="りくと2" sheetId="5864" state="hidden" r:id="rId23"/>
    <sheet name="ただ2" sheetId="5862" state="hidden" r:id="rId24"/>
    <sheet name="だいち2" sheetId="5860" state="hidden" r:id="rId25"/>
    <sheet name="たかの2" sheetId="5858" state="hidden" r:id="rId26"/>
    <sheet name="全体2" sheetId="585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67" l="1"/>
  <c r="O17" i="5875"/>
  <c r="O22" i="5859"/>
  <c r="O16" i="5875"/>
  <c r="O15" i="5875"/>
  <c r="C29" i="5875"/>
  <c r="B26" i="5875"/>
  <c r="B25" i="5875"/>
  <c r="C20" i="5875"/>
  <c r="B17" i="5875"/>
  <c r="H50" i="5875" s="1"/>
  <c r="C16" i="5875"/>
  <c r="C15" i="5875"/>
  <c r="C14" i="5875"/>
  <c r="C13" i="5875"/>
  <c r="O12" i="5875"/>
  <c r="C12" i="5875"/>
  <c r="O11" i="5875"/>
  <c r="C11" i="5875"/>
  <c r="O10" i="5875"/>
  <c r="C10" i="5875"/>
  <c r="C9" i="5875"/>
  <c r="C8" i="5875"/>
  <c r="O7" i="5875"/>
  <c r="C7" i="5875"/>
  <c r="O6" i="5875"/>
  <c r="B6" i="5875"/>
  <c r="O5" i="5875"/>
  <c r="B5" i="5875"/>
  <c r="O4" i="5875"/>
  <c r="O3" i="5875"/>
  <c r="O2" i="5875"/>
  <c r="O17" i="5869"/>
  <c r="O24" i="5855"/>
  <c r="H2" i="5875" l="1"/>
  <c r="H17" i="5875"/>
  <c r="H19" i="5875"/>
  <c r="H9" i="5875"/>
  <c r="H5" i="5875"/>
  <c r="H6" i="5875"/>
  <c r="H39" i="5875"/>
  <c r="B23" i="5875"/>
  <c r="H43" i="5875"/>
  <c r="H4" i="5875"/>
  <c r="C17" i="5875"/>
  <c r="H31" i="5875"/>
  <c r="H47" i="5875"/>
  <c r="H3" i="5875"/>
  <c r="H14" i="5875"/>
  <c r="C18" i="5875"/>
  <c r="H35" i="5875"/>
  <c r="H51" i="5875"/>
  <c r="H21" i="5875"/>
  <c r="H23" i="5875"/>
  <c r="H25" i="5875"/>
  <c r="H27" i="5875"/>
  <c r="H29" i="5875"/>
  <c r="H32" i="5875"/>
  <c r="H36" i="5875"/>
  <c r="H40" i="5875"/>
  <c r="H44" i="5875"/>
  <c r="H48" i="5875"/>
  <c r="H11" i="5875"/>
  <c r="H13" i="5875"/>
  <c r="H16" i="5875"/>
  <c r="H18" i="5875"/>
  <c r="C19" i="5875"/>
  <c r="H8" i="5875"/>
  <c r="B24" i="5875"/>
  <c r="H33" i="5875"/>
  <c r="H37" i="5875"/>
  <c r="H41" i="5875"/>
  <c r="H45" i="5875"/>
  <c r="H49" i="5875"/>
  <c r="H52" i="5875"/>
  <c r="H12" i="5875"/>
  <c r="H7" i="5875"/>
  <c r="H10" i="5875"/>
  <c r="H15" i="5875"/>
  <c r="H20" i="5875"/>
  <c r="H22" i="5875"/>
  <c r="H24" i="5875"/>
  <c r="H26" i="5875"/>
  <c r="H28" i="5875"/>
  <c r="H30" i="5875"/>
  <c r="H34" i="5875"/>
  <c r="H38" i="5875"/>
  <c r="H42" i="5875"/>
  <c r="H46" i="5875"/>
  <c r="O20" i="5857" l="1"/>
  <c r="O16" i="5865"/>
  <c r="O15" i="5865" l="1"/>
  <c r="O19" i="5873"/>
  <c r="O15" i="5863" l="1"/>
  <c r="O20" i="5869"/>
  <c r="O16" i="5873" l="1"/>
  <c r="O22" i="5863"/>
  <c r="O21" i="5857" l="1"/>
  <c r="O16" i="5859"/>
  <c r="O15" i="5869"/>
  <c r="O21" i="5869"/>
  <c r="O19" i="5867" l="1"/>
  <c r="O18" i="5871"/>
  <c r="O16" i="5861" l="1"/>
  <c r="O17" i="5867"/>
  <c r="O19" i="5869"/>
  <c r="O18" i="5869"/>
  <c r="O15" i="5857" l="1"/>
  <c r="O17" i="5871"/>
  <c r="O19" i="5871"/>
  <c r="O18" i="5863"/>
  <c r="O19" i="5861" l="1"/>
  <c r="O21" i="5865"/>
  <c r="O19" i="5865" l="1"/>
  <c r="O21" i="5859"/>
  <c r="O23" i="5869"/>
  <c r="O17" i="5873"/>
  <c r="O15" i="5873"/>
  <c r="O21" i="5871"/>
  <c r="O15" i="5861" l="1"/>
  <c r="O21" i="5861"/>
  <c r="O18" i="5873"/>
  <c r="O20" i="5873"/>
  <c r="C29" i="5873"/>
  <c r="B26" i="5873"/>
  <c r="B25" i="5873"/>
  <c r="C20" i="5873"/>
  <c r="B17" i="5873"/>
  <c r="H51" i="5873" s="1"/>
  <c r="C16" i="5873"/>
  <c r="C15" i="5873"/>
  <c r="C14" i="5873"/>
  <c r="C13" i="5873"/>
  <c r="O12" i="5873"/>
  <c r="C12" i="5873"/>
  <c r="O11" i="5873"/>
  <c r="C11" i="5873"/>
  <c r="O10" i="5873"/>
  <c r="C10" i="5873"/>
  <c r="C9" i="5873"/>
  <c r="C8" i="5873"/>
  <c r="O7" i="5873"/>
  <c r="C7" i="5873"/>
  <c r="O6" i="5873"/>
  <c r="B6" i="5873"/>
  <c r="O5" i="5873"/>
  <c r="B5" i="5873"/>
  <c r="O4" i="5873"/>
  <c r="O3" i="5873"/>
  <c r="O2" i="5873"/>
  <c r="O21" i="5867"/>
  <c r="O15" i="5867"/>
  <c r="O15" i="5855"/>
  <c r="H5" i="5873" l="1"/>
  <c r="H2" i="5873"/>
  <c r="H3" i="5873"/>
  <c r="H11" i="5873"/>
  <c r="C17" i="5873"/>
  <c r="H24" i="5873"/>
  <c r="H27" i="5873"/>
  <c r="H32" i="5873"/>
  <c r="H36" i="5873"/>
  <c r="H40" i="5873"/>
  <c r="H44" i="5873"/>
  <c r="H6" i="5873"/>
  <c r="H18" i="5873"/>
  <c r="H20" i="5873"/>
  <c r="C19" i="5873"/>
  <c r="H14" i="5873"/>
  <c r="B24" i="5873"/>
  <c r="H33" i="5873"/>
  <c r="H37" i="5873"/>
  <c r="H45" i="5873"/>
  <c r="H49" i="5873"/>
  <c r="H52" i="5873"/>
  <c r="H7" i="5873"/>
  <c r="H8" i="5873"/>
  <c r="H12" i="5873"/>
  <c r="H17" i="5873"/>
  <c r="H13" i="5873"/>
  <c r="H23" i="5873"/>
  <c r="H25" i="5873"/>
  <c r="H15" i="5873"/>
  <c r="H28" i="5873"/>
  <c r="H30" i="5873"/>
  <c r="H34" i="5873"/>
  <c r="H38" i="5873"/>
  <c r="H42" i="5873"/>
  <c r="H46" i="5873"/>
  <c r="H50" i="5873"/>
  <c r="H22" i="5873"/>
  <c r="H26" i="5873"/>
  <c r="H29" i="5873"/>
  <c r="H48" i="5873"/>
  <c r="H10" i="5873"/>
  <c r="H41" i="5873"/>
  <c r="H4" i="5873"/>
  <c r="H16" i="5873"/>
  <c r="H19" i="5873"/>
  <c r="H21" i="5873"/>
  <c r="C18" i="5873"/>
  <c r="B23" i="5873"/>
  <c r="H9" i="5873"/>
  <c r="H31" i="5873"/>
  <c r="H35" i="5873"/>
  <c r="H39" i="5873"/>
  <c r="H43" i="5873"/>
  <c r="H47" i="5873"/>
  <c r="O17" i="5859" l="1"/>
  <c r="O21" i="5863"/>
  <c r="O18" i="5859" l="1"/>
  <c r="O20" i="5867"/>
  <c r="O23" i="5867"/>
  <c r="O17" i="5857"/>
  <c r="O18" i="5861"/>
  <c r="O16" i="5863"/>
  <c r="O19" i="5863"/>
  <c r="O19" i="5857"/>
  <c r="O17" i="5861"/>
  <c r="O15" i="5859"/>
  <c r="O20" i="5871"/>
  <c r="O22" i="5871"/>
  <c r="O22" i="5865" l="1"/>
  <c r="O17" i="5865"/>
  <c r="O15" i="5871"/>
  <c r="O16" i="5871"/>
  <c r="C29" i="5871"/>
  <c r="B26" i="5871"/>
  <c r="B25" i="5871"/>
  <c r="C20" i="5871"/>
  <c r="B17" i="5871"/>
  <c r="H5" i="5871" s="1"/>
  <c r="C16" i="5871"/>
  <c r="C15" i="5871"/>
  <c r="C14" i="5871"/>
  <c r="C13" i="5871"/>
  <c r="O12" i="5871"/>
  <c r="C12" i="5871"/>
  <c r="O11" i="5871"/>
  <c r="C11" i="5871"/>
  <c r="O10" i="5871"/>
  <c r="C10" i="5871"/>
  <c r="C9" i="5871"/>
  <c r="C8" i="5871"/>
  <c r="O7" i="5871"/>
  <c r="C7" i="5871"/>
  <c r="O6" i="5871"/>
  <c r="B6" i="5871"/>
  <c r="O5" i="5871"/>
  <c r="B5" i="5871"/>
  <c r="O4" i="5871"/>
  <c r="O3" i="5871"/>
  <c r="O2" i="5871"/>
  <c r="H3" i="5871"/>
  <c r="O16" i="5855"/>
  <c r="O16" i="5869"/>
  <c r="O22" i="5869"/>
  <c r="C29" i="5869"/>
  <c r="B26" i="5869"/>
  <c r="B25" i="5869"/>
  <c r="C20" i="5869"/>
  <c r="B17" i="5869"/>
  <c r="H50" i="5869" s="1"/>
  <c r="C16" i="5869"/>
  <c r="C15" i="5869"/>
  <c r="C14" i="5869"/>
  <c r="C13" i="5869"/>
  <c r="O12" i="5869"/>
  <c r="C12" i="5869"/>
  <c r="O11" i="5869"/>
  <c r="C11" i="5869"/>
  <c r="O10" i="5869"/>
  <c r="C10" i="5869"/>
  <c r="C9" i="5869"/>
  <c r="C8" i="5869"/>
  <c r="O7" i="5869"/>
  <c r="C7" i="5869"/>
  <c r="O6" i="5869"/>
  <c r="B6" i="5869"/>
  <c r="O5" i="5869"/>
  <c r="B5" i="5869"/>
  <c r="O4" i="5869"/>
  <c r="O3" i="5869"/>
  <c r="O2" i="5869"/>
  <c r="O21" i="5855"/>
  <c r="H4" i="5869" l="1"/>
  <c r="H6" i="5871"/>
  <c r="H10" i="5871"/>
  <c r="H17" i="5869"/>
  <c r="H8" i="5871"/>
  <c r="H2" i="5871"/>
  <c r="H32" i="5871"/>
  <c r="H40" i="5871"/>
  <c r="H48" i="5871"/>
  <c r="C17" i="5871"/>
  <c r="H15" i="5871"/>
  <c r="H34" i="5871"/>
  <c r="H42" i="5871"/>
  <c r="H50" i="5871"/>
  <c r="H16" i="5871"/>
  <c r="H24" i="5871"/>
  <c r="H9" i="5871"/>
  <c r="H4" i="5871"/>
  <c r="H11" i="5871"/>
  <c r="H22" i="5871"/>
  <c r="C18" i="5871"/>
  <c r="B23" i="5871"/>
  <c r="H12" i="5871"/>
  <c r="H36" i="5871"/>
  <c r="H44" i="5871"/>
  <c r="H20" i="5871"/>
  <c r="H7" i="5871"/>
  <c r="H21" i="5871"/>
  <c r="H23" i="5871"/>
  <c r="H13" i="5871"/>
  <c r="C19" i="5871"/>
  <c r="B24" i="5871"/>
  <c r="H38" i="5871"/>
  <c r="H46" i="5871"/>
  <c r="H52" i="5871"/>
  <c r="H25" i="5871"/>
  <c r="H17" i="5871"/>
  <c r="H28" i="5871"/>
  <c r="H14" i="5871"/>
  <c r="H29" i="5871"/>
  <c r="H31" i="5871"/>
  <c r="H35" i="5871"/>
  <c r="H39" i="5871"/>
  <c r="H43" i="5871"/>
  <c r="H47" i="5871"/>
  <c r="H51" i="5871"/>
  <c r="H26" i="5871"/>
  <c r="H27" i="5871"/>
  <c r="H18" i="5871"/>
  <c r="H19" i="5871"/>
  <c r="H30" i="5871"/>
  <c r="H33" i="5871"/>
  <c r="H37" i="5871"/>
  <c r="H41" i="5871"/>
  <c r="H45" i="5871"/>
  <c r="H49" i="5871"/>
  <c r="H3" i="5869"/>
  <c r="H8" i="5869"/>
  <c r="H9" i="5869"/>
  <c r="H39" i="5869"/>
  <c r="B23" i="5869"/>
  <c r="H43" i="5869"/>
  <c r="H47" i="5869"/>
  <c r="H22" i="5869"/>
  <c r="H7" i="5869"/>
  <c r="C17" i="5869"/>
  <c r="H32" i="5869"/>
  <c r="H2" i="5869"/>
  <c r="H20" i="5869"/>
  <c r="C18" i="5869"/>
  <c r="H35" i="5869"/>
  <c r="H51" i="5869"/>
  <c r="H25" i="5869"/>
  <c r="H26" i="5869"/>
  <c r="H28" i="5869"/>
  <c r="H29" i="5869"/>
  <c r="H31" i="5869"/>
  <c r="H33" i="5869"/>
  <c r="H36" i="5869"/>
  <c r="H40" i="5869"/>
  <c r="H44" i="5869"/>
  <c r="H48" i="5869"/>
  <c r="H5" i="5869"/>
  <c r="H12" i="5869"/>
  <c r="H21" i="5869"/>
  <c r="H23" i="5869"/>
  <c r="C19" i="5869"/>
  <c r="H13" i="5869"/>
  <c r="B24" i="5869"/>
  <c r="H34" i="5869"/>
  <c r="H37" i="5869"/>
  <c r="H41" i="5869"/>
  <c r="H45" i="5869"/>
  <c r="H49" i="5869"/>
  <c r="H52" i="5869"/>
  <c r="H11" i="5869"/>
  <c r="H6" i="5869"/>
  <c r="H10" i="5869"/>
  <c r="H16" i="5869"/>
  <c r="H24" i="5869"/>
  <c r="H15" i="5869"/>
  <c r="H27" i="5869"/>
  <c r="H14" i="5869"/>
  <c r="H30" i="5869"/>
  <c r="H18" i="5869"/>
  <c r="H19" i="5869"/>
  <c r="H38" i="5869"/>
  <c r="H42" i="5869"/>
  <c r="H46" i="5869"/>
  <c r="O22" i="5867" l="1"/>
  <c r="O18" i="5867"/>
  <c r="C29" i="5867"/>
  <c r="B26" i="5867"/>
  <c r="B25" i="5867"/>
  <c r="C20" i="5867"/>
  <c r="B17" i="5867"/>
  <c r="H51" i="5867" s="1"/>
  <c r="C16" i="5867"/>
  <c r="C15" i="5867"/>
  <c r="C14" i="5867"/>
  <c r="C13" i="5867"/>
  <c r="O12" i="5867"/>
  <c r="C12" i="5867"/>
  <c r="O11" i="5867"/>
  <c r="C11" i="5867"/>
  <c r="O10" i="5867"/>
  <c r="C10" i="5867"/>
  <c r="C9" i="5867"/>
  <c r="C8" i="5867"/>
  <c r="O7" i="5867"/>
  <c r="C7" i="5867"/>
  <c r="O6" i="5867"/>
  <c r="B6" i="5867"/>
  <c r="O5" i="5867"/>
  <c r="B5" i="5867"/>
  <c r="O4" i="5867"/>
  <c r="O3" i="5867"/>
  <c r="O2" i="5867"/>
  <c r="O20" i="5865"/>
  <c r="O18" i="5865"/>
  <c r="C29" i="5865"/>
  <c r="B26" i="5865"/>
  <c r="B25" i="5865"/>
  <c r="C20" i="5865"/>
  <c r="B17" i="5865"/>
  <c r="H6" i="5865" s="1"/>
  <c r="C16" i="5865"/>
  <c r="C15" i="5865"/>
  <c r="C14" i="5865"/>
  <c r="C13" i="5865"/>
  <c r="O12" i="5865"/>
  <c r="C12" i="5865"/>
  <c r="O11" i="5865"/>
  <c r="C11" i="5865"/>
  <c r="O10" i="5865"/>
  <c r="C10" i="5865"/>
  <c r="C9" i="5865"/>
  <c r="C8" i="5865"/>
  <c r="O7" i="5865"/>
  <c r="C7" i="5865"/>
  <c r="O6" i="5865"/>
  <c r="B6" i="5865"/>
  <c r="O5" i="5865"/>
  <c r="B5" i="5865"/>
  <c r="O4" i="5865"/>
  <c r="O3" i="5865"/>
  <c r="O2" i="5865"/>
  <c r="O17" i="5855"/>
  <c r="O20" i="5863"/>
  <c r="O17" i="5863"/>
  <c r="C29" i="5863"/>
  <c r="B26" i="5863"/>
  <c r="B25" i="5863"/>
  <c r="C20" i="5863"/>
  <c r="B17" i="5863"/>
  <c r="H52" i="5863" s="1"/>
  <c r="C16" i="5863"/>
  <c r="C15" i="5863"/>
  <c r="C14" i="5863"/>
  <c r="C13" i="5863"/>
  <c r="O12" i="5863"/>
  <c r="C12" i="5863"/>
  <c r="O11" i="5863"/>
  <c r="C11" i="5863"/>
  <c r="O10" i="5863"/>
  <c r="C10" i="5863"/>
  <c r="C9" i="5863"/>
  <c r="C8" i="5863"/>
  <c r="O7" i="5863"/>
  <c r="C7" i="5863"/>
  <c r="O6" i="5863"/>
  <c r="B6" i="5863"/>
  <c r="O5" i="5863"/>
  <c r="B5" i="5863"/>
  <c r="O4" i="5863"/>
  <c r="O3" i="5863"/>
  <c r="O2" i="5863"/>
  <c r="O20" i="5855"/>
  <c r="O22" i="5855"/>
  <c r="H12" i="5863" l="1"/>
  <c r="H36" i="5863"/>
  <c r="H14" i="5863"/>
  <c r="H23" i="5863"/>
  <c r="C18" i="5863"/>
  <c r="H2" i="5863"/>
  <c r="H3" i="5863"/>
  <c r="H8" i="5863"/>
  <c r="H7" i="5863"/>
  <c r="H21" i="5863"/>
  <c r="H4" i="5867"/>
  <c r="H3" i="5867"/>
  <c r="H18" i="5867"/>
  <c r="H10" i="5867"/>
  <c r="H41" i="5867"/>
  <c r="H12" i="5867"/>
  <c r="B23" i="5867"/>
  <c r="H44" i="5867"/>
  <c r="H28" i="5867"/>
  <c r="C17" i="5867"/>
  <c r="H34" i="5867"/>
  <c r="H48" i="5867"/>
  <c r="H6" i="5867"/>
  <c r="H2" i="5867"/>
  <c r="H17" i="5867"/>
  <c r="C18" i="5867"/>
  <c r="H37" i="5867"/>
  <c r="H16" i="5867"/>
  <c r="H30" i="5867"/>
  <c r="H31" i="5867"/>
  <c r="H22" i="5867"/>
  <c r="H23" i="5867"/>
  <c r="H33" i="5867"/>
  <c r="H26" i="5867"/>
  <c r="H38" i="5867"/>
  <c r="H27" i="5867"/>
  <c r="H45" i="5867"/>
  <c r="H49" i="5867"/>
  <c r="H5" i="5867"/>
  <c r="H8" i="5867"/>
  <c r="H21" i="5867"/>
  <c r="H29" i="5867"/>
  <c r="C19" i="5867"/>
  <c r="H14" i="5867"/>
  <c r="B24" i="5867"/>
  <c r="H35" i="5867"/>
  <c r="H39" i="5867"/>
  <c r="H42" i="5867"/>
  <c r="H46" i="5867"/>
  <c r="H50" i="5867"/>
  <c r="H52" i="5867"/>
  <c r="H11" i="5867"/>
  <c r="H7" i="5867"/>
  <c r="H9" i="5867"/>
  <c r="H20" i="5867"/>
  <c r="H15" i="5867"/>
  <c r="H19" i="5867"/>
  <c r="H32" i="5867"/>
  <c r="H13" i="5867"/>
  <c r="H24" i="5867"/>
  <c r="H25" i="5867"/>
  <c r="H36" i="5867"/>
  <c r="H40" i="5867"/>
  <c r="H43" i="5867"/>
  <c r="H47" i="5867"/>
  <c r="H2" i="5865"/>
  <c r="H3" i="5865"/>
  <c r="H4" i="5865"/>
  <c r="H11" i="5865"/>
  <c r="H8" i="5865"/>
  <c r="C17" i="5865"/>
  <c r="H14" i="5865"/>
  <c r="H42" i="5865"/>
  <c r="H38" i="5865"/>
  <c r="H20" i="5865"/>
  <c r="H7" i="5865"/>
  <c r="H26" i="5865"/>
  <c r="C18" i="5865"/>
  <c r="B23" i="5865"/>
  <c r="H46" i="5865"/>
  <c r="H52" i="5865"/>
  <c r="H28" i="5865"/>
  <c r="H10" i="5865"/>
  <c r="H13" i="5865"/>
  <c r="H5" i="5865"/>
  <c r="H19" i="5865"/>
  <c r="H27" i="5865"/>
  <c r="H21" i="5865"/>
  <c r="C19" i="5865"/>
  <c r="B24" i="5865"/>
  <c r="H35" i="5865"/>
  <c r="H50" i="5865"/>
  <c r="H29" i="5865"/>
  <c r="H16" i="5865"/>
  <c r="H32" i="5865"/>
  <c r="H15" i="5865"/>
  <c r="H34" i="5865"/>
  <c r="H18" i="5865"/>
  <c r="H36" i="5865"/>
  <c r="H39" i="5865"/>
  <c r="H43" i="5865"/>
  <c r="H47" i="5865"/>
  <c r="H51" i="5865"/>
  <c r="H9" i="5865"/>
  <c r="H17" i="5865"/>
  <c r="H37" i="5865"/>
  <c r="H40" i="5865"/>
  <c r="H44" i="5865"/>
  <c r="H48" i="5865"/>
  <c r="H12" i="5865"/>
  <c r="H30" i="5865"/>
  <c r="H31" i="5865"/>
  <c r="H22" i="5865"/>
  <c r="H33" i="5865"/>
  <c r="H23" i="5865"/>
  <c r="H24" i="5865"/>
  <c r="H25" i="5865"/>
  <c r="H41" i="5865"/>
  <c r="H45" i="5865"/>
  <c r="H49" i="5865"/>
  <c r="H40" i="5863"/>
  <c r="H4" i="5863"/>
  <c r="B23" i="5863"/>
  <c r="H9" i="5863"/>
  <c r="H24" i="5863"/>
  <c r="H16" i="5863"/>
  <c r="H44" i="5863"/>
  <c r="C19" i="5863"/>
  <c r="H11" i="5863"/>
  <c r="H18" i="5863"/>
  <c r="C17" i="5863"/>
  <c r="B24" i="5863"/>
  <c r="H10" i="5863"/>
  <c r="H6" i="5863"/>
  <c r="H13" i="5863"/>
  <c r="H22" i="5863"/>
  <c r="H19" i="5863"/>
  <c r="H32" i="5863"/>
  <c r="H48" i="5863"/>
  <c r="H27" i="5863"/>
  <c r="H15" i="5863"/>
  <c r="H30" i="5863"/>
  <c r="H20" i="5863"/>
  <c r="H35" i="5863"/>
  <c r="H39" i="5863"/>
  <c r="H43" i="5863"/>
  <c r="H47" i="5863"/>
  <c r="H51" i="5863"/>
  <c r="H17" i="5863"/>
  <c r="H25" i="5863"/>
  <c r="H26" i="5863"/>
  <c r="H28" i="5863"/>
  <c r="H29" i="5863"/>
  <c r="H31" i="5863"/>
  <c r="H33" i="5863"/>
  <c r="H37" i="5863"/>
  <c r="H41" i="5863"/>
  <c r="H45" i="5863"/>
  <c r="H49" i="5863"/>
  <c r="H5" i="5863"/>
  <c r="H34" i="5863"/>
  <c r="H38" i="5863"/>
  <c r="H42" i="5863"/>
  <c r="H46" i="5863"/>
  <c r="H50" i="5863"/>
  <c r="O22" i="5861" l="1"/>
  <c r="O20" i="5861"/>
  <c r="C29" i="5861"/>
  <c r="B26" i="5861"/>
  <c r="B25" i="5861"/>
  <c r="C20" i="5861"/>
  <c r="B17" i="5861"/>
  <c r="H19" i="5861" s="1"/>
  <c r="C16" i="5861"/>
  <c r="C15" i="5861"/>
  <c r="C14" i="5861"/>
  <c r="C13" i="5861"/>
  <c r="O12" i="5861"/>
  <c r="C12" i="5861"/>
  <c r="O11" i="5861"/>
  <c r="C11" i="5861"/>
  <c r="O10" i="5861"/>
  <c r="C10" i="5861"/>
  <c r="C9" i="5861"/>
  <c r="C8" i="5861"/>
  <c r="O7" i="5861"/>
  <c r="C7" i="5861"/>
  <c r="O6" i="5861"/>
  <c r="B6" i="5861"/>
  <c r="O5" i="5861"/>
  <c r="B5" i="5861"/>
  <c r="O4" i="5861"/>
  <c r="O3" i="5861"/>
  <c r="O2" i="5861"/>
  <c r="O20" i="5859"/>
  <c r="O19" i="5859"/>
  <c r="C29" i="5859"/>
  <c r="B26" i="5859"/>
  <c r="B25" i="5859"/>
  <c r="C20" i="5859"/>
  <c r="B17" i="5859"/>
  <c r="H52" i="5859" s="1"/>
  <c r="C16" i="5859"/>
  <c r="C15" i="5859"/>
  <c r="C14" i="5859"/>
  <c r="C13" i="5859"/>
  <c r="O12" i="5859"/>
  <c r="C12" i="5859"/>
  <c r="O11" i="5859"/>
  <c r="C11" i="5859"/>
  <c r="O10" i="5859"/>
  <c r="C10" i="5859"/>
  <c r="C9" i="5859"/>
  <c r="C8" i="5859"/>
  <c r="O7" i="5859"/>
  <c r="C7" i="5859"/>
  <c r="O6" i="5859"/>
  <c r="B6" i="5859"/>
  <c r="O5" i="5859"/>
  <c r="B5" i="5859"/>
  <c r="O4" i="5859"/>
  <c r="O3" i="5859"/>
  <c r="O2" i="5859"/>
  <c r="O18" i="5855"/>
  <c r="O16" i="5857"/>
  <c r="O18" i="5857"/>
  <c r="C29" i="5857"/>
  <c r="B26" i="5857"/>
  <c r="B25" i="5857"/>
  <c r="C20" i="5857"/>
  <c r="B17" i="5857"/>
  <c r="H50" i="5857" s="1"/>
  <c r="C16" i="5857"/>
  <c r="C15" i="5857"/>
  <c r="C14" i="5857"/>
  <c r="C13" i="5857"/>
  <c r="O12" i="5857"/>
  <c r="C12" i="5857"/>
  <c r="O11" i="5857"/>
  <c r="C11" i="5857"/>
  <c r="O10" i="5857"/>
  <c r="C10" i="5857"/>
  <c r="C9" i="5857"/>
  <c r="C8" i="5857"/>
  <c r="O7" i="5857"/>
  <c r="C7" i="5857"/>
  <c r="O6" i="5857"/>
  <c r="B6" i="5857"/>
  <c r="O5" i="5857"/>
  <c r="B5" i="5857"/>
  <c r="O4" i="5857"/>
  <c r="O3" i="5857"/>
  <c r="O2" i="5857"/>
  <c r="O19" i="5855"/>
  <c r="O23" i="5855"/>
  <c r="C29" i="5855"/>
  <c r="B26" i="5855"/>
  <c r="B25" i="5855"/>
  <c r="C20" i="5855"/>
  <c r="B17" i="5855"/>
  <c r="H51" i="5855" s="1"/>
  <c r="C16" i="5855"/>
  <c r="C15" i="5855"/>
  <c r="C14" i="5855"/>
  <c r="C13" i="5855"/>
  <c r="O12" i="5855"/>
  <c r="C12" i="5855"/>
  <c r="O11" i="5855"/>
  <c r="C11" i="5855"/>
  <c r="O10" i="5855"/>
  <c r="C10" i="5855"/>
  <c r="C9" i="5855"/>
  <c r="C8" i="5855"/>
  <c r="O7" i="5855"/>
  <c r="C7" i="5855"/>
  <c r="O6" i="5855"/>
  <c r="B6" i="5855"/>
  <c r="O5" i="5855"/>
  <c r="B5" i="5855"/>
  <c r="O4" i="5855"/>
  <c r="O3" i="5855"/>
  <c r="O2" i="5855"/>
  <c r="H4" i="5859" l="1"/>
  <c r="H2" i="5861"/>
  <c r="H5" i="5861"/>
  <c r="H3" i="5861"/>
  <c r="H15" i="5855"/>
  <c r="H24" i="5857"/>
  <c r="H5" i="5857"/>
  <c r="H11" i="5861"/>
  <c r="C17" i="5861"/>
  <c r="H28" i="5861"/>
  <c r="H33" i="5861"/>
  <c r="H49" i="5861"/>
  <c r="B24" i="5861"/>
  <c r="H38" i="5861"/>
  <c r="H46" i="5861"/>
  <c r="H52" i="5861"/>
  <c r="H10" i="5861"/>
  <c r="H6" i="5861"/>
  <c r="H12" i="5861"/>
  <c r="H20" i="5861"/>
  <c r="H18" i="5861"/>
  <c r="H17" i="5861"/>
  <c r="H23" i="5861"/>
  <c r="H13" i="5861"/>
  <c r="H32" i="5861"/>
  <c r="H16" i="5861"/>
  <c r="H25" i="5861"/>
  <c r="H39" i="5861"/>
  <c r="H43" i="5861"/>
  <c r="H47" i="5861"/>
  <c r="H51" i="5861"/>
  <c r="H29" i="5861"/>
  <c r="H30" i="5861"/>
  <c r="H31" i="5861"/>
  <c r="H34" i="5861"/>
  <c r="H37" i="5861"/>
  <c r="H41" i="5861"/>
  <c r="H45" i="5861"/>
  <c r="H4" i="5861"/>
  <c r="H9" i="5861"/>
  <c r="H21" i="5861"/>
  <c r="H22" i="5861"/>
  <c r="C19" i="5861"/>
  <c r="H14" i="5861"/>
  <c r="H35" i="5861"/>
  <c r="H42" i="5861"/>
  <c r="H50" i="5861"/>
  <c r="H7" i="5861"/>
  <c r="H26" i="5861"/>
  <c r="H27" i="5861"/>
  <c r="H15" i="5861"/>
  <c r="C18" i="5861"/>
  <c r="B23" i="5861"/>
  <c r="H8" i="5861"/>
  <c r="H24" i="5861"/>
  <c r="H36" i="5861"/>
  <c r="H40" i="5861"/>
  <c r="H44" i="5861"/>
  <c r="H48" i="5861"/>
  <c r="H4" i="5855"/>
  <c r="H7" i="5859"/>
  <c r="H30" i="5859"/>
  <c r="H31" i="5859"/>
  <c r="H15" i="5859"/>
  <c r="C18" i="5859"/>
  <c r="B23" i="5859"/>
  <c r="H25" i="5859"/>
  <c r="H41" i="5859"/>
  <c r="H2" i="5859"/>
  <c r="H13" i="5859"/>
  <c r="H3" i="5859"/>
  <c r="H22" i="5859"/>
  <c r="H24" i="5859"/>
  <c r="H19" i="5859"/>
  <c r="H20" i="5859"/>
  <c r="C17" i="5859"/>
  <c r="H12" i="5859"/>
  <c r="H8" i="5859"/>
  <c r="H28" i="5859"/>
  <c r="H47" i="5859"/>
  <c r="B24" i="5859"/>
  <c r="H44" i="5859"/>
  <c r="H9" i="5859"/>
  <c r="H17" i="5859"/>
  <c r="H10" i="5859"/>
  <c r="H6" i="5859"/>
  <c r="H11" i="5859"/>
  <c r="H26" i="5859"/>
  <c r="H21" i="5859"/>
  <c r="H14" i="5859"/>
  <c r="H40" i="5859"/>
  <c r="H51" i="5859"/>
  <c r="H48" i="5859"/>
  <c r="C19" i="5859"/>
  <c r="H18" i="5859"/>
  <c r="H37" i="5859"/>
  <c r="H45" i="5859"/>
  <c r="H16" i="5859"/>
  <c r="H32" i="5859"/>
  <c r="H33" i="5859"/>
  <c r="H23" i="5859"/>
  <c r="H34" i="5859"/>
  <c r="H27" i="5859"/>
  <c r="H35" i="5859"/>
  <c r="H38" i="5859"/>
  <c r="H42" i="5859"/>
  <c r="H46" i="5859"/>
  <c r="H49" i="5859"/>
  <c r="H5" i="5859"/>
  <c r="H36" i="5859"/>
  <c r="H39" i="5859"/>
  <c r="H43" i="5859"/>
  <c r="H29" i="5859"/>
  <c r="H50" i="5859"/>
  <c r="H13" i="5857"/>
  <c r="H3" i="5857"/>
  <c r="H39" i="5857"/>
  <c r="H23" i="5857"/>
  <c r="B23" i="5857"/>
  <c r="H43" i="5857"/>
  <c r="H9" i="5857"/>
  <c r="H8" i="5857"/>
  <c r="H32" i="5857"/>
  <c r="H47" i="5857"/>
  <c r="C17" i="5857"/>
  <c r="H2" i="5857"/>
  <c r="H22" i="5857"/>
  <c r="C18" i="5857"/>
  <c r="H35" i="5857"/>
  <c r="H51" i="5857"/>
  <c r="H26" i="5857"/>
  <c r="H27" i="5857"/>
  <c r="H29" i="5857"/>
  <c r="H30" i="5857"/>
  <c r="H31" i="5857"/>
  <c r="H21" i="5857"/>
  <c r="H36" i="5857"/>
  <c r="H40" i="5857"/>
  <c r="H44" i="5857"/>
  <c r="H48" i="5857"/>
  <c r="H4" i="5857"/>
  <c r="H7" i="5857"/>
  <c r="H19" i="5857"/>
  <c r="H20" i="5857"/>
  <c r="C19" i="5857"/>
  <c r="H11" i="5857"/>
  <c r="B24" i="5857"/>
  <c r="H33" i="5857"/>
  <c r="H37" i="5857"/>
  <c r="H41" i="5857"/>
  <c r="H45" i="5857"/>
  <c r="H49" i="5857"/>
  <c r="H52" i="5857"/>
  <c r="H12" i="5857"/>
  <c r="H6" i="5857"/>
  <c r="H10" i="5857"/>
  <c r="H18" i="5857"/>
  <c r="H25" i="5857"/>
  <c r="H14" i="5857"/>
  <c r="H28" i="5857"/>
  <c r="H15" i="5857"/>
  <c r="H17" i="5857"/>
  <c r="H16" i="5857"/>
  <c r="H34" i="5857"/>
  <c r="H38" i="5857"/>
  <c r="H42" i="5857"/>
  <c r="H46" i="5857"/>
  <c r="H9" i="5855"/>
  <c r="H3" i="5855"/>
  <c r="H42" i="5855"/>
  <c r="H45" i="5855"/>
  <c r="H7" i="5855"/>
  <c r="H21" i="5855"/>
  <c r="H48" i="5855"/>
  <c r="H11" i="5855"/>
  <c r="H35" i="5855"/>
  <c r="B23" i="5855"/>
  <c r="C17" i="5855"/>
  <c r="H2" i="5855"/>
  <c r="H26" i="5855"/>
  <c r="C18" i="5855"/>
  <c r="H39" i="5855"/>
  <c r="H16" i="5855"/>
  <c r="H36" i="5855"/>
  <c r="H37" i="5855"/>
  <c r="H24" i="5855"/>
  <c r="H30" i="5855"/>
  <c r="H31" i="5855"/>
  <c r="H28" i="5855"/>
  <c r="H32" i="5855"/>
  <c r="H33" i="5855"/>
  <c r="H46" i="5855"/>
  <c r="H49" i="5855"/>
  <c r="H5" i="5855"/>
  <c r="H8" i="5855"/>
  <c r="H20" i="5855"/>
  <c r="H23" i="5855"/>
  <c r="C19" i="5855"/>
  <c r="H13" i="5855"/>
  <c r="B24" i="5855"/>
  <c r="H38" i="5855"/>
  <c r="H40" i="5855"/>
  <c r="H43" i="5855"/>
  <c r="H34" i="5855"/>
  <c r="H50" i="5855"/>
  <c r="H52" i="5855"/>
  <c r="H10" i="5855"/>
  <c r="H6" i="5855"/>
  <c r="H12" i="5855"/>
  <c r="H22" i="5855"/>
  <c r="H19" i="5855"/>
  <c r="H17" i="5855"/>
  <c r="H27" i="5855"/>
  <c r="H14" i="5855"/>
  <c r="H25" i="5855"/>
  <c r="H18" i="5855"/>
  <c r="H29" i="5855"/>
  <c r="H41" i="5855"/>
  <c r="H44" i="5855"/>
  <c r="H47" i="5855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<sst xmlns="http://schemas.openxmlformats.org/spreadsheetml/2006/main" count="2853" uniqueCount="247">
  <si>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</si>
  <si>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</si>
  <si>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</si>
  <si>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</si>
  <si>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</si>
  <si>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</si>
  <si>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</si>
  <si>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</si>
  <si>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</si>
  <si>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</si>
  <si>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</si>
  <si>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</si>
  <si>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</si>
  <si>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</si>
  <si>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</si>
  <si>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</si>
  <si>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</si>
  <si>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</si>
  <si>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</si>
  <si>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</si>
  <si>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</si>
  <si>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</si>
  <si>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</si>
  <si>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</si>
  <si>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</si>
  <si>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</si>
  <si>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</si>
  <si>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</si>
  <si>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</si>
  <si>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</si>
  <si>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</si>
  <si>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</si>
  <si>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</si>
  <si>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</si>
  <si>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</si>
  <si>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</si>
  <si>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</si>
  <si>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</si>
  <si>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</si>
  <si>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</si>
  <si>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</si>
  <si>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</si>
  <si>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</si>
  <si>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</si>
  <si>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</si>
  <si>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</si>
  <si>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</si>
  <si>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</si>
  <si>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</si>
  <si>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</si>
  <si>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</si>
  <si>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</si>
  <si>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</si>
  <si>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</si>
  <si>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</si>
  <si>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</si>
  <si>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</si>
  <si>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</si>
  <si>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</si>
  <si>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</si>
  <si>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</si>
  <si>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</si>
  <si>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</si>
  <si>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</si>
  <si>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</si>
  <si>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</si>
  <si>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</si>
  <si>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</si>
  <si>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</si>
  <si>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</si>
  <si>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</si>
  <si>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</si>
  <si>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</si>
  <si>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</si>
  <si>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</si>
  <si>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</si>
  <si>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</si>
  <si>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</si>
  <si>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</si>
  <si>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</si>
  <si>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</si>
  <si>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</si>
  <si>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</si>
  <si>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</si>
  <si>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</si>
  <si>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</si>
  <si>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</si>
  <si>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</si>
  <si>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</si>
  <si>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</si>
  <si>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</si>
  <si>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</si>
  <si>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</si>
  <si>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</si>
  <si>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</si>
  <si>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</si>
  <si>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</si>
  <si>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</si>
  <si>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</si>
  <si>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</si>
  <si>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</si>
  <si>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</si>
  <si>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</si>
  <si>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</si>
  <si>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</si>
  <si>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</si>
  <si>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</si>
  <si>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</si>
  <si>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</si>
  <si>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</si>
  <si>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</si>
  <si>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</si>
  <si>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</si>
  <si>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</si>
  <si>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</si>
  <si>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</si>
  <si>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</si>
  <si>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</si>
  <si>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</si>
  <si>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</si>
  <si>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</si>
  <si>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</si>
  <si>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</si>
  <si>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</si>
  <si>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</si>
  <si>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</si>
  <si>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</si>
  <si>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</si>
  <si>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</si>
  <si>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</si>
  <si>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</si>
  <si>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</si>
  <si>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</si>
  <si>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</si>
  <si>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</si>
  <si>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</si>
  <si>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</si>
  <si>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</si>
  <si>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</si>
  <si>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</si>
  <si>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</si>
  <si>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</si>
  <si>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</si>
  <si>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</si>
  <si>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</si>
  <si>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</si>
  <si>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</si>
  <si>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</si>
  <si>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</si>
  <si>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</si>
  <si>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</si>
  <si>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</si>
  <si>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</si>
  <si>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</si>
  <si>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</si>
  <si>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</si>
  <si>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</si>
  <si>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</si>
  <si>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</si>
  <si>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</si>
  <si>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</si>
  <si>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</si>
  <si>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</si>
  <si>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</si>
  <si>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</si>
  <si>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</si>
  <si>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</si>
  <si>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</si>
  <si>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</si>
  <si>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</si>
  <si>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</si>
  <si>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</si>
  <si>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</si>
  <si>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</si>
  <si>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</si>
  <si>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</si>
  <si>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</si>
  <si>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</si>
  <si>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</si>
  <si>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</si>
  <si>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</si>
  <si>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</si>
  <si>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</si>
  <si>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</si>
  <si>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</si>
  <si>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</si>
  <si>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</si>
  <si>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</si>
  <si>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</si>
  <si>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</si>
  <si>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</si>
  <si>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</si>
  <si>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</si>
  <si>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</si>
  <si>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</si>
  <si>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</si>
  <si>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</si>
  <si>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</si>
  <si>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</si>
  <si>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</si>
  <si>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</si>
  <si>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</si>
  <si>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</si>
  <si>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</si>
  <si>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</si>
  <si>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</si>
  <si>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</si>
  <si>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</si>
  <si>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</si>
  <si>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</si>
  <si>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</si>
  <si>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</si>
  <si>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</si>
  <si>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</si>
  <si>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</si>
  <si>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</si>
  <si>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</si>
  <si>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</si>
  <si>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</si>
  <si>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</si>
  <si>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</si>
  <si>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</si>
  <si>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</si>
  <si>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</si>
  <si>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</si>
  <si>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</si>
  <si>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</si>
  <si>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</si>
  <si>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</si>
  <si>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</si>
  <si>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</si>
  <si>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</si>
  <si>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</si>
  <si>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</si>
  <si>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</si>
  <si>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</si>
  <si>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</si>
  <si>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</si>
  <si>
    <t>2019-11-01@2.xlsm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</si>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</sst>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全体!$K$2:$K$569</c:f>
              <c:numCache>
                <c:formatCode>General</c:formatCode>
                <c:ptCount val="5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</c:numCache>
            </c:numRef>
          </c:xVal>
          <c:yVal>
            <c:numRef>
              <c:f>全体!$L$2:$L$569</c:f>
              <c:numCache>
                <c:formatCode>\+0.0;\-0.0;\±0</c:formatCode>
                <c:ptCount val="568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9-4D36-9099-E403D23B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-23.049645390070921</c:v>
                </c:pt>
                <c:pt idx="1">
                  <c:v>9.0579710144927539</c:v>
                </c:pt>
                <c:pt idx="2">
                  <c:v>-13.333333333333334</c:v>
                </c:pt>
                <c:pt idx="3">
                  <c:v>8.0808080808080813</c:v>
                </c:pt>
                <c:pt idx="4">
                  <c:v>13.071895424836601</c:v>
                </c:pt>
                <c:pt idx="5">
                  <c:v>13.227513227513228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0-4DCE-A0CC-525D8C6BB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たかの!$L$2:$L$53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7-4418-B05B-CCC37AE08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1382.3529411764705</c:v>
                </c:pt>
                <c:pt idx="1">
                  <c:v>-948</c:v>
                </c:pt>
                <c:pt idx="2">
                  <c:v>-1997.9166666666667</c:v>
                </c:pt>
                <c:pt idx="3">
                  <c:v>-1374.4680851063829</c:v>
                </c:pt>
                <c:pt idx="4">
                  <c:v>-121.27659574468085</c:v>
                </c:pt>
                <c:pt idx="5">
                  <c:v>-1772.5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C-49C4-ABA4-49CB0A757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だいち!$L$2:$L$122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4D-4BF6-BE4A-0CAA35406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1364.7058823529412</c:v>
                </c:pt>
                <c:pt idx="1">
                  <c:v>854.31034482758616</c:v>
                </c:pt>
                <c:pt idx="2">
                  <c:v>1035.7142857142858</c:v>
                </c:pt>
                <c:pt idx="3">
                  <c:v>175.72815533980582</c:v>
                </c:pt>
                <c:pt idx="4">
                  <c:v>2021.875</c:v>
                </c:pt>
                <c:pt idx="5">
                  <c:v>2606.4935064935066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7-4DB9-8BF3-6BC52EAFE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ただ!$L$2:$L$107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6-4835-A82E-9D7C9EC10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-1930.7692307692307</c:v>
                </c:pt>
                <c:pt idx="1">
                  <c:v>1042.1568627450981</c:v>
                </c:pt>
                <c:pt idx="2">
                  <c:v>220.83333333333334</c:v>
                </c:pt>
                <c:pt idx="3">
                  <c:v>693.33333333333337</c:v>
                </c:pt>
                <c:pt idx="4">
                  <c:v>-1071.0843373493976</c:v>
                </c:pt>
                <c:pt idx="5">
                  <c:v>1361.4285714285713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2-42CE-ACDD-FCC053D2E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りくと!$L$2:$L$67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4-49FD-8194-A7971624C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-134.375</c:v>
                </c:pt>
                <c:pt idx="1">
                  <c:v>-1059.375</c:v>
                </c:pt>
                <c:pt idx="2">
                  <c:v>718.33333333333337</c:v>
                </c:pt>
                <c:pt idx="3">
                  <c:v>-1493.2203389830509</c:v>
                </c:pt>
                <c:pt idx="4">
                  <c:v>-3360.7142857142858</c:v>
                </c:pt>
                <c:pt idx="5">
                  <c:v>-1190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81-4A53-935C-B625E9102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れんたろう!$L$2:$L$67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9E-41EB-A6B5-6D958486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1707.6923076923076</c:v>
                </c:pt>
                <c:pt idx="1">
                  <c:v>-2049.2063492063494</c:v>
                </c:pt>
                <c:pt idx="2">
                  <c:v>483.05084745762713</c:v>
                </c:pt>
                <c:pt idx="3">
                  <c:v>3689.2857142857142</c:v>
                </c:pt>
                <c:pt idx="4">
                  <c:v>934.61538461538464</c:v>
                </c:pt>
                <c:pt idx="5">
                  <c:v>-305.12820512820514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D-4C37-A15E-1593DF1C5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まっつん!$L$2:$L$94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B2-4496-A1D5-744524F7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932.60869565217388</c:v>
                </c:pt>
                <c:pt idx="1">
                  <c:v>582.02247191011236</c:v>
                </c:pt>
                <c:pt idx="2">
                  <c:v>-631.32530120481931</c:v>
                </c:pt>
                <c:pt idx="3">
                  <c:v>-15.789473684210526</c:v>
                </c:pt>
                <c:pt idx="4">
                  <c:v>-676.11940298507466</c:v>
                </c:pt>
                <c:pt idx="5">
                  <c:v>-814.03508771929819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D7-46D8-8245-64C5EDC05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のり!$L$2:$L$39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D2-4FCE-AAE1-31201BE31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-3375.6756756756758</c:v>
                </c:pt>
                <c:pt idx="1">
                  <c:v>240.54054054054055</c:v>
                </c:pt>
                <c:pt idx="2">
                  <c:v>-1297.2972972972973</c:v>
                </c:pt>
                <c:pt idx="3">
                  <c:v>-2179.4117647058824</c:v>
                </c:pt>
                <c:pt idx="4">
                  <c:v>-1615.1515151515152</c:v>
                </c:pt>
                <c:pt idx="5">
                  <c:v>-3600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7-469A-B478-8598742BA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ぱぱ!$L$2:$L$25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B-445F-9080-52278071B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-3173.913043478261</c:v>
                </c:pt>
                <c:pt idx="1">
                  <c:v>-582.60869565217388</c:v>
                </c:pt>
                <c:pt idx="2">
                  <c:v>1086.3636363636363</c:v>
                </c:pt>
                <c:pt idx="3">
                  <c:v>-2318.181818181818</c:v>
                </c:pt>
                <c:pt idx="4">
                  <c:v>5950</c:v>
                </c:pt>
                <c:pt idx="5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3-4E49-88E1-2811263FF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6B-43B3-86B1-FC4CFD7B4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8-4824-906C-812514C8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A-422A-9120-C93635261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9E-4E08-8DEE-7214F559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りくと2!$B$3:$B$68</c:f>
              <c:numCache>
                <c:formatCode>\+0.0;\-0.0;\±0</c:formatCode>
                <c:ptCount val="66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りくと2!$C$3:$C$68</c:f>
              <c:numCache>
                <c:formatCode>\+0.0;\-0.0;\±0</c:formatCode>
                <c:ptCount val="66"/>
                <c:pt idx="1">
                  <c:v>-37.799999999999997</c:v>
                </c:pt>
                <c:pt idx="2">
                  <c:v>-15.049999999999999</c:v>
                </c:pt>
                <c:pt idx="3">
                  <c:v>-5.8666666666666663</c:v>
                </c:pt>
                <c:pt idx="4">
                  <c:v>-13.724999999999998</c:v>
                </c:pt>
                <c:pt idx="5">
                  <c:v>-6.7399999999999975</c:v>
                </c:pt>
                <c:pt idx="6">
                  <c:v>-9.5666666666666647</c:v>
                </c:pt>
                <c:pt idx="7">
                  <c:v>-5.6428571428571415</c:v>
                </c:pt>
                <c:pt idx="8">
                  <c:v>-7.8749999999999991</c:v>
                </c:pt>
                <c:pt idx="9">
                  <c:v>-8.2444444444444436</c:v>
                </c:pt>
                <c:pt idx="10">
                  <c:v>-11.719999999999999</c:v>
                </c:pt>
                <c:pt idx="11">
                  <c:v>-16.118181818181817</c:v>
                </c:pt>
                <c:pt idx="12">
                  <c:v>-13.216666666666667</c:v>
                </c:pt>
                <c:pt idx="13">
                  <c:v>-15.946153846153846</c:v>
                </c:pt>
                <c:pt idx="14">
                  <c:v>-14.62857142857143</c:v>
                </c:pt>
                <c:pt idx="15">
                  <c:v>-14.766666666666667</c:v>
                </c:pt>
                <c:pt idx="16">
                  <c:v>-14.018750000000001</c:v>
                </c:pt>
                <c:pt idx="17">
                  <c:v>-14.788235294117648</c:v>
                </c:pt>
                <c:pt idx="18">
                  <c:v>-13.333333333333334</c:v>
                </c:pt>
                <c:pt idx="19">
                  <c:v>-11.473684210526315</c:v>
                </c:pt>
                <c:pt idx="20">
                  <c:v>-8.879999999999999</c:v>
                </c:pt>
                <c:pt idx="21">
                  <c:v>-6.3476190476190482</c:v>
                </c:pt>
                <c:pt idx="22">
                  <c:v>-7.4818181818181833</c:v>
                </c:pt>
                <c:pt idx="23">
                  <c:v>-7.073913043478262</c:v>
                </c:pt>
                <c:pt idx="24">
                  <c:v>-6.7916666666666679</c:v>
                </c:pt>
                <c:pt idx="25">
                  <c:v>-7.4000000000000012</c:v>
                </c:pt>
                <c:pt idx="26">
                  <c:v>-7.1538461538461551</c:v>
                </c:pt>
                <c:pt idx="27">
                  <c:v>-6.0370370370370381</c:v>
                </c:pt>
                <c:pt idx="28">
                  <c:v>-6.4892857142857148</c:v>
                </c:pt>
                <c:pt idx="29">
                  <c:v>-5.5137931034482763</c:v>
                </c:pt>
                <c:pt idx="30">
                  <c:v>-5.8533333333333335</c:v>
                </c:pt>
                <c:pt idx="31">
                  <c:v>-6.8580645161290317</c:v>
                </c:pt>
                <c:pt idx="32">
                  <c:v>-7.65</c:v>
                </c:pt>
                <c:pt idx="33">
                  <c:v>-7.9181818181818189</c:v>
                </c:pt>
                <c:pt idx="34">
                  <c:v>-6.9647058823529413</c:v>
                </c:pt>
                <c:pt idx="35">
                  <c:v>-7.5600000000000005</c:v>
                </c:pt>
                <c:pt idx="36">
                  <c:v>-7.0055555555555564</c:v>
                </c:pt>
                <c:pt idx="37">
                  <c:v>-7.0540540540540544</c:v>
                </c:pt>
                <c:pt idx="38">
                  <c:v>-6.4578947368421051</c:v>
                </c:pt>
                <c:pt idx="39">
                  <c:v>-5.8205128205128203</c:v>
                </c:pt>
                <c:pt idx="40">
                  <c:v>-6.7099999999999991</c:v>
                </c:pt>
                <c:pt idx="41">
                  <c:v>-6.4487804878048776</c:v>
                </c:pt>
                <c:pt idx="42">
                  <c:v>-6.4023809523809518</c:v>
                </c:pt>
                <c:pt idx="43">
                  <c:v>-6.9627906976744178</c:v>
                </c:pt>
                <c:pt idx="44">
                  <c:v>-7.5159090909090907</c:v>
                </c:pt>
                <c:pt idx="45">
                  <c:v>-7.8466666666666658</c:v>
                </c:pt>
                <c:pt idx="46">
                  <c:v>-7.6478260869565204</c:v>
                </c:pt>
                <c:pt idx="47">
                  <c:v>-7.3659574468085092</c:v>
                </c:pt>
                <c:pt idx="48">
                  <c:v>-7.445833333333332</c:v>
                </c:pt>
                <c:pt idx="49">
                  <c:v>-8.2469387755102019</c:v>
                </c:pt>
                <c:pt idx="50">
                  <c:v>-8.0199999999999978</c:v>
                </c:pt>
                <c:pt idx="51">
                  <c:v>-8.1333333333333311</c:v>
                </c:pt>
                <c:pt idx="52">
                  <c:v>-7.7673076923076909</c:v>
                </c:pt>
                <c:pt idx="53">
                  <c:v>-7.2981132075471677</c:v>
                </c:pt>
                <c:pt idx="54">
                  <c:v>-8.1722222222222207</c:v>
                </c:pt>
                <c:pt idx="55">
                  <c:v>-7.2381818181818165</c:v>
                </c:pt>
                <c:pt idx="56">
                  <c:v>-7.0249999999999986</c:v>
                </c:pt>
                <c:pt idx="57">
                  <c:v>-6.6052631578947363</c:v>
                </c:pt>
                <c:pt idx="58">
                  <c:v>-6.4396551724137918</c:v>
                </c:pt>
                <c:pt idx="59">
                  <c:v>-6.7677966101694906</c:v>
                </c:pt>
                <c:pt idx="60">
                  <c:v>-7.4799999999999995</c:v>
                </c:pt>
                <c:pt idx="61">
                  <c:v>-7.4360655737704908</c:v>
                </c:pt>
                <c:pt idx="62">
                  <c:v>-8.0935483870967726</c:v>
                </c:pt>
                <c:pt idx="63">
                  <c:v>-7.2587301587301578</c:v>
                </c:pt>
                <c:pt idx="64">
                  <c:v>-6.5796874999999995</c:v>
                </c:pt>
                <c:pt idx="65">
                  <c:v>-7.1676923076923069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265808957320107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りくと2!$D$3:$D$68</c:f>
              <c:numCache>
                <c:formatCode>0.00\ "位"</c:formatCode>
                <c:ptCount val="66"/>
                <c:pt idx="1">
                  <c:v>3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2.375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2.4285714285714284</c:v>
                </c:pt>
                <c:pt idx="15">
                  <c:v>2.4666666666666668</c:v>
                </c:pt>
                <c:pt idx="16">
                  <c:v>2.4375</c:v>
                </c:pt>
                <c:pt idx="17">
                  <c:v>2.4705882352941178</c:v>
                </c:pt>
                <c:pt idx="18">
                  <c:v>2.4444444444444446</c:v>
                </c:pt>
                <c:pt idx="19">
                  <c:v>2.3684210526315788</c:v>
                </c:pt>
                <c:pt idx="20">
                  <c:v>2.2999999999999998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2.25</c:v>
                </c:pt>
                <c:pt idx="25">
                  <c:v>2.2799999999999998</c:v>
                </c:pt>
                <c:pt idx="26">
                  <c:v>2.2692307692307692</c:v>
                </c:pt>
                <c:pt idx="27">
                  <c:v>2.2222222222222223</c:v>
                </c:pt>
                <c:pt idx="28">
                  <c:v>2.2142857142857144</c:v>
                </c:pt>
                <c:pt idx="29">
                  <c:v>2.1724137931034484</c:v>
                </c:pt>
                <c:pt idx="30">
                  <c:v>2.2000000000000002</c:v>
                </c:pt>
                <c:pt idx="31">
                  <c:v>2.225806451612903</c:v>
                </c:pt>
                <c:pt idx="32">
                  <c:v>2.25</c:v>
                </c:pt>
                <c:pt idx="33">
                  <c:v>2.2727272727272729</c:v>
                </c:pt>
                <c:pt idx="34">
                  <c:v>2.2352941176470589</c:v>
                </c:pt>
                <c:pt idx="35">
                  <c:v>2.2571428571428571</c:v>
                </c:pt>
                <c:pt idx="36">
                  <c:v>2.2222222222222223</c:v>
                </c:pt>
                <c:pt idx="37">
                  <c:v>2.2162162162162162</c:v>
                </c:pt>
                <c:pt idx="38">
                  <c:v>2.2105263157894739</c:v>
                </c:pt>
                <c:pt idx="39">
                  <c:v>2.1794871794871793</c:v>
                </c:pt>
                <c:pt idx="40">
                  <c:v>2.2000000000000002</c:v>
                </c:pt>
                <c:pt idx="41">
                  <c:v>2.1951219512195124</c:v>
                </c:pt>
                <c:pt idx="42">
                  <c:v>2.1904761904761907</c:v>
                </c:pt>
                <c:pt idx="43">
                  <c:v>2.2093023255813953</c:v>
                </c:pt>
                <c:pt idx="44">
                  <c:v>2.2272727272727271</c:v>
                </c:pt>
                <c:pt idx="45">
                  <c:v>2.2444444444444445</c:v>
                </c:pt>
                <c:pt idx="46">
                  <c:v>2.2391304347826089</c:v>
                </c:pt>
                <c:pt idx="47">
                  <c:v>2.2340425531914891</c:v>
                </c:pt>
                <c:pt idx="48">
                  <c:v>2.2291666666666665</c:v>
                </c:pt>
                <c:pt idx="49">
                  <c:v>2.2448979591836733</c:v>
                </c:pt>
                <c:pt idx="50">
                  <c:v>2.2400000000000002</c:v>
                </c:pt>
                <c:pt idx="51">
                  <c:v>2.2352941176470589</c:v>
                </c:pt>
                <c:pt idx="52">
                  <c:v>2.2307692307692308</c:v>
                </c:pt>
                <c:pt idx="53">
                  <c:v>2.2075471698113209</c:v>
                </c:pt>
                <c:pt idx="54">
                  <c:v>2.2222222222222223</c:v>
                </c:pt>
                <c:pt idx="55">
                  <c:v>2.2000000000000002</c:v>
                </c:pt>
                <c:pt idx="56">
                  <c:v>2.1964285714285716</c:v>
                </c:pt>
                <c:pt idx="57">
                  <c:v>2.1754385964912282</c:v>
                </c:pt>
                <c:pt idx="58">
                  <c:v>2.1724137931034484</c:v>
                </c:pt>
                <c:pt idx="59">
                  <c:v>2.1864406779661016</c:v>
                </c:pt>
                <c:pt idx="60">
                  <c:v>2.2000000000000002</c:v>
                </c:pt>
                <c:pt idx="61">
                  <c:v>2.1967213114754101</c:v>
                </c:pt>
                <c:pt idx="62">
                  <c:v>2.2096774193548385</c:v>
                </c:pt>
                <c:pt idx="63">
                  <c:v>2.1904761904761907</c:v>
                </c:pt>
                <c:pt idx="64">
                  <c:v>2.171875</c:v>
                </c:pt>
                <c:pt idx="65">
                  <c:v>2.1846153846153844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りくと2!$E$3:$E$68</c:f>
              <c:numCache>
                <c:formatCode>0.0%</c:formatCode>
                <c:ptCount val="6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0.23076923076923078</c:v>
                </c:pt>
                <c:pt idx="40">
                  <c:v>0.22500000000000001</c:v>
                </c:pt>
                <c:pt idx="41">
                  <c:v>0.21951219512195122</c:v>
                </c:pt>
                <c:pt idx="42">
                  <c:v>0.21428571428571427</c:v>
                </c:pt>
                <c:pt idx="43">
                  <c:v>0.20930232558139536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0.20689655172413793</c:v>
                </c:pt>
                <c:pt idx="59">
                  <c:v>0.20338983050847459</c:v>
                </c:pt>
                <c:pt idx="60">
                  <c:v>0.2</c:v>
                </c:pt>
                <c:pt idx="61">
                  <c:v>0.19672131147540983</c:v>
                </c:pt>
                <c:pt idx="62">
                  <c:v>0.19354838709677419</c:v>
                </c:pt>
                <c:pt idx="63">
                  <c:v>0.20634920634920634</c:v>
                </c:pt>
                <c:pt idx="64">
                  <c:v>0.21875</c:v>
                </c:pt>
                <c:pt idx="65">
                  <c:v>0.2153846153846154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りくと2!$F$3:$F$68</c:f>
              <c:numCache>
                <c:formatCode>0.0%</c:formatCode>
                <c:ptCount val="66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0.53333333333333333</c:v>
                </c:pt>
                <c:pt idx="16">
                  <c:v>0.5</c:v>
                </c:pt>
                <c:pt idx="17">
                  <c:v>0.52941176470588236</c:v>
                </c:pt>
                <c:pt idx="18">
                  <c:v>0.5</c:v>
                </c:pt>
                <c:pt idx="19">
                  <c:v>0.47368421052631576</c:v>
                </c:pt>
                <c:pt idx="20">
                  <c:v>0.45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0.4</c:v>
                </c:pt>
                <c:pt idx="31">
                  <c:v>0.41935483870967744</c:v>
                </c:pt>
                <c:pt idx="32">
                  <c:v>0.4375</c:v>
                </c:pt>
                <c:pt idx="33">
                  <c:v>0.45454545454545453</c:v>
                </c:pt>
                <c:pt idx="34">
                  <c:v>0.44117647058823528</c:v>
                </c:pt>
                <c:pt idx="35">
                  <c:v>0.45714285714285713</c:v>
                </c:pt>
                <c:pt idx="36">
                  <c:v>0.44444444444444442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0.42499999999999999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0.41860465116279072</c:v>
                </c:pt>
                <c:pt idx="44">
                  <c:v>0.43181818181818182</c:v>
                </c:pt>
                <c:pt idx="45">
                  <c:v>0.44444444444444442</c:v>
                </c:pt>
                <c:pt idx="46">
                  <c:v>0.43478260869565216</c:v>
                </c:pt>
                <c:pt idx="47">
                  <c:v>0.42553191489361702</c:v>
                </c:pt>
                <c:pt idx="48">
                  <c:v>0.41666666666666669</c:v>
                </c:pt>
                <c:pt idx="49">
                  <c:v>0.42857142857142855</c:v>
                </c:pt>
                <c:pt idx="50">
                  <c:v>0.42</c:v>
                </c:pt>
                <c:pt idx="51">
                  <c:v>0.41176470588235292</c:v>
                </c:pt>
                <c:pt idx="52">
                  <c:v>0.40384615384615385</c:v>
                </c:pt>
                <c:pt idx="53">
                  <c:v>0.39622641509433965</c:v>
                </c:pt>
                <c:pt idx="54">
                  <c:v>0.40740740740740738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0.38596491228070173</c:v>
                </c:pt>
                <c:pt idx="58">
                  <c:v>0.37931034482758619</c:v>
                </c:pt>
                <c:pt idx="59">
                  <c:v>0.38983050847457629</c:v>
                </c:pt>
                <c:pt idx="60">
                  <c:v>0.4</c:v>
                </c:pt>
                <c:pt idx="61">
                  <c:v>0.39344262295081966</c:v>
                </c:pt>
                <c:pt idx="62">
                  <c:v>0.40322580645161288</c:v>
                </c:pt>
                <c:pt idx="63">
                  <c:v>0.3968253968253968</c:v>
                </c:pt>
                <c:pt idx="64">
                  <c:v>0.390625</c:v>
                </c:pt>
                <c:pt idx="6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りくと2!$G$3:$G$68</c:f>
              <c:numCache>
                <c:formatCode>0.0%</c:formatCode>
                <c:ptCount val="66"/>
                <c:pt idx="1">
                  <c:v>9.0909090909090912E-2</c:v>
                </c:pt>
                <c:pt idx="2">
                  <c:v>0.21052631578947367</c:v>
                </c:pt>
                <c:pt idx="3">
                  <c:v>0.26666666666666666</c:v>
                </c:pt>
                <c:pt idx="4">
                  <c:v>0.28205128205128205</c:v>
                </c:pt>
                <c:pt idx="5">
                  <c:v>0.30612244897959184</c:v>
                </c:pt>
                <c:pt idx="6">
                  <c:v>0.2982456140350877</c:v>
                </c:pt>
                <c:pt idx="7">
                  <c:v>0.29850746268656714</c:v>
                </c:pt>
                <c:pt idx="8">
                  <c:v>0.26315789473684209</c:v>
                </c:pt>
                <c:pt idx="9">
                  <c:v>0.27058823529411763</c:v>
                </c:pt>
                <c:pt idx="10">
                  <c:v>0.23958333333333334</c:v>
                </c:pt>
                <c:pt idx="11">
                  <c:v>0.23</c:v>
                </c:pt>
                <c:pt idx="12">
                  <c:v>0.23636363636363636</c:v>
                </c:pt>
                <c:pt idx="13">
                  <c:v>0.23529411764705882</c:v>
                </c:pt>
                <c:pt idx="14">
                  <c:v>0.2421875</c:v>
                </c:pt>
                <c:pt idx="15">
                  <c:v>0.25362318840579712</c:v>
                </c:pt>
                <c:pt idx="16">
                  <c:v>0.26666666666666666</c:v>
                </c:pt>
                <c:pt idx="17">
                  <c:v>0.25477707006369427</c:v>
                </c:pt>
                <c:pt idx="18">
                  <c:v>0.26347305389221559</c:v>
                </c:pt>
                <c:pt idx="19">
                  <c:v>0.2768361581920904</c:v>
                </c:pt>
                <c:pt idx="20">
                  <c:v>0.28176795580110497</c:v>
                </c:pt>
                <c:pt idx="21">
                  <c:v>0.29411764705882354</c:v>
                </c:pt>
                <c:pt idx="22">
                  <c:v>0.28717948717948716</c:v>
                </c:pt>
                <c:pt idx="23">
                  <c:v>0.29207920792079206</c:v>
                </c:pt>
                <c:pt idx="24">
                  <c:v>0.29523809523809524</c:v>
                </c:pt>
                <c:pt idx="25">
                  <c:v>0.29357798165137616</c:v>
                </c:pt>
                <c:pt idx="26">
                  <c:v>0.28444444444444444</c:v>
                </c:pt>
                <c:pt idx="27">
                  <c:v>0.28755364806866951</c:v>
                </c:pt>
                <c:pt idx="28">
                  <c:v>0.2863070539419087</c:v>
                </c:pt>
                <c:pt idx="29">
                  <c:v>0.28629032258064518</c:v>
                </c:pt>
                <c:pt idx="30">
                  <c:v>0.28515625</c:v>
                </c:pt>
                <c:pt idx="31">
                  <c:v>0.28464419475655428</c:v>
                </c:pt>
                <c:pt idx="32">
                  <c:v>0.28260869565217389</c:v>
                </c:pt>
                <c:pt idx="33">
                  <c:v>0.28521126760563381</c:v>
                </c:pt>
                <c:pt idx="34">
                  <c:v>0.28474576271186441</c:v>
                </c:pt>
                <c:pt idx="35">
                  <c:v>0.2814569536423841</c:v>
                </c:pt>
                <c:pt idx="36">
                  <c:v>0.28064516129032258</c:v>
                </c:pt>
                <c:pt idx="37">
                  <c:v>0.27936507936507937</c:v>
                </c:pt>
                <c:pt idx="38">
                  <c:v>0.28048780487804881</c:v>
                </c:pt>
                <c:pt idx="39">
                  <c:v>0.28106508875739644</c:v>
                </c:pt>
                <c:pt idx="40">
                  <c:v>0.2857142857142857</c:v>
                </c:pt>
                <c:pt idx="41">
                  <c:v>0.28491620111731841</c:v>
                </c:pt>
                <c:pt idx="42">
                  <c:v>0.28415300546448086</c:v>
                </c:pt>
                <c:pt idx="43">
                  <c:v>0.28000000000000003</c:v>
                </c:pt>
                <c:pt idx="44">
                  <c:v>0.27676240208877284</c:v>
                </c:pt>
                <c:pt idx="45">
                  <c:v>0.27763496143958871</c:v>
                </c:pt>
                <c:pt idx="46">
                  <c:v>0.27848101265822783</c:v>
                </c:pt>
                <c:pt idx="47">
                  <c:v>0.28179551122194513</c:v>
                </c:pt>
                <c:pt idx="48">
                  <c:v>0.28398058252427183</c:v>
                </c:pt>
                <c:pt idx="49">
                  <c:v>0.28199052132701424</c:v>
                </c:pt>
                <c:pt idx="50">
                  <c:v>0.28037383177570091</c:v>
                </c:pt>
                <c:pt idx="51">
                  <c:v>0.27816091954022987</c:v>
                </c:pt>
                <c:pt idx="52">
                  <c:v>0.27740492170022374</c:v>
                </c:pt>
                <c:pt idx="53">
                  <c:v>0.27912087912087913</c:v>
                </c:pt>
                <c:pt idx="54">
                  <c:v>0.27668845315904139</c:v>
                </c:pt>
                <c:pt idx="55">
                  <c:v>0.2817204301075269</c:v>
                </c:pt>
                <c:pt idx="56">
                  <c:v>0.28059071729957807</c:v>
                </c:pt>
                <c:pt idx="57">
                  <c:v>0.28333333333333333</c:v>
                </c:pt>
                <c:pt idx="58">
                  <c:v>0.2822085889570552</c:v>
                </c:pt>
                <c:pt idx="59">
                  <c:v>0.28225806451612906</c:v>
                </c:pt>
                <c:pt idx="60">
                  <c:v>0.2788844621513944</c:v>
                </c:pt>
                <c:pt idx="61">
                  <c:v>0.27906976744186046</c:v>
                </c:pt>
                <c:pt idx="62">
                  <c:v>0.2774566473988439</c:v>
                </c:pt>
                <c:pt idx="63">
                  <c:v>0.28030303030303028</c:v>
                </c:pt>
                <c:pt idx="64">
                  <c:v>0.28044280442804426</c:v>
                </c:pt>
                <c:pt idx="65">
                  <c:v>0.27767695099818512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465568229826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りくと2!$H$3:$H$68</c:f>
              <c:numCache>
                <c:formatCode>0.0%</c:formatCode>
                <c:ptCount val="66"/>
                <c:pt idx="1">
                  <c:v>0.18181818181818182</c:v>
                </c:pt>
                <c:pt idx="2">
                  <c:v>0.15789473684210525</c:v>
                </c:pt>
                <c:pt idx="3">
                  <c:v>0.2</c:v>
                </c:pt>
                <c:pt idx="4">
                  <c:v>0.20512820512820512</c:v>
                </c:pt>
                <c:pt idx="5">
                  <c:v>0.22448979591836735</c:v>
                </c:pt>
                <c:pt idx="6">
                  <c:v>0.22807017543859648</c:v>
                </c:pt>
                <c:pt idx="7">
                  <c:v>0.20895522388059701</c:v>
                </c:pt>
                <c:pt idx="8">
                  <c:v>0.21052631578947367</c:v>
                </c:pt>
                <c:pt idx="9">
                  <c:v>0.21176470588235294</c:v>
                </c:pt>
                <c:pt idx="10">
                  <c:v>0.22916666666666666</c:v>
                </c:pt>
                <c:pt idx="11">
                  <c:v>0.25</c:v>
                </c:pt>
                <c:pt idx="12">
                  <c:v>0.23636363636363636</c:v>
                </c:pt>
                <c:pt idx="13">
                  <c:v>0.24369747899159663</c:v>
                </c:pt>
                <c:pt idx="14">
                  <c:v>0.25</c:v>
                </c:pt>
                <c:pt idx="15">
                  <c:v>0.24637681159420291</c:v>
                </c:pt>
                <c:pt idx="16">
                  <c:v>0.23333333333333334</c:v>
                </c:pt>
                <c:pt idx="17">
                  <c:v>0.24203821656050956</c:v>
                </c:pt>
                <c:pt idx="18">
                  <c:v>0.22754491017964071</c:v>
                </c:pt>
                <c:pt idx="19">
                  <c:v>0.22033898305084745</c:v>
                </c:pt>
                <c:pt idx="20">
                  <c:v>0.21546961325966851</c:v>
                </c:pt>
                <c:pt idx="21">
                  <c:v>0.21390374331550802</c:v>
                </c:pt>
                <c:pt idx="22">
                  <c:v>0.21025641025641026</c:v>
                </c:pt>
                <c:pt idx="23">
                  <c:v>0.20297029702970298</c:v>
                </c:pt>
                <c:pt idx="24">
                  <c:v>0.19523809523809524</c:v>
                </c:pt>
                <c:pt idx="25">
                  <c:v>0.20183486238532111</c:v>
                </c:pt>
                <c:pt idx="26">
                  <c:v>0.19555555555555557</c:v>
                </c:pt>
                <c:pt idx="27">
                  <c:v>0.19313304721030042</c:v>
                </c:pt>
                <c:pt idx="28">
                  <c:v>0.1908713692946058</c:v>
                </c:pt>
                <c:pt idx="29">
                  <c:v>0.18951612903225806</c:v>
                </c:pt>
                <c:pt idx="30">
                  <c:v>0.19140625</c:v>
                </c:pt>
                <c:pt idx="31">
                  <c:v>0.19850187265917604</c:v>
                </c:pt>
                <c:pt idx="32">
                  <c:v>0.19565217391304349</c:v>
                </c:pt>
                <c:pt idx="33">
                  <c:v>0.19366197183098591</c:v>
                </c:pt>
                <c:pt idx="34">
                  <c:v>0.19661016949152543</c:v>
                </c:pt>
                <c:pt idx="35">
                  <c:v>0.19536423841059603</c:v>
                </c:pt>
                <c:pt idx="36">
                  <c:v>0.20322580645161289</c:v>
                </c:pt>
                <c:pt idx="37">
                  <c:v>0.2</c:v>
                </c:pt>
                <c:pt idx="38">
                  <c:v>0.19817073170731708</c:v>
                </c:pt>
                <c:pt idx="39">
                  <c:v>0.19526627218934911</c:v>
                </c:pt>
                <c:pt idx="40">
                  <c:v>0.19714285714285715</c:v>
                </c:pt>
                <c:pt idx="41">
                  <c:v>0.19553072625698323</c:v>
                </c:pt>
                <c:pt idx="42">
                  <c:v>0.19672131147540983</c:v>
                </c:pt>
                <c:pt idx="43">
                  <c:v>0.19733333333333333</c:v>
                </c:pt>
                <c:pt idx="44">
                  <c:v>0.20104438642297651</c:v>
                </c:pt>
                <c:pt idx="45">
                  <c:v>0.20308483290488433</c:v>
                </c:pt>
                <c:pt idx="46">
                  <c:v>0.20506329113924052</c:v>
                </c:pt>
                <c:pt idx="47">
                  <c:v>0.20448877805486285</c:v>
                </c:pt>
                <c:pt idx="48">
                  <c:v>0.20631067961165048</c:v>
                </c:pt>
                <c:pt idx="49">
                  <c:v>0.20853080568720378</c:v>
                </c:pt>
                <c:pt idx="50">
                  <c:v>0.20794392523364486</c:v>
                </c:pt>
                <c:pt idx="51">
                  <c:v>0.2045977011494253</c:v>
                </c:pt>
                <c:pt idx="52">
                  <c:v>0.20805369127516779</c:v>
                </c:pt>
                <c:pt idx="53">
                  <c:v>0.20659340659340658</c:v>
                </c:pt>
                <c:pt idx="54">
                  <c:v>0.20915032679738563</c:v>
                </c:pt>
                <c:pt idx="55">
                  <c:v>0.20645161290322581</c:v>
                </c:pt>
                <c:pt idx="56">
                  <c:v>0.20886075949367089</c:v>
                </c:pt>
                <c:pt idx="57">
                  <c:v>0.20833333333333334</c:v>
                </c:pt>
                <c:pt idx="58">
                  <c:v>0.20654396728016361</c:v>
                </c:pt>
                <c:pt idx="59">
                  <c:v>0.20766129032258066</c:v>
                </c:pt>
                <c:pt idx="60">
                  <c:v>0.21115537848605578</c:v>
                </c:pt>
                <c:pt idx="61">
                  <c:v>0.21124031007751937</c:v>
                </c:pt>
                <c:pt idx="62">
                  <c:v>0.2119460500963391</c:v>
                </c:pt>
                <c:pt idx="63">
                  <c:v>0.20833333333333334</c:v>
                </c:pt>
                <c:pt idx="64">
                  <c:v>0.20664206642066421</c:v>
                </c:pt>
                <c:pt idx="65">
                  <c:v>0.20689655172413793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075623151668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りくと2!$I$3:$I$68</c:f>
              <c:numCache>
                <c:formatCode>0</c:formatCode>
                <c:ptCount val="66"/>
                <c:pt idx="1">
                  <c:v>2100</c:v>
                </c:pt>
                <c:pt idx="2">
                  <c:v>4750</c:v>
                </c:pt>
                <c:pt idx="3">
                  <c:v>5262.5</c:v>
                </c:pt>
                <c:pt idx="4">
                  <c:v>5290.909090909091</c:v>
                </c:pt>
                <c:pt idx="5">
                  <c:v>6226.666666666667</c:v>
                </c:pt>
                <c:pt idx="6">
                  <c:v>6670.588235294118</c:v>
                </c:pt>
                <c:pt idx="7">
                  <c:v>7750</c:v>
                </c:pt>
                <c:pt idx="8">
                  <c:v>7750</c:v>
                </c:pt>
                <c:pt idx="9">
                  <c:v>7686.95652173913</c:v>
                </c:pt>
                <c:pt idx="10">
                  <c:v>7686.95652173913</c:v>
                </c:pt>
                <c:pt idx="11">
                  <c:v>7686.95652173913</c:v>
                </c:pt>
                <c:pt idx="12">
                  <c:v>7769.2307692307695</c:v>
                </c:pt>
                <c:pt idx="13">
                  <c:v>7928.5714285714284</c:v>
                </c:pt>
                <c:pt idx="14">
                  <c:v>8000</c:v>
                </c:pt>
                <c:pt idx="15">
                  <c:v>7902.8571428571431</c:v>
                </c:pt>
                <c:pt idx="16">
                  <c:v>7385</c:v>
                </c:pt>
                <c:pt idx="17">
                  <c:v>7385</c:v>
                </c:pt>
                <c:pt idx="18">
                  <c:v>7393.181818181818</c:v>
                </c:pt>
                <c:pt idx="19">
                  <c:v>7220.408163265306</c:v>
                </c:pt>
                <c:pt idx="20">
                  <c:v>7464.7058823529414</c:v>
                </c:pt>
                <c:pt idx="21">
                  <c:v>7780</c:v>
                </c:pt>
                <c:pt idx="22">
                  <c:v>7778.5714285714284</c:v>
                </c:pt>
                <c:pt idx="23">
                  <c:v>7488.1355932203387</c:v>
                </c:pt>
                <c:pt idx="24">
                  <c:v>7233.8709677419356</c:v>
                </c:pt>
                <c:pt idx="25">
                  <c:v>7193.75</c:v>
                </c:pt>
                <c:pt idx="26">
                  <c:v>7193.75</c:v>
                </c:pt>
                <c:pt idx="27">
                  <c:v>7349.253731343284</c:v>
                </c:pt>
                <c:pt idx="28">
                  <c:v>7308.695652173913</c:v>
                </c:pt>
                <c:pt idx="29">
                  <c:v>7497.1830985915494</c:v>
                </c:pt>
                <c:pt idx="30">
                  <c:v>7424.6575342465758</c:v>
                </c:pt>
                <c:pt idx="31">
                  <c:v>7410.5263157894733</c:v>
                </c:pt>
                <c:pt idx="32">
                  <c:v>7312.8205128205127</c:v>
                </c:pt>
                <c:pt idx="33">
                  <c:v>7334.5679012345681</c:v>
                </c:pt>
                <c:pt idx="34">
                  <c:v>7525</c:v>
                </c:pt>
                <c:pt idx="35">
                  <c:v>7483.5294117647063</c:v>
                </c:pt>
                <c:pt idx="36">
                  <c:v>7537.9310344827591</c:v>
                </c:pt>
                <c:pt idx="37">
                  <c:v>7539.772727272727</c:v>
                </c:pt>
                <c:pt idx="38">
                  <c:v>7594.565217391304</c:v>
                </c:pt>
                <c:pt idx="39">
                  <c:v>7648.4210526315792</c:v>
                </c:pt>
                <c:pt idx="40">
                  <c:v>7463</c:v>
                </c:pt>
                <c:pt idx="41">
                  <c:v>7524.5098039215691</c:v>
                </c:pt>
                <c:pt idx="42">
                  <c:v>7549.0384615384619</c:v>
                </c:pt>
                <c:pt idx="43">
                  <c:v>7648.5714285714284</c:v>
                </c:pt>
                <c:pt idx="44">
                  <c:v>7689.6226415094343</c:v>
                </c:pt>
                <c:pt idx="45">
                  <c:v>7639.8148148148148</c:v>
                </c:pt>
                <c:pt idx="46">
                  <c:v>7719.090909090909</c:v>
                </c:pt>
                <c:pt idx="47">
                  <c:v>7690.2654867256633</c:v>
                </c:pt>
                <c:pt idx="48">
                  <c:v>7707.6923076923076</c:v>
                </c:pt>
                <c:pt idx="49">
                  <c:v>7687.3949579831933</c:v>
                </c:pt>
                <c:pt idx="50">
                  <c:v>7723.333333333333</c:v>
                </c:pt>
                <c:pt idx="51">
                  <c:v>7680.9917355371899</c:v>
                </c:pt>
                <c:pt idx="52">
                  <c:v>7850</c:v>
                </c:pt>
                <c:pt idx="53">
                  <c:v>7898.4251968503941</c:v>
                </c:pt>
                <c:pt idx="54">
                  <c:v>7898.4251968503941</c:v>
                </c:pt>
                <c:pt idx="55">
                  <c:v>7971.7557251908393</c:v>
                </c:pt>
                <c:pt idx="56">
                  <c:v>8032.3308270676689</c:v>
                </c:pt>
                <c:pt idx="57">
                  <c:v>8029.411764705882</c:v>
                </c:pt>
                <c:pt idx="58">
                  <c:v>8039.130434782609</c:v>
                </c:pt>
                <c:pt idx="59">
                  <c:v>7988.5714285714284</c:v>
                </c:pt>
                <c:pt idx="60">
                  <c:v>7988.5714285714284</c:v>
                </c:pt>
                <c:pt idx="61">
                  <c:v>8055.5555555555557</c:v>
                </c:pt>
                <c:pt idx="62">
                  <c:v>8055.5555555555557</c:v>
                </c:pt>
                <c:pt idx="63">
                  <c:v>8081.0810810810808</c:v>
                </c:pt>
                <c:pt idx="64">
                  <c:v>8158.5526315789475</c:v>
                </c:pt>
                <c:pt idx="65">
                  <c:v>8139.2156862745096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47.48923959827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りくと2!$J$3:$J$68</c:f>
              <c:numCache>
                <c:formatCode>0</c:formatCode>
                <c:ptCount val="66"/>
                <c:pt idx="1">
                  <c:v>-14900</c:v>
                </c:pt>
                <c:pt idx="2">
                  <c:v>-11233.333333333334</c:v>
                </c:pt>
                <c:pt idx="3">
                  <c:v>-7716.666666666667</c:v>
                </c:pt>
                <c:pt idx="4">
                  <c:v>-10275</c:v>
                </c:pt>
                <c:pt idx="5">
                  <c:v>-8127.272727272727</c:v>
                </c:pt>
                <c:pt idx="6">
                  <c:v>-8392.3076923076915</c:v>
                </c:pt>
                <c:pt idx="7">
                  <c:v>-8071.4285714285716</c:v>
                </c:pt>
                <c:pt idx="8">
                  <c:v>-7625</c:v>
                </c:pt>
                <c:pt idx="9">
                  <c:v>-7872.2222222222226</c:v>
                </c:pt>
                <c:pt idx="10">
                  <c:v>-7695.454545454545</c:v>
                </c:pt>
                <c:pt idx="11">
                  <c:v>-8256</c:v>
                </c:pt>
                <c:pt idx="12">
                  <c:v>-8015.3846153846152</c:v>
                </c:pt>
                <c:pt idx="13">
                  <c:v>-8551.7241379310344</c:v>
                </c:pt>
                <c:pt idx="14">
                  <c:v>-8203.125</c:v>
                </c:pt>
                <c:pt idx="15">
                  <c:v>-8285.2941176470595</c:v>
                </c:pt>
                <c:pt idx="16">
                  <c:v>-8214.2857142857138</c:v>
                </c:pt>
                <c:pt idx="17">
                  <c:v>-7931.5789473684208</c:v>
                </c:pt>
                <c:pt idx="18">
                  <c:v>-7931.5789473684208</c:v>
                </c:pt>
                <c:pt idx="19">
                  <c:v>-7933.333333333333</c:v>
                </c:pt>
                <c:pt idx="20">
                  <c:v>-7933.333333333333</c:v>
                </c:pt>
                <c:pt idx="21">
                  <c:v>-7832.5</c:v>
                </c:pt>
                <c:pt idx="22">
                  <c:v>-7934.1463414634145</c:v>
                </c:pt>
                <c:pt idx="23">
                  <c:v>-7934.1463414634145</c:v>
                </c:pt>
                <c:pt idx="24">
                  <c:v>-7934.1463414634145</c:v>
                </c:pt>
                <c:pt idx="25">
                  <c:v>-7665.909090909091</c:v>
                </c:pt>
                <c:pt idx="26">
                  <c:v>-7665.909090909091</c:v>
                </c:pt>
                <c:pt idx="27">
                  <c:v>-7762.2222222222226</c:v>
                </c:pt>
                <c:pt idx="28">
                  <c:v>-7678.260869565217</c:v>
                </c:pt>
                <c:pt idx="29">
                  <c:v>-7557.4468085106382</c:v>
                </c:pt>
                <c:pt idx="30">
                  <c:v>-7348.9795918367345</c:v>
                </c:pt>
                <c:pt idx="31">
                  <c:v>-7345.2830188679245</c:v>
                </c:pt>
                <c:pt idx="32">
                  <c:v>-7351.8518518518522</c:v>
                </c:pt>
                <c:pt idx="33">
                  <c:v>-7358.181818181818</c:v>
                </c:pt>
                <c:pt idx="34">
                  <c:v>-7244.8275862068967</c:v>
                </c:pt>
                <c:pt idx="35">
                  <c:v>-7257.6271186440681</c:v>
                </c:pt>
                <c:pt idx="36">
                  <c:v>-7063.4920634920636</c:v>
                </c:pt>
                <c:pt idx="37">
                  <c:v>-7063.4920634920636</c:v>
                </c:pt>
                <c:pt idx="38">
                  <c:v>-7004.6153846153848</c:v>
                </c:pt>
                <c:pt idx="39">
                  <c:v>-7019.69696969697</c:v>
                </c:pt>
                <c:pt idx="40">
                  <c:v>-7313.04347826087</c:v>
                </c:pt>
                <c:pt idx="41">
                  <c:v>-7322.8571428571431</c:v>
                </c:pt>
                <c:pt idx="42">
                  <c:v>-7341.666666666667</c:v>
                </c:pt>
                <c:pt idx="43">
                  <c:v>-7340.5405405405409</c:v>
                </c:pt>
                <c:pt idx="44">
                  <c:v>-7389.6103896103896</c:v>
                </c:pt>
                <c:pt idx="45">
                  <c:v>-7435.4430379746836</c:v>
                </c:pt>
                <c:pt idx="46">
                  <c:v>-7379.0123456790125</c:v>
                </c:pt>
                <c:pt idx="47">
                  <c:v>-7435.3658536585363</c:v>
                </c:pt>
                <c:pt idx="48">
                  <c:v>-7502.3529411764703</c:v>
                </c:pt>
                <c:pt idx="49">
                  <c:v>-7563.636363636364</c:v>
                </c:pt>
                <c:pt idx="50">
                  <c:v>-7507.8651685393261</c:v>
                </c:pt>
                <c:pt idx="51">
                  <c:v>-7507.8651685393261</c:v>
                </c:pt>
                <c:pt idx="52">
                  <c:v>-7535.4838709677415</c:v>
                </c:pt>
                <c:pt idx="53">
                  <c:v>-7540.4255319148933</c:v>
                </c:pt>
                <c:pt idx="54">
                  <c:v>-7651.041666666667</c:v>
                </c:pt>
                <c:pt idx="55">
                  <c:v>-7651.041666666667</c:v>
                </c:pt>
                <c:pt idx="56">
                  <c:v>-7584.848484848485</c:v>
                </c:pt>
                <c:pt idx="57">
                  <c:v>-7629</c:v>
                </c:pt>
                <c:pt idx="58">
                  <c:v>-7592.0792079207922</c:v>
                </c:pt>
                <c:pt idx="59">
                  <c:v>-7638.8349514563106</c:v>
                </c:pt>
                <c:pt idx="60">
                  <c:v>-7686.7924528301883</c:v>
                </c:pt>
                <c:pt idx="61">
                  <c:v>-7655.0458715596333</c:v>
                </c:pt>
                <c:pt idx="62">
                  <c:v>-7611.818181818182</c:v>
                </c:pt>
                <c:pt idx="63">
                  <c:v>-7611.818181818182</c:v>
                </c:pt>
                <c:pt idx="64">
                  <c:v>-7617.8571428571431</c:v>
                </c:pt>
                <c:pt idx="65">
                  <c:v>-7657.0175438596489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55.18134715025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りくと2!$K$3:$K$68</c:f>
              <c:numCache>
                <c:formatCode>0.0%</c:formatCode>
                <c:ptCount val="6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4.6511627906976744E-2</c:v>
                </c:pt>
                <c:pt idx="44">
                  <c:v>4.5454545454545456E-2</c:v>
                </c:pt>
                <c:pt idx="45">
                  <c:v>4.4444444444444446E-2</c:v>
                </c:pt>
                <c:pt idx="46">
                  <c:v>4.3478260869565216E-2</c:v>
                </c:pt>
                <c:pt idx="47">
                  <c:v>4.2553191489361701E-2</c:v>
                </c:pt>
                <c:pt idx="48">
                  <c:v>4.1666666666666664E-2</c:v>
                </c:pt>
                <c:pt idx="49">
                  <c:v>6.1224489795918366E-2</c:v>
                </c:pt>
                <c:pt idx="50">
                  <c:v>0.06</c:v>
                </c:pt>
                <c:pt idx="51">
                  <c:v>5.8823529411764705E-2</c:v>
                </c:pt>
                <c:pt idx="52">
                  <c:v>5.7692307692307696E-2</c:v>
                </c:pt>
                <c:pt idx="53">
                  <c:v>5.6603773584905662E-2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9.6774193548387094E-2</c:v>
                </c:pt>
                <c:pt idx="63">
                  <c:v>9.5238095238095233E-2</c:v>
                </c:pt>
                <c:pt idx="64">
                  <c:v>9.375E-2</c:v>
                </c:pt>
                <c:pt idx="65">
                  <c:v>9.2307692307692313E-2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23809523809523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りくと2!$L$3:$L$68</c:f>
              <c:numCache>
                <c:formatCode>0.0%</c:formatCode>
                <c:ptCount val="6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0.05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4.6511627906976744E-2</c:v>
                </c:pt>
                <c:pt idx="44">
                  <c:v>4.5454545454545456E-2</c:v>
                </c:pt>
                <c:pt idx="45">
                  <c:v>4.4444444444444446E-2</c:v>
                </c:pt>
                <c:pt idx="46">
                  <c:v>4.3478260869565216E-2</c:v>
                </c:pt>
                <c:pt idx="47">
                  <c:v>4.2553191489361701E-2</c:v>
                </c:pt>
                <c:pt idx="48">
                  <c:v>4.1666666666666664E-2</c:v>
                </c:pt>
                <c:pt idx="49">
                  <c:v>4.0816326530612242E-2</c:v>
                </c:pt>
                <c:pt idx="50">
                  <c:v>0.04</c:v>
                </c:pt>
                <c:pt idx="51">
                  <c:v>3.9215686274509803E-2</c:v>
                </c:pt>
                <c:pt idx="52">
                  <c:v>3.8461538461538464E-2</c:v>
                </c:pt>
                <c:pt idx="53">
                  <c:v>3.7735849056603772E-2</c:v>
                </c:pt>
                <c:pt idx="54">
                  <c:v>3.7037037037037035E-2</c:v>
                </c:pt>
                <c:pt idx="55">
                  <c:v>3.6363636363636362E-2</c:v>
                </c:pt>
                <c:pt idx="56">
                  <c:v>3.5714285714285712E-2</c:v>
                </c:pt>
                <c:pt idx="57">
                  <c:v>3.5087719298245612E-2</c:v>
                </c:pt>
                <c:pt idx="58">
                  <c:v>3.4482758620689655E-2</c:v>
                </c:pt>
                <c:pt idx="59">
                  <c:v>3.3898305084745763E-2</c:v>
                </c:pt>
                <c:pt idx="60">
                  <c:v>3.3333333333333333E-2</c:v>
                </c:pt>
                <c:pt idx="61">
                  <c:v>3.2786885245901641E-2</c:v>
                </c:pt>
                <c:pt idx="62">
                  <c:v>3.2258064516129031E-2</c:v>
                </c:pt>
                <c:pt idx="63">
                  <c:v>3.1746031746031744E-2</c:v>
                </c:pt>
                <c:pt idx="64">
                  <c:v>3.125E-2</c:v>
                </c:pt>
                <c:pt idx="65">
                  <c:v>3.0769230769230771E-2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23809523809523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りくと2!$M$3:$M$68</c:f>
              <c:numCache>
                <c:formatCode>0.0%</c:formatCode>
                <c:ptCount val="66"/>
                <c:pt idx="1">
                  <c:v>0.27272727272727271</c:v>
                </c:pt>
                <c:pt idx="2">
                  <c:v>0.26315789473684209</c:v>
                </c:pt>
                <c:pt idx="3">
                  <c:v>0.26666666666666666</c:v>
                </c:pt>
                <c:pt idx="4">
                  <c:v>0.25641025641025639</c:v>
                </c:pt>
                <c:pt idx="5">
                  <c:v>0.26530612244897961</c:v>
                </c:pt>
                <c:pt idx="6">
                  <c:v>0.2807017543859649</c:v>
                </c:pt>
                <c:pt idx="7">
                  <c:v>0.26865671641791045</c:v>
                </c:pt>
                <c:pt idx="8">
                  <c:v>0.25</c:v>
                </c:pt>
                <c:pt idx="9">
                  <c:v>0.24705882352941178</c:v>
                </c:pt>
                <c:pt idx="10">
                  <c:v>0.23958333333333334</c:v>
                </c:pt>
                <c:pt idx="11">
                  <c:v>0.24</c:v>
                </c:pt>
                <c:pt idx="12">
                  <c:v>0.24545454545454545</c:v>
                </c:pt>
                <c:pt idx="13">
                  <c:v>0.26050420168067229</c:v>
                </c:pt>
                <c:pt idx="14">
                  <c:v>0.25</c:v>
                </c:pt>
                <c:pt idx="15">
                  <c:v>0.25362318840579712</c:v>
                </c:pt>
                <c:pt idx="16">
                  <c:v>0.25333333333333335</c:v>
                </c:pt>
                <c:pt idx="17">
                  <c:v>0.24203821656050956</c:v>
                </c:pt>
                <c:pt idx="18">
                  <c:v>0.25149700598802394</c:v>
                </c:pt>
                <c:pt idx="19">
                  <c:v>0.24858757062146894</c:v>
                </c:pt>
                <c:pt idx="20">
                  <c:v>0.24861878453038674</c:v>
                </c:pt>
                <c:pt idx="21">
                  <c:v>0.25133689839572193</c:v>
                </c:pt>
                <c:pt idx="22">
                  <c:v>0.24615384615384617</c:v>
                </c:pt>
                <c:pt idx="23">
                  <c:v>0.25247524752475248</c:v>
                </c:pt>
                <c:pt idx="24">
                  <c:v>0.26666666666666666</c:v>
                </c:pt>
                <c:pt idx="25">
                  <c:v>0.28440366972477066</c:v>
                </c:pt>
                <c:pt idx="26">
                  <c:v>0.28000000000000003</c:v>
                </c:pt>
                <c:pt idx="27">
                  <c:v>0.27896995708154504</c:v>
                </c:pt>
                <c:pt idx="28">
                  <c:v>0.27800829875518673</c:v>
                </c:pt>
                <c:pt idx="29">
                  <c:v>0.27822580645161288</c:v>
                </c:pt>
                <c:pt idx="30">
                  <c:v>0.28125</c:v>
                </c:pt>
                <c:pt idx="31">
                  <c:v>0.2808988764044944</c:v>
                </c:pt>
                <c:pt idx="32">
                  <c:v>0.27536231884057971</c:v>
                </c:pt>
                <c:pt idx="33">
                  <c:v>0.28521126760563381</c:v>
                </c:pt>
                <c:pt idx="34">
                  <c:v>0.28135593220338984</c:v>
                </c:pt>
                <c:pt idx="35">
                  <c:v>0.27814569536423839</c:v>
                </c:pt>
                <c:pt idx="36">
                  <c:v>0.28387096774193549</c:v>
                </c:pt>
                <c:pt idx="37">
                  <c:v>0.28253968253968254</c:v>
                </c:pt>
                <c:pt idx="38">
                  <c:v>0.28963414634146339</c:v>
                </c:pt>
                <c:pt idx="39">
                  <c:v>0.29289940828402367</c:v>
                </c:pt>
                <c:pt idx="40">
                  <c:v>0.29142857142857143</c:v>
                </c:pt>
                <c:pt idx="41">
                  <c:v>0.29329608938547486</c:v>
                </c:pt>
                <c:pt idx="42">
                  <c:v>0.29234972677595628</c:v>
                </c:pt>
                <c:pt idx="43">
                  <c:v>0.28799999999999998</c:v>
                </c:pt>
                <c:pt idx="44">
                  <c:v>0.28720626631853785</c:v>
                </c:pt>
                <c:pt idx="45">
                  <c:v>0.2879177377892031</c:v>
                </c:pt>
                <c:pt idx="46">
                  <c:v>0.28607594936708863</c:v>
                </c:pt>
                <c:pt idx="47">
                  <c:v>0.28678304239401498</c:v>
                </c:pt>
                <c:pt idx="48">
                  <c:v>0.29126213592233008</c:v>
                </c:pt>
                <c:pt idx="49">
                  <c:v>0.28672985781990523</c:v>
                </c:pt>
                <c:pt idx="50">
                  <c:v>0.28504672897196259</c:v>
                </c:pt>
                <c:pt idx="51">
                  <c:v>0.28275862068965518</c:v>
                </c:pt>
                <c:pt idx="52">
                  <c:v>0.28411633109619688</c:v>
                </c:pt>
                <c:pt idx="53">
                  <c:v>0.28351648351648351</c:v>
                </c:pt>
                <c:pt idx="54">
                  <c:v>0.28104575163398693</c:v>
                </c:pt>
                <c:pt idx="55">
                  <c:v>0.28387096774193549</c:v>
                </c:pt>
                <c:pt idx="56">
                  <c:v>0.2848101265822785</c:v>
                </c:pt>
                <c:pt idx="57">
                  <c:v>0.28541666666666665</c:v>
                </c:pt>
                <c:pt idx="58">
                  <c:v>0.28834355828220859</c:v>
                </c:pt>
                <c:pt idx="59">
                  <c:v>0.28629032258064518</c:v>
                </c:pt>
                <c:pt idx="60">
                  <c:v>0.28286852589641437</c:v>
                </c:pt>
                <c:pt idx="61">
                  <c:v>0.28488372093023256</c:v>
                </c:pt>
                <c:pt idx="62">
                  <c:v>0.28516377649325625</c:v>
                </c:pt>
                <c:pt idx="63">
                  <c:v>0.29166666666666669</c:v>
                </c:pt>
                <c:pt idx="64">
                  <c:v>0.28782287822878228</c:v>
                </c:pt>
                <c:pt idx="65">
                  <c:v>0.2867513611615245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274186734262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りくと2!$N$3:$N$68</c:f>
              <c:numCache>
                <c:formatCode>0.0%</c:formatCode>
                <c:ptCount val="66"/>
                <c:pt idx="1">
                  <c:v>0</c:v>
                </c:pt>
                <c:pt idx="2">
                  <c:v>0.26315789473684209</c:v>
                </c:pt>
                <c:pt idx="3">
                  <c:v>0.23333333333333334</c:v>
                </c:pt>
                <c:pt idx="4">
                  <c:v>0.23076923076923078</c:v>
                </c:pt>
                <c:pt idx="5">
                  <c:v>0.20408163265306123</c:v>
                </c:pt>
                <c:pt idx="6">
                  <c:v>0.21052631578947367</c:v>
                </c:pt>
                <c:pt idx="7">
                  <c:v>0.19402985074626866</c:v>
                </c:pt>
                <c:pt idx="8">
                  <c:v>0.19736842105263158</c:v>
                </c:pt>
                <c:pt idx="9">
                  <c:v>0.17647058823529413</c:v>
                </c:pt>
                <c:pt idx="10">
                  <c:v>0.15625</c:v>
                </c:pt>
                <c:pt idx="11">
                  <c:v>0.15</c:v>
                </c:pt>
                <c:pt idx="12">
                  <c:v>0.15454545454545454</c:v>
                </c:pt>
                <c:pt idx="13">
                  <c:v>0.15966386554621848</c:v>
                </c:pt>
                <c:pt idx="14">
                  <c:v>0.171875</c:v>
                </c:pt>
                <c:pt idx="15">
                  <c:v>0.18840579710144928</c:v>
                </c:pt>
                <c:pt idx="16">
                  <c:v>0.19333333333333333</c:v>
                </c:pt>
                <c:pt idx="17">
                  <c:v>0.18471337579617833</c:v>
                </c:pt>
                <c:pt idx="18">
                  <c:v>0.19161676646706588</c:v>
                </c:pt>
                <c:pt idx="19">
                  <c:v>0.19774011299435029</c:v>
                </c:pt>
                <c:pt idx="20">
                  <c:v>0.20441988950276244</c:v>
                </c:pt>
                <c:pt idx="21">
                  <c:v>0.20855614973262032</c:v>
                </c:pt>
                <c:pt idx="22">
                  <c:v>0.2</c:v>
                </c:pt>
                <c:pt idx="23">
                  <c:v>0.19801980198019803</c:v>
                </c:pt>
                <c:pt idx="24">
                  <c:v>0.19047619047619047</c:v>
                </c:pt>
                <c:pt idx="25">
                  <c:v>0.18807339449541285</c:v>
                </c:pt>
                <c:pt idx="26">
                  <c:v>0.18666666666666668</c:v>
                </c:pt>
                <c:pt idx="27">
                  <c:v>0.19313304721030042</c:v>
                </c:pt>
                <c:pt idx="28">
                  <c:v>0.18672199170124482</c:v>
                </c:pt>
                <c:pt idx="29">
                  <c:v>0.18145161290322581</c:v>
                </c:pt>
                <c:pt idx="30">
                  <c:v>0.1796875</c:v>
                </c:pt>
                <c:pt idx="31">
                  <c:v>0.1797752808988764</c:v>
                </c:pt>
                <c:pt idx="32">
                  <c:v>0.18115942028985507</c:v>
                </c:pt>
                <c:pt idx="33">
                  <c:v>0.176056338028169</c:v>
                </c:pt>
                <c:pt idx="34">
                  <c:v>0.17627118644067796</c:v>
                </c:pt>
                <c:pt idx="35">
                  <c:v>0.17218543046357615</c:v>
                </c:pt>
                <c:pt idx="36">
                  <c:v>0.17419354838709677</c:v>
                </c:pt>
                <c:pt idx="37">
                  <c:v>0.17142857142857143</c:v>
                </c:pt>
                <c:pt idx="38">
                  <c:v>0.1676829268292683</c:v>
                </c:pt>
                <c:pt idx="39">
                  <c:v>0.16568047337278108</c:v>
                </c:pt>
                <c:pt idx="40">
                  <c:v>0.16857142857142857</c:v>
                </c:pt>
                <c:pt idx="41">
                  <c:v>0.16480446927374301</c:v>
                </c:pt>
                <c:pt idx="42">
                  <c:v>0.16939890710382513</c:v>
                </c:pt>
                <c:pt idx="43">
                  <c:v>0.17599999999999999</c:v>
                </c:pt>
                <c:pt idx="44">
                  <c:v>0.18015665796344649</c:v>
                </c:pt>
                <c:pt idx="45">
                  <c:v>0.18508997429305912</c:v>
                </c:pt>
                <c:pt idx="46">
                  <c:v>0.18734177215189873</c:v>
                </c:pt>
                <c:pt idx="47">
                  <c:v>0.18703241895261846</c:v>
                </c:pt>
                <c:pt idx="48">
                  <c:v>0.18446601941747573</c:v>
                </c:pt>
                <c:pt idx="49">
                  <c:v>0.1872037914691943</c:v>
                </c:pt>
                <c:pt idx="50">
                  <c:v>0.18457943925233644</c:v>
                </c:pt>
                <c:pt idx="51">
                  <c:v>0.18390804597701149</c:v>
                </c:pt>
                <c:pt idx="52">
                  <c:v>0.18568232662192394</c:v>
                </c:pt>
                <c:pt idx="53">
                  <c:v>0.18461538461538463</c:v>
                </c:pt>
                <c:pt idx="54">
                  <c:v>0.18300653594771241</c:v>
                </c:pt>
                <c:pt idx="55">
                  <c:v>0.18494623655913978</c:v>
                </c:pt>
                <c:pt idx="56">
                  <c:v>0.18354430379746836</c:v>
                </c:pt>
                <c:pt idx="57">
                  <c:v>0.18333333333333332</c:v>
                </c:pt>
                <c:pt idx="58">
                  <c:v>0.18404907975460122</c:v>
                </c:pt>
                <c:pt idx="59">
                  <c:v>0.1875</c:v>
                </c:pt>
                <c:pt idx="60">
                  <c:v>0.18725099601593626</c:v>
                </c:pt>
                <c:pt idx="61">
                  <c:v>0.18992248062015504</c:v>
                </c:pt>
                <c:pt idx="62">
                  <c:v>0.18882466281310212</c:v>
                </c:pt>
                <c:pt idx="63">
                  <c:v>0.1875</c:v>
                </c:pt>
                <c:pt idx="64">
                  <c:v>0.18819188191881919</c:v>
                </c:pt>
                <c:pt idx="65">
                  <c:v>0.19237749546279492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8136882129277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りくと2!$O$3:$O$68</c:f>
              <c:numCache>
                <c:formatCode>0.0%</c:formatCode>
                <c:ptCount val="66"/>
                <c:pt idx="1">
                  <c:v>0</c:v>
                </c:pt>
                <c:pt idx="2">
                  <c:v>0.4</c:v>
                </c:pt>
                <c:pt idx="3">
                  <c:v>0.625</c:v>
                </c:pt>
                <c:pt idx="4">
                  <c:v>0.7</c:v>
                </c:pt>
                <c:pt idx="5">
                  <c:v>0.69230769230769229</c:v>
                </c:pt>
                <c:pt idx="6">
                  <c:v>0.625</c:v>
                </c:pt>
                <c:pt idx="7">
                  <c:v>0.66666666666666663</c:v>
                </c:pt>
                <c:pt idx="8">
                  <c:v>0.63157894736842102</c:v>
                </c:pt>
                <c:pt idx="9">
                  <c:v>0.61904761904761907</c:v>
                </c:pt>
                <c:pt idx="10">
                  <c:v>0.56521739130434778</c:v>
                </c:pt>
                <c:pt idx="11">
                  <c:v>0.54166666666666663</c:v>
                </c:pt>
                <c:pt idx="12">
                  <c:v>0.59259259259259256</c:v>
                </c:pt>
                <c:pt idx="13">
                  <c:v>0.58064516129032262</c:v>
                </c:pt>
                <c:pt idx="14">
                  <c:v>0.59375</c:v>
                </c:pt>
                <c:pt idx="15">
                  <c:v>0.6</c:v>
                </c:pt>
                <c:pt idx="16">
                  <c:v>0.60526315789473684</c:v>
                </c:pt>
                <c:pt idx="17">
                  <c:v>0.60526315789473684</c:v>
                </c:pt>
                <c:pt idx="18">
                  <c:v>0.59523809523809523</c:v>
                </c:pt>
                <c:pt idx="19">
                  <c:v>0.59090909090909094</c:v>
                </c:pt>
                <c:pt idx="20">
                  <c:v>0.6</c:v>
                </c:pt>
                <c:pt idx="21">
                  <c:v>0.61702127659574468</c:v>
                </c:pt>
                <c:pt idx="22">
                  <c:v>0.625</c:v>
                </c:pt>
                <c:pt idx="23">
                  <c:v>0.6470588235294118</c:v>
                </c:pt>
                <c:pt idx="24">
                  <c:v>0.6071428571428571</c:v>
                </c:pt>
                <c:pt idx="25">
                  <c:v>0.58064516129032262</c:v>
                </c:pt>
                <c:pt idx="26">
                  <c:v>0.5714285714285714</c:v>
                </c:pt>
                <c:pt idx="27">
                  <c:v>0.56923076923076921</c:v>
                </c:pt>
                <c:pt idx="28">
                  <c:v>0.58208955223880599</c:v>
                </c:pt>
                <c:pt idx="29">
                  <c:v>0.59420289855072461</c:v>
                </c:pt>
                <c:pt idx="30">
                  <c:v>0.58333333333333337</c:v>
                </c:pt>
                <c:pt idx="31">
                  <c:v>0.58666666666666667</c:v>
                </c:pt>
                <c:pt idx="32">
                  <c:v>0.57894736842105265</c:v>
                </c:pt>
                <c:pt idx="33">
                  <c:v>0.58024691358024694</c:v>
                </c:pt>
                <c:pt idx="34">
                  <c:v>0.59036144578313254</c:v>
                </c:pt>
                <c:pt idx="35">
                  <c:v>0.59523809523809523</c:v>
                </c:pt>
                <c:pt idx="36">
                  <c:v>0.59090909090909094</c:v>
                </c:pt>
                <c:pt idx="37">
                  <c:v>0.5955056179775281</c:v>
                </c:pt>
                <c:pt idx="38">
                  <c:v>0.58947368421052626</c:v>
                </c:pt>
                <c:pt idx="39">
                  <c:v>0.58585858585858586</c:v>
                </c:pt>
                <c:pt idx="40">
                  <c:v>0.59803921568627449</c:v>
                </c:pt>
                <c:pt idx="41">
                  <c:v>0.6</c:v>
                </c:pt>
                <c:pt idx="42">
                  <c:v>0.60747663551401865</c:v>
                </c:pt>
                <c:pt idx="43">
                  <c:v>0.60185185185185186</c:v>
                </c:pt>
                <c:pt idx="44">
                  <c:v>0.59090909090909094</c:v>
                </c:pt>
                <c:pt idx="45">
                  <c:v>0.5892857142857143</c:v>
                </c:pt>
                <c:pt idx="46">
                  <c:v>0.59292035398230092</c:v>
                </c:pt>
                <c:pt idx="47">
                  <c:v>0.6</c:v>
                </c:pt>
                <c:pt idx="48">
                  <c:v>0.6</c:v>
                </c:pt>
                <c:pt idx="49">
                  <c:v>0.60330578512396693</c:v>
                </c:pt>
                <c:pt idx="50">
                  <c:v>0.60655737704918034</c:v>
                </c:pt>
                <c:pt idx="51">
                  <c:v>0.60162601626016265</c:v>
                </c:pt>
                <c:pt idx="52">
                  <c:v>0.59055118110236215</c:v>
                </c:pt>
                <c:pt idx="53">
                  <c:v>0.5968992248062015</c:v>
                </c:pt>
                <c:pt idx="54">
                  <c:v>0.5968992248062015</c:v>
                </c:pt>
                <c:pt idx="55">
                  <c:v>0.60606060606060608</c:v>
                </c:pt>
                <c:pt idx="56">
                  <c:v>0.6074074074074074</c:v>
                </c:pt>
                <c:pt idx="57">
                  <c:v>0.61313868613138689</c:v>
                </c:pt>
                <c:pt idx="58">
                  <c:v>0.6028368794326241</c:v>
                </c:pt>
                <c:pt idx="59">
                  <c:v>0.59859154929577463</c:v>
                </c:pt>
                <c:pt idx="60">
                  <c:v>0.59859154929577463</c:v>
                </c:pt>
                <c:pt idx="61">
                  <c:v>0.59183673469387754</c:v>
                </c:pt>
                <c:pt idx="62">
                  <c:v>0.58783783783783783</c:v>
                </c:pt>
                <c:pt idx="63">
                  <c:v>0.58441558441558439</c:v>
                </c:pt>
                <c:pt idx="64">
                  <c:v>0.58333333333333337</c:v>
                </c:pt>
                <c:pt idx="65">
                  <c:v>0.58227848101265822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1301084236864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りくと2!$P$3:$P$68</c:f>
              <c:numCache>
                <c:formatCode>0.0%</c:formatCode>
                <c:ptCount val="66"/>
                <c:pt idx="1">
                  <c:v>0</c:v>
                </c:pt>
                <c:pt idx="2">
                  <c:v>0.2</c:v>
                </c:pt>
                <c:pt idx="3">
                  <c:v>0.14285714285714285</c:v>
                </c:pt>
                <c:pt idx="4">
                  <c:v>0.1111111111111111</c:v>
                </c:pt>
                <c:pt idx="5">
                  <c:v>0.2</c:v>
                </c:pt>
                <c:pt idx="6">
                  <c:v>0.25</c:v>
                </c:pt>
                <c:pt idx="7">
                  <c:v>0.23076923076923078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0.17647058823529413</c:v>
                </c:pt>
                <c:pt idx="13">
                  <c:v>0.15789473684210525</c:v>
                </c:pt>
                <c:pt idx="14">
                  <c:v>0.22727272727272727</c:v>
                </c:pt>
                <c:pt idx="15">
                  <c:v>0.26923076923076922</c:v>
                </c:pt>
                <c:pt idx="16">
                  <c:v>0.31034482758620691</c:v>
                </c:pt>
                <c:pt idx="17">
                  <c:v>0.31034482758620691</c:v>
                </c:pt>
                <c:pt idx="18">
                  <c:v>0.34375</c:v>
                </c:pt>
                <c:pt idx="19">
                  <c:v>0.4</c:v>
                </c:pt>
                <c:pt idx="20">
                  <c:v>0.40540540540540543</c:v>
                </c:pt>
                <c:pt idx="21">
                  <c:v>0.4358974358974359</c:v>
                </c:pt>
                <c:pt idx="22">
                  <c:v>0.4358974358974359</c:v>
                </c:pt>
                <c:pt idx="23">
                  <c:v>0.42499999999999999</c:v>
                </c:pt>
                <c:pt idx="24">
                  <c:v>0.42499999999999999</c:v>
                </c:pt>
                <c:pt idx="25">
                  <c:v>0.41463414634146339</c:v>
                </c:pt>
                <c:pt idx="26">
                  <c:v>0.40476190476190477</c:v>
                </c:pt>
                <c:pt idx="27">
                  <c:v>0.42222222222222222</c:v>
                </c:pt>
                <c:pt idx="28">
                  <c:v>0.42222222222222222</c:v>
                </c:pt>
                <c:pt idx="29">
                  <c:v>0.42222222222222222</c:v>
                </c:pt>
                <c:pt idx="30">
                  <c:v>0.43478260869565216</c:v>
                </c:pt>
                <c:pt idx="31">
                  <c:v>0.4375</c:v>
                </c:pt>
                <c:pt idx="32">
                  <c:v>0.44</c:v>
                </c:pt>
                <c:pt idx="33">
                  <c:v>0.44</c:v>
                </c:pt>
                <c:pt idx="34">
                  <c:v>0.42307692307692307</c:v>
                </c:pt>
                <c:pt idx="35">
                  <c:v>0.42307692307692307</c:v>
                </c:pt>
                <c:pt idx="36">
                  <c:v>0.40740740740740738</c:v>
                </c:pt>
                <c:pt idx="37">
                  <c:v>0.40740740740740738</c:v>
                </c:pt>
                <c:pt idx="38">
                  <c:v>0.4</c:v>
                </c:pt>
                <c:pt idx="39">
                  <c:v>0.4107142857142857</c:v>
                </c:pt>
                <c:pt idx="40">
                  <c:v>0.42372881355932202</c:v>
                </c:pt>
                <c:pt idx="41">
                  <c:v>0.42372881355932202</c:v>
                </c:pt>
                <c:pt idx="42">
                  <c:v>0.40322580645161288</c:v>
                </c:pt>
                <c:pt idx="43">
                  <c:v>0.39393939393939392</c:v>
                </c:pt>
                <c:pt idx="44">
                  <c:v>0.39130434782608697</c:v>
                </c:pt>
                <c:pt idx="45">
                  <c:v>0.3888888888888889</c:v>
                </c:pt>
                <c:pt idx="46">
                  <c:v>0.39189189189189189</c:v>
                </c:pt>
                <c:pt idx="47">
                  <c:v>0.4</c:v>
                </c:pt>
                <c:pt idx="48">
                  <c:v>0.39473684210526316</c:v>
                </c:pt>
                <c:pt idx="49">
                  <c:v>0.39240506329113922</c:v>
                </c:pt>
                <c:pt idx="50">
                  <c:v>0.39240506329113922</c:v>
                </c:pt>
                <c:pt idx="51">
                  <c:v>0.38750000000000001</c:v>
                </c:pt>
                <c:pt idx="52">
                  <c:v>0.38554216867469882</c:v>
                </c:pt>
                <c:pt idx="53">
                  <c:v>0.39285714285714285</c:v>
                </c:pt>
                <c:pt idx="54">
                  <c:v>0.39285714285714285</c:v>
                </c:pt>
                <c:pt idx="55">
                  <c:v>0.39534883720930231</c:v>
                </c:pt>
                <c:pt idx="56">
                  <c:v>0.39080459770114945</c:v>
                </c:pt>
                <c:pt idx="57">
                  <c:v>0.38636363636363635</c:v>
                </c:pt>
                <c:pt idx="58">
                  <c:v>0.3888888888888889</c:v>
                </c:pt>
                <c:pt idx="59">
                  <c:v>0.38709677419354838</c:v>
                </c:pt>
                <c:pt idx="60">
                  <c:v>0.38297872340425532</c:v>
                </c:pt>
                <c:pt idx="61">
                  <c:v>0.38775510204081631</c:v>
                </c:pt>
                <c:pt idx="62">
                  <c:v>0.38775510204081631</c:v>
                </c:pt>
                <c:pt idx="63">
                  <c:v>0.38383838383838381</c:v>
                </c:pt>
                <c:pt idx="64">
                  <c:v>0.40196078431372551</c:v>
                </c:pt>
                <c:pt idx="65">
                  <c:v>0.3867924528301887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925925925925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りくと2!$Q$1:$Q$2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りくと2!$A$3:$A$68</c:f>
              <c:numCache>
                <c:formatCode>0\ "回"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りくと2!$Q$3:$Q$68</c:f>
              <c:numCache>
                <c:formatCode>0.0%</c:formatCode>
                <c:ptCount val="66"/>
                <c:pt idx="1">
                  <c:v>1</c:v>
                </c:pt>
                <c:pt idx="2">
                  <c:v>0.25</c:v>
                </c:pt>
                <c:pt idx="3">
                  <c:v>0.25</c:v>
                </c:pt>
                <c:pt idx="4">
                  <c:v>0.18181818181818182</c:v>
                </c:pt>
                <c:pt idx="5">
                  <c:v>0.26666666666666666</c:v>
                </c:pt>
                <c:pt idx="6">
                  <c:v>0.23529411764705882</c:v>
                </c:pt>
                <c:pt idx="7">
                  <c:v>0.3</c:v>
                </c:pt>
                <c:pt idx="8">
                  <c:v>0.3</c:v>
                </c:pt>
                <c:pt idx="9">
                  <c:v>0.34782608695652173</c:v>
                </c:pt>
                <c:pt idx="10">
                  <c:v>0.34782608695652173</c:v>
                </c:pt>
                <c:pt idx="11">
                  <c:v>0.34782608695652173</c:v>
                </c:pt>
                <c:pt idx="12">
                  <c:v>0.34615384615384615</c:v>
                </c:pt>
                <c:pt idx="13">
                  <c:v>0.32142857142857145</c:v>
                </c:pt>
                <c:pt idx="14">
                  <c:v>0.35483870967741937</c:v>
                </c:pt>
                <c:pt idx="15">
                  <c:v>0.37142857142857144</c:v>
                </c:pt>
                <c:pt idx="16">
                  <c:v>0.375</c:v>
                </c:pt>
                <c:pt idx="17">
                  <c:v>0.375</c:v>
                </c:pt>
                <c:pt idx="18">
                  <c:v>0.38636363636363635</c:v>
                </c:pt>
                <c:pt idx="19">
                  <c:v>0.36734693877551022</c:v>
                </c:pt>
                <c:pt idx="20">
                  <c:v>0.35294117647058826</c:v>
                </c:pt>
                <c:pt idx="21">
                  <c:v>0.34545454545454546</c:v>
                </c:pt>
                <c:pt idx="22">
                  <c:v>0.35714285714285715</c:v>
                </c:pt>
                <c:pt idx="23">
                  <c:v>0.3728813559322034</c:v>
                </c:pt>
                <c:pt idx="24">
                  <c:v>0.37096774193548387</c:v>
                </c:pt>
                <c:pt idx="25">
                  <c:v>0.375</c:v>
                </c:pt>
                <c:pt idx="26">
                  <c:v>0.375</c:v>
                </c:pt>
                <c:pt idx="27">
                  <c:v>0.38805970149253732</c:v>
                </c:pt>
                <c:pt idx="28">
                  <c:v>0.37681159420289856</c:v>
                </c:pt>
                <c:pt idx="29">
                  <c:v>0.39436619718309857</c:v>
                </c:pt>
                <c:pt idx="30">
                  <c:v>0.38356164383561642</c:v>
                </c:pt>
                <c:pt idx="31">
                  <c:v>0.38157894736842107</c:v>
                </c:pt>
                <c:pt idx="32">
                  <c:v>0.38461538461538464</c:v>
                </c:pt>
                <c:pt idx="33">
                  <c:v>0.39506172839506171</c:v>
                </c:pt>
                <c:pt idx="34">
                  <c:v>0.39285714285714285</c:v>
                </c:pt>
                <c:pt idx="35">
                  <c:v>0.4</c:v>
                </c:pt>
                <c:pt idx="36">
                  <c:v>0.41379310344827586</c:v>
                </c:pt>
                <c:pt idx="37">
                  <c:v>0.40909090909090912</c:v>
                </c:pt>
                <c:pt idx="38">
                  <c:v>0.41304347826086957</c:v>
                </c:pt>
                <c:pt idx="39">
                  <c:v>0.42105263157894735</c:v>
                </c:pt>
                <c:pt idx="40">
                  <c:v>0.42</c:v>
                </c:pt>
                <c:pt idx="41">
                  <c:v>0.42156862745098039</c:v>
                </c:pt>
                <c:pt idx="42">
                  <c:v>0.43269230769230771</c:v>
                </c:pt>
                <c:pt idx="43">
                  <c:v>0.43809523809523809</c:v>
                </c:pt>
                <c:pt idx="44">
                  <c:v>0.43396226415094341</c:v>
                </c:pt>
                <c:pt idx="45">
                  <c:v>0.42592592592592593</c:v>
                </c:pt>
                <c:pt idx="46">
                  <c:v>0.42727272727272725</c:v>
                </c:pt>
                <c:pt idx="47">
                  <c:v>0.4247787610619469</c:v>
                </c:pt>
                <c:pt idx="48">
                  <c:v>0.4358974358974359</c:v>
                </c:pt>
                <c:pt idx="49">
                  <c:v>0.43697478991596639</c:v>
                </c:pt>
                <c:pt idx="50">
                  <c:v>0.44166666666666665</c:v>
                </c:pt>
                <c:pt idx="51">
                  <c:v>0.43801652892561982</c:v>
                </c:pt>
                <c:pt idx="52">
                  <c:v>0.44354838709677419</c:v>
                </c:pt>
                <c:pt idx="53">
                  <c:v>0.44881889763779526</c:v>
                </c:pt>
                <c:pt idx="54">
                  <c:v>0.44881889763779526</c:v>
                </c:pt>
                <c:pt idx="55">
                  <c:v>0.45038167938931295</c:v>
                </c:pt>
                <c:pt idx="56">
                  <c:v>0.45864661654135336</c:v>
                </c:pt>
                <c:pt idx="57">
                  <c:v>0.47058823529411764</c:v>
                </c:pt>
                <c:pt idx="58">
                  <c:v>0.46376811594202899</c:v>
                </c:pt>
                <c:pt idx="59">
                  <c:v>0.45714285714285713</c:v>
                </c:pt>
                <c:pt idx="60">
                  <c:v>0.45714285714285713</c:v>
                </c:pt>
                <c:pt idx="61">
                  <c:v>0.4513888888888889</c:v>
                </c:pt>
                <c:pt idx="62">
                  <c:v>0.4513888888888889</c:v>
                </c:pt>
                <c:pt idx="63">
                  <c:v>0.45270270270270269</c:v>
                </c:pt>
                <c:pt idx="64">
                  <c:v>0.46052631578947367</c:v>
                </c:pt>
                <c:pt idx="65">
                  <c:v>0.45751633986928103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1764705882352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55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9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9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9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9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9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9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9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9" x14ac:dyDescent="0.4">
      <c r="A41" s="28" t="s">
        <v>232</v>
      </c>
      <c r="B41" s="29">
        <v>43766.037835648145</v>
      </c>
      <c r="C41" s="28" t="s">
        <v>128</v>
      </c>
    </row>
    <row r="42" spans="1:9" x14ac:dyDescent="0.4">
      <c r="A42" s="28" t="s">
        <v>233</v>
      </c>
      <c r="B42" s="29">
        <v>43766.89675925926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9" x14ac:dyDescent="0.4">
      <c r="A43" s="28" t="s">
        <v>234</v>
      </c>
      <c r="B43" s="29">
        <v>43768.005439814813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9" x14ac:dyDescent="0.4">
      <c r="A44" s="28" t="s">
        <v>235</v>
      </c>
      <c r="B44" s="29">
        <v>43768.983483796299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9" x14ac:dyDescent="0.4">
      <c r="A45" s="28" t="s">
        <v>236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238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237</v>
      </c>
      <c r="B47" s="29">
        <v>43770.815983796296</v>
      </c>
      <c r="C47" s="28" t="s">
        <v>128</v>
      </c>
    </row>
    <row r="48" spans="1:9" x14ac:dyDescent="0.4">
      <c r="A48" s="28" t="s">
        <v>239</v>
      </c>
      <c r="B48" s="29">
        <v>43771.741539351853</v>
      </c>
      <c r="C48" s="28" t="s">
        <v>128</v>
      </c>
      <c r="D48" s="28" t="s">
        <v>129</v>
      </c>
      <c r="E48" s="28" t="s">
        <v>184</v>
      </c>
      <c r="F48" s="28" t="s">
        <v>185</v>
      </c>
      <c r="G48" s="28" t="s">
        <v>186</v>
      </c>
      <c r="H48" s="28" t="s">
        <v>187</v>
      </c>
      <c r="I48" s="28" t="s">
        <v>190</v>
      </c>
    </row>
    <row r="49" spans="1:7" x14ac:dyDescent="0.4">
      <c r="A49" s="28" t="s">
        <v>240</v>
      </c>
      <c r="B49" s="29">
        <v>43772.854699074072</v>
      </c>
      <c r="C49" s="28" t="s">
        <v>128</v>
      </c>
      <c r="D49" s="28" t="s">
        <v>129</v>
      </c>
    </row>
    <row r="50" spans="1:7" x14ac:dyDescent="0.4">
      <c r="A50" s="28" t="s">
        <v>241</v>
      </c>
      <c r="B50" s="29">
        <v>43773.722453703704</v>
      </c>
      <c r="C50" s="28" t="s">
        <v>128</v>
      </c>
    </row>
    <row r="51" spans="1:7" x14ac:dyDescent="0.4">
      <c r="A51" s="28" t="s">
        <v>242</v>
      </c>
      <c r="B51" s="29">
        <v>43780.866018518522</v>
      </c>
      <c r="C51" s="28" t="s">
        <v>128</v>
      </c>
      <c r="D51" s="28" t="s">
        <v>129</v>
      </c>
      <c r="E51" s="28" t="s">
        <v>184</v>
      </c>
      <c r="F51" s="28" t="s">
        <v>185</v>
      </c>
      <c r="G51" s="28" t="s">
        <v>186</v>
      </c>
    </row>
    <row r="52" spans="1:7" x14ac:dyDescent="0.4">
      <c r="A52" s="28" t="s">
        <v>243</v>
      </c>
      <c r="B52" s="29">
        <v>43781.02715277778</v>
      </c>
      <c r="C52" s="28" t="s">
        <v>128</v>
      </c>
      <c r="D52" s="28" t="s">
        <v>129</v>
      </c>
    </row>
    <row r="53" spans="1:7" x14ac:dyDescent="0.4">
      <c r="A53" s="28" t="s">
        <v>244</v>
      </c>
      <c r="B53" s="29">
        <v>43781.637499999997</v>
      </c>
      <c r="C53" s="28" t="s">
        <v>128</v>
      </c>
    </row>
    <row r="54" spans="1:7" x14ac:dyDescent="0.4">
      <c r="A54" s="28" t="s">
        <v>245</v>
      </c>
      <c r="B54" s="29">
        <v>43782.018078703702</v>
      </c>
      <c r="C54" s="28" t="s">
        <v>128</v>
      </c>
      <c r="D54" s="28" t="s">
        <v>129</v>
      </c>
    </row>
    <row r="55" spans="1:7" x14ac:dyDescent="0.4">
      <c r="A55" s="28" t="s">
        <v>246</v>
      </c>
      <c r="B55" s="29">
        <v>43782.830752314818</v>
      </c>
      <c r="C55" s="28" t="s">
        <v>128</v>
      </c>
      <c r="D55" s="28" t="s">
        <v>129</v>
      </c>
      <c r="E55" s="28" t="s">
        <v>184</v>
      </c>
      <c r="F55" s="28" t="s">
        <v>185</v>
      </c>
      <c r="G55" s="28" t="s">
        <v>186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567</v>
      </c>
    </row>
    <row r="2" spans="1:2" x14ac:dyDescent="0.4">
      <c r="A2" t="s">
        <v>166</v>
      </c>
      <c r="B2">
        <v>51</v>
      </c>
    </row>
    <row r="3" spans="1:2" x14ac:dyDescent="0.4">
      <c r="A3" t="s">
        <v>126</v>
      </c>
      <c r="B3">
        <v>120</v>
      </c>
    </row>
    <row r="4" spans="1:2" x14ac:dyDescent="0.4">
      <c r="A4" t="s">
        <v>127</v>
      </c>
      <c r="B4">
        <v>105</v>
      </c>
    </row>
    <row r="5" spans="1:2" x14ac:dyDescent="0.4">
      <c r="A5" t="s">
        <v>179</v>
      </c>
      <c r="B5">
        <v>65</v>
      </c>
    </row>
    <row r="6" spans="1:2" x14ac:dyDescent="0.4">
      <c r="A6" t="s">
        <v>177</v>
      </c>
      <c r="B6">
        <v>65</v>
      </c>
    </row>
    <row r="7" spans="1:2" x14ac:dyDescent="0.4">
      <c r="A7" t="s">
        <v>178</v>
      </c>
      <c r="B7">
        <v>92</v>
      </c>
    </row>
    <row r="8" spans="1:2" x14ac:dyDescent="0.4">
      <c r="A8" t="s">
        <v>182</v>
      </c>
      <c r="B8">
        <v>37</v>
      </c>
    </row>
    <row r="9" spans="1:2" x14ac:dyDescent="0.4">
      <c r="A9" t="s">
        <v>181</v>
      </c>
      <c r="B9">
        <v>23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6" t="s">
        <v>6</v>
      </c>
      <c r="C1" s="157"/>
      <c r="D1" s="156" t="s">
        <v>7</v>
      </c>
      <c r="E1" s="157"/>
      <c r="F1" s="156" t="s">
        <v>15</v>
      </c>
      <c r="G1" s="157"/>
      <c r="H1" s="156" t="s">
        <v>14</v>
      </c>
      <c r="I1" s="157"/>
      <c r="J1" s="156" t="s">
        <v>160</v>
      </c>
      <c r="K1" s="157"/>
      <c r="L1" s="156" t="s">
        <v>147</v>
      </c>
      <c r="M1" s="157"/>
      <c r="N1" s="156" t="s">
        <v>148</v>
      </c>
      <c r="O1" s="157"/>
      <c r="P1" s="156" t="s">
        <v>5</v>
      </c>
      <c r="Q1" s="157"/>
      <c r="R1" s="156" t="s">
        <v>16</v>
      </c>
      <c r="S1" s="157"/>
      <c r="T1" s="156" t="s">
        <v>17</v>
      </c>
      <c r="U1" s="157"/>
      <c r="V1" s="156" t="s">
        <v>139</v>
      </c>
      <c r="W1" s="157"/>
      <c r="X1" s="156" t="s">
        <v>122</v>
      </c>
      <c r="Y1" s="157"/>
      <c r="Z1" s="156" t="s">
        <v>119</v>
      </c>
      <c r="AA1" s="157"/>
      <c r="AB1" s="156" t="s">
        <v>125</v>
      </c>
      <c r="AC1" s="157"/>
      <c r="AD1" s="156" t="s">
        <v>149</v>
      </c>
      <c r="AE1" s="157"/>
      <c r="AF1" s="156" t="s">
        <v>142</v>
      </c>
      <c r="AG1" s="157"/>
      <c r="AH1" s="156" t="s">
        <v>151</v>
      </c>
      <c r="AI1" s="157"/>
    </row>
    <row r="2" spans="1:35" x14ac:dyDescent="0.4">
      <c r="A2" s="68" t="s">
        <v>159</v>
      </c>
      <c r="B2" s="158"/>
      <c r="C2" s="159"/>
      <c r="D2" s="158"/>
      <c r="E2" s="159"/>
      <c r="F2" s="160">
        <v>0.99299330543404529</v>
      </c>
      <c r="G2" s="161"/>
      <c r="H2" s="160">
        <v>0.90081135612787033</v>
      </c>
      <c r="I2" s="161"/>
      <c r="J2" s="160">
        <v>0.92255383182013861</v>
      </c>
      <c r="K2" s="161"/>
      <c r="L2" s="160">
        <v>0.86790703889292808</v>
      </c>
      <c r="M2" s="161"/>
      <c r="N2" s="160">
        <v>0.62823092930037228</v>
      </c>
      <c r="O2" s="161"/>
      <c r="P2" s="160">
        <v>0.55726812215766042</v>
      </c>
      <c r="Q2" s="161"/>
      <c r="R2" s="160">
        <v>-0.16616046934630796</v>
      </c>
      <c r="S2" s="161"/>
      <c r="T2" s="160">
        <v>0.54284844803747945</v>
      </c>
      <c r="U2" s="161"/>
      <c r="V2" s="160">
        <v>0.8495184402080298</v>
      </c>
      <c r="W2" s="161"/>
      <c r="X2" s="160">
        <v>0.5977940528909923</v>
      </c>
      <c r="Y2" s="161"/>
      <c r="Z2" s="160">
        <v>-0.14443160249706427</v>
      </c>
      <c r="AA2" s="161"/>
      <c r="AB2" s="160">
        <v>0.3922668280737211</v>
      </c>
      <c r="AC2" s="161"/>
      <c r="AD2" s="160">
        <v>0.53098850622434091</v>
      </c>
      <c r="AE2" s="161"/>
      <c r="AF2" s="160">
        <v>-6.2872748555688709E-2</v>
      </c>
      <c r="AG2" s="161"/>
      <c r="AH2" s="160">
        <v>0.74816607911480659</v>
      </c>
      <c r="AI2" s="161"/>
    </row>
    <row r="3" spans="1:35" x14ac:dyDescent="0.4">
      <c r="A3" s="70">
        <v>1</v>
      </c>
      <c r="B3" s="71" t="s">
        <v>126</v>
      </c>
      <c r="C3" s="72">
        <v>1070.7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10343.225806451614</v>
      </c>
      <c r="R3" s="73" t="s">
        <v>166</v>
      </c>
      <c r="S3" s="77">
        <v>-6974.2857142857147</v>
      </c>
      <c r="T3" s="73" t="s">
        <v>222</v>
      </c>
      <c r="U3" s="75">
        <v>0</v>
      </c>
      <c r="V3" s="73" t="s">
        <v>177</v>
      </c>
      <c r="W3" s="75">
        <v>0.18461538461538463</v>
      </c>
      <c r="X3" s="73" t="s">
        <v>177</v>
      </c>
      <c r="Y3" s="76">
        <v>0.31826741996233521</v>
      </c>
      <c r="Z3" s="73" t="s">
        <v>195</v>
      </c>
      <c r="AA3" s="76">
        <v>0.35483870967741937</v>
      </c>
      <c r="AB3" s="73" t="s">
        <v>126</v>
      </c>
      <c r="AC3" s="76">
        <v>0.59848484848484851</v>
      </c>
      <c r="AD3" s="73" t="s">
        <v>222</v>
      </c>
      <c r="AE3" s="76">
        <v>1</v>
      </c>
      <c r="AF3" s="73" t="s">
        <v>181</v>
      </c>
      <c r="AG3" s="76">
        <v>0.55737704918032782</v>
      </c>
      <c r="AH3" s="73" t="s">
        <v>126</v>
      </c>
      <c r="AI3" s="87">
        <v>149100</v>
      </c>
    </row>
    <row r="4" spans="1:35" x14ac:dyDescent="0.4">
      <c r="A4" s="78">
        <v>2</v>
      </c>
      <c r="B4" s="79" t="s">
        <v>177</v>
      </c>
      <c r="C4" s="80">
        <v>333.00000000000006</v>
      </c>
      <c r="D4" s="81" t="s">
        <v>126</v>
      </c>
      <c r="E4" s="93">
        <v>8.9225000000000012</v>
      </c>
      <c r="F4" s="81" t="s">
        <v>126</v>
      </c>
      <c r="G4" s="82">
        <v>1.7833333333333334</v>
      </c>
      <c r="H4" s="81" t="s">
        <v>126</v>
      </c>
      <c r="I4" s="83">
        <v>0.45833333333333331</v>
      </c>
      <c r="J4" s="81" t="s">
        <v>126</v>
      </c>
      <c r="K4" s="83">
        <v>0.24166666666666667</v>
      </c>
      <c r="L4" s="81" t="s">
        <v>126</v>
      </c>
      <c r="M4" s="84">
        <v>0.3432682425488181</v>
      </c>
      <c r="N4" s="81" t="s">
        <v>126</v>
      </c>
      <c r="O4" s="84">
        <v>0.12949640287769784</v>
      </c>
      <c r="P4" s="81" t="s">
        <v>127</v>
      </c>
      <c r="Q4" s="85">
        <v>8553.9923954372625</v>
      </c>
      <c r="R4" s="81" t="s">
        <v>181</v>
      </c>
      <c r="S4" s="85">
        <v>-7058.8235294117649</v>
      </c>
      <c r="T4" s="81" t="s">
        <v>166</v>
      </c>
      <c r="U4" s="83">
        <v>1.9607843137254902E-2</v>
      </c>
      <c r="V4" s="81" t="s">
        <v>195</v>
      </c>
      <c r="W4" s="83">
        <v>0.14285714285714285</v>
      </c>
      <c r="X4" s="81" t="s">
        <v>179</v>
      </c>
      <c r="Y4" s="84">
        <v>0.2867513611615245</v>
      </c>
      <c r="Z4" s="81" t="s">
        <v>222</v>
      </c>
      <c r="AA4" s="84">
        <v>0.33333333333333331</v>
      </c>
      <c r="AB4" s="81" t="s">
        <v>181</v>
      </c>
      <c r="AC4" s="84">
        <v>0.59322033898305082</v>
      </c>
      <c r="AD4" s="81" t="s">
        <v>126</v>
      </c>
      <c r="AE4" s="84">
        <v>0.48837209302325579</v>
      </c>
      <c r="AF4" s="81" t="s">
        <v>182</v>
      </c>
      <c r="AG4" s="84">
        <v>0.48684210526315791</v>
      </c>
      <c r="AH4" s="81" t="s">
        <v>143</v>
      </c>
      <c r="AI4" s="88">
        <v>149100</v>
      </c>
    </row>
    <row r="5" spans="1:35" x14ac:dyDescent="0.4">
      <c r="A5" s="78">
        <v>3</v>
      </c>
      <c r="B5" s="79" t="s">
        <v>181</v>
      </c>
      <c r="C5" s="80">
        <v>27.299999999999997</v>
      </c>
      <c r="D5" s="81" t="s">
        <v>177</v>
      </c>
      <c r="E5" s="93">
        <v>5.1230769230769235</v>
      </c>
      <c r="F5" s="81" t="s">
        <v>177</v>
      </c>
      <c r="G5" s="82">
        <v>1.8923076923076922</v>
      </c>
      <c r="H5" s="81" t="s">
        <v>195</v>
      </c>
      <c r="I5" s="83">
        <v>0.42857142857142855</v>
      </c>
      <c r="J5" s="81" t="s">
        <v>178</v>
      </c>
      <c r="K5" s="83">
        <v>0.27173913043478259</v>
      </c>
      <c r="L5" s="81" t="s">
        <v>127</v>
      </c>
      <c r="M5" s="84">
        <v>0.29852440408626563</v>
      </c>
      <c r="N5" s="81" t="s">
        <v>178</v>
      </c>
      <c r="O5" s="84">
        <v>0.13469387755102041</v>
      </c>
      <c r="P5" s="81" t="s">
        <v>143</v>
      </c>
      <c r="Q5" s="85">
        <v>8447.4892395982788</v>
      </c>
      <c r="R5" s="81" t="s">
        <v>179</v>
      </c>
      <c r="S5" s="85">
        <v>-7657.0175438596489</v>
      </c>
      <c r="T5" s="81" t="s">
        <v>126</v>
      </c>
      <c r="U5" s="83">
        <v>4.1666666666666664E-2</v>
      </c>
      <c r="V5" s="81" t="s">
        <v>181</v>
      </c>
      <c r="W5" s="83">
        <v>0.13043478260869565</v>
      </c>
      <c r="X5" s="81" t="s">
        <v>126</v>
      </c>
      <c r="Y5" s="84">
        <v>0.27132579650565264</v>
      </c>
      <c r="Z5" s="81" t="s">
        <v>127</v>
      </c>
      <c r="AA5" s="84">
        <v>0.30192962542565266</v>
      </c>
      <c r="AB5" s="81" t="s">
        <v>179</v>
      </c>
      <c r="AC5" s="84">
        <v>0.58227848101265822</v>
      </c>
      <c r="AD5" s="81" t="s">
        <v>177</v>
      </c>
      <c r="AE5" s="84">
        <v>0.44210526315789472</v>
      </c>
      <c r="AF5" s="81" t="s">
        <v>177</v>
      </c>
      <c r="AG5" s="84">
        <v>0.47741935483870968</v>
      </c>
      <c r="AH5" s="81" t="s">
        <v>177</v>
      </c>
      <c r="AI5" s="88">
        <v>103600</v>
      </c>
    </row>
    <row r="6" spans="1:35" x14ac:dyDescent="0.4">
      <c r="A6" s="78">
        <v>4</v>
      </c>
      <c r="B6" s="79" t="s">
        <v>222</v>
      </c>
      <c r="C6" s="80">
        <v>26.2</v>
      </c>
      <c r="D6" s="81" t="s">
        <v>181</v>
      </c>
      <c r="E6" s="93">
        <v>1.1869565217391302</v>
      </c>
      <c r="F6" s="81" t="s">
        <v>181</v>
      </c>
      <c r="G6" s="82">
        <v>1.9565217391304348</v>
      </c>
      <c r="H6" s="81" t="s">
        <v>177</v>
      </c>
      <c r="I6" s="83">
        <v>0.41538461538461541</v>
      </c>
      <c r="J6" s="81" t="s">
        <v>177</v>
      </c>
      <c r="K6" s="83">
        <v>0.30769230769230771</v>
      </c>
      <c r="L6" s="81" t="s">
        <v>143</v>
      </c>
      <c r="M6" s="84">
        <v>0.29446556822982678</v>
      </c>
      <c r="N6" s="81" t="s">
        <v>166</v>
      </c>
      <c r="O6" s="84">
        <v>0.15250544662309368</v>
      </c>
      <c r="P6" s="81" t="s">
        <v>178</v>
      </c>
      <c r="Q6" s="85">
        <v>8431.9047619047615</v>
      </c>
      <c r="R6" s="81" t="s">
        <v>143</v>
      </c>
      <c r="S6" s="85">
        <v>-7855.1813471502592</v>
      </c>
      <c r="T6" s="81" t="s">
        <v>178</v>
      </c>
      <c r="U6" s="83">
        <v>8.6956521739130432E-2</v>
      </c>
      <c r="V6" s="81" t="s">
        <v>126</v>
      </c>
      <c r="W6" s="83">
        <v>0.125</v>
      </c>
      <c r="X6" s="81" t="s">
        <v>181</v>
      </c>
      <c r="Y6" s="84">
        <v>0.26940639269406391</v>
      </c>
      <c r="Z6" s="81" t="s">
        <v>166</v>
      </c>
      <c r="AA6" s="84">
        <v>0.22875816993464052</v>
      </c>
      <c r="AB6" s="81" t="s">
        <v>178</v>
      </c>
      <c r="AC6" s="84">
        <v>0.57653061224489799</v>
      </c>
      <c r="AD6" s="81" t="s">
        <v>178</v>
      </c>
      <c r="AE6" s="84">
        <v>0.41358024691358025</v>
      </c>
      <c r="AF6" s="81" t="s">
        <v>179</v>
      </c>
      <c r="AG6" s="84">
        <v>0.45751633986928103</v>
      </c>
      <c r="AH6" s="81" t="s">
        <v>181</v>
      </c>
      <c r="AI6" s="88">
        <v>95200</v>
      </c>
    </row>
    <row r="7" spans="1:35" x14ac:dyDescent="0.4">
      <c r="A7" s="78">
        <v>5</v>
      </c>
      <c r="B7" s="79" t="s">
        <v>143</v>
      </c>
      <c r="C7" s="80">
        <v>-3.5527136788005009E-14</v>
      </c>
      <c r="D7" s="81" t="s">
        <v>143</v>
      </c>
      <c r="E7" s="93">
        <v>-6.2658089573201071E-17</v>
      </c>
      <c r="F7" s="81" t="s">
        <v>127</v>
      </c>
      <c r="G7" s="82">
        <v>1.980952380952381</v>
      </c>
      <c r="H7" s="81" t="s">
        <v>181</v>
      </c>
      <c r="I7" s="83">
        <v>0.39130434782608697</v>
      </c>
      <c r="J7" s="81" t="s">
        <v>127</v>
      </c>
      <c r="K7" s="83">
        <v>0.32380952380952382</v>
      </c>
      <c r="L7" s="81" t="s">
        <v>177</v>
      </c>
      <c r="M7" s="84">
        <v>0.29190207156308851</v>
      </c>
      <c r="N7" s="81" t="s">
        <v>181</v>
      </c>
      <c r="O7" s="84">
        <v>0.15525114155251141</v>
      </c>
      <c r="P7" s="81" t="s">
        <v>181</v>
      </c>
      <c r="Q7" s="85">
        <v>8398.3606557377043</v>
      </c>
      <c r="R7" s="81" t="s">
        <v>126</v>
      </c>
      <c r="S7" s="85">
        <v>-7901.5873015873012</v>
      </c>
      <c r="T7" s="81" t="s">
        <v>181</v>
      </c>
      <c r="U7" s="83">
        <v>8.6956521739130432E-2</v>
      </c>
      <c r="V7" s="81" t="s">
        <v>127</v>
      </c>
      <c r="W7" s="83">
        <v>9.5238095238095233E-2</v>
      </c>
      <c r="X7" s="81" t="s">
        <v>178</v>
      </c>
      <c r="Y7" s="84">
        <v>0.26666666666666666</v>
      </c>
      <c r="Z7" s="81" t="s">
        <v>143</v>
      </c>
      <c r="AA7" s="84">
        <v>0.22813688212927757</v>
      </c>
      <c r="AB7" s="81" t="s">
        <v>143</v>
      </c>
      <c r="AC7" s="84">
        <v>0.56130108423686409</v>
      </c>
      <c r="AD7" s="81" t="s">
        <v>143</v>
      </c>
      <c r="AE7" s="84">
        <v>0.40925925925925927</v>
      </c>
      <c r="AF7" s="81" t="s">
        <v>178</v>
      </c>
      <c r="AG7" s="84">
        <v>0.45714285714285713</v>
      </c>
      <c r="AH7" s="81" t="s">
        <v>127</v>
      </c>
      <c r="AI7" s="88">
        <v>91800</v>
      </c>
    </row>
    <row r="8" spans="1:35" x14ac:dyDescent="0.4">
      <c r="A8" s="78">
        <v>6</v>
      </c>
      <c r="B8" s="79" t="s">
        <v>178</v>
      </c>
      <c r="C8" s="80">
        <v>-17.100000000000009</v>
      </c>
      <c r="D8" s="81" t="s">
        <v>178</v>
      </c>
      <c r="E8" s="93">
        <v>-0.1858695652173914</v>
      </c>
      <c r="F8" s="81" t="s">
        <v>143</v>
      </c>
      <c r="G8" s="82">
        <v>2</v>
      </c>
      <c r="H8" s="81" t="s">
        <v>127</v>
      </c>
      <c r="I8" s="83">
        <v>0.34285714285714286</v>
      </c>
      <c r="J8" s="81" t="s">
        <v>143</v>
      </c>
      <c r="K8" s="83">
        <v>0.33333333333333331</v>
      </c>
      <c r="L8" s="81" t="s">
        <v>178</v>
      </c>
      <c r="M8" s="84">
        <v>0.2857142857142857</v>
      </c>
      <c r="N8" s="81" t="s">
        <v>177</v>
      </c>
      <c r="O8" s="84">
        <v>0.160075329566855</v>
      </c>
      <c r="P8" s="81" t="s">
        <v>126</v>
      </c>
      <c r="Q8" s="85">
        <v>8312.8742514970054</v>
      </c>
      <c r="R8" s="81" t="s">
        <v>182</v>
      </c>
      <c r="S8" s="85">
        <v>-7920.6896551724139</v>
      </c>
      <c r="T8" s="81" t="s">
        <v>179</v>
      </c>
      <c r="U8" s="83">
        <v>9.2307692307692313E-2</v>
      </c>
      <c r="V8" s="81" t="s">
        <v>143</v>
      </c>
      <c r="W8" s="83">
        <v>9.5238095238095233E-2</v>
      </c>
      <c r="X8" s="81" t="s">
        <v>222</v>
      </c>
      <c r="Y8" s="84">
        <v>0.26666666666666666</v>
      </c>
      <c r="Z8" s="81" t="s">
        <v>182</v>
      </c>
      <c r="AA8" s="84">
        <v>0.22727272727272727</v>
      </c>
      <c r="AB8" s="81" t="s">
        <v>177</v>
      </c>
      <c r="AC8" s="84">
        <v>0.55621301775147924</v>
      </c>
      <c r="AD8" s="81" t="s">
        <v>182</v>
      </c>
      <c r="AE8" s="84">
        <v>0.4</v>
      </c>
      <c r="AF8" s="81" t="s">
        <v>143</v>
      </c>
      <c r="AG8" s="84">
        <v>0.44117647058823528</v>
      </c>
      <c r="AH8" s="81" t="s">
        <v>178</v>
      </c>
      <c r="AI8" s="88">
        <v>87000</v>
      </c>
    </row>
    <row r="9" spans="1:35" x14ac:dyDescent="0.4">
      <c r="A9" s="78">
        <v>7</v>
      </c>
      <c r="B9" s="79" t="s">
        <v>127</v>
      </c>
      <c r="C9" s="80">
        <v>-48.80000000000021</v>
      </c>
      <c r="D9" s="81" t="s">
        <v>127</v>
      </c>
      <c r="E9" s="93">
        <v>-0.46476190476190676</v>
      </c>
      <c r="F9" s="81" t="s">
        <v>178</v>
      </c>
      <c r="G9" s="82">
        <v>2.0326086956521738</v>
      </c>
      <c r="H9" s="81" t="s">
        <v>166</v>
      </c>
      <c r="I9" s="83">
        <v>0.33333333333333331</v>
      </c>
      <c r="J9" s="81" t="s">
        <v>181</v>
      </c>
      <c r="K9" s="83">
        <v>0.34782608695652173</v>
      </c>
      <c r="L9" s="81" t="s">
        <v>181</v>
      </c>
      <c r="M9" s="84">
        <v>0.27853881278538811</v>
      </c>
      <c r="N9" s="81" t="s">
        <v>143</v>
      </c>
      <c r="O9" s="84">
        <v>0.16307562315166879</v>
      </c>
      <c r="P9" s="81" t="s">
        <v>179</v>
      </c>
      <c r="Q9" s="85">
        <v>8139.2156862745096</v>
      </c>
      <c r="R9" s="81" t="s">
        <v>178</v>
      </c>
      <c r="S9" s="85">
        <v>-7936.363636363636</v>
      </c>
      <c r="T9" s="81" t="s">
        <v>177</v>
      </c>
      <c r="U9" s="83">
        <v>9.2307692307692313E-2</v>
      </c>
      <c r="V9" s="81" t="s">
        <v>178</v>
      </c>
      <c r="W9" s="83">
        <v>8.6956521739130432E-2</v>
      </c>
      <c r="X9" s="81" t="s">
        <v>143</v>
      </c>
      <c r="Y9" s="84">
        <v>0.25327418673426277</v>
      </c>
      <c r="Z9" s="81" t="s">
        <v>126</v>
      </c>
      <c r="AA9" s="84">
        <v>0.22096608427543679</v>
      </c>
      <c r="AB9" s="81" t="s">
        <v>182</v>
      </c>
      <c r="AC9" s="84">
        <v>0.5423728813559322</v>
      </c>
      <c r="AD9" s="81" t="s">
        <v>179</v>
      </c>
      <c r="AE9" s="84">
        <v>0.3867924528301887</v>
      </c>
      <c r="AF9" s="81" t="s">
        <v>126</v>
      </c>
      <c r="AG9" s="84">
        <v>0.42814371257485029</v>
      </c>
      <c r="AH9" s="81" t="s">
        <v>166</v>
      </c>
      <c r="AI9" s="88">
        <v>86900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-5.3647058823529425</v>
      </c>
      <c r="F10" s="81" t="s">
        <v>166</v>
      </c>
      <c r="G10" s="82">
        <v>2.1176470588235294</v>
      </c>
      <c r="H10" s="81" t="s">
        <v>143</v>
      </c>
      <c r="I10" s="83">
        <v>0.33333333333333331</v>
      </c>
      <c r="J10" s="81" t="s">
        <v>179</v>
      </c>
      <c r="K10" s="83">
        <v>0.4</v>
      </c>
      <c r="L10" s="81" t="s">
        <v>179</v>
      </c>
      <c r="M10" s="84">
        <v>0.27767695099818512</v>
      </c>
      <c r="N10" s="81" t="s">
        <v>182</v>
      </c>
      <c r="O10" s="84">
        <v>0.18831168831168832</v>
      </c>
      <c r="P10" s="81" t="s">
        <v>182</v>
      </c>
      <c r="Q10" s="85">
        <v>7810.5263157894733</v>
      </c>
      <c r="R10" s="81" t="s">
        <v>222</v>
      </c>
      <c r="S10" s="85">
        <v>-8000</v>
      </c>
      <c r="T10" s="81" t="s">
        <v>143</v>
      </c>
      <c r="U10" s="83">
        <v>9.5238095238095233E-2</v>
      </c>
      <c r="V10" s="81" t="s">
        <v>166</v>
      </c>
      <c r="W10" s="83">
        <v>3.9215686274509803E-2</v>
      </c>
      <c r="X10" s="81" t="s">
        <v>195</v>
      </c>
      <c r="Y10" s="84">
        <v>0.24193548387096775</v>
      </c>
      <c r="Z10" s="81" t="s">
        <v>178</v>
      </c>
      <c r="AA10" s="84">
        <v>0.22040816326530613</v>
      </c>
      <c r="AB10" s="81" t="s">
        <v>195</v>
      </c>
      <c r="AC10" s="84">
        <v>0.53333333333333333</v>
      </c>
      <c r="AD10" s="81" t="s">
        <v>166</v>
      </c>
      <c r="AE10" s="84">
        <v>0.37142857142857144</v>
      </c>
      <c r="AF10" s="81" t="s">
        <v>166</v>
      </c>
      <c r="AG10" s="84">
        <v>0.40833333333333333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-273.60000000000008</v>
      </c>
      <c r="D11" s="81" t="s">
        <v>179</v>
      </c>
      <c r="E11" s="93">
        <v>-7.1676923076923069</v>
      </c>
      <c r="F11" s="81" t="s">
        <v>195</v>
      </c>
      <c r="G11" s="82">
        <v>2.1428571428571428</v>
      </c>
      <c r="H11" s="81" t="s">
        <v>178</v>
      </c>
      <c r="I11" s="83">
        <v>0.2391304347826087</v>
      </c>
      <c r="J11" s="81" t="s">
        <v>166</v>
      </c>
      <c r="K11" s="83">
        <v>0.45098039215686275</v>
      </c>
      <c r="L11" s="81" t="s">
        <v>166</v>
      </c>
      <c r="M11" s="84">
        <v>0.26143790849673204</v>
      </c>
      <c r="N11" s="81" t="s">
        <v>195</v>
      </c>
      <c r="O11" s="84">
        <v>0.19354838709677419</v>
      </c>
      <c r="P11" s="81" t="s">
        <v>195</v>
      </c>
      <c r="Q11" s="85">
        <v>7473.333333333333</v>
      </c>
      <c r="R11" s="81" t="s">
        <v>177</v>
      </c>
      <c r="S11" s="85">
        <v>-8100</v>
      </c>
      <c r="T11" s="81" t="s">
        <v>127</v>
      </c>
      <c r="U11" s="83">
        <v>0.14285714285714285</v>
      </c>
      <c r="V11" s="81" t="s">
        <v>179</v>
      </c>
      <c r="W11" s="83">
        <v>3.0769230769230771E-2</v>
      </c>
      <c r="X11" s="81" t="s">
        <v>127</v>
      </c>
      <c r="Y11" s="84">
        <v>0.23269012485811577</v>
      </c>
      <c r="Z11" s="81" t="s">
        <v>179</v>
      </c>
      <c r="AA11" s="84">
        <v>0.19237749546279492</v>
      </c>
      <c r="AB11" s="81" t="s">
        <v>127</v>
      </c>
      <c r="AC11" s="84">
        <v>0.50731707317073171</v>
      </c>
      <c r="AD11" s="81" t="s">
        <v>127</v>
      </c>
      <c r="AE11" s="84">
        <v>0.36466165413533835</v>
      </c>
      <c r="AF11" s="81" t="s">
        <v>127</v>
      </c>
      <c r="AG11" s="84">
        <v>0.39923954372623577</v>
      </c>
      <c r="AH11" s="81" t="s">
        <v>179</v>
      </c>
      <c r="AI11" s="88">
        <v>69500</v>
      </c>
    </row>
    <row r="12" spans="1:35" x14ac:dyDescent="0.4">
      <c r="A12" s="78">
        <v>10</v>
      </c>
      <c r="B12" s="79" t="s">
        <v>179</v>
      </c>
      <c r="C12" s="80">
        <v>-465.9</v>
      </c>
      <c r="D12" s="81" t="s">
        <v>182</v>
      </c>
      <c r="E12" s="93">
        <v>-14.783783783783786</v>
      </c>
      <c r="F12" s="81" t="s">
        <v>179</v>
      </c>
      <c r="G12" s="82">
        <v>2.1846153846153844</v>
      </c>
      <c r="H12" s="81" t="s">
        <v>179</v>
      </c>
      <c r="I12" s="83">
        <v>0.2153846153846154</v>
      </c>
      <c r="J12" s="81" t="s">
        <v>182</v>
      </c>
      <c r="K12" s="83">
        <v>0.54054054054054057</v>
      </c>
      <c r="L12" s="81" t="s">
        <v>182</v>
      </c>
      <c r="M12" s="84">
        <v>0.24675324675324675</v>
      </c>
      <c r="N12" s="81" t="s">
        <v>127</v>
      </c>
      <c r="O12" s="84">
        <v>0.1963677639046538</v>
      </c>
      <c r="P12" s="81" t="s">
        <v>222</v>
      </c>
      <c r="Q12" s="85">
        <v>7385.7142857142853</v>
      </c>
      <c r="R12" s="81" t="s">
        <v>127</v>
      </c>
      <c r="S12" s="85">
        <v>-8190.7514450867056</v>
      </c>
      <c r="T12" s="81" t="s">
        <v>182</v>
      </c>
      <c r="U12" s="83">
        <v>0.1891891891891892</v>
      </c>
      <c r="V12" s="81" t="s">
        <v>182</v>
      </c>
      <c r="W12" s="83">
        <v>2.7027027027027029E-2</v>
      </c>
      <c r="X12" s="81" t="s">
        <v>182</v>
      </c>
      <c r="Y12" s="84">
        <v>0.19155844155844157</v>
      </c>
      <c r="Z12" s="81" t="s">
        <v>177</v>
      </c>
      <c r="AA12" s="84">
        <v>0.17890772128060264</v>
      </c>
      <c r="AB12" s="81" t="s">
        <v>166</v>
      </c>
      <c r="AC12" s="84">
        <v>0.5</v>
      </c>
      <c r="AD12" s="81" t="s">
        <v>181</v>
      </c>
      <c r="AE12" s="84">
        <v>0.35294117647058826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-547.00000000000011</v>
      </c>
      <c r="D13" s="81" t="s">
        <v>195</v>
      </c>
      <c r="E13" s="93">
        <v>-14.971428571428573</v>
      </c>
      <c r="F13" s="81" t="s">
        <v>182</v>
      </c>
      <c r="G13" s="82">
        <v>2.4054054054054053</v>
      </c>
      <c r="H13" s="81" t="s">
        <v>182</v>
      </c>
      <c r="I13" s="83">
        <v>0.13513513513513514</v>
      </c>
      <c r="J13" s="81" t="s">
        <v>195</v>
      </c>
      <c r="K13" s="83">
        <v>0.5714285714285714</v>
      </c>
      <c r="L13" s="81" t="s">
        <v>195</v>
      </c>
      <c r="M13" s="84">
        <v>0.24193548387096775</v>
      </c>
      <c r="N13" s="81" t="s">
        <v>179</v>
      </c>
      <c r="O13" s="84">
        <v>0.20689655172413793</v>
      </c>
      <c r="P13" s="81" t="s">
        <v>166</v>
      </c>
      <c r="Q13" s="85">
        <v>7172.5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0.15250544662309368</v>
      </c>
      <c r="Z13" s="81" t="s">
        <v>181</v>
      </c>
      <c r="AA13" s="84">
        <v>0.15525114155251141</v>
      </c>
      <c r="AB13" s="81" t="s">
        <v>222</v>
      </c>
      <c r="AC13" s="84">
        <v>0.5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3EAE-8F74-44DE-A7F3-F8A50A902D80}">
  <sheetPr codeName="Sheet4"/>
  <dimension ref="A1:Q56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567</v>
      </c>
      <c r="C2" s="149"/>
      <c r="E2" s="58" t="s">
        <v>66</v>
      </c>
      <c r="F2" s="55" t="s">
        <v>22</v>
      </c>
      <c r="G2" s="43">
        <v>1086</v>
      </c>
      <c r="H2" s="128">
        <f>IF(B$17=0,0,G2/B$17)</f>
        <v>0.77905308464849354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-23.049645390070921</v>
      </c>
      <c r="P2" s="114">
        <v>564</v>
      </c>
      <c r="Q2" s="98">
        <v>-13000</v>
      </c>
    </row>
    <row r="3" spans="1:17" x14ac:dyDescent="0.4">
      <c r="A3" s="51" t="s">
        <v>8</v>
      </c>
      <c r="B3" s="150">
        <v>4734</v>
      </c>
      <c r="C3" s="151"/>
      <c r="E3" s="59" t="s">
        <v>72</v>
      </c>
      <c r="F3" s="56" t="s">
        <v>27</v>
      </c>
      <c r="G3" s="44">
        <v>749</v>
      </c>
      <c r="H3" s="129">
        <f>IF(B$17=0,0,G3/B$17)</f>
        <v>0.5373027259684362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9.0579710144927539</v>
      </c>
      <c r="P3" s="115">
        <v>552</v>
      </c>
      <c r="Q3" s="99">
        <v>5000</v>
      </c>
    </row>
    <row r="4" spans="1:17" x14ac:dyDescent="0.4">
      <c r="A4" s="51" t="s">
        <v>6</v>
      </c>
      <c r="B4" s="152">
        <v>-3.5527136788005009E-14</v>
      </c>
      <c r="C4" s="153"/>
      <c r="E4" s="59" t="s">
        <v>64</v>
      </c>
      <c r="F4" s="56" t="s">
        <v>20</v>
      </c>
      <c r="G4" s="44">
        <v>646</v>
      </c>
      <c r="H4" s="129">
        <f>IF(B$17=0,0,G4/B$17)</f>
        <v>0.46341463414634149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-13.333333333333334</v>
      </c>
      <c r="P4" s="115">
        <v>525</v>
      </c>
      <c r="Q4" s="99">
        <v>-7000</v>
      </c>
    </row>
    <row r="5" spans="1:17" x14ac:dyDescent="0.4">
      <c r="A5" s="51" t="s">
        <v>7</v>
      </c>
      <c r="B5" s="154">
        <f>IF(B$2=0,0,B$4/B$2)</f>
        <v>-6.2658089573201071E-17</v>
      </c>
      <c r="C5" s="155"/>
      <c r="E5" s="59" t="s">
        <v>171</v>
      </c>
      <c r="F5" s="56" t="s">
        <v>172</v>
      </c>
      <c r="G5" s="44">
        <v>558</v>
      </c>
      <c r="H5" s="129">
        <f>IF(B$17=0,0,G5/B$17)</f>
        <v>0.40028694404591103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8.0808080808080813</v>
      </c>
      <c r="P5" s="115">
        <v>495</v>
      </c>
      <c r="Q5" s="99">
        <v>4000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440</v>
      </c>
      <c r="H6" s="129">
        <f>IF(B$17=0,0,G6/B$17)</f>
        <v>0.31563845050215206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13.071895424836601</v>
      </c>
      <c r="P6" s="115">
        <v>459</v>
      </c>
      <c r="Q6" s="99">
        <v>6000</v>
      </c>
    </row>
    <row r="7" spans="1:17" x14ac:dyDescent="0.4">
      <c r="A7" s="51" t="s">
        <v>2</v>
      </c>
      <c r="B7" s="44">
        <v>189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395</v>
      </c>
      <c r="H7" s="129">
        <f>IF(B$17=0,0,G7/B$17)</f>
        <v>0.28335724533715928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13.227513227513228</v>
      </c>
      <c r="P7" s="116">
        <v>378</v>
      </c>
      <c r="Q7" s="100">
        <v>5000</v>
      </c>
    </row>
    <row r="8" spans="1:17" x14ac:dyDescent="0.4">
      <c r="A8" s="51" t="s">
        <v>3</v>
      </c>
      <c r="B8" s="44">
        <v>189</v>
      </c>
      <c r="C8" s="37">
        <f t="shared" si="1"/>
        <v>0.33333333333333331</v>
      </c>
      <c r="E8" s="59" t="s">
        <v>69</v>
      </c>
      <c r="F8" s="56" t="s">
        <v>24</v>
      </c>
      <c r="G8" s="44">
        <v>212</v>
      </c>
      <c r="H8" s="129">
        <f>IF(B$17=0,0,G8/B$17)</f>
        <v>0.15208034433285508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189</v>
      </c>
      <c r="C9" s="38">
        <f t="shared" si="1"/>
        <v>0.33333333333333331</v>
      </c>
      <c r="E9" s="59" t="s">
        <v>89</v>
      </c>
      <c r="F9" s="56" t="s">
        <v>44</v>
      </c>
      <c r="G9" s="44">
        <v>183</v>
      </c>
      <c r="H9" s="129">
        <f>IF(B$17=0,0,G9/B$17)</f>
        <v>0.13127690100430417</v>
      </c>
      <c r="I9" s="90">
        <v>6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54</v>
      </c>
      <c r="C10" s="38">
        <f t="shared" si="1"/>
        <v>9.5238095238095233E-2</v>
      </c>
      <c r="E10" s="59" t="s">
        <v>65</v>
      </c>
      <c r="F10" s="56" t="s">
        <v>21</v>
      </c>
      <c r="G10" s="44">
        <v>146</v>
      </c>
      <c r="H10" s="129">
        <f>IF(B$17=0,0,G10/B$17)</f>
        <v>0.10473457675753228</v>
      </c>
      <c r="I10" s="90">
        <v>6</v>
      </c>
      <c r="K10" s="36">
        <v>8</v>
      </c>
      <c r="L10" s="95">
        <v>-46.9</v>
      </c>
      <c r="N10" s="110" t="s">
        <v>162</v>
      </c>
      <c r="O10" s="120">
        <f>IF(P10=0,0,Q10/P10)</f>
        <v>-0.66402116402116429</v>
      </c>
      <c r="P10" s="114">
        <v>189</v>
      </c>
      <c r="Q10" s="102">
        <v>-125.50000000000004</v>
      </c>
    </row>
    <row r="11" spans="1:17" x14ac:dyDescent="0.4">
      <c r="A11" s="52" t="s">
        <v>138</v>
      </c>
      <c r="B11" s="45">
        <v>54</v>
      </c>
      <c r="C11" s="38">
        <f t="shared" si="1"/>
        <v>9.5238095238095233E-2</v>
      </c>
      <c r="E11" s="59" t="s">
        <v>70</v>
      </c>
      <c r="F11" s="56" t="s">
        <v>25</v>
      </c>
      <c r="G11" s="44">
        <v>135</v>
      </c>
      <c r="H11" s="129">
        <f>IF(B$17=0,0,G11/B$17)</f>
        <v>9.6843615494978483E-2</v>
      </c>
      <c r="I11" s="90">
        <v>7</v>
      </c>
      <c r="K11" s="36">
        <v>9</v>
      </c>
      <c r="L11" s="95">
        <v>0</v>
      </c>
      <c r="N11" s="111" t="s">
        <v>163</v>
      </c>
      <c r="O11" s="121">
        <f>IF(P11=0,0,Q11/P11)</f>
        <v>0.90052910052910029</v>
      </c>
      <c r="P11" s="115">
        <v>189</v>
      </c>
      <c r="Q11" s="103">
        <v>170.19999999999996</v>
      </c>
    </row>
    <row r="12" spans="1:17" x14ac:dyDescent="0.4">
      <c r="A12" s="53" t="s">
        <v>158</v>
      </c>
      <c r="B12" s="46">
        <v>57</v>
      </c>
      <c r="C12" s="40">
        <f t="shared" si="1"/>
        <v>0.10052910052910052</v>
      </c>
      <c r="E12" s="59" t="s">
        <v>71</v>
      </c>
      <c r="F12" s="56" t="s">
        <v>26</v>
      </c>
      <c r="G12" s="44">
        <v>109</v>
      </c>
      <c r="H12" s="129">
        <f>IF(B$17=0,0,G12/B$17)</f>
        <v>7.8192252510760396E-2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-0.23650793650793719</v>
      </c>
      <c r="P12" s="116">
        <v>189</v>
      </c>
      <c r="Q12" s="104">
        <v>-44.700000000000131</v>
      </c>
    </row>
    <row r="13" spans="1:17" x14ac:dyDescent="0.4">
      <c r="A13" s="54" t="s">
        <v>121</v>
      </c>
      <c r="B13" s="47">
        <v>1199</v>
      </c>
      <c r="C13" s="42">
        <f>IF(B$3=0,0,B13/B$3)</f>
        <v>0.25327418673426277</v>
      </c>
      <c r="E13" s="59" t="s">
        <v>83</v>
      </c>
      <c r="F13" s="56" t="s">
        <v>38</v>
      </c>
      <c r="G13" s="44">
        <v>75</v>
      </c>
      <c r="H13" s="129">
        <f>IF(B$17=0,0,G13/B$17)</f>
        <v>5.3802008608321378E-2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1080</v>
      </c>
      <c r="C14" s="37">
        <f>IF(B$3=0,0,B14/B$3)</f>
        <v>0.22813688212927757</v>
      </c>
      <c r="E14" s="59" t="s">
        <v>86</v>
      </c>
      <c r="F14" s="56" t="s">
        <v>41</v>
      </c>
      <c r="G14" s="44">
        <v>70</v>
      </c>
      <c r="H14" s="129">
        <f>IF(B$17=0,0,G14/B$17)</f>
        <v>5.0215208034433287E-2</v>
      </c>
      <c r="I14" s="90">
        <v>6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673</v>
      </c>
      <c r="C15" s="35">
        <f>IF(B$13=0,0,B15/B$13)</f>
        <v>0.56130108423686409</v>
      </c>
      <c r="E15" s="59" t="s">
        <v>78</v>
      </c>
      <c r="F15" s="56" t="s">
        <v>33</v>
      </c>
      <c r="G15" s="44">
        <v>36</v>
      </c>
      <c r="H15" s="129">
        <f>IF(B$17=0,0,G15/B$17)</f>
        <v>2.5824964131994262E-2</v>
      </c>
      <c r="I15" s="90">
        <v>5</v>
      </c>
      <c r="K15" s="36">
        <v>13</v>
      </c>
      <c r="L15" s="95">
        <v>-1.7</v>
      </c>
      <c r="N15" s="110" t="s">
        <v>195</v>
      </c>
      <c r="O15" s="120">
        <f>IF(P15=0,0,Q15/P15)</f>
        <v>22.457142857142856</v>
      </c>
      <c r="P15" s="114">
        <v>14</v>
      </c>
      <c r="Q15" s="102">
        <v>314.39999999999998</v>
      </c>
    </row>
    <row r="16" spans="1:17" x14ac:dyDescent="0.4">
      <c r="A16" s="50" t="s">
        <v>124</v>
      </c>
      <c r="B16" s="43">
        <v>442</v>
      </c>
      <c r="C16" s="35">
        <f>IF(B$14=0,0,B16/B$14)</f>
        <v>0.40925925925925927</v>
      </c>
      <c r="E16" s="59" t="s">
        <v>167</v>
      </c>
      <c r="F16" s="56" t="s">
        <v>168</v>
      </c>
      <c r="G16" s="44">
        <v>32</v>
      </c>
      <c r="H16" s="129">
        <f>IF(B$17=0,0,G16/B$17)</f>
        <v>2.2955523672883789E-2</v>
      </c>
      <c r="I16" s="90">
        <v>3</v>
      </c>
      <c r="K16" s="36">
        <v>14</v>
      </c>
      <c r="L16" s="95">
        <v>24.3</v>
      </c>
      <c r="N16" s="111" t="s">
        <v>182</v>
      </c>
      <c r="O16" s="121">
        <f>IF(P16=0,0,Q16/P16)</f>
        <v>22.175675675675659</v>
      </c>
      <c r="P16" s="115">
        <v>74</v>
      </c>
      <c r="Q16" s="103">
        <v>1640.9999999999989</v>
      </c>
    </row>
    <row r="17" spans="1:17" x14ac:dyDescent="0.4">
      <c r="A17" s="50" t="s">
        <v>10</v>
      </c>
      <c r="B17" s="43">
        <f>B19+B18</f>
        <v>1394</v>
      </c>
      <c r="C17" s="35">
        <f>IF(B$3=0,0,B17/B$3)</f>
        <v>0.29446556822982678</v>
      </c>
      <c r="E17" s="59" t="s">
        <v>81</v>
      </c>
      <c r="F17" s="56" t="s">
        <v>36</v>
      </c>
      <c r="G17" s="44">
        <v>23</v>
      </c>
      <c r="H17" s="129">
        <f>IF(B$17=0,0,G17/B$17)</f>
        <v>1.6499282639885222E-2</v>
      </c>
      <c r="I17" s="90">
        <v>6</v>
      </c>
      <c r="K17" s="36">
        <v>15</v>
      </c>
      <c r="L17" s="95">
        <v>0</v>
      </c>
      <c r="N17" s="111" t="s">
        <v>179</v>
      </c>
      <c r="O17" s="121">
        <f>IF(P17=0,0,Q17/P17)</f>
        <v>10.751538461538461</v>
      </c>
      <c r="P17" s="115">
        <v>130</v>
      </c>
      <c r="Q17" s="103">
        <v>1397.6999999999998</v>
      </c>
    </row>
    <row r="18" spans="1:17" x14ac:dyDescent="0.4">
      <c r="A18" s="51" t="s">
        <v>12</v>
      </c>
      <c r="B18" s="44">
        <v>615</v>
      </c>
      <c r="C18" s="37">
        <f>IF(B$17=0,0,B18/B$17)</f>
        <v>0.44117647058823528</v>
      </c>
      <c r="E18" s="59" t="s">
        <v>91</v>
      </c>
      <c r="F18" s="56" t="s">
        <v>46</v>
      </c>
      <c r="G18" s="44">
        <v>18</v>
      </c>
      <c r="H18" s="129">
        <f>IF(B$17=0,0,G18/B$17)</f>
        <v>1.2912482065997131E-2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8.0470588235294098</v>
      </c>
      <c r="P18" s="115">
        <v>102</v>
      </c>
      <c r="Q18" s="103">
        <v>820.79999999999973</v>
      </c>
    </row>
    <row r="19" spans="1:17" x14ac:dyDescent="0.4">
      <c r="A19" s="51" t="s">
        <v>11</v>
      </c>
      <c r="B19" s="44">
        <v>779</v>
      </c>
      <c r="C19" s="37">
        <f>IF(B$17=0,0,B19/B$17)</f>
        <v>0.55882352941176472</v>
      </c>
      <c r="E19" s="59" t="s">
        <v>79</v>
      </c>
      <c r="F19" s="56" t="s">
        <v>34</v>
      </c>
      <c r="G19" s="44">
        <v>16</v>
      </c>
      <c r="H19" s="129">
        <f>IF(B$17=0,0,G19/B$17)</f>
        <v>1.1477761836441894E-2</v>
      </c>
      <c r="I19" s="90">
        <v>5</v>
      </c>
      <c r="K19" s="36">
        <v>17</v>
      </c>
      <c r="L19" s="95">
        <v>-20.5</v>
      </c>
      <c r="N19" s="111" t="s">
        <v>127</v>
      </c>
      <c r="O19" s="121">
        <f>IF(P19=0,0,Q19/P19)</f>
        <v>0.69714285714285151</v>
      </c>
      <c r="P19" s="115">
        <v>210</v>
      </c>
      <c r="Q19" s="103">
        <v>146.39999999999881</v>
      </c>
    </row>
    <row r="20" spans="1:17" x14ac:dyDescent="0.4">
      <c r="A20" s="51" t="s">
        <v>13</v>
      </c>
      <c r="B20" s="44">
        <v>772</v>
      </c>
      <c r="C20" s="37">
        <f>IF(B$3=0,0,B20/B$3)</f>
        <v>0.16307562315166879</v>
      </c>
      <c r="E20" s="59" t="s">
        <v>75</v>
      </c>
      <c r="F20" s="56" t="s">
        <v>30</v>
      </c>
      <c r="G20" s="44">
        <v>9</v>
      </c>
      <c r="H20" s="129">
        <f>IF(B$17=0,0,G20/B$17)</f>
        <v>6.4562410329985654E-3</v>
      </c>
      <c r="I20" s="90">
        <v>4</v>
      </c>
      <c r="K20" s="36">
        <v>18</v>
      </c>
      <c r="L20" s="95">
        <v>0</v>
      </c>
      <c r="N20" s="111" t="s">
        <v>178</v>
      </c>
      <c r="O20" s="121">
        <f>IF(P20=0,0,Q20/P20)</f>
        <v>0.27880434782608604</v>
      </c>
      <c r="P20" s="115">
        <v>184</v>
      </c>
      <c r="Q20" s="103">
        <v>51.299999999999827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7</v>
      </c>
      <c r="H21" s="129">
        <f>IF(B$17=0,0,G21/B$17)</f>
        <v>5.0215208034433282E-3</v>
      </c>
      <c r="I21" s="90">
        <v>3</v>
      </c>
      <c r="K21" s="36">
        <v>19</v>
      </c>
      <c r="L21" s="95">
        <v>-22.4</v>
      </c>
      <c r="N21" s="111" t="s">
        <v>181</v>
      </c>
      <c r="O21" s="121">
        <f>IF(P21=0,0,Q21/P21)</f>
        <v>-1.7804347826086957</v>
      </c>
      <c r="P21" s="115">
        <v>46</v>
      </c>
      <c r="Q21" s="103">
        <v>-81.900000000000006</v>
      </c>
    </row>
    <row r="22" spans="1:17" x14ac:dyDescent="0.4">
      <c r="A22" s="51" t="s">
        <v>170</v>
      </c>
      <c r="B22" s="44">
        <v>31</v>
      </c>
      <c r="C22" s="131">
        <v>1</v>
      </c>
      <c r="E22" s="59" t="s">
        <v>74</v>
      </c>
      <c r="F22" s="56" t="s">
        <v>29</v>
      </c>
      <c r="G22" s="44">
        <v>6</v>
      </c>
      <c r="H22" s="129">
        <f>IF(B$17=0,0,G22/B$17)</f>
        <v>4.30416068866571E-3</v>
      </c>
      <c r="I22" s="90">
        <v>5</v>
      </c>
      <c r="K22" s="36">
        <v>20</v>
      </c>
      <c r="L22" s="95">
        <v>-61.199999999999996</v>
      </c>
      <c r="N22" s="111" t="s">
        <v>177</v>
      </c>
      <c r="O22" s="121">
        <f>IF(P22=0,0,Q22/P22)</f>
        <v>-7.6846153846153822</v>
      </c>
      <c r="P22" s="115">
        <v>130</v>
      </c>
      <c r="Q22" s="103">
        <v>-998.99999999999966</v>
      </c>
    </row>
    <row r="23" spans="1:17" x14ac:dyDescent="0.4">
      <c r="A23" s="51" t="s">
        <v>5</v>
      </c>
      <c r="B23" s="48">
        <f>IF(B$17=0,0,C23/B$17)</f>
        <v>8447.4892395982788</v>
      </c>
      <c r="C23" s="39">
        <v>11775800</v>
      </c>
      <c r="E23" s="59" t="s">
        <v>77</v>
      </c>
      <c r="F23" s="56" t="s">
        <v>32</v>
      </c>
      <c r="G23" s="44">
        <v>5</v>
      </c>
      <c r="H23" s="129">
        <f>IF(B$17=0,0,G23/B$17)</f>
        <v>3.5868005738880918E-3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-13.383749999999999</v>
      </c>
      <c r="P23" s="115">
        <v>240</v>
      </c>
      <c r="Q23" s="103">
        <v>-3212.1</v>
      </c>
    </row>
    <row r="24" spans="1:17" x14ac:dyDescent="0.4">
      <c r="A24" s="52" t="s">
        <v>216</v>
      </c>
      <c r="B24" s="136">
        <f>IF($B$17-B$16=0,0,C24/($B$17-B$16))</f>
        <v>8957.0378151260502</v>
      </c>
      <c r="C24" s="137">
        <v>8527100</v>
      </c>
      <c r="E24" s="59" t="s">
        <v>85</v>
      </c>
      <c r="F24" s="56" t="s">
        <v>40</v>
      </c>
      <c r="G24" s="44">
        <v>5</v>
      </c>
      <c r="H24" s="129">
        <f>IF(B$17=0,0,G24/B$17)</f>
        <v>3.5868005738880918E-3</v>
      </c>
      <c r="I24" s="90">
        <v>5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7350</v>
      </c>
      <c r="C25" s="137">
        <v>3248700</v>
      </c>
      <c r="E25" s="59" t="s">
        <v>88</v>
      </c>
      <c r="F25" s="56" t="s">
        <v>43</v>
      </c>
      <c r="G25" s="44">
        <v>5</v>
      </c>
      <c r="H25" s="129">
        <f>IF(B$17=0,0,G25/B$17)</f>
        <v>3.5868005738880918E-3</v>
      </c>
      <c r="I25" s="90">
        <v>4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-7855.1813471502592</v>
      </c>
      <c r="C26" s="137">
        <v>-6064200</v>
      </c>
      <c r="E26" s="59" t="s">
        <v>73</v>
      </c>
      <c r="F26" s="56" t="s">
        <v>28</v>
      </c>
      <c r="G26" s="44">
        <v>4</v>
      </c>
      <c r="H26" s="129">
        <f>IF(B$17=0,0,G26/B$17)</f>
        <v>2.8694404591104736E-3</v>
      </c>
      <c r="I26" s="90">
        <v>3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4</v>
      </c>
      <c r="H27" s="129">
        <f>IF(B$17=0,0,G27/B$17)</f>
        <v>2.8694404591104736E-3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149100</v>
      </c>
      <c r="C28" s="141"/>
      <c r="E28" s="59" t="s">
        <v>93</v>
      </c>
      <c r="F28" s="56" t="s">
        <v>48</v>
      </c>
      <c r="G28" s="44">
        <v>3</v>
      </c>
      <c r="H28" s="129">
        <f>IF(B$17=0,0,G28/B$17)</f>
        <v>2.152080344332855E-3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14</v>
      </c>
      <c r="C29" s="40">
        <f>IF(B$3=0,0,B29/B$3)</f>
        <v>2.957329953527672E-3</v>
      </c>
      <c r="E29" s="59" t="s">
        <v>95</v>
      </c>
      <c r="F29" s="56" t="s">
        <v>50</v>
      </c>
      <c r="G29" s="44">
        <v>3</v>
      </c>
      <c r="H29" s="129">
        <f>IF(B$17=0,0,G29/B$17)</f>
        <v>2.152080344332855E-3</v>
      </c>
      <c r="I29" s="90">
        <v>4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2</v>
      </c>
      <c r="H30" s="129">
        <f>IF(B$17=0,0,G30/B$17)</f>
        <v>1.4347202295552368E-3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>IF(B$17=0,0,G31/B$17)</f>
        <v>1.4347202295552368E-3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97</v>
      </c>
      <c r="F32" s="56" t="s">
        <v>52</v>
      </c>
      <c r="G32" s="44">
        <v>1</v>
      </c>
      <c r="H32" s="129">
        <f>IF(B$17=0,0,G32/B$17)</f>
        <v>7.173601147776184E-4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101</v>
      </c>
      <c r="F33" s="56" t="s">
        <v>56</v>
      </c>
      <c r="G33" s="44">
        <v>1</v>
      </c>
      <c r="H33" s="129">
        <f>IF(B$17=0,0,G33/B$17)</f>
        <v>7.173601147776184E-4</v>
      </c>
      <c r="I33" s="90">
        <v>2</v>
      </c>
      <c r="K33" s="36">
        <v>31</v>
      </c>
      <c r="L33" s="95">
        <v>12.500000000000009</v>
      </c>
    </row>
    <row r="34" spans="5:12" x14ac:dyDescent="0.4">
      <c r="E34" s="59" t="s">
        <v>106</v>
      </c>
      <c r="F34" s="56" t="s">
        <v>113</v>
      </c>
      <c r="G34" s="44">
        <v>1</v>
      </c>
      <c r="H34" s="129">
        <f>IF(B$17=0,0,G34/B$17)</f>
        <v>7.173601147776184E-4</v>
      </c>
      <c r="I34" s="90">
        <v>2</v>
      </c>
      <c r="K34" s="36">
        <v>32</v>
      </c>
      <c r="L34" s="95">
        <v>47.300000000000004</v>
      </c>
    </row>
    <row r="35" spans="5:12" x14ac:dyDescent="0.4">
      <c r="E35" s="59" t="s">
        <v>76</v>
      </c>
      <c r="F35" s="56" t="s">
        <v>31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80</v>
      </c>
      <c r="F36" s="56" t="s">
        <v>35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82</v>
      </c>
      <c r="F37" s="56" t="s">
        <v>37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94</v>
      </c>
      <c r="F38" s="56" t="s">
        <v>49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96</v>
      </c>
      <c r="F39" s="56" t="s">
        <v>51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98</v>
      </c>
      <c r="F40" s="56" t="s">
        <v>53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99</v>
      </c>
      <c r="F41" s="56" t="s">
        <v>54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100</v>
      </c>
      <c r="F42" s="56" t="s">
        <v>55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AC2E2-DE1E-4398-B12E-32C7F5CC7D46}">
  <sheetPr codeName="Sheet7"/>
  <dimension ref="A1:Q5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51</v>
      </c>
      <c r="C2" s="149"/>
      <c r="E2" s="58" t="s">
        <v>66</v>
      </c>
      <c r="F2" s="55" t="s">
        <v>22</v>
      </c>
      <c r="G2" s="43">
        <v>83</v>
      </c>
      <c r="H2" s="128">
        <f>IF(B$17=0,0,G2/B$17)</f>
        <v>0.69166666666666665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1382.3529411764705</v>
      </c>
      <c r="P2" s="114">
        <v>51</v>
      </c>
      <c r="Q2" s="98">
        <v>70500</v>
      </c>
    </row>
    <row r="3" spans="1:17" x14ac:dyDescent="0.4">
      <c r="A3" s="51" t="s">
        <v>8</v>
      </c>
      <c r="B3" s="150">
        <v>459</v>
      </c>
      <c r="C3" s="151"/>
      <c r="E3" s="59" t="s">
        <v>72</v>
      </c>
      <c r="F3" s="56" t="s">
        <v>27</v>
      </c>
      <c r="G3" s="44">
        <v>64</v>
      </c>
      <c r="H3" s="129">
        <f>IF(B$17=0,0,G3/B$17)</f>
        <v>0.53333333333333333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-948</v>
      </c>
      <c r="P3" s="115">
        <v>50</v>
      </c>
      <c r="Q3" s="99">
        <v>-47400</v>
      </c>
    </row>
    <row r="4" spans="1:17" x14ac:dyDescent="0.4">
      <c r="A4" s="51" t="s">
        <v>6</v>
      </c>
      <c r="B4" s="152">
        <v>-273.60000000000008</v>
      </c>
      <c r="C4" s="153"/>
      <c r="E4" s="59" t="s">
        <v>171</v>
      </c>
      <c r="F4" s="56" t="s">
        <v>172</v>
      </c>
      <c r="G4" s="44">
        <v>46</v>
      </c>
      <c r="H4" s="129">
        <f>IF(B$17=0,0,G4/B$17)</f>
        <v>0.38333333333333336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-1997.9166666666667</v>
      </c>
      <c r="P4" s="115">
        <v>48</v>
      </c>
      <c r="Q4" s="99">
        <v>-95900</v>
      </c>
    </row>
    <row r="5" spans="1:17" x14ac:dyDescent="0.4">
      <c r="A5" s="51" t="s">
        <v>7</v>
      </c>
      <c r="B5" s="154">
        <f>IF(B$2=0,0,B$4/B$2)</f>
        <v>-5.3647058823529425</v>
      </c>
      <c r="C5" s="155"/>
      <c r="E5" s="59" t="s">
        <v>64</v>
      </c>
      <c r="F5" s="56" t="s">
        <v>20</v>
      </c>
      <c r="G5" s="44">
        <v>34</v>
      </c>
      <c r="H5" s="129">
        <f>IF(B$17=0,0,G5/B$17)</f>
        <v>0.28333333333333333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-1374.4680851063829</v>
      </c>
      <c r="P5" s="115">
        <v>47</v>
      </c>
      <c r="Q5" s="99">
        <v>-64600</v>
      </c>
    </row>
    <row r="6" spans="1:17" x14ac:dyDescent="0.4">
      <c r="A6" s="51" t="s">
        <v>1</v>
      </c>
      <c r="B6" s="144">
        <f>IF(B$2=0,0,(B$7*1+B$8*2+B$9*3)/B$2)</f>
        <v>2.1176470588235294</v>
      </c>
      <c r="C6" s="145"/>
      <c r="E6" s="59" t="s">
        <v>68</v>
      </c>
      <c r="F6" s="56" t="s">
        <v>12</v>
      </c>
      <c r="G6" s="44">
        <v>33</v>
      </c>
      <c r="H6" s="129">
        <f>IF(B$17=0,0,G6/B$17)</f>
        <v>0.27500000000000002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-121.27659574468085</v>
      </c>
      <c r="P6" s="115">
        <v>47</v>
      </c>
      <c r="Q6" s="99">
        <v>-5700</v>
      </c>
    </row>
    <row r="7" spans="1:17" x14ac:dyDescent="0.4">
      <c r="A7" s="51" t="s">
        <v>2</v>
      </c>
      <c r="B7" s="44">
        <v>17</v>
      </c>
      <c r="C7" s="37">
        <f t="shared" ref="C7:C12" si="1">IF(B$2=0,0,B7/B$2)</f>
        <v>0.33333333333333331</v>
      </c>
      <c r="E7" s="59" t="s">
        <v>69</v>
      </c>
      <c r="F7" s="56" t="s">
        <v>24</v>
      </c>
      <c r="G7" s="44">
        <v>25</v>
      </c>
      <c r="H7" s="129">
        <f>IF(B$17=0,0,G7/B$17)</f>
        <v>0.20833333333333334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0"/>
        <v>-1772.5</v>
      </c>
      <c r="P7" s="116">
        <v>40</v>
      </c>
      <c r="Q7" s="100">
        <v>-70900</v>
      </c>
    </row>
    <row r="8" spans="1:17" x14ac:dyDescent="0.4">
      <c r="A8" s="51" t="s">
        <v>3</v>
      </c>
      <c r="B8" s="44">
        <v>11</v>
      </c>
      <c r="C8" s="37">
        <f t="shared" si="1"/>
        <v>0.21568627450980393</v>
      </c>
      <c r="E8" s="59" t="s">
        <v>67</v>
      </c>
      <c r="F8" s="56" t="s">
        <v>23</v>
      </c>
      <c r="G8" s="44">
        <v>18</v>
      </c>
      <c r="H8" s="129">
        <f>IF(B$17=0,0,G8/B$17)</f>
        <v>0.15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1"/>
        <v>0.45098039215686275</v>
      </c>
      <c r="E9" s="59" t="s">
        <v>70</v>
      </c>
      <c r="F9" s="56" t="s">
        <v>25</v>
      </c>
      <c r="G9" s="44">
        <v>18</v>
      </c>
      <c r="H9" s="129">
        <f>IF(B$17=0,0,G9/B$17)</f>
        <v>0.15</v>
      </c>
      <c r="I9" s="90">
        <v>2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1.9607843137254902E-2</v>
      </c>
      <c r="E10" s="59" t="s">
        <v>71</v>
      </c>
      <c r="F10" s="56" t="s">
        <v>26</v>
      </c>
      <c r="G10" s="44">
        <v>12</v>
      </c>
      <c r="H10" s="129">
        <f>IF(B$17=0,0,G10/B$17)</f>
        <v>0.1</v>
      </c>
      <c r="I10" s="90">
        <v>3</v>
      </c>
      <c r="K10" s="36">
        <v>8</v>
      </c>
      <c r="L10" s="95">
        <v>-76.900000000000006</v>
      </c>
      <c r="N10" s="110" t="s">
        <v>162</v>
      </c>
      <c r="O10" s="120">
        <f>IF(P10=0,0,Q10/P10)</f>
        <v>-7.0944444444444432</v>
      </c>
      <c r="P10" s="114">
        <v>18</v>
      </c>
      <c r="Q10" s="102">
        <v>-127.69999999999997</v>
      </c>
    </row>
    <row r="11" spans="1:17" x14ac:dyDescent="0.4">
      <c r="A11" s="52" t="s">
        <v>138</v>
      </c>
      <c r="B11" s="45">
        <v>2</v>
      </c>
      <c r="C11" s="38">
        <f t="shared" si="1"/>
        <v>3.9215686274509803E-2</v>
      </c>
      <c r="E11" s="59" t="s">
        <v>83</v>
      </c>
      <c r="F11" s="56" t="s">
        <v>38</v>
      </c>
      <c r="G11" s="44">
        <v>12</v>
      </c>
      <c r="H11" s="129">
        <f>IF(B$17=0,0,G11/B$17)</f>
        <v>0.1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-3.359999999999999</v>
      </c>
      <c r="P11" s="115">
        <v>15</v>
      </c>
      <c r="Q11" s="103">
        <v>-50.399999999999984</v>
      </c>
    </row>
    <row r="12" spans="1:17" x14ac:dyDescent="0.4">
      <c r="A12" s="53" t="s">
        <v>158</v>
      </c>
      <c r="B12" s="46">
        <v>8</v>
      </c>
      <c r="C12" s="40">
        <f t="shared" si="1"/>
        <v>0.15686274509803921</v>
      </c>
      <c r="E12" s="59" t="s">
        <v>65</v>
      </c>
      <c r="F12" s="56" t="s">
        <v>21</v>
      </c>
      <c r="G12" s="44">
        <v>9</v>
      </c>
      <c r="H12" s="129">
        <f>IF(B$17=0,0,G12/B$17)</f>
        <v>7.4999999999999997E-2</v>
      </c>
      <c r="I12" s="90">
        <v>10</v>
      </c>
      <c r="K12" s="36">
        <v>10</v>
      </c>
      <c r="L12" s="95">
        <v>-32.700000000000003</v>
      </c>
      <c r="N12" s="112" t="s">
        <v>164</v>
      </c>
      <c r="O12" s="122">
        <f>IF(P12=0,0,Q12/P12)</f>
        <v>-5.3055555555555545</v>
      </c>
      <c r="P12" s="116">
        <v>18</v>
      </c>
      <c r="Q12" s="104">
        <v>-95.499999999999986</v>
      </c>
    </row>
    <row r="13" spans="1:17" x14ac:dyDescent="0.4">
      <c r="A13" s="54" t="s">
        <v>121</v>
      </c>
      <c r="B13" s="47">
        <v>70</v>
      </c>
      <c r="C13" s="42">
        <f>IF(B$3=0,0,B13/B$3)</f>
        <v>0.15250544662309368</v>
      </c>
      <c r="E13" s="59" t="s">
        <v>89</v>
      </c>
      <c r="F13" s="56" t="s">
        <v>44</v>
      </c>
      <c r="G13" s="44">
        <v>8</v>
      </c>
      <c r="H13" s="129">
        <f>IF(B$17=0,0,G13/B$17)</f>
        <v>6.6666666666666666E-2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105</v>
      </c>
      <c r="C14" s="37">
        <f>IF(B$3=0,0,B14/B$3)</f>
        <v>0.22875816993464052</v>
      </c>
      <c r="E14" s="59" t="s">
        <v>81</v>
      </c>
      <c r="F14" s="56" t="s">
        <v>36</v>
      </c>
      <c r="G14" s="44">
        <v>4</v>
      </c>
      <c r="H14" s="129">
        <f>IF(B$17=0,0,G14/B$17)</f>
        <v>3.3333333333333333E-2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35</v>
      </c>
      <c r="C15" s="35">
        <f>IF(B$13=0,0,B15/B$13)</f>
        <v>0.5</v>
      </c>
      <c r="E15" s="59" t="s">
        <v>86</v>
      </c>
      <c r="F15" s="56" t="s">
        <v>41</v>
      </c>
      <c r="G15" s="44">
        <v>4</v>
      </c>
      <c r="H15" s="129">
        <f>IF(B$17=0,0,G15/B$17)</f>
        <v>3.3333333333333333E-2</v>
      </c>
      <c r="I15" s="90">
        <v>8</v>
      </c>
      <c r="K15" s="36">
        <v>13</v>
      </c>
      <c r="L15" s="95">
        <v>-66.2</v>
      </c>
      <c r="N15" s="110" t="s">
        <v>181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39</v>
      </c>
      <c r="C16" s="35">
        <f>IF(B$14=0,0,B16/B$14)</f>
        <v>0.37142857142857144</v>
      </c>
      <c r="E16" s="59" t="s">
        <v>91</v>
      </c>
      <c r="F16" s="56" t="s">
        <v>46</v>
      </c>
      <c r="G16" s="44">
        <v>3</v>
      </c>
      <c r="H16" s="129">
        <f>IF(B$17=0,0,G16/B$17)</f>
        <v>2.5000000000000001E-2</v>
      </c>
      <c r="I16" s="90">
        <v>2</v>
      </c>
      <c r="K16" s="36">
        <v>14</v>
      </c>
      <c r="L16" s="95">
        <v>-51.1</v>
      </c>
      <c r="N16" s="111" t="s">
        <v>127</v>
      </c>
      <c r="O16" s="121">
        <f t="shared" si="2"/>
        <v>-2.5681818181818188</v>
      </c>
      <c r="P16" s="115">
        <v>22</v>
      </c>
      <c r="Q16" s="103">
        <v>-56.500000000000014</v>
      </c>
    </row>
    <row r="17" spans="1:17" x14ac:dyDescent="0.4">
      <c r="A17" s="50" t="s">
        <v>10</v>
      </c>
      <c r="B17" s="43">
        <f>B19+B18</f>
        <v>120</v>
      </c>
      <c r="C17" s="35">
        <f>IF(B$3=0,0,B17/B$3)</f>
        <v>0.26143790849673204</v>
      </c>
      <c r="E17" s="59" t="s">
        <v>88</v>
      </c>
      <c r="F17" s="56" t="s">
        <v>43</v>
      </c>
      <c r="G17" s="44">
        <v>2</v>
      </c>
      <c r="H17" s="129">
        <f>IF(B$17=0,0,G17/B$17)</f>
        <v>1.6666666666666666E-2</v>
      </c>
      <c r="I17" s="90">
        <v>1</v>
      </c>
      <c r="K17" s="36">
        <v>15</v>
      </c>
      <c r="L17" s="95">
        <v>-65.2</v>
      </c>
      <c r="N17" s="111" t="s">
        <v>178</v>
      </c>
      <c r="O17" s="121">
        <f t="shared" si="2"/>
        <v>-4.7411764705882362</v>
      </c>
      <c r="P17" s="115">
        <v>17</v>
      </c>
      <c r="Q17" s="103">
        <v>-80.600000000000009</v>
      </c>
    </row>
    <row r="18" spans="1:17" x14ac:dyDescent="0.4">
      <c r="A18" s="51" t="s">
        <v>12</v>
      </c>
      <c r="B18" s="44">
        <v>49</v>
      </c>
      <c r="C18" s="37">
        <f>IF(B$17=0,0,B18/B$17)</f>
        <v>0.40833333333333333</v>
      </c>
      <c r="E18" s="59" t="s">
        <v>74</v>
      </c>
      <c r="F18" s="56" t="s">
        <v>29</v>
      </c>
      <c r="G18" s="44">
        <v>1</v>
      </c>
      <c r="H18" s="129">
        <f>IF(B$17=0,0,G18/B$17)</f>
        <v>8.3333333333333332E-3</v>
      </c>
      <c r="I18" s="90">
        <v>2</v>
      </c>
      <c r="K18" s="36">
        <v>16</v>
      </c>
      <c r="L18" s="95">
        <v>-70.600000000000009</v>
      </c>
      <c r="N18" s="111" t="s">
        <v>126</v>
      </c>
      <c r="O18" s="121">
        <f t="shared" si="2"/>
        <v>-5.2892857142857155</v>
      </c>
      <c r="P18" s="115">
        <v>28</v>
      </c>
      <c r="Q18" s="103">
        <v>-148.10000000000002</v>
      </c>
    </row>
    <row r="19" spans="1:17" x14ac:dyDescent="0.4">
      <c r="A19" s="51" t="s">
        <v>11</v>
      </c>
      <c r="B19" s="44">
        <v>71</v>
      </c>
      <c r="C19" s="37">
        <f>IF(B$17=0,0,B19/B$17)</f>
        <v>0.59166666666666667</v>
      </c>
      <c r="E19" s="59" t="s">
        <v>75</v>
      </c>
      <c r="F19" s="56" t="s">
        <v>30</v>
      </c>
      <c r="G19" s="44">
        <v>1</v>
      </c>
      <c r="H19" s="129">
        <f>IF(B$17=0,0,G19/B$17)</f>
        <v>8.3333333333333332E-3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 t="shared" si="2"/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13</v>
      </c>
      <c r="B20" s="44">
        <v>70</v>
      </c>
      <c r="C20" s="37">
        <f>IF(B$3=0,0,B20/B$3)</f>
        <v>0.15250544662309368</v>
      </c>
      <c r="E20" s="59" t="s">
        <v>77</v>
      </c>
      <c r="F20" s="56" t="s">
        <v>32</v>
      </c>
      <c r="G20" s="44">
        <v>1</v>
      </c>
      <c r="H20" s="129">
        <f>IF(B$17=0,0,G20/B$17)</f>
        <v>8.3333333333333332E-3</v>
      </c>
      <c r="I20" s="90">
        <v>2</v>
      </c>
      <c r="K20" s="36">
        <v>18</v>
      </c>
      <c r="L20" s="95">
        <v>-80.2</v>
      </c>
      <c r="N20" s="111" t="s">
        <v>177</v>
      </c>
      <c r="O20" s="121">
        <f t="shared" si="2"/>
        <v>-27.133333333333329</v>
      </c>
      <c r="P20" s="115">
        <v>9</v>
      </c>
      <c r="Q20" s="103">
        <v>-244.19999999999996</v>
      </c>
    </row>
    <row r="21" spans="1:17" x14ac:dyDescent="0.4">
      <c r="A21" s="51" t="s">
        <v>169</v>
      </c>
      <c r="B21" s="44">
        <v>4</v>
      </c>
      <c r="C21" s="131">
        <v>2</v>
      </c>
      <c r="E21" s="59" t="s">
        <v>93</v>
      </c>
      <c r="F21" s="56" t="s">
        <v>48</v>
      </c>
      <c r="G21" s="44">
        <v>1</v>
      </c>
      <c r="H21" s="129">
        <f>IF(B$17=0,0,G21/B$17)</f>
        <v>8.3333333333333332E-3</v>
      </c>
      <c r="I21" s="90">
        <v>1</v>
      </c>
      <c r="K21" s="36">
        <v>19</v>
      </c>
      <c r="L21" s="95">
        <v>-115.1</v>
      </c>
      <c r="N21" s="111" t="s">
        <v>182</v>
      </c>
      <c r="O21" s="121">
        <f t="shared" si="2"/>
        <v>-27.433333333333326</v>
      </c>
      <c r="P21" s="115">
        <v>6</v>
      </c>
      <c r="Q21" s="103">
        <v>-164.59999999999997</v>
      </c>
    </row>
    <row r="22" spans="1:17" x14ac:dyDescent="0.4">
      <c r="A22" s="51" t="s">
        <v>170</v>
      </c>
      <c r="B22" s="44">
        <v>32</v>
      </c>
      <c r="C22" s="131">
        <v>5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7172.5</v>
      </c>
      <c r="C23" s="39">
        <v>860700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7424.691358024691</v>
      </c>
      <c r="C24" s="137">
        <v>601400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6648.7179487179483</v>
      </c>
      <c r="C25" s="137">
        <v>259300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-6974.2857142857147</v>
      </c>
      <c r="C26" s="137">
        <v>-488200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4.3572984749455342E-3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-97.300000000000054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  <c r="K51" s="36">
        <v>49</v>
      </c>
      <c r="L51" s="95">
        <v>-256.70000000000005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</sheetData>
  <sortState xmlns:xlrd2="http://schemas.microsoft.com/office/spreadsheetml/2017/richdata2" ref="E2:I54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2BD46-768B-490A-B4D6-E4F4CCC91374}">
  <sheetPr codeName="Sheet9"/>
  <dimension ref="A1:Q12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120</v>
      </c>
      <c r="C2" s="149"/>
      <c r="E2" s="58" t="s">
        <v>66</v>
      </c>
      <c r="F2" s="55" t="s">
        <v>22</v>
      </c>
      <c r="G2" s="43">
        <v>226</v>
      </c>
      <c r="H2" s="128">
        <f>IF(B$17=0,0,G2/B$17)</f>
        <v>0.67664670658682635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1364.7058823529412</v>
      </c>
      <c r="P2" s="114">
        <v>119</v>
      </c>
      <c r="Q2" s="98">
        <v>162400</v>
      </c>
    </row>
    <row r="3" spans="1:17" x14ac:dyDescent="0.4">
      <c r="A3" s="51" t="s">
        <v>8</v>
      </c>
      <c r="B3" s="150">
        <v>973</v>
      </c>
      <c r="C3" s="151"/>
      <c r="E3" s="59" t="s">
        <v>72</v>
      </c>
      <c r="F3" s="56" t="s">
        <v>27</v>
      </c>
      <c r="G3" s="44">
        <v>167</v>
      </c>
      <c r="H3" s="129">
        <f>IF(B$17=0,0,G3/B$17)</f>
        <v>0.5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854.31034482758616</v>
      </c>
      <c r="P3" s="115">
        <v>116</v>
      </c>
      <c r="Q3" s="99">
        <v>99100</v>
      </c>
    </row>
    <row r="4" spans="1:17" x14ac:dyDescent="0.4">
      <c r="A4" s="51" t="s">
        <v>6</v>
      </c>
      <c r="B4" s="152">
        <v>1070.7</v>
      </c>
      <c r="C4" s="153"/>
      <c r="E4" s="59" t="s">
        <v>64</v>
      </c>
      <c r="F4" s="56" t="s">
        <v>20</v>
      </c>
      <c r="G4" s="44">
        <v>149</v>
      </c>
      <c r="H4" s="129">
        <f>IF(B$17=0,0,G4/B$17)</f>
        <v>0.44610778443113774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1035.7142857142858</v>
      </c>
      <c r="P4" s="115">
        <v>112</v>
      </c>
      <c r="Q4" s="99">
        <v>116000</v>
      </c>
    </row>
    <row r="5" spans="1:17" x14ac:dyDescent="0.4">
      <c r="A5" s="51" t="s">
        <v>7</v>
      </c>
      <c r="B5" s="154">
        <f>IF(B$2=0,0,B$4/B$2)</f>
        <v>8.9225000000000012</v>
      </c>
      <c r="C5" s="155"/>
      <c r="E5" s="59" t="s">
        <v>171</v>
      </c>
      <c r="F5" s="56" t="s">
        <v>172</v>
      </c>
      <c r="G5" s="44">
        <v>126</v>
      </c>
      <c r="H5" s="129">
        <f>IF(B$17=0,0,G5/B$17)</f>
        <v>0.3772455089820359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175.72815533980582</v>
      </c>
      <c r="P5" s="115">
        <v>103</v>
      </c>
      <c r="Q5" s="99">
        <v>18100</v>
      </c>
    </row>
    <row r="6" spans="1:17" x14ac:dyDescent="0.4">
      <c r="A6" s="51" t="s">
        <v>1</v>
      </c>
      <c r="B6" s="144">
        <f>IF(B$2=0,0,(B$7*1+B$8*2+B$9*3)/B$2)</f>
        <v>1.7833333333333334</v>
      </c>
      <c r="C6" s="145"/>
      <c r="E6" s="59" t="s">
        <v>68</v>
      </c>
      <c r="F6" s="56" t="s">
        <v>12</v>
      </c>
      <c r="G6" s="44">
        <v>99</v>
      </c>
      <c r="H6" s="129">
        <f>IF(B$17=0,0,G6/B$17)</f>
        <v>0.29640718562874252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2021.875</v>
      </c>
      <c r="P6" s="115">
        <v>96</v>
      </c>
      <c r="Q6" s="99">
        <v>194100</v>
      </c>
    </row>
    <row r="7" spans="1:17" x14ac:dyDescent="0.4">
      <c r="A7" s="51" t="s">
        <v>2</v>
      </c>
      <c r="B7" s="44">
        <v>55</v>
      </c>
      <c r="C7" s="37">
        <f t="shared" ref="C7:C12" si="1">IF(B$2=0,0,B7/B$2)</f>
        <v>0.45833333333333331</v>
      </c>
      <c r="E7" s="59" t="s">
        <v>67</v>
      </c>
      <c r="F7" s="56" t="s">
        <v>23</v>
      </c>
      <c r="G7" s="44">
        <v>82</v>
      </c>
      <c r="H7" s="129">
        <f>IF(B$17=0,0,G7/B$17)</f>
        <v>0.24550898203592814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2606.4935064935066</v>
      </c>
      <c r="P7" s="116">
        <v>77</v>
      </c>
      <c r="Q7" s="100">
        <v>200700</v>
      </c>
    </row>
    <row r="8" spans="1:17" x14ac:dyDescent="0.4">
      <c r="A8" s="51" t="s">
        <v>3</v>
      </c>
      <c r="B8" s="44">
        <v>36</v>
      </c>
      <c r="C8" s="37">
        <f t="shared" si="1"/>
        <v>0.3</v>
      </c>
      <c r="E8" s="59" t="s">
        <v>89</v>
      </c>
      <c r="F8" s="56" t="s">
        <v>44</v>
      </c>
      <c r="G8" s="44">
        <v>53</v>
      </c>
      <c r="H8" s="129">
        <f>IF(B$17=0,0,G8/B$17)</f>
        <v>0.15868263473053892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29</v>
      </c>
      <c r="C9" s="38">
        <f t="shared" si="1"/>
        <v>0.24166666666666667</v>
      </c>
      <c r="E9" s="59" t="s">
        <v>69</v>
      </c>
      <c r="F9" s="56" t="s">
        <v>24</v>
      </c>
      <c r="G9" s="44">
        <v>52</v>
      </c>
      <c r="H9" s="129">
        <f>IF(B$17=0,0,G9/B$17)</f>
        <v>0.15568862275449102</v>
      </c>
      <c r="I9" s="90">
        <v>4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4.1666666666666664E-2</v>
      </c>
      <c r="E10" s="59" t="s">
        <v>65</v>
      </c>
      <c r="F10" s="56" t="s">
        <v>21</v>
      </c>
      <c r="G10" s="44">
        <v>40</v>
      </c>
      <c r="H10" s="129">
        <f>IF(B$17=0,0,G10/B$17)</f>
        <v>0.11976047904191617</v>
      </c>
      <c r="I10" s="90">
        <v>3</v>
      </c>
      <c r="K10" s="36">
        <v>8</v>
      </c>
      <c r="L10" s="95">
        <v>148.1</v>
      </c>
      <c r="N10" s="110" t="s">
        <v>162</v>
      </c>
      <c r="O10" s="120">
        <f>IF(P10=0,0,Q10/P10)</f>
        <v>11.54705882352941</v>
      </c>
      <c r="P10" s="114">
        <v>34</v>
      </c>
      <c r="Q10" s="102">
        <v>392.59999999999991</v>
      </c>
    </row>
    <row r="11" spans="1:17" x14ac:dyDescent="0.4">
      <c r="A11" s="52" t="s">
        <v>138</v>
      </c>
      <c r="B11" s="45">
        <v>15</v>
      </c>
      <c r="C11" s="38">
        <f t="shared" si="1"/>
        <v>0.125</v>
      </c>
      <c r="E11" s="59" t="s">
        <v>71</v>
      </c>
      <c r="F11" s="56" t="s">
        <v>26</v>
      </c>
      <c r="G11" s="44">
        <v>23</v>
      </c>
      <c r="H11" s="129">
        <f>IF(B$17=0,0,G11/B$17)</f>
        <v>6.8862275449101798E-2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4.1395348837209305</v>
      </c>
      <c r="P11" s="115">
        <v>43</v>
      </c>
      <c r="Q11" s="103">
        <v>178</v>
      </c>
    </row>
    <row r="12" spans="1:17" x14ac:dyDescent="0.4">
      <c r="A12" s="53" t="s">
        <v>158</v>
      </c>
      <c r="B12" s="46">
        <v>13</v>
      </c>
      <c r="C12" s="40">
        <f t="shared" si="1"/>
        <v>0.10833333333333334</v>
      </c>
      <c r="E12" s="59" t="s">
        <v>86</v>
      </c>
      <c r="F12" s="56" t="s">
        <v>41</v>
      </c>
      <c r="G12" s="44">
        <v>19</v>
      </c>
      <c r="H12" s="129">
        <f>IF(B$17=0,0,G12/B$17)</f>
        <v>5.6886227544910177E-2</v>
      </c>
      <c r="I12" s="90">
        <v>4</v>
      </c>
      <c r="K12" s="36">
        <v>10</v>
      </c>
      <c r="L12" s="95">
        <v>158.19999999999999</v>
      </c>
      <c r="N12" s="112" t="s">
        <v>164</v>
      </c>
      <c r="O12" s="122">
        <f>IF(P12=0,0,Q12/P12)</f>
        <v>11.630232558139532</v>
      </c>
      <c r="P12" s="116">
        <v>43</v>
      </c>
      <c r="Q12" s="104">
        <v>500.09999999999985</v>
      </c>
    </row>
    <row r="13" spans="1:17" x14ac:dyDescent="0.4">
      <c r="A13" s="54" t="s">
        <v>121</v>
      </c>
      <c r="B13" s="47">
        <v>264</v>
      </c>
      <c r="C13" s="42">
        <f>IF(B$3=0,0,B13/B$3)</f>
        <v>0.27132579650565264</v>
      </c>
      <c r="E13" s="59" t="s">
        <v>70</v>
      </c>
      <c r="F13" s="56" t="s">
        <v>25</v>
      </c>
      <c r="G13" s="44">
        <v>18</v>
      </c>
      <c r="H13" s="129">
        <f>IF(B$17=0,0,G13/B$17)</f>
        <v>5.3892215568862277E-2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215</v>
      </c>
      <c r="C14" s="37">
        <f>IF(B$3=0,0,B14/B$3)</f>
        <v>0.22096608427543679</v>
      </c>
      <c r="E14" s="59" t="s">
        <v>83</v>
      </c>
      <c r="F14" s="56" t="s">
        <v>38</v>
      </c>
      <c r="G14" s="44">
        <v>15</v>
      </c>
      <c r="H14" s="129">
        <f>IF(B$17=0,0,G14/B$17)</f>
        <v>4.4910179640718563E-2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158</v>
      </c>
      <c r="C15" s="35">
        <f>IF(B$13=0,0,B15/B$13)</f>
        <v>0.59848484848484851</v>
      </c>
      <c r="E15" s="59" t="s">
        <v>78</v>
      </c>
      <c r="F15" s="56" t="s">
        <v>33</v>
      </c>
      <c r="G15" s="44">
        <v>14</v>
      </c>
      <c r="H15" s="129">
        <f>IF(B$17=0,0,G15/B$17)</f>
        <v>4.1916167664670656E-2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>IF(P15=0,0,Q15/P15)</f>
        <v>41.585714285714289</v>
      </c>
      <c r="P15" s="114">
        <v>7</v>
      </c>
      <c r="Q15" s="102">
        <v>291.10000000000002</v>
      </c>
    </row>
    <row r="16" spans="1:17" x14ac:dyDescent="0.4">
      <c r="A16" s="50" t="s">
        <v>124</v>
      </c>
      <c r="B16" s="43">
        <v>105</v>
      </c>
      <c r="C16" s="35">
        <f>IF(B$14=0,0,B16/B$14)</f>
        <v>0.48837209302325579</v>
      </c>
      <c r="E16" s="59" t="s">
        <v>167</v>
      </c>
      <c r="F16" s="56" t="s">
        <v>168</v>
      </c>
      <c r="G16" s="44">
        <v>12</v>
      </c>
      <c r="H16" s="129">
        <f>IF(B$17=0,0,G16/B$17)</f>
        <v>3.5928143712574849E-2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>IF(P16=0,0,Q16/P16)</f>
        <v>26.992307692307691</v>
      </c>
      <c r="P16" s="115">
        <v>13</v>
      </c>
      <c r="Q16" s="103">
        <v>350.9</v>
      </c>
    </row>
    <row r="17" spans="1:17" x14ac:dyDescent="0.4">
      <c r="A17" s="50" t="s">
        <v>10</v>
      </c>
      <c r="B17" s="43">
        <f>B19+B18</f>
        <v>334</v>
      </c>
      <c r="C17" s="35">
        <f>IF(B$3=0,0,B17/B$3)</f>
        <v>0.3432682425488181</v>
      </c>
      <c r="E17" s="59" t="s">
        <v>77</v>
      </c>
      <c r="F17" s="56" t="s">
        <v>32</v>
      </c>
      <c r="G17" s="44">
        <v>3</v>
      </c>
      <c r="H17" s="129">
        <f>IF(B$17=0,0,G17/B$17)</f>
        <v>8.9820359281437123E-3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>IF(P17=0,0,Q17/P17)</f>
        <v>18.559090909090912</v>
      </c>
      <c r="P17" s="115">
        <v>44</v>
      </c>
      <c r="Q17" s="103">
        <v>816.60000000000014</v>
      </c>
    </row>
    <row r="18" spans="1:17" x14ac:dyDescent="0.4">
      <c r="A18" s="51" t="s">
        <v>12</v>
      </c>
      <c r="B18" s="44">
        <v>143</v>
      </c>
      <c r="C18" s="37">
        <f>IF(B$17=0,0,B18/B$17)</f>
        <v>0.42814371257485029</v>
      </c>
      <c r="E18" s="59" t="s">
        <v>84</v>
      </c>
      <c r="F18" s="56" t="s">
        <v>39</v>
      </c>
      <c r="G18" s="44">
        <v>3</v>
      </c>
      <c r="H18" s="129">
        <f>IF(B$17=0,0,G18/B$17)</f>
        <v>8.9820359281437123E-3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>IF(P18=0,0,Q18/P18)</f>
        <v>16.541304347826088</v>
      </c>
      <c r="P18" s="115">
        <v>46</v>
      </c>
      <c r="Q18" s="103">
        <v>760.90000000000009</v>
      </c>
    </row>
    <row r="19" spans="1:17" x14ac:dyDescent="0.4">
      <c r="A19" s="51" t="s">
        <v>11</v>
      </c>
      <c r="B19" s="44">
        <v>191</v>
      </c>
      <c r="C19" s="37">
        <f>IF(B$17=0,0,B19/B$17)</f>
        <v>0.57185628742514971</v>
      </c>
      <c r="E19" s="59" t="s">
        <v>92</v>
      </c>
      <c r="F19" s="56" t="s">
        <v>47</v>
      </c>
      <c r="G19" s="44">
        <v>3</v>
      </c>
      <c r="H19" s="129">
        <f>IF(B$17=0,0,G19/B$17)</f>
        <v>8.9820359281437123E-3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15.313513513513515</v>
      </c>
      <c r="P19" s="115">
        <v>74</v>
      </c>
      <c r="Q19" s="103">
        <v>1133.2</v>
      </c>
    </row>
    <row r="20" spans="1:17" x14ac:dyDescent="0.4">
      <c r="A20" s="51" t="s">
        <v>13</v>
      </c>
      <c r="B20" s="44">
        <v>126</v>
      </c>
      <c r="C20" s="37">
        <f>IF(B$3=0,0,B20/B$3)</f>
        <v>0.12949640287769784</v>
      </c>
      <c r="E20" s="59" t="s">
        <v>75</v>
      </c>
      <c r="F20" s="56" t="s">
        <v>30</v>
      </c>
      <c r="G20" s="44">
        <v>2</v>
      </c>
      <c r="H20" s="129">
        <f>IF(B$17=0,0,G20/B$17)</f>
        <v>5.9880239520958087E-3</v>
      </c>
      <c r="I20" s="90">
        <v>6</v>
      </c>
      <c r="K20" s="36">
        <v>18</v>
      </c>
      <c r="L20" s="95">
        <v>352.39999999999992</v>
      </c>
      <c r="N20" s="111" t="s">
        <v>166</v>
      </c>
      <c r="O20" s="121">
        <f>IF(P20=0,0,Q20/P20)</f>
        <v>5.2892857142857137</v>
      </c>
      <c r="P20" s="115">
        <v>28</v>
      </c>
      <c r="Q20" s="103">
        <v>148.1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79</v>
      </c>
      <c r="F21" s="56" t="s">
        <v>34</v>
      </c>
      <c r="G21" s="44">
        <v>2</v>
      </c>
      <c r="H21" s="129">
        <f>IF(B$17=0,0,G21/B$17)</f>
        <v>5.9880239520958087E-3</v>
      </c>
      <c r="I21" s="90">
        <v>6</v>
      </c>
      <c r="K21" s="36">
        <v>19</v>
      </c>
      <c r="L21" s="95">
        <v>383.19999999999993</v>
      </c>
      <c r="N21" s="111" t="s">
        <v>177</v>
      </c>
      <c r="O21" s="121">
        <f>IF(P21=0,0,Q21/P21)</f>
        <v>-8.0814814814814806</v>
      </c>
      <c r="P21" s="115">
        <v>27</v>
      </c>
      <c r="Q21" s="103">
        <v>-218.2</v>
      </c>
    </row>
    <row r="22" spans="1:17" x14ac:dyDescent="0.4">
      <c r="A22" s="51" t="s">
        <v>170</v>
      </c>
      <c r="B22" s="44">
        <v>43</v>
      </c>
      <c r="C22" s="131">
        <v>0</v>
      </c>
      <c r="E22" s="59" t="s">
        <v>81</v>
      </c>
      <c r="F22" s="56" t="s">
        <v>36</v>
      </c>
      <c r="G22" s="44">
        <v>2</v>
      </c>
      <c r="H22" s="129">
        <f>IF(B$17=0,0,G22/B$17)</f>
        <v>5.9880239520958087E-3</v>
      </c>
      <c r="I22" s="90">
        <v>9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8312.8742514970054</v>
      </c>
      <c r="C23" s="39">
        <v>2776500</v>
      </c>
      <c r="E23" s="59" t="s">
        <v>85</v>
      </c>
      <c r="F23" s="56" t="s">
        <v>40</v>
      </c>
      <c r="G23" s="44">
        <v>2</v>
      </c>
      <c r="H23" s="129">
        <f>IF(B$17=0,0,G23/B$17)</f>
        <v>5.9880239520958087E-3</v>
      </c>
      <c r="I23" s="90">
        <v>3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8535.3711790393008</v>
      </c>
      <c r="C24" s="137">
        <v>1954600</v>
      </c>
      <c r="E24" s="59" t="s">
        <v>88</v>
      </c>
      <c r="F24" s="56" t="s">
        <v>43</v>
      </c>
      <c r="G24" s="44">
        <v>2</v>
      </c>
      <c r="H24" s="129">
        <f>IF(B$17=0,0,G24/B$17)</f>
        <v>5.9880239520958087E-3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7827.6190476190477</v>
      </c>
      <c r="C25" s="137">
        <v>821900</v>
      </c>
      <c r="E25" s="59" t="s">
        <v>91</v>
      </c>
      <c r="F25" s="56" t="s">
        <v>46</v>
      </c>
      <c r="G25" s="44">
        <v>2</v>
      </c>
      <c r="H25" s="129">
        <f>IF(B$17=0,0,G25/B$17)</f>
        <v>5.9880239520958087E-3</v>
      </c>
      <c r="I25" s="90">
        <v>7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-7901.5873015873012</v>
      </c>
      <c r="C26" s="137">
        <v>-995600</v>
      </c>
      <c r="E26" s="59" t="s">
        <v>74</v>
      </c>
      <c r="F26" s="56" t="s">
        <v>29</v>
      </c>
      <c r="G26" s="44">
        <v>1</v>
      </c>
      <c r="H26" s="129">
        <f>IF(B$17=0,0,G26/B$17)</f>
        <v>2.9940119760479044E-3</v>
      </c>
      <c r="I26" s="90">
        <v>6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90</v>
      </c>
      <c r="F27" s="56" t="s">
        <v>45</v>
      </c>
      <c r="G27" s="44">
        <v>1</v>
      </c>
      <c r="H27" s="129">
        <f>IF(B$17=0,0,G27/B$17)</f>
        <v>2.9940119760479044E-3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149100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2.9940119760479044E-3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1.0277492291880781E-3</v>
      </c>
      <c r="E29" s="59" t="s">
        <v>106</v>
      </c>
      <c r="F29" s="56" t="s">
        <v>113</v>
      </c>
      <c r="G29" s="44">
        <v>1</v>
      </c>
      <c r="H29" s="129">
        <f>IF(B$17=0,0,G29/B$17)</f>
        <v>2.9940119760479044E-3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73</v>
      </c>
      <c r="F30" s="56" t="s">
        <v>28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80</v>
      </c>
      <c r="F32" s="56" t="s">
        <v>35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82</v>
      </c>
      <c r="F33" s="56" t="s">
        <v>37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319.49999999999994</v>
      </c>
    </row>
    <row r="34" spans="5:12" x14ac:dyDescent="0.4">
      <c r="E34" s="59" t="s">
        <v>87</v>
      </c>
      <c r="F34" s="56" t="s">
        <v>42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93</v>
      </c>
      <c r="F35" s="56" t="s">
        <v>48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349.19999999999993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312.09999999999991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365.39999999999986</v>
      </c>
    </row>
    <row r="42" spans="5:12" x14ac:dyDescent="0.4">
      <c r="E42" s="59" t="s">
        <v>101</v>
      </c>
      <c r="F42" s="56" t="s">
        <v>56</v>
      </c>
      <c r="G42" s="44">
        <v>0</v>
      </c>
      <c r="H42" s="129">
        <f>IF(B$17=0,0,G42/B$17)</f>
        <v>0</v>
      </c>
      <c r="I42" s="90">
        <v>3</v>
      </c>
      <c r="K42" s="36">
        <v>40</v>
      </c>
      <c r="L42" s="95">
        <v>398.79999999999984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899B0-06A3-40C1-A7F5-6018324DBA32}">
  <sheetPr codeName="Sheet11"/>
  <dimension ref="A1:Q10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105</v>
      </c>
      <c r="C2" s="149"/>
      <c r="E2" s="58" t="s">
        <v>66</v>
      </c>
      <c r="F2" s="55" t="s">
        <v>22</v>
      </c>
      <c r="G2" s="43">
        <v>239</v>
      </c>
      <c r="H2" s="128">
        <f>IF(B$17=0,0,G2/B$17)</f>
        <v>0.90874524714828897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-1930.7692307692307</v>
      </c>
      <c r="P2" s="114">
        <v>104</v>
      </c>
      <c r="Q2" s="98">
        <v>-200800</v>
      </c>
    </row>
    <row r="3" spans="1:17" x14ac:dyDescent="0.4">
      <c r="A3" s="51" t="s">
        <v>8</v>
      </c>
      <c r="B3" s="150">
        <v>881</v>
      </c>
      <c r="C3" s="151"/>
      <c r="E3" s="59" t="s">
        <v>72</v>
      </c>
      <c r="F3" s="56" t="s">
        <v>27</v>
      </c>
      <c r="G3" s="44">
        <v>153</v>
      </c>
      <c r="H3" s="129">
        <f>IF(B$17=0,0,G3/B$17)</f>
        <v>0.58174904942965777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1042.1568627450981</v>
      </c>
      <c r="P3" s="115">
        <v>102</v>
      </c>
      <c r="Q3" s="99">
        <v>106300</v>
      </c>
    </row>
    <row r="4" spans="1:17" x14ac:dyDescent="0.4">
      <c r="A4" s="51" t="s">
        <v>6</v>
      </c>
      <c r="B4" s="152">
        <v>-48.80000000000021</v>
      </c>
      <c r="C4" s="153"/>
      <c r="E4" s="59" t="s">
        <v>171</v>
      </c>
      <c r="F4" s="56" t="s">
        <v>172</v>
      </c>
      <c r="G4" s="44">
        <v>111</v>
      </c>
      <c r="H4" s="129">
        <f>IF(B$17=0,0,G4/B$17)</f>
        <v>0.4220532319391635</v>
      </c>
      <c r="I4" s="90">
        <v>3</v>
      </c>
      <c r="K4" s="36">
        <v>2</v>
      </c>
      <c r="L4" s="95">
        <v>-34.299999999999997</v>
      </c>
      <c r="N4" s="111" t="s">
        <v>132</v>
      </c>
      <c r="O4" s="118">
        <f t="shared" si="0"/>
        <v>220.83333333333334</v>
      </c>
      <c r="P4" s="115">
        <v>96</v>
      </c>
      <c r="Q4" s="99">
        <v>21200</v>
      </c>
    </row>
    <row r="5" spans="1:17" x14ac:dyDescent="0.4">
      <c r="A5" s="51" t="s">
        <v>7</v>
      </c>
      <c r="B5" s="154">
        <f>IF(B$2=0,0,B$4/B$2)</f>
        <v>-0.46476190476190676</v>
      </c>
      <c r="C5" s="155"/>
      <c r="E5" s="59" t="s">
        <v>64</v>
      </c>
      <c r="F5" s="56" t="s">
        <v>20</v>
      </c>
      <c r="G5" s="44">
        <v>105</v>
      </c>
      <c r="H5" s="129">
        <f>IF(B$17=0,0,G5/B$17)</f>
        <v>0.39923954372623577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693.33333333333337</v>
      </c>
      <c r="P5" s="115">
        <v>90</v>
      </c>
      <c r="Q5" s="99">
        <v>62400</v>
      </c>
    </row>
    <row r="6" spans="1:17" x14ac:dyDescent="0.4">
      <c r="A6" s="51" t="s">
        <v>1</v>
      </c>
      <c r="B6" s="144">
        <f>IF(B$2=0,0,(B$7*1+B$8*2+B$9*3)/B$2)</f>
        <v>1.980952380952381</v>
      </c>
      <c r="C6" s="145"/>
      <c r="E6" s="59" t="s">
        <v>68</v>
      </c>
      <c r="F6" s="56" t="s">
        <v>12</v>
      </c>
      <c r="G6" s="44">
        <v>73</v>
      </c>
      <c r="H6" s="129">
        <f>IF(B$17=0,0,G6/B$17)</f>
        <v>0.27756653992395436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-1071.0843373493976</v>
      </c>
      <c r="P6" s="115">
        <v>83</v>
      </c>
      <c r="Q6" s="99">
        <v>-88900</v>
      </c>
    </row>
    <row r="7" spans="1:17" x14ac:dyDescent="0.4">
      <c r="A7" s="51" t="s">
        <v>2</v>
      </c>
      <c r="B7" s="44">
        <v>36</v>
      </c>
      <c r="C7" s="37">
        <f t="shared" ref="C7:C12" si="1">IF(B$2=0,0,B7/B$2)</f>
        <v>0.34285714285714286</v>
      </c>
      <c r="E7" s="59" t="s">
        <v>67</v>
      </c>
      <c r="F7" s="56" t="s">
        <v>23</v>
      </c>
      <c r="G7" s="44">
        <v>56</v>
      </c>
      <c r="H7" s="129">
        <f>IF(B$17=0,0,G7/B$17)</f>
        <v>0.21292775665399238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1361.4285714285713</v>
      </c>
      <c r="P7" s="116">
        <v>70</v>
      </c>
      <c r="Q7" s="100">
        <v>95300</v>
      </c>
    </row>
    <row r="8" spans="1:17" x14ac:dyDescent="0.4">
      <c r="A8" s="51" t="s">
        <v>3</v>
      </c>
      <c r="B8" s="44">
        <v>35</v>
      </c>
      <c r="C8" s="37">
        <f t="shared" si="1"/>
        <v>0.33333333333333331</v>
      </c>
      <c r="E8" s="59" t="s">
        <v>89</v>
      </c>
      <c r="F8" s="56" t="s">
        <v>44</v>
      </c>
      <c r="G8" s="44">
        <v>32</v>
      </c>
      <c r="H8" s="129">
        <f>IF(B$17=0,0,G8/B$17)</f>
        <v>0.12167300380228137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1"/>
        <v>0.32380952380952382</v>
      </c>
      <c r="E9" s="59" t="s">
        <v>69</v>
      </c>
      <c r="F9" s="56" t="s">
        <v>24</v>
      </c>
      <c r="G9" s="44">
        <v>30</v>
      </c>
      <c r="H9" s="129">
        <f>IF(B$17=0,0,G9/B$17)</f>
        <v>0.11406844106463879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15</v>
      </c>
      <c r="C10" s="38">
        <f t="shared" si="1"/>
        <v>0.14285714285714285</v>
      </c>
      <c r="E10" s="59" t="s">
        <v>65</v>
      </c>
      <c r="F10" s="56" t="s">
        <v>21</v>
      </c>
      <c r="G10" s="44">
        <v>26</v>
      </c>
      <c r="H10" s="129">
        <f>IF(B$17=0,0,G10/B$17)</f>
        <v>9.8859315589353611E-2</v>
      </c>
      <c r="I10" s="90">
        <v>7</v>
      </c>
      <c r="K10" s="36">
        <v>8</v>
      </c>
      <c r="L10" s="95">
        <v>-56.79999999999999</v>
      </c>
      <c r="N10" s="110" t="s">
        <v>162</v>
      </c>
      <c r="O10" s="120">
        <f>IF(P10=0,0,Q10/P10)</f>
        <v>1.3961538461538472</v>
      </c>
      <c r="P10" s="114">
        <v>26</v>
      </c>
      <c r="Q10" s="102">
        <v>36.300000000000026</v>
      </c>
    </row>
    <row r="11" spans="1:17" x14ac:dyDescent="0.4">
      <c r="A11" s="52" t="s">
        <v>138</v>
      </c>
      <c r="B11" s="45">
        <v>10</v>
      </c>
      <c r="C11" s="38">
        <f t="shared" si="1"/>
        <v>9.5238095238095233E-2</v>
      </c>
      <c r="E11" s="59" t="s">
        <v>70</v>
      </c>
      <c r="F11" s="56" t="s">
        <v>25</v>
      </c>
      <c r="G11" s="44">
        <v>23</v>
      </c>
      <c r="H11" s="129">
        <f>IF(B$17=0,0,G11/B$17)</f>
        <v>8.7452471482889732E-2</v>
      </c>
      <c r="I11" s="90">
        <v>8</v>
      </c>
      <c r="K11" s="36">
        <v>9</v>
      </c>
      <c r="L11" s="95">
        <v>-83.699999999999989</v>
      </c>
      <c r="N11" s="111" t="s">
        <v>163</v>
      </c>
      <c r="O11" s="121">
        <f>IF(P11=0,0,Q11/P11)</f>
        <v>3.7781250000000011</v>
      </c>
      <c r="P11" s="115">
        <v>32</v>
      </c>
      <c r="Q11" s="103">
        <v>120.90000000000003</v>
      </c>
    </row>
    <row r="12" spans="1:17" x14ac:dyDescent="0.4">
      <c r="A12" s="53" t="s">
        <v>158</v>
      </c>
      <c r="B12" s="46">
        <v>17</v>
      </c>
      <c r="C12" s="40">
        <f t="shared" si="1"/>
        <v>0.16190476190476191</v>
      </c>
      <c r="E12" s="59" t="s">
        <v>71</v>
      </c>
      <c r="F12" s="56" t="s">
        <v>26</v>
      </c>
      <c r="G12" s="44">
        <v>22</v>
      </c>
      <c r="H12" s="129">
        <f>IF(B$17=0,0,G12/B$17)</f>
        <v>8.3650190114068435E-2</v>
      </c>
      <c r="I12" s="90">
        <v>6</v>
      </c>
      <c r="K12" s="36">
        <v>10</v>
      </c>
      <c r="L12" s="95">
        <v>-78.399999999999991</v>
      </c>
      <c r="N12" s="112" t="s">
        <v>164</v>
      </c>
      <c r="O12" s="122">
        <f>IF(P12=0,0,Q12/P12)</f>
        <v>-4.3829787234042561</v>
      </c>
      <c r="P12" s="116">
        <v>47</v>
      </c>
      <c r="Q12" s="104">
        <v>-206.00000000000006</v>
      </c>
    </row>
    <row r="13" spans="1:17" x14ac:dyDescent="0.4">
      <c r="A13" s="54" t="s">
        <v>121</v>
      </c>
      <c r="B13" s="47">
        <v>205</v>
      </c>
      <c r="C13" s="42">
        <f>IF(B$3=0,0,B13/B$3)</f>
        <v>0.23269012485811577</v>
      </c>
      <c r="E13" s="59" t="s">
        <v>86</v>
      </c>
      <c r="F13" s="56" t="s">
        <v>41</v>
      </c>
      <c r="G13" s="44">
        <v>18</v>
      </c>
      <c r="H13" s="129">
        <f>IF(B$17=0,0,G13/B$17)</f>
        <v>6.8441064638783272E-2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266</v>
      </c>
      <c r="C14" s="37">
        <f>IF(B$3=0,0,B14/B$3)</f>
        <v>0.30192962542565266</v>
      </c>
      <c r="E14" s="59" t="s">
        <v>83</v>
      </c>
      <c r="F14" s="56" t="s">
        <v>38</v>
      </c>
      <c r="G14" s="44">
        <v>15</v>
      </c>
      <c r="H14" s="129">
        <f>IF(B$17=0,0,G14/B$17)</f>
        <v>5.7034220532319393E-2</v>
      </c>
      <c r="I14" s="90">
        <v>6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104</v>
      </c>
      <c r="C15" s="35">
        <f>IF(B$13=0,0,B15/B$13)</f>
        <v>0.50731707317073171</v>
      </c>
      <c r="E15" s="59" t="s">
        <v>78</v>
      </c>
      <c r="F15" s="56" t="s">
        <v>33</v>
      </c>
      <c r="G15" s="44">
        <v>8</v>
      </c>
      <c r="H15" s="129">
        <f>IF(B$17=0,0,G15/B$17)</f>
        <v>3.0418250950570342E-2</v>
      </c>
      <c r="I15" s="90">
        <v>4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97</v>
      </c>
      <c r="C16" s="35">
        <f>IF(B$14=0,0,B16/B$14)</f>
        <v>0.36466165413533835</v>
      </c>
      <c r="E16" s="59" t="s">
        <v>91</v>
      </c>
      <c r="F16" s="56" t="s">
        <v>46</v>
      </c>
      <c r="G16" s="44">
        <v>8</v>
      </c>
      <c r="H16" s="129">
        <f>IF(B$17=0,0,G16/B$17)</f>
        <v>3.0418250950570342E-2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>IF(P16=0,0,Q16/P16)</f>
        <v>25.583333333333332</v>
      </c>
      <c r="P16" s="115">
        <v>12</v>
      </c>
      <c r="Q16" s="103">
        <v>307</v>
      </c>
    </row>
    <row r="17" spans="1:17" x14ac:dyDescent="0.4">
      <c r="A17" s="50" t="s">
        <v>10</v>
      </c>
      <c r="B17" s="43">
        <f>B19+B18</f>
        <v>263</v>
      </c>
      <c r="C17" s="35">
        <f>IF(B$3=0,0,B17/B$3)</f>
        <v>0.29852440408626563</v>
      </c>
      <c r="E17" s="59" t="s">
        <v>81</v>
      </c>
      <c r="F17" s="56" t="s">
        <v>36</v>
      </c>
      <c r="G17" s="44">
        <v>6</v>
      </c>
      <c r="H17" s="129">
        <f>IF(B$17=0,0,G17/B$17)</f>
        <v>2.2813688212927757E-2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>IF(P17=0,0,Q17/P17)</f>
        <v>13.5</v>
      </c>
      <c r="P17" s="115">
        <v>5</v>
      </c>
      <c r="Q17" s="103">
        <v>67.5</v>
      </c>
    </row>
    <row r="18" spans="1:17" x14ac:dyDescent="0.4">
      <c r="A18" s="51" t="s">
        <v>12</v>
      </c>
      <c r="B18" s="44">
        <v>105</v>
      </c>
      <c r="C18" s="37">
        <f>IF(B$17=0,0,B18/B$17)</f>
        <v>0.39923954372623577</v>
      </c>
      <c r="E18" s="59" t="s">
        <v>79</v>
      </c>
      <c r="F18" s="56" t="s">
        <v>34</v>
      </c>
      <c r="G18" s="44">
        <v>5</v>
      </c>
      <c r="H18" s="129">
        <f>IF(B$17=0,0,G18/B$17)</f>
        <v>1.9011406844106463E-2</v>
      </c>
      <c r="I18" s="90">
        <v>3</v>
      </c>
      <c r="K18" s="36">
        <v>16</v>
      </c>
      <c r="L18" s="95">
        <v>-187.3</v>
      </c>
      <c r="N18" s="111" t="s">
        <v>179</v>
      </c>
      <c r="O18" s="121">
        <f>IF(P18=0,0,Q18/P18)</f>
        <v>12.449999999999998</v>
      </c>
      <c r="P18" s="115">
        <v>32</v>
      </c>
      <c r="Q18" s="103">
        <v>398.39999999999992</v>
      </c>
    </row>
    <row r="19" spans="1:17" x14ac:dyDescent="0.4">
      <c r="A19" s="51" t="s">
        <v>11</v>
      </c>
      <c r="B19" s="44">
        <v>158</v>
      </c>
      <c r="C19" s="37">
        <f>IF(B$17=0,0,B19/B$17)</f>
        <v>0.60076045627376429</v>
      </c>
      <c r="E19" s="59" t="s">
        <v>167</v>
      </c>
      <c r="F19" s="56" t="s">
        <v>168</v>
      </c>
      <c r="G19" s="44">
        <v>3</v>
      </c>
      <c r="H19" s="129">
        <f>IF(B$17=0,0,G19/B$17)</f>
        <v>1.1406844106463879E-2</v>
      </c>
      <c r="I19" s="90">
        <v>7</v>
      </c>
      <c r="K19" s="36">
        <v>17</v>
      </c>
      <c r="L19" s="95">
        <v>-179.70000000000002</v>
      </c>
      <c r="N19" s="111" t="s">
        <v>177</v>
      </c>
      <c r="O19" s="121">
        <f>IF(P19=0,0,Q19/P19)</f>
        <v>4.3615384615384674</v>
      </c>
      <c r="P19" s="115">
        <v>26</v>
      </c>
      <c r="Q19" s="103">
        <v>113.40000000000016</v>
      </c>
    </row>
    <row r="20" spans="1:17" x14ac:dyDescent="0.4">
      <c r="A20" s="51" t="s">
        <v>13</v>
      </c>
      <c r="B20" s="44">
        <v>173</v>
      </c>
      <c r="C20" s="37">
        <f>IF(B$3=0,0,B20/B$3)</f>
        <v>0.1963677639046538</v>
      </c>
      <c r="E20" s="59" t="s">
        <v>74</v>
      </c>
      <c r="F20" s="56" t="s">
        <v>29</v>
      </c>
      <c r="G20" s="44">
        <v>2</v>
      </c>
      <c r="H20" s="129">
        <f>IF(B$17=0,0,G20/B$17)</f>
        <v>7.6045627376425855E-3</v>
      </c>
      <c r="I20" s="90">
        <v>3</v>
      </c>
      <c r="K20" s="36">
        <v>18</v>
      </c>
      <c r="L20" s="95">
        <v>-112.90000000000002</v>
      </c>
      <c r="N20" s="111" t="s">
        <v>166</v>
      </c>
      <c r="O20" s="121">
        <f>IF(P20=0,0,Q20/P20)</f>
        <v>2.5681818181818166</v>
      </c>
      <c r="P20" s="115">
        <v>22</v>
      </c>
      <c r="Q20" s="103">
        <v>56.499999999999964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75</v>
      </c>
      <c r="F21" s="56" t="s">
        <v>30</v>
      </c>
      <c r="G21" s="44">
        <v>1</v>
      </c>
      <c r="H21" s="129">
        <f>IF(B$17=0,0,G21/B$17)</f>
        <v>3.8022813688212928E-3</v>
      </c>
      <c r="I21" s="90">
        <v>8</v>
      </c>
      <c r="K21" s="36">
        <v>19</v>
      </c>
      <c r="L21" s="95">
        <v>-162.40000000000003</v>
      </c>
      <c r="N21" s="111" t="s">
        <v>178</v>
      </c>
      <c r="O21" s="121">
        <f>IF(P21=0,0,Q21/P21)</f>
        <v>-2.8810810810810787</v>
      </c>
      <c r="P21" s="115">
        <v>37</v>
      </c>
      <c r="Q21" s="103">
        <v>-106.59999999999991</v>
      </c>
    </row>
    <row r="22" spans="1:17" x14ac:dyDescent="0.4">
      <c r="A22" s="51" t="s">
        <v>170</v>
      </c>
      <c r="B22" s="44">
        <v>30</v>
      </c>
      <c r="C22" s="131">
        <v>16</v>
      </c>
      <c r="E22" s="59" t="s">
        <v>77</v>
      </c>
      <c r="F22" s="56" t="s">
        <v>32</v>
      </c>
      <c r="G22" s="44">
        <v>1</v>
      </c>
      <c r="H22" s="129">
        <f>IF(B$17=0,0,G22/B$17)</f>
        <v>3.8022813688212928E-3</v>
      </c>
      <c r="I22" s="90">
        <v>3</v>
      </c>
      <c r="K22" s="36">
        <v>20</v>
      </c>
      <c r="L22" s="95">
        <v>-96.000000000000028</v>
      </c>
      <c r="N22" s="111" t="s">
        <v>126</v>
      </c>
      <c r="O22" s="121">
        <f>IF(P22=0,0,Q22/P22)</f>
        <v>-15.313513513513515</v>
      </c>
      <c r="P22" s="115">
        <v>74</v>
      </c>
      <c r="Q22" s="103">
        <v>-1133.2</v>
      </c>
    </row>
    <row r="23" spans="1:17" x14ac:dyDescent="0.4">
      <c r="A23" s="51" t="s">
        <v>5</v>
      </c>
      <c r="B23" s="48">
        <f>IF(B$17=0,0,C23/B$17)</f>
        <v>8553.9923954372625</v>
      </c>
      <c r="C23" s="39">
        <v>2249700</v>
      </c>
      <c r="E23" s="59" t="s">
        <v>84</v>
      </c>
      <c r="F23" s="56" t="s">
        <v>39</v>
      </c>
      <c r="G23" s="44">
        <v>1</v>
      </c>
      <c r="H23" s="129">
        <f>IF(B$17=0,0,G23/B$17)</f>
        <v>3.8022813688212928E-3</v>
      </c>
      <c r="I23" s="90">
        <v>2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8974.0963855421687</v>
      </c>
      <c r="C24" s="137">
        <v>1489700</v>
      </c>
      <c r="E24" s="59" t="s">
        <v>92</v>
      </c>
      <c r="F24" s="56" t="s">
        <v>47</v>
      </c>
      <c r="G24" s="44">
        <v>1</v>
      </c>
      <c r="H24" s="129">
        <f>IF(B$17=0,0,G24/B$17)</f>
        <v>3.8022813688212928E-3</v>
      </c>
      <c r="I24" s="90">
        <v>4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7835.0515463917527</v>
      </c>
      <c r="C25" s="137">
        <v>760000</v>
      </c>
      <c r="E25" s="59" t="s">
        <v>95</v>
      </c>
      <c r="F25" s="56" t="s">
        <v>50</v>
      </c>
      <c r="G25" s="44">
        <v>1</v>
      </c>
      <c r="H25" s="129">
        <f>IF(B$17=0,0,G25/B$17)</f>
        <v>3.8022813688212928E-3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-8190.7514450867056</v>
      </c>
      <c r="C26" s="137">
        <v>-1417000</v>
      </c>
      <c r="E26" s="59" t="s">
        <v>73</v>
      </c>
      <c r="F26" s="56" t="s">
        <v>28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3.4052213393870601E-3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9F3F6-5687-4280-9BCF-F6A38CE73CB0}">
  <sheetPr codeName="Sheet13"/>
  <dimension ref="A1:Q6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65</v>
      </c>
      <c r="C2" s="149"/>
      <c r="E2" s="58" t="s">
        <v>66</v>
      </c>
      <c r="F2" s="55" t="s">
        <v>22</v>
      </c>
      <c r="G2" s="43">
        <v>120</v>
      </c>
      <c r="H2" s="128">
        <f>IF(B$17=0,0,G2/B$17)</f>
        <v>0.78431372549019607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-134.375</v>
      </c>
      <c r="P2" s="114">
        <v>64</v>
      </c>
      <c r="Q2" s="98">
        <v>-8600</v>
      </c>
    </row>
    <row r="3" spans="1:17" x14ac:dyDescent="0.4">
      <c r="A3" s="51" t="s">
        <v>8</v>
      </c>
      <c r="B3" s="150">
        <v>551</v>
      </c>
      <c r="C3" s="151"/>
      <c r="E3" s="59" t="s">
        <v>64</v>
      </c>
      <c r="F3" s="56" t="s">
        <v>20</v>
      </c>
      <c r="G3" s="44">
        <v>90</v>
      </c>
      <c r="H3" s="129">
        <f>IF(B$17=0,0,G3/B$17)</f>
        <v>0.58823529411764708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-1059.375</v>
      </c>
      <c r="P3" s="115">
        <v>64</v>
      </c>
      <c r="Q3" s="99">
        <v>-67800</v>
      </c>
    </row>
    <row r="4" spans="1:17" x14ac:dyDescent="0.4">
      <c r="A4" s="51" t="s">
        <v>6</v>
      </c>
      <c r="B4" s="152">
        <v>-465.9</v>
      </c>
      <c r="C4" s="153"/>
      <c r="E4" s="59" t="s">
        <v>72</v>
      </c>
      <c r="F4" s="56" t="s">
        <v>27</v>
      </c>
      <c r="G4" s="44">
        <v>78</v>
      </c>
      <c r="H4" s="129">
        <f>IF(B$17=0,0,G4/B$17)</f>
        <v>0.50980392156862742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718.33333333333337</v>
      </c>
      <c r="P4" s="115">
        <v>60</v>
      </c>
      <c r="Q4" s="99">
        <v>43100</v>
      </c>
    </row>
    <row r="5" spans="1:17" x14ac:dyDescent="0.4">
      <c r="A5" s="51" t="s">
        <v>7</v>
      </c>
      <c r="B5" s="154">
        <f>IF(B$2=0,0,B$4/B$2)</f>
        <v>-7.1676923076923069</v>
      </c>
      <c r="C5" s="155"/>
      <c r="E5" s="59" t="s">
        <v>171</v>
      </c>
      <c r="F5" s="56" t="s">
        <v>172</v>
      </c>
      <c r="G5" s="44">
        <v>65</v>
      </c>
      <c r="H5" s="129">
        <f>IF(B$17=0,0,G5/B$17)</f>
        <v>0.42483660130718953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-1493.2203389830509</v>
      </c>
      <c r="P5" s="115">
        <v>59</v>
      </c>
      <c r="Q5" s="99">
        <v>-88100</v>
      </c>
    </row>
    <row r="6" spans="1:17" x14ac:dyDescent="0.4">
      <c r="A6" s="51" t="s">
        <v>1</v>
      </c>
      <c r="B6" s="144">
        <f>IF(B$2=0,0,(B$7*1+B$8*2+B$9*3)/B$2)</f>
        <v>2.1846153846153844</v>
      </c>
      <c r="C6" s="145"/>
      <c r="E6" s="59" t="s">
        <v>68</v>
      </c>
      <c r="F6" s="56" t="s">
        <v>12</v>
      </c>
      <c r="G6" s="44">
        <v>53</v>
      </c>
      <c r="H6" s="129">
        <f>IF(B$17=0,0,G6/B$17)</f>
        <v>0.34640522875816993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-3360.7142857142858</v>
      </c>
      <c r="P6" s="115">
        <v>56</v>
      </c>
      <c r="Q6" s="99">
        <v>-188200</v>
      </c>
    </row>
    <row r="7" spans="1:17" x14ac:dyDescent="0.4">
      <c r="A7" s="51" t="s">
        <v>2</v>
      </c>
      <c r="B7" s="44">
        <v>14</v>
      </c>
      <c r="C7" s="37">
        <f t="shared" ref="C7:C12" si="1">IF(B$2=0,0,B7/B$2)</f>
        <v>0.2153846153846154</v>
      </c>
      <c r="E7" s="59" t="s">
        <v>67</v>
      </c>
      <c r="F7" s="56" t="s">
        <v>23</v>
      </c>
      <c r="G7" s="44">
        <v>47</v>
      </c>
      <c r="H7" s="129">
        <f>IF(B$17=0,0,G7/B$17)</f>
        <v>0.30718954248366015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-1190</v>
      </c>
      <c r="P7" s="116">
        <v>50</v>
      </c>
      <c r="Q7" s="100">
        <v>-59500</v>
      </c>
    </row>
    <row r="8" spans="1:17" x14ac:dyDescent="0.4">
      <c r="A8" s="51" t="s">
        <v>3</v>
      </c>
      <c r="B8" s="44">
        <v>25</v>
      </c>
      <c r="C8" s="37">
        <f t="shared" si="1"/>
        <v>0.38461538461538464</v>
      </c>
      <c r="E8" s="59" t="s">
        <v>70</v>
      </c>
      <c r="F8" s="56" t="s">
        <v>25</v>
      </c>
      <c r="G8" s="44">
        <v>24</v>
      </c>
      <c r="H8" s="129">
        <f>IF(B$17=0,0,G8/B$17)</f>
        <v>0.15686274509803921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1"/>
        <v>0.4</v>
      </c>
      <c r="E9" s="59" t="s">
        <v>69</v>
      </c>
      <c r="F9" s="56" t="s">
        <v>24</v>
      </c>
      <c r="G9" s="44">
        <v>22</v>
      </c>
      <c r="H9" s="129">
        <f>IF(B$17=0,0,G9/B$17)</f>
        <v>0.1437908496732026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9.2307692307692313E-2</v>
      </c>
      <c r="E10" s="59" t="s">
        <v>65</v>
      </c>
      <c r="F10" s="56" t="s">
        <v>21</v>
      </c>
      <c r="G10" s="44">
        <v>18</v>
      </c>
      <c r="H10" s="129">
        <f>IF(B$17=0,0,G10/B$17)</f>
        <v>0.11764705882352941</v>
      </c>
      <c r="I10" s="90">
        <v>4</v>
      </c>
      <c r="K10" s="36">
        <v>8</v>
      </c>
      <c r="L10" s="95">
        <v>-62.999999999999993</v>
      </c>
      <c r="N10" s="110" t="s">
        <v>162</v>
      </c>
      <c r="O10" s="120">
        <f>IF(P10=0,0,Q10/P10)</f>
        <v>-2.9076923076923085</v>
      </c>
      <c r="P10" s="114">
        <v>26</v>
      </c>
      <c r="Q10" s="102">
        <v>-75.600000000000023</v>
      </c>
    </row>
    <row r="11" spans="1:17" x14ac:dyDescent="0.4">
      <c r="A11" s="52" t="s">
        <v>138</v>
      </c>
      <c r="B11" s="45">
        <v>2</v>
      </c>
      <c r="C11" s="38">
        <f t="shared" si="1"/>
        <v>3.0769230769230771E-2</v>
      </c>
      <c r="E11" s="59" t="s">
        <v>89</v>
      </c>
      <c r="F11" s="56" t="s">
        <v>44</v>
      </c>
      <c r="G11" s="44">
        <v>16</v>
      </c>
      <c r="H11" s="129">
        <f>IF(B$17=0,0,G11/B$17)</f>
        <v>0.10457516339869281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-7.2949999999999999</v>
      </c>
      <c r="P11" s="115">
        <v>20</v>
      </c>
      <c r="Q11" s="103">
        <v>-145.9</v>
      </c>
    </row>
    <row r="12" spans="1:17" x14ac:dyDescent="0.4">
      <c r="A12" s="53" t="s">
        <v>158</v>
      </c>
      <c r="B12" s="46">
        <v>5</v>
      </c>
      <c r="C12" s="40">
        <f t="shared" si="1"/>
        <v>7.6923076923076927E-2</v>
      </c>
      <c r="E12" s="59" t="s">
        <v>83</v>
      </c>
      <c r="F12" s="56" t="s">
        <v>38</v>
      </c>
      <c r="G12" s="44">
        <v>9</v>
      </c>
      <c r="H12" s="129">
        <f>IF(B$17=0,0,G12/B$17)</f>
        <v>5.8823529411764705E-2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-12.86315789473684</v>
      </c>
      <c r="P12" s="116">
        <v>19</v>
      </c>
      <c r="Q12" s="104">
        <v>-244.39999999999998</v>
      </c>
    </row>
    <row r="13" spans="1:17" x14ac:dyDescent="0.4">
      <c r="A13" s="54" t="s">
        <v>121</v>
      </c>
      <c r="B13" s="47">
        <v>158</v>
      </c>
      <c r="C13" s="42">
        <f>IF(B$3=0,0,B13/B$3)</f>
        <v>0.2867513611615245</v>
      </c>
      <c r="E13" s="59" t="s">
        <v>71</v>
      </c>
      <c r="F13" s="56" t="s">
        <v>26</v>
      </c>
      <c r="G13" s="44">
        <v>7</v>
      </c>
      <c r="H13" s="129">
        <f>IF(B$17=0,0,G13/B$17)</f>
        <v>4.5751633986928102E-2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106</v>
      </c>
      <c r="C14" s="37">
        <f>IF(B$3=0,0,B14/B$3)</f>
        <v>0.19237749546279492</v>
      </c>
      <c r="E14" s="59" t="s">
        <v>78</v>
      </c>
      <c r="F14" s="56" t="s">
        <v>33</v>
      </c>
      <c r="G14" s="44">
        <v>6</v>
      </c>
      <c r="H14" s="129">
        <f>IF(B$17=0,0,G14/B$17)</f>
        <v>3.9215686274509803E-2</v>
      </c>
      <c r="I14" s="90">
        <v>3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92</v>
      </c>
      <c r="C15" s="35">
        <f>IF(B$13=0,0,B15/B$13)</f>
        <v>0.58227848101265822</v>
      </c>
      <c r="E15" s="59" t="s">
        <v>86</v>
      </c>
      <c r="F15" s="56" t="s">
        <v>41</v>
      </c>
      <c r="G15" s="44">
        <v>4</v>
      </c>
      <c r="H15" s="129">
        <f>IF(B$17=0,0,G15/B$17)</f>
        <v>2.6143790849673203E-2</v>
      </c>
      <c r="I15" s="90">
        <v>10</v>
      </c>
      <c r="K15" s="36">
        <v>13</v>
      </c>
      <c r="L15" s="95">
        <v>-207.3</v>
      </c>
      <c r="N15" s="110" t="s">
        <v>182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41</v>
      </c>
      <c r="C16" s="35">
        <f>IF(B$14=0,0,B16/B$14)</f>
        <v>0.3867924528301887</v>
      </c>
      <c r="E16" s="59" t="s">
        <v>81</v>
      </c>
      <c r="F16" s="56" t="s">
        <v>36</v>
      </c>
      <c r="G16" s="44">
        <v>3</v>
      </c>
      <c r="H16" s="129">
        <f>IF(B$17=0,0,G16/B$17)</f>
        <v>1.9607843137254902E-2</v>
      </c>
      <c r="I16" s="90">
        <v>4</v>
      </c>
      <c r="K16" s="36">
        <v>14</v>
      </c>
      <c r="L16" s="95">
        <v>-204.8</v>
      </c>
      <c r="N16" s="111" t="s">
        <v>166</v>
      </c>
      <c r="O16" s="121">
        <f>IF(P16=0,0,Q16/P16)</f>
        <v>12.242857142857146</v>
      </c>
      <c r="P16" s="115">
        <v>14</v>
      </c>
      <c r="Q16" s="103">
        <v>171.40000000000003</v>
      </c>
    </row>
    <row r="17" spans="1:17" x14ac:dyDescent="0.4">
      <c r="A17" s="50" t="s">
        <v>10</v>
      </c>
      <c r="B17" s="43">
        <f>B19+B18</f>
        <v>153</v>
      </c>
      <c r="C17" s="35">
        <f>IF(B$3=0,0,B17/B$3)</f>
        <v>0.27767695099818512</v>
      </c>
      <c r="E17" s="59" t="s">
        <v>167</v>
      </c>
      <c r="F17" s="56" t="s">
        <v>168</v>
      </c>
      <c r="G17" s="44">
        <v>3</v>
      </c>
      <c r="H17" s="129">
        <f>IF(B$17=0,0,G17/B$17)</f>
        <v>1.9607843137254902E-2</v>
      </c>
      <c r="I17" s="90">
        <v>4</v>
      </c>
      <c r="K17" s="36">
        <v>15</v>
      </c>
      <c r="L17" s="95">
        <v>-221.5</v>
      </c>
      <c r="N17" s="111" t="s">
        <v>177</v>
      </c>
      <c r="O17" s="121">
        <f>IF(P17=0,0,Q17/P17)</f>
        <v>-3.0499999999999985</v>
      </c>
      <c r="P17" s="115">
        <v>10</v>
      </c>
      <c r="Q17" s="103">
        <v>-30.499999999999986</v>
      </c>
    </row>
    <row r="18" spans="1:17" x14ac:dyDescent="0.4">
      <c r="A18" s="51" t="s">
        <v>12</v>
      </c>
      <c r="B18" s="44">
        <v>70</v>
      </c>
      <c r="C18" s="37">
        <f>IF(B$17=0,0,B18/B$17)</f>
        <v>0.45751633986928103</v>
      </c>
      <c r="E18" s="59" t="s">
        <v>75</v>
      </c>
      <c r="F18" s="56" t="s">
        <v>30</v>
      </c>
      <c r="G18" s="44">
        <v>2</v>
      </c>
      <c r="H18" s="129">
        <f>IF(B$17=0,0,G18/B$17)</f>
        <v>1.3071895424836602E-2</v>
      </c>
      <c r="I18" s="90">
        <v>2</v>
      </c>
      <c r="K18" s="36">
        <v>16</v>
      </c>
      <c r="L18" s="95">
        <v>-224.3</v>
      </c>
      <c r="N18" s="111" t="s">
        <v>181</v>
      </c>
      <c r="O18" s="121">
        <f>IF(P18=0,0,Q18/P18)</f>
        <v>-5.2999999999999989</v>
      </c>
      <c r="P18" s="115">
        <v>9</v>
      </c>
      <c r="Q18" s="103">
        <v>-47.699999999999989</v>
      </c>
    </row>
    <row r="19" spans="1:17" x14ac:dyDescent="0.4">
      <c r="A19" s="51" t="s">
        <v>11</v>
      </c>
      <c r="B19" s="44">
        <v>83</v>
      </c>
      <c r="C19" s="37">
        <f>IF(B$17=0,0,B19/B$17)</f>
        <v>0.54248366013071891</v>
      </c>
      <c r="E19" s="59" t="s">
        <v>79</v>
      </c>
      <c r="F19" s="56" t="s">
        <v>34</v>
      </c>
      <c r="G19" s="44">
        <v>2</v>
      </c>
      <c r="H19" s="129">
        <f>IF(B$17=0,0,G19/B$17)</f>
        <v>1.3071895424836602E-2</v>
      </c>
      <c r="I19" s="90">
        <v>4</v>
      </c>
      <c r="K19" s="36">
        <v>17</v>
      </c>
      <c r="L19" s="95">
        <v>-251.4</v>
      </c>
      <c r="N19" s="111" t="s">
        <v>127</v>
      </c>
      <c r="O19" s="121">
        <f>IF(P19=0,0,Q19/P19)</f>
        <v>-12.449999999999998</v>
      </c>
      <c r="P19" s="115">
        <v>32</v>
      </c>
      <c r="Q19" s="103">
        <v>-398.39999999999992</v>
      </c>
    </row>
    <row r="20" spans="1:17" x14ac:dyDescent="0.4">
      <c r="A20" s="51" t="s">
        <v>13</v>
      </c>
      <c r="B20" s="44">
        <v>114</v>
      </c>
      <c r="C20" s="37">
        <f>IF(B$3=0,0,B20/B$3)</f>
        <v>0.20689655172413793</v>
      </c>
      <c r="E20" s="59" t="s">
        <v>91</v>
      </c>
      <c r="F20" s="56" t="s">
        <v>46</v>
      </c>
      <c r="G20" s="44">
        <v>1</v>
      </c>
      <c r="H20" s="129">
        <f>IF(B$17=0,0,G20/B$17)</f>
        <v>6.5359477124183009E-3</v>
      </c>
      <c r="I20" s="90">
        <v>6</v>
      </c>
      <c r="K20" s="36">
        <v>18</v>
      </c>
      <c r="L20" s="95">
        <v>-240</v>
      </c>
      <c r="N20" s="111" t="s">
        <v>178</v>
      </c>
      <c r="O20" s="121">
        <f>IF(P20=0,0,Q20/P20)</f>
        <v>-12.900000000000002</v>
      </c>
      <c r="P20" s="115">
        <v>19</v>
      </c>
      <c r="Q20" s="103">
        <v>-245.10000000000005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-218</v>
      </c>
      <c r="N21" s="111" t="s">
        <v>126</v>
      </c>
      <c r="O21" s="121">
        <f>IF(P21=0,0,Q21/P21)</f>
        <v>-18.559090909090916</v>
      </c>
      <c r="P21" s="115">
        <v>44</v>
      </c>
      <c r="Q21" s="103">
        <v>-816.60000000000025</v>
      </c>
    </row>
    <row r="22" spans="1:17" x14ac:dyDescent="0.4">
      <c r="A22" s="51" t="s">
        <v>170</v>
      </c>
      <c r="B22" s="44">
        <v>21</v>
      </c>
      <c r="C22" s="131">
        <v>1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8139.2156862745096</v>
      </c>
      <c r="C23" s="39">
        <v>1245300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8591.0714285714294</v>
      </c>
      <c r="C24" s="137">
        <v>962200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6904.8780487804879</v>
      </c>
      <c r="C25" s="137">
        <v>283100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-7657.0175438596489</v>
      </c>
      <c r="C26" s="137">
        <v>-872900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69500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3</v>
      </c>
      <c r="C29" s="40">
        <f>IF(B$3=0,0,B29/B$3)</f>
        <v>5.4446460980036296E-3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030EB-27DA-49E0-ABB3-D551961A85FA}">
  <sheetPr codeName="Sheet15"/>
  <dimension ref="A1:Q6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65</v>
      </c>
      <c r="C2" s="149"/>
      <c r="E2" s="58" t="s">
        <v>66</v>
      </c>
      <c r="F2" s="55" t="s">
        <v>22</v>
      </c>
      <c r="G2" s="43">
        <v>133</v>
      </c>
      <c r="H2" s="128">
        <f>IF(B$17=0,0,G2/B$17)</f>
        <v>0.85806451612903223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1707.6923076923076</v>
      </c>
      <c r="P2" s="114">
        <v>65</v>
      </c>
      <c r="Q2" s="98">
        <v>111000</v>
      </c>
    </row>
    <row r="3" spans="1:17" x14ac:dyDescent="0.4">
      <c r="A3" s="51" t="s">
        <v>8</v>
      </c>
      <c r="B3" s="150">
        <v>531</v>
      </c>
      <c r="C3" s="151"/>
      <c r="E3" s="59" t="s">
        <v>72</v>
      </c>
      <c r="F3" s="56" t="s">
        <v>27</v>
      </c>
      <c r="G3" s="44">
        <v>87</v>
      </c>
      <c r="H3" s="129">
        <f>IF(B$17=0,0,G3/B$17)</f>
        <v>0.56129032258064515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-2049.2063492063494</v>
      </c>
      <c r="P3" s="115">
        <v>63</v>
      </c>
      <c r="Q3" s="99">
        <v>-129100</v>
      </c>
    </row>
    <row r="4" spans="1:17" x14ac:dyDescent="0.4">
      <c r="A4" s="51" t="s">
        <v>6</v>
      </c>
      <c r="B4" s="152">
        <v>333.00000000000006</v>
      </c>
      <c r="C4" s="153"/>
      <c r="E4" s="59" t="s">
        <v>64</v>
      </c>
      <c r="F4" s="56" t="s">
        <v>20</v>
      </c>
      <c r="G4" s="44">
        <v>84</v>
      </c>
      <c r="H4" s="129">
        <f>IF(B$17=0,0,G4/B$17)</f>
        <v>0.54193548387096779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483.05084745762713</v>
      </c>
      <c r="P4" s="115">
        <v>59</v>
      </c>
      <c r="Q4" s="99">
        <v>28500</v>
      </c>
    </row>
    <row r="5" spans="1:17" x14ac:dyDescent="0.4">
      <c r="A5" s="51" t="s">
        <v>7</v>
      </c>
      <c r="B5" s="154">
        <f>IF(B$2=0,0,B$4/B$2)</f>
        <v>5.1230769230769235</v>
      </c>
      <c r="C5" s="155"/>
      <c r="E5" s="59" t="s">
        <v>67</v>
      </c>
      <c r="F5" s="56" t="s">
        <v>23</v>
      </c>
      <c r="G5" s="44">
        <v>67</v>
      </c>
      <c r="H5" s="129">
        <f>IF(B$17=0,0,G5/B$17)</f>
        <v>0.43225806451612903</v>
      </c>
      <c r="I5" s="90">
        <v>2</v>
      </c>
      <c r="K5" s="36">
        <v>3</v>
      </c>
      <c r="L5" s="95">
        <v>-113.8</v>
      </c>
      <c r="N5" s="111" t="s">
        <v>133</v>
      </c>
      <c r="O5" s="118">
        <f t="shared" si="0"/>
        <v>3689.2857142857142</v>
      </c>
      <c r="P5" s="115">
        <v>56</v>
      </c>
      <c r="Q5" s="99">
        <v>206600</v>
      </c>
    </row>
    <row r="6" spans="1:17" x14ac:dyDescent="0.4">
      <c r="A6" s="51" t="s">
        <v>1</v>
      </c>
      <c r="B6" s="144">
        <f>IF(B$2=0,0,(B$7*1+B$8*2+B$9*3)/B$2)</f>
        <v>1.8923076923076922</v>
      </c>
      <c r="C6" s="145"/>
      <c r="E6" s="59" t="s">
        <v>171</v>
      </c>
      <c r="F6" s="56" t="s">
        <v>172</v>
      </c>
      <c r="G6" s="44">
        <v>59</v>
      </c>
      <c r="H6" s="129">
        <f>IF(B$17=0,0,G6/B$17)</f>
        <v>0.38064516129032255</v>
      </c>
      <c r="I6" s="90">
        <v>7</v>
      </c>
      <c r="K6" s="36">
        <v>4</v>
      </c>
      <c r="L6" s="95">
        <v>-74.599999999999994</v>
      </c>
      <c r="N6" s="111" t="s">
        <v>134</v>
      </c>
      <c r="O6" s="118">
        <f t="shared" si="0"/>
        <v>934.61538461538464</v>
      </c>
      <c r="P6" s="115">
        <v>52</v>
      </c>
      <c r="Q6" s="99">
        <v>48600</v>
      </c>
    </row>
    <row r="7" spans="1:17" x14ac:dyDescent="0.4">
      <c r="A7" s="51" t="s">
        <v>2</v>
      </c>
      <c r="B7" s="44">
        <v>27</v>
      </c>
      <c r="C7" s="37">
        <f t="shared" ref="C7:C12" si="1">IF(B$2=0,0,B7/B$2)</f>
        <v>0.41538461538461541</v>
      </c>
      <c r="E7" s="59" t="s">
        <v>68</v>
      </c>
      <c r="F7" s="56" t="s">
        <v>12</v>
      </c>
      <c r="G7" s="44">
        <v>58</v>
      </c>
      <c r="H7" s="129">
        <f>IF(B$17=0,0,G7/B$17)</f>
        <v>0.37419354838709679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-305.12820512820514</v>
      </c>
      <c r="P7" s="116">
        <v>39</v>
      </c>
      <c r="Q7" s="100">
        <v>-11900</v>
      </c>
    </row>
    <row r="8" spans="1:17" x14ac:dyDescent="0.4">
      <c r="A8" s="51" t="s">
        <v>3</v>
      </c>
      <c r="B8" s="44">
        <v>18</v>
      </c>
      <c r="C8" s="37">
        <f t="shared" si="1"/>
        <v>0.27692307692307694</v>
      </c>
      <c r="E8" s="59" t="s">
        <v>69</v>
      </c>
      <c r="F8" s="56" t="s">
        <v>24</v>
      </c>
      <c r="G8" s="44">
        <v>34</v>
      </c>
      <c r="H8" s="129">
        <f>IF(B$17=0,0,G8/B$17)</f>
        <v>0.21935483870967742</v>
      </c>
      <c r="I8" s="90">
        <v>1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20</v>
      </c>
      <c r="C9" s="38">
        <f t="shared" si="1"/>
        <v>0.30769230769230771</v>
      </c>
      <c r="E9" s="59" t="s">
        <v>89</v>
      </c>
      <c r="F9" s="56" t="s">
        <v>44</v>
      </c>
      <c r="G9" s="44">
        <v>32</v>
      </c>
      <c r="H9" s="129">
        <f>IF(B$17=0,0,G9/B$17)</f>
        <v>0.20645161290322581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9.2307692307692313E-2</v>
      </c>
      <c r="E10" s="59" t="s">
        <v>65</v>
      </c>
      <c r="F10" s="56" t="s">
        <v>21</v>
      </c>
      <c r="G10" s="44">
        <v>18</v>
      </c>
      <c r="H10" s="129">
        <f>IF(B$17=0,0,G10/B$17)</f>
        <v>0.11612903225806452</v>
      </c>
      <c r="I10" s="90">
        <v>5</v>
      </c>
      <c r="K10" s="36">
        <v>8</v>
      </c>
      <c r="L10" s="95">
        <v>-110.19999999999999</v>
      </c>
      <c r="N10" s="110" t="s">
        <v>162</v>
      </c>
      <c r="O10" s="120">
        <f>IF(P10=0,0,Q10/P10)</f>
        <v>7.7500000000000018</v>
      </c>
      <c r="P10" s="114">
        <v>18</v>
      </c>
      <c r="Q10" s="102">
        <v>139.50000000000003</v>
      </c>
    </row>
    <row r="11" spans="1:17" x14ac:dyDescent="0.4">
      <c r="A11" s="52" t="s">
        <v>138</v>
      </c>
      <c r="B11" s="45">
        <v>12</v>
      </c>
      <c r="C11" s="38">
        <f t="shared" si="1"/>
        <v>0.18461538461538463</v>
      </c>
      <c r="E11" s="59" t="s">
        <v>70</v>
      </c>
      <c r="F11" s="56" t="s">
        <v>25</v>
      </c>
      <c r="G11" s="44">
        <v>18</v>
      </c>
      <c r="H11" s="129">
        <f>IF(B$17=0,0,G11/B$17)</f>
        <v>0.11612903225806452</v>
      </c>
      <c r="I11" s="90">
        <v>5</v>
      </c>
      <c r="K11" s="36">
        <v>9</v>
      </c>
      <c r="L11" s="95">
        <v>-120.99999999999999</v>
      </c>
      <c r="N11" s="111" t="s">
        <v>163</v>
      </c>
      <c r="O11" s="121">
        <f>IF(P11=0,0,Q11/P11)</f>
        <v>4.9677419354838701</v>
      </c>
      <c r="P11" s="115">
        <v>31</v>
      </c>
      <c r="Q11" s="103">
        <v>153.99999999999997</v>
      </c>
    </row>
    <row r="12" spans="1:17" x14ac:dyDescent="0.4">
      <c r="A12" s="53" t="s">
        <v>158</v>
      </c>
      <c r="B12" s="46">
        <v>7</v>
      </c>
      <c r="C12" s="40">
        <f t="shared" si="1"/>
        <v>0.1076923076923077</v>
      </c>
      <c r="E12" s="59" t="s">
        <v>167</v>
      </c>
      <c r="F12" s="56" t="s">
        <v>168</v>
      </c>
      <c r="G12" s="44">
        <v>9</v>
      </c>
      <c r="H12" s="129">
        <f>IF(B$17=0,0,G12/B$17)</f>
        <v>5.8064516129032261E-2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2.4687500000000004</v>
      </c>
      <c r="P12" s="116">
        <v>16</v>
      </c>
      <c r="Q12" s="104">
        <v>39.500000000000007</v>
      </c>
    </row>
    <row r="13" spans="1:17" x14ac:dyDescent="0.4">
      <c r="A13" s="54" t="s">
        <v>121</v>
      </c>
      <c r="B13" s="47">
        <v>169</v>
      </c>
      <c r="C13" s="42">
        <f>IF(B$3=0,0,B13/B$3)</f>
        <v>0.31826741996233521</v>
      </c>
      <c r="E13" s="59" t="s">
        <v>71</v>
      </c>
      <c r="F13" s="56" t="s">
        <v>26</v>
      </c>
      <c r="G13" s="44">
        <v>8</v>
      </c>
      <c r="H13" s="129">
        <f>IF(B$17=0,0,G13/B$17)</f>
        <v>5.1612903225806452E-2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95</v>
      </c>
      <c r="C14" s="37">
        <f>IF(B$3=0,0,B14/B$3)</f>
        <v>0.17890772128060264</v>
      </c>
      <c r="E14" s="59" t="s">
        <v>83</v>
      </c>
      <c r="F14" s="56" t="s">
        <v>38</v>
      </c>
      <c r="G14" s="44">
        <v>6</v>
      </c>
      <c r="H14" s="129">
        <f>IF(B$17=0,0,G14/B$17)</f>
        <v>3.870967741935484E-2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94</v>
      </c>
      <c r="C15" s="35">
        <f>IF(B$13=0,0,B15/B$13)</f>
        <v>0.55621301775147924</v>
      </c>
      <c r="E15" s="59" t="s">
        <v>86</v>
      </c>
      <c r="F15" s="56" t="s">
        <v>41</v>
      </c>
      <c r="G15" s="44">
        <v>5</v>
      </c>
      <c r="H15" s="129">
        <f>IF(B$17=0,0,G15/B$17)</f>
        <v>3.2258064516129031E-2</v>
      </c>
      <c r="I15" s="90">
        <v>9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42</v>
      </c>
      <c r="C16" s="35">
        <f>IF(B$14=0,0,B16/B$14)</f>
        <v>0.44210526315789472</v>
      </c>
      <c r="E16" s="59" t="s">
        <v>81</v>
      </c>
      <c r="F16" s="56" t="s">
        <v>36</v>
      </c>
      <c r="G16" s="44">
        <v>3</v>
      </c>
      <c r="H16" s="129">
        <f>IF(B$17=0,0,G16/B$17)</f>
        <v>1.935483870967742E-2</v>
      </c>
      <c r="I16" s="90">
        <v>5</v>
      </c>
      <c r="K16" s="36">
        <v>14</v>
      </c>
      <c r="L16" s="95">
        <v>-86.499999999999972</v>
      </c>
      <c r="N16" s="111" t="s">
        <v>166</v>
      </c>
      <c r="O16" s="121">
        <f>IF(P16=0,0,Q16/P16)</f>
        <v>27.133333333333333</v>
      </c>
      <c r="P16" s="115">
        <v>9</v>
      </c>
      <c r="Q16" s="103">
        <v>244.2</v>
      </c>
    </row>
    <row r="17" spans="1:17" x14ac:dyDescent="0.4">
      <c r="A17" s="50" t="s">
        <v>10</v>
      </c>
      <c r="B17" s="43">
        <f>B19+B18</f>
        <v>155</v>
      </c>
      <c r="C17" s="35">
        <f>IF(B$3=0,0,B17/B$3)</f>
        <v>0.29190207156308851</v>
      </c>
      <c r="E17" s="59" t="s">
        <v>92</v>
      </c>
      <c r="F17" s="56" t="s">
        <v>47</v>
      </c>
      <c r="G17" s="44">
        <v>3</v>
      </c>
      <c r="H17" s="129">
        <f>IF(B$17=0,0,G17/B$17)</f>
        <v>1.935483870967742E-2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>IF(P17=0,0,Q17/P17)</f>
        <v>15.864285714285712</v>
      </c>
      <c r="P17" s="115">
        <v>14</v>
      </c>
      <c r="Q17" s="103">
        <v>222.09999999999997</v>
      </c>
    </row>
    <row r="18" spans="1:17" x14ac:dyDescent="0.4">
      <c r="A18" s="51" t="s">
        <v>12</v>
      </c>
      <c r="B18" s="44">
        <v>74</v>
      </c>
      <c r="C18" s="37">
        <f>IF(B$17=0,0,B18/B$17)</f>
        <v>0.47741935483870968</v>
      </c>
      <c r="E18" s="59" t="s">
        <v>91</v>
      </c>
      <c r="F18" s="56" t="s">
        <v>46</v>
      </c>
      <c r="G18" s="44">
        <v>2</v>
      </c>
      <c r="H18" s="129">
        <f>IF(B$17=0,0,G18/B$17)</f>
        <v>1.2903225806451613E-2</v>
      </c>
      <c r="I18" s="90">
        <v>5</v>
      </c>
      <c r="K18" s="36">
        <v>16</v>
      </c>
      <c r="L18" s="95">
        <v>-63.099999999999966</v>
      </c>
      <c r="N18" s="111" t="s">
        <v>178</v>
      </c>
      <c r="O18" s="121">
        <f>IF(P18=0,0,Q18/P18)</f>
        <v>13.557142857142855</v>
      </c>
      <c r="P18" s="115">
        <v>35</v>
      </c>
      <c r="Q18" s="103">
        <v>474.49999999999994</v>
      </c>
    </row>
    <row r="19" spans="1:17" x14ac:dyDescent="0.4">
      <c r="A19" s="51" t="s">
        <v>11</v>
      </c>
      <c r="B19" s="44">
        <v>81</v>
      </c>
      <c r="C19" s="37">
        <f>IF(B$17=0,0,B19/B$17)</f>
        <v>0.52258064516129032</v>
      </c>
      <c r="E19" s="59" t="s">
        <v>73</v>
      </c>
      <c r="F19" s="56" t="s">
        <v>28</v>
      </c>
      <c r="G19" s="44">
        <v>1</v>
      </c>
      <c r="H19" s="129">
        <f>IF(B$17=0,0,G19/B$17)</f>
        <v>6.4516129032258064E-3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8.0814814814814788</v>
      </c>
      <c r="P19" s="115">
        <v>27</v>
      </c>
      <c r="Q19" s="103">
        <v>218.19999999999993</v>
      </c>
    </row>
    <row r="20" spans="1:17" x14ac:dyDescent="0.4">
      <c r="A20" s="51" t="s">
        <v>13</v>
      </c>
      <c r="B20" s="44">
        <v>85</v>
      </c>
      <c r="C20" s="37">
        <f>IF(B$3=0,0,B20/B$3)</f>
        <v>0.160075329566855</v>
      </c>
      <c r="E20" s="59" t="s">
        <v>75</v>
      </c>
      <c r="F20" s="56" t="s">
        <v>30</v>
      </c>
      <c r="G20" s="44">
        <v>1</v>
      </c>
      <c r="H20" s="129">
        <f>IF(B$17=0,0,G20/B$17)</f>
        <v>6.4516129032258064E-3</v>
      </c>
      <c r="I20" s="90">
        <v>5</v>
      </c>
      <c r="K20" s="36">
        <v>18</v>
      </c>
      <c r="L20" s="95">
        <v>-24.999999999999968</v>
      </c>
      <c r="N20" s="111" t="s">
        <v>179</v>
      </c>
      <c r="O20" s="121">
        <f>IF(P20=0,0,Q20/P20)</f>
        <v>3.0499999999999985</v>
      </c>
      <c r="P20" s="115">
        <v>10</v>
      </c>
      <c r="Q20" s="103">
        <v>30.499999999999986</v>
      </c>
    </row>
    <row r="21" spans="1:17" x14ac:dyDescent="0.4">
      <c r="A21" s="51" t="s">
        <v>169</v>
      </c>
      <c r="B21" s="44">
        <v>5</v>
      </c>
      <c r="C21" s="131">
        <v>1</v>
      </c>
      <c r="E21" s="59" t="s">
        <v>78</v>
      </c>
      <c r="F21" s="56" t="s">
        <v>33</v>
      </c>
      <c r="G21" s="44">
        <v>1</v>
      </c>
      <c r="H21" s="129">
        <f>IF(B$17=0,0,G21/B$17)</f>
        <v>6.4516129032258064E-3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>IF(P21=0,0,Q21/P21)</f>
        <v>-4.3615384615384638</v>
      </c>
      <c r="P21" s="115">
        <v>26</v>
      </c>
      <c r="Q21" s="103">
        <v>-113.40000000000006</v>
      </c>
    </row>
    <row r="22" spans="1:17" x14ac:dyDescent="0.4">
      <c r="A22" s="51" t="s">
        <v>170</v>
      </c>
      <c r="B22" s="44">
        <v>25</v>
      </c>
      <c r="C22" s="131">
        <v>12</v>
      </c>
      <c r="E22" s="59" t="s">
        <v>85</v>
      </c>
      <c r="F22" s="56" t="s">
        <v>40</v>
      </c>
      <c r="G22" s="44">
        <v>1</v>
      </c>
      <c r="H22" s="129">
        <f>IF(B$17=0,0,G22/B$17)</f>
        <v>6.4516129032258064E-3</v>
      </c>
      <c r="I22" s="90">
        <v>2</v>
      </c>
      <c r="K22" s="36">
        <v>20</v>
      </c>
      <c r="L22" s="95">
        <v>-50.39999999999997</v>
      </c>
      <c r="N22" s="111" t="s">
        <v>181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10343.225806451614</v>
      </c>
      <c r="C23" s="39">
        <v>1603200</v>
      </c>
      <c r="E23" s="59" t="s">
        <v>90</v>
      </c>
      <c r="F23" s="56" t="s">
        <v>45</v>
      </c>
      <c r="G23" s="44">
        <v>1</v>
      </c>
      <c r="H23" s="129">
        <f>IF(B$17=0,0,G23/B$17)</f>
        <v>6.4516129032258064E-3</v>
      </c>
      <c r="I23" s="90">
        <v>1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11154.867256637168</v>
      </c>
      <c r="C24" s="137">
        <v>1260500</v>
      </c>
      <c r="E24" s="59" t="s">
        <v>93</v>
      </c>
      <c r="F24" s="56" t="s">
        <v>48</v>
      </c>
      <c r="G24" s="44">
        <v>1</v>
      </c>
      <c r="H24" s="129">
        <f>IF(B$17=0,0,G24/B$17)</f>
        <v>6.4516129032258064E-3</v>
      </c>
      <c r="I24" s="90">
        <v>2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8159.5238095238092</v>
      </c>
      <c r="C25" s="137">
        <v>342700</v>
      </c>
      <c r="E25" s="59" t="s">
        <v>97</v>
      </c>
      <c r="F25" s="56" t="s">
        <v>52</v>
      </c>
      <c r="G25" s="44">
        <v>1</v>
      </c>
      <c r="H25" s="129">
        <f>IF(B$17=0,0,G25/B$17)</f>
        <v>6.4516129032258064E-3</v>
      </c>
      <c r="I25" s="90">
        <v>1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-8100</v>
      </c>
      <c r="C26" s="137">
        <v>-688500</v>
      </c>
      <c r="E26" s="59" t="s">
        <v>74</v>
      </c>
      <c r="F26" s="56" t="s">
        <v>29</v>
      </c>
      <c r="G26" s="44">
        <v>0</v>
      </c>
      <c r="H26" s="129">
        <f>IF(B$17=0,0,G26/B$17)</f>
        <v>0</v>
      </c>
      <c r="I26" s="90">
        <v>7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103600</v>
      </c>
      <c r="C28" s="141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5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79</v>
      </c>
      <c r="F29" s="56" t="s">
        <v>34</v>
      </c>
      <c r="G29" s="44">
        <v>0</v>
      </c>
      <c r="H29" s="129">
        <f>IF(B$17=0,0,G29/B$17)</f>
        <v>0</v>
      </c>
      <c r="I29" s="90">
        <v>7</v>
      </c>
      <c r="K29" s="36">
        <v>27</v>
      </c>
      <c r="L29" s="95">
        <v>-31.499999999999972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73.900000000000034</v>
      </c>
    </row>
    <row r="34" spans="5:12" x14ac:dyDescent="0.4">
      <c r="E34" s="59" t="s">
        <v>88</v>
      </c>
      <c r="F34" s="56" t="s">
        <v>43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96.100000000000037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112.00000000000004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110.00000000000004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</sheetData>
  <sortState xmlns:xlrd2="http://schemas.microsoft.com/office/spreadsheetml/2017/richdata2" ref="E2:I68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300ED-C805-4DCD-B869-84D750FE114A}">
  <sheetPr codeName="Sheet17"/>
  <dimension ref="A1:Q9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92</v>
      </c>
      <c r="C2" s="149"/>
      <c r="E2" s="58" t="s">
        <v>66</v>
      </c>
      <c r="F2" s="55" t="s">
        <v>22</v>
      </c>
      <c r="G2" s="43">
        <v>157</v>
      </c>
      <c r="H2" s="128">
        <f>IF(B$17=0,0,G2/B$17)</f>
        <v>0.74761904761904763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932.60869565217388</v>
      </c>
      <c r="P2" s="114">
        <v>92</v>
      </c>
      <c r="Q2" s="98">
        <v>85800</v>
      </c>
    </row>
    <row r="3" spans="1:17" x14ac:dyDescent="0.4">
      <c r="A3" s="51" t="s">
        <v>8</v>
      </c>
      <c r="B3" s="150">
        <v>735</v>
      </c>
      <c r="C3" s="151"/>
      <c r="E3" s="59" t="s">
        <v>72</v>
      </c>
      <c r="F3" s="56" t="s">
        <v>27</v>
      </c>
      <c r="G3" s="44">
        <v>119</v>
      </c>
      <c r="H3" s="129">
        <f>IF(B$17=0,0,G3/B$17)</f>
        <v>0.56666666666666665</v>
      </c>
      <c r="I3" s="90">
        <v>4</v>
      </c>
      <c r="K3" s="36">
        <v>1</v>
      </c>
      <c r="L3" s="95">
        <v>46.9</v>
      </c>
      <c r="N3" s="111" t="s">
        <v>131</v>
      </c>
      <c r="O3" s="118">
        <f t="shared" si="0"/>
        <v>582.02247191011236</v>
      </c>
      <c r="P3" s="115">
        <v>89</v>
      </c>
      <c r="Q3" s="99">
        <v>51800</v>
      </c>
    </row>
    <row r="4" spans="1:17" x14ac:dyDescent="0.4">
      <c r="A4" s="51" t="s">
        <v>6</v>
      </c>
      <c r="B4" s="152">
        <v>-17.100000000000009</v>
      </c>
      <c r="C4" s="153"/>
      <c r="E4" s="59" t="s">
        <v>64</v>
      </c>
      <c r="F4" s="56" t="s">
        <v>20</v>
      </c>
      <c r="G4" s="44">
        <v>108</v>
      </c>
      <c r="H4" s="129">
        <f>IF(B$17=0,0,G4/B$17)</f>
        <v>0.51428571428571423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-631.32530120481931</v>
      </c>
      <c r="P4" s="115">
        <v>83</v>
      </c>
      <c r="Q4" s="99">
        <v>-52400</v>
      </c>
    </row>
    <row r="5" spans="1:17" x14ac:dyDescent="0.4">
      <c r="A5" s="51" t="s">
        <v>7</v>
      </c>
      <c r="B5" s="154">
        <f>IF(B$2=0,0,B$4/B$2)</f>
        <v>-0.1858695652173914</v>
      </c>
      <c r="C5" s="155"/>
      <c r="E5" s="59" t="s">
        <v>171</v>
      </c>
      <c r="F5" s="56" t="s">
        <v>172</v>
      </c>
      <c r="G5" s="44">
        <v>98</v>
      </c>
      <c r="H5" s="129">
        <f>IF(B$17=0,0,G5/B$17)</f>
        <v>0.46666666666666667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-15.789473684210526</v>
      </c>
      <c r="P5" s="115">
        <v>76</v>
      </c>
      <c r="Q5" s="99">
        <v>-1200</v>
      </c>
    </row>
    <row r="6" spans="1:17" x14ac:dyDescent="0.4">
      <c r="A6" s="51" t="s">
        <v>1</v>
      </c>
      <c r="B6" s="144">
        <f>IF(B$2=0,0,(B$7*1+B$8*2+B$9*3)/B$2)</f>
        <v>2.0326086956521738</v>
      </c>
      <c r="C6" s="145"/>
      <c r="E6" s="59" t="s">
        <v>67</v>
      </c>
      <c r="F6" s="56" t="s">
        <v>23</v>
      </c>
      <c r="G6" s="44">
        <v>82</v>
      </c>
      <c r="H6" s="129">
        <f>IF(B$17=0,0,G6/B$17)</f>
        <v>0.39047619047619048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-676.11940298507466</v>
      </c>
      <c r="P6" s="115">
        <v>67</v>
      </c>
      <c r="Q6" s="99">
        <v>-45300</v>
      </c>
    </row>
    <row r="7" spans="1:17" x14ac:dyDescent="0.4">
      <c r="A7" s="51" t="s">
        <v>2</v>
      </c>
      <c r="B7" s="44">
        <v>22</v>
      </c>
      <c r="C7" s="37">
        <f t="shared" ref="C7:C12" si="1">IF(B$2=0,0,B7/B$2)</f>
        <v>0.2391304347826087</v>
      </c>
      <c r="E7" s="59" t="s">
        <v>68</v>
      </c>
      <c r="F7" s="56" t="s">
        <v>12</v>
      </c>
      <c r="G7" s="44">
        <v>71</v>
      </c>
      <c r="H7" s="129">
        <f>IF(B$17=0,0,G7/B$17)</f>
        <v>0.33809523809523812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-814.03508771929819</v>
      </c>
      <c r="P7" s="116">
        <v>57</v>
      </c>
      <c r="Q7" s="100">
        <v>-46400</v>
      </c>
    </row>
    <row r="8" spans="1:17" x14ac:dyDescent="0.4">
      <c r="A8" s="51" t="s">
        <v>3</v>
      </c>
      <c r="B8" s="44">
        <v>45</v>
      </c>
      <c r="C8" s="37">
        <f t="shared" si="1"/>
        <v>0.4891304347826087</v>
      </c>
      <c r="E8" s="59" t="s">
        <v>69</v>
      </c>
      <c r="F8" s="56" t="s">
        <v>24</v>
      </c>
      <c r="G8" s="44">
        <v>29</v>
      </c>
      <c r="H8" s="129">
        <f>IF(B$17=0,0,G8/B$17)</f>
        <v>0.1380952380952381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0.27173913043478259</v>
      </c>
      <c r="E9" s="59" t="s">
        <v>71</v>
      </c>
      <c r="F9" s="56" t="s">
        <v>26</v>
      </c>
      <c r="G9" s="44">
        <v>21</v>
      </c>
      <c r="H9" s="129">
        <f>IF(B$17=0,0,G9/B$17)</f>
        <v>0.1</v>
      </c>
      <c r="I9" s="90">
        <v>3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1"/>
        <v>8.6956521739130432E-2</v>
      </c>
      <c r="E10" s="59" t="s">
        <v>89</v>
      </c>
      <c r="F10" s="56" t="s">
        <v>44</v>
      </c>
      <c r="G10" s="44">
        <v>21</v>
      </c>
      <c r="H10" s="129">
        <f>IF(B$17=0,0,G10/B$17)</f>
        <v>0.1</v>
      </c>
      <c r="I10" s="90">
        <v>9</v>
      </c>
      <c r="K10" s="36">
        <v>8</v>
      </c>
      <c r="L10" s="95">
        <v>-46.7</v>
      </c>
      <c r="N10" s="110" t="s">
        <v>162</v>
      </c>
      <c r="O10" s="120">
        <f>IF(P10=0,0,Q10/P10)</f>
        <v>0.18974358974358951</v>
      </c>
      <c r="P10" s="114">
        <v>39</v>
      </c>
      <c r="Q10" s="102">
        <v>7.3999999999999915</v>
      </c>
    </row>
    <row r="11" spans="1:17" x14ac:dyDescent="0.4">
      <c r="A11" s="52" t="s">
        <v>138</v>
      </c>
      <c r="B11" s="45">
        <v>8</v>
      </c>
      <c r="C11" s="38">
        <f t="shared" si="1"/>
        <v>8.6956521739130432E-2</v>
      </c>
      <c r="E11" s="59" t="s">
        <v>65</v>
      </c>
      <c r="F11" s="56" t="s">
        <v>21</v>
      </c>
      <c r="G11" s="44">
        <v>17</v>
      </c>
      <c r="H11" s="129">
        <f>IF(B$17=0,0,G11/B$17)</f>
        <v>8.0952380952380956E-2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1.6333333333333331</v>
      </c>
      <c r="P11" s="115">
        <v>27</v>
      </c>
      <c r="Q11" s="103">
        <v>44.099999999999994</v>
      </c>
    </row>
    <row r="12" spans="1:17" x14ac:dyDescent="0.4">
      <c r="A12" s="53" t="s">
        <v>158</v>
      </c>
      <c r="B12" s="46">
        <v>5</v>
      </c>
      <c r="C12" s="40">
        <f t="shared" si="1"/>
        <v>5.434782608695652E-2</v>
      </c>
      <c r="E12" s="59" t="s">
        <v>70</v>
      </c>
      <c r="F12" s="56" t="s">
        <v>25</v>
      </c>
      <c r="G12" s="44">
        <v>17</v>
      </c>
      <c r="H12" s="129">
        <f>IF(B$17=0,0,G12/B$17)</f>
        <v>8.0952380952380956E-2</v>
      </c>
      <c r="I12" s="90">
        <v>9</v>
      </c>
      <c r="K12" s="36">
        <v>10</v>
      </c>
      <c r="L12" s="95">
        <v>-146.69999999999999</v>
      </c>
      <c r="N12" s="112" t="s">
        <v>164</v>
      </c>
      <c r="O12" s="122">
        <f>IF(P12=0,0,Q12/P12)</f>
        <v>-2.6384615384615389</v>
      </c>
      <c r="P12" s="116">
        <v>26</v>
      </c>
      <c r="Q12" s="104">
        <v>-68.600000000000009</v>
      </c>
    </row>
    <row r="13" spans="1:17" x14ac:dyDescent="0.4">
      <c r="A13" s="54" t="s">
        <v>121</v>
      </c>
      <c r="B13" s="47">
        <v>196</v>
      </c>
      <c r="C13" s="42">
        <f>IF(B$3=0,0,B13/B$3)</f>
        <v>0.26666666666666666</v>
      </c>
      <c r="E13" s="59" t="s">
        <v>86</v>
      </c>
      <c r="F13" s="56" t="s">
        <v>41</v>
      </c>
      <c r="G13" s="44">
        <v>11</v>
      </c>
      <c r="H13" s="129">
        <f>IF(B$17=0,0,G13/B$17)</f>
        <v>5.2380952380952382E-2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162</v>
      </c>
      <c r="C14" s="37">
        <f>IF(B$3=0,0,B14/B$3)</f>
        <v>0.22040816326530613</v>
      </c>
      <c r="E14" s="59" t="s">
        <v>83</v>
      </c>
      <c r="F14" s="56" t="s">
        <v>38</v>
      </c>
      <c r="G14" s="44">
        <v>7</v>
      </c>
      <c r="H14" s="129">
        <f>IF(B$17=0,0,G14/B$17)</f>
        <v>3.3333333333333333E-2</v>
      </c>
      <c r="I14" s="90">
        <v>10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113</v>
      </c>
      <c r="C15" s="35">
        <f>IF(B$13=0,0,B15/B$13)</f>
        <v>0.57653061224489799</v>
      </c>
      <c r="E15" s="59" t="s">
        <v>79</v>
      </c>
      <c r="F15" s="56" t="s">
        <v>34</v>
      </c>
      <c r="G15" s="44">
        <v>6</v>
      </c>
      <c r="H15" s="129">
        <f>IF(B$17=0,0,G15/B$17)</f>
        <v>2.8571428571428571E-2</v>
      </c>
      <c r="I15" s="90">
        <v>2</v>
      </c>
      <c r="K15" s="36">
        <v>13</v>
      </c>
      <c r="L15" s="95">
        <v>-68.399999999999991</v>
      </c>
      <c r="N15" s="110" t="s">
        <v>195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67</v>
      </c>
      <c r="C16" s="35">
        <f>IF(B$14=0,0,B16/B$14)</f>
        <v>0.41358024691358025</v>
      </c>
      <c r="E16" s="59" t="s">
        <v>167</v>
      </c>
      <c r="F16" s="56" t="s">
        <v>168</v>
      </c>
      <c r="G16" s="44">
        <v>4</v>
      </c>
      <c r="H16" s="129">
        <f>IF(B$17=0,0,G16/B$17)</f>
        <v>1.9047619047619049E-2</v>
      </c>
      <c r="I16" s="90">
        <v>5</v>
      </c>
      <c r="K16" s="36">
        <v>14</v>
      </c>
      <c r="L16" s="95">
        <v>-25.79999999999999</v>
      </c>
      <c r="N16" s="111" t="s">
        <v>222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210</v>
      </c>
      <c r="C17" s="35">
        <f>IF(B$3=0,0,B17/B$3)</f>
        <v>0.2857142857142857</v>
      </c>
      <c r="E17" s="59" t="s">
        <v>73</v>
      </c>
      <c r="F17" s="56" t="s">
        <v>28</v>
      </c>
      <c r="G17" s="44">
        <v>3</v>
      </c>
      <c r="H17" s="129">
        <f>IF(B$17=0,0,G17/B$17)</f>
        <v>1.4285714285714285E-2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>IF(P17=0,0,Q17/P17)</f>
        <v>22.642105263157891</v>
      </c>
      <c r="P17" s="115">
        <v>19</v>
      </c>
      <c r="Q17" s="103">
        <v>430.19999999999993</v>
      </c>
    </row>
    <row r="18" spans="1:17" x14ac:dyDescent="0.4">
      <c r="A18" s="51" t="s">
        <v>12</v>
      </c>
      <c r="B18" s="44">
        <v>96</v>
      </c>
      <c r="C18" s="37">
        <f>IF(B$17=0,0,B18/B$17)</f>
        <v>0.45714285714285713</v>
      </c>
      <c r="E18" s="59" t="s">
        <v>78</v>
      </c>
      <c r="F18" s="56" t="s">
        <v>33</v>
      </c>
      <c r="G18" s="44">
        <v>3</v>
      </c>
      <c r="H18" s="129">
        <f>IF(B$17=0,0,G18/B$17)</f>
        <v>1.4285714285714285E-2</v>
      </c>
      <c r="I18" s="90">
        <v>6</v>
      </c>
      <c r="K18" s="36">
        <v>16</v>
      </c>
      <c r="L18" s="95">
        <v>-35.599999999999987</v>
      </c>
      <c r="N18" s="111" t="s">
        <v>179</v>
      </c>
      <c r="O18" s="121">
        <f>IF(P18=0,0,Q18/P18)</f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114</v>
      </c>
      <c r="C19" s="37">
        <f>IF(B$17=0,0,B19/B$17)</f>
        <v>0.54285714285714282</v>
      </c>
      <c r="E19" s="59" t="s">
        <v>81</v>
      </c>
      <c r="F19" s="56" t="s">
        <v>36</v>
      </c>
      <c r="G19" s="44">
        <v>2</v>
      </c>
      <c r="H19" s="129">
        <f>IF(B$17=0,0,G19/B$17)</f>
        <v>9.5238095238095247E-3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99</v>
      </c>
      <c r="C20" s="37">
        <f>IF(B$3=0,0,B20/B$3)</f>
        <v>0.13469387755102041</v>
      </c>
      <c r="E20" s="59" t="s">
        <v>74</v>
      </c>
      <c r="F20" s="56" t="s">
        <v>29</v>
      </c>
      <c r="G20" s="44">
        <v>1</v>
      </c>
      <c r="H20" s="129">
        <f>IF(B$17=0,0,G20/B$17)</f>
        <v>4.7619047619047623E-3</v>
      </c>
      <c r="I20" s="90">
        <v>4</v>
      </c>
      <c r="K20" s="36">
        <v>18</v>
      </c>
      <c r="L20" s="95">
        <v>-62.399999999999991</v>
      </c>
      <c r="N20" s="111" t="s">
        <v>166</v>
      </c>
      <c r="O20" s="121">
        <f>IF(P20=0,0,Q20/P20)</f>
        <v>4.7411764705882353</v>
      </c>
      <c r="P20" s="115">
        <v>17</v>
      </c>
      <c r="Q20" s="103">
        <v>80.599999999999994</v>
      </c>
    </row>
    <row r="21" spans="1:17" x14ac:dyDescent="0.4">
      <c r="A21" s="51" t="s">
        <v>169</v>
      </c>
      <c r="B21" s="44">
        <v>6</v>
      </c>
      <c r="C21" s="131">
        <v>1</v>
      </c>
      <c r="E21" s="59" t="s">
        <v>75</v>
      </c>
      <c r="F21" s="56" t="s">
        <v>30</v>
      </c>
      <c r="G21" s="44">
        <v>1</v>
      </c>
      <c r="H21" s="129">
        <f>IF(B$17=0,0,G21/B$17)</f>
        <v>4.7619047619047623E-3</v>
      </c>
      <c r="I21" s="90">
        <v>7</v>
      </c>
      <c r="K21" s="36">
        <v>19</v>
      </c>
      <c r="L21" s="95">
        <v>-56.399999999999991</v>
      </c>
      <c r="N21" s="111" t="s">
        <v>127</v>
      </c>
      <c r="O21" s="121">
        <f>IF(P21=0,0,Q21/P21)</f>
        <v>2.8810810810810819</v>
      </c>
      <c r="P21" s="115">
        <v>37</v>
      </c>
      <c r="Q21" s="103">
        <v>106.60000000000002</v>
      </c>
    </row>
    <row r="22" spans="1:17" x14ac:dyDescent="0.4">
      <c r="A22" s="51" t="s">
        <v>170</v>
      </c>
      <c r="B22" s="44">
        <v>44</v>
      </c>
      <c r="C22" s="131">
        <v>5</v>
      </c>
      <c r="E22" s="59" t="s">
        <v>85</v>
      </c>
      <c r="F22" s="56" t="s">
        <v>40</v>
      </c>
      <c r="G22" s="44">
        <v>1</v>
      </c>
      <c r="H22" s="129">
        <f>IF(B$17=0,0,G22/B$17)</f>
        <v>4.7619047619047623E-3</v>
      </c>
      <c r="I22" s="90">
        <v>4</v>
      </c>
      <c r="K22" s="36">
        <v>20</v>
      </c>
      <c r="L22" s="95">
        <v>-93.199999999999989</v>
      </c>
      <c r="N22" s="111" t="s">
        <v>177</v>
      </c>
      <c r="O22" s="121">
        <f>IF(P22=0,0,Q22/P22)</f>
        <v>-13.557142857142857</v>
      </c>
      <c r="P22" s="115">
        <v>35</v>
      </c>
      <c r="Q22" s="103">
        <v>-474.5</v>
      </c>
    </row>
    <row r="23" spans="1:17" x14ac:dyDescent="0.4">
      <c r="A23" s="51" t="s">
        <v>5</v>
      </c>
      <c r="B23" s="48">
        <f>IF(B$17=0,0,C23/B$17)</f>
        <v>8431.9047619047615</v>
      </c>
      <c r="C23" s="39">
        <v>1770700</v>
      </c>
      <c r="E23" s="59" t="s">
        <v>87</v>
      </c>
      <c r="F23" s="56" t="s">
        <v>42</v>
      </c>
      <c r="G23" s="44">
        <v>1</v>
      </c>
      <c r="H23" s="129">
        <f>IF(B$17=0,0,G23/B$17)</f>
        <v>4.7619047619047623E-3</v>
      </c>
      <c r="I23" s="90">
        <v>2</v>
      </c>
      <c r="K23" s="36">
        <v>21</v>
      </c>
      <c r="L23" s="95">
        <v>-123.69999999999999</v>
      </c>
      <c r="N23" s="111" t="s">
        <v>126</v>
      </c>
      <c r="O23" s="121">
        <f>IF(P23=0,0,Q23/P23)</f>
        <v>-16.541304347826088</v>
      </c>
      <c r="P23" s="115">
        <v>46</v>
      </c>
      <c r="Q23" s="103">
        <v>-760.90000000000009</v>
      </c>
    </row>
    <row r="24" spans="1:17" x14ac:dyDescent="0.4">
      <c r="A24" s="52" t="s">
        <v>216</v>
      </c>
      <c r="B24" s="136">
        <f>IF($B$17-B$16=0,0,C24/($B$17-B$16))</f>
        <v>9455.9440559440554</v>
      </c>
      <c r="C24" s="137">
        <v>1352200</v>
      </c>
      <c r="E24" s="59" t="s">
        <v>88</v>
      </c>
      <c r="F24" s="56" t="s">
        <v>43</v>
      </c>
      <c r="G24" s="44">
        <v>1</v>
      </c>
      <c r="H24" s="129">
        <f>IF(B$17=0,0,G24/B$17)</f>
        <v>4.7619047619047623E-3</v>
      </c>
      <c r="I24" s="90">
        <v>3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6246.2686567164183</v>
      </c>
      <c r="C25" s="137">
        <v>418500</v>
      </c>
      <c r="E25" s="59" t="s">
        <v>91</v>
      </c>
      <c r="F25" s="56" t="s">
        <v>46</v>
      </c>
      <c r="G25" s="44">
        <v>1</v>
      </c>
      <c r="H25" s="129">
        <f>IF(B$17=0,0,G25/B$17)</f>
        <v>4.7619047619047623E-3</v>
      </c>
      <c r="I25" s="90">
        <v>8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-7936.363636363636</v>
      </c>
      <c r="C26" s="137">
        <v>-785700</v>
      </c>
      <c r="E26" s="59" t="s">
        <v>93</v>
      </c>
      <c r="F26" s="56" t="s">
        <v>48</v>
      </c>
      <c r="G26" s="44">
        <v>1</v>
      </c>
      <c r="H26" s="129">
        <f>IF(B$17=0,0,G26/B$17)</f>
        <v>4.7619047619047623E-3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101</v>
      </c>
      <c r="F27" s="56" t="s">
        <v>56</v>
      </c>
      <c r="G27" s="44">
        <v>1</v>
      </c>
      <c r="H27" s="129">
        <f>IF(B$17=0,0,G27/B$17)</f>
        <v>4.7619047619047623E-3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87000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2.7210884353741495E-3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-96.799999999999983</v>
      </c>
    </row>
    <row r="34" spans="5:12" x14ac:dyDescent="0.4">
      <c r="E34" s="59" t="s">
        <v>92</v>
      </c>
      <c r="F34" s="56" t="s">
        <v>47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</sheetData>
  <sortState xmlns:xlrd2="http://schemas.microsoft.com/office/spreadsheetml/2017/richdata2" ref="E2:I95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6730-E777-4663-90C5-448C65CAE978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37</v>
      </c>
      <c r="C2" s="149"/>
      <c r="E2" s="58" t="s">
        <v>66</v>
      </c>
      <c r="F2" s="55" t="s">
        <v>22</v>
      </c>
      <c r="G2" s="43">
        <v>52</v>
      </c>
      <c r="H2" s="128">
        <f>IF(B$17=0,0,G2/B$17)</f>
        <v>0.68421052631578949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-3375.6756756756758</v>
      </c>
      <c r="P2" s="114">
        <v>37</v>
      </c>
      <c r="Q2" s="98">
        <v>-124900</v>
      </c>
    </row>
    <row r="3" spans="1:17" x14ac:dyDescent="0.4">
      <c r="A3" s="51" t="s">
        <v>8</v>
      </c>
      <c r="B3" s="150">
        <v>308</v>
      </c>
      <c r="C3" s="151"/>
      <c r="E3" s="59" t="s">
        <v>72</v>
      </c>
      <c r="F3" s="56" t="s">
        <v>27</v>
      </c>
      <c r="G3" s="44">
        <v>46</v>
      </c>
      <c r="H3" s="129">
        <f>IF(B$17=0,0,G3/B$17)</f>
        <v>0.60526315789473684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240.54054054054055</v>
      </c>
      <c r="P3" s="115">
        <v>37</v>
      </c>
      <c r="Q3" s="99">
        <v>8900</v>
      </c>
    </row>
    <row r="4" spans="1:17" x14ac:dyDescent="0.4">
      <c r="A4" s="51" t="s">
        <v>6</v>
      </c>
      <c r="B4" s="152">
        <v>-547.00000000000011</v>
      </c>
      <c r="C4" s="153"/>
      <c r="E4" s="59" t="s">
        <v>64</v>
      </c>
      <c r="F4" s="56" t="s">
        <v>20</v>
      </c>
      <c r="G4" s="44">
        <v>31</v>
      </c>
      <c r="H4" s="129">
        <f>IF(B$17=0,0,G4/B$17)</f>
        <v>0.40789473684210525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-1297.2972972972973</v>
      </c>
      <c r="P4" s="115">
        <v>37</v>
      </c>
      <c r="Q4" s="99">
        <v>-48000</v>
      </c>
    </row>
    <row r="5" spans="1:17" x14ac:dyDescent="0.4">
      <c r="A5" s="51" t="s">
        <v>7</v>
      </c>
      <c r="B5" s="154">
        <f>IF(B$2=0,0,B$4/B$2)</f>
        <v>-14.783783783783786</v>
      </c>
      <c r="C5" s="155"/>
      <c r="E5" s="59" t="s">
        <v>171</v>
      </c>
      <c r="F5" s="56" t="s">
        <v>172</v>
      </c>
      <c r="G5" s="44">
        <v>23</v>
      </c>
      <c r="H5" s="129">
        <f>IF(B$17=0,0,G5/B$17)</f>
        <v>0.30263157894736842</v>
      </c>
      <c r="I5" s="90">
        <v>10</v>
      </c>
      <c r="K5" s="36">
        <v>3</v>
      </c>
      <c r="L5" s="95">
        <v>-33.6</v>
      </c>
      <c r="N5" s="111" t="s">
        <v>133</v>
      </c>
      <c r="O5" s="118">
        <f t="shared" si="0"/>
        <v>-2179.4117647058824</v>
      </c>
      <c r="P5" s="115">
        <v>34</v>
      </c>
      <c r="Q5" s="99">
        <v>-74100</v>
      </c>
    </row>
    <row r="6" spans="1:17" x14ac:dyDescent="0.4">
      <c r="A6" s="51" t="s">
        <v>1</v>
      </c>
      <c r="B6" s="144">
        <f>IF(B$2=0,0,(B$7*1+B$8*2+B$9*3)/B$2)</f>
        <v>2.4054054054054053</v>
      </c>
      <c r="C6" s="145"/>
      <c r="E6" s="59" t="s">
        <v>68</v>
      </c>
      <c r="F6" s="56" t="s">
        <v>12</v>
      </c>
      <c r="G6" s="44">
        <v>22</v>
      </c>
      <c r="H6" s="129">
        <f>IF(B$17=0,0,G6/B$17)</f>
        <v>0.28947368421052633</v>
      </c>
      <c r="I6" s="90">
        <v>7</v>
      </c>
      <c r="K6" s="36">
        <v>4</v>
      </c>
      <c r="L6" s="95">
        <v>-80.5</v>
      </c>
      <c r="N6" s="111" t="s">
        <v>134</v>
      </c>
      <c r="O6" s="118">
        <f t="shared" si="0"/>
        <v>-1615.1515151515152</v>
      </c>
      <c r="P6" s="115">
        <v>33</v>
      </c>
      <c r="Q6" s="99">
        <v>-53300</v>
      </c>
    </row>
    <row r="7" spans="1:17" x14ac:dyDescent="0.4">
      <c r="A7" s="51" t="s">
        <v>2</v>
      </c>
      <c r="B7" s="44">
        <v>5</v>
      </c>
      <c r="C7" s="37">
        <f t="shared" ref="C7:C12" si="1">IF(B$2=0,0,B7/B$2)</f>
        <v>0.13513513513513514</v>
      </c>
      <c r="E7" s="59" t="s">
        <v>67</v>
      </c>
      <c r="F7" s="56" t="s">
        <v>23</v>
      </c>
      <c r="G7" s="44">
        <v>19</v>
      </c>
      <c r="H7" s="129">
        <f>IF(B$17=0,0,G7/B$17)</f>
        <v>0.25</v>
      </c>
      <c r="I7" s="90">
        <v>7</v>
      </c>
      <c r="K7" s="36">
        <v>5</v>
      </c>
      <c r="L7" s="95">
        <v>-124.3</v>
      </c>
      <c r="N7" s="112" t="s">
        <v>135</v>
      </c>
      <c r="O7" s="119">
        <f t="shared" si="0"/>
        <v>-3600</v>
      </c>
      <c r="P7" s="116">
        <v>26</v>
      </c>
      <c r="Q7" s="100">
        <v>-93600</v>
      </c>
    </row>
    <row r="8" spans="1:17" x14ac:dyDescent="0.4">
      <c r="A8" s="51" t="s">
        <v>3</v>
      </c>
      <c r="B8" s="44">
        <v>12</v>
      </c>
      <c r="C8" s="37">
        <f t="shared" si="1"/>
        <v>0.32432432432432434</v>
      </c>
      <c r="E8" s="59" t="s">
        <v>89</v>
      </c>
      <c r="F8" s="56" t="s">
        <v>44</v>
      </c>
      <c r="G8" s="44">
        <v>11</v>
      </c>
      <c r="H8" s="129">
        <f>IF(B$17=0,0,G8/B$17)</f>
        <v>0.14473684210526316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20</v>
      </c>
      <c r="C9" s="38">
        <f t="shared" si="1"/>
        <v>0.54054054054054057</v>
      </c>
      <c r="E9" s="59" t="s">
        <v>70</v>
      </c>
      <c r="F9" s="56" t="s">
        <v>25</v>
      </c>
      <c r="G9" s="44">
        <v>9</v>
      </c>
      <c r="H9" s="129">
        <f>IF(B$17=0,0,G9/B$17)</f>
        <v>0.11842105263157894</v>
      </c>
      <c r="I9" s="90">
        <v>4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7</v>
      </c>
      <c r="C10" s="38">
        <f t="shared" si="1"/>
        <v>0.1891891891891892</v>
      </c>
      <c r="E10" s="59" t="s">
        <v>71</v>
      </c>
      <c r="F10" s="56" t="s">
        <v>26</v>
      </c>
      <c r="G10" s="44">
        <v>8</v>
      </c>
      <c r="H10" s="129">
        <f>IF(B$17=0,0,G10/B$17)</f>
        <v>0.10526315789473684</v>
      </c>
      <c r="I10" s="90">
        <v>2</v>
      </c>
      <c r="K10" s="36">
        <v>8</v>
      </c>
      <c r="L10" s="95">
        <v>-152.6</v>
      </c>
      <c r="N10" s="110" t="s">
        <v>162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2" t="s">
        <v>138</v>
      </c>
      <c r="B11" s="45">
        <v>1</v>
      </c>
      <c r="C11" s="38">
        <f t="shared" si="1"/>
        <v>2.7027027027027029E-2</v>
      </c>
      <c r="E11" s="59" t="s">
        <v>65</v>
      </c>
      <c r="F11" s="56" t="s">
        <v>21</v>
      </c>
      <c r="G11" s="44">
        <v>7</v>
      </c>
      <c r="H11" s="129">
        <f>IF(B$17=0,0,G11/B$17)</f>
        <v>9.2105263157894732E-2</v>
      </c>
      <c r="I11" s="90">
        <v>8</v>
      </c>
      <c r="K11" s="36">
        <v>9</v>
      </c>
      <c r="L11" s="95">
        <v>-150.6</v>
      </c>
      <c r="N11" s="111" t="s">
        <v>163</v>
      </c>
      <c r="O11" s="121">
        <f>IF(P11=0,0,Q11/P11)</f>
        <v>-12.288888888888888</v>
      </c>
      <c r="P11" s="115">
        <v>9</v>
      </c>
      <c r="Q11" s="103">
        <v>-110.6</v>
      </c>
    </row>
    <row r="12" spans="1:17" x14ac:dyDescent="0.4">
      <c r="A12" s="53" t="s">
        <v>158</v>
      </c>
      <c r="B12" s="46">
        <v>1</v>
      </c>
      <c r="C12" s="40">
        <f t="shared" si="1"/>
        <v>2.7027027027027029E-2</v>
      </c>
      <c r="E12" s="59" t="s">
        <v>69</v>
      </c>
      <c r="F12" s="56" t="s">
        <v>24</v>
      </c>
      <c r="G12" s="44">
        <v>6</v>
      </c>
      <c r="H12" s="129">
        <f>IF(B$17=0,0,G12/B$17)</f>
        <v>7.8947368421052627E-2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-1.3599999999999994</v>
      </c>
      <c r="P12" s="116">
        <v>10</v>
      </c>
      <c r="Q12" s="104">
        <v>-13.599999999999994</v>
      </c>
    </row>
    <row r="13" spans="1:17" x14ac:dyDescent="0.4">
      <c r="A13" s="54" t="s">
        <v>121</v>
      </c>
      <c r="B13" s="47">
        <v>59</v>
      </c>
      <c r="C13" s="42">
        <f>IF(B$3=0,0,B13/B$3)</f>
        <v>0.19155844155844157</v>
      </c>
      <c r="E13" s="59" t="s">
        <v>83</v>
      </c>
      <c r="F13" s="56" t="s">
        <v>38</v>
      </c>
      <c r="G13" s="44">
        <v>6</v>
      </c>
      <c r="H13" s="129">
        <f>IF(B$17=0,0,G13/B$17)</f>
        <v>7.8947368421052627E-2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70</v>
      </c>
      <c r="C14" s="37">
        <f>IF(B$3=0,0,B14/B$3)</f>
        <v>0.22727272727272727</v>
      </c>
      <c r="E14" s="59" t="s">
        <v>86</v>
      </c>
      <c r="F14" s="56" t="s">
        <v>41</v>
      </c>
      <c r="G14" s="44">
        <v>5</v>
      </c>
      <c r="H14" s="129">
        <f>IF(B$17=0,0,G14/B$17)</f>
        <v>6.5789473684210523E-2</v>
      </c>
      <c r="I14" s="90">
        <v>3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32</v>
      </c>
      <c r="C15" s="35">
        <f>IF(B$13=0,0,B15/B$13)</f>
        <v>0.5423728813559322</v>
      </c>
      <c r="E15" s="59" t="s">
        <v>81</v>
      </c>
      <c r="F15" s="56" t="s">
        <v>36</v>
      </c>
      <c r="G15" s="44">
        <v>2</v>
      </c>
      <c r="H15" s="129">
        <f>IF(B$17=0,0,G15/B$17)</f>
        <v>2.6315789473684209E-2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>IF(P15=0,0,Q15/P15)</f>
        <v>27.433333333333334</v>
      </c>
      <c r="P15" s="114">
        <v>6</v>
      </c>
      <c r="Q15" s="102">
        <v>164.6</v>
      </c>
    </row>
    <row r="16" spans="1:17" x14ac:dyDescent="0.4">
      <c r="A16" s="50" t="s">
        <v>124</v>
      </c>
      <c r="B16" s="43">
        <v>28</v>
      </c>
      <c r="C16" s="35">
        <f>IF(B$14=0,0,B16/B$14)</f>
        <v>0.4</v>
      </c>
      <c r="E16" s="59" t="s">
        <v>74</v>
      </c>
      <c r="F16" s="56" t="s">
        <v>29</v>
      </c>
      <c r="G16" s="44">
        <v>1</v>
      </c>
      <c r="H16" s="129">
        <f>IF(B$17=0,0,G16/B$17)</f>
        <v>1.3157894736842105E-2</v>
      </c>
      <c r="I16" s="90">
        <v>1</v>
      </c>
      <c r="K16" s="36">
        <v>14</v>
      </c>
      <c r="L16" s="95">
        <v>-266.90000000000003</v>
      </c>
      <c r="N16" s="111" t="s">
        <v>177</v>
      </c>
      <c r="O16" s="121">
        <f>IF(P16=0,0,Q16/P16)</f>
        <v>-15.864285714285714</v>
      </c>
      <c r="P16" s="115">
        <v>14</v>
      </c>
      <c r="Q16" s="103">
        <v>-222.1</v>
      </c>
    </row>
    <row r="17" spans="1:17" x14ac:dyDescent="0.4">
      <c r="A17" s="50" t="s">
        <v>10</v>
      </c>
      <c r="B17" s="43">
        <f>B19+B18</f>
        <v>76</v>
      </c>
      <c r="C17" s="35">
        <f>IF(B$3=0,0,B17/B$3)</f>
        <v>0.24675324675324675</v>
      </c>
      <c r="E17" s="59" t="s">
        <v>78</v>
      </c>
      <c r="F17" s="56" t="s">
        <v>33</v>
      </c>
      <c r="G17" s="44">
        <v>1</v>
      </c>
      <c r="H17" s="129">
        <f>IF(B$17=0,0,G17/B$17)</f>
        <v>1.3157894736842105E-2</v>
      </c>
      <c r="I17" s="90">
        <v>7</v>
      </c>
      <c r="K17" s="36">
        <v>15</v>
      </c>
      <c r="L17" s="95">
        <v>-272.50000000000006</v>
      </c>
      <c r="N17" s="111" t="s">
        <v>222</v>
      </c>
      <c r="O17" s="121">
        <f>IF(P17=0,0,Q17/P17)</f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12</v>
      </c>
      <c r="B18" s="44">
        <v>37</v>
      </c>
      <c r="C18" s="37">
        <f>IF(B$17=0,0,B18/B$17)</f>
        <v>0.48684210526315791</v>
      </c>
      <c r="E18" s="59" t="s">
        <v>91</v>
      </c>
      <c r="F18" s="56" t="s">
        <v>46</v>
      </c>
      <c r="G18" s="44">
        <v>1</v>
      </c>
      <c r="H18" s="129">
        <f>IF(B$17=0,0,G18/B$17)</f>
        <v>1.3157894736842105E-2</v>
      </c>
      <c r="I18" s="90">
        <v>3</v>
      </c>
      <c r="K18" s="36">
        <v>16</v>
      </c>
      <c r="L18" s="95">
        <v>-320.30000000000007</v>
      </c>
      <c r="N18" s="111" t="s">
        <v>178</v>
      </c>
      <c r="O18" s="121">
        <f>IF(P18=0,0,Q18/P18)</f>
        <v>-22.642105263157891</v>
      </c>
      <c r="P18" s="115">
        <v>19</v>
      </c>
      <c r="Q18" s="103">
        <v>-430.19999999999993</v>
      </c>
    </row>
    <row r="19" spans="1:17" x14ac:dyDescent="0.4">
      <c r="A19" s="51" t="s">
        <v>11</v>
      </c>
      <c r="B19" s="44">
        <v>39</v>
      </c>
      <c r="C19" s="37">
        <f>IF(B$17=0,0,B19/B$17)</f>
        <v>0.51315789473684215</v>
      </c>
      <c r="E19" s="59" t="s">
        <v>95</v>
      </c>
      <c r="F19" s="56" t="s">
        <v>50</v>
      </c>
      <c r="G19" s="44">
        <v>1</v>
      </c>
      <c r="H19" s="129">
        <f>IF(B$17=0,0,G19/B$17)</f>
        <v>1.3157894736842105E-2</v>
      </c>
      <c r="I19" s="90">
        <v>1</v>
      </c>
      <c r="K19" s="36">
        <v>17</v>
      </c>
      <c r="L19" s="95">
        <v>-352.60000000000008</v>
      </c>
      <c r="N19" s="111" t="s">
        <v>127</v>
      </c>
      <c r="O19" s="121">
        <f>IF(P19=0,0,Q19/P19)</f>
        <v>-25.583333333333332</v>
      </c>
      <c r="P19" s="115">
        <v>12</v>
      </c>
      <c r="Q19" s="103">
        <v>-307</v>
      </c>
    </row>
    <row r="20" spans="1:17" x14ac:dyDescent="0.4">
      <c r="A20" s="51" t="s">
        <v>13</v>
      </c>
      <c r="B20" s="44">
        <v>58</v>
      </c>
      <c r="C20" s="37">
        <f>IF(B$3=0,0,B20/B$3)</f>
        <v>0.18831168831168832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4</v>
      </c>
      <c r="K20" s="36">
        <v>18</v>
      </c>
      <c r="L20" s="95">
        <v>-355.50000000000006</v>
      </c>
      <c r="N20" s="111" t="s">
        <v>179</v>
      </c>
      <c r="O20" s="121">
        <f>IF(P20=0,0,Q20/P20)</f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75</v>
      </c>
      <c r="F21" s="56" t="s">
        <v>30</v>
      </c>
      <c r="G21" s="44">
        <v>0</v>
      </c>
      <c r="H21" s="129">
        <f>IF(B$17=0,0,G21/B$17)</f>
        <v>0</v>
      </c>
      <c r="I21" s="90">
        <v>9</v>
      </c>
      <c r="K21" s="36">
        <v>19</v>
      </c>
      <c r="L21" s="95">
        <v>-400.60000000000008</v>
      </c>
      <c r="N21" s="111" t="s">
        <v>126</v>
      </c>
      <c r="O21" s="121">
        <f>IF(P21=0,0,Q21/P21)</f>
        <v>-26.992307692307694</v>
      </c>
      <c r="P21" s="115">
        <v>13</v>
      </c>
      <c r="Q21" s="103">
        <v>-350.90000000000003</v>
      </c>
    </row>
    <row r="22" spans="1:17" x14ac:dyDescent="0.4">
      <c r="A22" s="51" t="s">
        <v>170</v>
      </c>
      <c r="B22" s="44">
        <v>16</v>
      </c>
      <c r="C22" s="131">
        <v>2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K22" s="36">
        <v>20</v>
      </c>
      <c r="L22" s="95">
        <v>-428.10000000000008</v>
      </c>
      <c r="N22" s="111" t="s">
        <v>181</v>
      </c>
      <c r="O22" s="121">
        <f>IF(P22=0,0,Q22/P22)</f>
        <v>-60.640000000000008</v>
      </c>
      <c r="P22" s="115">
        <v>5</v>
      </c>
      <c r="Q22" s="103">
        <v>-303.20000000000005</v>
      </c>
    </row>
    <row r="23" spans="1:17" x14ac:dyDescent="0.4">
      <c r="A23" s="51" t="s">
        <v>5</v>
      </c>
      <c r="B23" s="48">
        <f>IF(B$17=0,0,C23/B$17)</f>
        <v>7810.5263157894733</v>
      </c>
      <c r="C23" s="39">
        <v>593600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5</v>
      </c>
      <c r="K23" s="36">
        <v>21</v>
      </c>
      <c r="L23" s="95">
        <v>-423.7000000000001</v>
      </c>
      <c r="N23" s="111" t="s">
        <v>195</v>
      </c>
      <c r="O23" s="121">
        <f>IF(P23=0,0,Q23/P23)</f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8183.333333333333</v>
      </c>
      <c r="C24" s="137">
        <v>392800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7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7171.4285714285716</v>
      </c>
      <c r="C25" s="137">
        <v>200800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-7920.6896551724139</v>
      </c>
      <c r="C26" s="137">
        <v>-459400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3.246753246753247E-3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-447.30000000000013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-525.40000000000009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-548.20000000000005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-531.90000000000009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-482.7000000000001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-498.00000000000011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-547.00000000000011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D713-13C1-41E6-B5E5-3886DC9D03F0}">
  <sheetPr codeName="Sheet21"/>
  <dimension ref="A1:Q52"/>
  <sheetViews>
    <sheetView showGridLines="0" topLeftCell="A5" zoomScaleNormal="100" workbookViewId="0">
      <selection activeCell="B27" sqref="B27:C29"/>
    </sheetView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23</v>
      </c>
      <c r="C2" s="149"/>
      <c r="E2" s="58" t="s">
        <v>66</v>
      </c>
      <c r="F2" s="55" t="s">
        <v>22</v>
      </c>
      <c r="G2" s="43">
        <v>62</v>
      </c>
      <c r="H2" s="128">
        <f>IF(B$17=0,0,G2/B$17)</f>
        <v>1.0163934426229508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-3173.913043478261</v>
      </c>
      <c r="P2" s="114">
        <v>23</v>
      </c>
      <c r="Q2" s="98">
        <v>-73000</v>
      </c>
    </row>
    <row r="3" spans="1:17" x14ac:dyDescent="0.4">
      <c r="A3" s="51" t="s">
        <v>8</v>
      </c>
      <c r="B3" s="150">
        <v>219</v>
      </c>
      <c r="C3" s="151"/>
      <c r="E3" s="59" t="s">
        <v>64</v>
      </c>
      <c r="F3" s="56" t="s">
        <v>20</v>
      </c>
      <c r="G3" s="44">
        <v>35</v>
      </c>
      <c r="H3" s="129">
        <f>IF(B$17=0,0,G3/B$17)</f>
        <v>0.57377049180327866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-582.60869565217388</v>
      </c>
      <c r="P3" s="115">
        <v>23</v>
      </c>
      <c r="Q3" s="99">
        <v>-13400</v>
      </c>
    </row>
    <row r="4" spans="1:17" x14ac:dyDescent="0.4">
      <c r="A4" s="51" t="s">
        <v>6</v>
      </c>
      <c r="B4" s="152">
        <v>27.299999999999997</v>
      </c>
      <c r="C4" s="153"/>
      <c r="E4" s="59" t="s">
        <v>68</v>
      </c>
      <c r="F4" s="56" t="s">
        <v>12</v>
      </c>
      <c r="G4" s="44">
        <v>26</v>
      </c>
      <c r="H4" s="129">
        <f>IF(B$17=0,0,G4/B$17)</f>
        <v>0.42622950819672129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1086.3636363636363</v>
      </c>
      <c r="P4" s="115">
        <v>22</v>
      </c>
      <c r="Q4" s="99">
        <v>23900</v>
      </c>
    </row>
    <row r="5" spans="1:17" x14ac:dyDescent="0.4">
      <c r="A5" s="51" t="s">
        <v>7</v>
      </c>
      <c r="B5" s="154">
        <f>IF(B$2=0,0,B$4/B$2)</f>
        <v>1.1869565217391302</v>
      </c>
      <c r="C5" s="155"/>
      <c r="E5" s="59" t="s">
        <v>171</v>
      </c>
      <c r="F5" s="56" t="s">
        <v>172</v>
      </c>
      <c r="G5" s="44">
        <v>24</v>
      </c>
      <c r="H5" s="129">
        <f>IF(B$17=0,0,G5/B$17)</f>
        <v>0.39344262295081966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0"/>
        <v>-2318.181818181818</v>
      </c>
      <c r="P5" s="115">
        <v>22</v>
      </c>
      <c r="Q5" s="99">
        <v>-51000</v>
      </c>
    </row>
    <row r="6" spans="1:17" x14ac:dyDescent="0.4">
      <c r="A6" s="51" t="s">
        <v>1</v>
      </c>
      <c r="B6" s="144">
        <f>IF(B$2=0,0,(B$7*1+B$8*2+B$9*3)/B$2)</f>
        <v>1.9565217391304348</v>
      </c>
      <c r="C6" s="145"/>
      <c r="E6" s="59" t="s">
        <v>72</v>
      </c>
      <c r="F6" s="56" t="s">
        <v>27</v>
      </c>
      <c r="G6" s="44">
        <v>21</v>
      </c>
      <c r="H6" s="129">
        <f>IF(B$17=0,0,G6/B$17)</f>
        <v>0.34426229508196721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5950</v>
      </c>
      <c r="P6" s="115">
        <v>20</v>
      </c>
      <c r="Q6" s="99">
        <v>119000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0.39130434782608697</v>
      </c>
      <c r="E7" s="59" t="s">
        <v>67</v>
      </c>
      <c r="F7" s="56" t="s">
        <v>23</v>
      </c>
      <c r="G7" s="44">
        <v>14</v>
      </c>
      <c r="H7" s="129">
        <f>IF(B$17=0,0,G7/B$17)</f>
        <v>0.22950819672131148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112.5</v>
      </c>
      <c r="P7" s="116">
        <v>16</v>
      </c>
      <c r="Q7" s="100">
        <v>1800</v>
      </c>
    </row>
    <row r="8" spans="1:17" x14ac:dyDescent="0.4">
      <c r="A8" s="51" t="s">
        <v>3</v>
      </c>
      <c r="B8" s="44">
        <v>6</v>
      </c>
      <c r="C8" s="37">
        <f t="shared" si="1"/>
        <v>0.2608695652173913</v>
      </c>
      <c r="E8" s="59" t="s">
        <v>69</v>
      </c>
      <c r="F8" s="56" t="s">
        <v>24</v>
      </c>
      <c r="G8" s="44">
        <v>13</v>
      </c>
      <c r="H8" s="129">
        <f>IF(B$17=0,0,G8/B$17)</f>
        <v>0.21311475409836064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8</v>
      </c>
      <c r="C9" s="38">
        <f t="shared" si="1"/>
        <v>0.34782608695652173</v>
      </c>
      <c r="E9" s="59" t="s">
        <v>65</v>
      </c>
      <c r="F9" s="56" t="s">
        <v>21</v>
      </c>
      <c r="G9" s="44">
        <v>8</v>
      </c>
      <c r="H9" s="129">
        <f>IF(B$17=0,0,G9/B$17)</f>
        <v>0.13114754098360656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8.6956521739130432E-2</v>
      </c>
      <c r="E10" s="59" t="s">
        <v>70</v>
      </c>
      <c r="F10" s="56" t="s">
        <v>25</v>
      </c>
      <c r="G10" s="44">
        <v>6</v>
      </c>
      <c r="H10" s="129">
        <f>IF(B$17=0,0,G10/B$17)</f>
        <v>9.8360655737704916E-2</v>
      </c>
      <c r="I10" s="90">
        <v>6</v>
      </c>
      <c r="K10" s="36">
        <v>8</v>
      </c>
      <c r="L10" s="95">
        <v>124.6</v>
      </c>
      <c r="N10" s="110" t="s">
        <v>162</v>
      </c>
      <c r="O10" s="120">
        <f>IF(P10=0,0,Q10/P10)</f>
        <v>-7.5200000000000005</v>
      </c>
      <c r="P10" s="114">
        <v>10</v>
      </c>
      <c r="Q10" s="102">
        <v>-75.2</v>
      </c>
    </row>
    <row r="11" spans="1:17" x14ac:dyDescent="0.4">
      <c r="A11" s="52" t="s">
        <v>138</v>
      </c>
      <c r="B11" s="45">
        <v>3</v>
      </c>
      <c r="C11" s="38">
        <f t="shared" si="1"/>
        <v>0.13043478260869565</v>
      </c>
      <c r="E11" s="59" t="s">
        <v>71</v>
      </c>
      <c r="F11" s="56" t="s">
        <v>26</v>
      </c>
      <c r="G11" s="44">
        <v>6</v>
      </c>
      <c r="H11" s="129">
        <f>IF(B$17=0,0,G11/B$17)</f>
        <v>9.8360655737704916E-2</v>
      </c>
      <c r="I11" s="90">
        <v>5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1</v>
      </c>
      <c r="C12" s="40">
        <f t="shared" si="1"/>
        <v>4.3478260869565216E-2</v>
      </c>
      <c r="E12" s="59" t="s">
        <v>89</v>
      </c>
      <c r="F12" s="56" t="s">
        <v>44</v>
      </c>
      <c r="G12" s="44">
        <v>5</v>
      </c>
      <c r="H12" s="129">
        <f>IF(B$17=0,0,G12/B$17)</f>
        <v>8.1967213114754092E-2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4" t="s">
        <v>121</v>
      </c>
      <c r="B13" s="47">
        <v>59</v>
      </c>
      <c r="C13" s="42">
        <f>IF(B$3=0,0,B13/B$3)</f>
        <v>0.26940639269406391</v>
      </c>
      <c r="E13" s="59" t="s">
        <v>78</v>
      </c>
      <c r="F13" s="56" t="s">
        <v>33</v>
      </c>
      <c r="G13" s="44">
        <v>3</v>
      </c>
      <c r="H13" s="129">
        <f>IF(B$17=0,0,G13/B$17)</f>
        <v>4.9180327868852458E-2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34</v>
      </c>
      <c r="C14" s="37">
        <f>IF(B$3=0,0,B14/B$3)</f>
        <v>0.15525114155251141</v>
      </c>
      <c r="E14" s="59" t="s">
        <v>86</v>
      </c>
      <c r="F14" s="56" t="s">
        <v>41</v>
      </c>
      <c r="G14" s="44">
        <v>3</v>
      </c>
      <c r="H14" s="129">
        <f>IF(B$17=0,0,G14/B$17)</f>
        <v>4.9180327868852458E-2</v>
      </c>
      <c r="I14" s="90">
        <v>7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35</v>
      </c>
      <c r="C15" s="35">
        <f>IF(B$13=0,0,B15/B$13)</f>
        <v>0.59322033898305082</v>
      </c>
      <c r="E15" s="59" t="s">
        <v>83</v>
      </c>
      <c r="F15" s="56" t="s">
        <v>38</v>
      </c>
      <c r="G15" s="44">
        <v>2</v>
      </c>
      <c r="H15" s="129">
        <f>IF(B$17=0,0,G15/B$17)</f>
        <v>3.2786885245901641E-2</v>
      </c>
      <c r="I15" s="90">
        <v>11</v>
      </c>
      <c r="K15" s="36">
        <v>13</v>
      </c>
      <c r="L15" s="95">
        <v>76.7</v>
      </c>
      <c r="N15" s="110" t="s">
        <v>182</v>
      </c>
      <c r="O15" s="120">
        <f t="shared" ref="O15:O22" si="2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0" t="s">
        <v>124</v>
      </c>
      <c r="B16" s="43">
        <v>12</v>
      </c>
      <c r="C16" s="35">
        <f>IF(B$14=0,0,B16/B$14)</f>
        <v>0.35294117647058826</v>
      </c>
      <c r="E16" s="59" t="s">
        <v>75</v>
      </c>
      <c r="F16" s="56" t="s">
        <v>30</v>
      </c>
      <c r="G16" s="44">
        <v>1</v>
      </c>
      <c r="H16" s="129">
        <f>IF(B$17=0,0,G16/B$17)</f>
        <v>1.6393442622950821E-2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61</v>
      </c>
      <c r="C17" s="35">
        <f>IF(B$3=0,0,B17/B$3)</f>
        <v>0.27853881278538811</v>
      </c>
      <c r="E17" s="59" t="s">
        <v>81</v>
      </c>
      <c r="F17" s="56" t="s">
        <v>36</v>
      </c>
      <c r="G17" s="44">
        <v>1</v>
      </c>
      <c r="H17" s="129">
        <f>IF(B$17=0,0,G17/B$17)</f>
        <v>1.6393442622950821E-2</v>
      </c>
      <c r="I17" s="90">
        <v>7</v>
      </c>
      <c r="K17" s="36">
        <v>15</v>
      </c>
      <c r="L17" s="95">
        <v>73.7</v>
      </c>
      <c r="N17" s="111" t="s">
        <v>179</v>
      </c>
      <c r="O17" s="121">
        <f t="shared" si="2"/>
        <v>5.3000000000000007</v>
      </c>
      <c r="P17" s="115">
        <v>9</v>
      </c>
      <c r="Q17" s="103">
        <v>47.7</v>
      </c>
    </row>
    <row r="18" spans="1:17" x14ac:dyDescent="0.4">
      <c r="A18" s="51" t="s">
        <v>12</v>
      </c>
      <c r="B18" s="44">
        <v>34</v>
      </c>
      <c r="C18" s="37">
        <f>IF(B$17=0,0,B18/B$17)</f>
        <v>0.55737704918032782</v>
      </c>
      <c r="E18" s="59" t="s">
        <v>85</v>
      </c>
      <c r="F18" s="56" t="s">
        <v>40</v>
      </c>
      <c r="G18" s="44">
        <v>1</v>
      </c>
      <c r="H18" s="129">
        <f>IF(B$17=0,0,G18/B$17)</f>
        <v>1.6393442622950821E-2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27</v>
      </c>
      <c r="C19" s="37">
        <f>IF(B$17=0,0,B19/B$17)</f>
        <v>0.44262295081967212</v>
      </c>
      <c r="E19" s="59" t="s">
        <v>87</v>
      </c>
      <c r="F19" s="56" t="s">
        <v>42</v>
      </c>
      <c r="G19" s="44">
        <v>1</v>
      </c>
      <c r="H19" s="129">
        <f>IF(B$17=0,0,G19/B$17)</f>
        <v>1.6393442622950821E-2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34</v>
      </c>
      <c r="C20" s="37">
        <f>IF(B$3=0,0,B20/B$3)</f>
        <v>0.15525114155251141</v>
      </c>
      <c r="E20" s="59" t="s">
        <v>167</v>
      </c>
      <c r="F20" s="56" t="s">
        <v>168</v>
      </c>
      <c r="G20" s="44">
        <v>1</v>
      </c>
      <c r="H20" s="129">
        <f>IF(B$17=0,0,G20/B$17)</f>
        <v>1.6393442622950821E-2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2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4</v>
      </c>
      <c r="K21" s="36">
        <v>19</v>
      </c>
      <c r="L21" s="95">
        <v>8.7000000000000028</v>
      </c>
      <c r="N21" s="111" t="s">
        <v>195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3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-41.585714285714289</v>
      </c>
      <c r="P22" s="115">
        <v>7</v>
      </c>
      <c r="Q22" s="103">
        <v>-291.10000000000002</v>
      </c>
    </row>
    <row r="23" spans="1:17" x14ac:dyDescent="0.4">
      <c r="A23" s="51" t="s">
        <v>5</v>
      </c>
      <c r="B23" s="48">
        <f>IF(B$17=0,0,C23/B$17)</f>
        <v>8398.3606557377043</v>
      </c>
      <c r="C23" s="39">
        <v>512300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8714.2857142857138</v>
      </c>
      <c r="C24" s="137">
        <v>427000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27.299999999999997</v>
      </c>
    </row>
    <row r="26" spans="1:17" x14ac:dyDescent="0.4">
      <c r="A26" s="52" t="s">
        <v>215</v>
      </c>
      <c r="B26" s="136">
        <f>IF(B$20=0,0,C26/B$20)</f>
        <v>-7058.8235294117649</v>
      </c>
      <c r="C26" s="137">
        <v>-240000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4.5662100456621002E-3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709C-D98B-46DE-961D-CCD6ADFBC57D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2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4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9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353E7-64E6-4F76-9AE4-D26E133AC16F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9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5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113F-A490-429F-AF48-30D21A9CC8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06F0-3AF1-45A1-A637-A1DFF216F41D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1400B-C680-4ED2-B7D7-230F405CF1D9}">
  <sheetPr codeName="Sheet22"/>
  <dimension ref="A1:Q2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  <row r="26" spans="1:17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0.13043478260869565</v>
      </c>
      <c r="M26" s="63">
        <v>0.26940639269406391</v>
      </c>
      <c r="N26" s="63">
        <v>0.15525114155251141</v>
      </c>
      <c r="O26" s="63">
        <v>0.59322033898305082</v>
      </c>
      <c r="P26" s="63">
        <v>0.35294117647058826</v>
      </c>
      <c r="Q26" s="63">
        <v>0.55737704918032782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95F22-2C45-49FE-A30C-9A02C21C393E}">
  <sheetPr codeName="Sheet20"/>
  <dimension ref="A1:Q4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  <row r="35" spans="1:17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3.125E-2</v>
      </c>
      <c r="M35" s="63">
        <v>0.2</v>
      </c>
      <c r="N35" s="63">
        <v>0.22264150943396227</v>
      </c>
      <c r="O35" s="63">
        <v>0.54716981132075471</v>
      </c>
      <c r="P35" s="63">
        <v>0.3728813559322034</v>
      </c>
      <c r="Q35" s="63">
        <v>0.46774193548387094</v>
      </c>
    </row>
    <row r="36" spans="1:17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3.0303030303030304E-2</v>
      </c>
      <c r="M36" s="63">
        <v>0.19557195571955718</v>
      </c>
      <c r="N36" s="63">
        <v>0.22140221402214022</v>
      </c>
      <c r="O36" s="63">
        <v>0.54716981132075471</v>
      </c>
      <c r="P36" s="63">
        <v>0.36666666666666664</v>
      </c>
      <c r="Q36" s="63">
        <v>0.46031746031746029</v>
      </c>
    </row>
    <row r="37" spans="1:17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2.9411764705882353E-2</v>
      </c>
      <c r="M37" s="63">
        <v>0.19354838709677419</v>
      </c>
      <c r="N37" s="63">
        <v>0.22222222222222221</v>
      </c>
      <c r="O37" s="63">
        <v>0.55555555555555558</v>
      </c>
      <c r="P37" s="63">
        <v>0.37096774193548387</v>
      </c>
      <c r="Q37" s="63">
        <v>0.47692307692307695</v>
      </c>
    </row>
    <row r="38" spans="1:17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2.8571428571428571E-2</v>
      </c>
      <c r="M38" s="63">
        <v>0.19243986254295534</v>
      </c>
      <c r="N38" s="63">
        <v>0.22680412371134021</v>
      </c>
      <c r="O38" s="63">
        <v>0.5714285714285714</v>
      </c>
      <c r="P38" s="63">
        <v>0.37878787878787878</v>
      </c>
      <c r="Q38" s="63">
        <v>0.45833333333333331</v>
      </c>
    </row>
    <row r="39" spans="1:17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2.7777777777777776E-2</v>
      </c>
      <c r="M39" s="63">
        <v>0.19205298013245034</v>
      </c>
      <c r="N39" s="63">
        <v>0.23178807947019867</v>
      </c>
      <c r="O39" s="63">
        <v>0.55172413793103448</v>
      </c>
      <c r="P39" s="63">
        <v>0.4</v>
      </c>
      <c r="Q39" s="63">
        <v>0.48</v>
      </c>
    </row>
    <row r="40" spans="1:17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2.7027027027027029E-2</v>
      </c>
      <c r="M40" s="63">
        <v>0.19155844155844157</v>
      </c>
      <c r="N40" s="63">
        <v>0.22727272727272727</v>
      </c>
      <c r="O40" s="63">
        <v>0.5423728813559322</v>
      </c>
      <c r="P40" s="63">
        <v>0.4</v>
      </c>
      <c r="Q40" s="63">
        <v>0.48684210526315791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0C5CB-FF10-4F86-B946-F640B4129512}">
  <sheetPr codeName="Sheet18"/>
  <dimension ref="A1:Q9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7.6923076923076927E-2</v>
      </c>
      <c r="M81" s="63">
        <v>0.2504012841091493</v>
      </c>
      <c r="N81" s="63">
        <v>0.23595505617977527</v>
      </c>
      <c r="O81" s="63">
        <v>0.57051282051282048</v>
      </c>
      <c r="P81" s="63">
        <v>0.40136054421768708</v>
      </c>
      <c r="Q81" s="63">
        <v>0.45086705202312138</v>
      </c>
    </row>
    <row r="82" spans="1:17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7.5949367088607597E-2</v>
      </c>
      <c r="M82" s="63">
        <v>0.25078864353312302</v>
      </c>
      <c r="N82" s="63">
        <v>0.23501577287066247</v>
      </c>
      <c r="O82" s="63">
        <v>0.55974842767295596</v>
      </c>
      <c r="P82" s="63">
        <v>0.40268456375838924</v>
      </c>
      <c r="Q82" s="63">
        <v>0.44886363636363635</v>
      </c>
    </row>
    <row r="83" spans="1:17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7.4999999999999997E-2</v>
      </c>
      <c r="M83" s="63">
        <v>0.25039123630672927</v>
      </c>
      <c r="N83" s="63">
        <v>0.23630672926447574</v>
      </c>
      <c r="O83" s="63">
        <v>0.5625</v>
      </c>
      <c r="P83" s="63">
        <v>0.40397350993377484</v>
      </c>
      <c r="Q83" s="63">
        <v>0.449438202247191</v>
      </c>
    </row>
    <row r="84" spans="1:17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7.407407407407407E-2</v>
      </c>
      <c r="M84" s="63">
        <v>0.25386996904024767</v>
      </c>
      <c r="N84" s="63">
        <v>0.23529411764705882</v>
      </c>
      <c r="O84" s="63">
        <v>0.56707317073170727</v>
      </c>
      <c r="P84" s="63">
        <v>0.40789473684210525</v>
      </c>
      <c r="Q84" s="63">
        <v>0.44808743169398907</v>
      </c>
    </row>
    <row r="85" spans="1:17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7.3170731707317069E-2</v>
      </c>
      <c r="M85" s="63">
        <v>0.25229357798165136</v>
      </c>
      <c r="N85" s="63">
        <v>0.23547400611620795</v>
      </c>
      <c r="O85" s="63">
        <v>0.5696969696969697</v>
      </c>
      <c r="P85" s="63">
        <v>0.40909090909090912</v>
      </c>
      <c r="Q85" s="63">
        <v>0.44864864864864867</v>
      </c>
    </row>
    <row r="86" spans="1:17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7.2289156626506021E-2</v>
      </c>
      <c r="M86" s="63">
        <v>0.25264750378214829</v>
      </c>
      <c r="N86" s="63">
        <v>0.2329803328290469</v>
      </c>
      <c r="O86" s="63">
        <v>0.56287425149700598</v>
      </c>
      <c r="P86" s="63">
        <v>0.40909090909090912</v>
      </c>
      <c r="Q86" s="63">
        <v>0.44864864864864867</v>
      </c>
    </row>
    <row r="87" spans="1:17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7.1428571428571425E-2</v>
      </c>
      <c r="M87" s="63">
        <v>0.25337331334332835</v>
      </c>
      <c r="N87" s="63">
        <v>0.23088455772113944</v>
      </c>
      <c r="O87" s="63">
        <v>0.56804733727810652</v>
      </c>
      <c r="P87" s="63">
        <v>0.40909090909090912</v>
      </c>
      <c r="Q87" s="63">
        <v>0.44385026737967914</v>
      </c>
    </row>
    <row r="88" spans="1:17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7.0588235294117646E-2</v>
      </c>
      <c r="M88" s="63">
        <v>0.25370919881305637</v>
      </c>
      <c r="N88" s="63">
        <v>0.2314540059347181</v>
      </c>
      <c r="O88" s="63">
        <v>0.56140350877192979</v>
      </c>
      <c r="P88" s="63">
        <v>0.41025641025641024</v>
      </c>
      <c r="Q88" s="63">
        <v>0.44973544973544971</v>
      </c>
    </row>
    <row r="89" spans="1:17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6.9767441860465115E-2</v>
      </c>
      <c r="M89" s="63">
        <v>0.25768667642752563</v>
      </c>
      <c r="N89" s="63">
        <v>0.22986822840409957</v>
      </c>
      <c r="O89" s="63">
        <v>0.55681818181818177</v>
      </c>
      <c r="P89" s="63">
        <v>0.4140127388535032</v>
      </c>
      <c r="Q89" s="63">
        <v>0.44791666666666669</v>
      </c>
    </row>
    <row r="90" spans="1:17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6.8965517241379309E-2</v>
      </c>
      <c r="M90" s="63">
        <v>0.2608695652173913</v>
      </c>
      <c r="N90" s="63">
        <v>0.22898550724637681</v>
      </c>
      <c r="O90" s="63">
        <v>0.56111111111111112</v>
      </c>
      <c r="P90" s="63">
        <v>0.41139240506329117</v>
      </c>
      <c r="Q90" s="63">
        <v>0.44615384615384618</v>
      </c>
    </row>
    <row r="91" spans="1:17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6.8181818181818177E-2</v>
      </c>
      <c r="M91" s="63">
        <v>0.26315789473684209</v>
      </c>
      <c r="N91" s="63">
        <v>0.22759601706970128</v>
      </c>
      <c r="O91" s="63">
        <v>0.56216216216216219</v>
      </c>
      <c r="P91" s="63">
        <v>0.41249999999999998</v>
      </c>
      <c r="Q91" s="63">
        <v>0.44221105527638194</v>
      </c>
    </row>
    <row r="92" spans="1:17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6.741573033707865E-2</v>
      </c>
      <c r="M92" s="63">
        <v>0.26396648044692739</v>
      </c>
      <c r="N92" s="63">
        <v>0.22346368715083798</v>
      </c>
      <c r="O92" s="63">
        <v>0.56084656084656082</v>
      </c>
      <c r="P92" s="63">
        <v>0.41249999999999998</v>
      </c>
      <c r="Q92" s="63">
        <v>0.4405940594059406</v>
      </c>
    </row>
    <row r="93" spans="1:17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7.7777777777777779E-2</v>
      </c>
      <c r="M93" s="63">
        <v>0.26592797783933519</v>
      </c>
      <c r="N93" s="63">
        <v>0.22160664819944598</v>
      </c>
      <c r="O93" s="63">
        <v>0.56770833333333337</v>
      </c>
      <c r="P93" s="63">
        <v>0.41249999999999998</v>
      </c>
      <c r="Q93" s="63">
        <v>0.44878048780487806</v>
      </c>
    </row>
    <row r="94" spans="1:17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7.6923076923076927E-2</v>
      </c>
      <c r="M94" s="63">
        <v>0.26648351648351648</v>
      </c>
      <c r="N94" s="63">
        <v>0.22115384615384615</v>
      </c>
      <c r="O94" s="63">
        <v>0.57216494845360821</v>
      </c>
      <c r="P94" s="63">
        <v>0.40993788819875776</v>
      </c>
      <c r="Q94" s="63">
        <v>0.44927536231884058</v>
      </c>
    </row>
    <row r="95" spans="1:17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8.6956521739130432E-2</v>
      </c>
      <c r="M95" s="63">
        <v>0.26666666666666666</v>
      </c>
      <c r="N95" s="63">
        <v>0.22040816326530613</v>
      </c>
      <c r="O95" s="63">
        <v>0.57653061224489799</v>
      </c>
      <c r="P95" s="63">
        <v>0.41358024691358025</v>
      </c>
      <c r="Q95" s="63">
        <v>0.45714285714285713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AC30-7107-4E5C-AAD4-07F911C35F0B}">
  <sheetPr codeName="Sheet16"/>
  <dimension ref="A1:Q6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  <row r="60" spans="1:17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0.19298245614035087</v>
      </c>
      <c r="M60" s="63">
        <v>0.32385120350109409</v>
      </c>
      <c r="N60" s="63">
        <v>0.17943107221006566</v>
      </c>
      <c r="O60" s="63">
        <v>0.54729729729729726</v>
      </c>
      <c r="P60" s="63">
        <v>0.45121951219512196</v>
      </c>
      <c r="Q60" s="63">
        <v>0.48529411764705882</v>
      </c>
    </row>
    <row r="61" spans="1:17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0.18965517241379309</v>
      </c>
      <c r="M61" s="63">
        <v>0.32258064516129031</v>
      </c>
      <c r="N61" s="63">
        <v>0.17634408602150536</v>
      </c>
      <c r="O61" s="63">
        <v>0.54666666666666663</v>
      </c>
      <c r="P61" s="63">
        <v>0.45121951219512196</v>
      </c>
      <c r="Q61" s="63">
        <v>0.48550724637681159</v>
      </c>
    </row>
    <row r="62" spans="1:17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0.20338983050847459</v>
      </c>
      <c r="M62" s="63">
        <v>0.32845188284518828</v>
      </c>
      <c r="N62" s="63">
        <v>0.17782426778242677</v>
      </c>
      <c r="O62" s="63">
        <v>0.55414012738853502</v>
      </c>
      <c r="P62" s="63">
        <v>0.43529411764705883</v>
      </c>
      <c r="Q62" s="63">
        <v>0.4825174825174825</v>
      </c>
    </row>
    <row r="63" spans="1:17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0.2</v>
      </c>
      <c r="M63" s="63">
        <v>0.32723577235772355</v>
      </c>
      <c r="N63" s="63">
        <v>0.17886178861788618</v>
      </c>
      <c r="O63" s="63">
        <v>0.54658385093167705</v>
      </c>
      <c r="P63" s="63">
        <v>0.44318181818181818</v>
      </c>
      <c r="Q63" s="63">
        <v>0.47945205479452052</v>
      </c>
    </row>
    <row r="64" spans="1:17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0.19672131147540983</v>
      </c>
      <c r="M64" s="63">
        <v>0.32341269841269843</v>
      </c>
      <c r="N64" s="63">
        <v>0.18055555555555555</v>
      </c>
      <c r="O64" s="63">
        <v>0.54601226993865026</v>
      </c>
      <c r="P64" s="63">
        <v>0.43956043956043955</v>
      </c>
      <c r="Q64" s="63">
        <v>0.47297297297297297</v>
      </c>
    </row>
    <row r="65" spans="1:17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0.19354838709677419</v>
      </c>
      <c r="M65" s="63">
        <v>0.32156862745098042</v>
      </c>
      <c r="N65" s="63">
        <v>0.17843137254901961</v>
      </c>
      <c r="O65" s="63">
        <v>0.54878048780487809</v>
      </c>
      <c r="P65" s="63">
        <v>0.43956043956043955</v>
      </c>
      <c r="Q65" s="63">
        <v>0.46979865771812079</v>
      </c>
    </row>
    <row r="66" spans="1:17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0.19047619047619047</v>
      </c>
      <c r="M66" s="63">
        <v>0.31782945736434109</v>
      </c>
      <c r="N66" s="63">
        <v>0.17635658914728683</v>
      </c>
      <c r="O66" s="63">
        <v>0.54878048780487809</v>
      </c>
      <c r="P66" s="63">
        <v>0.43956043956043955</v>
      </c>
      <c r="Q66" s="63">
        <v>0.46979865771812079</v>
      </c>
    </row>
    <row r="67" spans="1:17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0.1875</v>
      </c>
      <c r="M67" s="63">
        <v>0.31739961759082219</v>
      </c>
      <c r="N67" s="63">
        <v>0.17782026768642448</v>
      </c>
      <c r="O67" s="63">
        <v>0.54819277108433739</v>
      </c>
      <c r="P67" s="63">
        <v>0.43010752688172044</v>
      </c>
      <c r="Q67" s="63">
        <v>0.47333333333333333</v>
      </c>
    </row>
    <row r="68" spans="1:17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0.18461538461538463</v>
      </c>
      <c r="M68" s="63">
        <v>0.31826741996233521</v>
      </c>
      <c r="N68" s="63">
        <v>0.17890772128060264</v>
      </c>
      <c r="O68" s="63">
        <v>0.55621301775147924</v>
      </c>
      <c r="P68" s="63">
        <v>0.44210526315789472</v>
      </c>
      <c r="Q68" s="63">
        <v>0.47741935483870968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3F0A0-967D-4C91-AF21-E24D6E2A0C30}">
  <sheetPr codeName="Sheet14"/>
  <dimension ref="A1:Q6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  <row r="65" spans="1:17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3.2258064516129031E-2</v>
      </c>
      <c r="M65" s="63">
        <v>0.28516377649325625</v>
      </c>
      <c r="N65" s="63">
        <v>0.18882466281310212</v>
      </c>
      <c r="O65" s="63">
        <v>0.58783783783783783</v>
      </c>
      <c r="P65" s="63">
        <v>0.38775510204081631</v>
      </c>
      <c r="Q65" s="63">
        <v>0.4513888888888889</v>
      </c>
    </row>
    <row r="66" spans="1:17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3.1746031746031744E-2</v>
      </c>
      <c r="M66" s="63">
        <v>0.29166666666666669</v>
      </c>
      <c r="N66" s="63">
        <v>0.1875</v>
      </c>
      <c r="O66" s="63">
        <v>0.58441558441558439</v>
      </c>
      <c r="P66" s="63">
        <v>0.38383838383838381</v>
      </c>
      <c r="Q66" s="63">
        <v>0.45270270270270269</v>
      </c>
    </row>
    <row r="67" spans="1:17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3.125E-2</v>
      </c>
      <c r="M67" s="63">
        <v>0.28782287822878228</v>
      </c>
      <c r="N67" s="63">
        <v>0.18819188191881919</v>
      </c>
      <c r="O67" s="63">
        <v>0.58333333333333337</v>
      </c>
      <c r="P67" s="63">
        <v>0.40196078431372551</v>
      </c>
      <c r="Q67" s="63">
        <v>0.46052631578947367</v>
      </c>
    </row>
    <row r="68" spans="1:17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3.0769230769230771E-2</v>
      </c>
      <c r="M68" s="63">
        <v>0.2867513611615245</v>
      </c>
      <c r="N68" s="63">
        <v>0.19237749546279492</v>
      </c>
      <c r="O68" s="63">
        <v>0.58227848101265822</v>
      </c>
      <c r="P68" s="63">
        <v>0.3867924528301887</v>
      </c>
      <c r="Q68" s="63">
        <v>0.45751633986928103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E04CE-6D5F-4791-A615-DDFD21B8A421}">
  <sheetPr codeName="Sheet12"/>
  <dimension ref="A1:Q10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  <row r="92" spans="1:17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0.11235955056179775</v>
      </c>
      <c r="M92" s="63">
        <v>0.22823218997361477</v>
      </c>
      <c r="N92" s="63">
        <v>0.30606860158311344</v>
      </c>
      <c r="O92" s="63">
        <v>0.53179190751445082</v>
      </c>
      <c r="P92" s="63">
        <v>0.38362068965517243</v>
      </c>
      <c r="Q92" s="63">
        <v>0.38493723849372385</v>
      </c>
    </row>
    <row r="93" spans="1:17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0.1111111111111111</v>
      </c>
      <c r="M93" s="63">
        <v>0.23216601815823606</v>
      </c>
      <c r="N93" s="63">
        <v>0.30998702983138782</v>
      </c>
      <c r="O93" s="63">
        <v>0.51955307262569828</v>
      </c>
      <c r="P93" s="63">
        <v>0.38493723849372385</v>
      </c>
      <c r="Q93" s="63">
        <v>0.38683127572016462</v>
      </c>
    </row>
    <row r="94" spans="1:17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0.10989010989010989</v>
      </c>
      <c r="M94" s="63">
        <v>0.2326478149100257</v>
      </c>
      <c r="N94" s="63">
        <v>0.30976863753213368</v>
      </c>
      <c r="O94" s="63">
        <v>0.51933701657458564</v>
      </c>
      <c r="P94" s="63">
        <v>0.38174273858921159</v>
      </c>
      <c r="Q94" s="63">
        <v>0.38524590163934425</v>
      </c>
    </row>
    <row r="95" spans="1:17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0.10869565217391304</v>
      </c>
      <c r="M95" s="63">
        <v>0.2340966921119593</v>
      </c>
      <c r="N95" s="63">
        <v>0.30916030534351147</v>
      </c>
      <c r="O95" s="63">
        <v>0.51630434782608692</v>
      </c>
      <c r="P95" s="63">
        <v>0.37860082304526749</v>
      </c>
      <c r="Q95" s="63">
        <v>0.38775510204081631</v>
      </c>
    </row>
    <row r="96" spans="1:17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0.10752688172043011</v>
      </c>
      <c r="M96" s="63">
        <v>0.23707440100882723</v>
      </c>
      <c r="N96" s="63">
        <v>0.30643127364438838</v>
      </c>
      <c r="O96" s="63">
        <v>0.51063829787234039</v>
      </c>
      <c r="P96" s="63">
        <v>0.37860082304526749</v>
      </c>
      <c r="Q96" s="63">
        <v>0.38617886178861788</v>
      </c>
    </row>
    <row r="97" spans="1:17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0.10638297872340426</v>
      </c>
      <c r="M97" s="63">
        <v>0.23654568210262827</v>
      </c>
      <c r="N97" s="63">
        <v>0.30663329161451813</v>
      </c>
      <c r="O97" s="63">
        <v>0.50793650793650791</v>
      </c>
      <c r="P97" s="63">
        <v>0.37551020408163266</v>
      </c>
      <c r="Q97" s="63">
        <v>0.38617886178861788</v>
      </c>
    </row>
    <row r="98" spans="1:17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0.10526315789473684</v>
      </c>
      <c r="M98" s="63">
        <v>0.23449131513647642</v>
      </c>
      <c r="N98" s="63">
        <v>0.30645161290322581</v>
      </c>
      <c r="O98" s="63">
        <v>0.50793650793650791</v>
      </c>
      <c r="P98" s="63">
        <v>0.37651821862348178</v>
      </c>
      <c r="Q98" s="63">
        <v>0.38461538461538464</v>
      </c>
    </row>
    <row r="99" spans="1:17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0.10416666666666667</v>
      </c>
      <c r="M99" s="63">
        <v>0.2343558282208589</v>
      </c>
      <c r="N99" s="63">
        <v>0.30674846625766872</v>
      </c>
      <c r="O99" s="63">
        <v>0.50785340314136129</v>
      </c>
      <c r="P99" s="63">
        <v>0.376</v>
      </c>
      <c r="Q99" s="63">
        <v>0.38554216867469882</v>
      </c>
    </row>
    <row r="100" spans="1:17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0.10309278350515463</v>
      </c>
      <c r="M100" s="63">
        <v>0.2334963325183374</v>
      </c>
      <c r="N100" s="63">
        <v>0.30562347188264061</v>
      </c>
      <c r="O100" s="63">
        <v>0.50785340314136129</v>
      </c>
      <c r="P100" s="63">
        <v>0.376</v>
      </c>
      <c r="Q100" s="63">
        <v>0.38554216867469882</v>
      </c>
    </row>
    <row r="101" spans="1:17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0.10204081632653061</v>
      </c>
      <c r="M101" s="63">
        <v>0.23458282950423218</v>
      </c>
      <c r="N101" s="63">
        <v>0.30350665054413545</v>
      </c>
      <c r="O101" s="63">
        <v>0.51030927835051543</v>
      </c>
      <c r="P101" s="63">
        <v>0.37450199203187251</v>
      </c>
      <c r="Q101" s="63">
        <v>0.38645418326693226</v>
      </c>
    </row>
    <row r="102" spans="1:17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0.10101010101010101</v>
      </c>
      <c r="M102" s="63">
        <v>0.2347305389221557</v>
      </c>
      <c r="N102" s="63">
        <v>0.30419161676646705</v>
      </c>
      <c r="O102" s="63">
        <v>0.51020408163265307</v>
      </c>
      <c r="P102" s="63">
        <v>0.37401574803149606</v>
      </c>
      <c r="Q102" s="63">
        <v>0.38735177865612647</v>
      </c>
    </row>
    <row r="103" spans="1:17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0.1</v>
      </c>
      <c r="M103" s="63">
        <v>0.23515439429928742</v>
      </c>
      <c r="N103" s="63">
        <v>0.30403800475059384</v>
      </c>
      <c r="O103" s="63">
        <v>0.51010101010101006</v>
      </c>
      <c r="P103" s="63">
        <v>0.37109375</v>
      </c>
      <c r="Q103" s="63">
        <v>0.38976377952755903</v>
      </c>
    </row>
    <row r="104" spans="1:17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9.9009900990099015E-2</v>
      </c>
      <c r="M104" s="63">
        <v>0.23349056603773585</v>
      </c>
      <c r="N104" s="63">
        <v>0.30306603773584906</v>
      </c>
      <c r="O104" s="63">
        <v>0.51010101010101006</v>
      </c>
      <c r="P104" s="63">
        <v>0.36964980544747084</v>
      </c>
      <c r="Q104" s="63">
        <v>0.38976377952755903</v>
      </c>
    </row>
    <row r="105" spans="1:17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9.8039215686274508E-2</v>
      </c>
      <c r="M105" s="63">
        <v>0.23481308411214954</v>
      </c>
      <c r="N105" s="63">
        <v>0.30373831775700932</v>
      </c>
      <c r="O105" s="63">
        <v>0.5074626865671642</v>
      </c>
      <c r="P105" s="63">
        <v>0.36923076923076925</v>
      </c>
      <c r="Q105" s="63">
        <v>0.390625</v>
      </c>
    </row>
    <row r="106" spans="1:17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9.7087378640776698E-2</v>
      </c>
      <c r="M106" s="63">
        <v>0.23495370370370369</v>
      </c>
      <c r="N106" s="63">
        <v>0.30324074074074076</v>
      </c>
      <c r="O106" s="63">
        <v>0.5073891625615764</v>
      </c>
      <c r="P106" s="63">
        <v>0.36641221374045801</v>
      </c>
      <c r="Q106" s="63">
        <v>0.39768339768339767</v>
      </c>
    </row>
    <row r="107" spans="1:17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9.6153846153846159E-2</v>
      </c>
      <c r="M107" s="63">
        <v>0.23279816513761467</v>
      </c>
      <c r="N107" s="63">
        <v>0.30389908256880732</v>
      </c>
      <c r="O107" s="63">
        <v>0.5073891625615764</v>
      </c>
      <c r="P107" s="63">
        <v>0.36603773584905658</v>
      </c>
      <c r="Q107" s="63">
        <v>0.39846743295019155</v>
      </c>
    </row>
    <row r="108" spans="1:17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9.5238095238095233E-2</v>
      </c>
      <c r="M108" s="63">
        <v>0.23269012485811577</v>
      </c>
      <c r="N108" s="63">
        <v>0.30192962542565266</v>
      </c>
      <c r="O108" s="63">
        <v>0.50731707317073171</v>
      </c>
      <c r="P108" s="63">
        <v>0.36466165413533835</v>
      </c>
      <c r="Q108" s="63">
        <v>0.39923954372623577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B146A-B0BB-42B1-BF16-5CE984828BE6}">
  <sheetPr codeName="Sheet10"/>
  <dimension ref="A1:Q12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0.10309278350515463</v>
      </c>
      <c r="M100" s="63">
        <v>0.27319587628865977</v>
      </c>
      <c r="N100" s="63">
        <v>0.22551546391752578</v>
      </c>
      <c r="O100" s="63">
        <v>0.59433962264150941</v>
      </c>
      <c r="P100" s="63">
        <v>0.48571428571428571</v>
      </c>
      <c r="Q100" s="63">
        <v>0.43129770992366412</v>
      </c>
    </row>
    <row r="101" spans="1:17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0.10204081632653061</v>
      </c>
      <c r="M101" s="63">
        <v>0.27376425855513309</v>
      </c>
      <c r="N101" s="63">
        <v>0.2256020278833967</v>
      </c>
      <c r="O101" s="63">
        <v>0.59259259259259256</v>
      </c>
      <c r="P101" s="63">
        <v>0.47752808988764045</v>
      </c>
      <c r="Q101" s="63">
        <v>0.42803030303030304</v>
      </c>
    </row>
    <row r="102" spans="1:17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0.10101010101010101</v>
      </c>
      <c r="M102" s="63">
        <v>0.27124999999999999</v>
      </c>
      <c r="N102" s="63">
        <v>0.22750000000000001</v>
      </c>
      <c r="O102" s="63">
        <v>0.59447004608294929</v>
      </c>
      <c r="P102" s="63">
        <v>0.47802197802197804</v>
      </c>
      <c r="Q102" s="63">
        <v>0.43122676579925651</v>
      </c>
    </row>
    <row r="103" spans="1:17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0.11</v>
      </c>
      <c r="M103" s="63">
        <v>0.27204968944099378</v>
      </c>
      <c r="N103" s="63">
        <v>0.22608695652173913</v>
      </c>
      <c r="O103" s="63">
        <v>0.59817351598173518</v>
      </c>
      <c r="P103" s="63">
        <v>0.47802197802197804</v>
      </c>
      <c r="Q103" s="63">
        <v>0.43014705882352944</v>
      </c>
    </row>
    <row r="104" spans="1:17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0.10891089108910891</v>
      </c>
      <c r="M104" s="63">
        <v>0.27093596059113301</v>
      </c>
      <c r="N104" s="63">
        <v>0.22536945812807882</v>
      </c>
      <c r="O104" s="63">
        <v>0.6</v>
      </c>
      <c r="P104" s="63">
        <v>0.47540983606557374</v>
      </c>
      <c r="Q104" s="63">
        <v>0.42857142857142855</v>
      </c>
    </row>
    <row r="105" spans="1:17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0.11764705882352941</v>
      </c>
      <c r="M105" s="63">
        <v>0.27317073170731709</v>
      </c>
      <c r="N105" s="63">
        <v>0.22560975609756098</v>
      </c>
      <c r="O105" s="63">
        <v>0.5982142857142857</v>
      </c>
      <c r="P105" s="63">
        <v>0.48108108108108111</v>
      </c>
      <c r="Q105" s="63">
        <v>0.4296028880866426</v>
      </c>
    </row>
    <row r="106" spans="1:17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0.12621359223300971</v>
      </c>
      <c r="M106" s="63">
        <v>0.27360774818401939</v>
      </c>
      <c r="N106" s="63">
        <v>0.22397094430992737</v>
      </c>
      <c r="O106" s="63">
        <v>0.59734513274336287</v>
      </c>
      <c r="P106" s="63">
        <v>0.48108108108108111</v>
      </c>
      <c r="Q106" s="63">
        <v>0.42857142857142855</v>
      </c>
    </row>
    <row r="107" spans="1:17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0.125</v>
      </c>
      <c r="M107" s="63">
        <v>0.27370948379351739</v>
      </c>
      <c r="N107" s="63">
        <v>0.22208883553421369</v>
      </c>
      <c r="O107" s="63">
        <v>0.60087719298245612</v>
      </c>
      <c r="P107" s="63">
        <v>0.48108108108108111</v>
      </c>
      <c r="Q107" s="63">
        <v>0.43109540636042404</v>
      </c>
    </row>
    <row r="108" spans="1:17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0.12380952380952381</v>
      </c>
      <c r="M108" s="63">
        <v>0.27197149643705465</v>
      </c>
      <c r="N108" s="63">
        <v>0.22446555819477435</v>
      </c>
      <c r="O108" s="63">
        <v>0.6026200873362445</v>
      </c>
      <c r="P108" s="63">
        <v>0.47619047619047616</v>
      </c>
      <c r="Q108" s="63">
        <v>0.43508771929824563</v>
      </c>
    </row>
    <row r="109" spans="1:17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0.13207547169811321</v>
      </c>
      <c r="M109" s="63">
        <v>0.2710059171597633</v>
      </c>
      <c r="N109" s="63">
        <v>0.22603550295857988</v>
      </c>
      <c r="O109" s="63">
        <v>0.6026200873362445</v>
      </c>
      <c r="P109" s="63">
        <v>0.48167539267015708</v>
      </c>
      <c r="Q109" s="63">
        <v>0.4375</v>
      </c>
    </row>
    <row r="110" spans="1:17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0.13084112149532709</v>
      </c>
      <c r="M110" s="63">
        <v>0.27166276346604218</v>
      </c>
      <c r="N110" s="63">
        <v>0.22599531615925059</v>
      </c>
      <c r="O110" s="63">
        <v>0.59482758620689657</v>
      </c>
      <c r="P110" s="63">
        <v>0.47668393782383417</v>
      </c>
      <c r="Q110" s="63">
        <v>0.43598615916955019</v>
      </c>
    </row>
    <row r="111" spans="1:17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0.12962962962962962</v>
      </c>
      <c r="M111" s="63">
        <v>0.27030162412993042</v>
      </c>
      <c r="N111" s="63">
        <v>0.22737819025522041</v>
      </c>
      <c r="O111" s="63">
        <v>0.59227467811158796</v>
      </c>
      <c r="P111" s="63">
        <v>0.47959183673469385</v>
      </c>
      <c r="Q111" s="63">
        <v>0.4315068493150685</v>
      </c>
    </row>
    <row r="112" spans="1:17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0.12844036697247707</v>
      </c>
      <c r="M112" s="63">
        <v>0.26812428078250861</v>
      </c>
      <c r="N112" s="63">
        <v>0.22669735327963175</v>
      </c>
      <c r="O112" s="63">
        <v>0.59227467811158796</v>
      </c>
      <c r="P112" s="63">
        <v>0.48223350253807107</v>
      </c>
      <c r="Q112" s="63">
        <v>0.42857142857142855</v>
      </c>
    </row>
    <row r="113" spans="1:17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0.12727272727272726</v>
      </c>
      <c r="M113" s="63">
        <v>0.26583710407239819</v>
      </c>
      <c r="N113" s="63">
        <v>0.2239819004524887</v>
      </c>
      <c r="O113" s="63">
        <v>0.5957446808510638</v>
      </c>
      <c r="P113" s="63">
        <v>0.47979797979797978</v>
      </c>
      <c r="Q113" s="63">
        <v>0.42474916387959866</v>
      </c>
    </row>
    <row r="114" spans="1:17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0.13513513513513514</v>
      </c>
      <c r="M114" s="63">
        <v>0.26629213483146069</v>
      </c>
      <c r="N114" s="63">
        <v>0.2247191011235955</v>
      </c>
      <c r="O114" s="63">
        <v>0.59915611814345993</v>
      </c>
      <c r="P114" s="63">
        <v>0.48499999999999999</v>
      </c>
      <c r="Q114" s="63">
        <v>0.43092105263157893</v>
      </c>
    </row>
    <row r="115" spans="1:17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0.13392857142857142</v>
      </c>
      <c r="M115" s="63">
        <v>0.267260579064588</v>
      </c>
      <c r="N115" s="63">
        <v>0.22494432071269488</v>
      </c>
      <c r="O115" s="63">
        <v>0.60416666666666663</v>
      </c>
      <c r="P115" s="63">
        <v>0.48514851485148514</v>
      </c>
      <c r="Q115" s="63">
        <v>0.42857142857142855</v>
      </c>
    </row>
    <row r="116" spans="1:17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0.13274336283185842</v>
      </c>
      <c r="M116" s="63">
        <v>0.26783754116355651</v>
      </c>
      <c r="N116" s="63">
        <v>0.2239297475301866</v>
      </c>
      <c r="O116" s="63">
        <v>0.60655737704918034</v>
      </c>
      <c r="P116" s="63">
        <v>0.48529411764705882</v>
      </c>
      <c r="Q116" s="63">
        <v>0.43130990415335463</v>
      </c>
    </row>
    <row r="117" spans="1:17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0.13157894736842105</v>
      </c>
      <c r="M117" s="63">
        <v>0.27056277056277056</v>
      </c>
      <c r="N117" s="63">
        <v>0.22294372294372294</v>
      </c>
      <c r="O117" s="63">
        <v>0.60399999999999998</v>
      </c>
      <c r="P117" s="63">
        <v>0.4854368932038835</v>
      </c>
      <c r="Q117" s="63">
        <v>0.4308176100628931</v>
      </c>
    </row>
    <row r="118" spans="1:17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0.13043478260869565</v>
      </c>
      <c r="M118" s="63">
        <v>0.27038626609442062</v>
      </c>
      <c r="N118" s="63">
        <v>0.22424892703862662</v>
      </c>
      <c r="O118" s="63">
        <v>0.60317460317460314</v>
      </c>
      <c r="P118" s="63">
        <v>0.48325358851674644</v>
      </c>
      <c r="Q118" s="63">
        <v>0.42812499999999998</v>
      </c>
    </row>
    <row r="119" spans="1:17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0.12931034482758622</v>
      </c>
      <c r="M119" s="63">
        <v>0.26723223753976671</v>
      </c>
      <c r="N119" s="63">
        <v>0.22481442205726404</v>
      </c>
      <c r="O119" s="63">
        <v>0.60317460317460314</v>
      </c>
      <c r="P119" s="63">
        <v>0.48584905660377359</v>
      </c>
      <c r="Q119" s="63">
        <v>0.42592592592592593</v>
      </c>
    </row>
    <row r="120" spans="1:17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0.12820512820512819</v>
      </c>
      <c r="M120" s="63">
        <v>0.26765015806111697</v>
      </c>
      <c r="N120" s="63">
        <v>0.22444678609062171</v>
      </c>
      <c r="O120" s="63">
        <v>0.60236220472440949</v>
      </c>
      <c r="P120" s="63">
        <v>0.48826291079812206</v>
      </c>
      <c r="Q120" s="63">
        <v>0.42638036809815949</v>
      </c>
    </row>
    <row r="121" spans="1:17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0.1271186440677966</v>
      </c>
      <c r="M121" s="63">
        <v>0.26882845188284521</v>
      </c>
      <c r="N121" s="63">
        <v>0.22280334728033474</v>
      </c>
      <c r="O121" s="63">
        <v>0.59922178988326846</v>
      </c>
      <c r="P121" s="63">
        <v>0.48826291079812206</v>
      </c>
      <c r="Q121" s="63">
        <v>0.42378048780487804</v>
      </c>
    </row>
    <row r="122" spans="1:17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0.12605042016806722</v>
      </c>
      <c r="M122" s="63">
        <v>0.26867219917012447</v>
      </c>
      <c r="N122" s="63">
        <v>0.22199170124481327</v>
      </c>
      <c r="O122" s="63">
        <v>0.59459459459459463</v>
      </c>
      <c r="P122" s="63">
        <v>0.48598130841121495</v>
      </c>
      <c r="Q122" s="63">
        <v>0.42378048780487804</v>
      </c>
    </row>
    <row r="123" spans="1:17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0.125</v>
      </c>
      <c r="M123" s="63">
        <v>0.27132579650565264</v>
      </c>
      <c r="N123" s="63">
        <v>0.22096608427543679</v>
      </c>
      <c r="O123" s="63">
        <v>0.59848484848484851</v>
      </c>
      <c r="P123" s="63">
        <v>0.48837209302325579</v>
      </c>
      <c r="Q123" s="63">
        <v>0.42814371257485029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80268-1D4D-45D2-BB64-9EA72EED5712}">
  <sheetPr codeName="Sheet8"/>
  <dimension ref="A1:Q5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  <row r="48" spans="1:17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4.4444444444444446E-2</v>
      </c>
      <c r="M48" s="63">
        <v>0.15404040404040403</v>
      </c>
      <c r="N48" s="63">
        <v>0.23484848484848486</v>
      </c>
      <c r="O48" s="63">
        <v>0.50819672131147542</v>
      </c>
      <c r="P48" s="63">
        <v>0.36559139784946237</v>
      </c>
      <c r="Q48" s="63">
        <v>0.42990654205607476</v>
      </c>
    </row>
    <row r="49" spans="1:17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4.3478260869565216E-2</v>
      </c>
      <c r="M49" s="63">
        <v>0.15211970074812967</v>
      </c>
      <c r="N49" s="63">
        <v>0.23441396508728179</v>
      </c>
      <c r="O49" s="63">
        <v>0.50819672131147542</v>
      </c>
      <c r="P49" s="63">
        <v>0.36170212765957449</v>
      </c>
      <c r="Q49" s="63">
        <v>0.42990654205607476</v>
      </c>
    </row>
    <row r="50" spans="1:17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4.2553191489361701E-2</v>
      </c>
      <c r="M50" s="63">
        <v>0.15217391304347827</v>
      </c>
      <c r="N50" s="63">
        <v>0.23429951690821257</v>
      </c>
      <c r="O50" s="63">
        <v>0.49206349206349204</v>
      </c>
      <c r="P50" s="63">
        <v>0.37113402061855671</v>
      </c>
      <c r="Q50" s="63">
        <v>0.42727272727272725</v>
      </c>
    </row>
    <row r="51" spans="1:17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4.1666666666666664E-2</v>
      </c>
      <c r="M51" s="63">
        <v>0.14719626168224298</v>
      </c>
      <c r="N51" s="63">
        <v>0.23831775700934579</v>
      </c>
      <c r="O51" s="63">
        <v>0.49206349206349204</v>
      </c>
      <c r="P51" s="63">
        <v>0.37254901960784315</v>
      </c>
      <c r="Q51" s="63">
        <v>0.41228070175438597</v>
      </c>
    </row>
    <row r="52" spans="1:17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4.0816326530612242E-2</v>
      </c>
      <c r="M52" s="63">
        <v>0.1536697247706422</v>
      </c>
      <c r="N52" s="63">
        <v>0.23394495412844038</v>
      </c>
      <c r="O52" s="63">
        <v>0.4925373134328358</v>
      </c>
      <c r="P52" s="63">
        <v>0.37254901960784315</v>
      </c>
      <c r="Q52" s="63">
        <v>0.40517241379310343</v>
      </c>
    </row>
    <row r="53" spans="1:17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0.04</v>
      </c>
      <c r="M53" s="63">
        <v>0.15178571428571427</v>
      </c>
      <c r="N53" s="63">
        <v>0.23214285714285715</v>
      </c>
      <c r="O53" s="63">
        <v>0.48529411764705882</v>
      </c>
      <c r="P53" s="63">
        <v>0.375</v>
      </c>
      <c r="Q53" s="63">
        <v>0.41025641025641024</v>
      </c>
    </row>
    <row r="54" spans="1:17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3.9215686274509803E-2</v>
      </c>
      <c r="M54" s="63">
        <v>0.15250544662309368</v>
      </c>
      <c r="N54" s="63">
        <v>0.22875816993464052</v>
      </c>
      <c r="O54" s="63">
        <v>0.5</v>
      </c>
      <c r="P54" s="63">
        <v>0.37142857142857144</v>
      </c>
      <c r="Q54" s="63">
        <v>0.40833333333333333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88D3-402F-4988-9232-20C012E418A8}">
  <sheetPr codeName="Sheet6"/>
  <dimension ref="A1:Q19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9.2592592592592587E-2</v>
      </c>
      <c r="M165" s="63">
        <v>0.25062096373571785</v>
      </c>
      <c r="N165" s="63">
        <v>0.23174366616989567</v>
      </c>
      <c r="O165" s="63">
        <v>0.56293359762140738</v>
      </c>
      <c r="P165" s="63">
        <v>0.41264737406216506</v>
      </c>
      <c r="Q165" s="63">
        <v>0.43844856661045534</v>
      </c>
    </row>
    <row r="166" spans="1:17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9.202453987730061E-2</v>
      </c>
      <c r="M166" s="63">
        <v>0.25116851168511684</v>
      </c>
      <c r="N166" s="63">
        <v>0.23345633456334564</v>
      </c>
      <c r="O166" s="63">
        <v>0.56023506366307541</v>
      </c>
      <c r="P166" s="63">
        <v>0.41095890410958902</v>
      </c>
      <c r="Q166" s="63">
        <v>0.43943191311612362</v>
      </c>
    </row>
    <row r="167" spans="1:17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9.1463414634146339E-2</v>
      </c>
      <c r="M167" s="63">
        <v>0.25085407515861396</v>
      </c>
      <c r="N167" s="63">
        <v>0.23352855051244509</v>
      </c>
      <c r="O167" s="63">
        <v>0.55933852140077822</v>
      </c>
      <c r="P167" s="63">
        <v>0.41065830721003133</v>
      </c>
      <c r="Q167" s="63">
        <v>0.43993371996685998</v>
      </c>
    </row>
    <row r="168" spans="1:17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9.2929292929292931E-2</v>
      </c>
      <c r="M168" s="63">
        <v>0.25066861171893995</v>
      </c>
      <c r="N168" s="63">
        <v>0.23340627279358134</v>
      </c>
      <c r="O168" s="63">
        <v>0.56062075654704169</v>
      </c>
      <c r="P168" s="63">
        <v>0.41041666666666665</v>
      </c>
      <c r="Q168" s="63">
        <v>0.43976897689768979</v>
      </c>
    </row>
    <row r="169" spans="1:17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9.2369477911646583E-2</v>
      </c>
      <c r="M169" s="63">
        <v>0.25108853410740201</v>
      </c>
      <c r="N169" s="63">
        <v>0.2331881954523464</v>
      </c>
      <c r="O169" s="63">
        <v>0.56165703275529866</v>
      </c>
      <c r="P169" s="63">
        <v>0.40975103734439833</v>
      </c>
      <c r="Q169" s="63">
        <v>0.43888433141919608</v>
      </c>
    </row>
    <row r="170" spans="1:17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9.3812375249500993E-2</v>
      </c>
      <c r="M170" s="63">
        <v>0.25156325156325154</v>
      </c>
      <c r="N170" s="63">
        <v>0.23328523328523329</v>
      </c>
      <c r="O170" s="63">
        <v>0.56118546845124284</v>
      </c>
      <c r="P170" s="63">
        <v>0.41030927835051545</v>
      </c>
      <c r="Q170" s="63">
        <v>0.43964110929853178</v>
      </c>
    </row>
    <row r="171" spans="1:17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9.3253968253968256E-2</v>
      </c>
      <c r="M171" s="63">
        <v>0.25269203158650394</v>
      </c>
      <c r="N171" s="63">
        <v>0.23211294568078489</v>
      </c>
      <c r="O171" s="63">
        <v>0.56060606060606055</v>
      </c>
      <c r="P171" s="63">
        <v>0.41030927835051545</v>
      </c>
      <c r="Q171" s="63">
        <v>0.43831168831168832</v>
      </c>
    </row>
    <row r="172" spans="1:17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9.4674556213017749E-2</v>
      </c>
      <c r="M172" s="63">
        <v>0.2527996187753157</v>
      </c>
      <c r="N172" s="63">
        <v>0.2315939957112223</v>
      </c>
      <c r="O172" s="63">
        <v>0.56079170593779448</v>
      </c>
      <c r="P172" s="63">
        <v>0.40946502057613171</v>
      </c>
      <c r="Q172" s="63">
        <v>0.43734842360549719</v>
      </c>
    </row>
    <row r="173" spans="1:17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9.4117647058823528E-2</v>
      </c>
      <c r="M173" s="63">
        <v>0.25248933143669988</v>
      </c>
      <c r="N173" s="63">
        <v>0.23138928402086298</v>
      </c>
      <c r="O173" s="63">
        <v>0.56056338028169017</v>
      </c>
      <c r="P173" s="63">
        <v>0.4098360655737705</v>
      </c>
      <c r="Q173" s="63">
        <v>0.43845534995977475</v>
      </c>
    </row>
    <row r="174" spans="1:17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9.3567251461988299E-2</v>
      </c>
      <c r="M174" s="63">
        <v>0.25276796230859833</v>
      </c>
      <c r="N174" s="63">
        <v>0.23180212014134274</v>
      </c>
      <c r="O174" s="63">
        <v>0.5601118359739049</v>
      </c>
      <c r="P174" s="63">
        <v>0.40955284552845528</v>
      </c>
      <c r="Q174" s="63">
        <v>0.43919999999999998</v>
      </c>
    </row>
    <row r="175" spans="1:17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9.4961240310077522E-2</v>
      </c>
      <c r="M175" s="63">
        <v>0.25246826516220028</v>
      </c>
      <c r="N175" s="63">
        <v>0.23178185237423601</v>
      </c>
      <c r="O175" s="63">
        <v>0.55959031657355685</v>
      </c>
      <c r="P175" s="63">
        <v>0.41075050709939148</v>
      </c>
      <c r="Q175" s="63">
        <v>0.43974461292897049</v>
      </c>
    </row>
    <row r="176" spans="1:17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9.4412331406551059E-2</v>
      </c>
      <c r="M176" s="63">
        <v>0.25367904695164684</v>
      </c>
      <c r="N176" s="63">
        <v>0.23125437981779959</v>
      </c>
      <c r="O176" s="63">
        <v>0.55801104972375692</v>
      </c>
      <c r="P176" s="63">
        <v>0.40909090909090912</v>
      </c>
      <c r="Q176" s="63">
        <v>0.43968253968253967</v>
      </c>
    </row>
    <row r="177" spans="1:17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9.3869731800766285E-2</v>
      </c>
      <c r="M177" s="63">
        <v>0.25342624854819978</v>
      </c>
      <c r="N177" s="63">
        <v>0.23135888501742161</v>
      </c>
      <c r="O177" s="63">
        <v>0.55728689275893672</v>
      </c>
      <c r="P177" s="63">
        <v>0.40963855421686746</v>
      </c>
      <c r="Q177" s="63">
        <v>0.43883188634569847</v>
      </c>
    </row>
    <row r="178" spans="1:17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9.3333333333333338E-2</v>
      </c>
      <c r="M178" s="63">
        <v>0.25358298659269535</v>
      </c>
      <c r="N178" s="63">
        <v>0.23116042533518261</v>
      </c>
      <c r="O178" s="63">
        <v>0.55788514129443934</v>
      </c>
      <c r="P178" s="63">
        <v>0.40899999999999997</v>
      </c>
      <c r="Q178" s="63">
        <v>0.43833464257659072</v>
      </c>
    </row>
    <row r="179" spans="1:17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9.4696969696969696E-2</v>
      </c>
      <c r="M179" s="63">
        <v>0.25371768474033402</v>
      </c>
      <c r="N179" s="63">
        <v>0.23038206360100663</v>
      </c>
      <c r="O179" s="63">
        <v>0.55816050495942293</v>
      </c>
      <c r="P179" s="63">
        <v>0.40615690168818275</v>
      </c>
      <c r="Q179" s="63">
        <v>0.43779160186625193</v>
      </c>
    </row>
    <row r="180" spans="1:17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9.6045197740112997E-2</v>
      </c>
      <c r="M180" s="63">
        <v>0.25313283208020049</v>
      </c>
      <c r="N180" s="63">
        <v>0.23034859876965141</v>
      </c>
      <c r="O180" s="63">
        <v>0.55895589558955894</v>
      </c>
      <c r="P180" s="63">
        <v>0.40652818991097922</v>
      </c>
      <c r="Q180" s="63">
        <v>0.4388544891640867</v>
      </c>
    </row>
    <row r="181" spans="1:17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9.5505617977528087E-2</v>
      </c>
      <c r="M181" s="63">
        <v>0.25334239746204396</v>
      </c>
      <c r="N181" s="63">
        <v>0.23068207568547475</v>
      </c>
      <c r="O181" s="63">
        <v>0.55992844364937389</v>
      </c>
      <c r="P181" s="63">
        <v>0.40667976424361491</v>
      </c>
      <c r="Q181" s="63">
        <v>0.43923076923076926</v>
      </c>
    </row>
    <row r="182" spans="1:17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9.4972067039106142E-2</v>
      </c>
      <c r="M182" s="63">
        <v>0.25359389038634322</v>
      </c>
      <c r="N182" s="63">
        <v>0.2302336028751123</v>
      </c>
      <c r="O182" s="63">
        <v>0.55978742249778568</v>
      </c>
      <c r="P182" s="63">
        <v>0.40780487804878046</v>
      </c>
      <c r="Q182" s="63">
        <v>0.43902439024390244</v>
      </c>
    </row>
    <row r="183" spans="1:17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9.6296296296296297E-2</v>
      </c>
      <c r="M183" s="63">
        <v>0.25517702070808285</v>
      </c>
      <c r="N183" s="63">
        <v>0.2293475840570029</v>
      </c>
      <c r="O183" s="63">
        <v>0.56020942408376961</v>
      </c>
      <c r="P183" s="63">
        <v>0.40679611650485437</v>
      </c>
      <c r="Q183" s="63">
        <v>0.43849056603773584</v>
      </c>
    </row>
    <row r="184" spans="1:17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9.5764272559852676E-2</v>
      </c>
      <c r="M184" s="63">
        <v>0.25413633355393778</v>
      </c>
      <c r="N184" s="63">
        <v>0.22964923891462607</v>
      </c>
      <c r="O184" s="63">
        <v>0.55902777777777779</v>
      </c>
      <c r="P184" s="63">
        <v>0.40922190201729108</v>
      </c>
      <c r="Q184" s="63">
        <v>0.43787425149700598</v>
      </c>
    </row>
    <row r="185" spans="1:17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9.5238095238095233E-2</v>
      </c>
      <c r="M185" s="63">
        <v>0.25455343427693661</v>
      </c>
      <c r="N185" s="63">
        <v>0.22953697608075488</v>
      </c>
      <c r="O185" s="63">
        <v>0.55862068965517242</v>
      </c>
      <c r="P185" s="63">
        <v>0.40822179732313574</v>
      </c>
      <c r="Q185" s="63">
        <v>0.4378257632166791</v>
      </c>
    </row>
    <row r="186" spans="1:17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9.4717668488160295E-2</v>
      </c>
      <c r="M186" s="63">
        <v>0.25364685390812103</v>
      </c>
      <c r="N186" s="63">
        <v>0.22969736555628129</v>
      </c>
      <c r="O186" s="63">
        <v>0.55879828326180259</v>
      </c>
      <c r="P186" s="63">
        <v>0.40853080568720379</v>
      </c>
      <c r="Q186" s="63">
        <v>0.43680709534368073</v>
      </c>
    </row>
    <row r="187" spans="1:17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9.420289855072464E-2</v>
      </c>
      <c r="M187" s="63">
        <v>0.25270211846087332</v>
      </c>
      <c r="N187" s="63">
        <v>0.22978815391266752</v>
      </c>
      <c r="O187" s="63">
        <v>0.55859709153122328</v>
      </c>
      <c r="P187" s="63">
        <v>0.4101599247412982</v>
      </c>
      <c r="Q187" s="63">
        <v>0.43727072633895819</v>
      </c>
    </row>
    <row r="188" spans="1:17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9.5495495495495492E-2</v>
      </c>
      <c r="M188" s="63">
        <v>0.25279931093884583</v>
      </c>
      <c r="N188" s="63">
        <v>0.22889750215331611</v>
      </c>
      <c r="O188" s="63">
        <v>0.55962521294718914</v>
      </c>
      <c r="P188" s="63">
        <v>0.4101599247412982</v>
      </c>
      <c r="Q188" s="63">
        <v>0.43859649122807015</v>
      </c>
    </row>
    <row r="189" spans="1:17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9.4982078853046589E-2</v>
      </c>
      <c r="M189" s="63">
        <v>0.25268125268125269</v>
      </c>
      <c r="N189" s="63">
        <v>0.22844272844272845</v>
      </c>
      <c r="O189" s="63">
        <v>0.56027164685908315</v>
      </c>
      <c r="P189" s="63">
        <v>0.41032863849765261</v>
      </c>
      <c r="Q189" s="63">
        <v>0.43877551020408162</v>
      </c>
    </row>
    <row r="190" spans="1:17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9.6256684491978606E-2</v>
      </c>
      <c r="M190" s="63">
        <v>0.25304292120435617</v>
      </c>
      <c r="N190" s="63">
        <v>0.22805893657911594</v>
      </c>
      <c r="O190" s="63">
        <v>0.56033755274261599</v>
      </c>
      <c r="P190" s="63">
        <v>0.4101123595505618</v>
      </c>
      <c r="Q190" s="63">
        <v>0.43976777939042089</v>
      </c>
    </row>
    <row r="191" spans="1:17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9.5744680851063829E-2</v>
      </c>
      <c r="M191" s="63">
        <v>0.25281495644784363</v>
      </c>
      <c r="N191" s="63">
        <v>0.22817080943275972</v>
      </c>
      <c r="O191" s="63">
        <v>0.56050420168067228</v>
      </c>
      <c r="P191" s="63">
        <v>0.41061452513966479</v>
      </c>
      <c r="Q191" s="63">
        <v>0.44043321299638988</v>
      </c>
    </row>
    <row r="192" spans="1:17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9.5238095238095233E-2</v>
      </c>
      <c r="M192" s="63">
        <v>0.25327418673426277</v>
      </c>
      <c r="N192" s="63">
        <v>0.22813688212927757</v>
      </c>
      <c r="O192" s="63">
        <v>0.56130108423686409</v>
      </c>
      <c r="P192" s="63">
        <v>0.40925925925925927</v>
      </c>
      <c r="Q192" s="63">
        <v>0.44117647058823528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2019-11-13T10:57:39Z</dcterms:modified>
</cp:coreProperties>
</file>