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4A38A97-F227-4C42-A7CD-0C96958B22C7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2" r:id="rId6"/>
    <sheet name="たかの" sheetId="6084" r:id="rId7"/>
    <sheet name="だいち" sheetId="6086" r:id="rId8"/>
    <sheet name="ただ" sheetId="6088" r:id="rId9"/>
    <sheet name="りくと" sheetId="6090" r:id="rId10"/>
    <sheet name="れんたろう" sheetId="6092" r:id="rId11"/>
    <sheet name="まっつん" sheetId="6094" r:id="rId12"/>
    <sheet name="のり" sheetId="6096" r:id="rId13"/>
    <sheet name="ぱぱ" sheetId="6098" r:id="rId14"/>
    <sheet name="ほたに" sheetId="6100" r:id="rId15"/>
    <sheet name="いっしー" sheetId="6102" r:id="rId16"/>
    <sheet name="ともき" sheetId="6104" r:id="rId17"/>
    <sheet name="たか" sheetId="6106" r:id="rId18"/>
    <sheet name="ゆう" sheetId="6108" r:id="rId19"/>
    <sheet name="ゆう2" sheetId="6109" state="hidden" r:id="rId20"/>
    <sheet name="たか2" sheetId="6107" state="hidden" r:id="rId21"/>
    <sheet name="ともき2" sheetId="6105" state="hidden" r:id="rId22"/>
    <sheet name="いっしー2" sheetId="6103" state="hidden" r:id="rId23"/>
    <sheet name="ほたに2" sheetId="6101" state="hidden" r:id="rId24"/>
    <sheet name="ぱぱ2" sheetId="6099" state="hidden" r:id="rId25"/>
    <sheet name="のり2" sheetId="6097" state="hidden" r:id="rId26"/>
    <sheet name="まっつん2" sheetId="6095" state="hidden" r:id="rId27"/>
    <sheet name="れんたろう2" sheetId="6093" state="hidden" r:id="rId28"/>
    <sheet name="りくと2" sheetId="6091" state="hidden" r:id="rId29"/>
    <sheet name="ただ2" sheetId="6089" state="hidden" r:id="rId30"/>
    <sheet name="だいち2" sheetId="6087" state="hidden" r:id="rId31"/>
    <sheet name="たかの2" sheetId="6085" state="hidden" r:id="rId32"/>
    <sheet name="全体2" sheetId="608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06" l="1"/>
  <c r="O25" i="6094" l="1"/>
  <c r="O15" i="6104"/>
  <c r="O16" i="6106" l="1"/>
  <c r="O23" i="6084"/>
  <c r="O20" i="6094" l="1"/>
  <c r="O16" i="6108"/>
  <c r="O18" i="6106"/>
  <c r="O15" i="6084" l="1"/>
  <c r="O22" i="6104"/>
  <c r="O19" i="6106" l="1"/>
  <c r="O15" i="6108"/>
  <c r="O17" i="6108"/>
  <c r="C34" i="6108"/>
  <c r="B29" i="6108"/>
  <c r="C20" i="6108"/>
  <c r="B19" i="6108"/>
  <c r="H50" i="6108" s="1"/>
  <c r="B18" i="6108"/>
  <c r="B28" i="6108" s="1"/>
  <c r="B17" i="6108"/>
  <c r="C17" i="6108" s="1"/>
  <c r="C16" i="6108"/>
  <c r="C15" i="6108"/>
  <c r="C14" i="6108"/>
  <c r="O12" i="6108"/>
  <c r="B12" i="6108"/>
  <c r="O11" i="6108"/>
  <c r="B11" i="6108"/>
  <c r="O10" i="6108"/>
  <c r="B10" i="6108"/>
  <c r="C9" i="6108"/>
  <c r="C8" i="6108"/>
  <c r="O7" i="6108"/>
  <c r="C7" i="6108"/>
  <c r="O6" i="6108"/>
  <c r="B6" i="6108"/>
  <c r="O5" i="6108"/>
  <c r="B5" i="6108"/>
  <c r="O4" i="6108"/>
  <c r="O3" i="6108"/>
  <c r="O2" i="6108"/>
  <c r="O17" i="6096"/>
  <c r="O15" i="6106"/>
  <c r="O17" i="6106"/>
  <c r="C34" i="6106"/>
  <c r="B29" i="6106"/>
  <c r="C20" i="6106"/>
  <c r="B19" i="6106"/>
  <c r="H51" i="6106" s="1"/>
  <c r="B18" i="6106"/>
  <c r="B28" i="6106" s="1"/>
  <c r="B17" i="6106"/>
  <c r="C17" i="6106" s="1"/>
  <c r="C16" i="6106"/>
  <c r="C15" i="6106"/>
  <c r="C14" i="6106"/>
  <c r="O12" i="6106"/>
  <c r="B12" i="6106"/>
  <c r="O11" i="6106"/>
  <c r="B11" i="6106"/>
  <c r="O10" i="6106"/>
  <c r="B10" i="6106"/>
  <c r="C9" i="6106"/>
  <c r="C8" i="6106"/>
  <c r="O7" i="6106"/>
  <c r="C7" i="6106"/>
  <c r="O6" i="6106"/>
  <c r="B6" i="6106"/>
  <c r="O5" i="6106"/>
  <c r="B5" i="6106"/>
  <c r="O4" i="6106"/>
  <c r="O3" i="6106"/>
  <c r="O2" i="6106"/>
  <c r="O15" i="6082"/>
  <c r="B13" i="6108" l="1"/>
  <c r="B13" i="6106"/>
  <c r="H37" i="6108"/>
  <c r="H2" i="6108"/>
  <c r="H41" i="6108"/>
  <c r="H42" i="6108"/>
  <c r="C23" i="6108"/>
  <c r="H10" i="6108"/>
  <c r="H24" i="6108"/>
  <c r="C22" i="6108"/>
  <c r="C46" i="6108"/>
  <c r="H15" i="6108"/>
  <c r="H9" i="6108"/>
  <c r="H14" i="6108"/>
  <c r="H6" i="6108"/>
  <c r="H18" i="6108"/>
  <c r="C42" i="6108"/>
  <c r="H11" i="6108"/>
  <c r="H13" i="6108"/>
  <c r="H21" i="6108"/>
  <c r="C36" i="6108"/>
  <c r="C18" i="6106"/>
  <c r="B27" i="6108"/>
  <c r="C18" i="6108"/>
  <c r="H47" i="6108"/>
  <c r="H19" i="6108"/>
  <c r="H36" i="6108"/>
  <c r="H48" i="6108"/>
  <c r="H26" i="6108"/>
  <c r="H30" i="6108"/>
  <c r="H38" i="6108"/>
  <c r="H43" i="6108"/>
  <c r="C48" i="6108"/>
  <c r="H49" i="6108"/>
  <c r="H16" i="6108"/>
  <c r="H5" i="6108"/>
  <c r="C19" i="6108"/>
  <c r="C24" i="6108"/>
  <c r="H31" i="6108"/>
  <c r="C38" i="6108"/>
  <c r="H44" i="6108"/>
  <c r="H22" i="6108"/>
  <c r="C25" i="6108"/>
  <c r="H33" i="6108"/>
  <c r="H39" i="6108"/>
  <c r="C44" i="6108"/>
  <c r="H51" i="6108"/>
  <c r="H3" i="6108"/>
  <c r="H8" i="6108"/>
  <c r="H17" i="6108"/>
  <c r="H12" i="6108"/>
  <c r="H34" i="6108"/>
  <c r="H40" i="6108"/>
  <c r="H45" i="6108"/>
  <c r="H4" i="6108"/>
  <c r="H7" i="6108"/>
  <c r="H20" i="6108"/>
  <c r="C21" i="6108"/>
  <c r="B26" i="6108"/>
  <c r="C40" i="6108"/>
  <c r="H46" i="6108"/>
  <c r="H52" i="6108"/>
  <c r="H23" i="6108"/>
  <c r="H27" i="6108"/>
  <c r="H29" i="6108"/>
  <c r="H35" i="6108"/>
  <c r="C39" i="6108"/>
  <c r="C43" i="6108"/>
  <c r="C47" i="6108"/>
  <c r="H25" i="6108"/>
  <c r="H28" i="6108"/>
  <c r="H32" i="6108"/>
  <c r="C37" i="6108"/>
  <c r="C41" i="6108"/>
  <c r="C45" i="6108"/>
  <c r="C22" i="6106"/>
  <c r="H4" i="6106"/>
  <c r="H26" i="6106"/>
  <c r="H15" i="6106"/>
  <c r="H14" i="6106"/>
  <c r="H31" i="6106"/>
  <c r="H45" i="6106"/>
  <c r="C46" i="6106"/>
  <c r="H22" i="6106"/>
  <c r="H39" i="6106"/>
  <c r="H18" i="6106"/>
  <c r="H40" i="6106"/>
  <c r="H10" i="6106"/>
  <c r="C24" i="6106"/>
  <c r="H34" i="6106"/>
  <c r="C40" i="6106"/>
  <c r="H47" i="6106"/>
  <c r="H19" i="6106"/>
  <c r="C19" i="6106"/>
  <c r="C25" i="6106"/>
  <c r="H41" i="6106"/>
  <c r="H48" i="6106"/>
  <c r="H11" i="6106"/>
  <c r="C48" i="6106"/>
  <c r="H3" i="6106"/>
  <c r="H9" i="6106"/>
  <c r="H36" i="6106"/>
  <c r="B26" i="6106"/>
  <c r="H43" i="6106"/>
  <c r="H49" i="6106"/>
  <c r="H6" i="6106"/>
  <c r="H16" i="6106"/>
  <c r="H12" i="6106"/>
  <c r="H28" i="6106"/>
  <c r="C42" i="6106"/>
  <c r="C36" i="6106"/>
  <c r="H2" i="6106"/>
  <c r="H8" i="6106"/>
  <c r="C21" i="6106"/>
  <c r="H13" i="6106"/>
  <c r="H37" i="6106"/>
  <c r="H44" i="6106"/>
  <c r="H5" i="6106"/>
  <c r="H7" i="6106"/>
  <c r="H17" i="6106"/>
  <c r="H24" i="6106"/>
  <c r="C38" i="6106"/>
  <c r="C44" i="6106"/>
  <c r="H52" i="6106"/>
  <c r="H21" i="6106"/>
  <c r="H23" i="6106"/>
  <c r="H27" i="6106"/>
  <c r="H30" i="6106"/>
  <c r="H35" i="6106"/>
  <c r="C39" i="6106"/>
  <c r="C43" i="6106"/>
  <c r="C47" i="6106"/>
  <c r="H25" i="6106"/>
  <c r="H29" i="6106"/>
  <c r="H32" i="6106"/>
  <c r="C37" i="6106"/>
  <c r="C41" i="6106"/>
  <c r="C45" i="6106"/>
  <c r="H50" i="6106"/>
  <c r="H20" i="6106"/>
  <c r="C23" i="6106"/>
  <c r="B27" i="6106"/>
  <c r="H33" i="6106"/>
  <c r="H38" i="6106"/>
  <c r="H42" i="6106"/>
  <c r="H46" i="6106"/>
  <c r="O21" i="6104" l="1"/>
  <c r="O15" i="6086"/>
  <c r="O20" i="6088" l="1"/>
  <c r="O16" i="6104"/>
  <c r="O18" i="6104"/>
  <c r="O22" i="6090"/>
  <c r="O16" i="6098" l="1"/>
  <c r="O19" i="6104"/>
  <c r="O23" i="6092" l="1"/>
  <c r="O20" i="6104"/>
  <c r="O17" i="6104"/>
  <c r="C34" i="6104"/>
  <c r="B29" i="6104"/>
  <c r="C20" i="6104"/>
  <c r="B19" i="6104"/>
  <c r="H50" i="6104" s="1"/>
  <c r="B18" i="6104"/>
  <c r="B28" i="6104" s="1"/>
  <c r="B17" i="6104"/>
  <c r="C17" i="6104" s="1"/>
  <c r="C16" i="6104"/>
  <c r="C15" i="6104"/>
  <c r="C14" i="6104"/>
  <c r="O12" i="6104"/>
  <c r="B12" i="6104"/>
  <c r="O11" i="6104"/>
  <c r="B11" i="6104"/>
  <c r="O10" i="6104"/>
  <c r="B10" i="6104"/>
  <c r="C9" i="6104"/>
  <c r="C8" i="6104"/>
  <c r="O7" i="6104"/>
  <c r="C7" i="6104"/>
  <c r="O6" i="6104"/>
  <c r="B6" i="6104"/>
  <c r="O5" i="6104"/>
  <c r="B5" i="6104"/>
  <c r="O4" i="6104"/>
  <c r="O3" i="6104"/>
  <c r="O2" i="6104"/>
  <c r="O15" i="6096"/>
  <c r="O19" i="6082"/>
  <c r="B13" i="6104" l="1"/>
  <c r="C18" i="6104"/>
  <c r="H10" i="6104"/>
  <c r="B27" i="6104"/>
  <c r="H14" i="6104"/>
  <c r="C22" i="6104"/>
  <c r="H36" i="6104"/>
  <c r="H41" i="6104"/>
  <c r="H20" i="6104"/>
  <c r="C46" i="6104"/>
  <c r="H11" i="6104"/>
  <c r="H48" i="6104"/>
  <c r="H47" i="6104"/>
  <c r="C23" i="6104"/>
  <c r="H2" i="6104"/>
  <c r="H21" i="6104"/>
  <c r="H30" i="6104"/>
  <c r="C48" i="6104"/>
  <c r="H18" i="6104"/>
  <c r="H44" i="6104"/>
  <c r="C19" i="6104"/>
  <c r="H31" i="6104"/>
  <c r="H49" i="6104"/>
  <c r="H8" i="6104"/>
  <c r="H19" i="6104"/>
  <c r="C25" i="6104"/>
  <c r="C44" i="6104"/>
  <c r="H51" i="6104"/>
  <c r="C36" i="6104"/>
  <c r="H4" i="6104"/>
  <c r="C42" i="6104"/>
  <c r="H43" i="6104"/>
  <c r="H16" i="6104"/>
  <c r="H22" i="6104"/>
  <c r="H24" i="6104"/>
  <c r="H33" i="6104"/>
  <c r="H39" i="6104"/>
  <c r="H27" i="6104"/>
  <c r="H34" i="6104"/>
  <c r="H40" i="6104"/>
  <c r="H45" i="6104"/>
  <c r="H7" i="6104"/>
  <c r="H42" i="6104"/>
  <c r="H23" i="6104"/>
  <c r="H37" i="6104"/>
  <c r="H9" i="6104"/>
  <c r="H15" i="6104"/>
  <c r="H38" i="6104"/>
  <c r="C24" i="6104"/>
  <c r="C38" i="6104"/>
  <c r="H6" i="6104"/>
  <c r="H3" i="6104"/>
  <c r="H5" i="6104"/>
  <c r="H12" i="6104"/>
  <c r="C21" i="6104"/>
  <c r="B26" i="6104"/>
  <c r="C40" i="6104"/>
  <c r="H46" i="6104"/>
  <c r="H52" i="6104"/>
  <c r="H13" i="6104"/>
  <c r="H25" i="6104"/>
  <c r="H17" i="6104"/>
  <c r="H29" i="6104"/>
  <c r="H35" i="6104"/>
  <c r="C39" i="6104"/>
  <c r="C43" i="6104"/>
  <c r="C47" i="6104"/>
  <c r="H26" i="6104"/>
  <c r="H28" i="6104"/>
  <c r="H32" i="6104"/>
  <c r="C37" i="6104"/>
  <c r="C41" i="6104"/>
  <c r="C45" i="6104"/>
  <c r="O16" i="6094" l="1"/>
  <c r="O17" i="6102"/>
  <c r="O23" i="6086"/>
  <c r="O16" i="6102"/>
  <c r="O15" i="6102"/>
  <c r="C34" i="6102"/>
  <c r="B29" i="6102"/>
  <c r="C20" i="6102"/>
  <c r="B19" i="6102"/>
  <c r="H51" i="6102" s="1"/>
  <c r="B18" i="6102"/>
  <c r="B28" i="6102" s="1"/>
  <c r="B17" i="6102"/>
  <c r="C17" i="6102" s="1"/>
  <c r="C16" i="6102"/>
  <c r="C15" i="6102"/>
  <c r="C14" i="6102"/>
  <c r="B13" i="6102"/>
  <c r="O12" i="6102"/>
  <c r="B12" i="6102"/>
  <c r="O11" i="6102"/>
  <c r="B11" i="6102"/>
  <c r="O10" i="6102"/>
  <c r="B10" i="6102"/>
  <c r="C9" i="6102"/>
  <c r="C8" i="6102"/>
  <c r="O7" i="6102"/>
  <c r="C7" i="6102"/>
  <c r="O6" i="6102"/>
  <c r="B6" i="6102"/>
  <c r="O5" i="6102"/>
  <c r="B5" i="6102"/>
  <c r="O4" i="6102"/>
  <c r="O3" i="6102"/>
  <c r="O2" i="6102"/>
  <c r="H6" i="6102"/>
  <c r="O19" i="6096"/>
  <c r="O26" i="6082"/>
  <c r="H10" i="6102" l="1"/>
  <c r="H39" i="6102"/>
  <c r="C18" i="6102"/>
  <c r="H7" i="6102"/>
  <c r="H23" i="6102"/>
  <c r="H25" i="6102"/>
  <c r="H15" i="6102"/>
  <c r="H20" i="6102"/>
  <c r="C38" i="6102"/>
  <c r="H12" i="6102"/>
  <c r="C42" i="6102"/>
  <c r="H16" i="6102"/>
  <c r="H5" i="6102"/>
  <c r="H3" i="6102"/>
  <c r="H47" i="6102"/>
  <c r="C24" i="6102"/>
  <c r="H2" i="6102"/>
  <c r="H43" i="6102"/>
  <c r="H13" i="6102"/>
  <c r="C46" i="6102"/>
  <c r="H11" i="6102"/>
  <c r="C19" i="6102"/>
  <c r="H22" i="6102"/>
  <c r="H34" i="6102"/>
  <c r="H9" i="6102"/>
  <c r="H52" i="6102"/>
  <c r="H26" i="6102"/>
  <c r="H29" i="6102"/>
  <c r="H35" i="6102"/>
  <c r="C39" i="6102"/>
  <c r="C43" i="6102"/>
  <c r="C47" i="6102"/>
  <c r="H4" i="6102"/>
  <c r="H14" i="6102"/>
  <c r="H17" i="6102"/>
  <c r="C21" i="6102"/>
  <c r="C25" i="6102"/>
  <c r="H36" i="6102"/>
  <c r="H40" i="6102"/>
  <c r="H44" i="6102"/>
  <c r="H48" i="6102"/>
  <c r="H8" i="6102"/>
  <c r="H27" i="6102"/>
  <c r="H30" i="6102"/>
  <c r="C36" i="6102"/>
  <c r="C40" i="6102"/>
  <c r="C44" i="6102"/>
  <c r="C48" i="6102"/>
  <c r="H18" i="6102"/>
  <c r="H21" i="6102"/>
  <c r="C22" i="6102"/>
  <c r="B26" i="6102"/>
  <c r="H31" i="6102"/>
  <c r="H37" i="6102"/>
  <c r="H41" i="6102"/>
  <c r="H45" i="6102"/>
  <c r="H49" i="6102"/>
  <c r="H24" i="6102"/>
  <c r="H28" i="6102"/>
  <c r="H32" i="6102"/>
  <c r="C37" i="6102"/>
  <c r="C41" i="6102"/>
  <c r="C45" i="6102"/>
  <c r="H50" i="6102"/>
  <c r="H19" i="6102"/>
  <c r="C23" i="6102"/>
  <c r="B27" i="6102"/>
  <c r="H33" i="6102"/>
  <c r="H38" i="6102"/>
  <c r="H42" i="6102"/>
  <c r="H46" i="6102"/>
  <c r="O22" i="6084" l="1"/>
  <c r="O16" i="6092"/>
  <c r="O15" i="6092" l="1"/>
  <c r="O19" i="6100"/>
  <c r="O15" i="6090" l="1"/>
  <c r="O22" i="6096"/>
  <c r="O16" i="6100" l="1"/>
  <c r="O23" i="6090"/>
  <c r="O21" i="6084" l="1"/>
  <c r="O17" i="6086"/>
  <c r="O16" i="6096"/>
  <c r="O23" i="6096"/>
  <c r="O17" i="6094" l="1"/>
  <c r="O21" i="6098"/>
  <c r="O18" i="6088" l="1"/>
  <c r="O18" i="6094"/>
  <c r="O18" i="6096"/>
  <c r="O20" i="6096"/>
  <c r="O16" i="6084" l="1"/>
  <c r="O17" i="6098"/>
  <c r="O18" i="6098"/>
  <c r="O18" i="6090"/>
  <c r="O22" i="6088" l="1"/>
  <c r="O20" i="6092"/>
  <c r="O22" i="6092" l="1"/>
  <c r="O22" i="6086"/>
  <c r="O25" i="6096"/>
  <c r="O17" i="6100"/>
  <c r="O15" i="6100"/>
  <c r="O19" i="6098"/>
  <c r="O15" i="6088" l="1"/>
  <c r="O21" i="6088"/>
  <c r="O18" i="6100"/>
  <c r="O20" i="6100"/>
  <c r="C48" i="6100"/>
  <c r="C34" i="6100"/>
  <c r="B29" i="6100"/>
  <c r="C20" i="6100"/>
  <c r="B19" i="6100"/>
  <c r="H51" i="6100" s="1"/>
  <c r="B18" i="6100"/>
  <c r="B28" i="6100" s="1"/>
  <c r="B17" i="6100"/>
  <c r="C17" i="6100" s="1"/>
  <c r="C16" i="6100"/>
  <c r="C15" i="6100"/>
  <c r="C14" i="6100"/>
  <c r="O12" i="6100"/>
  <c r="B12" i="6100"/>
  <c r="O11" i="6100"/>
  <c r="B11" i="6100"/>
  <c r="O10" i="6100"/>
  <c r="B10" i="6100"/>
  <c r="C9" i="6100"/>
  <c r="C8" i="6100"/>
  <c r="O7" i="6100"/>
  <c r="C7" i="6100"/>
  <c r="O6" i="6100"/>
  <c r="B6" i="6100"/>
  <c r="O5" i="6100"/>
  <c r="B5" i="6100"/>
  <c r="O4" i="6100"/>
  <c r="O3" i="6100"/>
  <c r="O2" i="6100"/>
  <c r="O21" i="6094"/>
  <c r="O15" i="6094"/>
  <c r="O16" i="6082"/>
  <c r="B13" i="6100" l="1"/>
  <c r="H31" i="6100"/>
  <c r="H13" i="6100"/>
  <c r="H5" i="6100"/>
  <c r="H18" i="6100"/>
  <c r="C39" i="6100"/>
  <c r="H34" i="6100"/>
  <c r="H2" i="6100"/>
  <c r="H10" i="6100"/>
  <c r="H19" i="6100"/>
  <c r="H16" i="6100"/>
  <c r="C40" i="6100"/>
  <c r="C25" i="6100"/>
  <c r="H3" i="6100"/>
  <c r="H24" i="6100"/>
  <c r="C21" i="6100"/>
  <c r="H14" i="6100"/>
  <c r="H4" i="6100"/>
  <c r="H11" i="6100"/>
  <c r="H15" i="6100"/>
  <c r="H41" i="6100"/>
  <c r="C42" i="6100"/>
  <c r="H30" i="6100"/>
  <c r="H45" i="6100"/>
  <c r="C18" i="6100"/>
  <c r="C46" i="6100"/>
  <c r="H27" i="6100"/>
  <c r="H35" i="6100"/>
  <c r="H47" i="6100"/>
  <c r="H23" i="6100"/>
  <c r="B26" i="6100"/>
  <c r="H9" i="6100"/>
  <c r="H39" i="6100"/>
  <c r="C47" i="6100"/>
  <c r="H20" i="6100"/>
  <c r="H22" i="6100"/>
  <c r="H43" i="6100"/>
  <c r="H49" i="6100"/>
  <c r="C22" i="6100"/>
  <c r="C36" i="6100"/>
  <c r="H7" i="6100"/>
  <c r="H8" i="6100"/>
  <c r="H12" i="6100"/>
  <c r="H17" i="6100"/>
  <c r="H26" i="6100"/>
  <c r="H29" i="6100"/>
  <c r="H37" i="6100"/>
  <c r="C43" i="6100"/>
  <c r="H6" i="6100"/>
  <c r="H21" i="6100"/>
  <c r="C19" i="6100"/>
  <c r="C24" i="6100"/>
  <c r="C38" i="6100"/>
  <c r="C44" i="6100"/>
  <c r="H52" i="6100"/>
  <c r="H36" i="6100"/>
  <c r="H40" i="6100"/>
  <c r="H44" i="6100"/>
  <c r="H48" i="6100"/>
  <c r="H25" i="6100"/>
  <c r="H28" i="6100"/>
  <c r="H32" i="6100"/>
  <c r="C37" i="6100"/>
  <c r="C41" i="6100"/>
  <c r="C45" i="6100"/>
  <c r="H50" i="6100"/>
  <c r="C23" i="6100"/>
  <c r="B27" i="6100"/>
  <c r="H33" i="6100"/>
  <c r="H38" i="6100"/>
  <c r="H42" i="6100"/>
  <c r="H46" i="6100"/>
  <c r="O19" i="6086" l="1"/>
  <c r="O20" i="6090"/>
  <c r="O21" i="6086" l="1"/>
  <c r="O22" i="6094"/>
  <c r="O24" i="6094"/>
  <c r="O17" i="6084"/>
  <c r="O17" i="6088"/>
  <c r="O16" i="6090"/>
  <c r="O21" i="6090"/>
  <c r="O18" i="6084"/>
  <c r="O16" i="6088"/>
  <c r="O16" i="6086"/>
  <c r="O20" i="6098"/>
  <c r="O23" i="6098"/>
  <c r="O17" i="6092" l="1"/>
  <c r="O18" i="6092"/>
  <c r="O15" i="6098"/>
  <c r="O22" i="6098"/>
  <c r="C34" i="6098"/>
  <c r="B29" i="6098"/>
  <c r="B28" i="6098"/>
  <c r="C20" i="6098"/>
  <c r="B19" i="6098"/>
  <c r="H16" i="6098" s="1"/>
  <c r="B18" i="6098"/>
  <c r="C18" i="6098" s="1"/>
  <c r="B17" i="6098"/>
  <c r="C17" i="6098" s="1"/>
  <c r="C16" i="6098"/>
  <c r="C15" i="6098"/>
  <c r="C14" i="6098"/>
  <c r="O12" i="6098"/>
  <c r="B12" i="6098"/>
  <c r="O11" i="6098"/>
  <c r="B11" i="6098"/>
  <c r="O10" i="6098"/>
  <c r="B10" i="6098"/>
  <c r="C9" i="6098"/>
  <c r="C8" i="6098"/>
  <c r="O7" i="6098"/>
  <c r="C7" i="6098"/>
  <c r="O6" i="6098"/>
  <c r="B6" i="6098"/>
  <c r="O5" i="6098"/>
  <c r="B5" i="6098"/>
  <c r="O4" i="6098"/>
  <c r="O3" i="6098"/>
  <c r="O2" i="6098"/>
  <c r="O17" i="6082"/>
  <c r="O21" i="6096"/>
  <c r="O24" i="6096"/>
  <c r="C34" i="6096"/>
  <c r="B29" i="6096"/>
  <c r="C20" i="6096"/>
  <c r="B19" i="6096"/>
  <c r="H23" i="6096" s="1"/>
  <c r="B18" i="6096"/>
  <c r="B28" i="6096" s="1"/>
  <c r="B17" i="6096"/>
  <c r="C17" i="6096" s="1"/>
  <c r="C16" i="6096"/>
  <c r="C15" i="6096"/>
  <c r="C14" i="6096"/>
  <c r="O12" i="6096"/>
  <c r="B12" i="6096"/>
  <c r="O11" i="6096"/>
  <c r="B11" i="6096"/>
  <c r="O10" i="6096"/>
  <c r="B10" i="6096"/>
  <c r="C9" i="6096"/>
  <c r="C8" i="6096"/>
  <c r="O7" i="6096"/>
  <c r="C7" i="6096"/>
  <c r="O6" i="6096"/>
  <c r="B6" i="6096"/>
  <c r="O5" i="6096"/>
  <c r="B5" i="6096"/>
  <c r="O4" i="6096"/>
  <c r="O3" i="6096"/>
  <c r="O2" i="6096"/>
  <c r="O18" i="6082"/>
  <c r="B13" i="6096" l="1"/>
  <c r="C18" i="6096"/>
  <c r="B13" i="6098"/>
  <c r="H18" i="6096"/>
  <c r="H26" i="6096"/>
  <c r="C38" i="6096"/>
  <c r="H17" i="6096"/>
  <c r="H12" i="6096"/>
  <c r="H40" i="6096"/>
  <c r="B26" i="6096"/>
  <c r="C36" i="6096"/>
  <c r="C22" i="6096"/>
  <c r="C42" i="6096"/>
  <c r="H20" i="6096"/>
  <c r="H25" i="6096"/>
  <c r="H9" i="6096"/>
  <c r="H14" i="6096"/>
  <c r="H31" i="6096"/>
  <c r="H27" i="6096"/>
  <c r="H26" i="6098"/>
  <c r="H17" i="6098"/>
  <c r="H4" i="6098"/>
  <c r="H35" i="6098"/>
  <c r="C40" i="6098"/>
  <c r="H9" i="6098"/>
  <c r="H15" i="6098"/>
  <c r="C22" i="6098"/>
  <c r="H2" i="6098"/>
  <c r="C24" i="6098"/>
  <c r="H42" i="6098"/>
  <c r="H11" i="6098"/>
  <c r="H32" i="6098"/>
  <c r="H7" i="6098"/>
  <c r="H19" i="6098"/>
  <c r="B26" i="6098"/>
  <c r="C44" i="6098"/>
  <c r="H46" i="6098"/>
  <c r="H6" i="6098"/>
  <c r="H31" i="6098"/>
  <c r="C46" i="6098"/>
  <c r="C36" i="6098"/>
  <c r="C19" i="6098"/>
  <c r="H38" i="6098"/>
  <c r="H48" i="6098"/>
  <c r="H24" i="6098"/>
  <c r="H10" i="6098"/>
  <c r="H18" i="6098"/>
  <c r="C38" i="6098"/>
  <c r="C48" i="6098"/>
  <c r="H12" i="6098"/>
  <c r="H3" i="6098"/>
  <c r="H22" i="6098"/>
  <c r="H40" i="6098"/>
  <c r="H50" i="6098"/>
  <c r="C42" i="6098"/>
  <c r="H5" i="6098"/>
  <c r="H20" i="6098"/>
  <c r="H44" i="6098"/>
  <c r="H52" i="6098"/>
  <c r="H25" i="6098"/>
  <c r="H27" i="6098"/>
  <c r="H14" i="6098"/>
  <c r="H30" i="6098"/>
  <c r="H36" i="6098"/>
  <c r="C39" i="6098"/>
  <c r="C43" i="6098"/>
  <c r="C47" i="6098"/>
  <c r="H8" i="6098"/>
  <c r="H21" i="6098"/>
  <c r="H23" i="6098"/>
  <c r="C21" i="6098"/>
  <c r="C25" i="6098"/>
  <c r="H37" i="6098"/>
  <c r="H41" i="6098"/>
  <c r="H45" i="6098"/>
  <c r="H49" i="6098"/>
  <c r="H28" i="6098"/>
  <c r="H29" i="6098"/>
  <c r="H33" i="6098"/>
  <c r="C37" i="6098"/>
  <c r="C41" i="6098"/>
  <c r="C45" i="6098"/>
  <c r="H51" i="6098"/>
  <c r="H13" i="6098"/>
  <c r="C23" i="6098"/>
  <c r="B27" i="6098"/>
  <c r="H34" i="6098"/>
  <c r="H39" i="6098"/>
  <c r="H43" i="6098"/>
  <c r="H47" i="6098"/>
  <c r="H7" i="6096"/>
  <c r="H8" i="6096"/>
  <c r="H46" i="6096"/>
  <c r="C44" i="6096"/>
  <c r="H10" i="6096"/>
  <c r="H28" i="6096"/>
  <c r="C46" i="6096"/>
  <c r="H4" i="6096"/>
  <c r="H6" i="6096"/>
  <c r="H24" i="6096"/>
  <c r="C21" i="6096"/>
  <c r="H36" i="6096"/>
  <c r="H48" i="6096"/>
  <c r="H16" i="6096"/>
  <c r="C39" i="6096"/>
  <c r="C47" i="6096"/>
  <c r="H11" i="6096"/>
  <c r="H19" i="6096"/>
  <c r="C24" i="6096"/>
  <c r="C19" i="6096"/>
  <c r="H15" i="6096"/>
  <c r="H21" i="6096"/>
  <c r="C40" i="6096"/>
  <c r="C48" i="6096"/>
  <c r="H2" i="6096"/>
  <c r="H3" i="6096"/>
  <c r="H13" i="6096"/>
  <c r="C25" i="6096"/>
  <c r="H22" i="6096"/>
  <c r="H42" i="6096"/>
  <c r="H52" i="6096"/>
  <c r="H44" i="6096"/>
  <c r="H50" i="6096"/>
  <c r="H30" i="6096"/>
  <c r="H33" i="6096"/>
  <c r="H38" i="6096"/>
  <c r="C43" i="6096"/>
  <c r="H5" i="6096"/>
  <c r="H37" i="6096"/>
  <c r="H41" i="6096"/>
  <c r="H45" i="6096"/>
  <c r="H49" i="6096"/>
  <c r="H29" i="6096"/>
  <c r="H32" i="6096"/>
  <c r="H34" i="6096"/>
  <c r="C37" i="6096"/>
  <c r="C41" i="6096"/>
  <c r="C45" i="6096"/>
  <c r="H51" i="6096"/>
  <c r="C23" i="6096"/>
  <c r="B27" i="6096"/>
  <c r="H35" i="6096"/>
  <c r="H39" i="6096"/>
  <c r="H43" i="6096"/>
  <c r="H47" i="6096"/>
  <c r="O23" i="6094" l="1"/>
  <c r="O19" i="6094"/>
  <c r="C34" i="6094"/>
  <c r="B29" i="6094"/>
  <c r="C20" i="6094"/>
  <c r="B19" i="6094"/>
  <c r="H17" i="6094" s="1"/>
  <c r="B18" i="6094"/>
  <c r="B28" i="6094" s="1"/>
  <c r="B17" i="6094"/>
  <c r="C17" i="6094" s="1"/>
  <c r="C16" i="6094"/>
  <c r="C15" i="6094"/>
  <c r="C14" i="6094"/>
  <c r="O12" i="6094"/>
  <c r="B12" i="6094"/>
  <c r="O11" i="6094"/>
  <c r="B11" i="6094"/>
  <c r="O10" i="6094"/>
  <c r="B10" i="6094"/>
  <c r="C9" i="6094"/>
  <c r="C8" i="6094"/>
  <c r="O7" i="6094"/>
  <c r="C7" i="6094"/>
  <c r="O6" i="6094"/>
  <c r="B6" i="6094"/>
  <c r="O5" i="6094"/>
  <c r="B5" i="6094"/>
  <c r="O4" i="6094"/>
  <c r="O3" i="6094"/>
  <c r="O2" i="6094"/>
  <c r="O21" i="6092"/>
  <c r="O19" i="6092"/>
  <c r="C34" i="6092"/>
  <c r="B29" i="6092"/>
  <c r="C20" i="6092"/>
  <c r="B19" i="6092"/>
  <c r="H13" i="6092" s="1"/>
  <c r="B18" i="6092"/>
  <c r="B28" i="6092" s="1"/>
  <c r="B17" i="6092"/>
  <c r="C17" i="6092" s="1"/>
  <c r="C16" i="6092"/>
  <c r="C15" i="6092"/>
  <c r="C14" i="6092"/>
  <c r="O12" i="6092"/>
  <c r="B12" i="6092"/>
  <c r="O11" i="6092"/>
  <c r="B11" i="6092"/>
  <c r="O10" i="6092"/>
  <c r="B10" i="6092"/>
  <c r="C9" i="6092"/>
  <c r="C8" i="6092"/>
  <c r="O7" i="6092"/>
  <c r="C7" i="6092"/>
  <c r="O6" i="6092"/>
  <c r="B6" i="6092"/>
  <c r="O5" i="6092"/>
  <c r="B5" i="6092"/>
  <c r="O4" i="6092"/>
  <c r="O3" i="6092"/>
  <c r="O2" i="6092"/>
  <c r="O21" i="6082"/>
  <c r="O19" i="6090"/>
  <c r="O17" i="6090"/>
  <c r="C34" i="6090"/>
  <c r="B29" i="6090"/>
  <c r="C20" i="6090"/>
  <c r="B19" i="6090"/>
  <c r="H18" i="6090" s="1"/>
  <c r="B18" i="6090"/>
  <c r="B28" i="6090" s="1"/>
  <c r="B17" i="6090"/>
  <c r="C17" i="6090" s="1"/>
  <c r="C16" i="6090"/>
  <c r="C15" i="6090"/>
  <c r="C14" i="6090"/>
  <c r="O12" i="6090"/>
  <c r="B12" i="6090"/>
  <c r="O11" i="6090"/>
  <c r="B11" i="6090"/>
  <c r="O10" i="6090"/>
  <c r="B10" i="6090"/>
  <c r="C9" i="6090"/>
  <c r="C8" i="6090"/>
  <c r="O7" i="6090"/>
  <c r="C7" i="6090"/>
  <c r="O6" i="6090"/>
  <c r="B6" i="6090"/>
  <c r="O5" i="6090"/>
  <c r="B5" i="6090"/>
  <c r="O4" i="6090"/>
  <c r="O3" i="6090"/>
  <c r="O2" i="6090"/>
  <c r="O22" i="6082"/>
  <c r="O24" i="6082"/>
  <c r="H48" i="6090" l="1"/>
  <c r="B13" i="6090"/>
  <c r="B13" i="6092"/>
  <c r="C18" i="6092"/>
  <c r="B13" i="6094"/>
  <c r="H11" i="6094"/>
  <c r="C18" i="6090"/>
  <c r="H11" i="6090"/>
  <c r="H27" i="6090"/>
  <c r="H36" i="6090"/>
  <c r="H3" i="6090"/>
  <c r="H26" i="6090"/>
  <c r="H37" i="6090"/>
  <c r="H12" i="6090"/>
  <c r="C40" i="6090"/>
  <c r="H10" i="6090"/>
  <c r="C22" i="6090"/>
  <c r="H42" i="6090"/>
  <c r="H24" i="6090"/>
  <c r="H9" i="6090"/>
  <c r="C46" i="6090"/>
  <c r="C18" i="6094"/>
  <c r="B26" i="6094"/>
  <c r="H6" i="6094"/>
  <c r="H29" i="6094"/>
  <c r="H30" i="6094"/>
  <c r="H18" i="6094"/>
  <c r="H7" i="6094"/>
  <c r="H38" i="6094"/>
  <c r="C21" i="6094"/>
  <c r="H37" i="6094"/>
  <c r="H12" i="6094"/>
  <c r="C22" i="6094"/>
  <c r="H28" i="6094"/>
  <c r="H31" i="6094"/>
  <c r="H14" i="6094"/>
  <c r="H4" i="6094"/>
  <c r="H10" i="6094"/>
  <c r="C24" i="6094"/>
  <c r="C40" i="6094"/>
  <c r="H9" i="6094"/>
  <c r="H42" i="6094"/>
  <c r="C19" i="6094"/>
  <c r="H46" i="6094"/>
  <c r="H25" i="6094"/>
  <c r="H15" i="6094"/>
  <c r="C46" i="6094"/>
  <c r="H48" i="6094"/>
  <c r="H21" i="6094"/>
  <c r="H34" i="6094"/>
  <c r="C36" i="6094"/>
  <c r="C42" i="6094"/>
  <c r="C47" i="6094"/>
  <c r="H39" i="6094"/>
  <c r="H44" i="6094"/>
  <c r="C48" i="6094"/>
  <c r="H2" i="6094"/>
  <c r="H3" i="6094"/>
  <c r="H19" i="6094"/>
  <c r="H13" i="6094"/>
  <c r="H20" i="6094"/>
  <c r="C38" i="6094"/>
  <c r="C43" i="6094"/>
  <c r="H50" i="6094"/>
  <c r="H8" i="6094"/>
  <c r="C25" i="6094"/>
  <c r="H23" i="6094"/>
  <c r="H41" i="6094"/>
  <c r="H45" i="6094"/>
  <c r="H5" i="6094"/>
  <c r="H22" i="6094"/>
  <c r="H16" i="6094"/>
  <c r="H32" i="6094"/>
  <c r="H26" i="6094"/>
  <c r="H36" i="6094"/>
  <c r="C39" i="6094"/>
  <c r="C44" i="6094"/>
  <c r="H52" i="6094"/>
  <c r="H49" i="6094"/>
  <c r="H33" i="6094"/>
  <c r="H24" i="6094"/>
  <c r="H27" i="6094"/>
  <c r="C37" i="6094"/>
  <c r="C41" i="6094"/>
  <c r="C45" i="6094"/>
  <c r="H51" i="6094"/>
  <c r="C23" i="6094"/>
  <c r="B27" i="6094"/>
  <c r="H35" i="6094"/>
  <c r="H40" i="6094"/>
  <c r="H43" i="6094"/>
  <c r="H47" i="6094"/>
  <c r="H11" i="6092"/>
  <c r="H12" i="6092"/>
  <c r="H8" i="6092"/>
  <c r="H31" i="6092"/>
  <c r="H40" i="6092"/>
  <c r="C38" i="6092"/>
  <c r="H5" i="6092"/>
  <c r="H4" i="6092"/>
  <c r="H21" i="6092"/>
  <c r="C42" i="6092"/>
  <c r="C24" i="6092"/>
  <c r="H44" i="6092"/>
  <c r="H10" i="6092"/>
  <c r="C46" i="6092"/>
  <c r="H24" i="6092"/>
  <c r="H48" i="6092"/>
  <c r="H3" i="6092"/>
  <c r="H2" i="6092"/>
  <c r="H9" i="6092"/>
  <c r="H29" i="6092"/>
  <c r="H6" i="6092"/>
  <c r="C19" i="6092"/>
  <c r="H17" i="6092"/>
  <c r="H52" i="6092"/>
  <c r="H20" i="6092"/>
  <c r="H34" i="6092"/>
  <c r="H15" i="6092"/>
  <c r="H26" i="6092"/>
  <c r="H37" i="6092"/>
  <c r="C39" i="6092"/>
  <c r="C43" i="6092"/>
  <c r="C47" i="6092"/>
  <c r="H7" i="6092"/>
  <c r="H23" i="6092"/>
  <c r="H32" i="6092"/>
  <c r="C21" i="6092"/>
  <c r="C25" i="6092"/>
  <c r="H30" i="6092"/>
  <c r="H41" i="6092"/>
  <c r="H45" i="6092"/>
  <c r="H49" i="6092"/>
  <c r="H14" i="6092"/>
  <c r="H35" i="6092"/>
  <c r="H16" i="6092"/>
  <c r="C36" i="6092"/>
  <c r="C40" i="6092"/>
  <c r="C44" i="6092"/>
  <c r="C48" i="6092"/>
  <c r="H25" i="6092"/>
  <c r="H33" i="6092"/>
  <c r="C22" i="6092"/>
  <c r="B26" i="6092"/>
  <c r="H18" i="6092"/>
  <c r="H38" i="6092"/>
  <c r="H42" i="6092"/>
  <c r="H46" i="6092"/>
  <c r="H50" i="6092"/>
  <c r="H22" i="6092"/>
  <c r="H27" i="6092"/>
  <c r="H28" i="6092"/>
  <c r="C37" i="6092"/>
  <c r="C41" i="6092"/>
  <c r="C45" i="6092"/>
  <c r="H51" i="6092"/>
  <c r="H19" i="6092"/>
  <c r="C23" i="6092"/>
  <c r="B27" i="6092"/>
  <c r="H36" i="6092"/>
  <c r="H39" i="6092"/>
  <c r="H43" i="6092"/>
  <c r="H47" i="6092"/>
  <c r="C47" i="6090"/>
  <c r="H6" i="6090"/>
  <c r="C42" i="6090"/>
  <c r="C24" i="6090"/>
  <c r="H49" i="6090"/>
  <c r="C38" i="6090"/>
  <c r="H32" i="6090"/>
  <c r="C19" i="6090"/>
  <c r="H38" i="6090"/>
  <c r="H4" i="6090"/>
  <c r="H16" i="6090"/>
  <c r="H13" i="6090"/>
  <c r="C43" i="6090"/>
  <c r="H8" i="6090"/>
  <c r="C25" i="6090"/>
  <c r="H40" i="6090"/>
  <c r="H45" i="6090"/>
  <c r="H50" i="6090"/>
  <c r="C48" i="6090"/>
  <c r="H19" i="6090"/>
  <c r="H22" i="6090"/>
  <c r="H28" i="6090"/>
  <c r="H35" i="6090"/>
  <c r="C39" i="6090"/>
  <c r="C44" i="6090"/>
  <c r="H5" i="6090"/>
  <c r="H14" i="6090"/>
  <c r="H20" i="6090"/>
  <c r="C36" i="6090"/>
  <c r="H15" i="6090"/>
  <c r="H44" i="6090"/>
  <c r="H2" i="6090"/>
  <c r="H21" i="6090"/>
  <c r="H17" i="6090"/>
  <c r="H30" i="6090"/>
  <c r="H7" i="6090"/>
  <c r="H23" i="6090"/>
  <c r="H25" i="6090"/>
  <c r="C21" i="6090"/>
  <c r="B26" i="6090"/>
  <c r="H41" i="6090"/>
  <c r="H46" i="6090"/>
  <c r="H52" i="6090"/>
  <c r="H29" i="6090"/>
  <c r="H31" i="6090"/>
  <c r="H33" i="6090"/>
  <c r="C37" i="6090"/>
  <c r="C41" i="6090"/>
  <c r="C45" i="6090"/>
  <c r="H51" i="6090"/>
  <c r="C23" i="6090"/>
  <c r="B27" i="6090"/>
  <c r="H34" i="6090"/>
  <c r="H39" i="6090"/>
  <c r="H43" i="6090"/>
  <c r="H47" i="6090"/>
  <c r="O23" i="6088" l="1"/>
  <c r="O19" i="6088"/>
  <c r="C34" i="6088"/>
  <c r="B29" i="6088"/>
  <c r="C20" i="6088"/>
  <c r="B19" i="6088"/>
  <c r="H19" i="6088" s="1"/>
  <c r="B18" i="6088"/>
  <c r="B28" i="6088" s="1"/>
  <c r="B17" i="6088"/>
  <c r="C17" i="6088" s="1"/>
  <c r="C16" i="6088"/>
  <c r="C15" i="6088"/>
  <c r="C14" i="6088"/>
  <c r="O12" i="6088"/>
  <c r="B12" i="6088"/>
  <c r="O11" i="6088"/>
  <c r="B11" i="6088"/>
  <c r="O10" i="6088"/>
  <c r="B10" i="6088"/>
  <c r="C9" i="6088"/>
  <c r="C8" i="6088"/>
  <c r="O7" i="6088"/>
  <c r="C7" i="6088"/>
  <c r="O6" i="6088"/>
  <c r="B6" i="6088"/>
  <c r="O5" i="6088"/>
  <c r="B5" i="6088"/>
  <c r="O4" i="6088"/>
  <c r="O3" i="6088"/>
  <c r="O2" i="6088"/>
  <c r="O18" i="6086"/>
  <c r="O20" i="6086"/>
  <c r="C34" i="6086"/>
  <c r="B29" i="6086"/>
  <c r="C20" i="6086"/>
  <c r="B19" i="6086"/>
  <c r="H16" i="6086" s="1"/>
  <c r="B18" i="6086"/>
  <c r="B28" i="6086" s="1"/>
  <c r="B17" i="6086"/>
  <c r="C17" i="6086" s="1"/>
  <c r="C16" i="6086"/>
  <c r="C15" i="6086"/>
  <c r="C14" i="6086"/>
  <c r="O12" i="6086"/>
  <c r="B12" i="6086"/>
  <c r="O11" i="6086"/>
  <c r="B11" i="6086"/>
  <c r="O10" i="6086"/>
  <c r="B10" i="6086"/>
  <c r="C9" i="6086"/>
  <c r="C8" i="6086"/>
  <c r="O7" i="6086"/>
  <c r="C7" i="6086"/>
  <c r="O6" i="6086"/>
  <c r="B6" i="6086"/>
  <c r="O5" i="6086"/>
  <c r="B5" i="6086"/>
  <c r="O4" i="6086"/>
  <c r="O3" i="6086"/>
  <c r="O2" i="6086"/>
  <c r="O20" i="6082"/>
  <c r="O19" i="6084"/>
  <c r="O20" i="6084"/>
  <c r="C34" i="6084"/>
  <c r="B29" i="6084"/>
  <c r="C20" i="6084"/>
  <c r="B19" i="6084"/>
  <c r="H51" i="6084" s="1"/>
  <c r="B18" i="6084"/>
  <c r="B28" i="6084" s="1"/>
  <c r="B17" i="6084"/>
  <c r="C17" i="6084" s="1"/>
  <c r="C16" i="6084"/>
  <c r="C15" i="6084"/>
  <c r="C14" i="6084"/>
  <c r="O12" i="6084"/>
  <c r="B12" i="6084"/>
  <c r="O11" i="6084"/>
  <c r="B11" i="6084"/>
  <c r="O10" i="6084"/>
  <c r="B10" i="6084"/>
  <c r="C9" i="6084"/>
  <c r="C8" i="6084"/>
  <c r="O7" i="6084"/>
  <c r="C7" i="6084"/>
  <c r="O6" i="6084"/>
  <c r="B6" i="6084"/>
  <c r="O5" i="6084"/>
  <c r="B5" i="6084"/>
  <c r="O4" i="6084"/>
  <c r="O3" i="6084"/>
  <c r="O2" i="6084"/>
  <c r="O23" i="6082"/>
  <c r="O25" i="6082"/>
  <c r="C34" i="6082"/>
  <c r="B29" i="6082"/>
  <c r="C20" i="6082"/>
  <c r="B19" i="6082"/>
  <c r="H51" i="6082" s="1"/>
  <c r="B18" i="6082"/>
  <c r="B28" i="6082" s="1"/>
  <c r="B17" i="6082"/>
  <c r="C17" i="6082" s="1"/>
  <c r="C16" i="6082"/>
  <c r="C15" i="6082"/>
  <c r="C14" i="6082"/>
  <c r="O12" i="6082"/>
  <c r="B12" i="6082"/>
  <c r="O11" i="6082"/>
  <c r="B11" i="6082"/>
  <c r="O10" i="6082"/>
  <c r="B10" i="6082"/>
  <c r="C9" i="6082"/>
  <c r="C8" i="6082"/>
  <c r="O7" i="6082"/>
  <c r="C7" i="6082"/>
  <c r="O6" i="6082"/>
  <c r="B6" i="6082"/>
  <c r="O5" i="6082"/>
  <c r="B5" i="6082"/>
  <c r="O4" i="6082"/>
  <c r="O3" i="6082"/>
  <c r="O2" i="6082"/>
  <c r="H28" i="6084" l="1"/>
  <c r="B13" i="6084"/>
  <c r="C18" i="6086"/>
  <c r="C18" i="6084"/>
  <c r="C18" i="6088"/>
  <c r="B13" i="6086"/>
  <c r="B13" i="6088"/>
  <c r="H20" i="6088"/>
  <c r="H28" i="6088"/>
  <c r="H29" i="6088"/>
  <c r="H11" i="6088"/>
  <c r="H42" i="6088"/>
  <c r="H6" i="6088"/>
  <c r="C22" i="6088"/>
  <c r="C44" i="6088"/>
  <c r="H3" i="6088"/>
  <c r="C42" i="6088"/>
  <c r="C24" i="6088"/>
  <c r="H23" i="6088"/>
  <c r="H31" i="6088"/>
  <c r="H12" i="6088"/>
  <c r="H19" i="6084"/>
  <c r="H9" i="6088"/>
  <c r="B26" i="6088"/>
  <c r="C36" i="6088"/>
  <c r="H46" i="6088"/>
  <c r="H8" i="6088"/>
  <c r="C19" i="6088"/>
  <c r="H38" i="6088"/>
  <c r="H16" i="6088"/>
  <c r="C38" i="6088"/>
  <c r="H48" i="6088"/>
  <c r="H2" i="6088"/>
  <c r="H26" i="6088"/>
  <c r="H10" i="6088"/>
  <c r="H40" i="6088"/>
  <c r="C48" i="6088"/>
  <c r="C46" i="6088"/>
  <c r="H5" i="6088"/>
  <c r="H22" i="6088"/>
  <c r="H14" i="6088"/>
  <c r="H17" i="6088"/>
  <c r="C40" i="6088"/>
  <c r="H50" i="6088"/>
  <c r="H4" i="6088"/>
  <c r="H32" i="6088"/>
  <c r="H44" i="6088"/>
  <c r="H52" i="6088"/>
  <c r="H18" i="6088"/>
  <c r="H30" i="6088"/>
  <c r="H13" i="6088"/>
  <c r="H24" i="6088"/>
  <c r="H36" i="6088"/>
  <c r="C39" i="6088"/>
  <c r="C43" i="6088"/>
  <c r="C47" i="6088"/>
  <c r="H7" i="6088"/>
  <c r="H21" i="6088"/>
  <c r="H25" i="6088"/>
  <c r="C21" i="6088"/>
  <c r="C25" i="6088"/>
  <c r="H37" i="6088"/>
  <c r="H41" i="6088"/>
  <c r="H45" i="6088"/>
  <c r="H49" i="6088"/>
  <c r="H27" i="6088"/>
  <c r="H33" i="6088"/>
  <c r="H34" i="6088"/>
  <c r="C37" i="6088"/>
  <c r="C41" i="6088"/>
  <c r="C45" i="6088"/>
  <c r="H51" i="6088"/>
  <c r="H15" i="6088"/>
  <c r="C23" i="6088"/>
  <c r="B27" i="6088"/>
  <c r="H35" i="6088"/>
  <c r="H39" i="6088"/>
  <c r="H43" i="6088"/>
  <c r="H47" i="6088"/>
  <c r="B13" i="6082"/>
  <c r="C18" i="6082"/>
  <c r="H31" i="6086"/>
  <c r="H33" i="6086"/>
  <c r="H8" i="6086"/>
  <c r="H34" i="6086"/>
  <c r="H18" i="6086"/>
  <c r="H23" i="6086"/>
  <c r="H4" i="6086"/>
  <c r="C21" i="6086"/>
  <c r="H19" i="6086"/>
  <c r="H12" i="6086"/>
  <c r="H3" i="6086"/>
  <c r="H20" i="6086"/>
  <c r="H21" i="6086"/>
  <c r="H14" i="6086"/>
  <c r="H13" i="6086"/>
  <c r="H41" i="6086"/>
  <c r="H7" i="6086"/>
  <c r="H2" i="6086"/>
  <c r="H9" i="6086"/>
  <c r="H32" i="6086"/>
  <c r="C25" i="6086"/>
  <c r="C39" i="6086"/>
  <c r="C40" i="6086"/>
  <c r="H30" i="6086"/>
  <c r="C42" i="6086"/>
  <c r="H27" i="6086"/>
  <c r="C46" i="6086"/>
  <c r="H28" i="6086"/>
  <c r="H48" i="6086"/>
  <c r="H10" i="6086"/>
  <c r="H6" i="6086"/>
  <c r="H11" i="6086"/>
  <c r="H25" i="6086"/>
  <c r="H17" i="6086"/>
  <c r="B26" i="6086"/>
  <c r="H37" i="6086"/>
  <c r="C48" i="6086"/>
  <c r="H43" i="6086"/>
  <c r="C47" i="6086"/>
  <c r="C22" i="6086"/>
  <c r="C36" i="6086"/>
  <c r="H45" i="6086"/>
  <c r="H50" i="6086"/>
  <c r="H22" i="6086"/>
  <c r="H29" i="6086"/>
  <c r="H39" i="6086"/>
  <c r="C43" i="6086"/>
  <c r="H5" i="6086"/>
  <c r="H15" i="6086"/>
  <c r="C19" i="6086"/>
  <c r="C24" i="6086"/>
  <c r="C38" i="6086"/>
  <c r="C44" i="6086"/>
  <c r="H52" i="6086"/>
  <c r="H38" i="6086"/>
  <c r="H42" i="6086"/>
  <c r="H46" i="6086"/>
  <c r="H49" i="6086"/>
  <c r="H24" i="6086"/>
  <c r="H26" i="6086"/>
  <c r="H35" i="6086"/>
  <c r="C37" i="6086"/>
  <c r="C41" i="6086"/>
  <c r="C45" i="6086"/>
  <c r="H51" i="6086"/>
  <c r="C23" i="6086"/>
  <c r="B27" i="6086"/>
  <c r="H36" i="6086"/>
  <c r="H40" i="6086"/>
  <c r="H44" i="6086"/>
  <c r="H47" i="6086"/>
  <c r="H3" i="6084"/>
  <c r="H32" i="6084"/>
  <c r="H41" i="6084"/>
  <c r="H34" i="6084"/>
  <c r="H13" i="6084"/>
  <c r="C22" i="6084"/>
  <c r="H2" i="6084"/>
  <c r="C42" i="6084"/>
  <c r="H8" i="6084"/>
  <c r="H30" i="6084"/>
  <c r="C24" i="6084"/>
  <c r="B26" i="6084"/>
  <c r="C44" i="6084"/>
  <c r="C19" i="6084"/>
  <c r="H45" i="6084"/>
  <c r="H23" i="6084"/>
  <c r="H12" i="6084"/>
  <c r="H47" i="6084"/>
  <c r="C36" i="6084"/>
  <c r="H37" i="6084"/>
  <c r="H39" i="6084"/>
  <c r="C48" i="6084"/>
  <c r="C46" i="6084"/>
  <c r="H10" i="6084"/>
  <c r="H14" i="6084"/>
  <c r="C38" i="6084"/>
  <c r="H5" i="6084"/>
  <c r="H18" i="6084"/>
  <c r="H6" i="6084"/>
  <c r="H9" i="6084"/>
  <c r="H11" i="6084"/>
  <c r="H17" i="6084"/>
  <c r="C40" i="6084"/>
  <c r="H49" i="6084"/>
  <c r="H4" i="6084"/>
  <c r="H25" i="6084"/>
  <c r="H43" i="6084"/>
  <c r="H52" i="6084"/>
  <c r="H16" i="6084"/>
  <c r="H29" i="6084"/>
  <c r="H15" i="6084"/>
  <c r="H31" i="6084"/>
  <c r="H35" i="6084"/>
  <c r="C39" i="6084"/>
  <c r="C43" i="6084"/>
  <c r="C47" i="6084"/>
  <c r="H7" i="6084"/>
  <c r="H26" i="6084"/>
  <c r="H27" i="6084"/>
  <c r="C21" i="6084"/>
  <c r="C25" i="6084"/>
  <c r="H36" i="6084"/>
  <c r="H40" i="6084"/>
  <c r="H44" i="6084"/>
  <c r="H48" i="6084"/>
  <c r="H24" i="6084"/>
  <c r="H21" i="6084"/>
  <c r="H22" i="6084"/>
  <c r="C37" i="6084"/>
  <c r="C41" i="6084"/>
  <c r="C45" i="6084"/>
  <c r="H50" i="6084"/>
  <c r="H20" i="6084"/>
  <c r="C23" i="6084"/>
  <c r="B27" i="6084"/>
  <c r="H33" i="6084"/>
  <c r="H38" i="6084"/>
  <c r="H42" i="6084"/>
  <c r="H46" i="6084"/>
  <c r="C36" i="6082"/>
  <c r="H11" i="6082"/>
  <c r="H41" i="6082"/>
  <c r="H13" i="6082"/>
  <c r="H4" i="6082"/>
  <c r="H26" i="6082"/>
  <c r="C44" i="6082"/>
  <c r="H24" i="6082"/>
  <c r="C46" i="6082"/>
  <c r="H7" i="6082"/>
  <c r="H36" i="6082"/>
  <c r="H16" i="6082"/>
  <c r="H6" i="6082"/>
  <c r="C19" i="6082"/>
  <c r="H21" i="6082"/>
  <c r="H14" i="6082"/>
  <c r="H42" i="6082"/>
  <c r="H3" i="6082"/>
  <c r="H43" i="6082"/>
  <c r="H49" i="6082"/>
  <c r="H23" i="6082"/>
  <c r="H45" i="6082"/>
  <c r="H40" i="6082"/>
  <c r="H22" i="6082"/>
  <c r="H38" i="6082"/>
  <c r="H48" i="6082"/>
  <c r="H2" i="6082"/>
  <c r="H20" i="6082"/>
  <c r="C25" i="6082"/>
  <c r="H19" i="6082"/>
  <c r="H28" i="6082"/>
  <c r="H44" i="6082"/>
  <c r="C48" i="6082"/>
  <c r="H29" i="6082"/>
  <c r="C22" i="6082"/>
  <c r="H46" i="6082"/>
  <c r="H18" i="6082"/>
  <c r="H10" i="6082"/>
  <c r="H12" i="6082"/>
  <c r="H15" i="6082"/>
  <c r="C24" i="6082"/>
  <c r="C38" i="6082"/>
  <c r="H30" i="6082"/>
  <c r="H9" i="6082"/>
  <c r="H37" i="6082"/>
  <c r="H32" i="6082"/>
  <c r="C21" i="6082"/>
  <c r="B26" i="6082"/>
  <c r="H33" i="6082"/>
  <c r="C42" i="6082"/>
  <c r="H50" i="6082"/>
  <c r="H17" i="6082"/>
  <c r="B27" i="6082"/>
  <c r="H34" i="6082"/>
  <c r="H35" i="6082"/>
  <c r="H5" i="6082"/>
  <c r="C23" i="6082"/>
  <c r="H8" i="6082"/>
  <c r="H39" i="6082"/>
  <c r="C40" i="6082"/>
  <c r="H47" i="6082"/>
  <c r="H52" i="6082"/>
  <c r="C39" i="6082"/>
  <c r="C43" i="6082"/>
  <c r="C47" i="6082"/>
  <c r="H25" i="6082"/>
  <c r="H27" i="6082"/>
  <c r="H31" i="6082"/>
  <c r="C37" i="6082"/>
  <c r="C41" i="6082"/>
  <c r="C45" i="608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<sst xmlns="http://schemas.openxmlformats.org/spreadsheetml/2006/main" count="4037" uniqueCount="327">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</sst>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全体!$K$2:$K$1121</c:f>
              <c:numCache>
                <c:formatCode>General</c:formatCode>
                <c:ptCount val="1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</c:numCache>
            </c:numRef>
          </c:xVal>
          <c:yVal>
            <c:numRef>
              <c:f>全体!$L$2:$L$1121</c:f>
              <c:numCache>
                <c:formatCode>\+0.0;\-0.0;\±0</c:formatCode>
                <c:ptCount val="112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2-4BC4-9367-24FE049D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-28.751123090745732</c:v>
                </c:pt>
                <c:pt idx="1">
                  <c:v>8.2191780821917817</c:v>
                </c:pt>
                <c:pt idx="2">
                  <c:v>-0.97465886939571145</c:v>
                </c:pt>
                <c:pt idx="3">
                  <c:v>-1.0416666666666667</c:v>
                </c:pt>
                <c:pt idx="4">
                  <c:v>5.6689342403628116</c:v>
                </c:pt>
                <c:pt idx="5">
                  <c:v>25.85034013605442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D-49B7-8534-A6C5E7748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213</c:v>
                </c:pt>
                <c:pt idx="1">
                  <c:v>467</c:v>
                </c:pt>
                <c:pt idx="2">
                  <c:v>530</c:v>
                </c:pt>
                <c:pt idx="3">
                  <c:v>497</c:v>
                </c:pt>
                <c:pt idx="4">
                  <c:v>431</c:v>
                </c:pt>
                <c:pt idx="5">
                  <c:v>283</c:v>
                </c:pt>
                <c:pt idx="6">
                  <c:v>138</c:v>
                </c:pt>
                <c:pt idx="7">
                  <c:v>79</c:v>
                </c:pt>
                <c:pt idx="8">
                  <c:v>36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1-4508-B4F6-563CD9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BE-98B5-DD32B8F9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9-4110-A701-B51736FA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5-46CD-9159-7F47754E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だいち!$K$2:$K$226</c:f>
              <c:numCache>
                <c:formatCode>General</c:formatCode>
                <c:ptCount val="2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</c:numCache>
            </c:numRef>
          </c:xVal>
          <c:yVal>
            <c:numRef>
              <c:f>だいち!$L$2:$L$226</c:f>
              <c:numCache>
                <c:formatCode>\+0.0;\-0.0;\±0</c:formatCode>
                <c:ptCount val="22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E-41DD-86F6-7A215E43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1217.9372197309417</c:v>
                </c:pt>
                <c:pt idx="1">
                  <c:v>1644.5454545454545</c:v>
                </c:pt>
                <c:pt idx="2">
                  <c:v>1322.1698113207547</c:v>
                </c:pt>
                <c:pt idx="3">
                  <c:v>272.72727272727275</c:v>
                </c:pt>
                <c:pt idx="4">
                  <c:v>1343.1693989071039</c:v>
                </c:pt>
                <c:pt idx="5">
                  <c:v>1850.3311258278145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5-437D-89D5-268EB2D9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56</c:v>
                </c:pt>
                <c:pt idx="1">
                  <c:v>115</c:v>
                </c:pt>
                <c:pt idx="2">
                  <c:v>125</c:v>
                </c:pt>
                <c:pt idx="3">
                  <c:v>115</c:v>
                </c:pt>
                <c:pt idx="4">
                  <c:v>94</c:v>
                </c:pt>
                <c:pt idx="5">
                  <c:v>61</c:v>
                </c:pt>
                <c:pt idx="6">
                  <c:v>28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B-4526-9A8B-51BF5C9C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ただ!$K$2:$K$194</c:f>
              <c:numCache>
                <c:formatCode>General</c:formatCode>
                <c:ptCount val="1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</c:numCache>
            </c:numRef>
          </c:xVal>
          <c:yVal>
            <c:numRef>
              <c:f>ただ!$L$2:$L$194</c:f>
              <c:numCache>
                <c:formatCode>\+0.0;\-0.0;\±0</c:formatCode>
                <c:ptCount val="19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0-43F6-9D46-5407F901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-1013.6842105263158</c:v>
                </c:pt>
                <c:pt idx="1">
                  <c:v>1129.9465240641712</c:v>
                </c:pt>
                <c:pt idx="2">
                  <c:v>-249.42528735632183</c:v>
                </c:pt>
                <c:pt idx="3">
                  <c:v>-80.722891566265062</c:v>
                </c:pt>
                <c:pt idx="4">
                  <c:v>-1024.5033112582782</c:v>
                </c:pt>
                <c:pt idx="5">
                  <c:v>941.08527131782944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8-411C-837C-87D75BE9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44</c:v>
                </c:pt>
                <c:pt idx="1">
                  <c:v>97</c:v>
                </c:pt>
                <c:pt idx="2">
                  <c:v>110</c:v>
                </c:pt>
                <c:pt idx="3">
                  <c:v>100</c:v>
                </c:pt>
                <c:pt idx="4">
                  <c:v>72</c:v>
                </c:pt>
                <c:pt idx="5">
                  <c:v>45</c:v>
                </c:pt>
                <c:pt idx="6">
                  <c:v>16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9-429C-AC72-279DFEA4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りくと!$L$2:$L$113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B-404E-8E30-C31414F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-593.63636363636363</c:v>
                </c:pt>
                <c:pt idx="1">
                  <c:v>-377.27272727272725</c:v>
                </c:pt>
                <c:pt idx="2">
                  <c:v>455.88235294117646</c:v>
                </c:pt>
                <c:pt idx="3">
                  <c:v>-854</c:v>
                </c:pt>
                <c:pt idx="4">
                  <c:v>-2117.8947368421054</c:v>
                </c:pt>
                <c:pt idx="5">
                  <c:v>-1644.047619047619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0-4C44-85D2-C6A06352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19</c:v>
                </c:pt>
                <c:pt idx="1">
                  <c:v>41</c:v>
                </c:pt>
                <c:pt idx="2">
                  <c:v>56</c:v>
                </c:pt>
                <c:pt idx="3">
                  <c:v>41</c:v>
                </c:pt>
                <c:pt idx="4">
                  <c:v>46</c:v>
                </c:pt>
                <c:pt idx="5">
                  <c:v>24</c:v>
                </c:pt>
                <c:pt idx="6">
                  <c:v>16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1-4E11-A6B8-46DE3193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6-4E50-B536-7D3CD8F6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C-493A-915D-A3320DBD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F-4B9A-A1A0-98649A994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4A9-887A-14204407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B5C-AD77-0B9365C8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D54-8B43-77733406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5-42B8-ACDB-E938877E3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64B-8E38-8A5E7603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726-A9B7-97B37C80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B-4FA6-8F4D-A7B188B8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3303.5714285714284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8-4DB0-A5E0-17E3EF03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0B-AD41-078ADF295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5-41F7-85DE-EC313BC4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4-4504-9E70-4251C6E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B-458C-A99F-20AAC7E8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E-4590-BE65-43AB062D4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6-4CDA-B272-DC055868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4-44A7-ABD8-56651C29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A-41CF-A9CA-86CBF8E5C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F3-9E77-E02F7728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B-4A0A-AF6D-A94B5935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9-433B-B2ED-C7AF3818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B49-BED9-656E20C1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C-4E5C-A6CA-CA6E4FCFB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D-4E14-9BCF-9777CC49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E10-87E3-402CC540E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5-48F6-92FC-7E58F6C3D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254741344844774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22813769510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843489416292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2.48175182481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0.21592442645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98302055406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160359204618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986316014539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00854700854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511520737327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64963503649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9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8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8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8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8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8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8" x14ac:dyDescent="0.45">
      <c r="A118" s="2" t="s">
        <v>325</v>
      </c>
      <c r="B118" s="3">
        <v>43885.469583333332</v>
      </c>
      <c r="C118" s="2" t="s">
        <v>128</v>
      </c>
    </row>
    <row r="119" spans="1:8" x14ac:dyDescent="0.45">
      <c r="A119" s="2" t="s">
        <v>326</v>
      </c>
      <c r="B119" s="3">
        <v>43887.124571759261</v>
      </c>
      <c r="C119" s="2" t="s">
        <v>128</v>
      </c>
      <c r="D119" s="2" t="s">
        <v>129</v>
      </c>
      <c r="E119" s="2" t="s">
        <v>170</v>
      </c>
      <c r="F119" s="2" t="s">
        <v>171</v>
      </c>
      <c r="G119" s="2" t="s">
        <v>172</v>
      </c>
      <c r="H119" s="2" t="s">
        <v>196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1119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224</v>
      </c>
    </row>
    <row r="4" spans="1:2" x14ac:dyDescent="0.45">
      <c r="A4" t="s">
        <v>127</v>
      </c>
      <c r="B4">
        <v>192</v>
      </c>
    </row>
    <row r="5" spans="1:2" x14ac:dyDescent="0.45">
      <c r="A5" t="s">
        <v>169</v>
      </c>
      <c r="B5">
        <v>111</v>
      </c>
    </row>
    <row r="6" spans="1:2" x14ac:dyDescent="0.45">
      <c r="A6" t="s">
        <v>167</v>
      </c>
      <c r="B6">
        <v>167</v>
      </c>
    </row>
    <row r="7" spans="1:2" x14ac:dyDescent="0.45">
      <c r="A7" t="s">
        <v>168</v>
      </c>
      <c r="B7">
        <v>171</v>
      </c>
    </row>
    <row r="8" spans="1:2" x14ac:dyDescent="0.45">
      <c r="A8" t="s">
        <v>195</v>
      </c>
      <c r="B8">
        <v>79</v>
      </c>
    </row>
    <row r="9" spans="1:2" x14ac:dyDescent="0.45">
      <c r="A9" t="s">
        <v>194</v>
      </c>
      <c r="B9">
        <v>36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20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/>
      <c r="C1" s="128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0</v>
      </c>
      <c r="C2" s="13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1">
        <v>0</v>
      </c>
      <c r="C3" s="13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3">
        <v>0</v>
      </c>
      <c r="C4" s="13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1">
        <f>IF(B$2=0,0,B$4/B$2)</f>
        <v>0</v>
      </c>
      <c r="C5" s="12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5">
        <f>IF(B$2=0,0,(B$7*1+B$8*2+B$9*3)/B$2)</f>
        <v>0</v>
      </c>
      <c r="C6" s="13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3">
        <v>0</v>
      </c>
      <c r="C32" s="12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5">
        <v>-1000000</v>
      </c>
      <c r="C33" s="12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46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39" t="s">
        <v>9</v>
      </c>
      <c r="C1" s="140"/>
      <c r="D1" s="137" t="s">
        <v>6</v>
      </c>
      <c r="E1" s="138"/>
      <c r="F1" s="137" t="s">
        <v>7</v>
      </c>
      <c r="G1" s="138"/>
      <c r="H1" s="139" t="s">
        <v>206</v>
      </c>
      <c r="I1" s="140"/>
      <c r="J1" s="137" t="s">
        <v>15</v>
      </c>
      <c r="K1" s="138"/>
      <c r="L1" s="137" t="s">
        <v>14</v>
      </c>
      <c r="M1" s="138"/>
      <c r="N1" s="137" t="s">
        <v>152</v>
      </c>
      <c r="O1" s="138"/>
      <c r="P1" s="137" t="s">
        <v>145</v>
      </c>
      <c r="Q1" s="138"/>
      <c r="R1" s="137" t="s">
        <v>146</v>
      </c>
      <c r="S1" s="138"/>
      <c r="T1" s="137" t="s">
        <v>5</v>
      </c>
      <c r="U1" s="138"/>
      <c r="V1" s="137" t="s">
        <v>16</v>
      </c>
      <c r="W1" s="138"/>
      <c r="X1" s="137" t="s">
        <v>17</v>
      </c>
      <c r="Y1" s="138"/>
      <c r="Z1" s="137" t="s">
        <v>122</v>
      </c>
      <c r="AA1" s="138"/>
      <c r="AB1" s="137" t="s">
        <v>119</v>
      </c>
      <c r="AC1" s="138"/>
      <c r="AD1" s="137" t="s">
        <v>125</v>
      </c>
      <c r="AE1" s="138"/>
      <c r="AF1" s="137" t="s">
        <v>147</v>
      </c>
      <c r="AG1" s="138"/>
      <c r="AH1" s="137" t="s">
        <v>140</v>
      </c>
      <c r="AI1" s="138"/>
      <c r="AJ1" s="137" t="s">
        <v>189</v>
      </c>
      <c r="AK1" s="138"/>
    </row>
    <row r="2" spans="1:37" x14ac:dyDescent="0.45">
      <c r="A2" s="38" t="s">
        <v>151</v>
      </c>
      <c r="B2" s="143">
        <v>0.57914188669310396</v>
      </c>
      <c r="C2" s="144"/>
      <c r="D2" s="141"/>
      <c r="E2" s="142"/>
      <c r="F2" s="141"/>
      <c r="G2" s="142"/>
      <c r="H2" s="143">
        <v>0.64264664790778292</v>
      </c>
      <c r="I2" s="144"/>
      <c r="J2" s="143">
        <v>0.93560450641033654</v>
      </c>
      <c r="K2" s="144"/>
      <c r="L2" s="143">
        <v>0.74667184340218629</v>
      </c>
      <c r="M2" s="144"/>
      <c r="N2" s="143">
        <v>0.68762805586962261</v>
      </c>
      <c r="O2" s="144"/>
      <c r="P2" s="143">
        <v>0.59392959526688938</v>
      </c>
      <c r="Q2" s="144"/>
      <c r="R2" s="143">
        <v>0.39188279660052799</v>
      </c>
      <c r="S2" s="144"/>
      <c r="T2" s="143">
        <v>0.38912481455603087</v>
      </c>
      <c r="U2" s="144"/>
      <c r="V2" s="143">
        <v>0.10227689225881044</v>
      </c>
      <c r="W2" s="144"/>
      <c r="X2" s="143">
        <v>0.38234706120138151</v>
      </c>
      <c r="Y2" s="144"/>
      <c r="Z2" s="143">
        <v>0.27222502789790265</v>
      </c>
      <c r="AA2" s="144"/>
      <c r="AB2" s="143">
        <v>4.078277854121827E-2</v>
      </c>
      <c r="AC2" s="144"/>
      <c r="AD2" s="143">
        <v>0.42054974218531799</v>
      </c>
      <c r="AE2" s="144"/>
      <c r="AF2" s="143">
        <v>0.18295174012624449</v>
      </c>
      <c r="AG2" s="144"/>
      <c r="AH2" s="143">
        <v>-0.15972171351057546</v>
      </c>
      <c r="AI2" s="144"/>
      <c r="AJ2" s="143">
        <v>0.82366346532307977</v>
      </c>
      <c r="AK2" s="144"/>
    </row>
    <row r="3" spans="1:37" x14ac:dyDescent="0.45">
      <c r="A3" s="40">
        <v>1</v>
      </c>
      <c r="B3" s="43" t="s">
        <v>141</v>
      </c>
      <c r="C3" s="145">
        <v>373</v>
      </c>
      <c r="D3" s="41" t="s">
        <v>126</v>
      </c>
      <c r="E3" s="42">
        <v>2035.6999999999998</v>
      </c>
      <c r="F3" s="43" t="s">
        <v>202</v>
      </c>
      <c r="G3" s="62">
        <v>13.1</v>
      </c>
      <c r="H3" s="43" t="s">
        <v>202</v>
      </c>
      <c r="I3" s="62">
        <v>8.7333333333333325</v>
      </c>
      <c r="J3" s="43" t="s">
        <v>202</v>
      </c>
      <c r="K3" s="44">
        <v>1.5</v>
      </c>
      <c r="L3" s="43" t="s">
        <v>282</v>
      </c>
      <c r="M3" s="45">
        <v>0.5</v>
      </c>
      <c r="N3" s="43" t="s">
        <v>202</v>
      </c>
      <c r="O3" s="45">
        <v>0</v>
      </c>
      <c r="P3" s="43" t="s">
        <v>202</v>
      </c>
      <c r="Q3" s="46">
        <v>0.46666666666666667</v>
      </c>
      <c r="R3" s="43" t="s">
        <v>202</v>
      </c>
      <c r="S3" s="46">
        <v>6.6666666666666666E-2</v>
      </c>
      <c r="T3" s="43" t="s">
        <v>167</v>
      </c>
      <c r="U3" s="47">
        <v>10994.764397905759</v>
      </c>
      <c r="V3" s="43" t="s">
        <v>168</v>
      </c>
      <c r="W3" s="47">
        <v>-7230.5263157894733</v>
      </c>
      <c r="X3" s="43" t="s">
        <v>202</v>
      </c>
      <c r="Y3" s="45">
        <v>0</v>
      </c>
      <c r="Z3" s="43" t="s">
        <v>282</v>
      </c>
      <c r="AA3" s="46">
        <v>0.38461538461538464</v>
      </c>
      <c r="AB3" s="43" t="s">
        <v>201</v>
      </c>
      <c r="AC3" s="46">
        <v>0.35483870967741937</v>
      </c>
      <c r="AD3" s="43" t="s">
        <v>282</v>
      </c>
      <c r="AE3" s="46">
        <v>0.6333333333333333</v>
      </c>
      <c r="AF3" s="43" t="s">
        <v>202</v>
      </c>
      <c r="AG3" s="46">
        <v>1</v>
      </c>
      <c r="AH3" s="43" t="s">
        <v>194</v>
      </c>
      <c r="AI3" s="46">
        <v>0.59756097560975607</v>
      </c>
      <c r="AJ3" s="43" t="s">
        <v>126</v>
      </c>
      <c r="AK3" s="57">
        <v>149100</v>
      </c>
    </row>
    <row r="4" spans="1:37" x14ac:dyDescent="0.45">
      <c r="A4" s="48">
        <v>2</v>
      </c>
      <c r="B4" s="51" t="s">
        <v>126</v>
      </c>
      <c r="C4" s="146">
        <v>224</v>
      </c>
      <c r="D4" s="49" t="s">
        <v>167</v>
      </c>
      <c r="E4" s="50">
        <v>888.20000000000027</v>
      </c>
      <c r="F4" s="51" t="s">
        <v>126</v>
      </c>
      <c r="G4" s="63">
        <v>9.0879464285714278</v>
      </c>
      <c r="H4" s="51" t="s">
        <v>167</v>
      </c>
      <c r="I4" s="63">
        <v>1.6369971368366834</v>
      </c>
      <c r="J4" s="51" t="s">
        <v>126</v>
      </c>
      <c r="K4" s="52">
        <v>1.7723214285714286</v>
      </c>
      <c r="L4" s="51" t="s">
        <v>202</v>
      </c>
      <c r="M4" s="53">
        <v>0.5</v>
      </c>
      <c r="N4" s="51" t="s">
        <v>126</v>
      </c>
      <c r="O4" s="53">
        <v>0.24107142857142858</v>
      </c>
      <c r="P4" s="51" t="s">
        <v>126</v>
      </c>
      <c r="Q4" s="54">
        <v>0.33814874264312467</v>
      </c>
      <c r="R4" s="51" t="s">
        <v>126</v>
      </c>
      <c r="S4" s="54">
        <v>0.12573568753344033</v>
      </c>
      <c r="T4" s="51" t="s">
        <v>282</v>
      </c>
      <c r="U4" s="55">
        <v>9534.6153846153848</v>
      </c>
      <c r="V4" s="51" t="s">
        <v>194</v>
      </c>
      <c r="W4" s="55">
        <v>-7577.5862068965516</v>
      </c>
      <c r="X4" s="51" t="s">
        <v>126</v>
      </c>
      <c r="Y4" s="53">
        <v>4.9107142857142856E-2</v>
      </c>
      <c r="Z4" s="51" t="s">
        <v>281</v>
      </c>
      <c r="AA4" s="54">
        <v>0.375</v>
      </c>
      <c r="AB4" s="51" t="s">
        <v>202</v>
      </c>
      <c r="AC4" s="54">
        <v>0.33333333333333331</v>
      </c>
      <c r="AD4" s="51" t="s">
        <v>126</v>
      </c>
      <c r="AE4" s="54">
        <v>0.58097165991902833</v>
      </c>
      <c r="AF4" s="51" t="s">
        <v>275</v>
      </c>
      <c r="AG4" s="54">
        <v>0.65</v>
      </c>
      <c r="AH4" s="51" t="s">
        <v>275</v>
      </c>
      <c r="AI4" s="54">
        <v>0.53703703703703709</v>
      </c>
      <c r="AJ4" s="51" t="s">
        <v>141</v>
      </c>
      <c r="AK4" s="58">
        <v>149100</v>
      </c>
    </row>
    <row r="5" spans="1:37" x14ac:dyDescent="0.45">
      <c r="A5" s="48">
        <v>3</v>
      </c>
      <c r="B5" s="51" t="s">
        <v>127</v>
      </c>
      <c r="C5" s="146">
        <v>192</v>
      </c>
      <c r="D5" s="49" t="s">
        <v>202</v>
      </c>
      <c r="E5" s="50">
        <v>26.2</v>
      </c>
      <c r="F5" s="51" t="s">
        <v>167</v>
      </c>
      <c r="G5" s="63">
        <v>5.3185628742514988</v>
      </c>
      <c r="H5" s="51" t="s">
        <v>126</v>
      </c>
      <c r="I5" s="63">
        <v>1.4164387464387396</v>
      </c>
      <c r="J5" s="51" t="s">
        <v>167</v>
      </c>
      <c r="K5" s="52">
        <v>1.9101796407185629</v>
      </c>
      <c r="L5" s="51" t="s">
        <v>126</v>
      </c>
      <c r="M5" s="53">
        <v>0.46875</v>
      </c>
      <c r="N5" s="51" t="s">
        <v>168</v>
      </c>
      <c r="O5" s="53">
        <v>0.30409356725146197</v>
      </c>
      <c r="P5" s="51" t="s">
        <v>282</v>
      </c>
      <c r="Q5" s="54">
        <v>0.33333333333333331</v>
      </c>
      <c r="R5" s="51" t="s">
        <v>168</v>
      </c>
      <c r="S5" s="54">
        <v>0.13698630136986301</v>
      </c>
      <c r="T5" s="51" t="s">
        <v>281</v>
      </c>
      <c r="U5" s="55">
        <v>8512.5</v>
      </c>
      <c r="V5" s="51" t="s">
        <v>126</v>
      </c>
      <c r="W5" s="55">
        <v>-7581.2765957446809</v>
      </c>
      <c r="X5" s="51" t="s">
        <v>169</v>
      </c>
      <c r="Y5" s="53">
        <v>7.2072072072072071E-2</v>
      </c>
      <c r="Z5" s="51" t="s">
        <v>275</v>
      </c>
      <c r="AA5" s="54">
        <v>0.3493975903614458</v>
      </c>
      <c r="AB5" s="51" t="s">
        <v>127</v>
      </c>
      <c r="AC5" s="54">
        <v>0.30162703379224032</v>
      </c>
      <c r="AD5" s="51" t="s">
        <v>168</v>
      </c>
      <c r="AE5" s="54">
        <v>0.54913294797687862</v>
      </c>
      <c r="AF5" s="51" t="s">
        <v>126</v>
      </c>
      <c r="AG5" s="54">
        <v>0.47427293064876958</v>
      </c>
      <c r="AH5" s="51" t="s">
        <v>167</v>
      </c>
      <c r="AI5" s="54">
        <v>0.51047120418848169</v>
      </c>
      <c r="AJ5" s="51" t="s">
        <v>167</v>
      </c>
      <c r="AK5" s="58">
        <v>122100</v>
      </c>
    </row>
    <row r="6" spans="1:37" x14ac:dyDescent="0.45">
      <c r="A6" s="48">
        <v>4</v>
      </c>
      <c r="B6" s="51" t="s">
        <v>168</v>
      </c>
      <c r="C6" s="146">
        <v>171</v>
      </c>
      <c r="D6" s="49" t="s">
        <v>282</v>
      </c>
      <c r="E6" s="50">
        <v>9.2999999999999972</v>
      </c>
      <c r="F6" s="51" t="s">
        <v>282</v>
      </c>
      <c r="G6" s="63">
        <v>0.92999999999999972</v>
      </c>
      <c r="H6" s="51" t="s">
        <v>168</v>
      </c>
      <c r="I6" s="63">
        <v>1.3809222999222992</v>
      </c>
      <c r="J6" s="51" t="s">
        <v>127</v>
      </c>
      <c r="K6" s="52">
        <v>1.984375</v>
      </c>
      <c r="L6" s="51" t="s">
        <v>201</v>
      </c>
      <c r="M6" s="53">
        <v>0.42857142857142855</v>
      </c>
      <c r="N6" s="51" t="s">
        <v>167</v>
      </c>
      <c r="O6" s="53">
        <v>0.31736526946107785</v>
      </c>
      <c r="P6" s="51" t="s">
        <v>275</v>
      </c>
      <c r="Q6" s="54">
        <v>0.3253012048192771</v>
      </c>
      <c r="R6" s="51" t="s">
        <v>141</v>
      </c>
      <c r="S6" s="54">
        <v>0.15843489416292494</v>
      </c>
      <c r="T6" s="51" t="s">
        <v>168</v>
      </c>
      <c r="U6" s="55">
        <v>8472.0316622691298</v>
      </c>
      <c r="V6" s="51" t="s">
        <v>158</v>
      </c>
      <c r="W6" s="55">
        <v>-7711.0294117647063</v>
      </c>
      <c r="X6" s="51" t="s">
        <v>168</v>
      </c>
      <c r="Y6" s="53">
        <v>8.1871345029239762E-2</v>
      </c>
      <c r="Z6" s="51" t="s">
        <v>167</v>
      </c>
      <c r="AA6" s="54">
        <v>0.29948491537895511</v>
      </c>
      <c r="AB6" s="51" t="s">
        <v>158</v>
      </c>
      <c r="AC6" s="54">
        <v>0.2617924528301887</v>
      </c>
      <c r="AD6" s="51" t="s">
        <v>167</v>
      </c>
      <c r="AE6" s="54">
        <v>0.54791154791154795</v>
      </c>
      <c r="AF6" s="51" t="s">
        <v>168</v>
      </c>
      <c r="AG6" s="54">
        <v>0.4217252396166134</v>
      </c>
      <c r="AH6" s="51" t="s">
        <v>169</v>
      </c>
      <c r="AI6" s="54">
        <v>0.4765625</v>
      </c>
      <c r="AJ6" s="51" t="s">
        <v>168</v>
      </c>
      <c r="AK6" s="58">
        <v>101400</v>
      </c>
    </row>
    <row r="7" spans="1:37" x14ac:dyDescent="0.45">
      <c r="A7" s="48">
        <v>5</v>
      </c>
      <c r="B7" s="51" t="s">
        <v>167</v>
      </c>
      <c r="C7" s="146">
        <v>167</v>
      </c>
      <c r="D7" s="49" t="s">
        <v>141</v>
      </c>
      <c r="E7" s="50">
        <v>-9.2370555648813024E-14</v>
      </c>
      <c r="F7" s="51" t="s">
        <v>141</v>
      </c>
      <c r="G7" s="63">
        <v>-8.254741344844774E-17</v>
      </c>
      <c r="H7" s="51" t="s">
        <v>282</v>
      </c>
      <c r="I7" s="63">
        <v>0.61999999999999977</v>
      </c>
      <c r="J7" s="51" t="s">
        <v>282</v>
      </c>
      <c r="K7" s="52">
        <v>2</v>
      </c>
      <c r="L7" s="51" t="s">
        <v>167</v>
      </c>
      <c r="M7" s="53">
        <v>0.40718562874251496</v>
      </c>
      <c r="N7" s="51" t="s">
        <v>127</v>
      </c>
      <c r="O7" s="53">
        <v>0.31770833333333331</v>
      </c>
      <c r="P7" s="51" t="s">
        <v>127</v>
      </c>
      <c r="Q7" s="54">
        <v>0.31727158948685857</v>
      </c>
      <c r="R7" s="51" t="s">
        <v>158</v>
      </c>
      <c r="S7" s="54">
        <v>0.16037735849056603</v>
      </c>
      <c r="T7" s="51" t="s">
        <v>141</v>
      </c>
      <c r="U7" s="55">
        <v>8442.4817518248183</v>
      </c>
      <c r="V7" s="51" t="s">
        <v>169</v>
      </c>
      <c r="W7" s="55">
        <v>-7737.6470588235297</v>
      </c>
      <c r="X7" s="51" t="s">
        <v>158</v>
      </c>
      <c r="Y7" s="53">
        <v>9.4736842105263161E-2</v>
      </c>
      <c r="Z7" s="51" t="s">
        <v>194</v>
      </c>
      <c r="AA7" s="54">
        <v>0.28963414634146339</v>
      </c>
      <c r="AB7" s="51" t="s">
        <v>126</v>
      </c>
      <c r="AC7" s="54">
        <v>0.2391653290529695</v>
      </c>
      <c r="AD7" s="51" t="s">
        <v>141</v>
      </c>
      <c r="AE7" s="54">
        <v>0.54700854700854706</v>
      </c>
      <c r="AF7" s="51" t="s">
        <v>141</v>
      </c>
      <c r="AG7" s="54">
        <v>0.41751152073732717</v>
      </c>
      <c r="AH7" s="51" t="s">
        <v>195</v>
      </c>
      <c r="AI7" s="54">
        <v>0.47169811320754718</v>
      </c>
      <c r="AJ7" s="51" t="s">
        <v>194</v>
      </c>
      <c r="AK7" s="58">
        <v>95200</v>
      </c>
    </row>
    <row r="8" spans="1:37" x14ac:dyDescent="0.45">
      <c r="A8" s="48">
        <v>6</v>
      </c>
      <c r="B8" s="51" t="s">
        <v>169</v>
      </c>
      <c r="C8" s="146">
        <v>111</v>
      </c>
      <c r="D8" s="49" t="s">
        <v>127</v>
      </c>
      <c r="E8" s="50">
        <v>-59.500000000000213</v>
      </c>
      <c r="F8" s="51" t="s">
        <v>127</v>
      </c>
      <c r="G8" s="63">
        <v>-0.30989583333333443</v>
      </c>
      <c r="H8" s="51" t="s">
        <v>141</v>
      </c>
      <c r="I8" s="63">
        <v>0</v>
      </c>
      <c r="J8" s="51" t="s">
        <v>141</v>
      </c>
      <c r="K8" s="52">
        <v>2</v>
      </c>
      <c r="L8" s="51" t="s">
        <v>127</v>
      </c>
      <c r="M8" s="53">
        <v>0.33333333333333331</v>
      </c>
      <c r="N8" s="51" t="s">
        <v>141</v>
      </c>
      <c r="O8" s="53">
        <v>0.33333333333333331</v>
      </c>
      <c r="P8" s="51" t="s">
        <v>141</v>
      </c>
      <c r="Q8" s="54">
        <v>0.29292281376951035</v>
      </c>
      <c r="R8" s="51" t="s">
        <v>275</v>
      </c>
      <c r="S8" s="54">
        <v>0.16867469879518071</v>
      </c>
      <c r="T8" s="51" t="s">
        <v>195</v>
      </c>
      <c r="U8" s="55">
        <v>8428.9308176100621</v>
      </c>
      <c r="V8" s="51" t="s">
        <v>141</v>
      </c>
      <c r="W8" s="55">
        <v>-7890.2159244264503</v>
      </c>
      <c r="X8" s="51" t="s">
        <v>127</v>
      </c>
      <c r="Y8" s="53">
        <v>9.8958333333333329E-2</v>
      </c>
      <c r="Z8" s="51" t="s">
        <v>169</v>
      </c>
      <c r="AA8" s="54">
        <v>0.2716823406478579</v>
      </c>
      <c r="AB8" s="51" t="s">
        <v>141</v>
      </c>
      <c r="AC8" s="54">
        <v>0.23198631601453923</v>
      </c>
      <c r="AD8" s="51" t="s">
        <v>169</v>
      </c>
      <c r="AE8" s="54">
        <v>0.5461538461538461</v>
      </c>
      <c r="AF8" s="51" t="s">
        <v>195</v>
      </c>
      <c r="AG8" s="54">
        <v>0.40540540540540543</v>
      </c>
      <c r="AH8" s="51" t="s">
        <v>282</v>
      </c>
      <c r="AI8" s="54">
        <v>0.46153846153846156</v>
      </c>
      <c r="AJ8" s="51" t="s">
        <v>127</v>
      </c>
      <c r="AK8" s="58">
        <v>91800</v>
      </c>
    </row>
    <row r="9" spans="1:37" x14ac:dyDescent="0.45">
      <c r="A9" s="48">
        <v>7</v>
      </c>
      <c r="B9" s="51" t="s">
        <v>158</v>
      </c>
      <c r="C9" s="146">
        <v>95</v>
      </c>
      <c r="D9" s="49" t="s">
        <v>281</v>
      </c>
      <c r="E9" s="50">
        <v>-80.800000000000011</v>
      </c>
      <c r="F9" s="51" t="s">
        <v>168</v>
      </c>
      <c r="G9" s="63">
        <v>-0.47660818713450281</v>
      </c>
      <c r="H9" s="51" t="s">
        <v>127</v>
      </c>
      <c r="I9" s="63">
        <v>-0.86155314615446577</v>
      </c>
      <c r="J9" s="51" t="s">
        <v>168</v>
      </c>
      <c r="K9" s="52">
        <v>2.0467836257309941</v>
      </c>
      <c r="L9" s="51" t="s">
        <v>194</v>
      </c>
      <c r="M9" s="53">
        <v>0.33333333333333331</v>
      </c>
      <c r="N9" s="51" t="s">
        <v>169</v>
      </c>
      <c r="O9" s="53">
        <v>0.38738738738738737</v>
      </c>
      <c r="P9" s="51" t="s">
        <v>167</v>
      </c>
      <c r="Q9" s="54">
        <v>0.28108903605592345</v>
      </c>
      <c r="R9" s="51" t="s">
        <v>167</v>
      </c>
      <c r="S9" s="54">
        <v>0.1714495952906549</v>
      </c>
      <c r="T9" s="51" t="s">
        <v>126</v>
      </c>
      <c r="U9" s="55">
        <v>8328.0063291139249</v>
      </c>
      <c r="V9" s="51" t="s">
        <v>281</v>
      </c>
      <c r="W9" s="55">
        <v>-7987.5</v>
      </c>
      <c r="X9" s="51" t="s">
        <v>141</v>
      </c>
      <c r="Y9" s="53">
        <v>0.10098302055406613</v>
      </c>
      <c r="Z9" s="51" t="s">
        <v>202</v>
      </c>
      <c r="AA9" s="54">
        <v>0.26666666666666666</v>
      </c>
      <c r="AB9" s="51" t="s">
        <v>195</v>
      </c>
      <c r="AC9" s="54">
        <v>0.22874806800618239</v>
      </c>
      <c r="AD9" s="51" t="s">
        <v>194</v>
      </c>
      <c r="AE9" s="54">
        <v>0.5368421052631579</v>
      </c>
      <c r="AF9" s="51" t="s">
        <v>127</v>
      </c>
      <c r="AG9" s="54">
        <v>0.40248962655601661</v>
      </c>
      <c r="AH9" s="51" t="s">
        <v>168</v>
      </c>
      <c r="AI9" s="54">
        <v>0.45646437994722955</v>
      </c>
      <c r="AJ9" s="51" t="s">
        <v>169</v>
      </c>
      <c r="AK9" s="58">
        <v>87900</v>
      </c>
    </row>
    <row r="10" spans="1:37" x14ac:dyDescent="0.45">
      <c r="A10" s="48">
        <v>8</v>
      </c>
      <c r="B10" s="51" t="s">
        <v>195</v>
      </c>
      <c r="C10" s="146">
        <v>79</v>
      </c>
      <c r="D10" s="49" t="s">
        <v>168</v>
      </c>
      <c r="E10" s="50">
        <v>-81.499999999999986</v>
      </c>
      <c r="F10" s="51" t="s">
        <v>169</v>
      </c>
      <c r="G10" s="63">
        <v>-5.7585585585585592</v>
      </c>
      <c r="H10" s="51" t="s">
        <v>195</v>
      </c>
      <c r="I10" s="63">
        <v>-1.2560011883541335</v>
      </c>
      <c r="J10" s="51" t="s">
        <v>194</v>
      </c>
      <c r="K10" s="52">
        <v>2.0833333333333335</v>
      </c>
      <c r="L10" s="51" t="s">
        <v>141</v>
      </c>
      <c r="M10" s="53">
        <v>0.33333333333333331</v>
      </c>
      <c r="N10" s="51" t="s">
        <v>281</v>
      </c>
      <c r="O10" s="53">
        <v>0.4</v>
      </c>
      <c r="P10" s="51" t="s">
        <v>158</v>
      </c>
      <c r="Q10" s="54">
        <v>0.27476415094339623</v>
      </c>
      <c r="R10" s="51" t="s">
        <v>127</v>
      </c>
      <c r="S10" s="54">
        <v>0.17209011264080101</v>
      </c>
      <c r="T10" s="51" t="s">
        <v>194</v>
      </c>
      <c r="U10" s="55">
        <v>8052.4390243902435</v>
      </c>
      <c r="V10" s="51" t="s">
        <v>202</v>
      </c>
      <c r="W10" s="55">
        <v>-8000</v>
      </c>
      <c r="X10" s="51" t="s">
        <v>167</v>
      </c>
      <c r="Y10" s="53">
        <v>0.11976047904191617</v>
      </c>
      <c r="Z10" s="51" t="s">
        <v>126</v>
      </c>
      <c r="AA10" s="54">
        <v>0.26431246655965757</v>
      </c>
      <c r="AB10" s="51" t="s">
        <v>168</v>
      </c>
      <c r="AC10" s="54">
        <v>0.22566690699351116</v>
      </c>
      <c r="AD10" s="51" t="s">
        <v>275</v>
      </c>
      <c r="AE10" s="54">
        <v>0.53448275862068961</v>
      </c>
      <c r="AF10" s="51" t="s">
        <v>158</v>
      </c>
      <c r="AG10" s="54">
        <v>0.3963963963963964</v>
      </c>
      <c r="AH10" s="51" t="s">
        <v>141</v>
      </c>
      <c r="AI10" s="54">
        <v>0.45364963503649636</v>
      </c>
      <c r="AJ10" s="51" t="s">
        <v>158</v>
      </c>
      <c r="AK10" s="58">
        <v>87400</v>
      </c>
    </row>
    <row r="11" spans="1:37" x14ac:dyDescent="0.45">
      <c r="A11" s="48">
        <v>9</v>
      </c>
      <c r="B11" s="51" t="s">
        <v>194</v>
      </c>
      <c r="C11" s="146">
        <v>36</v>
      </c>
      <c r="D11" s="49" t="s">
        <v>201</v>
      </c>
      <c r="E11" s="50">
        <v>-104.80000000000001</v>
      </c>
      <c r="F11" s="51" t="s">
        <v>275</v>
      </c>
      <c r="G11" s="63">
        <v>-6.7949999999999999</v>
      </c>
      <c r="H11" s="51" t="s">
        <v>275</v>
      </c>
      <c r="I11" s="63">
        <v>-1.3540740740740727</v>
      </c>
      <c r="J11" s="51" t="s">
        <v>201</v>
      </c>
      <c r="K11" s="52">
        <v>2.1428571428571428</v>
      </c>
      <c r="L11" s="51" t="s">
        <v>275</v>
      </c>
      <c r="M11" s="53">
        <v>0.3</v>
      </c>
      <c r="N11" s="51" t="s">
        <v>194</v>
      </c>
      <c r="O11" s="53">
        <v>0.41666666666666669</v>
      </c>
      <c r="P11" s="51" t="s">
        <v>168</v>
      </c>
      <c r="Q11" s="54">
        <v>0.27325162220620042</v>
      </c>
      <c r="R11" s="51" t="s">
        <v>194</v>
      </c>
      <c r="S11" s="54">
        <v>0.17682926829268292</v>
      </c>
      <c r="T11" s="51" t="s">
        <v>169</v>
      </c>
      <c r="U11" s="55">
        <v>8038.28125</v>
      </c>
      <c r="V11" s="51" t="s">
        <v>127</v>
      </c>
      <c r="W11" s="55">
        <v>-8028.727272727273</v>
      </c>
      <c r="X11" s="51" t="s">
        <v>195</v>
      </c>
      <c r="Y11" s="53">
        <v>0.17721518987341772</v>
      </c>
      <c r="Z11" s="51" t="s">
        <v>141</v>
      </c>
      <c r="AA11" s="54">
        <v>0.25016035920461832</v>
      </c>
      <c r="AB11" s="51" t="s">
        <v>169</v>
      </c>
      <c r="AC11" s="54">
        <v>0.19540229885057472</v>
      </c>
      <c r="AD11" s="51" t="s">
        <v>201</v>
      </c>
      <c r="AE11" s="54">
        <v>0.53333333333333333</v>
      </c>
      <c r="AF11" s="51" t="s">
        <v>169</v>
      </c>
      <c r="AG11" s="54">
        <v>0.39572192513368987</v>
      </c>
      <c r="AH11" s="51" t="s">
        <v>158</v>
      </c>
      <c r="AI11" s="54">
        <v>0.42918454935622319</v>
      </c>
      <c r="AJ11" s="51" t="s">
        <v>195</v>
      </c>
      <c r="AK11" s="58">
        <v>85100</v>
      </c>
    </row>
    <row r="12" spans="1:37" x14ac:dyDescent="0.45">
      <c r="A12" s="48">
        <v>10</v>
      </c>
      <c r="B12" s="51" t="s">
        <v>275</v>
      </c>
      <c r="C12" s="146">
        <v>20</v>
      </c>
      <c r="D12" s="49" t="s">
        <v>275</v>
      </c>
      <c r="E12" s="50">
        <v>-135.9</v>
      </c>
      <c r="F12" s="51" t="s">
        <v>194</v>
      </c>
      <c r="G12" s="63">
        <v>-7.1638888888888879</v>
      </c>
      <c r="H12" s="51" t="s">
        <v>169</v>
      </c>
      <c r="I12" s="63">
        <v>-1.595449675426984</v>
      </c>
      <c r="J12" s="51" t="s">
        <v>169</v>
      </c>
      <c r="K12" s="52">
        <v>2.144144144144144</v>
      </c>
      <c r="L12" s="51" t="s">
        <v>158</v>
      </c>
      <c r="M12" s="53">
        <v>0.26315789473684209</v>
      </c>
      <c r="N12" s="51" t="s">
        <v>195</v>
      </c>
      <c r="O12" s="53">
        <v>0.43037974683544306</v>
      </c>
      <c r="P12" s="51" t="s">
        <v>169</v>
      </c>
      <c r="Q12" s="54">
        <v>0.26750261233019856</v>
      </c>
      <c r="R12" s="51" t="s">
        <v>169</v>
      </c>
      <c r="S12" s="54">
        <v>0.17763845350052246</v>
      </c>
      <c r="T12" s="51" t="s">
        <v>127</v>
      </c>
      <c r="U12" s="55">
        <v>7755.6213017751479</v>
      </c>
      <c r="V12" s="51" t="s">
        <v>167</v>
      </c>
      <c r="W12" s="55">
        <v>-8243.3476394849786</v>
      </c>
      <c r="X12" s="51" t="s">
        <v>194</v>
      </c>
      <c r="Y12" s="53">
        <v>0.19444444444444445</v>
      </c>
      <c r="Z12" s="51" t="s">
        <v>168</v>
      </c>
      <c r="AA12" s="54">
        <v>0.24945926459985579</v>
      </c>
      <c r="AB12" s="51" t="s">
        <v>167</v>
      </c>
      <c r="AC12" s="54">
        <v>0.188373804267844</v>
      </c>
      <c r="AD12" s="51" t="s">
        <v>158</v>
      </c>
      <c r="AE12" s="54">
        <v>0.532258064516129</v>
      </c>
      <c r="AF12" s="51" t="s">
        <v>167</v>
      </c>
      <c r="AG12" s="54">
        <v>0.390625</v>
      </c>
      <c r="AH12" s="51" t="s">
        <v>126</v>
      </c>
      <c r="AI12" s="54">
        <v>0.42563291139240506</v>
      </c>
      <c r="AJ12" s="51" t="s">
        <v>282</v>
      </c>
      <c r="AK12" s="58">
        <v>70900</v>
      </c>
    </row>
    <row r="13" spans="1:37" x14ac:dyDescent="0.45">
      <c r="A13" s="48">
        <v>11</v>
      </c>
      <c r="B13" s="51" t="s">
        <v>282</v>
      </c>
      <c r="C13" s="146">
        <v>10</v>
      </c>
      <c r="D13" s="49" t="s">
        <v>194</v>
      </c>
      <c r="E13" s="50">
        <v>-257.89999999999998</v>
      </c>
      <c r="F13" s="51" t="s">
        <v>158</v>
      </c>
      <c r="G13" s="63">
        <v>-7.4000000000000021</v>
      </c>
      <c r="H13" s="51" t="s">
        <v>158</v>
      </c>
      <c r="I13" s="63">
        <v>-1.898745164003363</v>
      </c>
      <c r="J13" s="51" t="s">
        <v>275</v>
      </c>
      <c r="K13" s="52">
        <v>2.15</v>
      </c>
      <c r="L13" s="51" t="s">
        <v>168</v>
      </c>
      <c r="M13" s="53">
        <v>0.25730994152046782</v>
      </c>
      <c r="N13" s="51" t="s">
        <v>158</v>
      </c>
      <c r="O13" s="53">
        <v>0.43157894736842106</v>
      </c>
      <c r="P13" s="51" t="s">
        <v>194</v>
      </c>
      <c r="Q13" s="54">
        <v>0.25</v>
      </c>
      <c r="R13" s="51" t="s">
        <v>195</v>
      </c>
      <c r="S13" s="54">
        <v>0.18083462132921174</v>
      </c>
      <c r="T13" s="51" t="s">
        <v>201</v>
      </c>
      <c r="U13" s="55">
        <v>7473.333333333333</v>
      </c>
      <c r="V13" s="51" t="s">
        <v>275</v>
      </c>
      <c r="W13" s="55">
        <v>-8507.1428571428569</v>
      </c>
      <c r="X13" s="51" t="s">
        <v>275</v>
      </c>
      <c r="Y13" s="53">
        <v>0.2</v>
      </c>
      <c r="Z13" s="51" t="s">
        <v>201</v>
      </c>
      <c r="AA13" s="54">
        <v>0.24193548387096775</v>
      </c>
      <c r="AB13" s="51" t="s">
        <v>282</v>
      </c>
      <c r="AC13" s="54">
        <v>0.16666666666666666</v>
      </c>
      <c r="AD13" s="51" t="s">
        <v>195</v>
      </c>
      <c r="AE13" s="54">
        <v>0.51851851851851849</v>
      </c>
      <c r="AF13" s="51" t="s">
        <v>282</v>
      </c>
      <c r="AG13" s="54">
        <v>0.38461538461538464</v>
      </c>
      <c r="AH13" s="51" t="s">
        <v>127</v>
      </c>
      <c r="AI13" s="54">
        <v>0.41420118343195267</v>
      </c>
      <c r="AJ13" s="51" t="s">
        <v>275</v>
      </c>
      <c r="AK13" s="58">
        <v>65900</v>
      </c>
    </row>
    <row r="14" spans="1:37" x14ac:dyDescent="0.45">
      <c r="A14" s="48">
        <v>12</v>
      </c>
      <c r="B14" s="51" t="s">
        <v>201</v>
      </c>
      <c r="C14" s="146">
        <v>7</v>
      </c>
      <c r="D14" s="49" t="s">
        <v>169</v>
      </c>
      <c r="E14" s="50">
        <v>-639.20000000000005</v>
      </c>
      <c r="F14" s="51" t="s">
        <v>195</v>
      </c>
      <c r="G14" s="63">
        <v>-11.351898734177217</v>
      </c>
      <c r="H14" s="51" t="s">
        <v>194</v>
      </c>
      <c r="I14" s="63">
        <v>-3.963333333333336</v>
      </c>
      <c r="J14" s="51" t="s">
        <v>158</v>
      </c>
      <c r="K14" s="52">
        <v>2.168421052631579</v>
      </c>
      <c r="L14" s="51" t="s">
        <v>169</v>
      </c>
      <c r="M14" s="53">
        <v>0.24324324324324326</v>
      </c>
      <c r="N14" s="51" t="s">
        <v>275</v>
      </c>
      <c r="O14" s="53">
        <v>0.45</v>
      </c>
      <c r="P14" s="51" t="s">
        <v>195</v>
      </c>
      <c r="Q14" s="54">
        <v>0.24574961360123648</v>
      </c>
      <c r="R14" s="51" t="s">
        <v>201</v>
      </c>
      <c r="S14" s="54">
        <v>0.19354838709677419</v>
      </c>
      <c r="T14" s="51" t="s">
        <v>202</v>
      </c>
      <c r="U14" s="55">
        <v>7385.7142857142853</v>
      </c>
      <c r="V14" s="51" t="s">
        <v>195</v>
      </c>
      <c r="W14" s="55">
        <v>-8517.0940170940175</v>
      </c>
      <c r="X14" s="51" t="s">
        <v>282</v>
      </c>
      <c r="Y14" s="53">
        <v>0.2</v>
      </c>
      <c r="Z14" s="51" t="s">
        <v>127</v>
      </c>
      <c r="AA14" s="54">
        <v>0.22340425531914893</v>
      </c>
      <c r="AB14" s="51" t="s">
        <v>281</v>
      </c>
      <c r="AC14" s="54">
        <v>0.15</v>
      </c>
      <c r="AD14" s="51" t="s">
        <v>127</v>
      </c>
      <c r="AE14" s="54">
        <v>0.51820728291316531</v>
      </c>
      <c r="AF14" s="51" t="s">
        <v>281</v>
      </c>
      <c r="AG14" s="54">
        <v>0.33333333333333331</v>
      </c>
      <c r="AH14" s="51" t="s">
        <v>201</v>
      </c>
      <c r="AI14" s="54">
        <v>0.33333333333333331</v>
      </c>
      <c r="AJ14" s="51" t="s">
        <v>201</v>
      </c>
      <c r="AK14" s="58">
        <v>59500</v>
      </c>
    </row>
    <row r="15" spans="1:37" x14ac:dyDescent="0.45">
      <c r="A15" s="48">
        <v>13</v>
      </c>
      <c r="B15" s="51" t="s">
        <v>281</v>
      </c>
      <c r="C15" s="146">
        <v>5</v>
      </c>
      <c r="D15" s="49" t="s">
        <v>158</v>
      </c>
      <c r="E15" s="50">
        <v>-703.00000000000023</v>
      </c>
      <c r="F15" s="51" t="s">
        <v>201</v>
      </c>
      <c r="G15" s="63">
        <v>-14.971428571428573</v>
      </c>
      <c r="H15" s="51" t="s">
        <v>201</v>
      </c>
      <c r="I15" s="63">
        <v>-6.4861111111111098</v>
      </c>
      <c r="J15" s="51" t="s">
        <v>281</v>
      </c>
      <c r="K15" s="52">
        <v>2.2000000000000002</v>
      </c>
      <c r="L15" s="51" t="s">
        <v>281</v>
      </c>
      <c r="M15" s="53">
        <v>0.2</v>
      </c>
      <c r="N15" s="51" t="s">
        <v>282</v>
      </c>
      <c r="O15" s="53">
        <v>0.5</v>
      </c>
      <c r="P15" s="51" t="s">
        <v>201</v>
      </c>
      <c r="Q15" s="54">
        <v>0.24193548387096775</v>
      </c>
      <c r="R15" s="51" t="s">
        <v>281</v>
      </c>
      <c r="S15" s="54">
        <v>0.2</v>
      </c>
      <c r="T15" s="51" t="s">
        <v>158</v>
      </c>
      <c r="U15" s="55">
        <v>6991.4163090128759</v>
      </c>
      <c r="V15" s="51" t="s">
        <v>201</v>
      </c>
      <c r="W15" s="55">
        <v>-9075</v>
      </c>
      <c r="X15" s="51" t="s">
        <v>281</v>
      </c>
      <c r="Y15" s="53">
        <v>0.2</v>
      </c>
      <c r="Z15" s="51" t="s">
        <v>195</v>
      </c>
      <c r="AA15" s="54">
        <v>0.20865533230293662</v>
      </c>
      <c r="AB15" s="51" t="s">
        <v>194</v>
      </c>
      <c r="AC15" s="54">
        <v>0.14939024390243902</v>
      </c>
      <c r="AD15" s="51" t="s">
        <v>202</v>
      </c>
      <c r="AE15" s="54">
        <v>0.5</v>
      </c>
      <c r="AF15" s="51" t="s">
        <v>194</v>
      </c>
      <c r="AG15" s="54">
        <v>0.30612244897959184</v>
      </c>
      <c r="AH15" s="51" t="s">
        <v>202</v>
      </c>
      <c r="AI15" s="54">
        <v>0.2857142857142857</v>
      </c>
      <c r="AJ15" s="51" t="s">
        <v>202</v>
      </c>
      <c r="AK15" s="58">
        <v>52800</v>
      </c>
    </row>
    <row r="16" spans="1:37" x14ac:dyDescent="0.45">
      <c r="A16" s="48">
        <v>14</v>
      </c>
      <c r="B16" s="51" t="s">
        <v>202</v>
      </c>
      <c r="C16" s="146">
        <v>2</v>
      </c>
      <c r="D16" s="49" t="s">
        <v>195</v>
      </c>
      <c r="E16" s="50">
        <v>-896.80000000000018</v>
      </c>
      <c r="F16" s="51" t="s">
        <v>281</v>
      </c>
      <c r="G16" s="63">
        <v>-16.160000000000004</v>
      </c>
      <c r="H16" s="51" t="s">
        <v>281</v>
      </c>
      <c r="I16" s="63">
        <v>-8.9666666666666668</v>
      </c>
      <c r="J16" s="51" t="s">
        <v>195</v>
      </c>
      <c r="K16" s="52">
        <v>2.278481012658228</v>
      </c>
      <c r="L16" s="51" t="s">
        <v>195</v>
      </c>
      <c r="M16" s="53">
        <v>0.15189873417721519</v>
      </c>
      <c r="N16" s="51" t="s">
        <v>201</v>
      </c>
      <c r="O16" s="53">
        <v>0.5714285714285714</v>
      </c>
      <c r="P16" s="51" t="s">
        <v>281</v>
      </c>
      <c r="Q16" s="54">
        <v>0.2</v>
      </c>
      <c r="R16" s="51" t="s">
        <v>282</v>
      </c>
      <c r="S16" s="54">
        <v>0.24358974358974358</v>
      </c>
      <c r="T16" s="51" t="s">
        <v>275</v>
      </c>
      <c r="U16" s="55">
        <v>6648.1481481481478</v>
      </c>
      <c r="V16" s="51" t="s">
        <v>282</v>
      </c>
      <c r="W16" s="55">
        <v>-10010.526315789473</v>
      </c>
      <c r="X16" s="51" t="s">
        <v>201</v>
      </c>
      <c r="Y16" s="53">
        <v>0.5714285714285714</v>
      </c>
      <c r="Z16" s="51" t="s">
        <v>158</v>
      </c>
      <c r="AA16" s="54">
        <v>0.14622641509433962</v>
      </c>
      <c r="AB16" s="51" t="s">
        <v>275</v>
      </c>
      <c r="AC16" s="54">
        <v>0.12048192771084337</v>
      </c>
      <c r="AD16" s="51" t="s">
        <v>281</v>
      </c>
      <c r="AE16" s="54">
        <v>0.4</v>
      </c>
      <c r="AF16" s="51" t="s">
        <v>201</v>
      </c>
      <c r="AG16" s="54">
        <v>0.27272727272727271</v>
      </c>
      <c r="AH16" s="51" t="s">
        <v>281</v>
      </c>
      <c r="AI16" s="54">
        <v>0.25</v>
      </c>
      <c r="AJ16" s="51" t="s">
        <v>281</v>
      </c>
      <c r="AK16" s="58">
        <v>52000</v>
      </c>
    </row>
  </sheetData>
  <sortState xmlns:xlrd2="http://schemas.microsoft.com/office/spreadsheetml/2017/richdata2" ref="AJ3:AK48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386E-D2C3-413E-B9FC-136BA5FA4653}">
  <sheetPr codeName="Sheet4"/>
  <dimension ref="A1:Q112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141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1119</v>
      </c>
      <c r="C2" s="130"/>
      <c r="E2" s="28" t="s">
        <v>66</v>
      </c>
      <c r="F2" s="25" t="s">
        <v>22</v>
      </c>
      <c r="G2" s="13">
        <v>2052</v>
      </c>
      <c r="H2" s="91">
        <f>IF(B$19=0,0,G2/B$19)</f>
        <v>0.74890510948905109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-28.751123090745732</v>
      </c>
      <c r="P2" s="80">
        <v>1113</v>
      </c>
      <c r="Q2" s="67">
        <v>-32000</v>
      </c>
    </row>
    <row r="3" spans="1:17" x14ac:dyDescent="0.45">
      <c r="A3" s="21" t="s">
        <v>8</v>
      </c>
      <c r="B3" s="131">
        <v>9354</v>
      </c>
      <c r="C3" s="132"/>
      <c r="E3" s="29" t="s">
        <v>72</v>
      </c>
      <c r="F3" s="26" t="s">
        <v>27</v>
      </c>
      <c r="G3" s="14">
        <v>1484</v>
      </c>
      <c r="H3" s="92">
        <f>IF(B$19=0,0,G3/B$19)</f>
        <v>0.54160583941605844</v>
      </c>
      <c r="I3" s="60">
        <v>6</v>
      </c>
      <c r="K3" s="7">
        <v>1</v>
      </c>
      <c r="L3" s="65">
        <v>-4.5999999999999996</v>
      </c>
      <c r="N3" s="78" t="s">
        <v>131</v>
      </c>
      <c r="O3" s="84">
        <f t="shared" si="0"/>
        <v>8.2191780821917817</v>
      </c>
      <c r="P3" s="81">
        <v>1095</v>
      </c>
      <c r="Q3" s="68">
        <v>9000</v>
      </c>
    </row>
    <row r="4" spans="1:17" x14ac:dyDescent="0.45">
      <c r="A4" s="21" t="s">
        <v>6</v>
      </c>
      <c r="B4" s="133">
        <v>-9.2370555648813024E-14</v>
      </c>
      <c r="C4" s="134"/>
      <c r="E4" s="29" t="s">
        <v>64</v>
      </c>
      <c r="F4" s="26" t="s">
        <v>20</v>
      </c>
      <c r="G4" s="14">
        <v>1240</v>
      </c>
      <c r="H4" s="92">
        <f>IF(B$19=0,0,G4/B$19)</f>
        <v>0.45255474452554745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-0.97465886939571145</v>
      </c>
      <c r="P4" s="81">
        <v>1026</v>
      </c>
      <c r="Q4" s="68">
        <v>-1000</v>
      </c>
    </row>
    <row r="5" spans="1:17" x14ac:dyDescent="0.45">
      <c r="A5" s="21" t="s">
        <v>7</v>
      </c>
      <c r="B5" s="121">
        <f>IF(B$2=0,0,B$4/B$2)</f>
        <v>-8.254741344844774E-17</v>
      </c>
      <c r="C5" s="122"/>
      <c r="E5" s="29" t="s">
        <v>163</v>
      </c>
      <c r="F5" s="26" t="s">
        <v>164</v>
      </c>
      <c r="G5" s="14">
        <v>1080</v>
      </c>
      <c r="H5" s="92">
        <f>IF(B$19=0,0,G5/B$19)</f>
        <v>0.39416058394160586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-1.0416666666666667</v>
      </c>
      <c r="P5" s="81">
        <v>960</v>
      </c>
      <c r="Q5" s="68">
        <v>-1000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861</v>
      </c>
      <c r="H6" s="92">
        <f>IF(B$19=0,0,G6/B$19)</f>
        <v>0.31423357664233575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5.6689342403628116</v>
      </c>
      <c r="P6" s="81">
        <v>882</v>
      </c>
      <c r="Q6" s="68">
        <v>5000</v>
      </c>
    </row>
    <row r="7" spans="1:17" x14ac:dyDescent="0.45">
      <c r="A7" s="21" t="s">
        <v>2</v>
      </c>
      <c r="B7" s="14">
        <v>373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747</v>
      </c>
      <c r="H7" s="92">
        <f>IF(B$19=0,0,G7/B$19)</f>
        <v>0.27262773722627737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25.85034013605442</v>
      </c>
      <c r="P7" s="82">
        <v>735</v>
      </c>
      <c r="Q7" s="69">
        <v>19000</v>
      </c>
    </row>
    <row r="8" spans="1:17" x14ac:dyDescent="0.45">
      <c r="A8" s="21" t="s">
        <v>3</v>
      </c>
      <c r="B8" s="14">
        <v>373</v>
      </c>
      <c r="C8" s="8">
        <f t="shared" si="1"/>
        <v>0.33333333333333331</v>
      </c>
      <c r="E8" s="29" t="s">
        <v>89</v>
      </c>
      <c r="F8" s="26" t="s">
        <v>44</v>
      </c>
      <c r="G8" s="14">
        <v>388</v>
      </c>
      <c r="H8" s="92">
        <f>IF(B$19=0,0,G8/B$19)</f>
        <v>0.14160583941605839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373</v>
      </c>
      <c r="C9" s="9">
        <f t="shared" si="1"/>
        <v>0.33333333333333331</v>
      </c>
      <c r="E9" s="29" t="s">
        <v>69</v>
      </c>
      <c r="F9" s="26" t="s">
        <v>24</v>
      </c>
      <c r="G9" s="14">
        <v>385</v>
      </c>
      <c r="H9" s="92">
        <f>IF(B$19=0,0,G9/B$19)</f>
        <v>0.14051094890510948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35.321447721179631</v>
      </c>
      <c r="C10" s="114">
        <v>13174.900000000001</v>
      </c>
      <c r="E10" s="29" t="s">
        <v>65</v>
      </c>
      <c r="F10" s="26" t="s">
        <v>21</v>
      </c>
      <c r="G10" s="14">
        <v>278</v>
      </c>
      <c r="H10" s="92">
        <f>IF(B$19=0,0,G10/B$19)</f>
        <v>0.10145985401459855</v>
      </c>
      <c r="I10" s="60">
        <v>9</v>
      </c>
      <c r="K10" s="7">
        <v>8</v>
      </c>
      <c r="L10" s="65">
        <v>-46.9</v>
      </c>
      <c r="N10" s="77" t="s">
        <v>154</v>
      </c>
      <c r="O10" s="86">
        <f>IF(P10=0,0,Q10/P10)</f>
        <v>-4.4600536193029496</v>
      </c>
      <c r="P10" s="80">
        <v>373</v>
      </c>
      <c r="Q10" s="71">
        <v>-1663.6000000000001</v>
      </c>
    </row>
    <row r="11" spans="1:17" x14ac:dyDescent="0.45">
      <c r="A11" s="22" t="s">
        <v>204</v>
      </c>
      <c r="B11" s="113">
        <f>IF(B8=0,0,C11/B8)</f>
        <v>6.1662198391418312E-3</v>
      </c>
      <c r="C11" s="114">
        <v>2.299999999999903</v>
      </c>
      <c r="E11" s="29" t="s">
        <v>70</v>
      </c>
      <c r="F11" s="26" t="s">
        <v>25</v>
      </c>
      <c r="G11" s="14">
        <v>258</v>
      </c>
      <c r="H11" s="92">
        <f>IF(B$19=0,0,G11/B$19)</f>
        <v>9.4160583941605841E-2</v>
      </c>
      <c r="I11" s="60">
        <v>9</v>
      </c>
      <c r="K11" s="7">
        <v>9</v>
      </c>
      <c r="L11" s="65">
        <v>0</v>
      </c>
      <c r="N11" s="78" t="s">
        <v>155</v>
      </c>
      <c r="O11" s="87">
        <f>IF(P11=0,0,Q11/P11)</f>
        <v>2.3702412868632701</v>
      </c>
      <c r="P11" s="81">
        <v>373</v>
      </c>
      <c r="Q11" s="72">
        <v>884.0999999999998</v>
      </c>
    </row>
    <row r="12" spans="1:17" x14ac:dyDescent="0.45">
      <c r="A12" s="22" t="s">
        <v>205</v>
      </c>
      <c r="B12" s="113">
        <f>IF(B9=0,0,C12/B9)</f>
        <v>-35.327613941018811</v>
      </c>
      <c r="C12" s="114">
        <v>-13177.200000000015</v>
      </c>
      <c r="E12" s="29" t="s">
        <v>71</v>
      </c>
      <c r="F12" s="26" t="s">
        <v>26</v>
      </c>
      <c r="G12" s="14">
        <v>223</v>
      </c>
      <c r="H12" s="92">
        <f>IF(B$19=0,0,G12/B$19)</f>
        <v>8.1386861313868616E-2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2.0898123324396769</v>
      </c>
      <c r="P12" s="82">
        <v>373</v>
      </c>
      <c r="Q12" s="73">
        <v>779.49999999999943</v>
      </c>
    </row>
    <row r="13" spans="1:17" x14ac:dyDescent="0.45">
      <c r="A13" s="22" t="s">
        <v>206</v>
      </c>
      <c r="B13" s="121">
        <f>AVERAGE(B10:B12)</f>
        <v>0</v>
      </c>
      <c r="C13" s="122"/>
      <c r="E13" s="29" t="s">
        <v>83</v>
      </c>
      <c r="F13" s="26" t="s">
        <v>38</v>
      </c>
      <c r="G13" s="14">
        <v>137</v>
      </c>
      <c r="H13" s="92">
        <f>IF(B$19=0,0,G13/B$19)</f>
        <v>0.05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113</v>
      </c>
      <c r="C14" s="11">
        <f t="shared" si="1"/>
        <v>0.10098302055406613</v>
      </c>
      <c r="E14" s="29" t="s">
        <v>86</v>
      </c>
      <c r="F14" s="26" t="s">
        <v>41</v>
      </c>
      <c r="G14" s="14">
        <v>130</v>
      </c>
      <c r="H14" s="92">
        <f>IF(B$19=0,0,G14/B$19)</f>
        <v>4.7445255474452552E-2</v>
      </c>
      <c r="I14" s="60">
        <v>7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2340</v>
      </c>
      <c r="C15" s="12">
        <f>IF(B$3=0,0,B15/B$3)</f>
        <v>0.25016035920461832</v>
      </c>
      <c r="E15" s="29" t="s">
        <v>78</v>
      </c>
      <c r="F15" s="26" t="s">
        <v>33</v>
      </c>
      <c r="G15" s="14">
        <v>76</v>
      </c>
      <c r="H15" s="92">
        <f>IF(B$19=0,0,G15/B$19)</f>
        <v>2.7737226277372264E-2</v>
      </c>
      <c r="I15" s="60">
        <v>6</v>
      </c>
      <c r="K15" s="7">
        <v>13</v>
      </c>
      <c r="L15" s="65">
        <v>-1.7</v>
      </c>
      <c r="N15" s="77" t="s">
        <v>281</v>
      </c>
      <c r="O15" s="86">
        <f t="shared" ref="O15:O26" si="2"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2170</v>
      </c>
      <c r="C16" s="8">
        <f>IF(B$3=0,0,B16/B$3)</f>
        <v>0.23198631601453923</v>
      </c>
      <c r="E16" s="29" t="s">
        <v>81</v>
      </c>
      <c r="F16" s="26" t="s">
        <v>36</v>
      </c>
      <c r="G16" s="14">
        <v>63</v>
      </c>
      <c r="H16" s="92">
        <f>IF(B$19=0,0,G16/B$19)</f>
        <v>2.2992700729927006E-2</v>
      </c>
      <c r="I16" s="60">
        <v>6</v>
      </c>
      <c r="K16" s="7">
        <v>14</v>
      </c>
      <c r="L16" s="65">
        <v>24.3</v>
      </c>
      <c r="N16" s="78" t="s">
        <v>201</v>
      </c>
      <c r="O16" s="87">
        <f t="shared" si="2"/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1280</v>
      </c>
      <c r="C17" s="6">
        <f>IF(B$15=0,0,B17/B$15)</f>
        <v>0.54700854700854706</v>
      </c>
      <c r="E17" s="29" t="s">
        <v>159</v>
      </c>
      <c r="F17" s="26" t="s">
        <v>160</v>
      </c>
      <c r="G17" s="14">
        <v>56</v>
      </c>
      <c r="H17" s="92">
        <f>IF(B$19=0,0,G17/B$19)</f>
        <v>2.0437956204379562E-2</v>
      </c>
      <c r="I17" s="60">
        <v>4</v>
      </c>
      <c r="K17" s="7">
        <v>15</v>
      </c>
      <c r="L17" s="65">
        <v>0</v>
      </c>
      <c r="N17" s="78" t="s">
        <v>195</v>
      </c>
      <c r="O17" s="87">
        <f t="shared" si="2"/>
        <v>17.0278481012658</v>
      </c>
      <c r="P17" s="81">
        <v>158</v>
      </c>
      <c r="Q17" s="72">
        <v>2690.3999999999965</v>
      </c>
    </row>
    <row r="18" spans="1:17" x14ac:dyDescent="0.45">
      <c r="A18" s="20" t="s">
        <v>124</v>
      </c>
      <c r="B18" s="13">
        <f>B24</f>
        <v>906</v>
      </c>
      <c r="C18" s="6">
        <f>IF(B$16=0,0,B18/B$16)</f>
        <v>0.41751152073732717</v>
      </c>
      <c r="E18" s="29" t="s">
        <v>91</v>
      </c>
      <c r="F18" s="26" t="s">
        <v>46</v>
      </c>
      <c r="G18" s="14">
        <v>45</v>
      </c>
      <c r="H18" s="92">
        <f>IF(B$19=0,0,G18/B$19)</f>
        <v>1.6423357664233577E-2</v>
      </c>
      <c r="I18" s="60">
        <v>6</v>
      </c>
      <c r="K18" s="7">
        <v>16</v>
      </c>
      <c r="L18" s="65">
        <v>-28.2</v>
      </c>
      <c r="N18" s="78" t="s">
        <v>194</v>
      </c>
      <c r="O18" s="87">
        <f t="shared" si="2"/>
        <v>10.745833333333335</v>
      </c>
      <c r="P18" s="81">
        <v>72</v>
      </c>
      <c r="Q18" s="72">
        <v>773.70000000000016</v>
      </c>
    </row>
    <row r="19" spans="1:17" x14ac:dyDescent="0.45">
      <c r="A19" s="20" t="s">
        <v>10</v>
      </c>
      <c r="B19" s="13">
        <f>B22+B21</f>
        <v>2740</v>
      </c>
      <c r="C19" s="6">
        <f>IF(B$3=0,0,B19/B$3)</f>
        <v>0.29292281376951035</v>
      </c>
      <c r="E19" s="29" t="s">
        <v>79</v>
      </c>
      <c r="F19" s="26" t="s">
        <v>34</v>
      </c>
      <c r="G19" s="14">
        <v>37</v>
      </c>
      <c r="H19" s="92">
        <f>IF(B$19=0,0,G19/B$19)</f>
        <v>1.3503649635036497E-2</v>
      </c>
      <c r="I19" s="60">
        <v>7</v>
      </c>
      <c r="K19" s="7">
        <v>17</v>
      </c>
      <c r="L19" s="65">
        <v>-20.5</v>
      </c>
      <c r="N19" s="78" t="s">
        <v>275</v>
      </c>
      <c r="O19" s="87">
        <f t="shared" si="2"/>
        <v>10.192499999999997</v>
      </c>
      <c r="P19" s="81">
        <v>40</v>
      </c>
      <c r="Q19" s="72">
        <v>407.69999999999987</v>
      </c>
    </row>
    <row r="20" spans="1:17" x14ac:dyDescent="0.45">
      <c r="A20" s="21" t="s">
        <v>13</v>
      </c>
      <c r="B20" s="14">
        <v>1482</v>
      </c>
      <c r="C20" s="8">
        <f>IF(B$3=0,0,B20/B$3)</f>
        <v>0.15843489416292494</v>
      </c>
      <c r="E20" s="29" t="s">
        <v>75</v>
      </c>
      <c r="F20" s="26" t="s">
        <v>30</v>
      </c>
      <c r="G20" s="14">
        <v>20</v>
      </c>
      <c r="H20" s="92">
        <f>IF(B$19=0,0,G20/B$19)</f>
        <v>7.2992700729927005E-3</v>
      </c>
      <c r="I20" s="60">
        <v>7</v>
      </c>
      <c r="K20" s="7">
        <v>18</v>
      </c>
      <c r="L20" s="65">
        <v>0</v>
      </c>
      <c r="N20" s="78" t="s">
        <v>158</v>
      </c>
      <c r="O20" s="87">
        <f t="shared" si="2"/>
        <v>9.9099999999999948</v>
      </c>
      <c r="P20" s="81">
        <v>210</v>
      </c>
      <c r="Q20" s="72">
        <v>2081.099999999999</v>
      </c>
    </row>
    <row r="21" spans="1:17" x14ac:dyDescent="0.45">
      <c r="A21" s="21" t="s">
        <v>12</v>
      </c>
      <c r="B21" s="14">
        <v>1243</v>
      </c>
      <c r="C21" s="8">
        <f>IF(B$19=0,0,B21/B$19)</f>
        <v>0.45364963503649636</v>
      </c>
      <c r="E21" s="29" t="s">
        <v>92</v>
      </c>
      <c r="F21" s="26" t="s">
        <v>47</v>
      </c>
      <c r="G21" s="14">
        <v>20</v>
      </c>
      <c r="H21" s="92">
        <f>IF(B$19=0,0,G21/B$19)</f>
        <v>7.2992700729927005E-3</v>
      </c>
      <c r="I21" s="60">
        <v>4</v>
      </c>
      <c r="K21" s="7">
        <v>19</v>
      </c>
      <c r="L21" s="65">
        <v>-22.4</v>
      </c>
      <c r="N21" s="78" t="s">
        <v>169</v>
      </c>
      <c r="O21" s="87">
        <f t="shared" si="2"/>
        <v>8.6378378378378322</v>
      </c>
      <c r="P21" s="81">
        <v>222</v>
      </c>
      <c r="Q21" s="72">
        <v>1917.5999999999988</v>
      </c>
    </row>
    <row r="22" spans="1:17" x14ac:dyDescent="0.45">
      <c r="A22" s="21" t="s">
        <v>11</v>
      </c>
      <c r="B22" s="14">
        <v>1497</v>
      </c>
      <c r="C22" s="8">
        <f>IF(B$19=0,0,B22/B$19)</f>
        <v>0.54635036496350364</v>
      </c>
      <c r="E22" s="29" t="s">
        <v>85</v>
      </c>
      <c r="F22" s="26" t="s">
        <v>40</v>
      </c>
      <c r="G22" s="14">
        <v>16</v>
      </c>
      <c r="H22" s="92">
        <f>IF(B$19=0,0,G22/B$19)</f>
        <v>5.8394160583941602E-3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 t="shared" si="2"/>
        <v>0.71491228070175428</v>
      </c>
      <c r="P22" s="81">
        <v>342</v>
      </c>
      <c r="Q22" s="72">
        <v>244.49999999999997</v>
      </c>
    </row>
    <row r="23" spans="1:17" x14ac:dyDescent="0.45">
      <c r="A23" s="21" t="s">
        <v>192</v>
      </c>
      <c r="B23" s="14">
        <v>1280</v>
      </c>
      <c r="C23" s="8">
        <f>IF(B$19=0,0,B23/B$19)</f>
        <v>0.46715328467153283</v>
      </c>
      <c r="E23" s="29" t="s">
        <v>73</v>
      </c>
      <c r="F23" s="26" t="s">
        <v>28</v>
      </c>
      <c r="G23" s="14">
        <v>10</v>
      </c>
      <c r="H23" s="92">
        <f>IF(B$19=0,0,G23/B$19)</f>
        <v>3.6496350364963502E-3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 t="shared" si="2"/>
        <v>0.46484374999999706</v>
      </c>
      <c r="P23" s="81">
        <v>384</v>
      </c>
      <c r="Q23" s="72">
        <v>178.49999999999886</v>
      </c>
    </row>
    <row r="24" spans="1:17" x14ac:dyDescent="0.45">
      <c r="A24" s="21" t="s">
        <v>190</v>
      </c>
      <c r="B24" s="14">
        <v>906</v>
      </c>
      <c r="C24" s="8">
        <f>IF(B$19=0,0,B24/B$19)</f>
        <v>0.33065693430656934</v>
      </c>
      <c r="E24" s="29" t="s">
        <v>74</v>
      </c>
      <c r="F24" s="26" t="s">
        <v>29</v>
      </c>
      <c r="G24" s="14">
        <v>8</v>
      </c>
      <c r="H24" s="92">
        <f>IF(B$19=0,0,G24/B$19)</f>
        <v>2.9197080291970801E-3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 t="shared" si="2"/>
        <v>-7.9778443113772441</v>
      </c>
      <c r="P24" s="81">
        <v>334</v>
      </c>
      <c r="Q24" s="72">
        <v>-2664.5999999999995</v>
      </c>
    </row>
    <row r="25" spans="1:17" x14ac:dyDescent="0.45">
      <c r="A25" s="21" t="s">
        <v>191</v>
      </c>
      <c r="B25" s="14">
        <v>554</v>
      </c>
      <c r="C25" s="8">
        <f>IF(B$19=0,0,B25/B$19)</f>
        <v>0.2021897810218978</v>
      </c>
      <c r="E25" s="29" t="s">
        <v>84</v>
      </c>
      <c r="F25" s="26" t="s">
        <v>39</v>
      </c>
      <c r="G25" s="14">
        <v>8</v>
      </c>
      <c r="H25" s="92">
        <f>IF(B$19=0,0,G25/B$19)</f>
        <v>2.9197080291970801E-3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 t="shared" si="2"/>
        <v>-13.631919642857142</v>
      </c>
      <c r="P25" s="81">
        <v>448</v>
      </c>
      <c r="Q25" s="72">
        <v>-6107.0999999999995</v>
      </c>
    </row>
    <row r="26" spans="1:17" x14ac:dyDescent="0.45">
      <c r="A26" s="21" t="s">
        <v>5</v>
      </c>
      <c r="B26" s="18">
        <f>IF(B$19=0,0,C26/B$19)</f>
        <v>8442.4817518248183</v>
      </c>
      <c r="C26" s="10">
        <v>23132400</v>
      </c>
      <c r="E26" s="29" t="s">
        <v>77</v>
      </c>
      <c r="F26" s="26" t="s">
        <v>32</v>
      </c>
      <c r="G26" s="14">
        <v>7</v>
      </c>
      <c r="H26" s="92">
        <f>IF(B$19=0,0,G26/B$19)</f>
        <v>2.5547445255474453E-3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 t="shared" si="2"/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9130.7524536532164</v>
      </c>
      <c r="C27" s="100">
        <v>16745800</v>
      </c>
      <c r="E27" s="29" t="s">
        <v>88</v>
      </c>
      <c r="F27" s="26" t="s">
        <v>43</v>
      </c>
      <c r="G27" s="14">
        <v>7</v>
      </c>
      <c r="H27" s="92">
        <f>IF(B$19=0,0,G27/B$19)</f>
        <v>2.5547445255474453E-3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7049.2273730684328</v>
      </c>
      <c r="C28" s="100">
        <v>6386600</v>
      </c>
      <c r="E28" s="29" t="s">
        <v>87</v>
      </c>
      <c r="F28" s="26" t="s">
        <v>42</v>
      </c>
      <c r="G28" s="14">
        <v>5</v>
      </c>
      <c r="H28" s="92">
        <f>IF(B$19=0,0,G28/B$19)</f>
        <v>1.8248175182481751E-3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-7890.2159244264503</v>
      </c>
      <c r="C29" s="100">
        <v>-11693300</v>
      </c>
      <c r="E29" s="29" t="s">
        <v>90</v>
      </c>
      <c r="F29" s="26" t="s">
        <v>45</v>
      </c>
      <c r="G29" s="14">
        <v>5</v>
      </c>
      <c r="H29" s="92">
        <f>IF(B$19=0,0,G29/B$19)</f>
        <v>1.8248175182481751E-3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1.8248175182481751E-3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33</v>
      </c>
      <c r="C31" s="94">
        <v>0</v>
      </c>
      <c r="E31" s="29" t="s">
        <v>93</v>
      </c>
      <c r="F31" s="26" t="s">
        <v>48</v>
      </c>
      <c r="G31" s="14">
        <v>4</v>
      </c>
      <c r="H31" s="92">
        <f>IF(B$19=0,0,G31/B$19)</f>
        <v>1.4598540145985401E-3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1</v>
      </c>
      <c r="H32" s="92">
        <f>IF(B$19=0,0,G32/B$19)</f>
        <v>3.6496350364963501E-4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5">
        <v>149100</v>
      </c>
      <c r="C33" s="126"/>
      <c r="E33" s="29" t="s">
        <v>97</v>
      </c>
      <c r="F33" s="26" t="s">
        <v>52</v>
      </c>
      <c r="G33" s="14">
        <v>1</v>
      </c>
      <c r="H33" s="92">
        <f>IF(B$19=0,0,G33/B$19)</f>
        <v>3.6496350364963501E-4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28</v>
      </c>
      <c r="C34" s="11">
        <f>IF(B$3=0,0,B34/B$3)</f>
        <v>2.9933718195424416E-3</v>
      </c>
      <c r="E34" s="29" t="s">
        <v>101</v>
      </c>
      <c r="F34" s="26" t="s">
        <v>56</v>
      </c>
      <c r="G34" s="14">
        <v>1</v>
      </c>
      <c r="H34" s="92">
        <f>IF(B$19=0,0,G34/B$19)</f>
        <v>3.6496350364963501E-4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3.6496350364963501E-4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213</v>
      </c>
      <c r="C36" s="102">
        <f t="shared" ref="C36:C48" si="3">IF(B$19=0,0,B36/B$19)</f>
        <v>7.7737226277372257E-2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467</v>
      </c>
      <c r="C37" s="8">
        <f t="shared" si="3"/>
        <v>0.17043795620437957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530</v>
      </c>
      <c r="C38" s="8">
        <f t="shared" si="3"/>
        <v>0.19343065693430658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497</v>
      </c>
      <c r="C39" s="8">
        <f t="shared" si="3"/>
        <v>0.18138686131386861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431</v>
      </c>
      <c r="C40" s="8">
        <f t="shared" si="3"/>
        <v>0.15729927007299271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283</v>
      </c>
      <c r="C41" s="8">
        <f t="shared" si="3"/>
        <v>0.10328467153284672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138</v>
      </c>
      <c r="C42" s="8">
        <f t="shared" si="3"/>
        <v>5.0364963503649635E-2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79</v>
      </c>
      <c r="C43" s="8">
        <f t="shared" si="3"/>
        <v>2.8832116788321167E-2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36</v>
      </c>
      <c r="C44" s="8">
        <f t="shared" si="3"/>
        <v>1.3138686131386862E-2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3"/>
        <v>5.1094890510948905E-3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11</v>
      </c>
      <c r="C46" s="8">
        <f t="shared" si="3"/>
        <v>4.0145985401459855E-3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3"/>
        <v>2.1897810218978104E-3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35</v>
      </c>
      <c r="C48" s="11">
        <f t="shared" si="3"/>
        <v>1.2773722627737226E-2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  <row r="1101" spans="11:12" x14ac:dyDescent="0.45">
      <c r="K1101" s="7">
        <v>1099</v>
      </c>
      <c r="L1101" s="65">
        <v>-19.700000000000088</v>
      </c>
    </row>
    <row r="1102" spans="11:12" x14ac:dyDescent="0.45">
      <c r="K1102" s="7">
        <v>1100</v>
      </c>
      <c r="L1102" s="65">
        <v>9.4999999999999112</v>
      </c>
    </row>
    <row r="1103" spans="11:12" x14ac:dyDescent="0.45">
      <c r="K1103" s="7">
        <v>1101</v>
      </c>
      <c r="L1103" s="65">
        <v>-8.8817841970012523E-14</v>
      </c>
    </row>
    <row r="1104" spans="11:12" x14ac:dyDescent="0.45">
      <c r="K1104" s="7">
        <v>1102</v>
      </c>
      <c r="L1104" s="65">
        <v>-46.400000000000091</v>
      </c>
    </row>
    <row r="1105" spans="11:12" x14ac:dyDescent="0.45">
      <c r="K1105" s="7">
        <v>1103</v>
      </c>
      <c r="L1105" s="65">
        <v>-54.200000000000088</v>
      </c>
    </row>
    <row r="1106" spans="11:12" x14ac:dyDescent="0.45">
      <c r="K1106" s="7">
        <v>1104</v>
      </c>
      <c r="L1106" s="65">
        <v>-8.5265128291212022E-14</v>
      </c>
    </row>
    <row r="1107" spans="11:12" x14ac:dyDescent="0.45">
      <c r="K1107" s="7">
        <v>1105</v>
      </c>
      <c r="L1107" s="65">
        <v>-16.500000000000085</v>
      </c>
    </row>
    <row r="1108" spans="11:12" x14ac:dyDescent="0.45">
      <c r="K1108" s="7">
        <v>1106</v>
      </c>
      <c r="L1108" s="65">
        <v>55.799999999999912</v>
      </c>
    </row>
    <row r="1109" spans="11:12" x14ac:dyDescent="0.45">
      <c r="K1109" s="7">
        <v>1107</v>
      </c>
      <c r="L1109" s="65">
        <v>-8.5265128291212022E-14</v>
      </c>
    </row>
    <row r="1110" spans="11:12" x14ac:dyDescent="0.45">
      <c r="K1110" s="7">
        <v>1108</v>
      </c>
      <c r="L1110" s="65">
        <v>-70.900000000000091</v>
      </c>
    </row>
    <row r="1111" spans="11:12" x14ac:dyDescent="0.45">
      <c r="K1111" s="7">
        <v>1109</v>
      </c>
      <c r="L1111" s="65">
        <v>-8.0000000000000924</v>
      </c>
    </row>
    <row r="1112" spans="11:12" x14ac:dyDescent="0.45">
      <c r="K1112" s="7">
        <v>1110</v>
      </c>
      <c r="L1112" s="65">
        <v>-9.2370555648813024E-14</v>
      </c>
    </row>
    <row r="1113" spans="11:12" x14ac:dyDescent="0.45">
      <c r="K1113" s="7">
        <v>1111</v>
      </c>
      <c r="L1113" s="65">
        <v>32.999999999999908</v>
      </c>
    </row>
    <row r="1114" spans="11:12" x14ac:dyDescent="0.45">
      <c r="K1114" s="7">
        <v>1112</v>
      </c>
      <c r="L1114" s="65">
        <v>7.3999999999999062</v>
      </c>
    </row>
    <row r="1115" spans="11:12" x14ac:dyDescent="0.45">
      <c r="K1115" s="7">
        <v>1113</v>
      </c>
      <c r="L1115" s="65">
        <v>-9.4146912488213275E-14</v>
      </c>
    </row>
    <row r="1116" spans="11:12" x14ac:dyDescent="0.45">
      <c r="K1116" s="7">
        <v>1114</v>
      </c>
      <c r="L1116" s="65">
        <v>-56.200000000000095</v>
      </c>
    </row>
    <row r="1117" spans="11:12" x14ac:dyDescent="0.45">
      <c r="K1117" s="7">
        <v>1115</v>
      </c>
      <c r="L1117" s="65">
        <v>-12.400000000000098</v>
      </c>
    </row>
    <row r="1118" spans="11:12" x14ac:dyDescent="0.45">
      <c r="K1118" s="7">
        <v>1116</v>
      </c>
      <c r="L1118" s="65">
        <v>-9.7699626167013776E-14</v>
      </c>
    </row>
    <row r="1119" spans="11:12" x14ac:dyDescent="0.45">
      <c r="K1119" s="7">
        <v>1117</v>
      </c>
      <c r="L1119" s="65">
        <v>25.599999999999902</v>
      </c>
    </row>
    <row r="1120" spans="11:12" x14ac:dyDescent="0.45">
      <c r="K1120" s="7">
        <v>1118</v>
      </c>
      <c r="L1120" s="65">
        <v>33.899999999999906</v>
      </c>
    </row>
    <row r="1121" spans="11:12" x14ac:dyDescent="0.45">
      <c r="K1121" s="7">
        <v>1119</v>
      </c>
      <c r="L1121" s="65">
        <v>-9.2370555648813024E-14</v>
      </c>
    </row>
  </sheetData>
  <sortState xmlns:xlrd2="http://schemas.microsoft.com/office/spreadsheetml/2017/richdata2" ref="E2:I112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31B7-0EEF-4D75-A282-9296B6673B10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158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95</v>
      </c>
      <c r="C2" s="130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1">
        <v>848</v>
      </c>
      <c r="C3" s="132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3">
        <v>-703.00000000000023</v>
      </c>
      <c r="C4" s="134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1">
        <f>IF(B$2=0,0,B$4/B$2)</f>
        <v>-7.4000000000000021</v>
      </c>
      <c r="C5" s="122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5">
        <f>IF(B$2=0,0,(B$7*1+B$8*2+B$9*3)/B$2)</f>
        <v>2.168421052631579</v>
      </c>
      <c r="C6" s="136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1">
        <f>AVERAGE(B10:B12)</f>
        <v>-1.898745164003363</v>
      </c>
      <c r="C13" s="122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 t="shared" si="2"/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 t="shared" si="2"/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3">
        <v>6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5">
        <v>87400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3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3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3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3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AEEA-6BA8-4F21-9AD8-F1F951CDA52D}">
  <sheetPr codeName="Sheet9"/>
  <dimension ref="A1:Q22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126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224</v>
      </c>
      <c r="C2" s="130"/>
      <c r="E2" s="28" t="s">
        <v>66</v>
      </c>
      <c r="F2" s="25" t="s">
        <v>22</v>
      </c>
      <c r="G2" s="13">
        <v>445</v>
      </c>
      <c r="H2" s="91">
        <f>IF(B$19=0,0,G2/B$19)</f>
        <v>0.70411392405063289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1217.9372197309417</v>
      </c>
      <c r="P2" s="80">
        <v>223</v>
      </c>
      <c r="Q2" s="67">
        <v>271600</v>
      </c>
    </row>
    <row r="3" spans="1:17" x14ac:dyDescent="0.45">
      <c r="A3" s="21" t="s">
        <v>8</v>
      </c>
      <c r="B3" s="131">
        <v>1869</v>
      </c>
      <c r="C3" s="132"/>
      <c r="E3" s="29" t="s">
        <v>72</v>
      </c>
      <c r="F3" s="26" t="s">
        <v>27</v>
      </c>
      <c r="G3" s="14">
        <v>339</v>
      </c>
      <c r="H3" s="92">
        <f>IF(B$19=0,0,G3/B$19)</f>
        <v>0.53639240506329111</v>
      </c>
      <c r="I3" s="60">
        <v>8</v>
      </c>
      <c r="K3" s="7">
        <v>1</v>
      </c>
      <c r="L3" s="65">
        <v>50.2</v>
      </c>
      <c r="N3" s="78" t="s">
        <v>131</v>
      </c>
      <c r="O3" s="84">
        <f t="shared" si="0"/>
        <v>1644.5454545454545</v>
      </c>
      <c r="P3" s="81">
        <v>220</v>
      </c>
      <c r="Q3" s="68">
        <v>361800</v>
      </c>
    </row>
    <row r="4" spans="1:17" x14ac:dyDescent="0.45">
      <c r="A4" s="21" t="s">
        <v>6</v>
      </c>
      <c r="B4" s="133">
        <v>2035.6999999999998</v>
      </c>
      <c r="C4" s="134"/>
      <c r="E4" s="29" t="s">
        <v>64</v>
      </c>
      <c r="F4" s="26" t="s">
        <v>20</v>
      </c>
      <c r="G4" s="14">
        <v>273</v>
      </c>
      <c r="H4" s="92">
        <f>IF(B$19=0,0,G4/B$19)</f>
        <v>0.43196202531645572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1322.1698113207547</v>
      </c>
      <c r="P4" s="81">
        <v>212</v>
      </c>
      <c r="Q4" s="68">
        <v>280300</v>
      </c>
    </row>
    <row r="5" spans="1:17" x14ac:dyDescent="0.45">
      <c r="A5" s="21" t="s">
        <v>7</v>
      </c>
      <c r="B5" s="121">
        <f>IF(B$2=0,0,B$4/B$2)</f>
        <v>9.0879464285714278</v>
      </c>
      <c r="C5" s="122"/>
      <c r="E5" s="29" t="s">
        <v>163</v>
      </c>
      <c r="F5" s="26" t="s">
        <v>164</v>
      </c>
      <c r="G5" s="14">
        <v>241</v>
      </c>
      <c r="H5" s="92">
        <f>IF(B$19=0,0,G5/B$19)</f>
        <v>0.38132911392405061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272.72727272727275</v>
      </c>
      <c r="P5" s="81">
        <v>198</v>
      </c>
      <c r="Q5" s="68">
        <v>54000</v>
      </c>
    </row>
    <row r="6" spans="1:17" x14ac:dyDescent="0.45">
      <c r="A6" s="21" t="s">
        <v>1</v>
      </c>
      <c r="B6" s="135">
        <f>IF(B$2=0,0,(B$7*1+B$8*2+B$9*3)/B$2)</f>
        <v>1.7723214285714286</v>
      </c>
      <c r="C6" s="136"/>
      <c r="E6" s="29" t="s">
        <v>68</v>
      </c>
      <c r="F6" s="26" t="s">
        <v>12</v>
      </c>
      <c r="G6" s="14">
        <v>180</v>
      </c>
      <c r="H6" s="92">
        <f>IF(B$19=0,0,G6/B$19)</f>
        <v>0.2848101265822785</v>
      </c>
      <c r="I6" s="60">
        <v>9</v>
      </c>
      <c r="K6" s="7">
        <v>4</v>
      </c>
      <c r="L6" s="65">
        <v>101.60000000000001</v>
      </c>
      <c r="N6" s="78" t="s">
        <v>134</v>
      </c>
      <c r="O6" s="84">
        <f t="shared" si="0"/>
        <v>1343.1693989071039</v>
      </c>
      <c r="P6" s="81">
        <v>183</v>
      </c>
      <c r="Q6" s="68">
        <v>245800</v>
      </c>
    </row>
    <row r="7" spans="1:17" x14ac:dyDescent="0.45">
      <c r="A7" s="21" t="s">
        <v>2</v>
      </c>
      <c r="B7" s="14">
        <v>105</v>
      </c>
      <c r="C7" s="8">
        <f t="shared" ref="C7:C14" si="1">IF(B$2=0,0,B7/B$2)</f>
        <v>0.46875</v>
      </c>
      <c r="E7" s="29" t="s">
        <v>67</v>
      </c>
      <c r="F7" s="26" t="s">
        <v>23</v>
      </c>
      <c r="G7" s="14">
        <v>153</v>
      </c>
      <c r="H7" s="92">
        <f>IF(B$19=0,0,G7/B$19)</f>
        <v>0.24208860759493672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1850.3311258278145</v>
      </c>
      <c r="P7" s="82">
        <v>151</v>
      </c>
      <c r="Q7" s="69">
        <v>279400</v>
      </c>
    </row>
    <row r="8" spans="1:17" x14ac:dyDescent="0.45">
      <c r="A8" s="21" t="s">
        <v>3</v>
      </c>
      <c r="B8" s="14">
        <v>65</v>
      </c>
      <c r="C8" s="8">
        <f t="shared" si="1"/>
        <v>0.29017857142857145</v>
      </c>
      <c r="E8" s="29" t="s">
        <v>89</v>
      </c>
      <c r="F8" s="26" t="s">
        <v>44</v>
      </c>
      <c r="G8" s="14">
        <v>96</v>
      </c>
      <c r="H8" s="92">
        <f>IF(B$19=0,0,G8/B$19)</f>
        <v>0.15189873417721519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54</v>
      </c>
      <c r="C9" s="9">
        <f t="shared" si="1"/>
        <v>0.24107142857142858</v>
      </c>
      <c r="E9" s="29" t="s">
        <v>69</v>
      </c>
      <c r="F9" s="26" t="s">
        <v>24</v>
      </c>
      <c r="G9" s="14">
        <v>78</v>
      </c>
      <c r="H9" s="92">
        <f>IF(B$19=0,0,G9/B$19)</f>
        <v>0.12341772151898735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35.213333333333324</v>
      </c>
      <c r="C10" s="114">
        <v>3697.3999999999987</v>
      </c>
      <c r="E10" s="29" t="s">
        <v>65</v>
      </c>
      <c r="F10" s="26" t="s">
        <v>21</v>
      </c>
      <c r="G10" s="14">
        <v>71</v>
      </c>
      <c r="H10" s="92">
        <f>IF(B$19=0,0,G10/B$19)</f>
        <v>0.11234177215189874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11.826153846153847</v>
      </c>
      <c r="P10" s="80">
        <v>65</v>
      </c>
      <c r="Q10" s="71">
        <v>768.7</v>
      </c>
    </row>
    <row r="11" spans="1:17" x14ac:dyDescent="0.45">
      <c r="A11" s="22" t="s">
        <v>204</v>
      </c>
      <c r="B11" s="113">
        <f>IF(B8=0,0,C11/B8)</f>
        <v>0.94153846153846177</v>
      </c>
      <c r="C11" s="114">
        <v>61.200000000000017</v>
      </c>
      <c r="E11" s="29" t="s">
        <v>71</v>
      </c>
      <c r="F11" s="26" t="s">
        <v>26</v>
      </c>
      <c r="G11" s="14">
        <v>47</v>
      </c>
      <c r="H11" s="92">
        <f>IF(B$19=0,0,G11/B$19)</f>
        <v>7.4367088607594931E-2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6.628947368421052</v>
      </c>
      <c r="P11" s="81">
        <v>76</v>
      </c>
      <c r="Q11" s="72">
        <v>503.79999999999995</v>
      </c>
    </row>
    <row r="12" spans="1:17" x14ac:dyDescent="0.45">
      <c r="A12" s="22" t="s">
        <v>205</v>
      </c>
      <c r="B12" s="113">
        <f>IF(B9=0,0,C12/B9)</f>
        <v>-31.905555555555569</v>
      </c>
      <c r="C12" s="114">
        <v>-1722.9000000000008</v>
      </c>
      <c r="E12" s="29" t="s">
        <v>70</v>
      </c>
      <c r="F12" s="26" t="s">
        <v>25</v>
      </c>
      <c r="G12" s="14">
        <v>42</v>
      </c>
      <c r="H12" s="92">
        <f>IF(B$19=0,0,G12/B$19)</f>
        <v>6.6455696202531639E-2</v>
      </c>
      <c r="I12" s="60">
        <v>13</v>
      </c>
      <c r="K12" s="7">
        <v>10</v>
      </c>
      <c r="L12" s="65">
        <v>158.19999999999999</v>
      </c>
      <c r="N12" s="79" t="s">
        <v>156</v>
      </c>
      <c r="O12" s="88">
        <f>IF(P12=0,0,Q12/P12)</f>
        <v>9.1951807228915641</v>
      </c>
      <c r="P12" s="82">
        <v>83</v>
      </c>
      <c r="Q12" s="73">
        <v>763.19999999999982</v>
      </c>
    </row>
    <row r="13" spans="1:17" x14ac:dyDescent="0.45">
      <c r="A13" s="22" t="s">
        <v>206</v>
      </c>
      <c r="B13" s="121">
        <f>AVERAGE(B10:B12)</f>
        <v>1.4164387464387396</v>
      </c>
      <c r="C13" s="122"/>
      <c r="E13" s="29" t="s">
        <v>86</v>
      </c>
      <c r="F13" s="26" t="s">
        <v>41</v>
      </c>
      <c r="G13" s="14">
        <v>40</v>
      </c>
      <c r="H13" s="92">
        <f>IF(B$19=0,0,G13/B$19)</f>
        <v>6.3291139240506333E-2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4.9107142857142856E-2</v>
      </c>
      <c r="E14" s="29" t="s">
        <v>83</v>
      </c>
      <c r="F14" s="26" t="s">
        <v>38</v>
      </c>
      <c r="G14" s="14">
        <v>33</v>
      </c>
      <c r="H14" s="92">
        <f>IF(B$19=0,0,G14/B$19)</f>
        <v>5.2215189873417722E-2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494</v>
      </c>
      <c r="C15" s="12">
        <f>IF(B$3=0,0,B15/B$3)</f>
        <v>0.26431246655965757</v>
      </c>
      <c r="E15" s="29" t="s">
        <v>78</v>
      </c>
      <c r="F15" s="26" t="s">
        <v>33</v>
      </c>
      <c r="G15" s="14">
        <v>22</v>
      </c>
      <c r="H15" s="92">
        <f>IF(B$19=0,0,G15/B$19)</f>
        <v>3.4810126582278479E-2</v>
      </c>
      <c r="I15" s="60">
        <v>5</v>
      </c>
      <c r="K15" s="7">
        <v>13</v>
      </c>
      <c r="L15" s="65">
        <v>206.39999999999998</v>
      </c>
      <c r="N15" s="77" t="s">
        <v>275</v>
      </c>
      <c r="O15" s="86">
        <f t="shared" ref="O15:O23" si="2">IF(P15=0,0,Q15/P15)</f>
        <v>52.04999999999999</v>
      </c>
      <c r="P15" s="80">
        <v>8</v>
      </c>
      <c r="Q15" s="71">
        <v>416.39999999999992</v>
      </c>
    </row>
    <row r="16" spans="1:17" x14ac:dyDescent="0.45">
      <c r="A16" s="21" t="s">
        <v>118</v>
      </c>
      <c r="B16" s="14">
        <v>447</v>
      </c>
      <c r="C16" s="8">
        <f>IF(B$3=0,0,B16/B$3)</f>
        <v>0.2391653290529695</v>
      </c>
      <c r="E16" s="29" t="s">
        <v>159</v>
      </c>
      <c r="F16" s="26" t="s">
        <v>160</v>
      </c>
      <c r="G16" s="14">
        <v>17</v>
      </c>
      <c r="H16" s="92">
        <f>IF(B$19=0,0,G16/B$19)</f>
        <v>2.6898734177215191E-2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 t="shared" si="2"/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287</v>
      </c>
      <c r="C17" s="6">
        <f>IF(B$15=0,0,B17/B$15)</f>
        <v>0.58097165991902833</v>
      </c>
      <c r="E17" s="29" t="s">
        <v>81</v>
      </c>
      <c r="F17" s="26" t="s">
        <v>36</v>
      </c>
      <c r="G17" s="14">
        <v>9</v>
      </c>
      <c r="H17" s="92">
        <f>IF(B$19=0,0,G17/B$19)</f>
        <v>1.4240506329113924E-2</v>
      </c>
      <c r="I17" s="60">
        <v>8</v>
      </c>
      <c r="K17" s="7">
        <v>15</v>
      </c>
      <c r="L17" s="65">
        <v>269.49999999999994</v>
      </c>
      <c r="N17" s="78" t="s">
        <v>195</v>
      </c>
      <c r="O17" s="87">
        <f t="shared" si="2"/>
        <v>29.696428571428584</v>
      </c>
      <c r="P17" s="81">
        <v>28</v>
      </c>
      <c r="Q17" s="72">
        <v>831.50000000000034</v>
      </c>
    </row>
    <row r="18" spans="1:17" x14ac:dyDescent="0.45">
      <c r="A18" s="20" t="s">
        <v>124</v>
      </c>
      <c r="B18" s="13">
        <f>B24</f>
        <v>212</v>
      </c>
      <c r="C18" s="6">
        <f>IF(B$16=0,0,B18/B$16)</f>
        <v>0.47427293064876958</v>
      </c>
      <c r="E18" s="29" t="s">
        <v>91</v>
      </c>
      <c r="F18" s="26" t="s">
        <v>46</v>
      </c>
      <c r="G18" s="14">
        <v>7</v>
      </c>
      <c r="H18" s="92">
        <f>IF(B$19=0,0,G18/B$19)</f>
        <v>1.1075949367088608E-2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 t="shared" si="2"/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632</v>
      </c>
      <c r="C19" s="6">
        <f>IF(B$3=0,0,B19/B$3)</f>
        <v>0.33814874264312467</v>
      </c>
      <c r="E19" s="29" t="s">
        <v>92</v>
      </c>
      <c r="F19" s="26" t="s">
        <v>47</v>
      </c>
      <c r="G19" s="14">
        <v>6</v>
      </c>
      <c r="H19" s="92">
        <f>IF(B$19=0,0,G19/B$19)</f>
        <v>9.4936708860759497E-3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 t="shared" si="2"/>
        <v>14.256521739130433</v>
      </c>
      <c r="P19" s="81">
        <v>69</v>
      </c>
      <c r="Q19" s="72">
        <v>983.69999999999982</v>
      </c>
    </row>
    <row r="20" spans="1:17" x14ac:dyDescent="0.45">
      <c r="A20" s="21" t="s">
        <v>13</v>
      </c>
      <c r="B20" s="14">
        <v>235</v>
      </c>
      <c r="C20" s="8">
        <f>IF(B$3=0,0,B20/B$3)</f>
        <v>0.12573568753344033</v>
      </c>
      <c r="E20" s="29" t="s">
        <v>75</v>
      </c>
      <c r="F20" s="26" t="s">
        <v>30</v>
      </c>
      <c r="G20" s="14">
        <v>5</v>
      </c>
      <c r="H20" s="92">
        <f>IF(B$19=0,0,G20/B$19)</f>
        <v>7.9113924050632917E-3</v>
      </c>
      <c r="I20" s="60">
        <v>6</v>
      </c>
      <c r="K20" s="7">
        <v>18</v>
      </c>
      <c r="L20" s="65">
        <v>352.39999999999992</v>
      </c>
      <c r="N20" s="78" t="s">
        <v>127</v>
      </c>
      <c r="O20" s="87">
        <f t="shared" si="2"/>
        <v>13.446875000000004</v>
      </c>
      <c r="P20" s="81">
        <v>128</v>
      </c>
      <c r="Q20" s="72">
        <v>1721.2000000000005</v>
      </c>
    </row>
    <row r="21" spans="1:17" x14ac:dyDescent="0.45">
      <c r="A21" s="21" t="s">
        <v>12</v>
      </c>
      <c r="B21" s="14">
        <v>269</v>
      </c>
      <c r="C21" s="8">
        <f>IF(B$19=0,0,B21/B$19)</f>
        <v>0.42563291139240506</v>
      </c>
      <c r="E21" s="29" t="s">
        <v>79</v>
      </c>
      <c r="F21" s="26" t="s">
        <v>34</v>
      </c>
      <c r="G21" s="14">
        <v>5</v>
      </c>
      <c r="H21" s="92">
        <f>IF(B$19=0,0,G21/B$19)</f>
        <v>7.9113924050632917E-3</v>
      </c>
      <c r="I21" s="60">
        <v>9</v>
      </c>
      <c r="K21" s="7">
        <v>19</v>
      </c>
      <c r="L21" s="65">
        <v>383.19999999999993</v>
      </c>
      <c r="N21" s="78" t="s">
        <v>168</v>
      </c>
      <c r="O21" s="87">
        <f t="shared" si="2"/>
        <v>12.305882352941182</v>
      </c>
      <c r="P21" s="81">
        <v>85</v>
      </c>
      <c r="Q21" s="72">
        <v>1046.0000000000005</v>
      </c>
    </row>
    <row r="22" spans="1:17" x14ac:dyDescent="0.45">
      <c r="A22" s="21" t="s">
        <v>11</v>
      </c>
      <c r="B22" s="14">
        <v>363</v>
      </c>
      <c r="C22" s="8">
        <f>IF(B$19=0,0,B22/B$19)</f>
        <v>0.57436708860759489</v>
      </c>
      <c r="E22" s="29" t="s">
        <v>85</v>
      </c>
      <c r="F22" s="26" t="s">
        <v>40</v>
      </c>
      <c r="G22" s="14">
        <v>4</v>
      </c>
      <c r="H22" s="92">
        <f>IF(B$19=0,0,G22/B$19)</f>
        <v>6.3291139240506328E-3</v>
      </c>
      <c r="I22" s="60">
        <v>5</v>
      </c>
      <c r="K22" s="7">
        <v>20</v>
      </c>
      <c r="L22" s="65">
        <v>365.49999999999994</v>
      </c>
      <c r="N22" s="78" t="s">
        <v>167</v>
      </c>
      <c r="O22" s="87">
        <f t="shared" si="2"/>
        <v>1.7383561643835603</v>
      </c>
      <c r="P22" s="81">
        <v>73</v>
      </c>
      <c r="Q22" s="72">
        <v>126.89999999999991</v>
      </c>
    </row>
    <row r="23" spans="1:17" x14ac:dyDescent="0.45">
      <c r="A23" s="21" t="s">
        <v>192</v>
      </c>
      <c r="B23" s="14">
        <v>287</v>
      </c>
      <c r="C23" s="8">
        <f>IF(B$19=0,0,B23/B$19)</f>
        <v>0.45411392405063289</v>
      </c>
      <c r="E23" s="29" t="s">
        <v>77</v>
      </c>
      <c r="F23" s="26" t="s">
        <v>32</v>
      </c>
      <c r="G23" s="14">
        <v>3</v>
      </c>
      <c r="H23" s="92">
        <f>IF(B$19=0,0,G23/B$19)</f>
        <v>4.7468354430379748E-3</v>
      </c>
      <c r="I23" s="60">
        <v>2</v>
      </c>
      <c r="K23" s="7">
        <v>21</v>
      </c>
      <c r="L23" s="65">
        <v>371.39999999999992</v>
      </c>
      <c r="N23" s="78" t="s">
        <v>202</v>
      </c>
      <c r="O23" s="87">
        <f t="shared" si="2"/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212</v>
      </c>
      <c r="C24" s="8">
        <f>IF(B$19=0,0,B24/B$19)</f>
        <v>0.33544303797468356</v>
      </c>
      <c r="E24" s="29" t="s">
        <v>84</v>
      </c>
      <c r="F24" s="26" t="s">
        <v>39</v>
      </c>
      <c r="G24" s="14">
        <v>3</v>
      </c>
      <c r="H24" s="92">
        <f>IF(B$19=0,0,G24/B$19)</f>
        <v>4.7468354430379748E-3</v>
      </c>
      <c r="I24" s="60">
        <v>2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133</v>
      </c>
      <c r="C25" s="8">
        <f>IF(B$19=0,0,B25/B$19)</f>
        <v>0.21044303797468356</v>
      </c>
      <c r="E25" s="29" t="s">
        <v>74</v>
      </c>
      <c r="F25" s="26" t="s">
        <v>29</v>
      </c>
      <c r="G25" s="14">
        <v>2</v>
      </c>
      <c r="H25" s="92">
        <f>IF(B$19=0,0,G25/B$19)</f>
        <v>3.1645569620253164E-3</v>
      </c>
      <c r="I25" s="60">
        <v>4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8328.0063291139249</v>
      </c>
      <c r="C26" s="10">
        <v>5263300</v>
      </c>
      <c r="E26" s="29" t="s">
        <v>88</v>
      </c>
      <c r="F26" s="26" t="s">
        <v>43</v>
      </c>
      <c r="G26" s="14">
        <v>2</v>
      </c>
      <c r="H26" s="92">
        <f>IF(B$19=0,0,G26/B$19)</f>
        <v>3.1645569620253164E-3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8915.7142857142862</v>
      </c>
      <c r="C27" s="100">
        <v>3744600</v>
      </c>
      <c r="E27" s="29" t="s">
        <v>95</v>
      </c>
      <c r="F27" s="26" t="s">
        <v>50</v>
      </c>
      <c r="G27" s="14">
        <v>2</v>
      </c>
      <c r="H27" s="92">
        <f>IF(B$19=0,0,G27/B$19)</f>
        <v>3.1645569620253164E-3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7163.6792452830186</v>
      </c>
      <c r="C28" s="100">
        <v>1518700</v>
      </c>
      <c r="E28" s="29" t="s">
        <v>87</v>
      </c>
      <c r="F28" s="26" t="s">
        <v>42</v>
      </c>
      <c r="G28" s="14">
        <v>1</v>
      </c>
      <c r="H28" s="92">
        <f>IF(B$19=0,0,G28/B$19)</f>
        <v>1.5822784810126582E-3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-7581.2765957446809</v>
      </c>
      <c r="C29" s="100">
        <v>-1781600</v>
      </c>
      <c r="E29" s="29" t="s">
        <v>90</v>
      </c>
      <c r="F29" s="26" t="s">
        <v>45</v>
      </c>
      <c r="G29" s="14">
        <v>1</v>
      </c>
      <c r="H29" s="92">
        <f>IF(B$19=0,0,G29/B$19)</f>
        <v>1.5822784810126582E-3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2</v>
      </c>
      <c r="E30" s="29" t="s">
        <v>106</v>
      </c>
      <c r="F30" s="26" t="s">
        <v>113</v>
      </c>
      <c r="G30" s="14">
        <v>1</v>
      </c>
      <c r="H30" s="92">
        <f>IF(B$19=0,0,G30/B$19)</f>
        <v>1.5822784810126582E-3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15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5">
        <v>149100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1.0700909577314071E-3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56</v>
      </c>
      <c r="C36" s="102">
        <f t="shared" ref="C36:C48" si="3">IF(B$19=0,0,B36/B$19)</f>
        <v>8.8607594936708861E-2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115</v>
      </c>
      <c r="C37" s="8">
        <f t="shared" si="3"/>
        <v>0.18196202531645569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125</v>
      </c>
      <c r="C38" s="8">
        <f t="shared" si="3"/>
        <v>0.19778481012658228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115</v>
      </c>
      <c r="C39" s="8">
        <f t="shared" si="3"/>
        <v>0.18196202531645569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94</v>
      </c>
      <c r="C40" s="8">
        <f t="shared" si="3"/>
        <v>0.14873417721518986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61</v>
      </c>
      <c r="C41" s="8">
        <f t="shared" si="3"/>
        <v>9.6518987341772153E-2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28</v>
      </c>
      <c r="C42" s="8">
        <f t="shared" si="3"/>
        <v>4.4303797468354431E-2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3"/>
        <v>1.8987341772151899E-2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11</v>
      </c>
      <c r="C44" s="8">
        <f t="shared" si="3"/>
        <v>1.740506329113924E-2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3"/>
        <v>4.7468354430379748E-3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1</v>
      </c>
      <c r="C46" s="8">
        <f t="shared" si="3"/>
        <v>1.5822784810126582E-3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3"/>
        <v>1.5822784810126582E-3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3"/>
        <v>1.5822784810126583E-2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  <row r="224" spans="11:12" x14ac:dyDescent="0.45">
      <c r="K224" s="7">
        <v>222</v>
      </c>
      <c r="L224" s="65">
        <v>1955.8999999999999</v>
      </c>
    </row>
    <row r="225" spans="11:12" x14ac:dyDescent="0.45">
      <c r="K225" s="7">
        <v>223</v>
      </c>
      <c r="L225" s="65">
        <v>2010.1</v>
      </c>
    </row>
    <row r="226" spans="11:12" x14ac:dyDescent="0.45">
      <c r="K226" s="7">
        <v>224</v>
      </c>
      <c r="L226" s="65">
        <v>2035.6999999999998</v>
      </c>
    </row>
  </sheetData>
  <sortState xmlns:xlrd2="http://schemas.microsoft.com/office/spreadsheetml/2017/richdata2" ref="E2:I227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C0E-6361-482D-9D3C-926A88C4C6DC}">
  <sheetPr codeName="Sheet11"/>
  <dimension ref="A1:Q19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127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192</v>
      </c>
      <c r="C2" s="130"/>
      <c r="E2" s="28" t="s">
        <v>66</v>
      </c>
      <c r="F2" s="25" t="s">
        <v>22</v>
      </c>
      <c r="G2" s="13">
        <v>372</v>
      </c>
      <c r="H2" s="91">
        <f>IF(B$19=0,0,G2/B$19)</f>
        <v>0.73372781065088755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-1013.6842105263158</v>
      </c>
      <c r="P2" s="80">
        <v>190</v>
      </c>
      <c r="Q2" s="67">
        <v>-192600</v>
      </c>
    </row>
    <row r="3" spans="1:17" x14ac:dyDescent="0.45">
      <c r="A3" s="21" t="s">
        <v>8</v>
      </c>
      <c r="B3" s="131">
        <v>1598</v>
      </c>
      <c r="C3" s="132"/>
      <c r="E3" s="29" t="s">
        <v>72</v>
      </c>
      <c r="F3" s="26" t="s">
        <v>27</v>
      </c>
      <c r="G3" s="14">
        <v>286</v>
      </c>
      <c r="H3" s="92">
        <f>IF(B$19=0,0,G3/B$19)</f>
        <v>0.5641025641025641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1129.9465240641712</v>
      </c>
      <c r="P3" s="81">
        <v>187</v>
      </c>
      <c r="Q3" s="68">
        <v>211300</v>
      </c>
    </row>
    <row r="4" spans="1:17" x14ac:dyDescent="0.45">
      <c r="A4" s="21" t="s">
        <v>6</v>
      </c>
      <c r="B4" s="133">
        <v>-59.500000000000213</v>
      </c>
      <c r="C4" s="134"/>
      <c r="E4" s="29" t="s">
        <v>163</v>
      </c>
      <c r="F4" s="26" t="s">
        <v>164</v>
      </c>
      <c r="G4" s="14">
        <v>205</v>
      </c>
      <c r="H4" s="92">
        <f>IF(B$19=0,0,G4/B$19)</f>
        <v>0.40433925049309666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-249.42528735632183</v>
      </c>
      <c r="P4" s="81">
        <v>174</v>
      </c>
      <c r="Q4" s="68">
        <v>-43400</v>
      </c>
    </row>
    <row r="5" spans="1:17" x14ac:dyDescent="0.45">
      <c r="A5" s="21" t="s">
        <v>7</v>
      </c>
      <c r="B5" s="121">
        <f>IF(B$2=0,0,B$4/B$2)</f>
        <v>-0.30989583333333443</v>
      </c>
      <c r="C5" s="122"/>
      <c r="E5" s="29" t="s">
        <v>64</v>
      </c>
      <c r="F5" s="26" t="s">
        <v>20</v>
      </c>
      <c r="G5" s="14">
        <v>186</v>
      </c>
      <c r="H5" s="92">
        <f>IF(B$19=0,0,G5/B$19)</f>
        <v>0.36686390532544377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-80.722891566265062</v>
      </c>
      <c r="P5" s="81">
        <v>166</v>
      </c>
      <c r="Q5" s="68">
        <v>-13400</v>
      </c>
    </row>
    <row r="6" spans="1:17" x14ac:dyDescent="0.45">
      <c r="A6" s="21" t="s">
        <v>1</v>
      </c>
      <c r="B6" s="135">
        <f>IF(B$2=0,0,(B$7*1+B$8*2+B$9*3)/B$2)</f>
        <v>1.984375</v>
      </c>
      <c r="C6" s="136"/>
      <c r="E6" s="29" t="s">
        <v>68</v>
      </c>
      <c r="F6" s="26" t="s">
        <v>12</v>
      </c>
      <c r="G6" s="14">
        <v>136</v>
      </c>
      <c r="H6" s="92">
        <f>IF(B$19=0,0,G6/B$19)</f>
        <v>0.26824457593688361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-1024.5033112582782</v>
      </c>
      <c r="P6" s="81">
        <v>151</v>
      </c>
      <c r="Q6" s="68">
        <v>-154700</v>
      </c>
    </row>
    <row r="7" spans="1:17" x14ac:dyDescent="0.45">
      <c r="A7" s="21" t="s">
        <v>2</v>
      </c>
      <c r="B7" s="14">
        <v>64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99</v>
      </c>
      <c r="H7" s="92">
        <f>IF(B$19=0,0,G7/B$19)</f>
        <v>0.19526627218934911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941.08527131782944</v>
      </c>
      <c r="P7" s="82">
        <v>129</v>
      </c>
      <c r="Q7" s="69">
        <v>121400</v>
      </c>
    </row>
    <row r="8" spans="1:17" x14ac:dyDescent="0.45">
      <c r="A8" s="21" t="s">
        <v>3</v>
      </c>
      <c r="B8" s="14">
        <v>67</v>
      </c>
      <c r="C8" s="8">
        <f t="shared" si="1"/>
        <v>0.34895833333333331</v>
      </c>
      <c r="E8" s="29" t="s">
        <v>89</v>
      </c>
      <c r="F8" s="26" t="s">
        <v>44</v>
      </c>
      <c r="G8" s="14">
        <v>56</v>
      </c>
      <c r="H8" s="92">
        <f>IF(B$19=0,0,G8/B$19)</f>
        <v>0.11045364891518737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61</v>
      </c>
      <c r="C9" s="9">
        <f t="shared" si="1"/>
        <v>0.31770833333333331</v>
      </c>
      <c r="E9" s="29" t="s">
        <v>69</v>
      </c>
      <c r="F9" s="26" t="s">
        <v>24</v>
      </c>
      <c r="G9" s="14">
        <v>55</v>
      </c>
      <c r="H9" s="92">
        <f>IF(B$19=0,0,G9/B$19)</f>
        <v>0.10848126232741617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34.97812500000002</v>
      </c>
      <c r="C10" s="114">
        <v>2238.6000000000013</v>
      </c>
      <c r="E10" s="29" t="s">
        <v>70</v>
      </c>
      <c r="F10" s="26" t="s">
        <v>25</v>
      </c>
      <c r="G10" s="14">
        <v>46</v>
      </c>
      <c r="H10" s="92">
        <f>IF(B$19=0,0,G10/B$19)</f>
        <v>9.0729783037475351E-2</v>
      </c>
      <c r="I10" s="60">
        <v>10</v>
      </c>
      <c r="K10" s="7">
        <v>8</v>
      </c>
      <c r="L10" s="65">
        <v>-56.79999999999999</v>
      </c>
      <c r="N10" s="77" t="s">
        <v>154</v>
      </c>
      <c r="O10" s="86">
        <f>IF(P10=0,0,Q10/P10)</f>
        <v>-0.913333333333333</v>
      </c>
      <c r="P10" s="80">
        <v>60</v>
      </c>
      <c r="Q10" s="71">
        <v>-54.799999999999983</v>
      </c>
    </row>
    <row r="11" spans="1:17" x14ac:dyDescent="0.45">
      <c r="A11" s="22" t="s">
        <v>204</v>
      </c>
      <c r="B11" s="113">
        <f>IF(B8=0,0,C11/B8)</f>
        <v>-1.1283582089552238</v>
      </c>
      <c r="C11" s="114">
        <v>-75.599999999999994</v>
      </c>
      <c r="E11" s="29" t="s">
        <v>71</v>
      </c>
      <c r="F11" s="26" t="s">
        <v>26</v>
      </c>
      <c r="G11" s="14">
        <v>43</v>
      </c>
      <c r="H11" s="92">
        <f>IF(B$19=0,0,G11/B$19)</f>
        <v>8.4812623274161739E-2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3.6936507936507947</v>
      </c>
      <c r="P11" s="81">
        <v>63</v>
      </c>
      <c r="Q11" s="72">
        <v>232.70000000000007</v>
      </c>
    </row>
    <row r="12" spans="1:17" x14ac:dyDescent="0.45">
      <c r="A12" s="22" t="s">
        <v>205</v>
      </c>
      <c r="B12" s="113">
        <f>IF(B9=0,0,C12/B9)</f>
        <v>-36.43442622950819</v>
      </c>
      <c r="C12" s="114">
        <v>-2222.4999999999995</v>
      </c>
      <c r="E12" s="29" t="s">
        <v>65</v>
      </c>
      <c r="F12" s="26" t="s">
        <v>21</v>
      </c>
      <c r="G12" s="14">
        <v>39</v>
      </c>
      <c r="H12" s="92">
        <f>IF(B$19=0,0,G12/B$19)</f>
        <v>7.6923076923076927E-2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1">
        <f>AVERAGE(B10:B12)</f>
        <v>-0.86155314615446577</v>
      </c>
      <c r="C13" s="122"/>
      <c r="E13" s="29" t="s">
        <v>86</v>
      </c>
      <c r="F13" s="26" t="s">
        <v>41</v>
      </c>
      <c r="G13" s="14">
        <v>27</v>
      </c>
      <c r="H13" s="92">
        <f>IF(B$19=0,0,G13/B$19)</f>
        <v>5.3254437869822487E-2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9.8958333333333329E-2</v>
      </c>
      <c r="E14" s="29" t="s">
        <v>83</v>
      </c>
      <c r="F14" s="26" t="s">
        <v>38</v>
      </c>
      <c r="G14" s="14">
        <v>23</v>
      </c>
      <c r="H14" s="92">
        <f>IF(B$19=0,0,G14/B$19)</f>
        <v>4.5364891518737675E-2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357</v>
      </c>
      <c r="C15" s="12">
        <f>IF(B$3=0,0,B15/B$3)</f>
        <v>0.22340425531914893</v>
      </c>
      <c r="E15" s="29" t="s">
        <v>78</v>
      </c>
      <c r="F15" s="26" t="s">
        <v>33</v>
      </c>
      <c r="G15" s="14">
        <v>20</v>
      </c>
      <c r="H15" s="92">
        <f>IF(B$19=0,0,G15/B$19)</f>
        <v>3.9447731755424063E-2</v>
      </c>
      <c r="I15" s="60">
        <v>3</v>
      </c>
      <c r="K15" s="7">
        <v>13</v>
      </c>
      <c r="L15" s="65">
        <v>-86.8</v>
      </c>
      <c r="N15" s="77" t="s">
        <v>201</v>
      </c>
      <c r="O15" s="86">
        <f t="shared" ref="O15:O23" si="2"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482</v>
      </c>
      <c r="C16" s="8">
        <f>IF(B$3=0,0,B16/B$3)</f>
        <v>0.30162703379224032</v>
      </c>
      <c r="E16" s="29" t="s">
        <v>81</v>
      </c>
      <c r="F16" s="26" t="s">
        <v>36</v>
      </c>
      <c r="G16" s="14">
        <v>14</v>
      </c>
      <c r="H16" s="92">
        <f>IF(B$19=0,0,G16/B$19)</f>
        <v>2.7613412228796843E-2</v>
      </c>
      <c r="I16" s="60">
        <v>4</v>
      </c>
      <c r="K16" s="7">
        <v>14</v>
      </c>
      <c r="L16" s="65">
        <v>-138.4</v>
      </c>
      <c r="N16" s="78" t="s">
        <v>194</v>
      </c>
      <c r="O16" s="87">
        <f t="shared" si="2"/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185</v>
      </c>
      <c r="C17" s="6">
        <f>IF(B$15=0,0,B17/B$15)</f>
        <v>0.51820728291316531</v>
      </c>
      <c r="E17" s="29" t="s">
        <v>91</v>
      </c>
      <c r="F17" s="26" t="s">
        <v>46</v>
      </c>
      <c r="G17" s="14">
        <v>14</v>
      </c>
      <c r="H17" s="92">
        <f>IF(B$19=0,0,G17/B$19)</f>
        <v>2.7613412228796843E-2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 t="shared" si="2"/>
        <v>16.70588235294117</v>
      </c>
      <c r="P17" s="81">
        <v>51</v>
      </c>
      <c r="Q17" s="72">
        <v>851.99999999999966</v>
      </c>
    </row>
    <row r="18" spans="1:17" x14ac:dyDescent="0.45">
      <c r="A18" s="20" t="s">
        <v>124</v>
      </c>
      <c r="B18" s="13">
        <f>B24</f>
        <v>194</v>
      </c>
      <c r="C18" s="6">
        <f>IF(B$16=0,0,B18/B$16)</f>
        <v>0.40248962655601661</v>
      </c>
      <c r="E18" s="29" t="s">
        <v>79</v>
      </c>
      <c r="F18" s="26" t="s">
        <v>34</v>
      </c>
      <c r="G18" s="14">
        <v>8</v>
      </c>
      <c r="H18" s="92">
        <f>IF(B$19=0,0,G18/B$19)</f>
        <v>1.5779092702169626E-2</v>
      </c>
      <c r="I18" s="60">
        <v>5</v>
      </c>
      <c r="K18" s="7">
        <v>16</v>
      </c>
      <c r="L18" s="65">
        <v>-187.3</v>
      </c>
      <c r="N18" s="78" t="s">
        <v>195</v>
      </c>
      <c r="O18" s="87">
        <f t="shared" si="2"/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507</v>
      </c>
      <c r="C19" s="6">
        <f>IF(B$3=0,0,B19/B$3)</f>
        <v>0.31727158948685857</v>
      </c>
      <c r="E19" s="29" t="s">
        <v>159</v>
      </c>
      <c r="F19" s="26" t="s">
        <v>160</v>
      </c>
      <c r="G19" s="14">
        <v>6</v>
      </c>
      <c r="H19" s="92">
        <f>IF(B$19=0,0,G19/B$19)</f>
        <v>1.1834319526627219E-2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 t="shared" si="2"/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275</v>
      </c>
      <c r="C20" s="8">
        <f>IF(B$3=0,0,B20/B$3)</f>
        <v>0.17209011264080101</v>
      </c>
      <c r="E20" s="29" t="s">
        <v>92</v>
      </c>
      <c r="F20" s="26" t="s">
        <v>47</v>
      </c>
      <c r="G20" s="14">
        <v>3</v>
      </c>
      <c r="H20" s="92">
        <f>IF(B$19=0,0,G20/B$19)</f>
        <v>5.9171597633136093E-3</v>
      </c>
      <c r="I20" s="60">
        <v>6</v>
      </c>
      <c r="K20" s="7">
        <v>18</v>
      </c>
      <c r="L20" s="65">
        <v>-112.90000000000002</v>
      </c>
      <c r="N20" s="78" t="s">
        <v>275</v>
      </c>
      <c r="O20" s="87">
        <f t="shared" si="2"/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210</v>
      </c>
      <c r="C21" s="8">
        <f>IF(B$19=0,0,B21/B$19)</f>
        <v>0.41420118343195267</v>
      </c>
      <c r="E21" s="29" t="s">
        <v>73</v>
      </c>
      <c r="F21" s="26" t="s">
        <v>28</v>
      </c>
      <c r="G21" s="14">
        <v>2</v>
      </c>
      <c r="H21" s="92">
        <f>IF(B$19=0,0,G21/B$19)</f>
        <v>3.9447731755424065E-3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 t="shared" si="2"/>
        <v>-3.1029411764705874</v>
      </c>
      <c r="P21" s="81">
        <v>68</v>
      </c>
      <c r="Q21" s="72">
        <v>-210.99999999999994</v>
      </c>
    </row>
    <row r="22" spans="1:17" x14ac:dyDescent="0.45">
      <c r="A22" s="21" t="s">
        <v>11</v>
      </c>
      <c r="B22" s="14">
        <v>297</v>
      </c>
      <c r="C22" s="8">
        <f>IF(B$19=0,0,B22/B$19)</f>
        <v>0.58579881656804733</v>
      </c>
      <c r="E22" s="29" t="s">
        <v>74</v>
      </c>
      <c r="F22" s="26" t="s">
        <v>29</v>
      </c>
      <c r="G22" s="14">
        <v>2</v>
      </c>
      <c r="H22" s="92">
        <f>IF(B$19=0,0,G22/B$19)</f>
        <v>3.9447731755424065E-3</v>
      </c>
      <c r="I22" s="60">
        <v>3</v>
      </c>
      <c r="K22" s="7">
        <v>20</v>
      </c>
      <c r="L22" s="65">
        <v>-96.000000000000028</v>
      </c>
      <c r="N22" s="78" t="s">
        <v>167</v>
      </c>
      <c r="O22" s="87">
        <f t="shared" si="2"/>
        <v>-3.2393939393939362</v>
      </c>
      <c r="P22" s="81">
        <v>66</v>
      </c>
      <c r="Q22" s="72">
        <v>-213.79999999999978</v>
      </c>
    </row>
    <row r="23" spans="1:17" x14ac:dyDescent="0.45">
      <c r="A23" s="21" t="s">
        <v>192</v>
      </c>
      <c r="B23" s="14">
        <v>185</v>
      </c>
      <c r="C23" s="8">
        <f>IF(B$19=0,0,B23/B$19)</f>
        <v>0.36489151873767256</v>
      </c>
      <c r="E23" s="29" t="s">
        <v>75</v>
      </c>
      <c r="F23" s="26" t="s">
        <v>30</v>
      </c>
      <c r="G23" s="14">
        <v>2</v>
      </c>
      <c r="H23" s="92">
        <f>IF(B$19=0,0,G23/B$19)</f>
        <v>3.9447731755424065E-3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 t="shared" si="2"/>
        <v>-13.446875000000004</v>
      </c>
      <c r="P23" s="81">
        <v>128</v>
      </c>
      <c r="Q23" s="72">
        <v>-1721.2000000000005</v>
      </c>
    </row>
    <row r="24" spans="1:17" x14ac:dyDescent="0.45">
      <c r="A24" s="21" t="s">
        <v>190</v>
      </c>
      <c r="B24" s="14">
        <v>194</v>
      </c>
      <c r="C24" s="8">
        <f>IF(B$19=0,0,B24/B$19)</f>
        <v>0.38264299802761342</v>
      </c>
      <c r="E24" s="29" t="s">
        <v>90</v>
      </c>
      <c r="F24" s="26" t="s">
        <v>45</v>
      </c>
      <c r="G24" s="14">
        <v>2</v>
      </c>
      <c r="H24" s="92">
        <f>IF(B$19=0,0,G24/B$19)</f>
        <v>3.9447731755424065E-3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128</v>
      </c>
      <c r="C25" s="8">
        <f>IF(B$19=0,0,B25/B$19)</f>
        <v>0.25246548323471402</v>
      </c>
      <c r="E25" s="29" t="s">
        <v>76</v>
      </c>
      <c r="F25" s="26" t="s">
        <v>31</v>
      </c>
      <c r="G25" s="14">
        <v>1</v>
      </c>
      <c r="H25" s="92">
        <f>IF(B$19=0,0,G25/B$19)</f>
        <v>1.9723865877712033E-3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7755.6213017751479</v>
      </c>
      <c r="C26" s="10">
        <v>3932100</v>
      </c>
      <c r="E26" s="29" t="s">
        <v>77</v>
      </c>
      <c r="F26" s="26" t="s">
        <v>32</v>
      </c>
      <c r="G26" s="14">
        <v>1</v>
      </c>
      <c r="H26" s="92">
        <f>IF(B$19=0,0,G26/B$19)</f>
        <v>1.9723865877712033E-3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8434.5047923322691</v>
      </c>
      <c r="C27" s="100">
        <v>2640000</v>
      </c>
      <c r="E27" s="29" t="s">
        <v>84</v>
      </c>
      <c r="F27" s="26" t="s">
        <v>39</v>
      </c>
      <c r="G27" s="14">
        <v>1</v>
      </c>
      <c r="H27" s="92">
        <f>IF(B$19=0,0,G27/B$19)</f>
        <v>1.9723865877712033E-3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6660.3092783505153</v>
      </c>
      <c r="C28" s="100">
        <v>1292100</v>
      </c>
      <c r="E28" s="29" t="s">
        <v>95</v>
      </c>
      <c r="F28" s="26" t="s">
        <v>50</v>
      </c>
      <c r="G28" s="14">
        <v>1</v>
      </c>
      <c r="H28" s="92">
        <f>IF(B$19=0,0,G28/B$19)</f>
        <v>1.9723865877712033E-3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-8028.727272727273</v>
      </c>
      <c r="C29" s="100">
        <v>-2207900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5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3">
        <v>8</v>
      </c>
      <c r="C32" s="124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5">
        <v>91800</v>
      </c>
      <c r="C33" s="12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5.0062578222778474E-3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44</v>
      </c>
      <c r="C36" s="102">
        <f t="shared" ref="C36:C48" si="3">IF(B$19=0,0,B36/B$19)</f>
        <v>8.6785009861932938E-2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97</v>
      </c>
      <c r="C37" s="8">
        <f t="shared" si="3"/>
        <v>0.19132149901380671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110</v>
      </c>
      <c r="C38" s="8">
        <f t="shared" si="3"/>
        <v>0.21696252465483234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100</v>
      </c>
      <c r="C39" s="8">
        <f t="shared" si="3"/>
        <v>0.19723865877712032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72</v>
      </c>
      <c r="C40" s="8">
        <f t="shared" si="3"/>
        <v>0.14201183431952663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45</v>
      </c>
      <c r="C41" s="8">
        <f t="shared" si="3"/>
        <v>8.8757396449704137E-2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3"/>
        <v>3.1558185404339252E-2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9</v>
      </c>
      <c r="C43" s="8">
        <f t="shared" si="3"/>
        <v>1.7751479289940829E-2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3"/>
        <v>1.1834319526627219E-2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3"/>
        <v>1.9723865877712033E-3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3"/>
        <v>5.9171597633136093E-3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4</v>
      </c>
      <c r="C48" s="11">
        <f t="shared" si="3"/>
        <v>7.889546351084813E-3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  <row r="194" spans="11:12" x14ac:dyDescent="0.45">
      <c r="K194" s="7">
        <v>192</v>
      </c>
      <c r="L194" s="65">
        <v>-59.500000000000213</v>
      </c>
    </row>
  </sheetData>
  <sortState xmlns:xlrd2="http://schemas.microsoft.com/office/spreadsheetml/2017/richdata2" ref="E2:I19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5E79-1421-4550-8D18-50136F9748EC}">
  <sheetPr codeName="Sheet13"/>
  <dimension ref="A1:Q11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169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111</v>
      </c>
      <c r="C2" s="130"/>
      <c r="E2" s="28" t="s">
        <v>66</v>
      </c>
      <c r="F2" s="25" t="s">
        <v>22</v>
      </c>
      <c r="G2" s="13">
        <v>198</v>
      </c>
      <c r="H2" s="91">
        <f>IF(B$19=0,0,G2/B$19)</f>
        <v>0.7734375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-593.63636363636363</v>
      </c>
      <c r="P2" s="80">
        <v>110</v>
      </c>
      <c r="Q2" s="67">
        <v>-65300</v>
      </c>
    </row>
    <row r="3" spans="1:17" x14ac:dyDescent="0.45">
      <c r="A3" s="21" t="s">
        <v>8</v>
      </c>
      <c r="B3" s="131">
        <v>957</v>
      </c>
      <c r="C3" s="132"/>
      <c r="E3" s="29" t="s">
        <v>64</v>
      </c>
      <c r="F3" s="26" t="s">
        <v>20</v>
      </c>
      <c r="G3" s="14">
        <v>142</v>
      </c>
      <c r="H3" s="92">
        <f>IF(B$19=0,0,G3/B$19)</f>
        <v>0.5546875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-377.27272727272725</v>
      </c>
      <c r="P3" s="81">
        <v>110</v>
      </c>
      <c r="Q3" s="68">
        <v>-41500</v>
      </c>
    </row>
    <row r="4" spans="1:17" x14ac:dyDescent="0.45">
      <c r="A4" s="21" t="s">
        <v>6</v>
      </c>
      <c r="B4" s="133">
        <v>-639.20000000000005</v>
      </c>
      <c r="C4" s="134"/>
      <c r="E4" s="29" t="s">
        <v>72</v>
      </c>
      <c r="F4" s="26" t="s">
        <v>27</v>
      </c>
      <c r="G4" s="14">
        <v>129</v>
      </c>
      <c r="H4" s="92">
        <f>IF(B$19=0,0,G4/B$19)</f>
        <v>0.50390625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455.88235294117646</v>
      </c>
      <c r="P4" s="81">
        <v>102</v>
      </c>
      <c r="Q4" s="68">
        <v>46500</v>
      </c>
    </row>
    <row r="5" spans="1:17" x14ac:dyDescent="0.45">
      <c r="A5" s="21" t="s">
        <v>7</v>
      </c>
      <c r="B5" s="121">
        <f>IF(B$2=0,0,B$4/B$2)</f>
        <v>-5.7585585585585592</v>
      </c>
      <c r="C5" s="122"/>
      <c r="E5" s="29" t="s">
        <v>163</v>
      </c>
      <c r="F5" s="26" t="s">
        <v>164</v>
      </c>
      <c r="G5" s="14">
        <v>106</v>
      </c>
      <c r="H5" s="92">
        <f>IF(B$19=0,0,G5/B$19)</f>
        <v>0.4140625</v>
      </c>
      <c r="I5" s="60">
        <v>5</v>
      </c>
      <c r="K5" s="7">
        <v>3</v>
      </c>
      <c r="L5" s="65">
        <v>-17.599999999999998</v>
      </c>
      <c r="N5" s="78" t="s">
        <v>133</v>
      </c>
      <c r="O5" s="84">
        <f t="shared" si="0"/>
        <v>-854</v>
      </c>
      <c r="P5" s="81">
        <v>100</v>
      </c>
      <c r="Q5" s="68">
        <v>-85400</v>
      </c>
    </row>
    <row r="6" spans="1:17" x14ac:dyDescent="0.45">
      <c r="A6" s="21" t="s">
        <v>1</v>
      </c>
      <c r="B6" s="135">
        <f>IF(B$2=0,0,(B$7*1+B$8*2+B$9*3)/B$2)</f>
        <v>2.144144144144144</v>
      </c>
      <c r="C6" s="136"/>
      <c r="E6" s="29" t="s">
        <v>68</v>
      </c>
      <c r="F6" s="26" t="s">
        <v>12</v>
      </c>
      <c r="G6" s="14">
        <v>90</v>
      </c>
      <c r="H6" s="92">
        <f>IF(B$19=0,0,G6/B$19)</f>
        <v>0.3515625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-2117.8947368421054</v>
      </c>
      <c r="P6" s="81">
        <v>95</v>
      </c>
      <c r="Q6" s="68">
        <v>-201200</v>
      </c>
    </row>
    <row r="7" spans="1:17" x14ac:dyDescent="0.45">
      <c r="A7" s="21" t="s">
        <v>2</v>
      </c>
      <c r="B7" s="14">
        <v>27</v>
      </c>
      <c r="C7" s="8">
        <f t="shared" ref="C7:C14" si="1">IF(B$2=0,0,B7/B$2)</f>
        <v>0.24324324324324326</v>
      </c>
      <c r="E7" s="29" t="s">
        <v>67</v>
      </c>
      <c r="F7" s="26" t="s">
        <v>23</v>
      </c>
      <c r="G7" s="14">
        <v>80</v>
      </c>
      <c r="H7" s="92">
        <f>IF(B$19=0,0,G7/B$19)</f>
        <v>0.3125</v>
      </c>
      <c r="I7" s="60">
        <v>6</v>
      </c>
      <c r="K7" s="7">
        <v>5</v>
      </c>
      <c r="L7" s="65">
        <v>-33.699999999999989</v>
      </c>
      <c r="N7" s="79" t="s">
        <v>135</v>
      </c>
      <c r="O7" s="85">
        <f t="shared" si="0"/>
        <v>-1644.047619047619</v>
      </c>
      <c r="P7" s="82">
        <v>84</v>
      </c>
      <c r="Q7" s="69">
        <v>-138100</v>
      </c>
    </row>
    <row r="8" spans="1:17" x14ac:dyDescent="0.45">
      <c r="A8" s="21" t="s">
        <v>3</v>
      </c>
      <c r="B8" s="14">
        <v>41</v>
      </c>
      <c r="C8" s="8">
        <f t="shared" si="1"/>
        <v>0.36936936936936937</v>
      </c>
      <c r="E8" s="29" t="s">
        <v>69</v>
      </c>
      <c r="F8" s="26" t="s">
        <v>24</v>
      </c>
      <c r="G8" s="14">
        <v>39</v>
      </c>
      <c r="H8" s="92">
        <f>IF(B$19=0,0,G8/B$19)</f>
        <v>0.15234375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43</v>
      </c>
      <c r="C9" s="9">
        <f t="shared" si="1"/>
        <v>0.38738738738738737</v>
      </c>
      <c r="E9" s="29" t="s">
        <v>89</v>
      </c>
      <c r="F9" s="26" t="s">
        <v>44</v>
      </c>
      <c r="G9" s="14">
        <v>31</v>
      </c>
      <c r="H9" s="92">
        <f>IF(B$19=0,0,G9/B$19)</f>
        <v>0.12109375</v>
      </c>
      <c r="I9" s="60">
        <v>9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26.93333333333333</v>
      </c>
      <c r="C10" s="114">
        <v>727.19999999999993</v>
      </c>
      <c r="E10" s="29" t="s">
        <v>65</v>
      </c>
      <c r="F10" s="26" t="s">
        <v>21</v>
      </c>
      <c r="G10" s="14">
        <v>30</v>
      </c>
      <c r="H10" s="92">
        <f>IF(B$19=0,0,G10/B$19)</f>
        <v>0.1171875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-6.8711111111111132</v>
      </c>
      <c r="P10" s="80">
        <v>45</v>
      </c>
      <c r="Q10" s="71">
        <v>-309.2000000000001</v>
      </c>
    </row>
    <row r="11" spans="1:17" x14ac:dyDescent="0.45">
      <c r="A11" s="22" t="s">
        <v>204</v>
      </c>
      <c r="B11" s="113">
        <f>IF(B8=0,0,C11/B8)</f>
        <v>1.2268292682926829</v>
      </c>
      <c r="C11" s="114">
        <v>50.3</v>
      </c>
      <c r="E11" s="29" t="s">
        <v>70</v>
      </c>
      <c r="F11" s="26" t="s">
        <v>25</v>
      </c>
      <c r="G11" s="14">
        <v>30</v>
      </c>
      <c r="H11" s="92">
        <f>IF(B$19=0,0,G11/B$19)</f>
        <v>0.1171875</v>
      </c>
      <c r="I11" s="60">
        <v>5</v>
      </c>
      <c r="K11" s="7">
        <v>9</v>
      </c>
      <c r="L11" s="65">
        <v>-74.199999999999989</v>
      </c>
      <c r="N11" s="78" t="s">
        <v>155</v>
      </c>
      <c r="O11" s="87">
        <f>IF(P11=0,0,Q11/P11)</f>
        <v>-1.7735294117647071</v>
      </c>
      <c r="P11" s="81">
        <v>34</v>
      </c>
      <c r="Q11" s="72">
        <v>-60.30000000000004</v>
      </c>
    </row>
    <row r="12" spans="1:17" x14ac:dyDescent="0.45">
      <c r="A12" s="22" t="s">
        <v>205</v>
      </c>
      <c r="B12" s="113">
        <f>IF(B9=0,0,C12/B9)</f>
        <v>-32.946511627906965</v>
      </c>
      <c r="C12" s="114">
        <v>-1416.6999999999996</v>
      </c>
      <c r="E12" s="29" t="s">
        <v>83</v>
      </c>
      <c r="F12" s="26" t="s">
        <v>38</v>
      </c>
      <c r="G12" s="14">
        <v>15</v>
      </c>
      <c r="H12" s="92">
        <f>IF(B$19=0,0,G12/B$19)</f>
        <v>5.859375E-2</v>
      </c>
      <c r="I12" s="60">
        <v>5</v>
      </c>
      <c r="K12" s="7">
        <v>10</v>
      </c>
      <c r="L12" s="65">
        <v>-117.19999999999999</v>
      </c>
      <c r="N12" s="79" t="s">
        <v>156</v>
      </c>
      <c r="O12" s="88">
        <f>IF(P12=0,0,Q12/P12)</f>
        <v>-8.4281249999999979</v>
      </c>
      <c r="P12" s="82">
        <v>32</v>
      </c>
      <c r="Q12" s="73">
        <v>-269.69999999999993</v>
      </c>
    </row>
    <row r="13" spans="1:17" x14ac:dyDescent="0.45">
      <c r="A13" s="22" t="s">
        <v>206</v>
      </c>
      <c r="B13" s="121">
        <f>AVERAGE(B10:B12)</f>
        <v>-1.595449675426984</v>
      </c>
      <c r="C13" s="122"/>
      <c r="E13" s="29" t="s">
        <v>86</v>
      </c>
      <c r="F13" s="26" t="s">
        <v>41</v>
      </c>
      <c r="G13" s="14">
        <v>11</v>
      </c>
      <c r="H13" s="92">
        <f>IF(B$19=0,0,G13/B$19)</f>
        <v>4.296875E-2</v>
      </c>
      <c r="I13" s="60">
        <v>8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7.2072072072072071E-2</v>
      </c>
      <c r="E14" s="29" t="s">
        <v>71</v>
      </c>
      <c r="F14" s="26" t="s">
        <v>26</v>
      </c>
      <c r="G14" s="14">
        <v>10</v>
      </c>
      <c r="H14" s="92">
        <f>IF(B$19=0,0,G14/B$19)</f>
        <v>3.90625E-2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260</v>
      </c>
      <c r="C15" s="12">
        <f>IF(B$3=0,0,B15/B$3)</f>
        <v>0.2716823406478579</v>
      </c>
      <c r="E15" s="29" t="s">
        <v>78</v>
      </c>
      <c r="F15" s="26" t="s">
        <v>33</v>
      </c>
      <c r="G15" s="14">
        <v>9</v>
      </c>
      <c r="H15" s="92">
        <f>IF(B$19=0,0,G15/B$19)</f>
        <v>3.515625E-2</v>
      </c>
      <c r="I15" s="60">
        <v>4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25.287499999999998</v>
      </c>
      <c r="P15" s="80">
        <v>8</v>
      </c>
      <c r="Q15" s="71">
        <v>202.29999999999998</v>
      </c>
    </row>
    <row r="16" spans="1:17" x14ac:dyDescent="0.45">
      <c r="A16" s="21" t="s">
        <v>118</v>
      </c>
      <c r="B16" s="14">
        <v>187</v>
      </c>
      <c r="C16" s="8">
        <f>IF(B$3=0,0,B16/B$3)</f>
        <v>0.19540229885057472</v>
      </c>
      <c r="E16" s="29" t="s">
        <v>81</v>
      </c>
      <c r="F16" s="26" t="s">
        <v>36</v>
      </c>
      <c r="G16" s="14">
        <v>6</v>
      </c>
      <c r="H16" s="92">
        <f>IF(B$19=0,0,G16/B$19)</f>
        <v>2.34375E-2</v>
      </c>
      <c r="I16" s="60">
        <v>5</v>
      </c>
      <c r="K16" s="7">
        <v>14</v>
      </c>
      <c r="L16" s="65">
        <v>-204.8</v>
      </c>
      <c r="N16" s="78" t="s">
        <v>158</v>
      </c>
      <c r="O16" s="87">
        <f t="shared" si="2"/>
        <v>2.623809523809526</v>
      </c>
      <c r="P16" s="81">
        <v>21</v>
      </c>
      <c r="Q16" s="72">
        <v>55.100000000000051</v>
      </c>
    </row>
    <row r="17" spans="1:17" x14ac:dyDescent="0.45">
      <c r="A17" s="20" t="s">
        <v>123</v>
      </c>
      <c r="B17" s="13">
        <f>B23</f>
        <v>142</v>
      </c>
      <c r="C17" s="6">
        <f>IF(B$15=0,0,B17/B$15)</f>
        <v>0.5461538461538461</v>
      </c>
      <c r="E17" s="29" t="s">
        <v>79</v>
      </c>
      <c r="F17" s="26" t="s">
        <v>34</v>
      </c>
      <c r="G17" s="14">
        <v>4</v>
      </c>
      <c r="H17" s="92">
        <f>IF(B$19=0,0,G17/B$19)</f>
        <v>1.5625E-2</v>
      </c>
      <c r="I17" s="60">
        <v>6</v>
      </c>
      <c r="K17" s="7">
        <v>15</v>
      </c>
      <c r="L17" s="65">
        <v>-221.5</v>
      </c>
      <c r="N17" s="78" t="s">
        <v>167</v>
      </c>
      <c r="O17" s="87">
        <f t="shared" si="2"/>
        <v>0.53846153846154066</v>
      </c>
      <c r="P17" s="81">
        <v>26</v>
      </c>
      <c r="Q17" s="72">
        <v>14.000000000000057</v>
      </c>
    </row>
    <row r="18" spans="1:17" x14ac:dyDescent="0.45">
      <c r="A18" s="20" t="s">
        <v>124</v>
      </c>
      <c r="B18" s="13">
        <f>B24</f>
        <v>74</v>
      </c>
      <c r="C18" s="6">
        <f>IF(B$16=0,0,B18/B$16)</f>
        <v>0.39572192513368987</v>
      </c>
      <c r="E18" s="29" t="s">
        <v>159</v>
      </c>
      <c r="F18" s="26" t="s">
        <v>160</v>
      </c>
      <c r="G18" s="14">
        <v>4</v>
      </c>
      <c r="H18" s="92">
        <f>IF(B$19=0,0,G18/B$19)</f>
        <v>1.5625E-2</v>
      </c>
      <c r="I18" s="60">
        <v>6</v>
      </c>
      <c r="K18" s="7">
        <v>16</v>
      </c>
      <c r="L18" s="65">
        <v>-224.3</v>
      </c>
      <c r="N18" s="78" t="s">
        <v>194</v>
      </c>
      <c r="O18" s="87">
        <f t="shared" si="2"/>
        <v>2.3076923076924088E-2</v>
      </c>
      <c r="P18" s="81">
        <v>13</v>
      </c>
      <c r="Q18" s="72">
        <v>0.30000000000001315</v>
      </c>
    </row>
    <row r="19" spans="1:17" x14ac:dyDescent="0.45">
      <c r="A19" s="20" t="s">
        <v>10</v>
      </c>
      <c r="B19" s="13">
        <f>B22+B21</f>
        <v>256</v>
      </c>
      <c r="C19" s="6">
        <f>IF(B$3=0,0,B19/B$3)</f>
        <v>0.26750261233019856</v>
      </c>
      <c r="E19" s="29" t="s">
        <v>75</v>
      </c>
      <c r="F19" s="26" t="s">
        <v>30</v>
      </c>
      <c r="G19" s="14">
        <v>3</v>
      </c>
      <c r="H19" s="92">
        <f>IF(B$19=0,0,G19/B$19)</f>
        <v>1.171875E-2</v>
      </c>
      <c r="I19" s="60">
        <v>3</v>
      </c>
      <c r="K19" s="7">
        <v>17</v>
      </c>
      <c r="L19" s="65">
        <v>-251.4</v>
      </c>
      <c r="N19" s="78" t="s">
        <v>168</v>
      </c>
      <c r="O19" s="87">
        <f t="shared" si="2"/>
        <v>-7.5862068965517233</v>
      </c>
      <c r="P19" s="81">
        <v>29</v>
      </c>
      <c r="Q19" s="72">
        <v>-219.99999999999997</v>
      </c>
    </row>
    <row r="20" spans="1:17" x14ac:dyDescent="0.45">
      <c r="A20" s="21" t="s">
        <v>13</v>
      </c>
      <c r="B20" s="14">
        <v>170</v>
      </c>
      <c r="C20" s="8">
        <f>IF(B$3=0,0,B20/B$3)</f>
        <v>0.17763845350052246</v>
      </c>
      <c r="E20" s="29" t="s">
        <v>85</v>
      </c>
      <c r="F20" s="26" t="s">
        <v>40</v>
      </c>
      <c r="G20" s="14">
        <v>1</v>
      </c>
      <c r="H20" s="92">
        <f>IF(B$19=0,0,G20/B$19)</f>
        <v>3.90625E-3</v>
      </c>
      <c r="I20" s="60">
        <v>7</v>
      </c>
      <c r="K20" s="7">
        <v>18</v>
      </c>
      <c r="L20" s="65">
        <v>-240</v>
      </c>
      <c r="N20" s="78" t="s">
        <v>126</v>
      </c>
      <c r="O20" s="87">
        <f t="shared" si="2"/>
        <v>-14.256521739130433</v>
      </c>
      <c r="P20" s="81">
        <v>69</v>
      </c>
      <c r="Q20" s="72">
        <v>-983.69999999999982</v>
      </c>
    </row>
    <row r="21" spans="1:17" x14ac:dyDescent="0.45">
      <c r="A21" s="21" t="s">
        <v>12</v>
      </c>
      <c r="B21" s="14">
        <v>122</v>
      </c>
      <c r="C21" s="8">
        <f>IF(B$19=0,0,B21/B$19)</f>
        <v>0.4765625</v>
      </c>
      <c r="E21" s="29" t="s">
        <v>91</v>
      </c>
      <c r="F21" s="26" t="s">
        <v>46</v>
      </c>
      <c r="G21" s="14">
        <v>1</v>
      </c>
      <c r="H21" s="92">
        <f>IF(B$19=0,0,G21/B$19)</f>
        <v>3.90625E-3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-16.70588235294117</v>
      </c>
      <c r="P21" s="81">
        <v>51</v>
      </c>
      <c r="Q21" s="72">
        <v>-851.99999999999966</v>
      </c>
    </row>
    <row r="22" spans="1:17" x14ac:dyDescent="0.45">
      <c r="A22" s="21" t="s">
        <v>11</v>
      </c>
      <c r="B22" s="14">
        <v>134</v>
      </c>
      <c r="C22" s="8">
        <f>IF(B$19=0,0,B22/B$19)</f>
        <v>0.5234375</v>
      </c>
      <c r="E22" s="29" t="s">
        <v>92</v>
      </c>
      <c r="F22" s="26" t="s">
        <v>47</v>
      </c>
      <c r="G22" s="14">
        <v>1</v>
      </c>
      <c r="H22" s="92">
        <f>IF(B$19=0,0,G22/B$19)</f>
        <v>3.90625E-3</v>
      </c>
      <c r="I22" s="60">
        <v>7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142</v>
      </c>
      <c r="C23" s="8">
        <f>IF(B$19=0,0,B23/B$19)</f>
        <v>0.5546875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74</v>
      </c>
      <c r="C24" s="8">
        <f>IF(B$19=0,0,B24/B$19)</f>
        <v>0.2890625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40</v>
      </c>
      <c r="C25" s="8">
        <f>IF(B$19=0,0,B25/B$19)</f>
        <v>0.15625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8038.28125</v>
      </c>
      <c r="C26" s="10">
        <v>2057800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8706.5934065934071</v>
      </c>
      <c r="C27" s="100">
        <v>1584600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6394.594594594595</v>
      </c>
      <c r="C28" s="100">
        <v>473200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-7737.6470588235297</v>
      </c>
      <c r="C29" s="100">
        <v>-1315400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7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21</v>
      </c>
      <c r="C31" s="94">
        <v>20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-159.9</v>
      </c>
    </row>
    <row r="32" spans="1:17" x14ac:dyDescent="0.45">
      <c r="A32" s="56" t="s">
        <v>138</v>
      </c>
      <c r="B32" s="123">
        <v>8</v>
      </c>
      <c r="C32" s="12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-175.6</v>
      </c>
    </row>
    <row r="33" spans="1:12" x14ac:dyDescent="0.45">
      <c r="A33" s="24" t="s">
        <v>189</v>
      </c>
      <c r="B33" s="125">
        <v>87900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3.134796238244514E-3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19</v>
      </c>
      <c r="C36" s="102">
        <f t="shared" ref="C36:C48" si="3">IF(B$19=0,0,B36/B$19)</f>
        <v>7.421875E-2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41</v>
      </c>
      <c r="C37" s="8">
        <f t="shared" si="3"/>
        <v>0.16015625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56</v>
      </c>
      <c r="C38" s="8">
        <f t="shared" si="3"/>
        <v>0.21875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41</v>
      </c>
      <c r="C39" s="8">
        <f t="shared" si="3"/>
        <v>0.16015625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46</v>
      </c>
      <c r="C40" s="8">
        <f t="shared" si="3"/>
        <v>0.1796875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24</v>
      </c>
      <c r="C41" s="8">
        <f t="shared" si="3"/>
        <v>9.375E-2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16</v>
      </c>
      <c r="C42" s="8">
        <f t="shared" si="3"/>
        <v>6.25E-2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7</v>
      </c>
      <c r="C43" s="8">
        <f t="shared" si="3"/>
        <v>2.734375E-2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3.90625E-3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3.90625E-3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3.90625E-3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7.8125E-3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1</v>
      </c>
      <c r="C48" s="11">
        <f t="shared" si="3"/>
        <v>3.90625E-3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  <row r="111" spans="11:12" x14ac:dyDescent="0.45">
      <c r="K111" s="7">
        <v>109</v>
      </c>
      <c r="L111" s="65">
        <v>-676.5</v>
      </c>
    </row>
    <row r="112" spans="11:12" x14ac:dyDescent="0.45">
      <c r="K112" s="7">
        <v>110</v>
      </c>
      <c r="L112" s="65">
        <v>-613.6</v>
      </c>
    </row>
    <row r="113" spans="11:12" x14ac:dyDescent="0.45">
      <c r="K113" s="7">
        <v>111</v>
      </c>
      <c r="L113" s="65">
        <v>-639.20000000000005</v>
      </c>
    </row>
  </sheetData>
  <sortState xmlns:xlrd2="http://schemas.microsoft.com/office/spreadsheetml/2017/richdata2" ref="E2:I11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6409-3B9B-494A-AF1E-46F5D4A156A8}">
  <sheetPr codeName="Sheet15"/>
  <dimension ref="A1:Q169"/>
  <sheetViews>
    <sheetView showGridLines="0" topLeftCell="A3" zoomScaleNormal="100" workbookViewId="0">
      <selection activeCell="I30" sqref="I30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167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167</v>
      </c>
      <c r="C2" s="130"/>
      <c r="E2" s="28" t="s">
        <v>66</v>
      </c>
      <c r="F2" s="25" t="s">
        <v>22</v>
      </c>
      <c r="G2" s="13">
        <v>350</v>
      </c>
      <c r="H2" s="91">
        <f>IF(B$19=0,0,G2/B$19)</f>
        <v>0.91623036649214662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1686.7469879518073</v>
      </c>
      <c r="P2" s="80">
        <v>166</v>
      </c>
      <c r="Q2" s="67">
        <v>280000</v>
      </c>
    </row>
    <row r="3" spans="1:17" x14ac:dyDescent="0.45">
      <c r="A3" s="21" t="s">
        <v>8</v>
      </c>
      <c r="B3" s="131">
        <v>1359</v>
      </c>
      <c r="C3" s="132"/>
      <c r="E3" s="29" t="s">
        <v>72</v>
      </c>
      <c r="F3" s="26" t="s">
        <v>27</v>
      </c>
      <c r="G3" s="14">
        <v>218</v>
      </c>
      <c r="H3" s="92">
        <f>IF(B$19=0,0,G3/B$19)</f>
        <v>0.5706806282722513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-1889.5061728395062</v>
      </c>
      <c r="P3" s="81">
        <v>162</v>
      </c>
      <c r="Q3" s="68">
        <v>-306100</v>
      </c>
    </row>
    <row r="4" spans="1:17" x14ac:dyDescent="0.45">
      <c r="A4" s="21" t="s">
        <v>6</v>
      </c>
      <c r="B4" s="133">
        <v>888.20000000000027</v>
      </c>
      <c r="C4" s="134"/>
      <c r="E4" s="29" t="s">
        <v>64</v>
      </c>
      <c r="F4" s="26" t="s">
        <v>20</v>
      </c>
      <c r="G4" s="14">
        <v>207</v>
      </c>
      <c r="H4" s="92">
        <f>IF(B$19=0,0,G4/B$19)</f>
        <v>0.54188481675392675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147.26027397260273</v>
      </c>
      <c r="P4" s="81">
        <v>146</v>
      </c>
      <c r="Q4" s="68">
        <v>21500</v>
      </c>
    </row>
    <row r="5" spans="1:17" x14ac:dyDescent="0.45">
      <c r="A5" s="21" t="s">
        <v>7</v>
      </c>
      <c r="B5" s="121">
        <f>IF(B$2=0,0,B$4/B$2)</f>
        <v>5.3185628742514988</v>
      </c>
      <c r="C5" s="122"/>
      <c r="E5" s="29" t="s">
        <v>68</v>
      </c>
      <c r="F5" s="26" t="s">
        <v>12</v>
      </c>
      <c r="G5" s="14">
        <v>147</v>
      </c>
      <c r="H5" s="92">
        <f>IF(B$19=0,0,G5/B$19)</f>
        <v>0.38481675392670156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2348.1481481481483</v>
      </c>
      <c r="P5" s="81">
        <v>135</v>
      </c>
      <c r="Q5" s="68">
        <v>317000</v>
      </c>
    </row>
    <row r="6" spans="1:17" x14ac:dyDescent="0.45">
      <c r="A6" s="21" t="s">
        <v>1</v>
      </c>
      <c r="B6" s="135">
        <f>IF(B$2=0,0,(B$7*1+B$8*2+B$9*3)/B$2)</f>
        <v>1.9101796407185629</v>
      </c>
      <c r="C6" s="136"/>
      <c r="E6" s="29" t="s">
        <v>163</v>
      </c>
      <c r="F6" s="26" t="s">
        <v>164</v>
      </c>
      <c r="G6" s="14">
        <v>147</v>
      </c>
      <c r="H6" s="92">
        <f>IF(B$19=0,0,G6/B$19)</f>
        <v>0.38481675392670156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1454.0983606557377</v>
      </c>
      <c r="P6" s="81">
        <v>122</v>
      </c>
      <c r="Q6" s="68">
        <v>177400</v>
      </c>
    </row>
    <row r="7" spans="1:17" x14ac:dyDescent="0.45">
      <c r="A7" s="21" t="s">
        <v>2</v>
      </c>
      <c r="B7" s="14">
        <v>68</v>
      </c>
      <c r="C7" s="8">
        <f t="shared" ref="C7:C14" si="1">IF(B$2=0,0,B7/B$2)</f>
        <v>0.40718562874251496</v>
      </c>
      <c r="E7" s="29" t="s">
        <v>67</v>
      </c>
      <c r="F7" s="26" t="s">
        <v>23</v>
      </c>
      <c r="G7" s="14">
        <v>142</v>
      </c>
      <c r="H7" s="92">
        <f>IF(B$19=0,0,G7/B$19)</f>
        <v>0.37172774869109948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663.44086021505382</v>
      </c>
      <c r="P7" s="82">
        <v>93</v>
      </c>
      <c r="Q7" s="69">
        <v>61700</v>
      </c>
    </row>
    <row r="8" spans="1:17" x14ac:dyDescent="0.45">
      <c r="A8" s="21" t="s">
        <v>3</v>
      </c>
      <c r="B8" s="14">
        <v>46</v>
      </c>
      <c r="C8" s="8">
        <f t="shared" si="1"/>
        <v>0.27544910179640719</v>
      </c>
      <c r="E8" s="29" t="s">
        <v>89</v>
      </c>
      <c r="F8" s="26" t="s">
        <v>44</v>
      </c>
      <c r="G8" s="14">
        <v>93</v>
      </c>
      <c r="H8" s="92">
        <f>IF(B$19=0,0,G8/B$19)</f>
        <v>0.24345549738219896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0.31736526946107785</v>
      </c>
      <c r="E9" s="29" t="s">
        <v>69</v>
      </c>
      <c r="F9" s="26" t="s">
        <v>24</v>
      </c>
      <c r="G9" s="14">
        <v>77</v>
      </c>
      <c r="H9" s="92">
        <f>IF(B$19=0,0,G9/B$19)</f>
        <v>0.20157068062827224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41.660294117647055</v>
      </c>
      <c r="C10" s="114">
        <v>2832.8999999999996</v>
      </c>
      <c r="E10" s="29" t="s">
        <v>65</v>
      </c>
      <c r="F10" s="26" t="s">
        <v>21</v>
      </c>
      <c r="G10" s="14">
        <v>51</v>
      </c>
      <c r="H10" s="92">
        <f>IF(B$19=0,0,G10/B$19)</f>
        <v>0.13350785340314136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0.12303664921465969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9.9203124999999979</v>
      </c>
      <c r="P11" s="81">
        <v>64</v>
      </c>
      <c r="Q11" s="72">
        <v>634.89999999999986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26</v>
      </c>
      <c r="H12" s="92">
        <f>IF(B$19=0,0,G12/B$19)</f>
        <v>6.8062827225130892E-2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1">
        <f>AVERAGE(B10:B12)</f>
        <v>1.6369971368366834</v>
      </c>
      <c r="C13" s="122"/>
      <c r="E13" s="29" t="s">
        <v>159</v>
      </c>
      <c r="F13" s="26" t="s">
        <v>160</v>
      </c>
      <c r="G13" s="14">
        <v>19</v>
      </c>
      <c r="H13" s="92">
        <f>IF(B$19=0,0,G13/B$19)</f>
        <v>4.9738219895287955E-2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0.11976047904191617</v>
      </c>
      <c r="E14" s="29" t="s">
        <v>83</v>
      </c>
      <c r="F14" s="26" t="s">
        <v>38</v>
      </c>
      <c r="G14" s="14">
        <v>13</v>
      </c>
      <c r="H14" s="92">
        <f>IF(B$19=0,0,G14/B$19)</f>
        <v>3.4031413612565446E-2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407</v>
      </c>
      <c r="C15" s="12">
        <f>IF(B$3=0,0,B15/B$3)</f>
        <v>0.29948491537895511</v>
      </c>
      <c r="E15" s="29" t="s">
        <v>86</v>
      </c>
      <c r="F15" s="26" t="s">
        <v>41</v>
      </c>
      <c r="G15" s="14">
        <v>13</v>
      </c>
      <c r="H15" s="92">
        <f>IF(B$19=0,0,G15/B$19)</f>
        <v>3.4031413612565446E-2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2"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256</v>
      </c>
      <c r="C16" s="8">
        <f>IF(B$3=0,0,B16/B$3)</f>
        <v>0.188373804267844</v>
      </c>
      <c r="E16" s="29" t="s">
        <v>91</v>
      </c>
      <c r="F16" s="26" t="s">
        <v>46</v>
      </c>
      <c r="G16" s="14">
        <v>9</v>
      </c>
      <c r="H16" s="92">
        <f>IF(B$19=0,0,G16/B$19)</f>
        <v>2.356020942408377E-2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2"/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223</v>
      </c>
      <c r="C17" s="6">
        <f>IF(B$15=0,0,B17/B$15)</f>
        <v>0.54791154791154795</v>
      </c>
      <c r="E17" s="29" t="s">
        <v>81</v>
      </c>
      <c r="F17" s="26" t="s">
        <v>36</v>
      </c>
      <c r="G17" s="14">
        <v>6</v>
      </c>
      <c r="H17" s="92">
        <f>IF(B$19=0,0,G17/B$19)</f>
        <v>1.5706806282722512E-2</v>
      </c>
      <c r="I17" s="60">
        <v>7</v>
      </c>
      <c r="K17" s="7">
        <v>15</v>
      </c>
      <c r="L17" s="65">
        <v>-101.79999999999997</v>
      </c>
      <c r="N17" s="78" t="s">
        <v>194</v>
      </c>
      <c r="O17" s="87">
        <f t="shared" si="2"/>
        <v>25.784615384615385</v>
      </c>
      <c r="P17" s="81">
        <v>13</v>
      </c>
      <c r="Q17" s="72">
        <v>335.2</v>
      </c>
    </row>
    <row r="18" spans="1:17" x14ac:dyDescent="0.45">
      <c r="A18" s="20" t="s">
        <v>124</v>
      </c>
      <c r="B18" s="13">
        <f>B24</f>
        <v>100</v>
      </c>
      <c r="C18" s="6">
        <f>IF(B$16=0,0,B18/B$16)</f>
        <v>0.390625</v>
      </c>
      <c r="E18" s="29" t="s">
        <v>92</v>
      </c>
      <c r="F18" s="26" t="s">
        <v>47</v>
      </c>
      <c r="G18" s="14">
        <v>6</v>
      </c>
      <c r="H18" s="92">
        <f>IF(B$19=0,0,G18/B$19)</f>
        <v>1.5706806282722512E-2</v>
      </c>
      <c r="I18" s="60">
        <v>1</v>
      </c>
      <c r="K18" s="7">
        <v>16</v>
      </c>
      <c r="L18" s="65">
        <v>-63.099999999999966</v>
      </c>
      <c r="N18" s="78" t="s">
        <v>195</v>
      </c>
      <c r="O18" s="87">
        <f t="shared" si="2"/>
        <v>19.176470588235297</v>
      </c>
      <c r="P18" s="81">
        <v>34</v>
      </c>
      <c r="Q18" s="72">
        <v>652.00000000000011</v>
      </c>
    </row>
    <row r="19" spans="1:17" x14ac:dyDescent="0.45">
      <c r="A19" s="20" t="s">
        <v>10</v>
      </c>
      <c r="B19" s="13">
        <f>B22+B21</f>
        <v>382</v>
      </c>
      <c r="C19" s="6">
        <f>IF(B$3=0,0,B19/B$3)</f>
        <v>0.28108903605592345</v>
      </c>
      <c r="E19" s="29" t="s">
        <v>78</v>
      </c>
      <c r="F19" s="26" t="s">
        <v>33</v>
      </c>
      <c r="G19" s="14">
        <v>5</v>
      </c>
      <c r="H19" s="92">
        <f>IF(B$19=0,0,G19/B$19)</f>
        <v>1.3089005235602094E-2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 t="shared" si="2"/>
        <v>7.2584415584415556</v>
      </c>
      <c r="P19" s="81">
        <v>77</v>
      </c>
      <c r="Q19" s="72">
        <v>558.89999999999975</v>
      </c>
    </row>
    <row r="20" spans="1:17" x14ac:dyDescent="0.45">
      <c r="A20" s="21" t="s">
        <v>13</v>
      </c>
      <c r="B20" s="14">
        <v>233</v>
      </c>
      <c r="C20" s="8">
        <f>IF(B$3=0,0,B20/B$3)</f>
        <v>0.1714495952906549</v>
      </c>
      <c r="E20" s="29" t="s">
        <v>79</v>
      </c>
      <c r="F20" s="26" t="s">
        <v>34</v>
      </c>
      <c r="G20" s="14">
        <v>4</v>
      </c>
      <c r="H20" s="92">
        <f>IF(B$19=0,0,G20/B$19)</f>
        <v>1.0471204188481676E-2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2"/>
        <v>3.2393939393939384</v>
      </c>
      <c r="P20" s="81">
        <v>66</v>
      </c>
      <c r="Q20" s="72">
        <v>213.79999999999993</v>
      </c>
    </row>
    <row r="21" spans="1:17" x14ac:dyDescent="0.45">
      <c r="A21" s="21" t="s">
        <v>12</v>
      </c>
      <c r="B21" s="14">
        <v>195</v>
      </c>
      <c r="C21" s="8">
        <f>IF(B$19=0,0,B21/B$19)</f>
        <v>0.51047120418848169</v>
      </c>
      <c r="E21" s="29" t="s">
        <v>85</v>
      </c>
      <c r="F21" s="26" t="s">
        <v>40</v>
      </c>
      <c r="G21" s="14">
        <v>4</v>
      </c>
      <c r="H21" s="92">
        <f>IF(B$19=0,0,G21/B$19)</f>
        <v>1.0471204188481676E-2</v>
      </c>
      <c r="I21" s="60">
        <v>4</v>
      </c>
      <c r="K21" s="7">
        <v>19</v>
      </c>
      <c r="L21" s="65">
        <v>-27.799999999999969</v>
      </c>
      <c r="N21" s="78" t="s">
        <v>169</v>
      </c>
      <c r="O21" s="87">
        <f t="shared" si="2"/>
        <v>-0.53846153846153899</v>
      </c>
      <c r="P21" s="81">
        <v>26</v>
      </c>
      <c r="Q21" s="72">
        <v>-14.000000000000014</v>
      </c>
    </row>
    <row r="22" spans="1:17" x14ac:dyDescent="0.45">
      <c r="A22" s="21" t="s">
        <v>11</v>
      </c>
      <c r="B22" s="14">
        <v>187</v>
      </c>
      <c r="C22" s="8">
        <f>IF(B$19=0,0,B22/B$19)</f>
        <v>0.48952879581151831</v>
      </c>
      <c r="E22" s="29" t="s">
        <v>84</v>
      </c>
      <c r="F22" s="26" t="s">
        <v>39</v>
      </c>
      <c r="G22" s="14">
        <v>3</v>
      </c>
      <c r="H22" s="92">
        <f>IF(B$19=0,0,G22/B$19)</f>
        <v>7.8534031413612562E-3</v>
      </c>
      <c r="I22" s="60">
        <v>1</v>
      </c>
      <c r="K22" s="7">
        <v>20</v>
      </c>
      <c r="L22" s="65">
        <v>-50.39999999999997</v>
      </c>
      <c r="N22" s="78" t="s">
        <v>126</v>
      </c>
      <c r="O22" s="87">
        <f t="shared" si="2"/>
        <v>-1.7383561643835621</v>
      </c>
      <c r="P22" s="81">
        <v>73</v>
      </c>
      <c r="Q22" s="72">
        <v>-126.90000000000003</v>
      </c>
    </row>
    <row r="23" spans="1:17" x14ac:dyDescent="0.45">
      <c r="A23" s="21" t="s">
        <v>192</v>
      </c>
      <c r="B23" s="14">
        <v>223</v>
      </c>
      <c r="C23" s="8">
        <f>IF(B$19=0,0,B23/B$19)</f>
        <v>0.58376963350785338</v>
      </c>
      <c r="E23" s="29" t="s">
        <v>73</v>
      </c>
      <c r="F23" s="26" t="s">
        <v>28</v>
      </c>
      <c r="G23" s="14">
        <v>2</v>
      </c>
      <c r="H23" s="92">
        <f>IF(B$19=0,0,G23/B$19)</f>
        <v>5.235602094240838E-3</v>
      </c>
      <c r="I23" s="60">
        <v>3</v>
      </c>
      <c r="K23" s="7">
        <v>21</v>
      </c>
      <c r="L23" s="65">
        <v>-59.89999999999997</v>
      </c>
      <c r="N23" s="78" t="s">
        <v>275</v>
      </c>
      <c r="O23" s="87">
        <f t="shared" si="2"/>
        <v>-2.910000000000001</v>
      </c>
      <c r="P23" s="81">
        <v>10</v>
      </c>
      <c r="Q23" s="72">
        <v>-29.100000000000009</v>
      </c>
    </row>
    <row r="24" spans="1:17" x14ac:dyDescent="0.45">
      <c r="A24" s="21" t="s">
        <v>190</v>
      </c>
      <c r="B24" s="14">
        <v>100</v>
      </c>
      <c r="C24" s="8">
        <f>IF(B$19=0,0,B24/B$19)</f>
        <v>0.26178010471204188</v>
      </c>
      <c r="E24" s="29" t="s">
        <v>75</v>
      </c>
      <c r="F24" s="26" t="s">
        <v>30</v>
      </c>
      <c r="G24" s="14">
        <v>2</v>
      </c>
      <c r="H24" s="92">
        <f>IF(B$19=0,0,G24/B$19)</f>
        <v>5.235602094240838E-3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59</v>
      </c>
      <c r="C25" s="8">
        <f>IF(B$19=0,0,B25/B$19)</f>
        <v>0.15445026178010471</v>
      </c>
      <c r="E25" s="29" t="s">
        <v>77</v>
      </c>
      <c r="F25" s="26" t="s">
        <v>32</v>
      </c>
      <c r="G25" s="14">
        <v>2</v>
      </c>
      <c r="H25" s="92">
        <f>IF(B$19=0,0,G25/B$19)</f>
        <v>5.235602094240838E-3</v>
      </c>
      <c r="I25" s="60">
        <v>1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10994.764397905759</v>
      </c>
      <c r="C26" s="10">
        <v>4200000</v>
      </c>
      <c r="E26" s="29" t="s">
        <v>90</v>
      </c>
      <c r="F26" s="26" t="s">
        <v>45</v>
      </c>
      <c r="G26" s="14">
        <v>2</v>
      </c>
      <c r="H26" s="92">
        <f>IF(B$19=0,0,G26/B$19)</f>
        <v>5.235602094240838E-3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11605.319148936171</v>
      </c>
      <c r="C27" s="100">
        <v>3272700</v>
      </c>
      <c r="E27" s="29" t="s">
        <v>88</v>
      </c>
      <c r="F27" s="26" t="s">
        <v>43</v>
      </c>
      <c r="G27" s="14">
        <v>1</v>
      </c>
      <c r="H27" s="92">
        <f>IF(B$19=0,0,G27/B$19)</f>
        <v>2.617801047120419E-3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9273</v>
      </c>
      <c r="C28" s="100">
        <v>927300</v>
      </c>
      <c r="E28" s="29" t="s">
        <v>93</v>
      </c>
      <c r="F28" s="26" t="s">
        <v>48</v>
      </c>
      <c r="G28" s="14">
        <v>1</v>
      </c>
      <c r="H28" s="92">
        <f>IF(B$19=0,0,G28/B$19)</f>
        <v>2.617801047120419E-3</v>
      </c>
      <c r="I28" s="60">
        <v>3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-8243.3476394849786</v>
      </c>
      <c r="C29" s="100">
        <v>-1920700</v>
      </c>
      <c r="E29" s="29" t="s">
        <v>95</v>
      </c>
      <c r="F29" s="26" t="s">
        <v>50</v>
      </c>
      <c r="G29" s="14">
        <v>1</v>
      </c>
      <c r="H29" s="92">
        <f>IF(B$19=0,0,G29/B$19)</f>
        <v>2.617801047120419E-3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2.617801047120419E-3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8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3">
        <v>8</v>
      </c>
      <c r="C32" s="124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5">
        <v>122100</v>
      </c>
      <c r="C33" s="126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1.4716703458425313E-3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3">IF(B$19=0,0,B36/B$19)</f>
        <v>2.6178010471204188E-2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33</v>
      </c>
      <c r="C37" s="8">
        <f t="shared" si="3"/>
        <v>8.6387434554973816E-2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54</v>
      </c>
      <c r="C38" s="8">
        <f t="shared" si="3"/>
        <v>0.14136125654450263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70</v>
      </c>
      <c r="C39" s="8">
        <f t="shared" si="3"/>
        <v>0.18324607329842932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81</v>
      </c>
      <c r="C40" s="8">
        <f t="shared" si="3"/>
        <v>0.21204188481675393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3"/>
        <v>0.13350785340314136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3"/>
        <v>7.0680628272251314E-2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26</v>
      </c>
      <c r="C43" s="8">
        <f t="shared" si="3"/>
        <v>6.8062827225130892E-2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12</v>
      </c>
      <c r="C44" s="8">
        <f t="shared" si="3"/>
        <v>3.1413612565445025E-2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3"/>
        <v>7.8534031413612562E-3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3"/>
        <v>7.8534031413612562E-3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3"/>
        <v>2.617801047120419E-3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3"/>
        <v>2.8795811518324606E-2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  <row r="167" spans="11:12" x14ac:dyDescent="0.45">
      <c r="K167" s="7">
        <v>165</v>
      </c>
      <c r="L167" s="65">
        <v>772.10000000000036</v>
      </c>
    </row>
    <row r="168" spans="11:12" x14ac:dyDescent="0.45">
      <c r="K168" s="7">
        <v>166</v>
      </c>
      <c r="L168" s="65">
        <v>844.40000000000032</v>
      </c>
    </row>
    <row r="169" spans="11:12" x14ac:dyDescent="0.45">
      <c r="K169" s="7">
        <v>167</v>
      </c>
      <c r="L169" s="65">
        <v>888.20000000000027</v>
      </c>
    </row>
  </sheetData>
  <sortState xmlns:xlrd2="http://schemas.microsoft.com/office/spreadsheetml/2017/richdata2" ref="E2:I1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F00A-8BC9-42D0-8E80-85055E745C8E}">
  <sheetPr codeName="Sheet17"/>
  <dimension ref="A1:Q1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168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171</v>
      </c>
      <c r="C2" s="130"/>
      <c r="E2" s="28" t="s">
        <v>66</v>
      </c>
      <c r="F2" s="25" t="s">
        <v>22</v>
      </c>
      <c r="G2" s="13">
        <v>278</v>
      </c>
      <c r="H2" s="91">
        <f>IF(B$19=0,0,G2/B$19)</f>
        <v>0.73350923482849606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-167.83625730994152</v>
      </c>
      <c r="P2" s="80">
        <v>171</v>
      </c>
      <c r="Q2" s="67">
        <v>-28700</v>
      </c>
    </row>
    <row r="3" spans="1:17" x14ac:dyDescent="0.45">
      <c r="A3" s="21" t="s">
        <v>8</v>
      </c>
      <c r="B3" s="131">
        <v>1387</v>
      </c>
      <c r="C3" s="132"/>
      <c r="E3" s="29" t="s">
        <v>72</v>
      </c>
      <c r="F3" s="26" t="s">
        <v>27</v>
      </c>
      <c r="G3" s="14">
        <v>208</v>
      </c>
      <c r="H3" s="92">
        <f>IF(B$19=0,0,G3/B$19)</f>
        <v>0.54881266490765168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632.14285714285711</v>
      </c>
      <c r="P3" s="81">
        <v>168</v>
      </c>
      <c r="Q3" s="68">
        <v>106200</v>
      </c>
    </row>
    <row r="4" spans="1:17" x14ac:dyDescent="0.45">
      <c r="A4" s="21" t="s">
        <v>6</v>
      </c>
      <c r="B4" s="133">
        <v>-81.499999999999986</v>
      </c>
      <c r="C4" s="134"/>
      <c r="E4" s="29" t="s">
        <v>64</v>
      </c>
      <c r="F4" s="26" t="s">
        <v>20</v>
      </c>
      <c r="G4" s="14">
        <v>183</v>
      </c>
      <c r="H4" s="92">
        <f>IF(B$19=0,0,G4/B$19)</f>
        <v>0.48284960422163586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264.96815286624206</v>
      </c>
      <c r="P4" s="81">
        <v>157</v>
      </c>
      <c r="Q4" s="68">
        <v>41600</v>
      </c>
    </row>
    <row r="5" spans="1:17" x14ac:dyDescent="0.45">
      <c r="A5" s="21" t="s">
        <v>7</v>
      </c>
      <c r="B5" s="121">
        <f>IF(B$2=0,0,B$4/B$2)</f>
        <v>-0.47660818713450281</v>
      </c>
      <c r="C5" s="122"/>
      <c r="E5" s="29" t="s">
        <v>163</v>
      </c>
      <c r="F5" s="26" t="s">
        <v>164</v>
      </c>
      <c r="G5" s="14">
        <v>169</v>
      </c>
      <c r="H5" s="92">
        <f>IF(B$19=0,0,G5/B$19)</f>
        <v>0.44591029023746703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-76.223776223776227</v>
      </c>
      <c r="P5" s="81">
        <v>143</v>
      </c>
      <c r="Q5" s="68">
        <v>-10900</v>
      </c>
    </row>
    <row r="6" spans="1:17" x14ac:dyDescent="0.45">
      <c r="A6" s="21" t="s">
        <v>1</v>
      </c>
      <c r="B6" s="135">
        <f>IF(B$2=0,0,(B$7*1+B$8*2+B$9*3)/B$2)</f>
        <v>2.0467836257309941</v>
      </c>
      <c r="C6" s="136"/>
      <c r="E6" s="29" t="s">
        <v>68</v>
      </c>
      <c r="F6" s="26" t="s">
        <v>12</v>
      </c>
      <c r="G6" s="14">
        <v>121</v>
      </c>
      <c r="H6" s="92">
        <f>IF(B$19=0,0,G6/B$19)</f>
        <v>0.31926121372031663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0.25730994152046782</v>
      </c>
      <c r="E7" s="29" t="s">
        <v>67</v>
      </c>
      <c r="F7" s="26" t="s">
        <v>23</v>
      </c>
      <c r="G7" s="14">
        <v>118</v>
      </c>
      <c r="H7" s="92">
        <f>IF(B$19=0,0,G7/B$19)</f>
        <v>0.31134564643799473</v>
      </c>
      <c r="I7" s="60">
        <v>7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75</v>
      </c>
      <c r="C8" s="8">
        <f t="shared" si="1"/>
        <v>0.43859649122807015</v>
      </c>
      <c r="E8" s="29" t="s">
        <v>69</v>
      </c>
      <c r="F8" s="26" t="s">
        <v>24</v>
      </c>
      <c r="G8" s="14">
        <v>53</v>
      </c>
      <c r="H8" s="92">
        <f>IF(B$19=0,0,G8/B$19)</f>
        <v>0.13984168865435356</v>
      </c>
      <c r="I8" s="60">
        <v>8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0.30409356725146197</v>
      </c>
      <c r="E9" s="29" t="s">
        <v>89</v>
      </c>
      <c r="F9" s="26" t="s">
        <v>44</v>
      </c>
      <c r="G9" s="14">
        <v>53</v>
      </c>
      <c r="H9" s="92">
        <f>IF(B$19=0,0,G9/B$19)</f>
        <v>0.13984168865435356</v>
      </c>
      <c r="I9" s="60">
        <v>7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38</v>
      </c>
      <c r="H10" s="92">
        <f>IF(B$19=0,0,G10/B$19)</f>
        <v>0.10026385224274406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0.30133333333333356</v>
      </c>
      <c r="C11" s="114">
        <v>22.600000000000016</v>
      </c>
      <c r="E11" s="29" t="s">
        <v>65</v>
      </c>
      <c r="F11" s="26" t="s">
        <v>21</v>
      </c>
      <c r="G11" s="14">
        <v>31</v>
      </c>
      <c r="H11" s="92">
        <f>IF(B$19=0,0,G11/B$19)</f>
        <v>8.1794195250659632E-2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29</v>
      </c>
      <c r="H12" s="92">
        <f>IF(B$19=0,0,G12/B$19)</f>
        <v>7.6517150395778361E-2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1.3019230769230767</v>
      </c>
      <c r="P12" s="82">
        <v>52</v>
      </c>
      <c r="Q12" s="73">
        <v>67.699999999999989</v>
      </c>
    </row>
    <row r="13" spans="1:17" x14ac:dyDescent="0.45">
      <c r="A13" s="22" t="s">
        <v>206</v>
      </c>
      <c r="B13" s="121">
        <f>AVERAGE(B10:B12)</f>
        <v>1.3809222999222992</v>
      </c>
      <c r="C13" s="122"/>
      <c r="E13" s="29" t="s">
        <v>86</v>
      </c>
      <c r="F13" s="26" t="s">
        <v>41</v>
      </c>
      <c r="G13" s="14">
        <v>18</v>
      </c>
      <c r="H13" s="92">
        <f>IF(B$19=0,0,G13/B$19)</f>
        <v>4.7493403693931395E-2</v>
      </c>
      <c r="I13" s="60">
        <v>6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8.1871345029239762E-2</v>
      </c>
      <c r="E14" s="29" t="s">
        <v>83</v>
      </c>
      <c r="F14" s="26" t="s">
        <v>38</v>
      </c>
      <c r="G14" s="14">
        <v>16</v>
      </c>
      <c r="H14" s="92">
        <f>IF(B$19=0,0,G14/B$19)</f>
        <v>4.221635883905013E-2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346</v>
      </c>
      <c r="C15" s="12">
        <f>IF(B$3=0,0,B15/B$3)</f>
        <v>0.24945926459985579</v>
      </c>
      <c r="E15" s="29" t="s">
        <v>78</v>
      </c>
      <c r="F15" s="26" t="s">
        <v>33</v>
      </c>
      <c r="G15" s="14">
        <v>8</v>
      </c>
      <c r="H15" s="92">
        <f>IF(B$19=0,0,G15/B$19)</f>
        <v>2.1108179419525065E-2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2"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313</v>
      </c>
      <c r="C16" s="8">
        <f>IF(B$3=0,0,B16/B$3)</f>
        <v>0.22566690699351116</v>
      </c>
      <c r="E16" s="29" t="s">
        <v>79</v>
      </c>
      <c r="F16" s="26" t="s">
        <v>34</v>
      </c>
      <c r="G16" s="14">
        <v>7</v>
      </c>
      <c r="H16" s="92">
        <f>IF(B$19=0,0,G16/B$19)</f>
        <v>1.8469656992084433E-2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2"/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190</v>
      </c>
      <c r="C17" s="6">
        <f>IF(B$15=0,0,B17/B$15)</f>
        <v>0.54913294797687862</v>
      </c>
      <c r="E17" s="29" t="s">
        <v>159</v>
      </c>
      <c r="F17" s="26" t="s">
        <v>160</v>
      </c>
      <c r="G17" s="14">
        <v>7</v>
      </c>
      <c r="H17" s="92">
        <f>IF(B$19=0,0,G17/B$19)</f>
        <v>1.8469656992084433E-2</v>
      </c>
      <c r="I17" s="60">
        <v>5</v>
      </c>
      <c r="K17" s="7">
        <v>15</v>
      </c>
      <c r="L17" s="65">
        <v>-35.499999999999986</v>
      </c>
      <c r="N17" s="78" t="s">
        <v>194</v>
      </c>
      <c r="O17" s="87">
        <f t="shared" si="2"/>
        <v>23.842857142857138</v>
      </c>
      <c r="P17" s="81">
        <v>7</v>
      </c>
      <c r="Q17" s="72">
        <v>166.89999999999998</v>
      </c>
    </row>
    <row r="18" spans="1:17" x14ac:dyDescent="0.45">
      <c r="A18" s="20" t="s">
        <v>124</v>
      </c>
      <c r="B18" s="13">
        <f>B24</f>
        <v>132</v>
      </c>
      <c r="C18" s="6">
        <f>IF(B$16=0,0,B18/B$16)</f>
        <v>0.4217252396166134</v>
      </c>
      <c r="E18" s="29" t="s">
        <v>73</v>
      </c>
      <c r="F18" s="26" t="s">
        <v>28</v>
      </c>
      <c r="G18" s="14">
        <v>5</v>
      </c>
      <c r="H18" s="92">
        <f>IF(B$19=0,0,G18/B$19)</f>
        <v>1.3192612137203167E-2</v>
      </c>
      <c r="I18" s="60">
        <v>1</v>
      </c>
      <c r="K18" s="7">
        <v>16</v>
      </c>
      <c r="L18" s="65">
        <v>-35.599999999999987</v>
      </c>
      <c r="N18" s="78" t="s">
        <v>195</v>
      </c>
      <c r="O18" s="87">
        <f t="shared" si="2"/>
        <v>19</v>
      </c>
      <c r="P18" s="81">
        <v>29</v>
      </c>
      <c r="Q18" s="72">
        <v>551</v>
      </c>
    </row>
    <row r="19" spans="1:17" x14ac:dyDescent="0.45">
      <c r="A19" s="20" t="s">
        <v>10</v>
      </c>
      <c r="B19" s="13">
        <f>B22+B21</f>
        <v>379</v>
      </c>
      <c r="C19" s="6">
        <f>IF(B$3=0,0,B19/B$3)</f>
        <v>0.27325162220620042</v>
      </c>
      <c r="E19" s="29" t="s">
        <v>81</v>
      </c>
      <c r="F19" s="26" t="s">
        <v>36</v>
      </c>
      <c r="G19" s="14">
        <v>5</v>
      </c>
      <c r="H19" s="92">
        <f>IF(B$19=0,0,G19/B$19)</f>
        <v>1.3192612137203167E-2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 t="shared" si="2"/>
        <v>7.5862068965517251</v>
      </c>
      <c r="P19" s="81">
        <v>29</v>
      </c>
      <c r="Q19" s="72">
        <v>220.00000000000003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0.13698630136986301</v>
      </c>
      <c r="E20" s="29" t="s">
        <v>91</v>
      </c>
      <c r="F20" s="26" t="s">
        <v>46</v>
      </c>
      <c r="G20" s="14">
        <v>5</v>
      </c>
      <c r="H20" s="92">
        <f>IF(B$19=0,0,G20/B$19)</f>
        <v>1.3192612137203167E-2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 t="shared" si="2"/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173</v>
      </c>
      <c r="C21" s="8">
        <f>IF(B$19=0,0,B21/B$19)</f>
        <v>0.45646437994722955</v>
      </c>
      <c r="E21" s="29" t="s">
        <v>85</v>
      </c>
      <c r="F21" s="26" t="s">
        <v>40</v>
      </c>
      <c r="G21" s="14">
        <v>4</v>
      </c>
      <c r="H21" s="92">
        <f>IF(B$19=0,0,G21/B$19)</f>
        <v>1.0554089709762533E-2</v>
      </c>
      <c r="I21" s="60">
        <v>3</v>
      </c>
      <c r="K21" s="7">
        <v>19</v>
      </c>
      <c r="L21" s="65">
        <v>-56.399999999999991</v>
      </c>
      <c r="N21" s="78" t="s">
        <v>127</v>
      </c>
      <c r="O21" s="87">
        <f t="shared" si="2"/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206</v>
      </c>
      <c r="C22" s="8">
        <f>IF(B$19=0,0,B22/B$19)</f>
        <v>0.54353562005277045</v>
      </c>
      <c r="E22" s="29" t="s">
        <v>75</v>
      </c>
      <c r="F22" s="26" t="s">
        <v>30</v>
      </c>
      <c r="G22" s="14">
        <v>3</v>
      </c>
      <c r="H22" s="92">
        <f>IF(B$19=0,0,G22/B$19)</f>
        <v>7.9155672823219003E-3</v>
      </c>
      <c r="I22" s="60">
        <v>5</v>
      </c>
      <c r="K22" s="7">
        <v>20</v>
      </c>
      <c r="L22" s="65">
        <v>-93.199999999999989</v>
      </c>
      <c r="N22" s="78" t="s">
        <v>158</v>
      </c>
      <c r="O22" s="87">
        <f t="shared" si="2"/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190</v>
      </c>
      <c r="C23" s="8">
        <f>IF(B$19=0,0,B23/B$19)</f>
        <v>0.50131926121372028</v>
      </c>
      <c r="E23" s="29" t="s">
        <v>92</v>
      </c>
      <c r="F23" s="26" t="s">
        <v>47</v>
      </c>
      <c r="G23" s="14">
        <v>3</v>
      </c>
      <c r="H23" s="92">
        <f>IF(B$19=0,0,G23/B$19)</f>
        <v>7.9155672823219003E-3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 t="shared" si="2"/>
        <v>-7.2584415584415556</v>
      </c>
      <c r="P23" s="81">
        <v>77</v>
      </c>
      <c r="Q23" s="72">
        <v>-558.89999999999975</v>
      </c>
    </row>
    <row r="24" spans="1:17" x14ac:dyDescent="0.45">
      <c r="A24" s="21" t="s">
        <v>190</v>
      </c>
      <c r="B24" s="14">
        <v>132</v>
      </c>
      <c r="C24" s="8">
        <f>IF(B$19=0,0,B24/B$19)</f>
        <v>0.34828496042216361</v>
      </c>
      <c r="E24" s="29" t="s">
        <v>88</v>
      </c>
      <c r="F24" s="26" t="s">
        <v>43</v>
      </c>
      <c r="G24" s="14">
        <v>2</v>
      </c>
      <c r="H24" s="92">
        <f>IF(B$19=0,0,G24/B$19)</f>
        <v>5.2770448548812663E-3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2"/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57</v>
      </c>
      <c r="C25" s="8">
        <f>IF(B$19=0,0,B25/B$19)</f>
        <v>0.15039577836411611</v>
      </c>
      <c r="E25" s="29" t="s">
        <v>74</v>
      </c>
      <c r="F25" s="26" t="s">
        <v>29</v>
      </c>
      <c r="G25" s="14">
        <v>1</v>
      </c>
      <c r="H25" s="92">
        <f>IF(B$19=0,0,G25/B$19)</f>
        <v>2.6385224274406332E-3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2"/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8472.0316622691298</v>
      </c>
      <c r="C26" s="10">
        <v>3210900</v>
      </c>
      <c r="E26" s="29" t="s">
        <v>87</v>
      </c>
      <c r="F26" s="26" t="s">
        <v>42</v>
      </c>
      <c r="G26" s="14">
        <v>1</v>
      </c>
      <c r="H26" s="92">
        <f>IF(B$19=0,0,G26/B$19)</f>
        <v>2.6385224274406332E-3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9398.7854251012141</v>
      </c>
      <c r="C27" s="100">
        <v>2321500</v>
      </c>
      <c r="E27" s="29" t="s">
        <v>93</v>
      </c>
      <c r="F27" s="26" t="s">
        <v>48</v>
      </c>
      <c r="G27" s="14">
        <v>1</v>
      </c>
      <c r="H27" s="92">
        <f>IF(B$19=0,0,G27/B$19)</f>
        <v>2.6385224274406332E-3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6737.878787878788</v>
      </c>
      <c r="C28" s="100">
        <v>889400</v>
      </c>
      <c r="E28" s="29" t="s">
        <v>101</v>
      </c>
      <c r="F28" s="26" t="s">
        <v>56</v>
      </c>
      <c r="G28" s="14">
        <v>1</v>
      </c>
      <c r="H28" s="92">
        <f>IF(B$19=0,0,G28/B$19)</f>
        <v>2.6385224274406332E-3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35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3">
        <v>8</v>
      </c>
      <c r="C32" s="124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5">
        <v>101400</v>
      </c>
      <c r="C33" s="126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1.4419610670511895E-3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3">IF(B$19=0,0,B36/B$19)</f>
        <v>6.0686015831134567E-2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69</v>
      </c>
      <c r="C37" s="8">
        <f t="shared" si="3"/>
        <v>0.18205804749340371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3"/>
        <v>0.18997361477572558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3"/>
        <v>0.19788918205804748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3"/>
        <v>0.13456464379947231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44</v>
      </c>
      <c r="C41" s="8">
        <f t="shared" si="3"/>
        <v>0.11609498680738786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20</v>
      </c>
      <c r="C42" s="8">
        <f t="shared" si="3"/>
        <v>5.2770448548812667E-2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3"/>
        <v>2.6385224274406333E-2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3"/>
        <v>1.0554089709762533E-2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3"/>
        <v>7.9155672823219003E-3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3"/>
        <v>2.6385224274406332E-3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3"/>
        <v>5.2770448548812663E-3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3"/>
        <v>1.3192612137203167E-2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  <row r="172" spans="11:12" x14ac:dyDescent="0.45">
      <c r="K172" s="7">
        <v>170</v>
      </c>
      <c r="L172" s="65">
        <v>-93.899999999999991</v>
      </c>
    </row>
    <row r="173" spans="11:12" x14ac:dyDescent="0.45">
      <c r="K173" s="7">
        <v>171</v>
      </c>
      <c r="L173" s="65">
        <v>-81.499999999999986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DBE-30D6-4995-B0E9-3B7B757461B1}">
  <sheetPr codeName="Sheet19"/>
  <dimension ref="A1:Q8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79</v>
      </c>
      <c r="C2" s="130"/>
      <c r="E2" s="28" t="s">
        <v>66</v>
      </c>
      <c r="F2" s="25" t="s">
        <v>22</v>
      </c>
      <c r="G2" s="13">
        <v>108</v>
      </c>
      <c r="H2" s="91">
        <f>IF(B$19=0,0,G2/B$19)</f>
        <v>0.67924528301886788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-3475.9493670886077</v>
      </c>
      <c r="P2" s="80">
        <v>79</v>
      </c>
      <c r="Q2" s="67">
        <v>-274600</v>
      </c>
    </row>
    <row r="3" spans="1:17" x14ac:dyDescent="0.45">
      <c r="A3" s="21" t="s">
        <v>8</v>
      </c>
      <c r="B3" s="131">
        <v>647</v>
      </c>
      <c r="C3" s="132"/>
      <c r="E3" s="29" t="s">
        <v>72</v>
      </c>
      <c r="F3" s="26" t="s">
        <v>27</v>
      </c>
      <c r="G3" s="14">
        <v>105</v>
      </c>
      <c r="H3" s="92">
        <f>IF(B$19=0,0,G3/B$19)</f>
        <v>0.660377358490566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619.23076923076928</v>
      </c>
      <c r="P3" s="81">
        <v>78</v>
      </c>
      <c r="Q3" s="68">
        <v>48300</v>
      </c>
    </row>
    <row r="4" spans="1:17" x14ac:dyDescent="0.45">
      <c r="A4" s="21" t="s">
        <v>6</v>
      </c>
      <c r="B4" s="133">
        <v>-896.80000000000018</v>
      </c>
      <c r="C4" s="134"/>
      <c r="E4" s="29" t="s">
        <v>64</v>
      </c>
      <c r="F4" s="26" t="s">
        <v>20</v>
      </c>
      <c r="G4" s="14">
        <v>67</v>
      </c>
      <c r="H4" s="92">
        <f>IF(B$19=0,0,G4/B$19)</f>
        <v>0.42138364779874216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-1241.0958904109589</v>
      </c>
      <c r="P4" s="81">
        <v>73</v>
      </c>
      <c r="Q4" s="68">
        <v>-90600</v>
      </c>
    </row>
    <row r="5" spans="1:17" x14ac:dyDescent="0.45">
      <c r="A5" s="21" t="s">
        <v>7</v>
      </c>
      <c r="B5" s="121">
        <f>IF(B$2=0,0,B$4/B$2)</f>
        <v>-11.351898734177217</v>
      </c>
      <c r="C5" s="122"/>
      <c r="E5" s="29" t="s">
        <v>163</v>
      </c>
      <c r="F5" s="26" t="s">
        <v>164</v>
      </c>
      <c r="G5" s="14">
        <v>57</v>
      </c>
      <c r="H5" s="92">
        <f>IF(B$19=0,0,G5/B$19)</f>
        <v>0.35849056603773582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-1640</v>
      </c>
      <c r="P5" s="81">
        <v>65</v>
      </c>
      <c r="Q5" s="68">
        <v>-106600</v>
      </c>
    </row>
    <row r="6" spans="1:17" x14ac:dyDescent="0.45">
      <c r="A6" s="21" t="s">
        <v>1</v>
      </c>
      <c r="B6" s="135">
        <f>IF(B$2=0,0,(B$7*1+B$8*2+B$9*3)/B$2)</f>
        <v>2.278481012658228</v>
      </c>
      <c r="C6" s="136"/>
      <c r="E6" s="29" t="s">
        <v>68</v>
      </c>
      <c r="F6" s="26" t="s">
        <v>12</v>
      </c>
      <c r="G6" s="14">
        <v>45</v>
      </c>
      <c r="H6" s="92">
        <f>IF(B$19=0,0,G6/B$19)</f>
        <v>0.28301886792452829</v>
      </c>
      <c r="I6" s="60">
        <v>10</v>
      </c>
      <c r="K6" s="7">
        <v>4</v>
      </c>
      <c r="L6" s="65">
        <v>-80.5</v>
      </c>
      <c r="N6" s="78" t="s">
        <v>134</v>
      </c>
      <c r="O6" s="84">
        <f t="shared" si="0"/>
        <v>-1473.7704918032787</v>
      </c>
      <c r="P6" s="81">
        <v>61</v>
      </c>
      <c r="Q6" s="68">
        <v>-89900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0.15189873417721519</v>
      </c>
      <c r="E7" s="29" t="s">
        <v>67</v>
      </c>
      <c r="F7" s="26" t="s">
        <v>23</v>
      </c>
      <c r="G7" s="14">
        <v>40</v>
      </c>
      <c r="H7" s="92">
        <f>IF(B$19=0,0,G7/B$19)</f>
        <v>0.25157232704402516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-1736.7346938775511</v>
      </c>
      <c r="P7" s="82">
        <v>49</v>
      </c>
      <c r="Q7" s="69">
        <v>-85100</v>
      </c>
    </row>
    <row r="8" spans="1:17" x14ac:dyDescent="0.45">
      <c r="A8" s="21" t="s">
        <v>3</v>
      </c>
      <c r="B8" s="14">
        <v>33</v>
      </c>
      <c r="C8" s="8">
        <f t="shared" si="1"/>
        <v>0.41772151898734178</v>
      </c>
      <c r="E8" s="29" t="s">
        <v>89</v>
      </c>
      <c r="F8" s="26" t="s">
        <v>44</v>
      </c>
      <c r="G8" s="14">
        <v>26</v>
      </c>
      <c r="H8" s="92">
        <f>IF(B$19=0,0,G8/B$19)</f>
        <v>0.16352201257861634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34</v>
      </c>
      <c r="C9" s="9">
        <f t="shared" si="1"/>
        <v>0.43037974683544306</v>
      </c>
      <c r="E9" s="29" t="s">
        <v>65</v>
      </c>
      <c r="F9" s="26" t="s">
        <v>21</v>
      </c>
      <c r="G9" s="14">
        <v>16</v>
      </c>
      <c r="H9" s="92">
        <f>IF(B$19=0,0,G9/B$19)</f>
        <v>0.10062893081761007</v>
      </c>
      <c r="I9" s="60">
        <v>10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34.966666666666661</v>
      </c>
      <c r="C10" s="114">
        <v>419.59999999999997</v>
      </c>
      <c r="E10" s="29" t="s">
        <v>70</v>
      </c>
      <c r="F10" s="26" t="s">
        <v>25</v>
      </c>
      <c r="G10" s="14">
        <v>15</v>
      </c>
      <c r="H10" s="92">
        <f>IF(B$19=0,0,G10/B$19)</f>
        <v>9.4339622641509441E-2</v>
      </c>
      <c r="I10" s="60">
        <v>8</v>
      </c>
      <c r="K10" s="7">
        <v>8</v>
      </c>
      <c r="L10" s="65">
        <v>-152.6</v>
      </c>
      <c r="N10" s="77" t="s">
        <v>154</v>
      </c>
      <c r="O10" s="86">
        <f>IF(P10=0,0,Q10/P10)</f>
        <v>-21.059374999999999</v>
      </c>
      <c r="P10" s="80">
        <v>32</v>
      </c>
      <c r="Q10" s="71">
        <v>-673.9</v>
      </c>
    </row>
    <row r="11" spans="1:17" x14ac:dyDescent="0.45">
      <c r="A11" s="22" t="s">
        <v>204</v>
      </c>
      <c r="B11" s="113">
        <f>IF(B8=0,0,C11/B8)</f>
        <v>-0.57878787878787863</v>
      </c>
      <c r="C11" s="114">
        <v>-19.099999999999994</v>
      </c>
      <c r="E11" s="29" t="s">
        <v>71</v>
      </c>
      <c r="F11" s="26" t="s">
        <v>26</v>
      </c>
      <c r="G11" s="14">
        <v>14</v>
      </c>
      <c r="H11" s="92">
        <f>IF(B$19=0,0,G11/B$19)</f>
        <v>8.8050314465408799E-2</v>
      </c>
      <c r="I11" s="60">
        <v>5</v>
      </c>
      <c r="K11" s="7">
        <v>9</v>
      </c>
      <c r="L11" s="65">
        <v>-150.6</v>
      </c>
      <c r="N11" s="78" t="s">
        <v>155</v>
      </c>
      <c r="O11" s="87">
        <f>IF(P11=0,0,Q11/P11)</f>
        <v>0.32000000000000034</v>
      </c>
      <c r="P11" s="81">
        <v>25</v>
      </c>
      <c r="Q11" s="72">
        <v>8.0000000000000089</v>
      </c>
    </row>
    <row r="12" spans="1:17" x14ac:dyDescent="0.45">
      <c r="A12" s="22" t="s">
        <v>205</v>
      </c>
      <c r="B12" s="113">
        <f>IF(B9=0,0,C12/B9)</f>
        <v>-38.155882352941184</v>
      </c>
      <c r="C12" s="114">
        <v>-1297.3000000000002</v>
      </c>
      <c r="E12" s="29" t="s">
        <v>69</v>
      </c>
      <c r="F12" s="26" t="s">
        <v>24</v>
      </c>
      <c r="G12" s="14">
        <v>13</v>
      </c>
      <c r="H12" s="92">
        <f>IF(B$19=0,0,G12/B$19)</f>
        <v>8.1761006289308172E-2</v>
      </c>
      <c r="I12" s="60">
        <v>12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1">
        <f>AVERAGE(B10:B12)</f>
        <v>-1.2560011883541335</v>
      </c>
      <c r="C13" s="122"/>
      <c r="E13" s="29" t="s">
        <v>81</v>
      </c>
      <c r="F13" s="26" t="s">
        <v>36</v>
      </c>
      <c r="G13" s="14">
        <v>10</v>
      </c>
      <c r="H13" s="92">
        <f>IF(B$19=0,0,G13/B$19)</f>
        <v>6.2893081761006289E-2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0.17721518987341772</v>
      </c>
      <c r="E14" s="29" t="s">
        <v>83</v>
      </c>
      <c r="F14" s="26" t="s">
        <v>38</v>
      </c>
      <c r="G14" s="14">
        <v>10</v>
      </c>
      <c r="H14" s="92">
        <f>IF(B$19=0,0,G14/B$19)</f>
        <v>6.2893081761006289E-2</v>
      </c>
      <c r="I14" s="60">
        <v>4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135</v>
      </c>
      <c r="C15" s="12">
        <f>IF(B$3=0,0,B15/B$3)</f>
        <v>0.20865533230293662</v>
      </c>
      <c r="E15" s="29" t="s">
        <v>86</v>
      </c>
      <c r="F15" s="26" t="s">
        <v>41</v>
      </c>
      <c r="G15" s="14">
        <v>8</v>
      </c>
      <c r="H15" s="92">
        <f>IF(B$19=0,0,G15/B$19)</f>
        <v>5.0314465408805034E-2</v>
      </c>
      <c r="I15" s="60">
        <v>4</v>
      </c>
      <c r="K15" s="7">
        <v>13</v>
      </c>
      <c r="L15" s="65">
        <v>-217.60000000000002</v>
      </c>
      <c r="N15" s="77" t="s">
        <v>275</v>
      </c>
      <c r="O15" s="86">
        <f t="shared" ref="O15:O25" si="2">IF(P15=0,0,Q15/P15)</f>
        <v>22.933333333333334</v>
      </c>
      <c r="P15" s="80">
        <v>3</v>
      </c>
      <c r="Q15" s="71">
        <v>68.8</v>
      </c>
    </row>
    <row r="16" spans="1:17" x14ac:dyDescent="0.45">
      <c r="A16" s="21" t="s">
        <v>118</v>
      </c>
      <c r="B16" s="14">
        <v>148</v>
      </c>
      <c r="C16" s="8">
        <f>IF(B$3=0,0,B16/B$3)</f>
        <v>0.22874806800618239</v>
      </c>
      <c r="E16" s="29" t="s">
        <v>91</v>
      </c>
      <c r="F16" s="26" t="s">
        <v>46</v>
      </c>
      <c r="G16" s="14">
        <v>4</v>
      </c>
      <c r="H16" s="92">
        <f>IF(B$19=0,0,G16/B$19)</f>
        <v>2.5157232704402517E-2</v>
      </c>
      <c r="I16" s="60">
        <v>3</v>
      </c>
      <c r="K16" s="7">
        <v>14</v>
      </c>
      <c r="L16" s="65">
        <v>-266.90000000000003</v>
      </c>
      <c r="N16" s="78" t="s">
        <v>158</v>
      </c>
      <c r="O16" s="87">
        <f t="shared" si="2"/>
        <v>11.63478260869565</v>
      </c>
      <c r="P16" s="81">
        <v>23</v>
      </c>
      <c r="Q16" s="72">
        <v>267.59999999999997</v>
      </c>
    </row>
    <row r="17" spans="1:17" x14ac:dyDescent="0.45">
      <c r="A17" s="20" t="s">
        <v>123</v>
      </c>
      <c r="B17" s="13">
        <f>B23</f>
        <v>70</v>
      </c>
      <c r="C17" s="6">
        <f>IF(B$15=0,0,B17/B$15)</f>
        <v>0.51851851851851849</v>
      </c>
      <c r="E17" s="29" t="s">
        <v>78</v>
      </c>
      <c r="F17" s="26" t="s">
        <v>33</v>
      </c>
      <c r="G17" s="14">
        <v>2</v>
      </c>
      <c r="H17" s="92">
        <f>IF(B$19=0,0,G17/B$19)</f>
        <v>1.2578616352201259E-2</v>
      </c>
      <c r="I17" s="60">
        <v>9</v>
      </c>
      <c r="K17" s="7">
        <v>15</v>
      </c>
      <c r="L17" s="65">
        <v>-272.50000000000006</v>
      </c>
      <c r="N17" s="78" t="s">
        <v>281</v>
      </c>
      <c r="O17" s="87">
        <f t="shared" si="2"/>
        <v>2.1000000000000014</v>
      </c>
      <c r="P17" s="81">
        <v>3</v>
      </c>
      <c r="Q17" s="72">
        <v>6.3000000000000043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0.40540540540540543</v>
      </c>
      <c r="E18" s="29" t="s">
        <v>73</v>
      </c>
      <c r="F18" s="26" t="s">
        <v>28</v>
      </c>
      <c r="G18" s="14">
        <v>1</v>
      </c>
      <c r="H18" s="92">
        <f>IF(B$19=0,0,G18/B$19)</f>
        <v>6.2893081761006293E-3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159</v>
      </c>
      <c r="C19" s="6">
        <f>IF(B$3=0,0,B19/B$3)</f>
        <v>0.24574961360123648</v>
      </c>
      <c r="E19" s="29" t="s">
        <v>74</v>
      </c>
      <c r="F19" s="26" t="s">
        <v>29</v>
      </c>
      <c r="G19" s="14">
        <v>1</v>
      </c>
      <c r="H19" s="92">
        <f>IF(B$19=0,0,G19/B$19)</f>
        <v>6.2893081761006293E-3</v>
      </c>
      <c r="I19" s="60">
        <v>2</v>
      </c>
      <c r="K19" s="7">
        <v>17</v>
      </c>
      <c r="L19" s="65">
        <v>-352.60000000000008</v>
      </c>
      <c r="N19" s="78" t="s">
        <v>202</v>
      </c>
      <c r="O19" s="87">
        <f t="shared" si="2"/>
        <v>-17.649999999999999</v>
      </c>
      <c r="P19" s="81">
        <v>2</v>
      </c>
      <c r="Q19" s="72">
        <v>-35.299999999999997</v>
      </c>
    </row>
    <row r="20" spans="1:17" x14ac:dyDescent="0.45">
      <c r="A20" s="21" t="s">
        <v>13</v>
      </c>
      <c r="B20" s="14">
        <v>117</v>
      </c>
      <c r="C20" s="8">
        <f>IF(B$3=0,0,B20/B$3)</f>
        <v>0.18083462132921174</v>
      </c>
      <c r="E20" s="29" t="s">
        <v>79</v>
      </c>
      <c r="F20" s="26" t="s">
        <v>34</v>
      </c>
      <c r="G20" s="14">
        <v>1</v>
      </c>
      <c r="H20" s="92">
        <f>IF(B$19=0,0,G20/B$19)</f>
        <v>6.2893081761006293E-3</v>
      </c>
      <c r="I20" s="60">
        <v>10</v>
      </c>
      <c r="K20" s="7">
        <v>18</v>
      </c>
      <c r="L20" s="65">
        <v>-355.50000000000006</v>
      </c>
      <c r="N20" s="78" t="s">
        <v>168</v>
      </c>
      <c r="O20" s="87">
        <f t="shared" si="2"/>
        <v>-19</v>
      </c>
      <c r="P20" s="81">
        <v>29</v>
      </c>
      <c r="Q20" s="72">
        <v>-551</v>
      </c>
    </row>
    <row r="21" spans="1:17" x14ac:dyDescent="0.45">
      <c r="A21" s="21" t="s">
        <v>12</v>
      </c>
      <c r="B21" s="14">
        <v>75</v>
      </c>
      <c r="C21" s="8">
        <f>IF(B$19=0,0,B21/B$19)</f>
        <v>0.47169811320754718</v>
      </c>
      <c r="E21" s="29" t="s">
        <v>92</v>
      </c>
      <c r="F21" s="26" t="s">
        <v>47</v>
      </c>
      <c r="G21" s="14">
        <v>1</v>
      </c>
      <c r="H21" s="92">
        <f>IF(B$19=0,0,G21/B$19)</f>
        <v>6.2893081761006293E-3</v>
      </c>
      <c r="I21" s="60">
        <v>5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84</v>
      </c>
      <c r="C22" s="8">
        <f>IF(B$19=0,0,B22/B$19)</f>
        <v>0.52830188679245282</v>
      </c>
      <c r="E22" s="29" t="s">
        <v>95</v>
      </c>
      <c r="F22" s="26" t="s">
        <v>50</v>
      </c>
      <c r="G22" s="14">
        <v>1</v>
      </c>
      <c r="H22" s="92">
        <f>IF(B$19=0,0,G22/B$19)</f>
        <v>6.2893081761006293E-3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-25.287499999999998</v>
      </c>
      <c r="P22" s="81">
        <v>8</v>
      </c>
      <c r="Q22" s="72">
        <v>-202.29999999999998</v>
      </c>
    </row>
    <row r="23" spans="1:17" x14ac:dyDescent="0.45">
      <c r="A23" s="21" t="s">
        <v>192</v>
      </c>
      <c r="B23" s="14">
        <v>70</v>
      </c>
      <c r="C23" s="8">
        <f>IF(B$19=0,0,B23/B$19)</f>
        <v>0.44025157232704404</v>
      </c>
      <c r="E23" s="29" t="s">
        <v>159</v>
      </c>
      <c r="F23" s="26" t="s">
        <v>160</v>
      </c>
      <c r="G23" s="14">
        <v>1</v>
      </c>
      <c r="H23" s="92">
        <f>IF(B$19=0,0,G23/B$19)</f>
        <v>6.2893081761006293E-3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-29.696428571428587</v>
      </c>
      <c r="P23" s="81">
        <v>28</v>
      </c>
      <c r="Q23" s="72">
        <v>-831.50000000000045</v>
      </c>
    </row>
    <row r="24" spans="1:17" x14ac:dyDescent="0.45">
      <c r="A24" s="21" t="s">
        <v>190</v>
      </c>
      <c r="B24" s="14">
        <v>60</v>
      </c>
      <c r="C24" s="8">
        <f>IF(B$19=0,0,B24/B$19)</f>
        <v>0.37735849056603776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-44.487500000000011</v>
      </c>
      <c r="P24" s="81">
        <v>8</v>
      </c>
      <c r="Q24" s="72">
        <v>-355.90000000000009</v>
      </c>
    </row>
    <row r="25" spans="1:17" x14ac:dyDescent="0.45">
      <c r="A25" s="21" t="s">
        <v>191</v>
      </c>
      <c r="B25" s="14">
        <v>29</v>
      </c>
      <c r="C25" s="8">
        <f>IF(B$19=0,0,B25/B$19)</f>
        <v>0.18238993710691823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8428.9308176100621</v>
      </c>
      <c r="C26" s="10">
        <v>1340200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9018.181818181818</v>
      </c>
      <c r="C27" s="100">
        <v>892800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7456.666666666667</v>
      </c>
      <c r="C28" s="100">
        <v>447400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-8517.0940170940175</v>
      </c>
      <c r="C29" s="100">
        <v>-996500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15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3">
        <v>6</v>
      </c>
      <c r="C32" s="124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5">
        <v>85100</v>
      </c>
      <c r="C33" s="126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4.6367851622874804E-3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7.5471698113207544E-2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28</v>
      </c>
      <c r="C37" s="8">
        <f t="shared" si="3"/>
        <v>0.1761006289308176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32</v>
      </c>
      <c r="C38" s="8">
        <f t="shared" si="3"/>
        <v>0.20125786163522014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29</v>
      </c>
      <c r="C39" s="8">
        <f t="shared" si="3"/>
        <v>0.18238993710691823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23</v>
      </c>
      <c r="C40" s="8">
        <f t="shared" si="3"/>
        <v>0.14465408805031446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8.8050314465408799E-2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6.2893081761006289E-2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6.2893081761006293E-3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1.2578616352201259E-2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1.2578616352201259E-2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  <row r="78" spans="11:12" x14ac:dyDescent="0.45">
      <c r="K78" s="7">
        <v>76</v>
      </c>
      <c r="L78" s="65">
        <v>-867.20000000000016</v>
      </c>
    </row>
    <row r="79" spans="11:12" x14ac:dyDescent="0.45">
      <c r="K79" s="7">
        <v>77</v>
      </c>
      <c r="L79" s="65">
        <v>-938.10000000000014</v>
      </c>
    </row>
    <row r="80" spans="11:12" x14ac:dyDescent="0.45">
      <c r="K80" s="7">
        <v>78</v>
      </c>
      <c r="L80" s="65">
        <v>-905.10000000000014</v>
      </c>
    </row>
    <row r="81" spans="11:12" x14ac:dyDescent="0.45">
      <c r="K81" s="7">
        <v>79</v>
      </c>
      <c r="L81" s="65">
        <v>-896.80000000000018</v>
      </c>
    </row>
  </sheetData>
  <sortState xmlns:xlrd2="http://schemas.microsoft.com/office/spreadsheetml/2017/richdata2" ref="E2:I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69CB-518C-40CF-9E9E-81402AF26F9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194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36</v>
      </c>
      <c r="C2" s="130"/>
      <c r="E2" s="28" t="s">
        <v>66</v>
      </c>
      <c r="F2" s="25" t="s">
        <v>22</v>
      </c>
      <c r="G2" s="13">
        <v>68</v>
      </c>
      <c r="H2" s="91">
        <f>IF(B$19=0,0,G2/B$19)</f>
        <v>0.82926829268292679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-2180</v>
      </c>
      <c r="P2" s="80">
        <v>35</v>
      </c>
      <c r="Q2" s="67">
        <v>-76300</v>
      </c>
    </row>
    <row r="3" spans="1:17" x14ac:dyDescent="0.45">
      <c r="A3" s="21" t="s">
        <v>8</v>
      </c>
      <c r="B3" s="131">
        <v>328</v>
      </c>
      <c r="C3" s="132"/>
      <c r="E3" s="29" t="s">
        <v>64</v>
      </c>
      <c r="F3" s="26" t="s">
        <v>20</v>
      </c>
      <c r="G3" s="14">
        <v>50</v>
      </c>
      <c r="H3" s="92">
        <f>IF(B$19=0,0,G3/B$19)</f>
        <v>0.6097560975609756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-4002.9411764705883</v>
      </c>
      <c r="P3" s="81">
        <v>34</v>
      </c>
      <c r="Q3" s="68">
        <v>-136100</v>
      </c>
    </row>
    <row r="4" spans="1:17" x14ac:dyDescent="0.45">
      <c r="A4" s="21" t="s">
        <v>6</v>
      </c>
      <c r="B4" s="133">
        <v>-257.89999999999998</v>
      </c>
      <c r="C4" s="134"/>
      <c r="E4" s="29" t="s">
        <v>68</v>
      </c>
      <c r="F4" s="26" t="s">
        <v>12</v>
      </c>
      <c r="G4" s="14">
        <v>40</v>
      </c>
      <c r="H4" s="92">
        <f>IF(B$19=0,0,G4/B$19)</f>
        <v>0.48780487804878048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1606.25</v>
      </c>
      <c r="P4" s="81">
        <v>32</v>
      </c>
      <c r="Q4" s="68">
        <v>51400</v>
      </c>
    </row>
    <row r="5" spans="1:17" x14ac:dyDescent="0.45">
      <c r="A5" s="21" t="s">
        <v>7</v>
      </c>
      <c r="B5" s="121">
        <f>IF(B$2=0,0,B$4/B$2)</f>
        <v>-7.1638888888888879</v>
      </c>
      <c r="C5" s="122"/>
      <c r="E5" s="29" t="s">
        <v>163</v>
      </c>
      <c r="F5" s="26" t="s">
        <v>164</v>
      </c>
      <c r="G5" s="14">
        <v>35</v>
      </c>
      <c r="H5" s="92">
        <f>IF(B$19=0,0,G5/B$19)</f>
        <v>0.42682926829268292</v>
      </c>
      <c r="I5" s="60">
        <v>4</v>
      </c>
      <c r="K5" s="7">
        <v>3</v>
      </c>
      <c r="L5" s="65">
        <v>76</v>
      </c>
      <c r="N5" s="78" t="s">
        <v>133</v>
      </c>
      <c r="O5" s="84">
        <f t="shared" si="0"/>
        <v>-2390.625</v>
      </c>
      <c r="P5" s="81">
        <v>32</v>
      </c>
      <c r="Q5" s="68">
        <v>-76500</v>
      </c>
    </row>
    <row r="6" spans="1:17" x14ac:dyDescent="0.45">
      <c r="A6" s="21" t="s">
        <v>1</v>
      </c>
      <c r="B6" s="135">
        <f>IF(B$2=0,0,(B$7*1+B$8*2+B$9*3)/B$2)</f>
        <v>2.0833333333333335</v>
      </c>
      <c r="C6" s="136"/>
      <c r="E6" s="29" t="s">
        <v>72</v>
      </c>
      <c r="F6" s="26" t="s">
        <v>27</v>
      </c>
      <c r="G6" s="14">
        <v>29</v>
      </c>
      <c r="H6" s="92">
        <f>IF(B$19=0,0,G6/B$19)</f>
        <v>0.35365853658536583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3303.5714285714284</v>
      </c>
      <c r="P6" s="81">
        <v>28</v>
      </c>
      <c r="Q6" s="68">
        <v>92500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18</v>
      </c>
      <c r="H7" s="92">
        <f>IF(B$19=0,0,G7/B$19)</f>
        <v>0.21951219512195122</v>
      </c>
      <c r="I7" s="60">
        <v>2</v>
      </c>
      <c r="K7" s="7">
        <v>5</v>
      </c>
      <c r="L7" s="65">
        <v>127.9</v>
      </c>
      <c r="N7" s="79" t="s">
        <v>135</v>
      </c>
      <c r="O7" s="85">
        <f t="shared" si="0"/>
        <v>70.833333333333329</v>
      </c>
      <c r="P7" s="82">
        <v>24</v>
      </c>
      <c r="Q7" s="69">
        <v>1700</v>
      </c>
    </row>
    <row r="8" spans="1:17" x14ac:dyDescent="0.45">
      <c r="A8" s="21" t="s">
        <v>3</v>
      </c>
      <c r="B8" s="14">
        <v>9</v>
      </c>
      <c r="C8" s="8">
        <f t="shared" si="1"/>
        <v>0.25</v>
      </c>
      <c r="E8" s="29" t="s">
        <v>67</v>
      </c>
      <c r="F8" s="26" t="s">
        <v>23</v>
      </c>
      <c r="G8" s="14">
        <v>17</v>
      </c>
      <c r="H8" s="92">
        <f>IF(B$19=0,0,G8/B$19)</f>
        <v>0.2073170731707317</v>
      </c>
      <c r="I8" s="60">
        <v>11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0.41666666666666669</v>
      </c>
      <c r="E9" s="29" t="s">
        <v>65</v>
      </c>
      <c r="F9" s="26" t="s">
        <v>21</v>
      </c>
      <c r="G9" s="14">
        <v>10</v>
      </c>
      <c r="H9" s="92">
        <f>IF(B$19=0,0,G9/B$19)</f>
        <v>0.12195121951219512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9</v>
      </c>
      <c r="H10" s="92">
        <f>IF(B$19=0,0,G10/B$19)</f>
        <v>0.10975609756097561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-10.315384615384618</v>
      </c>
      <c r="P10" s="80">
        <v>13</v>
      </c>
      <c r="Q10" s="71">
        <v>-134.10000000000002</v>
      </c>
    </row>
    <row r="11" spans="1:17" x14ac:dyDescent="0.45">
      <c r="A11" s="22" t="s">
        <v>204</v>
      </c>
      <c r="B11" s="113">
        <f>IF(B8=0,0,C11/B8)</f>
        <v>-1.0999999999999996</v>
      </c>
      <c r="C11" s="114">
        <v>-9.8999999999999968</v>
      </c>
      <c r="E11" s="29" t="s">
        <v>71</v>
      </c>
      <c r="F11" s="26" t="s">
        <v>26</v>
      </c>
      <c r="G11" s="14">
        <v>7</v>
      </c>
      <c r="H11" s="92">
        <f>IF(B$19=0,0,G11/B$19)</f>
        <v>8.5365853658536592E-2</v>
      </c>
      <c r="I11" s="60">
        <v>6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-39.506666666666675</v>
      </c>
      <c r="C12" s="114">
        <v>-592.60000000000014</v>
      </c>
      <c r="E12" s="29" t="s">
        <v>89</v>
      </c>
      <c r="F12" s="26" t="s">
        <v>44</v>
      </c>
      <c r="G12" s="14">
        <v>7</v>
      </c>
      <c r="H12" s="92">
        <f>IF(B$19=0,0,G12/B$19)</f>
        <v>8.5365853658536592E-2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-3.615384615384615</v>
      </c>
      <c r="P12" s="82">
        <v>13</v>
      </c>
      <c r="Q12" s="73">
        <v>-46.999999999999993</v>
      </c>
    </row>
    <row r="13" spans="1:17" x14ac:dyDescent="0.45">
      <c r="A13" s="22" t="s">
        <v>206</v>
      </c>
      <c r="B13" s="121">
        <f>AVERAGE(B10:B12)</f>
        <v>-3.963333333333336</v>
      </c>
      <c r="C13" s="122"/>
      <c r="E13" s="29" t="s">
        <v>78</v>
      </c>
      <c r="F13" s="26" t="s">
        <v>33</v>
      </c>
      <c r="G13" s="14">
        <v>5</v>
      </c>
      <c r="H13" s="92">
        <f>IF(B$19=0,0,G13/B$19)</f>
        <v>6.097560975609756E-2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0.19444444444444445</v>
      </c>
      <c r="E14" s="29" t="s">
        <v>86</v>
      </c>
      <c r="F14" s="26" t="s">
        <v>41</v>
      </c>
      <c r="G14" s="14">
        <v>4</v>
      </c>
      <c r="H14" s="92">
        <f>IF(B$19=0,0,G14/B$19)</f>
        <v>4.878048780487805E-2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95</v>
      </c>
      <c r="C15" s="12">
        <f>IF(B$3=0,0,B15/B$3)</f>
        <v>0.28963414634146339</v>
      </c>
      <c r="E15" s="29" t="s">
        <v>83</v>
      </c>
      <c r="F15" s="26" t="s">
        <v>38</v>
      </c>
      <c r="G15" s="14">
        <v>2</v>
      </c>
      <c r="H15" s="92">
        <f>IF(B$19=0,0,G15/B$19)</f>
        <v>2.4390243902439025E-2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44.487500000000011</v>
      </c>
      <c r="P15" s="80">
        <v>8</v>
      </c>
      <c r="Q15" s="71">
        <v>355.90000000000009</v>
      </c>
    </row>
    <row r="16" spans="1:17" x14ac:dyDescent="0.45">
      <c r="A16" s="21" t="s">
        <v>118</v>
      </c>
      <c r="B16" s="14">
        <v>49</v>
      </c>
      <c r="C16" s="8">
        <f>IF(B$3=0,0,B16/B$3)</f>
        <v>0.14939024390243902</v>
      </c>
      <c r="E16" s="29" t="s">
        <v>159</v>
      </c>
      <c r="F16" s="26" t="s">
        <v>160</v>
      </c>
      <c r="G16" s="14">
        <v>2</v>
      </c>
      <c r="H16" s="92">
        <f>IF(B$19=0,0,G16/B$19)</f>
        <v>2.4390243902439025E-2</v>
      </c>
      <c r="I16" s="60">
        <v>3</v>
      </c>
      <c r="K16" s="7">
        <v>14</v>
      </c>
      <c r="L16" s="65">
        <v>49.900000000000006</v>
      </c>
      <c r="N16" s="78" t="s">
        <v>275</v>
      </c>
      <c r="O16" s="87">
        <f t="shared" si="2"/>
        <v>0.16666666666666785</v>
      </c>
      <c r="P16" s="81">
        <v>3</v>
      </c>
      <c r="Q16" s="72">
        <v>0.50000000000000355</v>
      </c>
    </row>
    <row r="17" spans="1:17" x14ac:dyDescent="0.45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75</v>
      </c>
      <c r="F17" s="26" t="s">
        <v>30</v>
      </c>
      <c r="G17" s="14">
        <v>1</v>
      </c>
      <c r="H17" s="92">
        <f>IF(B$19=0,0,G17/B$19)</f>
        <v>1.2195121951219513E-2</v>
      </c>
      <c r="I17" s="60">
        <v>2</v>
      </c>
      <c r="K17" s="7">
        <v>15</v>
      </c>
      <c r="L17" s="65">
        <v>73.7</v>
      </c>
      <c r="N17" s="78" t="s">
        <v>169</v>
      </c>
      <c r="O17" s="87">
        <f t="shared" si="2"/>
        <v>-2.307692307692286E-2</v>
      </c>
      <c r="P17" s="81">
        <v>13</v>
      </c>
      <c r="Q17" s="72">
        <v>-0.29999999999999716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0.30612244897959184</v>
      </c>
      <c r="E18" s="29" t="s">
        <v>81</v>
      </c>
      <c r="F18" s="26" t="s">
        <v>36</v>
      </c>
      <c r="G18" s="14">
        <v>1</v>
      </c>
      <c r="H18" s="92">
        <f>IF(B$19=0,0,G18/B$19)</f>
        <v>1.2195121951219513E-2</v>
      </c>
      <c r="I18" s="60">
        <v>10</v>
      </c>
      <c r="K18" s="7">
        <v>16</v>
      </c>
      <c r="L18" s="65">
        <v>28.300000000000004</v>
      </c>
      <c r="N18" s="78" t="s">
        <v>158</v>
      </c>
      <c r="O18" s="87">
        <f t="shared" si="2"/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82</v>
      </c>
      <c r="C19" s="6">
        <f>IF(B$3=0,0,B19/B$3)</f>
        <v>0.25</v>
      </c>
      <c r="E19" s="29" t="s">
        <v>85</v>
      </c>
      <c r="F19" s="26" t="s">
        <v>40</v>
      </c>
      <c r="G19" s="14">
        <v>1</v>
      </c>
      <c r="H19" s="92">
        <f>IF(B$19=0,0,G19/B$19)</f>
        <v>1.2195121951219513E-2</v>
      </c>
      <c r="I19" s="60">
        <v>2</v>
      </c>
      <c r="K19" s="7">
        <v>17</v>
      </c>
      <c r="L19" s="65">
        <v>49.800000000000004</v>
      </c>
      <c r="N19" s="78" t="s">
        <v>201</v>
      </c>
      <c r="O19" s="87">
        <f t="shared" si="2"/>
        <v>-17.850000000000001</v>
      </c>
      <c r="P19" s="81">
        <v>2</v>
      </c>
      <c r="Q19" s="72">
        <v>-35.700000000000003</v>
      </c>
    </row>
    <row r="20" spans="1:17" x14ac:dyDescent="0.45">
      <c r="A20" s="21" t="s">
        <v>13</v>
      </c>
      <c r="B20" s="14">
        <v>58</v>
      </c>
      <c r="C20" s="8">
        <f>IF(B$3=0,0,B20/B$3)</f>
        <v>0.17682926829268292</v>
      </c>
      <c r="E20" s="29" t="s">
        <v>87</v>
      </c>
      <c r="F20" s="26" t="s">
        <v>42</v>
      </c>
      <c r="G20" s="14">
        <v>1</v>
      </c>
      <c r="H20" s="92">
        <f>IF(B$19=0,0,G20/B$19)</f>
        <v>1.2195121951219513E-2</v>
      </c>
      <c r="I20" s="60">
        <v>2</v>
      </c>
      <c r="K20" s="7">
        <v>18</v>
      </c>
      <c r="L20" s="65">
        <v>24.700000000000003</v>
      </c>
      <c r="N20" s="78" t="s">
        <v>127</v>
      </c>
      <c r="O20" s="87">
        <f t="shared" si="2"/>
        <v>-21.862499999999997</v>
      </c>
      <c r="P20" s="81">
        <v>8</v>
      </c>
      <c r="Q20" s="72">
        <v>-174.89999999999998</v>
      </c>
    </row>
    <row r="21" spans="1:17" x14ac:dyDescent="0.45">
      <c r="A21" s="21" t="s">
        <v>12</v>
      </c>
      <c r="B21" s="14">
        <v>49</v>
      </c>
      <c r="C21" s="8">
        <f>IF(B$19=0,0,B21/B$19)</f>
        <v>0.59756097560975607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168</v>
      </c>
      <c r="O21" s="87">
        <f t="shared" si="2"/>
        <v>-23.842857142857145</v>
      </c>
      <c r="P21" s="81">
        <v>7</v>
      </c>
      <c r="Q21" s="72">
        <v>-166.9</v>
      </c>
    </row>
    <row r="22" spans="1:17" x14ac:dyDescent="0.45">
      <c r="A22" s="21" t="s">
        <v>11</v>
      </c>
      <c r="B22" s="14">
        <v>33</v>
      </c>
      <c r="C22" s="8">
        <f>IF(B$19=0,0,B22/B$19)</f>
        <v>0.40243902439024393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167</v>
      </c>
      <c r="O22" s="87">
        <f t="shared" si="2"/>
        <v>-25.784615384615385</v>
      </c>
      <c r="P22" s="81">
        <v>13</v>
      </c>
      <c r="Q22" s="72">
        <v>-335.2</v>
      </c>
    </row>
    <row r="23" spans="1:17" x14ac:dyDescent="0.45">
      <c r="A23" s="21" t="s">
        <v>192</v>
      </c>
      <c r="B23" s="14">
        <v>51</v>
      </c>
      <c r="C23" s="8">
        <f>IF(B$19=0,0,B23/B$19)</f>
        <v>0.62195121951219512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0.18292682926829268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16</v>
      </c>
      <c r="C25" s="8">
        <f>IF(B$19=0,0,B25/B$19)</f>
        <v>0.1951219512195122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8052.4390243902435</v>
      </c>
      <c r="C26" s="10">
        <v>660300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8349.253731343284</v>
      </c>
      <c r="C27" s="100">
        <v>559400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-7577.5862068965516</v>
      </c>
      <c r="C29" s="100">
        <v>-439500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3">
        <v>7</v>
      </c>
      <c r="C32" s="12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5">
        <v>95200</v>
      </c>
      <c r="C33" s="12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2</v>
      </c>
      <c r="C34" s="11">
        <f>IF(B$3=0,0,B34/B$3)</f>
        <v>6.0975609756097563E-3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0.10975609756097561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-194.29999999999995</v>
      </c>
    </row>
    <row r="37" spans="1:12" x14ac:dyDescent="0.45">
      <c r="A37" s="21" t="s">
        <v>176</v>
      </c>
      <c r="B37" s="14">
        <v>12</v>
      </c>
      <c r="C37" s="8">
        <f t="shared" si="3"/>
        <v>0.14634146341463414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-201.69999999999996</v>
      </c>
    </row>
    <row r="38" spans="1:12" x14ac:dyDescent="0.45">
      <c r="A38" s="21" t="s">
        <v>177</v>
      </c>
      <c r="B38" s="120">
        <v>14</v>
      </c>
      <c r="C38" s="8">
        <f t="shared" si="3"/>
        <v>0.17073170731707318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-257.89999999999998</v>
      </c>
    </row>
    <row r="39" spans="1:12" x14ac:dyDescent="0.45">
      <c r="A39" s="21" t="s">
        <v>178</v>
      </c>
      <c r="B39" s="120">
        <v>11</v>
      </c>
      <c r="C39" s="8">
        <f t="shared" si="3"/>
        <v>0.13414634146341464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15</v>
      </c>
      <c r="C40" s="8">
        <f t="shared" si="3"/>
        <v>0.18292682926829268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0.17073170731707318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4.878048780487805E-2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2.4390243902439025E-2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1.2195121951219513E-2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636E-2B3B-49BC-ADA1-19C7E4A138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7</v>
      </c>
      <c r="C2" s="130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1">
        <v>62</v>
      </c>
      <c r="C3" s="132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3">
        <v>-104.80000000000001</v>
      </c>
      <c r="C4" s="134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1">
        <f>IF(B$2=0,0,B$4/B$2)</f>
        <v>-14.971428571428573</v>
      </c>
      <c r="C5" s="122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5">
        <f>IF(B$2=0,0,(B$7*1+B$8*2+B$9*3)/B$2)</f>
        <v>2.1428571428571428</v>
      </c>
      <c r="C6" s="136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12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1">
        <f>AVERAGE(B10:B12)</f>
        <v>-6.4861111111111098</v>
      </c>
      <c r="C13" s="122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59500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D634-82C1-4E28-80FD-F8277361721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202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</v>
      </c>
      <c r="C2" s="130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1">
        <v>15</v>
      </c>
      <c r="C3" s="132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3">
        <v>26.2</v>
      </c>
      <c r="C4" s="134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1">
        <f>IF(B$2=0,0,B$4/B$2)</f>
        <v>13.1</v>
      </c>
      <c r="C5" s="122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5">
        <f>IF(B$2=0,0,(B$7*1+B$8*2+B$9*3)/B$2)</f>
        <v>1.5</v>
      </c>
      <c r="C6" s="136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1">
        <f>AVERAGE(B10:B12)</f>
        <v>8.7333333333333325</v>
      </c>
      <c r="C13" s="122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52800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8CBA-E597-4516-9A0D-8DBAA1F5A10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275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20</v>
      </c>
      <c r="C2" s="130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-3300</v>
      </c>
      <c r="P2" s="80">
        <v>20</v>
      </c>
      <c r="Q2" s="67">
        <v>-66000</v>
      </c>
    </row>
    <row r="3" spans="1:17" x14ac:dyDescent="0.45">
      <c r="A3" s="21" t="s">
        <v>8</v>
      </c>
      <c r="B3" s="131">
        <v>166</v>
      </c>
      <c r="C3" s="132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-975</v>
      </c>
      <c r="P3" s="81">
        <v>20</v>
      </c>
      <c r="Q3" s="68">
        <v>-19500</v>
      </c>
    </row>
    <row r="4" spans="1:17" x14ac:dyDescent="0.45">
      <c r="A4" s="21" t="s">
        <v>6</v>
      </c>
      <c r="B4" s="133">
        <v>-135.9</v>
      </c>
      <c r="C4" s="134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-2530</v>
      </c>
      <c r="P4" s="81">
        <v>20</v>
      </c>
      <c r="Q4" s="68">
        <v>-50600</v>
      </c>
    </row>
    <row r="5" spans="1:17" x14ac:dyDescent="0.45">
      <c r="A5" s="21" t="s">
        <v>7</v>
      </c>
      <c r="B5" s="121">
        <f>IF(B$2=0,0,B$4/B$2)</f>
        <v>-6.7949999999999999</v>
      </c>
      <c r="C5" s="122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1376.4705882352941</v>
      </c>
      <c r="P5" s="81">
        <v>17</v>
      </c>
      <c r="Q5" s="68">
        <v>23400</v>
      </c>
    </row>
    <row r="6" spans="1:17" x14ac:dyDescent="0.45">
      <c r="A6" s="21" t="s">
        <v>1</v>
      </c>
      <c r="B6" s="135">
        <f>IF(B$2=0,0,(B$7*1+B$8*2+B$9*3)/B$2)</f>
        <v>2.15</v>
      </c>
      <c r="C6" s="136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-1373.3333333333333</v>
      </c>
      <c r="P6" s="81">
        <v>15</v>
      </c>
      <c r="Q6" s="68">
        <v>-20600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2284.6153846153848</v>
      </c>
      <c r="P7" s="82">
        <v>13</v>
      </c>
      <c r="Q7" s="69">
        <v>29700</v>
      </c>
    </row>
    <row r="8" spans="1:17" x14ac:dyDescent="0.45">
      <c r="A8" s="21" t="s">
        <v>3</v>
      </c>
      <c r="B8" s="14">
        <v>5</v>
      </c>
      <c r="C8" s="8">
        <f t="shared" si="1"/>
        <v>0.25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0.45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6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-19.166666666666668</v>
      </c>
      <c r="P10" s="80">
        <v>6</v>
      </c>
      <c r="Q10" s="71">
        <v>-115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-36.322222222222223</v>
      </c>
      <c r="C12" s="114">
        <v>-326.89999999999998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-0.93333333333333357</v>
      </c>
      <c r="P12" s="82">
        <v>6</v>
      </c>
      <c r="Q12" s="73">
        <v>-5.6000000000000014</v>
      </c>
    </row>
    <row r="13" spans="1:17" x14ac:dyDescent="0.45">
      <c r="A13" s="22" t="s">
        <v>206</v>
      </c>
      <c r="B13" s="121">
        <f>AVERAGE(B10:B12)</f>
        <v>-1.3540740740740727</v>
      </c>
      <c r="C13" s="122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0.2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58</v>
      </c>
      <c r="C15" s="12">
        <f>IF(B$3=0,0,B15/B$3)</f>
        <v>0.3493975903614458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20</v>
      </c>
      <c r="C16" s="8">
        <f>IF(B$3=0,0,B16/B$3)</f>
        <v>0.12048192771084337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0.53448275862068961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167</v>
      </c>
      <c r="O17" s="87">
        <f t="shared" si="2"/>
        <v>2.910000000000001</v>
      </c>
      <c r="P17" s="81">
        <v>10</v>
      </c>
      <c r="Q17" s="72">
        <v>29.100000000000009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127</v>
      </c>
      <c r="O18" s="87">
        <f t="shared" si="2"/>
        <v>2.8600000000000012</v>
      </c>
      <c r="P18" s="81">
        <v>5</v>
      </c>
      <c r="Q18" s="72">
        <v>14.300000000000006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0.3253012048192771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194</v>
      </c>
      <c r="O19" s="87">
        <f t="shared" si="2"/>
        <v>-0.16666666666666882</v>
      </c>
      <c r="P19" s="81">
        <v>3</v>
      </c>
      <c r="Q19" s="72">
        <v>-0.50000000000000644</v>
      </c>
    </row>
    <row r="20" spans="1:17" x14ac:dyDescent="0.45">
      <c r="A20" s="21" t="s">
        <v>13</v>
      </c>
      <c r="B20" s="14">
        <v>28</v>
      </c>
      <c r="C20" s="8">
        <f>IF(B$3=0,0,B20/B$3)</f>
        <v>0.16867469879518071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195</v>
      </c>
      <c r="O20" s="87">
        <f t="shared" si="2"/>
        <v>-22.933333333333334</v>
      </c>
      <c r="P20" s="81">
        <v>3</v>
      </c>
      <c r="Q20" s="72">
        <v>-68.8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-102</v>
      </c>
      <c r="N21" s="78" t="s">
        <v>126</v>
      </c>
      <c r="O21" s="87">
        <f t="shared" si="2"/>
        <v>-52.05</v>
      </c>
      <c r="P21" s="81">
        <v>8</v>
      </c>
      <c r="Q21" s="72">
        <v>-416.4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K22" s="7">
        <v>20</v>
      </c>
      <c r="L22" s="65">
        <v>-135.9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-8507.1428571428569</v>
      </c>
      <c r="C29" s="100">
        <v>-238200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7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65900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1.2048192771084338E-2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9FF3A-BE1C-459B-957A-37346C0B5BE3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282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10</v>
      </c>
      <c r="C2" s="130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1">
        <v>78</v>
      </c>
      <c r="C3" s="132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3">
        <v>9.2999999999999972</v>
      </c>
      <c r="C4" s="134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1">
        <f>IF(B$2=0,0,B$4/B$2)</f>
        <v>0.92999999999999972</v>
      </c>
      <c r="C5" s="122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5">
        <f>IF(B$2=0,0,(B$7*1+B$8*2+B$9*3)/B$2)</f>
        <v>2</v>
      </c>
      <c r="C6" s="136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1">
        <f>AVERAGE(B10:B12)</f>
        <v>0.61999999999999977</v>
      </c>
      <c r="C13" s="122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5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70900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58B-5FDF-40E3-A6D6-152FF06E0A27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7" t="s">
        <v>281</v>
      </c>
      <c r="C1" s="128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29">
        <v>5</v>
      </c>
      <c r="C2" s="130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1">
        <v>40</v>
      </c>
      <c r="C3" s="132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3">
        <v>-80.800000000000011</v>
      </c>
      <c r="C4" s="134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1">
        <f>IF(B$2=0,0,B$4/B$2)</f>
        <v>-16.160000000000004</v>
      </c>
      <c r="C5" s="122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5">
        <f>IF(B$2=0,0,(B$7*1+B$8*2+B$9*3)/B$2)</f>
        <v>2.2000000000000002</v>
      </c>
      <c r="C6" s="136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1">
        <f>AVERAGE(B10:B12)</f>
        <v>-8.9666666666666668</v>
      </c>
      <c r="C13" s="122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3">
        <v>4</v>
      </c>
      <c r="C32" s="12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5">
        <v>52000</v>
      </c>
      <c r="C33" s="12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A873-8A48-4B4E-A1DF-BCE3A9A181BC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19AC-AA35-448F-AC9B-733D140E58BF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7E99-8E4A-4718-94CD-46F2AC20CA9A}">
  <sheetPr codeName="Sheet28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  <row r="22" spans="1:16" x14ac:dyDescent="0.45">
      <c r="A22" s="35">
        <v>19</v>
      </c>
      <c r="B22" s="32">
        <v>-102</v>
      </c>
      <c r="C22" s="32">
        <v>-5.3684210526315788</v>
      </c>
      <c r="D22" s="37">
        <v>2.1052631578947367</v>
      </c>
      <c r="E22" s="33">
        <v>0.31578947368421051</v>
      </c>
      <c r="F22" s="33">
        <v>0.42105263157894735</v>
      </c>
      <c r="G22" s="33">
        <v>0.33962264150943394</v>
      </c>
      <c r="H22" s="33">
        <v>0.16352201257861634</v>
      </c>
      <c r="I22" s="34">
        <v>6648.1481481481478</v>
      </c>
      <c r="J22" s="34">
        <v>-8826.9230769230762</v>
      </c>
      <c r="K22" s="33">
        <v>0.21052631578947367</v>
      </c>
      <c r="L22" s="33">
        <v>0.3522012578616352</v>
      </c>
      <c r="M22" s="33">
        <v>0.11949685534591195</v>
      </c>
      <c r="N22" s="33">
        <v>0.5535714285714286</v>
      </c>
      <c r="O22" s="33">
        <v>0.68421052631578949</v>
      </c>
      <c r="P22" s="33">
        <v>0.53703703703703709</v>
      </c>
    </row>
    <row r="23" spans="1:16" x14ac:dyDescent="0.45">
      <c r="A23" s="35">
        <v>20</v>
      </c>
      <c r="B23" s="32">
        <v>-135.9</v>
      </c>
      <c r="C23" s="32">
        <v>-6.7949999999999999</v>
      </c>
      <c r="D23" s="37">
        <v>2.15</v>
      </c>
      <c r="E23" s="33">
        <v>0.3</v>
      </c>
      <c r="F23" s="33">
        <v>0.45</v>
      </c>
      <c r="G23" s="33">
        <v>0.3253012048192771</v>
      </c>
      <c r="H23" s="33">
        <v>0.16867469879518071</v>
      </c>
      <c r="I23" s="34">
        <v>6648.1481481481478</v>
      </c>
      <c r="J23" s="34">
        <v>-8507.1428571428569</v>
      </c>
      <c r="K23" s="33">
        <v>0.2</v>
      </c>
      <c r="L23" s="33">
        <v>0.3493975903614458</v>
      </c>
      <c r="M23" s="33">
        <v>0.12048192771084337</v>
      </c>
      <c r="N23" s="33">
        <v>0.53448275862068961</v>
      </c>
      <c r="O23" s="33">
        <v>0.65</v>
      </c>
      <c r="P23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C9EA-B096-4376-AB1B-3D3AD384C5E7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4607-6E18-498F-A360-9C84B73D6698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7634-8308-4D5C-81A8-F5050803E0CA}">
  <sheetPr codeName="Sheet22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  <row r="37" spans="1:16" x14ac:dyDescent="0.45">
      <c r="A37" s="35">
        <v>34</v>
      </c>
      <c r="B37" s="32">
        <v>-194.29999999999995</v>
      </c>
      <c r="C37" s="32">
        <v>-5.7147058823529395</v>
      </c>
      <c r="D37" s="37">
        <v>2.0588235294117645</v>
      </c>
      <c r="E37" s="33">
        <v>0.35294117647058826</v>
      </c>
      <c r="F37" s="33">
        <v>0.41176470588235292</v>
      </c>
      <c r="G37" s="33">
        <v>0.25080385852090031</v>
      </c>
      <c r="H37" s="33">
        <v>0.17363344051446947</v>
      </c>
      <c r="I37" s="34">
        <v>8158.9743589743593</v>
      </c>
      <c r="J37" s="34">
        <v>-7257.4074074074078</v>
      </c>
      <c r="K37" s="33">
        <v>0.17647058823529413</v>
      </c>
      <c r="L37" s="33">
        <v>0.27974276527331188</v>
      </c>
      <c r="M37" s="33">
        <v>0.15434083601286175</v>
      </c>
      <c r="N37" s="33">
        <v>0.55172413793103448</v>
      </c>
      <c r="O37" s="33">
        <v>0.3125</v>
      </c>
      <c r="P37" s="33">
        <v>0.58974358974358976</v>
      </c>
    </row>
    <row r="38" spans="1:16" x14ac:dyDescent="0.45">
      <c r="A38" s="35">
        <v>35</v>
      </c>
      <c r="B38" s="32">
        <v>-201.69999999999996</v>
      </c>
      <c r="C38" s="32">
        <v>-5.7628571428571416</v>
      </c>
      <c r="D38" s="37">
        <v>2.0571428571428569</v>
      </c>
      <c r="E38" s="33">
        <v>0.34285714285714286</v>
      </c>
      <c r="F38" s="33">
        <v>0.4</v>
      </c>
      <c r="G38" s="33">
        <v>0.2476489028213166</v>
      </c>
      <c r="H38" s="33">
        <v>0.16927899686520376</v>
      </c>
      <c r="I38" s="34">
        <v>8156.9620253164558</v>
      </c>
      <c r="J38" s="34">
        <v>-7257.4074074074078</v>
      </c>
      <c r="K38" s="33">
        <v>0.17142857142857143</v>
      </c>
      <c r="L38" s="33">
        <v>0.28526645768025077</v>
      </c>
      <c r="M38" s="33">
        <v>0.15047021943573669</v>
      </c>
      <c r="N38" s="33">
        <v>0.53846153846153844</v>
      </c>
      <c r="O38" s="33">
        <v>0.3125</v>
      </c>
      <c r="P38" s="33">
        <v>0.59493670886075944</v>
      </c>
    </row>
    <row r="39" spans="1:16" x14ac:dyDescent="0.45">
      <c r="A39" s="35">
        <v>36</v>
      </c>
      <c r="B39" s="32">
        <v>-257.89999999999998</v>
      </c>
      <c r="C39" s="32">
        <v>-7.1638888888888879</v>
      </c>
      <c r="D39" s="37">
        <v>2.0833333333333335</v>
      </c>
      <c r="E39" s="33">
        <v>0.33333333333333331</v>
      </c>
      <c r="F39" s="33">
        <v>0.41666666666666669</v>
      </c>
      <c r="G39" s="33">
        <v>0.25</v>
      </c>
      <c r="H39" s="33">
        <v>0.17682926829268292</v>
      </c>
      <c r="I39" s="34">
        <v>8052.4390243902435</v>
      </c>
      <c r="J39" s="34">
        <v>-7577.5862068965516</v>
      </c>
      <c r="K39" s="33">
        <v>0.19444444444444445</v>
      </c>
      <c r="L39" s="33">
        <v>0.28963414634146339</v>
      </c>
      <c r="M39" s="33">
        <v>0.14939024390243902</v>
      </c>
      <c r="N39" s="33">
        <v>0.5368421052631579</v>
      </c>
      <c r="O39" s="33">
        <v>0.30612244897959184</v>
      </c>
      <c r="P39" s="33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C655-C216-4360-8326-F5F58D79EBAE}">
  <sheetPr codeName="Sheet20"/>
  <dimension ref="A1:Q8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  <row r="79" spans="1:16" x14ac:dyDescent="0.45">
      <c r="A79" s="35">
        <v>76</v>
      </c>
      <c r="B79" s="32">
        <v>-867.20000000000016</v>
      </c>
      <c r="C79" s="32">
        <v>-11.410526315789475</v>
      </c>
      <c r="D79" s="37">
        <v>2.2894736842105261</v>
      </c>
      <c r="E79" s="33">
        <v>0.14473684210526316</v>
      </c>
      <c r="F79" s="33">
        <v>0.43421052631578949</v>
      </c>
      <c r="G79" s="33">
        <v>0.24363057324840764</v>
      </c>
      <c r="H79" s="33">
        <v>0.18312101910828024</v>
      </c>
      <c r="I79" s="34">
        <v>8516.339869281046</v>
      </c>
      <c r="J79" s="34">
        <v>-8213.9130434782601</v>
      </c>
      <c r="K79" s="33">
        <v>0.17105263157894737</v>
      </c>
      <c r="L79" s="33">
        <v>0.2070063694267516</v>
      </c>
      <c r="M79" s="33">
        <v>0.22929936305732485</v>
      </c>
      <c r="N79" s="33">
        <v>0.51538461538461533</v>
      </c>
      <c r="O79" s="33">
        <v>0.39583333333333331</v>
      </c>
      <c r="P79" s="33">
        <v>0.45751633986928103</v>
      </c>
    </row>
    <row r="80" spans="1:16" x14ac:dyDescent="0.45">
      <c r="A80" s="35">
        <v>77</v>
      </c>
      <c r="B80" s="32">
        <v>-938.10000000000014</v>
      </c>
      <c r="C80" s="32">
        <v>-12.183116883116885</v>
      </c>
      <c r="D80" s="37">
        <v>2.2987012987012987</v>
      </c>
      <c r="E80" s="33">
        <v>0.14285714285714285</v>
      </c>
      <c r="F80" s="33">
        <v>0.44155844155844154</v>
      </c>
      <c r="G80" s="33">
        <v>0.24208860759493672</v>
      </c>
      <c r="H80" s="33">
        <v>0.185126582278481</v>
      </c>
      <c r="I80" s="34">
        <v>8516.339869281046</v>
      </c>
      <c r="J80" s="34">
        <v>-8517.0940170940175</v>
      </c>
      <c r="K80" s="33">
        <v>0.18181818181818182</v>
      </c>
      <c r="L80" s="33">
        <v>0.20569620253164558</v>
      </c>
      <c r="M80" s="33">
        <v>0.22943037974683544</v>
      </c>
      <c r="N80" s="33">
        <v>0.51538461538461533</v>
      </c>
      <c r="O80" s="33">
        <v>0.39310344827586208</v>
      </c>
      <c r="P80" s="33">
        <v>0.45751633986928103</v>
      </c>
    </row>
    <row r="81" spans="1:16" x14ac:dyDescent="0.45">
      <c r="A81" s="35">
        <v>78</v>
      </c>
      <c r="B81" s="32">
        <v>-905.10000000000014</v>
      </c>
      <c r="C81" s="32">
        <v>-11.603846153846156</v>
      </c>
      <c r="D81" s="37">
        <v>2.2820512820512819</v>
      </c>
      <c r="E81" s="33">
        <v>0.15384615384615385</v>
      </c>
      <c r="F81" s="33">
        <v>0.4358974358974359</v>
      </c>
      <c r="G81" s="33">
        <v>0.24374999999999999</v>
      </c>
      <c r="H81" s="33">
        <v>0.18281249999999999</v>
      </c>
      <c r="I81" s="34">
        <v>8464.7435897435898</v>
      </c>
      <c r="J81" s="34">
        <v>-8517.0940170940175</v>
      </c>
      <c r="K81" s="33">
        <v>0.17948717948717949</v>
      </c>
      <c r="L81" s="33">
        <v>0.20781250000000001</v>
      </c>
      <c r="M81" s="33">
        <v>0.22968749999999999</v>
      </c>
      <c r="N81" s="33">
        <v>0.51127819548872178</v>
      </c>
      <c r="O81" s="33">
        <v>0.40136054421768708</v>
      </c>
      <c r="P81" s="33">
        <v>0.46794871794871795</v>
      </c>
    </row>
    <row r="82" spans="1:16" x14ac:dyDescent="0.45">
      <c r="A82" s="35">
        <v>79</v>
      </c>
      <c r="B82" s="32">
        <v>-896.80000000000018</v>
      </c>
      <c r="C82" s="32">
        <v>-11.351898734177217</v>
      </c>
      <c r="D82" s="37">
        <v>2.278481012658228</v>
      </c>
      <c r="E82" s="33">
        <v>0.15189873417721519</v>
      </c>
      <c r="F82" s="33">
        <v>0.43037974683544306</v>
      </c>
      <c r="G82" s="33">
        <v>0.24574961360123648</v>
      </c>
      <c r="H82" s="33">
        <v>0.18083462132921174</v>
      </c>
      <c r="I82" s="34">
        <v>8428.9308176100621</v>
      </c>
      <c r="J82" s="34">
        <v>-8517.0940170940175</v>
      </c>
      <c r="K82" s="33">
        <v>0.17721518987341772</v>
      </c>
      <c r="L82" s="33">
        <v>0.20865533230293662</v>
      </c>
      <c r="M82" s="33">
        <v>0.22874806800618239</v>
      </c>
      <c r="N82" s="33">
        <v>0.51851851851851849</v>
      </c>
      <c r="O82" s="33">
        <v>0.40540540540540543</v>
      </c>
      <c r="P82" s="33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2CEF-3061-4DB9-A88A-02BAC7FF33C7}">
  <sheetPr codeName="Sheet18"/>
  <dimension ref="A1:Q17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  <row r="173" spans="1:16" x14ac:dyDescent="0.45">
      <c r="A173" s="35">
        <v>170</v>
      </c>
      <c r="B173" s="32">
        <v>-93.899999999999991</v>
      </c>
      <c r="C173" s="32">
        <v>-0.55235294117647049</v>
      </c>
      <c r="D173" s="37">
        <v>2.0470588235294116</v>
      </c>
      <c r="E173" s="33">
        <v>0.25882352941176473</v>
      </c>
      <c r="F173" s="33">
        <v>0.30588235294117649</v>
      </c>
      <c r="G173" s="33">
        <v>0.27358490566037735</v>
      </c>
      <c r="H173" s="33">
        <v>0.13788098693759071</v>
      </c>
      <c r="I173" s="34">
        <v>8476.6578249336872</v>
      </c>
      <c r="J173" s="34">
        <v>-7230.5263157894733</v>
      </c>
      <c r="K173" s="33">
        <v>8.2352941176470587E-2</v>
      </c>
      <c r="L173" s="33">
        <v>0.25108853410740201</v>
      </c>
      <c r="M173" s="33">
        <v>0.22568940493468795</v>
      </c>
      <c r="N173" s="33">
        <v>0.54913294797687862</v>
      </c>
      <c r="O173" s="33">
        <v>0.4212218649517685</v>
      </c>
      <c r="P173" s="33">
        <v>0.45623342175066312</v>
      </c>
    </row>
    <row r="174" spans="1:16" x14ac:dyDescent="0.45">
      <c r="A174" s="35">
        <v>171</v>
      </c>
      <c r="B174" s="32">
        <v>-81.499999999999986</v>
      </c>
      <c r="C174" s="32">
        <v>-0.47660818713450281</v>
      </c>
      <c r="D174" s="37">
        <v>2.0467836257309941</v>
      </c>
      <c r="E174" s="33">
        <v>0.25730994152046782</v>
      </c>
      <c r="F174" s="33">
        <v>0.30409356725146197</v>
      </c>
      <c r="G174" s="33">
        <v>0.27325162220620042</v>
      </c>
      <c r="H174" s="33">
        <v>0.13698630136986301</v>
      </c>
      <c r="I174" s="34">
        <v>8472.0316622691298</v>
      </c>
      <c r="J174" s="34">
        <v>-7230.5263157894733</v>
      </c>
      <c r="K174" s="33">
        <v>8.1871345029239762E-2</v>
      </c>
      <c r="L174" s="33">
        <v>0.24945926459985579</v>
      </c>
      <c r="M174" s="33">
        <v>0.22566690699351116</v>
      </c>
      <c r="N174" s="33">
        <v>0.54913294797687862</v>
      </c>
      <c r="O174" s="33">
        <v>0.4217252396166134</v>
      </c>
      <c r="P174" s="33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B903-24F2-41C4-A357-F517F25FCCE3}">
  <sheetPr codeName="Sheet16"/>
  <dimension ref="A1:Q1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5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  <row r="169" spans="1:16" x14ac:dyDescent="0.45">
      <c r="A169" s="35">
        <v>166</v>
      </c>
      <c r="B169" s="32">
        <v>844.40000000000032</v>
      </c>
      <c r="C169" s="32">
        <v>5.086746987951809</v>
      </c>
      <c r="D169" s="37">
        <v>1.9156626506024097</v>
      </c>
      <c r="E169" s="33">
        <v>0.40361445783132532</v>
      </c>
      <c r="F169" s="33">
        <v>0.31927710843373491</v>
      </c>
      <c r="G169" s="33">
        <v>0.28074074074074074</v>
      </c>
      <c r="H169" s="33">
        <v>0.17185185185185184</v>
      </c>
      <c r="I169" s="34">
        <v>10987.862796833773</v>
      </c>
      <c r="J169" s="34">
        <v>-8253.8793103448279</v>
      </c>
      <c r="K169" s="33">
        <v>0.12048192771084337</v>
      </c>
      <c r="L169" s="33">
        <v>0.29851851851851852</v>
      </c>
      <c r="M169" s="33">
        <v>0.18740740740740741</v>
      </c>
      <c r="N169" s="33">
        <v>0.54838709677419351</v>
      </c>
      <c r="O169" s="33">
        <v>0.39130434782608697</v>
      </c>
      <c r="P169" s="33">
        <v>0.51451187335092352</v>
      </c>
    </row>
    <row r="170" spans="1:16" x14ac:dyDescent="0.45">
      <c r="A170" s="35">
        <v>167</v>
      </c>
      <c r="B170" s="32">
        <v>888.20000000000027</v>
      </c>
      <c r="C170" s="32">
        <v>5.3185628742514988</v>
      </c>
      <c r="D170" s="37">
        <v>1.9101796407185629</v>
      </c>
      <c r="E170" s="33">
        <v>0.40718562874251496</v>
      </c>
      <c r="F170" s="33">
        <v>0.31736526946107785</v>
      </c>
      <c r="G170" s="33">
        <v>0.28108903605592345</v>
      </c>
      <c r="H170" s="33">
        <v>0.1714495952906549</v>
      </c>
      <c r="I170" s="34">
        <v>10994.764397905759</v>
      </c>
      <c r="J170" s="34">
        <v>-8243.3476394849786</v>
      </c>
      <c r="K170" s="33">
        <v>0.11976047904191617</v>
      </c>
      <c r="L170" s="33">
        <v>0.29948491537895511</v>
      </c>
      <c r="M170" s="33">
        <v>0.188373804267844</v>
      </c>
      <c r="N170" s="33">
        <v>0.54791154791154795</v>
      </c>
      <c r="O170" s="33">
        <v>0.390625</v>
      </c>
      <c r="P170" s="33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90F6-52E8-4C08-9C4D-3AD757D65F18}">
  <sheetPr codeName="Sheet14"/>
  <dimension ref="A1:Q1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  <row r="112" spans="1:16" x14ac:dyDescent="0.45">
      <c r="A112" s="35">
        <v>109</v>
      </c>
      <c r="B112" s="32">
        <v>-676.5</v>
      </c>
      <c r="C112" s="32">
        <v>-6.2064220183486238</v>
      </c>
      <c r="D112" s="37">
        <v>2.1467889908256881</v>
      </c>
      <c r="E112" s="33">
        <v>0.23853211009174313</v>
      </c>
      <c r="F112" s="33">
        <v>0.38532110091743121</v>
      </c>
      <c r="G112" s="33">
        <v>0.26878306878306879</v>
      </c>
      <c r="H112" s="33">
        <v>0.17989417989417988</v>
      </c>
      <c r="I112" s="34">
        <v>7897.2440944881891</v>
      </c>
      <c r="J112" s="34">
        <v>-7737.6470588235297</v>
      </c>
      <c r="K112" s="33">
        <v>7.3394495412844041E-2</v>
      </c>
      <c r="L112" s="33">
        <v>0.27195767195767195</v>
      </c>
      <c r="M112" s="33">
        <v>0.19682539682539682</v>
      </c>
      <c r="N112" s="33">
        <v>0.55252918287937747</v>
      </c>
      <c r="O112" s="33">
        <v>0.39784946236559138</v>
      </c>
      <c r="P112" s="33">
        <v>0.48031496062992124</v>
      </c>
    </row>
    <row r="113" spans="1:16" x14ac:dyDescent="0.45">
      <c r="A113" s="35">
        <v>110</v>
      </c>
      <c r="B113" s="32">
        <v>-613.6</v>
      </c>
      <c r="C113" s="32">
        <v>-5.5781818181818181</v>
      </c>
      <c r="D113" s="37">
        <v>2.1363636363636362</v>
      </c>
      <c r="E113" s="33">
        <v>0.24545454545454545</v>
      </c>
      <c r="F113" s="33">
        <v>0.38181818181818183</v>
      </c>
      <c r="G113" s="33">
        <v>0.2697576396206533</v>
      </c>
      <c r="H113" s="33">
        <v>0.1791359325605901</v>
      </c>
      <c r="I113" s="34">
        <v>8038.28125</v>
      </c>
      <c r="J113" s="34">
        <v>-7737.6470588235297</v>
      </c>
      <c r="K113" s="33">
        <v>7.2727272727272724E-2</v>
      </c>
      <c r="L113" s="33">
        <v>0.27186512118018968</v>
      </c>
      <c r="M113" s="33">
        <v>0.19599578503688092</v>
      </c>
      <c r="N113" s="33">
        <v>0.55038759689922478</v>
      </c>
      <c r="O113" s="33">
        <v>0.39784946236559138</v>
      </c>
      <c r="P113" s="33">
        <v>0.4765625</v>
      </c>
    </row>
    <row r="114" spans="1:16" x14ac:dyDescent="0.45">
      <c r="A114" s="35">
        <v>111</v>
      </c>
      <c r="B114" s="32">
        <v>-639.20000000000005</v>
      </c>
      <c r="C114" s="32">
        <v>-5.7585585585585592</v>
      </c>
      <c r="D114" s="37">
        <v>2.144144144144144</v>
      </c>
      <c r="E114" s="33">
        <v>0.24324324324324326</v>
      </c>
      <c r="F114" s="33">
        <v>0.38738738738738737</v>
      </c>
      <c r="G114" s="33">
        <v>0.26750261233019856</v>
      </c>
      <c r="H114" s="33">
        <v>0.17763845350052246</v>
      </c>
      <c r="I114" s="34">
        <v>8038.28125</v>
      </c>
      <c r="J114" s="34">
        <v>-7737.6470588235297</v>
      </c>
      <c r="K114" s="33">
        <v>7.2072072072072071E-2</v>
      </c>
      <c r="L114" s="33">
        <v>0.2716823406478579</v>
      </c>
      <c r="M114" s="33">
        <v>0.19540229885057472</v>
      </c>
      <c r="N114" s="33">
        <v>0.5461538461538461</v>
      </c>
      <c r="O114" s="33">
        <v>0.39572192513368987</v>
      </c>
      <c r="P114" s="33">
        <v>0.4765625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2865-8CB2-4F3C-B55A-594E07CAD665}">
  <sheetPr codeName="Sheet12"/>
  <dimension ref="A1:Q19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5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6A3FF-234A-41FB-99EA-49B6149B9FB3}">
  <sheetPr codeName="Sheet10"/>
  <dimension ref="A1:Q2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5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  <row r="226" spans="1:16" x14ac:dyDescent="0.45">
      <c r="A226" s="35">
        <v>223</v>
      </c>
      <c r="B226" s="32">
        <v>2010.1</v>
      </c>
      <c r="C226" s="32">
        <v>9.0139013452914796</v>
      </c>
      <c r="D226" s="37">
        <v>1.7757847533632287</v>
      </c>
      <c r="E226" s="33">
        <v>0.46636771300448432</v>
      </c>
      <c r="F226" s="33">
        <v>0.24215246636771301</v>
      </c>
      <c r="G226" s="33">
        <v>0.33727175080558541</v>
      </c>
      <c r="H226" s="33">
        <v>0.12620837808807733</v>
      </c>
      <c r="I226" s="34">
        <v>8347.4522292993624</v>
      </c>
      <c r="J226" s="34">
        <v>-7581.2765957446809</v>
      </c>
      <c r="K226" s="33">
        <v>4.9327354260089683E-2</v>
      </c>
      <c r="L226" s="33">
        <v>0.2647690655209452</v>
      </c>
      <c r="M226" s="33">
        <v>0.23791621911922664</v>
      </c>
      <c r="N226" s="33">
        <v>0.58012170385395534</v>
      </c>
      <c r="O226" s="33">
        <v>0.47178329571106092</v>
      </c>
      <c r="P226" s="33">
        <v>0.42356687898089174</v>
      </c>
    </row>
    <row r="227" spans="1:16" x14ac:dyDescent="0.45">
      <c r="A227" s="35">
        <v>224</v>
      </c>
      <c r="B227" s="32">
        <v>2035.6999999999998</v>
      </c>
      <c r="C227" s="32">
        <v>9.0879464285714278</v>
      </c>
      <c r="D227" s="37">
        <v>1.7723214285714286</v>
      </c>
      <c r="E227" s="33">
        <v>0.46875</v>
      </c>
      <c r="F227" s="33">
        <v>0.24107142857142858</v>
      </c>
      <c r="G227" s="33">
        <v>0.33814874264312467</v>
      </c>
      <c r="H227" s="33">
        <v>0.12573568753344033</v>
      </c>
      <c r="I227" s="34">
        <v>8328.0063291139249</v>
      </c>
      <c r="J227" s="34">
        <v>-7581.2765957446809</v>
      </c>
      <c r="K227" s="33">
        <v>4.9107142857142856E-2</v>
      </c>
      <c r="L227" s="33">
        <v>0.26431246655965757</v>
      </c>
      <c r="M227" s="33">
        <v>0.2391653290529695</v>
      </c>
      <c r="N227" s="33">
        <v>0.58097165991902833</v>
      </c>
      <c r="O227" s="33">
        <v>0.47427293064876958</v>
      </c>
      <c r="P227" s="33">
        <v>0.42563291139240506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648E-B23F-44F0-AB80-BA5BEF79E326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DAF8-29FB-4096-AA58-3A71F8C09A1D}">
  <sheetPr codeName="Sheet6"/>
  <dimension ref="A1:Q37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5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  <row r="371" spans="1:16" x14ac:dyDescent="0.45">
      <c r="A371" s="35">
        <v>368</v>
      </c>
      <c r="B371" s="32">
        <v>-8.5265128291212022E-14</v>
      </c>
      <c r="C371" s="32">
        <v>-7.7232906060880453E-17</v>
      </c>
      <c r="D371" s="37">
        <v>2</v>
      </c>
      <c r="E371" s="33">
        <v>0.33333333333333331</v>
      </c>
      <c r="F371" s="33">
        <v>0.33333333333333331</v>
      </c>
      <c r="G371" s="33">
        <v>0.29324689357104267</v>
      </c>
      <c r="H371" s="33">
        <v>0.15894111291193949</v>
      </c>
      <c r="I371" s="34">
        <v>8428.408253500369</v>
      </c>
      <c r="J371" s="34">
        <v>-7863.0183548606392</v>
      </c>
      <c r="K371" s="33">
        <v>9.9637681159420288E-2</v>
      </c>
      <c r="L371" s="33">
        <v>0.24970286331712588</v>
      </c>
      <c r="M371" s="33">
        <v>0.23273905996758509</v>
      </c>
      <c r="N371" s="33">
        <v>0.54868022501081781</v>
      </c>
      <c r="O371" s="33">
        <v>0.41689879294336118</v>
      </c>
      <c r="P371" s="33">
        <v>0.4524686809137804</v>
      </c>
    </row>
    <row r="372" spans="1:16" x14ac:dyDescent="0.45">
      <c r="A372" s="35">
        <v>369</v>
      </c>
      <c r="B372" s="32">
        <v>-8.5265128291212022E-14</v>
      </c>
      <c r="C372" s="32">
        <v>-7.7023602792422784E-17</v>
      </c>
      <c r="D372" s="37">
        <v>2</v>
      </c>
      <c r="E372" s="33">
        <v>0.33333333333333331</v>
      </c>
      <c r="F372" s="33">
        <v>0.33333333333333331</v>
      </c>
      <c r="G372" s="33">
        <v>0.29320388349514565</v>
      </c>
      <c r="H372" s="33">
        <v>0.15889967637540453</v>
      </c>
      <c r="I372" s="34">
        <v>8438.3738042678433</v>
      </c>
      <c r="J372" s="34">
        <v>-7861.0319076714186</v>
      </c>
      <c r="K372" s="33">
        <v>0.1002710027100271</v>
      </c>
      <c r="L372" s="33">
        <v>0.24973031283710895</v>
      </c>
      <c r="M372" s="33">
        <v>0.23236245954692555</v>
      </c>
      <c r="N372" s="33">
        <v>0.54859611231101513</v>
      </c>
      <c r="O372" s="33">
        <v>0.41689879294336118</v>
      </c>
      <c r="P372" s="33">
        <v>0.45253863134657835</v>
      </c>
    </row>
    <row r="373" spans="1:16" x14ac:dyDescent="0.45">
      <c r="A373" s="35">
        <v>370</v>
      </c>
      <c r="B373" s="32">
        <v>-9.2370555648813024E-14</v>
      </c>
      <c r="C373" s="32">
        <v>-8.3216716800732455E-17</v>
      </c>
      <c r="D373" s="37">
        <v>2</v>
      </c>
      <c r="E373" s="33">
        <v>0.33333333333333331</v>
      </c>
      <c r="F373" s="33">
        <v>0.33333333333333331</v>
      </c>
      <c r="G373" s="33">
        <v>0.2931480284421461</v>
      </c>
      <c r="H373" s="33">
        <v>0.15890971773324714</v>
      </c>
      <c r="I373" s="34">
        <v>8452.5542080117611</v>
      </c>
      <c r="J373" s="34">
        <v>-7885.5593220338988</v>
      </c>
      <c r="K373" s="33">
        <v>0.1009009009009009</v>
      </c>
      <c r="L373" s="33">
        <v>0.24973066149536738</v>
      </c>
      <c r="M373" s="33">
        <v>0.23216979099332041</v>
      </c>
      <c r="N373" s="33">
        <v>0.54831751509922344</v>
      </c>
      <c r="O373" s="33">
        <v>0.41670533642691415</v>
      </c>
      <c r="P373" s="33">
        <v>0.4524072032341051</v>
      </c>
    </row>
    <row r="374" spans="1:16" x14ac:dyDescent="0.45">
      <c r="A374" s="35">
        <v>371</v>
      </c>
      <c r="B374" s="32">
        <v>-9.4146912488213275E-14</v>
      </c>
      <c r="C374" s="32">
        <v>-8.4588420923821446E-17</v>
      </c>
      <c r="D374" s="37">
        <v>2</v>
      </c>
      <c r="E374" s="33">
        <v>0.33333333333333331</v>
      </c>
      <c r="F374" s="33">
        <v>0.33333333333333331</v>
      </c>
      <c r="G374" s="33">
        <v>0.29282183537502687</v>
      </c>
      <c r="H374" s="33">
        <v>0.15849989254244573</v>
      </c>
      <c r="I374" s="34">
        <v>8449.5045871559632</v>
      </c>
      <c r="J374" s="34">
        <v>-7885.5593220338988</v>
      </c>
      <c r="K374" s="33">
        <v>0.10062893081761007</v>
      </c>
      <c r="L374" s="33">
        <v>0.25005372877713306</v>
      </c>
      <c r="M374" s="33">
        <v>0.23189340210616807</v>
      </c>
      <c r="N374" s="33">
        <v>0.54705629565964764</v>
      </c>
      <c r="O374" s="33">
        <v>0.41705282669138088</v>
      </c>
      <c r="P374" s="33">
        <v>0.45321100917431195</v>
      </c>
    </row>
    <row r="375" spans="1:16" x14ac:dyDescent="0.45">
      <c r="A375" s="35">
        <v>372</v>
      </c>
      <c r="B375" s="32">
        <v>-9.7699626167013776E-14</v>
      </c>
      <c r="C375" s="32">
        <v>-8.7544467891589405E-17</v>
      </c>
      <c r="D375" s="37">
        <v>2</v>
      </c>
      <c r="E375" s="33">
        <v>0.33333333333333331</v>
      </c>
      <c r="F375" s="33">
        <v>0.33333333333333331</v>
      </c>
      <c r="G375" s="33">
        <v>0.29283188685310191</v>
      </c>
      <c r="H375" s="33">
        <v>0.15857709203900139</v>
      </c>
      <c r="I375" s="34">
        <v>8449.1767288693736</v>
      </c>
      <c r="J375" s="34">
        <v>-7895</v>
      </c>
      <c r="K375" s="33">
        <v>0.10125448028673835</v>
      </c>
      <c r="L375" s="33">
        <v>0.25018750669666773</v>
      </c>
      <c r="M375" s="33">
        <v>0.23186542376513447</v>
      </c>
      <c r="N375" s="33">
        <v>0.54689507494646683</v>
      </c>
      <c r="O375" s="33">
        <v>0.41682070240295749</v>
      </c>
      <c r="P375" s="33">
        <v>0.45298207098426635</v>
      </c>
    </row>
    <row r="376" spans="1:16" x14ac:dyDescent="0.45">
      <c r="A376" s="35">
        <v>373</v>
      </c>
      <c r="B376" s="32">
        <v>-9.2370555648813024E-14</v>
      </c>
      <c r="C376" s="32">
        <v>-8.254741344844774E-17</v>
      </c>
      <c r="D376" s="37">
        <v>2</v>
      </c>
      <c r="E376" s="33">
        <v>0.33333333333333331</v>
      </c>
      <c r="F376" s="33">
        <v>0.33333333333333331</v>
      </c>
      <c r="G376" s="33">
        <v>0.29292281376951035</v>
      </c>
      <c r="H376" s="33">
        <v>0.15843489416292494</v>
      </c>
      <c r="I376" s="34">
        <v>8442.4817518248183</v>
      </c>
      <c r="J376" s="34">
        <v>-7890.2159244264503</v>
      </c>
      <c r="K376" s="33">
        <v>0.10098302055406613</v>
      </c>
      <c r="L376" s="33">
        <v>0.25016035920461832</v>
      </c>
      <c r="M376" s="33">
        <v>0.23198631601453923</v>
      </c>
      <c r="N376" s="33">
        <v>0.54700854700854706</v>
      </c>
      <c r="O376" s="33">
        <v>0.41751152073732717</v>
      </c>
      <c r="P376" s="33">
        <v>0.45364963503649636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2020-02-27T05:07:55Z</dcterms:modified>
</cp:coreProperties>
</file>