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DBFDFB64-3AC6-484F-92D1-0846A705D91A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7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1" i="5857" l="1"/>
  <c r="O16" i="5865"/>
  <c r="O15" i="5865" l="1"/>
  <c r="O19" i="5873"/>
  <c r="O15" i="5863" l="1"/>
  <c r="O20" i="5869"/>
  <c r="O16" i="5873" l="1"/>
  <c r="O22" i="5863"/>
  <c r="O20" i="5857" l="1"/>
  <c r="O16" i="5859"/>
  <c r="O15" i="5869"/>
  <c r="O21" i="5869"/>
  <c r="O19" i="5867" l="1"/>
  <c r="O18" i="5871"/>
  <c r="O16" i="5861" l="1"/>
  <c r="O17" i="5867"/>
  <c r="O19" i="5869"/>
  <c r="O18" i="5869"/>
  <c r="O15" i="5857" l="1"/>
  <c r="O17" i="5871"/>
  <c r="O19" i="5871"/>
  <c r="O17" i="5863"/>
  <c r="O20" i="5861" l="1"/>
  <c r="O21" i="5865"/>
  <c r="O20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5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0" i="5867"/>
  <c r="O23" i="5867"/>
  <c r="O16" i="5857"/>
  <c r="O18" i="5861"/>
  <c r="O16" i="5863"/>
  <c r="O20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6" i="5855"/>
  <c r="O16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1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9" i="5869"/>
  <c r="H39" i="5869"/>
  <c r="B23" i="5869"/>
  <c r="H43" i="5869"/>
  <c r="H47" i="5869"/>
  <c r="H22" i="5869"/>
  <c r="H7" i="5869"/>
  <c r="C17" i="5869"/>
  <c r="H32" i="5869"/>
  <c r="H2" i="5869"/>
  <c r="H20" i="5869"/>
  <c r="C18" i="5869"/>
  <c r="H35" i="5869"/>
  <c r="H51" i="5869"/>
  <c r="H25" i="5869"/>
  <c r="H26" i="5869"/>
  <c r="H28" i="5869"/>
  <c r="H29" i="5869"/>
  <c r="H31" i="5869"/>
  <c r="H33" i="5869"/>
  <c r="H36" i="5869"/>
  <c r="H40" i="5869"/>
  <c r="H44" i="5869"/>
  <c r="H48" i="5869"/>
  <c r="H5" i="5869"/>
  <c r="H12" i="5869"/>
  <c r="H21" i="5869"/>
  <c r="H23" i="5869"/>
  <c r="C19" i="5869"/>
  <c r="H13" i="5869"/>
  <c r="B24" i="5869"/>
  <c r="H34" i="5869"/>
  <c r="H37" i="5869"/>
  <c r="H41" i="5869"/>
  <c r="H45" i="5869"/>
  <c r="H49" i="5869"/>
  <c r="H52" i="5869"/>
  <c r="H11" i="5869"/>
  <c r="H6" i="5869"/>
  <c r="H10" i="5869"/>
  <c r="H16" i="5869"/>
  <c r="H24" i="5869"/>
  <c r="H15" i="5869"/>
  <c r="H27" i="5869"/>
  <c r="H14" i="5869"/>
  <c r="H30" i="5869"/>
  <c r="H18" i="5869"/>
  <c r="H19" i="5869"/>
  <c r="H38" i="5869"/>
  <c r="H42" i="5869"/>
  <c r="H46" i="5869"/>
  <c r="O22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19" i="5865"/>
  <c r="O18" i="5865"/>
  <c r="C29" i="5865"/>
  <c r="B26" i="5865"/>
  <c r="B25" i="5865"/>
  <c r="C20" i="5865"/>
  <c r="B17" i="5865"/>
  <c r="H6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8" i="5855"/>
  <c r="O19" i="5863"/>
  <c r="O18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20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10" i="5867"/>
  <c r="H41" i="5867"/>
  <c r="H12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2" i="5867"/>
  <c r="H23" i="5867"/>
  <c r="H33" i="5867"/>
  <c r="H26" i="5867"/>
  <c r="H38" i="5867"/>
  <c r="H27" i="5867"/>
  <c r="H45" i="5867"/>
  <c r="H49" i="5867"/>
  <c r="H5" i="5867"/>
  <c r="H8" i="5867"/>
  <c r="H21" i="5867"/>
  <c r="H29" i="5867"/>
  <c r="C19" i="5867"/>
  <c r="H14" i="5867"/>
  <c r="B24" i="5867"/>
  <c r="H35" i="5867"/>
  <c r="H39" i="5867"/>
  <c r="H42" i="5867"/>
  <c r="H46" i="5867"/>
  <c r="H50" i="5867"/>
  <c r="H52" i="5867"/>
  <c r="H11" i="5867"/>
  <c r="H7" i="5867"/>
  <c r="H9" i="5867"/>
  <c r="H20" i="5867"/>
  <c r="H15" i="5867"/>
  <c r="H19" i="5867"/>
  <c r="H32" i="5867"/>
  <c r="H13" i="5867"/>
  <c r="H24" i="5867"/>
  <c r="H25" i="5867"/>
  <c r="H36" i="5867"/>
  <c r="H40" i="5867"/>
  <c r="H43" i="5867"/>
  <c r="H47" i="5867"/>
  <c r="H2" i="5865"/>
  <c r="H3" i="5865"/>
  <c r="H4" i="5865"/>
  <c r="H11" i="5865"/>
  <c r="H9" i="5865"/>
  <c r="C17" i="5865"/>
  <c r="H14" i="5865"/>
  <c r="H42" i="5865"/>
  <c r="H38" i="5865"/>
  <c r="H20" i="5865"/>
  <c r="H7" i="5865"/>
  <c r="H27" i="5865"/>
  <c r="C18" i="5865"/>
  <c r="B23" i="5865"/>
  <c r="H46" i="5865"/>
  <c r="H52" i="5865"/>
  <c r="H29" i="5865"/>
  <c r="H10" i="5865"/>
  <c r="H13" i="5865"/>
  <c r="H5" i="5865"/>
  <c r="H19" i="5865"/>
  <c r="H28" i="5865"/>
  <c r="H21" i="5865"/>
  <c r="C19" i="5865"/>
  <c r="B24" i="5865"/>
  <c r="H35" i="5865"/>
  <c r="H50" i="5865"/>
  <c r="H22" i="5865"/>
  <c r="H16" i="5865"/>
  <c r="H32" i="5865"/>
  <c r="H15" i="5865"/>
  <c r="H34" i="5865"/>
  <c r="H18" i="5865"/>
  <c r="H36" i="5865"/>
  <c r="H39" i="5865"/>
  <c r="H43" i="5865"/>
  <c r="H47" i="5865"/>
  <c r="H51" i="5865"/>
  <c r="H8" i="5865"/>
  <c r="H17" i="5865"/>
  <c r="H37" i="5865"/>
  <c r="H40" i="5865"/>
  <c r="H44" i="5865"/>
  <c r="H48" i="5865"/>
  <c r="H12" i="5865"/>
  <c r="H30" i="5865"/>
  <c r="H31" i="5865"/>
  <c r="H23" i="5865"/>
  <c r="H33" i="5865"/>
  <c r="H24" i="5865"/>
  <c r="H25" i="5865"/>
  <c r="H26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19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7" i="5855"/>
  <c r="O18" i="5857"/>
  <c r="O17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19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5" i="5857"/>
  <c r="H11" i="5861"/>
  <c r="C17" i="5861"/>
  <c r="H28" i="5861"/>
  <c r="H33" i="5861"/>
  <c r="H49" i="5861"/>
  <c r="B24" i="5861"/>
  <c r="H38" i="5861"/>
  <c r="H46" i="5861"/>
  <c r="H52" i="5861"/>
  <c r="H10" i="5861"/>
  <c r="H6" i="5861"/>
  <c r="H12" i="5861"/>
  <c r="H20" i="5861"/>
  <c r="H18" i="5861"/>
  <c r="H17" i="5861"/>
  <c r="H24" i="5861"/>
  <c r="H13" i="5861"/>
  <c r="H32" i="5861"/>
  <c r="H16" i="5861"/>
  <c r="H26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3" i="5861"/>
  <c r="C19" i="5861"/>
  <c r="H14" i="5861"/>
  <c r="H35" i="5861"/>
  <c r="H42" i="5861"/>
  <c r="H50" i="5861"/>
  <c r="H7" i="5861"/>
  <c r="H22" i="5861"/>
  <c r="H27" i="5861"/>
  <c r="H15" i="5861"/>
  <c r="C18" i="5861"/>
  <c r="B23" i="5861"/>
  <c r="H8" i="5861"/>
  <c r="H25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5" i="5859"/>
  <c r="H41" i="5859"/>
  <c r="H2" i="5859"/>
  <c r="H13" i="5859"/>
  <c r="H3" i="5859"/>
  <c r="H22" i="5859"/>
  <c r="H24" i="5859"/>
  <c r="H19" i="5859"/>
  <c r="H20" i="5859"/>
  <c r="C17" i="5859"/>
  <c r="H12" i="5859"/>
  <c r="H8" i="5859"/>
  <c r="H28" i="5859"/>
  <c r="H47" i="5859"/>
  <c r="B24" i="5859"/>
  <c r="H44" i="5859"/>
  <c r="H9" i="5859"/>
  <c r="H17" i="5859"/>
  <c r="H10" i="5859"/>
  <c r="H6" i="5859"/>
  <c r="H11" i="5859"/>
  <c r="H26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3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9" i="5857"/>
  <c r="H8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6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3" i="5855"/>
  <c r="C18" i="5855"/>
  <c r="H39" i="5855"/>
  <c r="H16" i="5855"/>
  <c r="H36" i="5855"/>
  <c r="H37" i="5855"/>
  <c r="H25" i="5855"/>
  <c r="H30" i="5855"/>
  <c r="H31" i="5855"/>
  <c r="H28" i="5855"/>
  <c r="H32" i="5855"/>
  <c r="H33" i="5855"/>
  <c r="H46" i="5855"/>
  <c r="H49" i="5855"/>
  <c r="H5" i="5855"/>
  <c r="H8" i="5855"/>
  <c r="H20" i="5855"/>
  <c r="H24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6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<sst xmlns="http://schemas.openxmlformats.org/spreadsheetml/2006/main" count="2860" uniqueCount="250">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</sst>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全体!$K$2:$K$581</c:f>
              <c:numCache>
                <c:formatCode>General</c:formatCode>
                <c:ptCount val="5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</c:numCache>
            </c:numRef>
          </c:xVal>
          <c:yVal>
            <c:numRef>
              <c:f>全体!$L$2:$L$581</c:f>
              <c:numCache>
                <c:formatCode>\+0.0;\-0.0;\±0</c:formatCode>
                <c:ptCount val="58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-22.569444444444443</c:v>
                </c:pt>
                <c:pt idx="1">
                  <c:v>8.8652482269503547</c:v>
                </c:pt>
                <c:pt idx="2">
                  <c:v>-13.035381750465548</c:v>
                </c:pt>
                <c:pt idx="3">
                  <c:v>7.8895463510848129</c:v>
                </c:pt>
                <c:pt idx="4">
                  <c:v>10.683760683760683</c:v>
                </c:pt>
                <c:pt idx="5">
                  <c:v>15.748031496062993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1258.4905660377358</c:v>
                </c:pt>
                <c:pt idx="1">
                  <c:v>-1067.3076923076924</c:v>
                </c:pt>
                <c:pt idx="2">
                  <c:v>-1968</c:v>
                </c:pt>
                <c:pt idx="3">
                  <c:v>-1389.795918367347</c:v>
                </c:pt>
                <c:pt idx="4">
                  <c:v>-150</c:v>
                </c:pt>
                <c:pt idx="5">
                  <c:v>-1839.0243902439024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だいち!$L$2:$L$123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1340.8333333333333</c:v>
                </c:pt>
                <c:pt idx="1">
                  <c:v>922.22222222222217</c:v>
                </c:pt>
                <c:pt idx="2">
                  <c:v>986.72566371681421</c:v>
                </c:pt>
                <c:pt idx="3">
                  <c:v>175.96153846153845</c:v>
                </c:pt>
                <c:pt idx="4">
                  <c:v>1991.7525773195875</c:v>
                </c:pt>
                <c:pt idx="5">
                  <c:v>2606.4935064935066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ただ!$K$2:$K$110</c:f>
              <c:numCache>
                <c:formatCode>General</c:formatCode>
                <c:ptCount val="1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</c:numCache>
            </c:numRef>
          </c:xVal>
          <c:yVal>
            <c:numRef>
              <c:f>ただ!$L$2:$L$110</c:f>
              <c:numCache>
                <c:formatCode>\+0.0;\-0.0;\±0</c:formatCode>
                <c:ptCount val="10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-1852.3364485981308</c:v>
                </c:pt>
                <c:pt idx="1">
                  <c:v>1117.1428571428571</c:v>
                </c:pt>
                <c:pt idx="2">
                  <c:v>63.636363636363633</c:v>
                </c:pt>
                <c:pt idx="3">
                  <c:v>606.45161290322585</c:v>
                </c:pt>
                <c:pt idx="4">
                  <c:v>-922.35294117647061</c:v>
                </c:pt>
                <c:pt idx="5">
                  <c:v>1460.5633802816901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りくと!$L$2:$L$69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68.181818181818187</c:v>
                </c:pt>
                <c:pt idx="1">
                  <c:v>-834.84848484848487</c:v>
                </c:pt>
                <c:pt idx="2">
                  <c:v>175.80645161290323</c:v>
                </c:pt>
                <c:pt idx="3">
                  <c:v>-1378.688524590164</c:v>
                </c:pt>
                <c:pt idx="4">
                  <c:v>-3265.5172413793102</c:v>
                </c:pt>
                <c:pt idx="5">
                  <c:v>-1190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1516.1764705882354</c:v>
                </c:pt>
                <c:pt idx="1">
                  <c:v>-2083.3333333333335</c:v>
                </c:pt>
                <c:pt idx="2">
                  <c:v>1138.7096774193549</c:v>
                </c:pt>
                <c:pt idx="3">
                  <c:v>3596.6101694915255</c:v>
                </c:pt>
                <c:pt idx="4">
                  <c:v>853.7037037037037</c:v>
                </c:pt>
                <c:pt idx="5">
                  <c:v>-370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まっつん!$L$2:$L$94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932.60869565217388</c:v>
                </c:pt>
                <c:pt idx="1">
                  <c:v>582.02247191011236</c:v>
                </c:pt>
                <c:pt idx="2">
                  <c:v>-631.32530120481931</c:v>
                </c:pt>
                <c:pt idx="3">
                  <c:v>-15.789473684210526</c:v>
                </c:pt>
                <c:pt idx="4">
                  <c:v>-676.11940298507466</c:v>
                </c:pt>
                <c:pt idx="5">
                  <c:v>-814.03508771929819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のり!$L$2:$L$39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-3375.6756756756758</c:v>
                </c:pt>
                <c:pt idx="1">
                  <c:v>240.54054054054055</c:v>
                </c:pt>
                <c:pt idx="2">
                  <c:v>-1297.2972972972973</c:v>
                </c:pt>
                <c:pt idx="3">
                  <c:v>-2179.4117647058824</c:v>
                </c:pt>
                <c:pt idx="4">
                  <c:v>-1615.1515151515152</c:v>
                </c:pt>
                <c:pt idx="5">
                  <c:v>-3600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れんたろう2!$B$3:$B$71</c:f>
              <c:numCache>
                <c:formatCode>\+0.0;\-0.0;\±0</c:formatCode>
                <c:ptCount val="6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329070518200751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れんたろう2!$C$3:$C$71</c:f>
              <c:numCache>
                <c:formatCode>\+0.0;\-0.0;\±0</c:formatCode>
                <c:ptCount val="69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20392144766969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れんたろう2!$D$3:$D$71</c:f>
              <c:numCache>
                <c:formatCode>0.00\ "位"</c:formatCode>
                <c:ptCount val="69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れんたろう2!$E$3:$E$71</c:f>
              <c:numCache>
                <c:formatCode>0.0%</c:formatCode>
                <c:ptCount val="6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れんたろう2!$F$3:$F$71</c:f>
              <c:numCache>
                <c:formatCode>0.0%</c:formatCode>
                <c:ptCount val="69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れんたろう2!$G$3:$G$71</c:f>
              <c:numCache>
                <c:formatCode>0.0%</c:formatCode>
                <c:ptCount val="69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943240454076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れんたろう2!$H$3:$H$71</c:f>
              <c:numCache>
                <c:formatCode>0.0%</c:formatCode>
                <c:ptCount val="69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641898864809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れんたろう2!$I$3:$I$71</c:f>
              <c:numCache>
                <c:formatCode>0</c:formatCode>
                <c:ptCount val="69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3.59692092372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れんたろう2!$J$3:$J$71</c:f>
              <c:numCache>
                <c:formatCode>0</c:formatCode>
                <c:ptCount val="69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82.36040609137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れんたろう2!$K$3:$K$71</c:f>
              <c:numCache>
                <c:formatCode>0.0%</c:formatCode>
                <c:ptCount val="69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9913644214162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れんたろう2!$L$3:$L$71</c:f>
              <c:numCache>
                <c:formatCode>0.0%</c:formatCode>
                <c:ptCount val="6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0.17777777777777778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0.20833333333333334</c:v>
                </c:pt>
                <c:pt idx="49">
                  <c:v>0.20408163265306123</c:v>
                </c:pt>
                <c:pt idx="50">
                  <c:v>0.22</c:v>
                </c:pt>
                <c:pt idx="51">
                  <c:v>0.21568627450980393</c:v>
                </c:pt>
                <c:pt idx="52">
                  <c:v>0.21153846153846154</c:v>
                </c:pt>
                <c:pt idx="53">
                  <c:v>0.20754716981132076</c:v>
                </c:pt>
                <c:pt idx="54">
                  <c:v>0.20370370370370369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0.19298245614035087</c:v>
                </c:pt>
                <c:pt idx="58">
                  <c:v>0.18965517241379309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0.19047619047619047</c:v>
                </c:pt>
                <c:pt idx="64">
                  <c:v>0.1875</c:v>
                </c:pt>
                <c:pt idx="65">
                  <c:v>0.18461538461538463</c:v>
                </c:pt>
                <c:pt idx="66">
                  <c:v>0.18181818181818182</c:v>
                </c:pt>
                <c:pt idx="67">
                  <c:v>0.17910447761194029</c:v>
                </c:pt>
                <c:pt idx="68">
                  <c:v>0.19117647058823528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9913644214162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れんたろう2!$M$3:$M$71</c:f>
              <c:numCache>
                <c:formatCode>0.0%</c:formatCode>
                <c:ptCount val="69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263157894736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れんたろう2!$N$3:$N$71</c:f>
              <c:numCache>
                <c:formatCode>0.0%</c:formatCode>
                <c:ptCount val="69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9514963880288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れんたろう2!$O$3:$O$71</c:f>
              <c:numCache>
                <c:formatCode>0.0%</c:formatCode>
                <c:ptCount val="69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8823529411764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れんたろう2!$P$3:$P$71</c:f>
              <c:numCache>
                <c:formatCode>0.0%</c:formatCode>
                <c:ptCount val="69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1870503597122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れんたろう2!$Q$3:$Q$71</c:f>
              <c:numCache>
                <c:formatCode>0.0%</c:formatCode>
                <c:ptCount val="69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967109867039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8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7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7" x14ac:dyDescent="0.4">
      <c r="A50" s="28" t="s">
        <v>241</v>
      </c>
      <c r="B50" s="29">
        <v>43773.722453703704</v>
      </c>
      <c r="C50" s="28" t="s">
        <v>128</v>
      </c>
    </row>
    <row r="51" spans="1:7" x14ac:dyDescent="0.4">
      <c r="A51" s="28" t="s">
        <v>242</v>
      </c>
      <c r="B51" s="29">
        <v>43780.866018518522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7" x14ac:dyDescent="0.4">
      <c r="A52" s="28" t="s">
        <v>243</v>
      </c>
      <c r="B52" s="29">
        <v>43781.02715277778</v>
      </c>
      <c r="C52" s="28" t="s">
        <v>128</v>
      </c>
      <c r="D52" s="28" t="s">
        <v>129</v>
      </c>
    </row>
    <row r="53" spans="1:7" x14ac:dyDescent="0.4">
      <c r="A53" s="28" t="s">
        <v>244</v>
      </c>
      <c r="B53" s="29">
        <v>43781.637499999997</v>
      </c>
      <c r="C53" s="28" t="s">
        <v>128</v>
      </c>
    </row>
    <row r="54" spans="1:7" x14ac:dyDescent="0.4">
      <c r="A54" s="28" t="s">
        <v>245</v>
      </c>
      <c r="B54" s="29">
        <v>43782.018078703702</v>
      </c>
      <c r="C54" s="28" t="s">
        <v>128</v>
      </c>
      <c r="D54" s="28" t="s">
        <v>129</v>
      </c>
    </row>
    <row r="55" spans="1:7" x14ac:dyDescent="0.4">
      <c r="A55" s="28" t="s">
        <v>246</v>
      </c>
      <c r="B55" s="29">
        <v>43782.830752314818</v>
      </c>
      <c r="C55" s="28" t="s">
        <v>128</v>
      </c>
      <c r="D55" s="28" t="s">
        <v>129</v>
      </c>
      <c r="E55" s="28" t="s">
        <v>184</v>
      </c>
      <c r="F55" s="28" t="s">
        <v>185</v>
      </c>
      <c r="G55" s="28" t="s">
        <v>186</v>
      </c>
    </row>
    <row r="56" spans="1:7" x14ac:dyDescent="0.4">
      <c r="A56" s="28" t="s">
        <v>247</v>
      </c>
      <c r="B56" s="29">
        <v>43783.744745370372</v>
      </c>
      <c r="C56" s="28" t="s">
        <v>128</v>
      </c>
    </row>
    <row r="57" spans="1:7" x14ac:dyDescent="0.4">
      <c r="A57" s="28" t="s">
        <v>248</v>
      </c>
      <c r="B57" s="29">
        <v>43784.974247685182</v>
      </c>
      <c r="C57" s="28" t="s">
        <v>128</v>
      </c>
    </row>
    <row r="58" spans="1:7" x14ac:dyDescent="0.4">
      <c r="A58" s="28" t="s">
        <v>249</v>
      </c>
      <c r="B58" s="29">
        <v>43786.052789351852</v>
      </c>
      <c r="C58" s="28" t="s">
        <v>128</v>
      </c>
      <c r="D58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579</v>
      </c>
    </row>
    <row r="2" spans="1:2" x14ac:dyDescent="0.4">
      <c r="A2" t="s">
        <v>166</v>
      </c>
      <c r="B2">
        <v>53</v>
      </c>
    </row>
    <row r="3" spans="1:2" x14ac:dyDescent="0.4">
      <c r="A3" t="s">
        <v>126</v>
      </c>
      <c r="B3">
        <v>121</v>
      </c>
    </row>
    <row r="4" spans="1:2" x14ac:dyDescent="0.4">
      <c r="A4" t="s">
        <v>127</v>
      </c>
      <c r="B4">
        <v>108</v>
      </c>
    </row>
    <row r="5" spans="1:2" x14ac:dyDescent="0.4">
      <c r="A5" t="s">
        <v>179</v>
      </c>
      <c r="B5">
        <v>67</v>
      </c>
    </row>
    <row r="6" spans="1:2" x14ac:dyDescent="0.4">
      <c r="A6" t="s">
        <v>177</v>
      </c>
      <c r="B6">
        <v>68</v>
      </c>
    </row>
    <row r="7" spans="1:2" x14ac:dyDescent="0.4">
      <c r="A7" t="s">
        <v>178</v>
      </c>
      <c r="B7">
        <v>92</v>
      </c>
    </row>
    <row r="8" spans="1:2" x14ac:dyDescent="0.4">
      <c r="A8" t="s">
        <v>182</v>
      </c>
      <c r="B8">
        <v>37</v>
      </c>
    </row>
    <row r="9" spans="1:2" x14ac:dyDescent="0.4">
      <c r="A9" t="s">
        <v>181</v>
      </c>
      <c r="B9">
        <v>24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0.99011941223431577</v>
      </c>
      <c r="G2" s="157"/>
      <c r="H2" s="156">
        <v>0.89123820014462829</v>
      </c>
      <c r="I2" s="157"/>
      <c r="J2" s="156">
        <v>0.92259482895702716</v>
      </c>
      <c r="K2" s="157"/>
      <c r="L2" s="156">
        <v>0.84559303959010612</v>
      </c>
      <c r="M2" s="157"/>
      <c r="N2" s="156">
        <v>0.58754720935815774</v>
      </c>
      <c r="O2" s="157"/>
      <c r="P2" s="156">
        <v>0.63046761297904452</v>
      </c>
      <c r="Q2" s="157"/>
      <c r="R2" s="156">
        <v>-7.106881688899562E-2</v>
      </c>
      <c r="S2" s="157"/>
      <c r="T2" s="156">
        <v>0.54905035512381084</v>
      </c>
      <c r="U2" s="157"/>
      <c r="V2" s="156">
        <v>0.87259322890060342</v>
      </c>
      <c r="W2" s="157"/>
      <c r="X2" s="156">
        <v>0.65175108365816548</v>
      </c>
      <c r="Y2" s="157"/>
      <c r="Z2" s="156">
        <v>-0.12573052244391517</v>
      </c>
      <c r="AA2" s="157"/>
      <c r="AB2" s="156">
        <v>0.41232209026562111</v>
      </c>
      <c r="AC2" s="157"/>
      <c r="AD2" s="156">
        <v>0.53986320124538967</v>
      </c>
      <c r="AE2" s="157"/>
      <c r="AF2" s="156">
        <v>-6.7075858888808973E-2</v>
      </c>
      <c r="AG2" s="157"/>
      <c r="AH2" s="156">
        <v>0.80026602857899198</v>
      </c>
      <c r="AI2" s="157"/>
    </row>
    <row r="3" spans="1:35" x14ac:dyDescent="0.4">
      <c r="A3" s="70">
        <v>1</v>
      </c>
      <c r="B3" s="71" t="s">
        <v>126</v>
      </c>
      <c r="C3" s="72">
        <v>1071.8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10662.195121951219</v>
      </c>
      <c r="R3" s="73" t="s">
        <v>181</v>
      </c>
      <c r="S3" s="77">
        <v>-6836.8421052631575</v>
      </c>
      <c r="T3" s="73" t="s">
        <v>222</v>
      </c>
      <c r="U3" s="75">
        <v>0</v>
      </c>
      <c r="V3" s="73" t="s">
        <v>177</v>
      </c>
      <c r="W3" s="75">
        <v>0.19117647058823528</v>
      </c>
      <c r="X3" s="73" t="s">
        <v>177</v>
      </c>
      <c r="Y3" s="76">
        <v>0.31899641577060933</v>
      </c>
      <c r="Z3" s="73" t="s">
        <v>195</v>
      </c>
      <c r="AA3" s="76">
        <v>0.35483870967741937</v>
      </c>
      <c r="AB3" s="73" t="s">
        <v>126</v>
      </c>
      <c r="AC3" s="76">
        <v>0.59774436090225569</v>
      </c>
      <c r="AD3" s="73" t="s">
        <v>222</v>
      </c>
      <c r="AE3" s="76">
        <v>1</v>
      </c>
      <c r="AF3" s="73" t="s">
        <v>181</v>
      </c>
      <c r="AG3" s="76">
        <v>0.56451612903225812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458.00000000000011</v>
      </c>
      <c r="D4" s="81" t="s">
        <v>126</v>
      </c>
      <c r="E4" s="93">
        <v>8.8578512396694205</v>
      </c>
      <c r="F4" s="81" t="s">
        <v>126</v>
      </c>
      <c r="G4" s="82">
        <v>1.7851239669421488</v>
      </c>
      <c r="H4" s="81" t="s">
        <v>126</v>
      </c>
      <c r="I4" s="83">
        <v>0.45454545454545453</v>
      </c>
      <c r="J4" s="81" t="s">
        <v>126</v>
      </c>
      <c r="K4" s="83">
        <v>0.23966942148760331</v>
      </c>
      <c r="L4" s="81" t="s">
        <v>126</v>
      </c>
      <c r="M4" s="84">
        <v>0.34282807731434384</v>
      </c>
      <c r="N4" s="81" t="s">
        <v>126</v>
      </c>
      <c r="O4" s="84">
        <v>0.12919633774160733</v>
      </c>
      <c r="P4" s="81" t="s">
        <v>181</v>
      </c>
      <c r="Q4" s="85">
        <v>8456.4516129032254</v>
      </c>
      <c r="R4" s="81" t="s">
        <v>166</v>
      </c>
      <c r="S4" s="85">
        <v>-7594.4444444444443</v>
      </c>
      <c r="T4" s="81" t="s">
        <v>166</v>
      </c>
      <c r="U4" s="83">
        <v>3.7735849056603772E-2</v>
      </c>
      <c r="V4" s="81" t="s">
        <v>195</v>
      </c>
      <c r="W4" s="83">
        <v>0.14285714285714285</v>
      </c>
      <c r="X4" s="81" t="s">
        <v>179</v>
      </c>
      <c r="Y4" s="84">
        <v>0.2879581151832461</v>
      </c>
      <c r="Z4" s="81" t="s">
        <v>222</v>
      </c>
      <c r="AA4" s="84">
        <v>0.33333333333333331</v>
      </c>
      <c r="AB4" s="81" t="s">
        <v>181</v>
      </c>
      <c r="AC4" s="84">
        <v>0.5901639344262295</v>
      </c>
      <c r="AD4" s="81" t="s">
        <v>126</v>
      </c>
      <c r="AE4" s="84">
        <v>0.48636363636363639</v>
      </c>
      <c r="AF4" s="81" t="s">
        <v>182</v>
      </c>
      <c r="AG4" s="84">
        <v>0.48684210526315791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222</v>
      </c>
      <c r="C5" s="80">
        <v>26.2</v>
      </c>
      <c r="D5" s="81" t="s">
        <v>177</v>
      </c>
      <c r="E5" s="93">
        <v>6.7352941176470607</v>
      </c>
      <c r="F5" s="81" t="s">
        <v>177</v>
      </c>
      <c r="G5" s="82">
        <v>1.8676470588235294</v>
      </c>
      <c r="H5" s="81" t="s">
        <v>195</v>
      </c>
      <c r="I5" s="83">
        <v>0.42857142857142855</v>
      </c>
      <c r="J5" s="81" t="s">
        <v>178</v>
      </c>
      <c r="K5" s="83">
        <v>0.27173913043478259</v>
      </c>
      <c r="L5" s="81" t="s">
        <v>127</v>
      </c>
      <c r="M5" s="84">
        <v>0.30176211453744495</v>
      </c>
      <c r="N5" s="81" t="s">
        <v>178</v>
      </c>
      <c r="O5" s="84">
        <v>0.13469387755102041</v>
      </c>
      <c r="P5" s="81" t="s">
        <v>143</v>
      </c>
      <c r="Q5" s="85">
        <v>8443.5969209237228</v>
      </c>
      <c r="R5" s="81" t="s">
        <v>179</v>
      </c>
      <c r="S5" s="85">
        <v>-7662.3931623931621</v>
      </c>
      <c r="T5" s="81" t="s">
        <v>126</v>
      </c>
      <c r="U5" s="83">
        <v>4.1322314049586778E-2</v>
      </c>
      <c r="V5" s="81" t="s">
        <v>181</v>
      </c>
      <c r="W5" s="83">
        <v>0.125</v>
      </c>
      <c r="X5" s="81" t="s">
        <v>126</v>
      </c>
      <c r="Y5" s="84">
        <v>0.27060020345879959</v>
      </c>
      <c r="Z5" s="81" t="s">
        <v>127</v>
      </c>
      <c r="AA5" s="84">
        <v>0.30616740088105726</v>
      </c>
      <c r="AB5" s="81" t="s">
        <v>178</v>
      </c>
      <c r="AC5" s="84">
        <v>0.57653061224489799</v>
      </c>
      <c r="AD5" s="81" t="s">
        <v>177</v>
      </c>
      <c r="AE5" s="84">
        <v>0.45</v>
      </c>
      <c r="AF5" s="81" t="s">
        <v>177</v>
      </c>
      <c r="AG5" s="84">
        <v>0.48170731707317072</v>
      </c>
      <c r="AH5" s="81" t="s">
        <v>177</v>
      </c>
      <c r="AI5" s="88">
        <v>122100</v>
      </c>
    </row>
    <row r="6" spans="1:35" x14ac:dyDescent="0.4">
      <c r="A6" s="78">
        <v>4</v>
      </c>
      <c r="B6" s="79" t="s">
        <v>181</v>
      </c>
      <c r="C6" s="80">
        <v>2.1999999999999957</v>
      </c>
      <c r="D6" s="81" t="s">
        <v>181</v>
      </c>
      <c r="E6" s="93">
        <v>9.1666666666666494E-2</v>
      </c>
      <c r="F6" s="81" t="s">
        <v>127</v>
      </c>
      <c r="G6" s="82">
        <v>1.9722222222222223</v>
      </c>
      <c r="H6" s="81" t="s">
        <v>177</v>
      </c>
      <c r="I6" s="83">
        <v>0.4264705882352941</v>
      </c>
      <c r="J6" s="81" t="s">
        <v>177</v>
      </c>
      <c r="K6" s="83">
        <v>0.29411764705882354</v>
      </c>
      <c r="L6" s="81" t="s">
        <v>143</v>
      </c>
      <c r="M6" s="84">
        <v>0.29494324045407638</v>
      </c>
      <c r="N6" s="81" t="s">
        <v>166</v>
      </c>
      <c r="O6" s="84">
        <v>0.15189873417721519</v>
      </c>
      <c r="P6" s="81" t="s">
        <v>127</v>
      </c>
      <c r="Q6" s="85">
        <v>8434.6715328467162</v>
      </c>
      <c r="R6" s="81" t="s">
        <v>126</v>
      </c>
      <c r="S6" s="85">
        <v>-7880.3149606299212</v>
      </c>
      <c r="T6" s="81" t="s">
        <v>181</v>
      </c>
      <c r="U6" s="83">
        <v>8.3333333333333329E-2</v>
      </c>
      <c r="V6" s="81" t="s">
        <v>126</v>
      </c>
      <c r="W6" s="83">
        <v>0.12396694214876033</v>
      </c>
      <c r="X6" s="81" t="s">
        <v>178</v>
      </c>
      <c r="Y6" s="84">
        <v>0.26666666666666666</v>
      </c>
      <c r="Z6" s="81" t="s">
        <v>166</v>
      </c>
      <c r="AA6" s="84">
        <v>0.23417721518987342</v>
      </c>
      <c r="AB6" s="81" t="s">
        <v>179</v>
      </c>
      <c r="AC6" s="84">
        <v>0.5757575757575758</v>
      </c>
      <c r="AD6" s="81" t="s">
        <v>178</v>
      </c>
      <c r="AE6" s="84">
        <v>0.41358024691358025</v>
      </c>
      <c r="AF6" s="81" t="s">
        <v>179</v>
      </c>
      <c r="AG6" s="84">
        <v>0.45962732919254656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143</v>
      </c>
      <c r="C7" s="80">
        <v>-5.3290705182007514E-14</v>
      </c>
      <c r="D7" s="81" t="s">
        <v>143</v>
      </c>
      <c r="E7" s="93">
        <v>-9.2039214476696909E-17</v>
      </c>
      <c r="F7" s="81" t="s">
        <v>181</v>
      </c>
      <c r="G7" s="82">
        <v>2</v>
      </c>
      <c r="H7" s="81" t="s">
        <v>181</v>
      </c>
      <c r="I7" s="83">
        <v>0.375</v>
      </c>
      <c r="J7" s="81" t="s">
        <v>127</v>
      </c>
      <c r="K7" s="83">
        <v>0.31481481481481483</v>
      </c>
      <c r="L7" s="81" t="s">
        <v>177</v>
      </c>
      <c r="M7" s="84">
        <v>0.29390681003584229</v>
      </c>
      <c r="N7" s="81" t="s">
        <v>177</v>
      </c>
      <c r="O7" s="84">
        <v>0.15949820788530467</v>
      </c>
      <c r="P7" s="81" t="s">
        <v>178</v>
      </c>
      <c r="Q7" s="85">
        <v>8431.9047619047615</v>
      </c>
      <c r="R7" s="81" t="s">
        <v>143</v>
      </c>
      <c r="S7" s="85">
        <v>-7882.3604060913704</v>
      </c>
      <c r="T7" s="81" t="s">
        <v>178</v>
      </c>
      <c r="U7" s="83">
        <v>8.6956521739130432E-2</v>
      </c>
      <c r="V7" s="81" t="s">
        <v>143</v>
      </c>
      <c r="W7" s="83">
        <v>9.499136442141623E-2</v>
      </c>
      <c r="X7" s="81" t="s">
        <v>222</v>
      </c>
      <c r="Y7" s="84">
        <v>0.26666666666666666</v>
      </c>
      <c r="Z7" s="81" t="s">
        <v>143</v>
      </c>
      <c r="AA7" s="84">
        <v>0.22951496388028897</v>
      </c>
      <c r="AB7" s="81" t="s">
        <v>143</v>
      </c>
      <c r="AC7" s="84">
        <v>0.55882352941176472</v>
      </c>
      <c r="AD7" s="81" t="s">
        <v>143</v>
      </c>
      <c r="AE7" s="84">
        <v>0.41187050359712229</v>
      </c>
      <c r="AF7" s="81" t="s">
        <v>178</v>
      </c>
      <c r="AG7" s="84">
        <v>0.45714285714285713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178</v>
      </c>
      <c r="C8" s="80">
        <v>-17.100000000000009</v>
      </c>
      <c r="D8" s="81" t="s">
        <v>178</v>
      </c>
      <c r="E8" s="93">
        <v>-0.1858695652173914</v>
      </c>
      <c r="F8" s="81" t="s">
        <v>143</v>
      </c>
      <c r="G8" s="82">
        <v>2</v>
      </c>
      <c r="H8" s="81" t="s">
        <v>127</v>
      </c>
      <c r="I8" s="83">
        <v>0.34259259259259262</v>
      </c>
      <c r="J8" s="81" t="s">
        <v>143</v>
      </c>
      <c r="K8" s="83">
        <v>0.33333333333333331</v>
      </c>
      <c r="L8" s="81" t="s">
        <v>178</v>
      </c>
      <c r="M8" s="84">
        <v>0.2857142857142857</v>
      </c>
      <c r="N8" s="81" t="s">
        <v>143</v>
      </c>
      <c r="O8" s="84">
        <v>0.16264189886480909</v>
      </c>
      <c r="P8" s="81" t="s">
        <v>126</v>
      </c>
      <c r="Q8" s="85">
        <v>8289.0207715133529</v>
      </c>
      <c r="R8" s="81" t="s">
        <v>182</v>
      </c>
      <c r="S8" s="85">
        <v>-7920.6896551724139</v>
      </c>
      <c r="T8" s="81" t="s">
        <v>177</v>
      </c>
      <c r="U8" s="83">
        <v>8.8235294117647065E-2</v>
      </c>
      <c r="V8" s="81" t="s">
        <v>127</v>
      </c>
      <c r="W8" s="83">
        <v>9.2592592592592587E-2</v>
      </c>
      <c r="X8" s="81" t="s">
        <v>181</v>
      </c>
      <c r="Y8" s="84">
        <v>0.26637554585152839</v>
      </c>
      <c r="Z8" s="81" t="s">
        <v>182</v>
      </c>
      <c r="AA8" s="84">
        <v>0.22727272727272727</v>
      </c>
      <c r="AB8" s="81" t="s">
        <v>177</v>
      </c>
      <c r="AC8" s="84">
        <v>0.5561797752808989</v>
      </c>
      <c r="AD8" s="81" t="s">
        <v>179</v>
      </c>
      <c r="AE8" s="84">
        <v>0.40366972477064222</v>
      </c>
      <c r="AF8" s="81" t="s">
        <v>143</v>
      </c>
      <c r="AG8" s="84">
        <v>0.44296710986703991</v>
      </c>
      <c r="AH8" s="81" t="s">
        <v>178</v>
      </c>
      <c r="AI8" s="88">
        <v>87000</v>
      </c>
    </row>
    <row r="9" spans="1:35" x14ac:dyDescent="0.4">
      <c r="A9" s="78">
        <v>7</v>
      </c>
      <c r="B9" s="79" t="s">
        <v>127</v>
      </c>
      <c r="C9" s="80">
        <v>-28.200000000000212</v>
      </c>
      <c r="D9" s="81" t="s">
        <v>127</v>
      </c>
      <c r="E9" s="93">
        <v>-0.26111111111111307</v>
      </c>
      <c r="F9" s="81" t="s">
        <v>178</v>
      </c>
      <c r="G9" s="82">
        <v>2.0326086956521738</v>
      </c>
      <c r="H9" s="81" t="s">
        <v>143</v>
      </c>
      <c r="I9" s="83">
        <v>0.33333333333333331</v>
      </c>
      <c r="J9" s="81" t="s">
        <v>181</v>
      </c>
      <c r="K9" s="83">
        <v>0.375</v>
      </c>
      <c r="L9" s="81" t="s">
        <v>179</v>
      </c>
      <c r="M9" s="84">
        <v>0.28097731239092494</v>
      </c>
      <c r="N9" s="81" t="s">
        <v>181</v>
      </c>
      <c r="O9" s="84">
        <v>0.16593886462882096</v>
      </c>
      <c r="P9" s="81" t="s">
        <v>179</v>
      </c>
      <c r="Q9" s="85">
        <v>8029.1925465838513</v>
      </c>
      <c r="R9" s="81" t="s">
        <v>178</v>
      </c>
      <c r="S9" s="85">
        <v>-7936.363636363636</v>
      </c>
      <c r="T9" s="81" t="s">
        <v>179</v>
      </c>
      <c r="U9" s="83">
        <v>8.9552238805970144E-2</v>
      </c>
      <c r="V9" s="81" t="s">
        <v>178</v>
      </c>
      <c r="W9" s="83">
        <v>8.6956521739130432E-2</v>
      </c>
      <c r="X9" s="81" t="s">
        <v>143</v>
      </c>
      <c r="Y9" s="84">
        <v>0.25263157894736843</v>
      </c>
      <c r="Z9" s="81" t="s">
        <v>126</v>
      </c>
      <c r="AA9" s="84">
        <v>0.22380467955239064</v>
      </c>
      <c r="AB9" s="81" t="s">
        <v>182</v>
      </c>
      <c r="AC9" s="84">
        <v>0.5423728813559322</v>
      </c>
      <c r="AD9" s="81" t="s">
        <v>182</v>
      </c>
      <c r="AE9" s="84">
        <v>0.4</v>
      </c>
      <c r="AF9" s="81" t="s">
        <v>126</v>
      </c>
      <c r="AG9" s="84">
        <v>0.42433234421364985</v>
      </c>
      <c r="AH9" s="81" t="s">
        <v>166</v>
      </c>
      <c r="AI9" s="88">
        <v>86900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179</v>
      </c>
      <c r="E10" s="93">
        <v>-7.1283582089552233</v>
      </c>
      <c r="F10" s="81" t="s">
        <v>195</v>
      </c>
      <c r="G10" s="82">
        <v>2.1428571428571428</v>
      </c>
      <c r="H10" s="81" t="s">
        <v>166</v>
      </c>
      <c r="I10" s="83">
        <v>0.32075471698113206</v>
      </c>
      <c r="J10" s="81" t="s">
        <v>179</v>
      </c>
      <c r="K10" s="83">
        <v>0.40298507462686567</v>
      </c>
      <c r="L10" s="81" t="s">
        <v>181</v>
      </c>
      <c r="M10" s="84">
        <v>0.27074235807860264</v>
      </c>
      <c r="N10" s="81" t="s">
        <v>182</v>
      </c>
      <c r="O10" s="84">
        <v>0.18831168831168832</v>
      </c>
      <c r="P10" s="81" t="s">
        <v>182</v>
      </c>
      <c r="Q10" s="85">
        <v>7810.5263157894733</v>
      </c>
      <c r="R10" s="81" t="s">
        <v>177</v>
      </c>
      <c r="S10" s="85">
        <v>-7965.1685393258431</v>
      </c>
      <c r="T10" s="81" t="s">
        <v>143</v>
      </c>
      <c r="U10" s="83">
        <v>9.499136442141623E-2</v>
      </c>
      <c r="V10" s="81" t="s">
        <v>166</v>
      </c>
      <c r="W10" s="83">
        <v>3.7735849056603772E-2</v>
      </c>
      <c r="X10" s="81" t="s">
        <v>195</v>
      </c>
      <c r="Y10" s="84">
        <v>0.24193548387096775</v>
      </c>
      <c r="Z10" s="81" t="s">
        <v>178</v>
      </c>
      <c r="AA10" s="84">
        <v>0.22040816326530613</v>
      </c>
      <c r="AB10" s="81" t="s">
        <v>195</v>
      </c>
      <c r="AC10" s="84">
        <v>0.53333333333333333</v>
      </c>
      <c r="AD10" s="81" t="s">
        <v>127</v>
      </c>
      <c r="AE10" s="84">
        <v>0.37050359712230213</v>
      </c>
      <c r="AF10" s="81" t="s">
        <v>166</v>
      </c>
      <c r="AG10" s="84">
        <v>0.41463414634146339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-383.50000000000011</v>
      </c>
      <c r="D11" s="81" t="s">
        <v>166</v>
      </c>
      <c r="E11" s="93">
        <v>-7.2358490566037759</v>
      </c>
      <c r="F11" s="81" t="s">
        <v>166</v>
      </c>
      <c r="G11" s="82">
        <v>2.1509433962264151</v>
      </c>
      <c r="H11" s="81" t="s">
        <v>178</v>
      </c>
      <c r="I11" s="83">
        <v>0.2391304347826087</v>
      </c>
      <c r="J11" s="81" t="s">
        <v>166</v>
      </c>
      <c r="K11" s="83">
        <v>0.47169811320754718</v>
      </c>
      <c r="L11" s="81" t="s">
        <v>166</v>
      </c>
      <c r="M11" s="84">
        <v>0.25949367088607594</v>
      </c>
      <c r="N11" s="81" t="s">
        <v>127</v>
      </c>
      <c r="O11" s="84">
        <v>0.19273127753303965</v>
      </c>
      <c r="P11" s="81" t="s">
        <v>195</v>
      </c>
      <c r="Q11" s="85">
        <v>7473.333333333333</v>
      </c>
      <c r="R11" s="81" t="s">
        <v>222</v>
      </c>
      <c r="S11" s="85">
        <v>-8000</v>
      </c>
      <c r="T11" s="81" t="s">
        <v>127</v>
      </c>
      <c r="U11" s="83">
        <v>0.1388888888888889</v>
      </c>
      <c r="V11" s="81" t="s">
        <v>179</v>
      </c>
      <c r="W11" s="83">
        <v>2.9850746268656716E-2</v>
      </c>
      <c r="X11" s="81" t="s">
        <v>127</v>
      </c>
      <c r="Y11" s="84">
        <v>0.23017621145374451</v>
      </c>
      <c r="Z11" s="81" t="s">
        <v>179</v>
      </c>
      <c r="AA11" s="84">
        <v>0.19022687609075042</v>
      </c>
      <c r="AB11" s="81" t="s">
        <v>127</v>
      </c>
      <c r="AC11" s="84">
        <v>0.50239234449760761</v>
      </c>
      <c r="AD11" s="81" t="s">
        <v>166</v>
      </c>
      <c r="AE11" s="84">
        <v>0.36936936936936937</v>
      </c>
      <c r="AF11" s="81" t="s">
        <v>127</v>
      </c>
      <c r="AG11" s="84">
        <v>0.4051094890510949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-477.59999999999997</v>
      </c>
      <c r="D12" s="81" t="s">
        <v>182</v>
      </c>
      <c r="E12" s="93">
        <v>-14.783783783783786</v>
      </c>
      <c r="F12" s="81" t="s">
        <v>179</v>
      </c>
      <c r="G12" s="82">
        <v>2.1791044776119404</v>
      </c>
      <c r="H12" s="81" t="s">
        <v>179</v>
      </c>
      <c r="I12" s="83">
        <v>0.22388059701492538</v>
      </c>
      <c r="J12" s="81" t="s">
        <v>182</v>
      </c>
      <c r="K12" s="83">
        <v>0.54054054054054057</v>
      </c>
      <c r="L12" s="81" t="s">
        <v>182</v>
      </c>
      <c r="M12" s="84">
        <v>0.24675324675324675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127</v>
      </c>
      <c r="S12" s="85">
        <v>-8208.5714285714294</v>
      </c>
      <c r="T12" s="81" t="s">
        <v>182</v>
      </c>
      <c r="U12" s="83">
        <v>0.1891891891891892</v>
      </c>
      <c r="V12" s="81" t="s">
        <v>182</v>
      </c>
      <c r="W12" s="83">
        <v>2.7027027027027029E-2</v>
      </c>
      <c r="X12" s="81" t="s">
        <v>182</v>
      </c>
      <c r="Y12" s="84">
        <v>0.19155844155844157</v>
      </c>
      <c r="Z12" s="81" t="s">
        <v>177</v>
      </c>
      <c r="AA12" s="84">
        <v>0.17921146953405018</v>
      </c>
      <c r="AB12" s="81" t="s">
        <v>222</v>
      </c>
      <c r="AC12" s="84">
        <v>0.5</v>
      </c>
      <c r="AD12" s="81" t="s">
        <v>181</v>
      </c>
      <c r="AE12" s="84">
        <v>0.34285714285714286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-547.00000000000011</v>
      </c>
      <c r="D13" s="81" t="s">
        <v>195</v>
      </c>
      <c r="E13" s="93">
        <v>-14.971428571428573</v>
      </c>
      <c r="F13" s="81" t="s">
        <v>182</v>
      </c>
      <c r="G13" s="82">
        <v>2.4054054054054053</v>
      </c>
      <c r="H13" s="81" t="s">
        <v>182</v>
      </c>
      <c r="I13" s="83">
        <v>0.13513513513513514</v>
      </c>
      <c r="J13" s="81" t="s">
        <v>195</v>
      </c>
      <c r="K13" s="83">
        <v>0.5714285714285714</v>
      </c>
      <c r="L13" s="81" t="s">
        <v>195</v>
      </c>
      <c r="M13" s="84">
        <v>0.24193548387096775</v>
      </c>
      <c r="N13" s="81" t="s">
        <v>179</v>
      </c>
      <c r="O13" s="84">
        <v>0.20418848167539266</v>
      </c>
      <c r="P13" s="81" t="s">
        <v>166</v>
      </c>
      <c r="Q13" s="85">
        <v>7054.4715447154467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0.14978902953586498</v>
      </c>
      <c r="Z13" s="81" t="s">
        <v>181</v>
      </c>
      <c r="AA13" s="84">
        <v>0.15283842794759825</v>
      </c>
      <c r="AB13" s="81" t="s">
        <v>166</v>
      </c>
      <c r="AC13" s="84">
        <v>0.49295774647887325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8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579</v>
      </c>
      <c r="C2" s="149"/>
      <c r="E2" s="58" t="s">
        <v>66</v>
      </c>
      <c r="F2" s="55" t="s">
        <v>22</v>
      </c>
      <c r="G2" s="43">
        <v>1110</v>
      </c>
      <c r="H2" s="128">
        <f>IF(B$17=0,0,G2/B$17)</f>
        <v>0.77676696990902727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-22.569444444444443</v>
      </c>
      <c r="P2" s="114">
        <v>576</v>
      </c>
      <c r="Q2" s="98">
        <v>-13000</v>
      </c>
    </row>
    <row r="3" spans="1:17" x14ac:dyDescent="0.4">
      <c r="A3" s="51" t="s">
        <v>8</v>
      </c>
      <c r="B3" s="150">
        <v>4845</v>
      </c>
      <c r="C3" s="151"/>
      <c r="E3" s="59" t="s">
        <v>72</v>
      </c>
      <c r="F3" s="56" t="s">
        <v>27</v>
      </c>
      <c r="G3" s="44">
        <v>768</v>
      </c>
      <c r="H3" s="129">
        <f>IF(B$17=0,0,G3/B$17)</f>
        <v>0.53743876836948912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8.8652482269503547</v>
      </c>
      <c r="P3" s="115">
        <v>564</v>
      </c>
      <c r="Q3" s="99">
        <v>5000</v>
      </c>
    </row>
    <row r="4" spans="1:17" x14ac:dyDescent="0.4">
      <c r="A4" s="51" t="s">
        <v>6</v>
      </c>
      <c r="B4" s="152">
        <v>-5.3290705182007514E-14</v>
      </c>
      <c r="C4" s="153"/>
      <c r="E4" s="59" t="s">
        <v>64</v>
      </c>
      <c r="F4" s="56" t="s">
        <v>20</v>
      </c>
      <c r="G4" s="44">
        <v>657</v>
      </c>
      <c r="H4" s="129">
        <f>IF(B$17=0,0,G4/B$17)</f>
        <v>0.45976207137858643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-13.035381750465548</v>
      </c>
      <c r="P4" s="115">
        <v>537</v>
      </c>
      <c r="Q4" s="99">
        <v>-7000</v>
      </c>
    </row>
    <row r="5" spans="1:17" x14ac:dyDescent="0.4">
      <c r="A5" s="51" t="s">
        <v>7</v>
      </c>
      <c r="B5" s="154">
        <f>IF(B$2=0,0,B$4/B$2)</f>
        <v>-9.2039214476696909E-17</v>
      </c>
      <c r="C5" s="155"/>
      <c r="E5" s="59" t="s">
        <v>171</v>
      </c>
      <c r="F5" s="56" t="s">
        <v>172</v>
      </c>
      <c r="G5" s="44">
        <v>572</v>
      </c>
      <c r="H5" s="129">
        <f>IF(B$17=0,0,G5/B$17)</f>
        <v>0.40027991602519242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7.8895463510848129</v>
      </c>
      <c r="P5" s="115">
        <v>507</v>
      </c>
      <c r="Q5" s="99">
        <v>4000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449</v>
      </c>
      <c r="H6" s="129">
        <f>IF(B$17=0,0,G6/B$17)</f>
        <v>0.31420573827851644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10.683760683760683</v>
      </c>
      <c r="P6" s="115">
        <v>468</v>
      </c>
      <c r="Q6" s="99">
        <v>5000</v>
      </c>
    </row>
    <row r="7" spans="1:17" x14ac:dyDescent="0.4">
      <c r="A7" s="51" t="s">
        <v>2</v>
      </c>
      <c r="B7" s="44">
        <v>193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403</v>
      </c>
      <c r="H7" s="129">
        <f>IF(B$17=0,0,G7/B$17)</f>
        <v>0.28201539538138559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15.748031496062993</v>
      </c>
      <c r="P7" s="116">
        <v>381</v>
      </c>
      <c r="Q7" s="100">
        <v>6000</v>
      </c>
    </row>
    <row r="8" spans="1:17" x14ac:dyDescent="0.4">
      <c r="A8" s="51" t="s">
        <v>3</v>
      </c>
      <c r="B8" s="44">
        <v>193</v>
      </c>
      <c r="C8" s="37">
        <f t="shared" si="1"/>
        <v>0.33333333333333331</v>
      </c>
      <c r="E8" s="59" t="s">
        <v>69</v>
      </c>
      <c r="F8" s="56" t="s">
        <v>24</v>
      </c>
      <c r="G8" s="44">
        <v>215</v>
      </c>
      <c r="H8" s="129">
        <f>IF(B$17=0,0,G8/B$17)</f>
        <v>0.15045486354093771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193</v>
      </c>
      <c r="C9" s="38">
        <f t="shared" si="1"/>
        <v>0.33333333333333331</v>
      </c>
      <c r="E9" s="59" t="s">
        <v>89</v>
      </c>
      <c r="F9" s="56" t="s">
        <v>44</v>
      </c>
      <c r="G9" s="44">
        <v>187</v>
      </c>
      <c r="H9" s="129">
        <f>IF(B$17=0,0,G9/B$17)</f>
        <v>0.13086074177746676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55</v>
      </c>
      <c r="C10" s="38">
        <f t="shared" si="1"/>
        <v>9.499136442141623E-2</v>
      </c>
      <c r="E10" s="59" t="s">
        <v>65</v>
      </c>
      <c r="F10" s="56" t="s">
        <v>21</v>
      </c>
      <c r="G10" s="44">
        <v>150</v>
      </c>
      <c r="H10" s="129">
        <f>IF(B$17=0,0,G10/B$17)</f>
        <v>0.10496850944716585</v>
      </c>
      <c r="I10" s="90">
        <v>6</v>
      </c>
      <c r="K10" s="36">
        <v>8</v>
      </c>
      <c r="L10" s="95">
        <v>-46.9</v>
      </c>
      <c r="N10" s="110" t="s">
        <v>162</v>
      </c>
      <c r="O10" s="120">
        <f>IF(P10=0,0,Q10/P10)</f>
        <v>-1.2746113989637309</v>
      </c>
      <c r="P10" s="114">
        <v>193</v>
      </c>
      <c r="Q10" s="102">
        <v>-246.00000000000006</v>
      </c>
    </row>
    <row r="11" spans="1:17" x14ac:dyDescent="0.4">
      <c r="A11" s="52" t="s">
        <v>138</v>
      </c>
      <c r="B11" s="45">
        <v>55</v>
      </c>
      <c r="C11" s="38">
        <f t="shared" si="1"/>
        <v>9.499136442141623E-2</v>
      </c>
      <c r="E11" s="59" t="s">
        <v>70</v>
      </c>
      <c r="F11" s="56" t="s">
        <v>25</v>
      </c>
      <c r="G11" s="44">
        <v>137</v>
      </c>
      <c r="H11" s="129">
        <f>IF(B$17=0,0,G11/B$17)</f>
        <v>9.5871238628411473E-2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1.3632124352331605</v>
      </c>
      <c r="P11" s="115">
        <v>193</v>
      </c>
      <c r="Q11" s="103">
        <v>263.09999999999997</v>
      </c>
    </row>
    <row r="12" spans="1:17" x14ac:dyDescent="0.4">
      <c r="A12" s="53" t="s">
        <v>158</v>
      </c>
      <c r="B12" s="46">
        <v>57</v>
      </c>
      <c r="C12" s="40">
        <f t="shared" si="1"/>
        <v>9.8445595854922283E-2</v>
      </c>
      <c r="E12" s="59" t="s">
        <v>71</v>
      </c>
      <c r="F12" s="56" t="s">
        <v>26</v>
      </c>
      <c r="G12" s="44">
        <v>110</v>
      </c>
      <c r="H12" s="129">
        <f>IF(B$17=0,0,G12/B$17)</f>
        <v>7.6976906927921626E-2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-8.8601036269430736E-2</v>
      </c>
      <c r="P12" s="116">
        <v>193</v>
      </c>
      <c r="Q12" s="104">
        <v>-17.100000000000133</v>
      </c>
    </row>
    <row r="13" spans="1:17" x14ac:dyDescent="0.4">
      <c r="A13" s="54" t="s">
        <v>121</v>
      </c>
      <c r="B13" s="47">
        <v>1224</v>
      </c>
      <c r="C13" s="42">
        <f>IF(B$3=0,0,B13/B$3)</f>
        <v>0.25263157894736843</v>
      </c>
      <c r="E13" s="59" t="s">
        <v>83</v>
      </c>
      <c r="F13" s="56" t="s">
        <v>38</v>
      </c>
      <c r="G13" s="44">
        <v>78</v>
      </c>
      <c r="H13" s="129">
        <f>IF(B$17=0,0,G13/B$17)</f>
        <v>5.4583624912526239E-2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1112</v>
      </c>
      <c r="C14" s="37">
        <f>IF(B$3=0,0,B14/B$3)</f>
        <v>0.22951496388028897</v>
      </c>
      <c r="E14" s="59" t="s">
        <v>86</v>
      </c>
      <c r="F14" s="56" t="s">
        <v>41</v>
      </c>
      <c r="G14" s="44">
        <v>71</v>
      </c>
      <c r="H14" s="129">
        <f>IF(B$17=0,0,G14/B$17)</f>
        <v>4.9685094471658503E-2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684</v>
      </c>
      <c r="C15" s="35">
        <f>IF(B$13=0,0,B15/B$13)</f>
        <v>0.55882352941176472</v>
      </c>
      <c r="E15" s="59" t="s">
        <v>78</v>
      </c>
      <c r="F15" s="56" t="s">
        <v>33</v>
      </c>
      <c r="G15" s="44">
        <v>37</v>
      </c>
      <c r="H15" s="129">
        <f>IF(B$17=0,0,G15/B$17)</f>
        <v>2.5892232330300909E-2</v>
      </c>
      <c r="I15" s="90">
        <v>5</v>
      </c>
      <c r="K15" s="36">
        <v>13</v>
      </c>
      <c r="L15" s="95">
        <v>-1.7</v>
      </c>
      <c r="N15" s="110" t="s">
        <v>195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">
      <c r="A16" s="50" t="s">
        <v>124</v>
      </c>
      <c r="B16" s="43">
        <v>458</v>
      </c>
      <c r="C16" s="35">
        <f>IF(B$14=0,0,B16/B$14)</f>
        <v>0.41187050359712229</v>
      </c>
      <c r="E16" s="59" t="s">
        <v>167</v>
      </c>
      <c r="F16" s="56" t="s">
        <v>168</v>
      </c>
      <c r="G16" s="44">
        <v>35</v>
      </c>
      <c r="H16" s="129">
        <f>IF(B$17=0,0,G16/B$17)</f>
        <v>2.4492652204338699E-2</v>
      </c>
      <c r="I16" s="90">
        <v>3</v>
      </c>
      <c r="K16" s="36">
        <v>14</v>
      </c>
      <c r="L16" s="95">
        <v>24.3</v>
      </c>
      <c r="N16" s="111" t="s">
        <v>182</v>
      </c>
      <c r="O16" s="121">
        <f>IF(P16=0,0,Q16/P16)</f>
        <v>22.175675675675659</v>
      </c>
      <c r="P16" s="115">
        <v>74</v>
      </c>
      <c r="Q16" s="103">
        <v>1640.9999999999989</v>
      </c>
    </row>
    <row r="17" spans="1:17" x14ac:dyDescent="0.4">
      <c r="A17" s="50" t="s">
        <v>10</v>
      </c>
      <c r="B17" s="43">
        <f>B19+B18</f>
        <v>1429</v>
      </c>
      <c r="C17" s="35">
        <f>IF(B$3=0,0,B17/B$3)</f>
        <v>0.29494324045407638</v>
      </c>
      <c r="E17" s="59" t="s">
        <v>81</v>
      </c>
      <c r="F17" s="56" t="s">
        <v>36</v>
      </c>
      <c r="G17" s="44">
        <v>24</v>
      </c>
      <c r="H17" s="129">
        <f>IF(B$17=0,0,G17/B$17)</f>
        <v>1.6794961511546535E-2</v>
      </c>
      <c r="I17" s="90">
        <v>6</v>
      </c>
      <c r="K17" s="36">
        <v>15</v>
      </c>
      <c r="L17" s="95">
        <v>0</v>
      </c>
      <c r="N17" s="111" t="s">
        <v>166</v>
      </c>
      <c r="O17" s="121">
        <f>IF(P17=0,0,Q17/P17)</f>
        <v>10.853773584905658</v>
      </c>
      <c r="P17" s="115">
        <v>106</v>
      </c>
      <c r="Q17" s="103">
        <v>1150.4999999999998</v>
      </c>
    </row>
    <row r="18" spans="1:17" x14ac:dyDescent="0.4">
      <c r="A18" s="51" t="s">
        <v>12</v>
      </c>
      <c r="B18" s="44">
        <v>633</v>
      </c>
      <c r="C18" s="37">
        <f>IF(B$17=0,0,B18/B$17)</f>
        <v>0.44296710986703991</v>
      </c>
      <c r="E18" s="59" t="s">
        <v>91</v>
      </c>
      <c r="F18" s="56" t="s">
        <v>46</v>
      </c>
      <c r="G18" s="44">
        <v>18</v>
      </c>
      <c r="H18" s="129">
        <f>IF(B$17=0,0,G18/B$17)</f>
        <v>1.2596221133659902E-2</v>
      </c>
      <c r="I18" s="90">
        <v>4</v>
      </c>
      <c r="K18" s="36">
        <v>16</v>
      </c>
      <c r="L18" s="95">
        <v>-28.2</v>
      </c>
      <c r="N18" s="111" t="s">
        <v>179</v>
      </c>
      <c r="O18" s="121">
        <f>IF(P18=0,0,Q18/P18)</f>
        <v>10.692537313432835</v>
      </c>
      <c r="P18" s="115">
        <v>134</v>
      </c>
      <c r="Q18" s="103">
        <v>1432.8</v>
      </c>
    </row>
    <row r="19" spans="1:17" x14ac:dyDescent="0.4">
      <c r="A19" s="51" t="s">
        <v>11</v>
      </c>
      <c r="B19" s="44">
        <v>796</v>
      </c>
      <c r="C19" s="37">
        <f>IF(B$17=0,0,B19/B$17)</f>
        <v>0.55703289013296009</v>
      </c>
      <c r="E19" s="59" t="s">
        <v>79</v>
      </c>
      <c r="F19" s="56" t="s">
        <v>34</v>
      </c>
      <c r="G19" s="44">
        <v>17</v>
      </c>
      <c r="H19" s="129">
        <f>IF(B$17=0,0,G19/B$17)</f>
        <v>1.1896431070678797E-2</v>
      </c>
      <c r="I19" s="90">
        <v>5</v>
      </c>
      <c r="K19" s="36">
        <v>17</v>
      </c>
      <c r="L19" s="95">
        <v>-20.5</v>
      </c>
      <c r="N19" s="111" t="s">
        <v>127</v>
      </c>
      <c r="O19" s="121">
        <f>IF(P19=0,0,Q19/P19)</f>
        <v>0.391666666666661</v>
      </c>
      <c r="P19" s="115">
        <v>216</v>
      </c>
      <c r="Q19" s="103">
        <v>84.599999999998772</v>
      </c>
    </row>
    <row r="20" spans="1:17" x14ac:dyDescent="0.4">
      <c r="A20" s="51" t="s">
        <v>13</v>
      </c>
      <c r="B20" s="44">
        <v>788</v>
      </c>
      <c r="C20" s="37">
        <f>IF(B$3=0,0,B20/B$3)</f>
        <v>0.16264189886480909</v>
      </c>
      <c r="E20" s="59" t="s">
        <v>75</v>
      </c>
      <c r="F20" s="56" t="s">
        <v>30</v>
      </c>
      <c r="G20" s="44">
        <v>10</v>
      </c>
      <c r="H20" s="129">
        <f>IF(B$17=0,0,G20/B$17)</f>
        <v>6.9979006298110571E-3</v>
      </c>
      <c r="I20" s="90">
        <v>5</v>
      </c>
      <c r="K20" s="36">
        <v>18</v>
      </c>
      <c r="L20" s="95">
        <v>0</v>
      </c>
      <c r="N20" s="111" t="s">
        <v>178</v>
      </c>
      <c r="O20" s="121">
        <f>IF(P20=0,0,Q20/P20)</f>
        <v>0.27880434782608604</v>
      </c>
      <c r="P20" s="115">
        <v>184</v>
      </c>
      <c r="Q20" s="103">
        <v>51.299999999999827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92</v>
      </c>
      <c r="F21" s="56" t="s">
        <v>47</v>
      </c>
      <c r="G21" s="44">
        <v>8</v>
      </c>
      <c r="H21" s="129">
        <f>IF(B$17=0,0,G21/B$17)</f>
        <v>5.598320503848845E-3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-0.13750000000000018</v>
      </c>
      <c r="P21" s="115">
        <v>48</v>
      </c>
      <c r="Q21" s="103">
        <v>-6.6000000000000085</v>
      </c>
    </row>
    <row r="22" spans="1:17" x14ac:dyDescent="0.4">
      <c r="A22" s="51" t="s">
        <v>170</v>
      </c>
      <c r="B22" s="44">
        <v>31</v>
      </c>
      <c r="C22" s="131">
        <v>6</v>
      </c>
      <c r="E22" s="59" t="s">
        <v>74</v>
      </c>
      <c r="F22" s="56" t="s">
        <v>29</v>
      </c>
      <c r="G22" s="44">
        <v>6</v>
      </c>
      <c r="H22" s="129">
        <f>IF(B$17=0,0,G22/B$17)</f>
        <v>4.1987403778866337E-3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-10.102941176470583</v>
      </c>
      <c r="P22" s="115">
        <v>136</v>
      </c>
      <c r="Q22" s="103">
        <v>-1373.9999999999993</v>
      </c>
    </row>
    <row r="23" spans="1:17" x14ac:dyDescent="0.4">
      <c r="A23" s="51" t="s">
        <v>5</v>
      </c>
      <c r="B23" s="48">
        <f>IF(B$17=0,0,C23/B$17)</f>
        <v>8443.5969209237228</v>
      </c>
      <c r="C23" s="39">
        <v>12065900</v>
      </c>
      <c r="E23" s="59" t="s">
        <v>73</v>
      </c>
      <c r="F23" s="56" t="s">
        <v>28</v>
      </c>
      <c r="G23" s="44">
        <v>5</v>
      </c>
      <c r="H23" s="129">
        <f>IF(B$17=0,0,G23/B$17)</f>
        <v>3.4989503149055285E-3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-13.286776859504132</v>
      </c>
      <c r="P23" s="115">
        <v>242</v>
      </c>
      <c r="Q23" s="103">
        <v>-3215.3999999999996</v>
      </c>
    </row>
    <row r="24" spans="1:17" x14ac:dyDescent="0.4">
      <c r="A24" s="52" t="s">
        <v>216</v>
      </c>
      <c r="B24" s="136">
        <f>IF($B$17-B$16=0,0,C24/($B$17-B$16))</f>
        <v>8984.654994850669</v>
      </c>
      <c r="C24" s="137">
        <v>8724100</v>
      </c>
      <c r="E24" s="59" t="s">
        <v>77</v>
      </c>
      <c r="F24" s="56" t="s">
        <v>32</v>
      </c>
      <c r="G24" s="44">
        <v>5</v>
      </c>
      <c r="H24" s="129">
        <f>IF(B$17=0,0,G24/B$17)</f>
        <v>3.4989503149055285E-3</v>
      </c>
      <c r="I24" s="90">
        <v>4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7296.5065502183406</v>
      </c>
      <c r="C25" s="137">
        <v>3341800</v>
      </c>
      <c r="E25" s="59" t="s">
        <v>85</v>
      </c>
      <c r="F25" s="56" t="s">
        <v>40</v>
      </c>
      <c r="G25" s="44">
        <v>5</v>
      </c>
      <c r="H25" s="129">
        <f>IF(B$17=0,0,G25/B$17)</f>
        <v>3.4989503149055285E-3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-7882.3604060913704</v>
      </c>
      <c r="C26" s="137">
        <v>-6211300</v>
      </c>
      <c r="E26" s="59" t="s">
        <v>88</v>
      </c>
      <c r="F26" s="56" t="s">
        <v>43</v>
      </c>
      <c r="G26" s="44">
        <v>5</v>
      </c>
      <c r="H26" s="129">
        <f>IF(B$17=0,0,G26/B$17)</f>
        <v>3.4989503149055285E-3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2.7991602519244225E-3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2.0993701889433169E-3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2.8895768833849329E-3</v>
      </c>
      <c r="E29" s="59" t="s">
        <v>95</v>
      </c>
      <c r="F29" s="56" t="s">
        <v>50</v>
      </c>
      <c r="G29" s="44">
        <v>3</v>
      </c>
      <c r="H29" s="129">
        <f>IF(B$17=0,0,G29/B$17)</f>
        <v>2.0993701889433169E-3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1.3995801259622112E-3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1.3995801259622112E-3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6.9979006298110562E-4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6.9979006298110562E-4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6.9979006298110562E-4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53</v>
      </c>
      <c r="C2" s="149"/>
      <c r="E2" s="58" t="s">
        <v>66</v>
      </c>
      <c r="F2" s="55" t="s">
        <v>22</v>
      </c>
      <c r="G2" s="43">
        <v>84</v>
      </c>
      <c r="H2" s="128">
        <f>IF(B$17=0,0,G2/B$17)</f>
        <v>0.68292682926829273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1258.4905660377358</v>
      </c>
      <c r="P2" s="114">
        <v>53</v>
      </c>
      <c r="Q2" s="98">
        <v>66700</v>
      </c>
    </row>
    <row r="3" spans="1:17" x14ac:dyDescent="0.4">
      <c r="A3" s="51" t="s">
        <v>8</v>
      </c>
      <c r="B3" s="150">
        <v>474</v>
      </c>
      <c r="C3" s="151"/>
      <c r="E3" s="59" t="s">
        <v>72</v>
      </c>
      <c r="F3" s="56" t="s">
        <v>27</v>
      </c>
      <c r="G3" s="44">
        <v>66</v>
      </c>
      <c r="H3" s="129">
        <f>IF(B$17=0,0,G3/B$17)</f>
        <v>0.53658536585365857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-1067.3076923076924</v>
      </c>
      <c r="P3" s="115">
        <v>52</v>
      </c>
      <c r="Q3" s="99">
        <v>-55500</v>
      </c>
    </row>
    <row r="4" spans="1:17" x14ac:dyDescent="0.4">
      <c r="A4" s="51" t="s">
        <v>6</v>
      </c>
      <c r="B4" s="152">
        <v>-383.50000000000011</v>
      </c>
      <c r="C4" s="153"/>
      <c r="E4" s="59" t="s">
        <v>171</v>
      </c>
      <c r="F4" s="56" t="s">
        <v>172</v>
      </c>
      <c r="G4" s="44">
        <v>47</v>
      </c>
      <c r="H4" s="129">
        <f>IF(B$17=0,0,G4/B$17)</f>
        <v>0.38211382113821141</v>
      </c>
      <c r="I4" s="90">
        <v>7</v>
      </c>
      <c r="K4" s="36">
        <v>2</v>
      </c>
      <c r="L4" s="95">
        <v>19.899999999999999</v>
      </c>
      <c r="N4" s="111" t="s">
        <v>132</v>
      </c>
      <c r="O4" s="118">
        <f t="shared" si="0"/>
        <v>-1968</v>
      </c>
      <c r="P4" s="115">
        <v>50</v>
      </c>
      <c r="Q4" s="99">
        <v>-98400</v>
      </c>
    </row>
    <row r="5" spans="1:17" x14ac:dyDescent="0.4">
      <c r="A5" s="51" t="s">
        <v>7</v>
      </c>
      <c r="B5" s="154">
        <f>IF(B$2=0,0,B$4/B$2)</f>
        <v>-7.2358490566037759</v>
      </c>
      <c r="C5" s="155"/>
      <c r="E5" s="59" t="s">
        <v>64</v>
      </c>
      <c r="F5" s="56" t="s">
        <v>20</v>
      </c>
      <c r="G5" s="44">
        <v>34</v>
      </c>
      <c r="H5" s="129">
        <f>IF(B$17=0,0,G5/B$17)</f>
        <v>0.27642276422764228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-1389.795918367347</v>
      </c>
      <c r="P5" s="115">
        <v>49</v>
      </c>
      <c r="Q5" s="99">
        <v>-68100</v>
      </c>
    </row>
    <row r="6" spans="1:17" x14ac:dyDescent="0.4">
      <c r="A6" s="51" t="s">
        <v>1</v>
      </c>
      <c r="B6" s="144">
        <f>IF(B$2=0,0,(B$7*1+B$8*2+B$9*3)/B$2)</f>
        <v>2.1509433962264151</v>
      </c>
      <c r="C6" s="145"/>
      <c r="E6" s="59" t="s">
        <v>68</v>
      </c>
      <c r="F6" s="56" t="s">
        <v>12</v>
      </c>
      <c r="G6" s="44">
        <v>34</v>
      </c>
      <c r="H6" s="129">
        <f>IF(B$17=0,0,G6/B$17)</f>
        <v>0.27642276422764228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-150</v>
      </c>
      <c r="P6" s="115">
        <v>48</v>
      </c>
      <c r="Q6" s="99">
        <v>-7200</v>
      </c>
    </row>
    <row r="7" spans="1:17" x14ac:dyDescent="0.4">
      <c r="A7" s="51" t="s">
        <v>2</v>
      </c>
      <c r="B7" s="44">
        <v>17</v>
      </c>
      <c r="C7" s="37">
        <f t="shared" ref="C7:C12" si="1">IF(B$2=0,0,B7/B$2)</f>
        <v>0.32075471698113206</v>
      </c>
      <c r="E7" s="59" t="s">
        <v>69</v>
      </c>
      <c r="F7" s="56" t="s">
        <v>24</v>
      </c>
      <c r="G7" s="44">
        <v>26</v>
      </c>
      <c r="H7" s="129">
        <f>IF(B$17=0,0,G7/B$17)</f>
        <v>0.21138211382113822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-1839.0243902439024</v>
      </c>
      <c r="P7" s="116">
        <v>41</v>
      </c>
      <c r="Q7" s="100">
        <v>-75400</v>
      </c>
    </row>
    <row r="8" spans="1:17" x14ac:dyDescent="0.4">
      <c r="A8" s="51" t="s">
        <v>3</v>
      </c>
      <c r="B8" s="44">
        <v>11</v>
      </c>
      <c r="C8" s="37">
        <f t="shared" si="1"/>
        <v>0.20754716981132076</v>
      </c>
      <c r="E8" s="59" t="s">
        <v>67</v>
      </c>
      <c r="F8" s="56" t="s">
        <v>23</v>
      </c>
      <c r="G8" s="44">
        <v>18</v>
      </c>
      <c r="H8" s="129">
        <f>IF(B$17=0,0,G8/B$17)</f>
        <v>0.14634146341463414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0.47169811320754718</v>
      </c>
      <c r="E9" s="59" t="s">
        <v>70</v>
      </c>
      <c r="F9" s="56" t="s">
        <v>25</v>
      </c>
      <c r="G9" s="44">
        <v>18</v>
      </c>
      <c r="H9" s="129">
        <f>IF(B$17=0,0,G9/B$17)</f>
        <v>0.14634146341463414</v>
      </c>
      <c r="I9" s="90">
        <v>2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3.7735849056603772E-2</v>
      </c>
      <c r="E10" s="59" t="s">
        <v>71</v>
      </c>
      <c r="F10" s="56" t="s">
        <v>26</v>
      </c>
      <c r="G10" s="44">
        <v>12</v>
      </c>
      <c r="H10" s="129">
        <f>IF(B$17=0,0,G10/B$17)</f>
        <v>9.7560975609756101E-2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-11.321052631578945</v>
      </c>
      <c r="P10" s="114">
        <v>19</v>
      </c>
      <c r="Q10" s="102">
        <v>-215.09999999999997</v>
      </c>
    </row>
    <row r="11" spans="1:17" x14ac:dyDescent="0.4">
      <c r="A11" s="52" t="s">
        <v>138</v>
      </c>
      <c r="B11" s="45">
        <v>2</v>
      </c>
      <c r="C11" s="38">
        <f t="shared" si="1"/>
        <v>3.7735849056603772E-2</v>
      </c>
      <c r="E11" s="59" t="s">
        <v>83</v>
      </c>
      <c r="F11" s="56" t="s">
        <v>38</v>
      </c>
      <c r="G11" s="44">
        <v>12</v>
      </c>
      <c r="H11" s="129">
        <f>IF(B$17=0,0,G11/B$17)</f>
        <v>9.7560975609756101E-2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-3.359999999999999</v>
      </c>
      <c r="P11" s="115">
        <v>15</v>
      </c>
      <c r="Q11" s="103">
        <v>-50.399999999999984</v>
      </c>
    </row>
    <row r="12" spans="1:17" x14ac:dyDescent="0.4">
      <c r="A12" s="53" t="s">
        <v>158</v>
      </c>
      <c r="B12" s="46">
        <v>8</v>
      </c>
      <c r="C12" s="40">
        <f t="shared" si="1"/>
        <v>0.15094339622641509</v>
      </c>
      <c r="E12" s="59" t="s">
        <v>65</v>
      </c>
      <c r="F12" s="56" t="s">
        <v>21</v>
      </c>
      <c r="G12" s="44">
        <v>9</v>
      </c>
      <c r="H12" s="129">
        <f>IF(B$17=0,0,G12/B$17)</f>
        <v>7.3170731707317069E-2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-6.2105263157894726</v>
      </c>
      <c r="P12" s="116">
        <v>19</v>
      </c>
      <c r="Q12" s="104">
        <v>-117.99999999999999</v>
      </c>
    </row>
    <row r="13" spans="1:17" x14ac:dyDescent="0.4">
      <c r="A13" s="54" t="s">
        <v>121</v>
      </c>
      <c r="B13" s="47">
        <v>71</v>
      </c>
      <c r="C13" s="42">
        <f>IF(B$3=0,0,B13/B$3)</f>
        <v>0.14978902953586498</v>
      </c>
      <c r="E13" s="59" t="s">
        <v>89</v>
      </c>
      <c r="F13" s="56" t="s">
        <v>44</v>
      </c>
      <c r="G13" s="44">
        <v>8</v>
      </c>
      <c r="H13" s="129">
        <f>IF(B$17=0,0,G13/B$17)</f>
        <v>6.5040650406504072E-2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111</v>
      </c>
      <c r="C14" s="37">
        <f>IF(B$3=0,0,B14/B$3)</f>
        <v>0.23417721518987342</v>
      </c>
      <c r="E14" s="59" t="s">
        <v>81</v>
      </c>
      <c r="F14" s="56" t="s">
        <v>36</v>
      </c>
      <c r="G14" s="44">
        <v>4</v>
      </c>
      <c r="H14" s="129">
        <f>IF(B$17=0,0,G14/B$17)</f>
        <v>3.2520325203252036E-2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0.49295774647887325</v>
      </c>
      <c r="E15" s="59" t="s">
        <v>86</v>
      </c>
      <c r="F15" s="56" t="s">
        <v>41</v>
      </c>
      <c r="G15" s="44">
        <v>4</v>
      </c>
      <c r="H15" s="129">
        <f>IF(B$17=0,0,G15/B$17)</f>
        <v>3.2520325203252036E-2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41</v>
      </c>
      <c r="C16" s="35">
        <f>IF(B$14=0,0,B16/B$14)</f>
        <v>0.36936936936936937</v>
      </c>
      <c r="E16" s="59" t="s">
        <v>91</v>
      </c>
      <c r="F16" s="56" t="s">
        <v>46</v>
      </c>
      <c r="G16" s="44">
        <v>3</v>
      </c>
      <c r="H16" s="129">
        <f>IF(B$17=0,0,G16/B$17)</f>
        <v>2.4390243902439025E-2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>IF(P16=0,0,Q16/P16)</f>
        <v>-4.7411764705882362</v>
      </c>
      <c r="P16" s="115">
        <v>17</v>
      </c>
      <c r="Q16" s="103">
        <v>-80.600000000000009</v>
      </c>
    </row>
    <row r="17" spans="1:17" x14ac:dyDescent="0.4">
      <c r="A17" s="50" t="s">
        <v>10</v>
      </c>
      <c r="B17" s="43">
        <f>B19+B18</f>
        <v>123</v>
      </c>
      <c r="C17" s="35">
        <f>IF(B$3=0,0,B17/B$3)</f>
        <v>0.25949367088607594</v>
      </c>
      <c r="E17" s="59" t="s">
        <v>88</v>
      </c>
      <c r="F17" s="56" t="s">
        <v>43</v>
      </c>
      <c r="G17" s="44">
        <v>2</v>
      </c>
      <c r="H17" s="129">
        <f>IF(B$17=0,0,G17/B$17)</f>
        <v>1.6260162601626018E-2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>IF(P17=0,0,Q17/P17)</f>
        <v>-5.2892857142857155</v>
      </c>
      <c r="P17" s="115">
        <v>28</v>
      </c>
      <c r="Q17" s="103">
        <v>-148.10000000000002</v>
      </c>
    </row>
    <row r="18" spans="1:17" x14ac:dyDescent="0.4">
      <c r="A18" s="51" t="s">
        <v>12</v>
      </c>
      <c r="B18" s="44">
        <v>51</v>
      </c>
      <c r="C18" s="37">
        <f>IF(B$17=0,0,B18/B$17)</f>
        <v>0.41463414634146339</v>
      </c>
      <c r="E18" s="59" t="s">
        <v>74</v>
      </c>
      <c r="F18" s="56" t="s">
        <v>29</v>
      </c>
      <c r="G18" s="44">
        <v>1</v>
      </c>
      <c r="H18" s="129">
        <f>IF(B$17=0,0,G18/B$17)</f>
        <v>8.130081300813009E-3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>IF(P18=0,0,Q18/P18)</f>
        <v>-7.7958333333333343</v>
      </c>
      <c r="P18" s="115">
        <v>24</v>
      </c>
      <c r="Q18" s="103">
        <v>-187.10000000000002</v>
      </c>
    </row>
    <row r="19" spans="1:17" x14ac:dyDescent="0.4">
      <c r="A19" s="51" t="s">
        <v>11</v>
      </c>
      <c r="B19" s="44">
        <v>72</v>
      </c>
      <c r="C19" s="37">
        <f>IF(B$17=0,0,B19/B$17)</f>
        <v>0.58536585365853655</v>
      </c>
      <c r="E19" s="59" t="s">
        <v>75</v>
      </c>
      <c r="F19" s="56" t="s">
        <v>30</v>
      </c>
      <c r="G19" s="44">
        <v>1</v>
      </c>
      <c r="H19" s="129">
        <f>IF(B$17=0,0,G19/B$17)</f>
        <v>8.130081300813009E-3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72</v>
      </c>
      <c r="C20" s="37">
        <f>IF(B$3=0,0,B20/B$3)</f>
        <v>0.15189873417721519</v>
      </c>
      <c r="E20" s="59" t="s">
        <v>77</v>
      </c>
      <c r="F20" s="56" t="s">
        <v>32</v>
      </c>
      <c r="G20" s="44">
        <v>1</v>
      </c>
      <c r="H20" s="129">
        <f>IF(B$17=0,0,G20/B$17)</f>
        <v>8.130081300813009E-3</v>
      </c>
      <c r="I20" s="90">
        <v>2</v>
      </c>
      <c r="K20" s="36">
        <v>18</v>
      </c>
      <c r="L20" s="95">
        <v>-80.2</v>
      </c>
      <c r="N20" s="111" t="s">
        <v>182</v>
      </c>
      <c r="O20" s="121">
        <f>IF(P20=0,0,Q20/P20)</f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8.130081300813009E-3</v>
      </c>
      <c r="I21" s="90">
        <v>1</v>
      </c>
      <c r="K21" s="36">
        <v>19</v>
      </c>
      <c r="L21" s="95">
        <v>-115.1</v>
      </c>
      <c r="N21" s="111" t="s">
        <v>177</v>
      </c>
      <c r="O21" s="121">
        <f>IF(P21=0,0,Q21/P21)</f>
        <v>-40.299999999999997</v>
      </c>
      <c r="P21" s="115">
        <v>11</v>
      </c>
      <c r="Q21" s="103">
        <v>-443.29999999999995</v>
      </c>
    </row>
    <row r="22" spans="1:17" x14ac:dyDescent="0.4">
      <c r="A22" s="51" t="s">
        <v>170</v>
      </c>
      <c r="B22" s="44">
        <v>32</v>
      </c>
      <c r="C22" s="131">
        <v>0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7054.4715447154467</v>
      </c>
      <c r="C23" s="39">
        <v>867700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7352.4390243902435</v>
      </c>
      <c r="C24" s="137">
        <v>602900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6458.5365853658541</v>
      </c>
      <c r="C25" s="137">
        <v>264800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8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-7594.4444444444443</v>
      </c>
      <c r="C26" s="137">
        <v>-546800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4.2194092827004216E-3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121</v>
      </c>
      <c r="C2" s="149"/>
      <c r="E2" s="58" t="s">
        <v>66</v>
      </c>
      <c r="F2" s="55" t="s">
        <v>22</v>
      </c>
      <c r="G2" s="43">
        <v>227</v>
      </c>
      <c r="H2" s="128">
        <f>IF(B$17=0,0,G2/B$17)</f>
        <v>0.67359050445103863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1340.8333333333333</v>
      </c>
      <c r="P2" s="114">
        <v>120</v>
      </c>
      <c r="Q2" s="98">
        <v>160900</v>
      </c>
    </row>
    <row r="3" spans="1:17" x14ac:dyDescent="0.4">
      <c r="A3" s="51" t="s">
        <v>8</v>
      </c>
      <c r="B3" s="150">
        <v>983</v>
      </c>
      <c r="C3" s="151"/>
      <c r="E3" s="59" t="s">
        <v>72</v>
      </c>
      <c r="F3" s="56" t="s">
        <v>27</v>
      </c>
      <c r="G3" s="44">
        <v>169</v>
      </c>
      <c r="H3" s="129">
        <f>IF(B$17=0,0,G3/B$17)</f>
        <v>0.50148367952522255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922.22222222222217</v>
      </c>
      <c r="P3" s="115">
        <v>117</v>
      </c>
      <c r="Q3" s="99">
        <v>107900</v>
      </c>
    </row>
    <row r="4" spans="1:17" x14ac:dyDescent="0.4">
      <c r="A4" s="51" t="s">
        <v>6</v>
      </c>
      <c r="B4" s="152">
        <v>1071.8</v>
      </c>
      <c r="C4" s="153"/>
      <c r="E4" s="59" t="s">
        <v>64</v>
      </c>
      <c r="F4" s="56" t="s">
        <v>20</v>
      </c>
      <c r="G4" s="44">
        <v>149</v>
      </c>
      <c r="H4" s="129">
        <f>IF(B$17=0,0,G4/B$17)</f>
        <v>0.44213649851632048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986.72566371681421</v>
      </c>
      <c r="P4" s="115">
        <v>113</v>
      </c>
      <c r="Q4" s="99">
        <v>111500</v>
      </c>
    </row>
    <row r="5" spans="1:17" x14ac:dyDescent="0.4">
      <c r="A5" s="51" t="s">
        <v>7</v>
      </c>
      <c r="B5" s="154">
        <f>IF(B$2=0,0,B$4/B$2)</f>
        <v>8.8578512396694205</v>
      </c>
      <c r="C5" s="155"/>
      <c r="E5" s="59" t="s">
        <v>171</v>
      </c>
      <c r="F5" s="56" t="s">
        <v>172</v>
      </c>
      <c r="G5" s="44">
        <v>127</v>
      </c>
      <c r="H5" s="129">
        <f>IF(B$17=0,0,G5/B$17)</f>
        <v>0.37685459940652821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175.96153846153845</v>
      </c>
      <c r="P5" s="115">
        <v>104</v>
      </c>
      <c r="Q5" s="99">
        <v>18300</v>
      </c>
    </row>
    <row r="6" spans="1:17" x14ac:dyDescent="0.4">
      <c r="A6" s="51" t="s">
        <v>1</v>
      </c>
      <c r="B6" s="144">
        <f>IF(B$2=0,0,(B$7*1+B$8*2+B$9*3)/B$2)</f>
        <v>1.7851239669421488</v>
      </c>
      <c r="C6" s="145"/>
      <c r="E6" s="59" t="s">
        <v>68</v>
      </c>
      <c r="F6" s="56" t="s">
        <v>12</v>
      </c>
      <c r="G6" s="44">
        <v>99</v>
      </c>
      <c r="H6" s="129">
        <f>IF(B$17=0,0,G6/B$17)</f>
        <v>0.29376854599406527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1991.7525773195875</v>
      </c>
      <c r="P6" s="115">
        <v>97</v>
      </c>
      <c r="Q6" s="99">
        <v>193200</v>
      </c>
    </row>
    <row r="7" spans="1:17" x14ac:dyDescent="0.4">
      <c r="A7" s="51" t="s">
        <v>2</v>
      </c>
      <c r="B7" s="44">
        <v>55</v>
      </c>
      <c r="C7" s="37">
        <f t="shared" ref="C7:C12" si="1">IF(B$2=0,0,B7/B$2)</f>
        <v>0.45454545454545453</v>
      </c>
      <c r="E7" s="59" t="s">
        <v>67</v>
      </c>
      <c r="F7" s="56" t="s">
        <v>23</v>
      </c>
      <c r="G7" s="44">
        <v>83</v>
      </c>
      <c r="H7" s="129">
        <f>IF(B$17=0,0,G7/B$17)</f>
        <v>0.24629080118694363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2606.4935064935066</v>
      </c>
      <c r="P7" s="116">
        <v>77</v>
      </c>
      <c r="Q7" s="100">
        <v>200700</v>
      </c>
    </row>
    <row r="8" spans="1:17" x14ac:dyDescent="0.4">
      <c r="A8" s="51" t="s">
        <v>3</v>
      </c>
      <c r="B8" s="44">
        <v>37</v>
      </c>
      <c r="C8" s="37">
        <f t="shared" si="1"/>
        <v>0.30578512396694213</v>
      </c>
      <c r="E8" s="59" t="s">
        <v>89</v>
      </c>
      <c r="F8" s="56" t="s">
        <v>44</v>
      </c>
      <c r="G8" s="44">
        <v>53</v>
      </c>
      <c r="H8" s="129">
        <f>IF(B$17=0,0,G8/B$17)</f>
        <v>0.15727002967359049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29</v>
      </c>
      <c r="C9" s="38">
        <f t="shared" si="1"/>
        <v>0.23966942148760331</v>
      </c>
      <c r="E9" s="59" t="s">
        <v>69</v>
      </c>
      <c r="F9" s="56" t="s">
        <v>24</v>
      </c>
      <c r="G9" s="44">
        <v>52</v>
      </c>
      <c r="H9" s="129">
        <f>IF(B$17=0,0,G9/B$17)</f>
        <v>0.1543026706231454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4.1322314049586778E-2</v>
      </c>
      <c r="E10" s="59" t="s">
        <v>65</v>
      </c>
      <c r="F10" s="56" t="s">
        <v>21</v>
      </c>
      <c r="G10" s="44">
        <v>40</v>
      </c>
      <c r="H10" s="129">
        <f>IF(B$17=0,0,G10/B$17)</f>
        <v>0.11869436201780416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11.54705882352941</v>
      </c>
      <c r="P10" s="114">
        <v>34</v>
      </c>
      <c r="Q10" s="102">
        <v>392.59999999999991</v>
      </c>
    </row>
    <row r="11" spans="1:17" x14ac:dyDescent="0.4">
      <c r="A11" s="52" t="s">
        <v>138</v>
      </c>
      <c r="B11" s="45">
        <v>15</v>
      </c>
      <c r="C11" s="38">
        <f t="shared" si="1"/>
        <v>0.12396694214876033</v>
      </c>
      <c r="E11" s="59" t="s">
        <v>71</v>
      </c>
      <c r="F11" s="56" t="s">
        <v>26</v>
      </c>
      <c r="G11" s="44">
        <v>23</v>
      </c>
      <c r="H11" s="129">
        <f>IF(B$17=0,0,G11/B$17)</f>
        <v>6.8249258160237386E-2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3" t="s">
        <v>158</v>
      </c>
      <c r="B12" s="46">
        <v>13</v>
      </c>
      <c r="C12" s="40">
        <f t="shared" si="1"/>
        <v>0.10743801652892562</v>
      </c>
      <c r="E12" s="59" t="s">
        <v>86</v>
      </c>
      <c r="F12" s="56" t="s">
        <v>41</v>
      </c>
      <c r="G12" s="44">
        <v>19</v>
      </c>
      <c r="H12" s="129">
        <f>IF(B$17=0,0,G12/B$17)</f>
        <v>5.637982195845697E-2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11.630232558139532</v>
      </c>
      <c r="P12" s="116">
        <v>43</v>
      </c>
      <c r="Q12" s="104">
        <v>500.09999999999985</v>
      </c>
    </row>
    <row r="13" spans="1:17" x14ac:dyDescent="0.4">
      <c r="A13" s="54" t="s">
        <v>121</v>
      </c>
      <c r="B13" s="47">
        <v>266</v>
      </c>
      <c r="C13" s="42">
        <f>IF(B$3=0,0,B13/B$3)</f>
        <v>0.27060020345879959</v>
      </c>
      <c r="E13" s="59" t="s">
        <v>70</v>
      </c>
      <c r="F13" s="56" t="s">
        <v>25</v>
      </c>
      <c r="G13" s="44">
        <v>18</v>
      </c>
      <c r="H13" s="129">
        <f>IF(B$17=0,0,G13/B$17)</f>
        <v>5.3412462908011868E-2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220</v>
      </c>
      <c r="C14" s="37">
        <f>IF(B$3=0,0,B14/B$3)</f>
        <v>0.22380467955239064</v>
      </c>
      <c r="E14" s="59" t="s">
        <v>83</v>
      </c>
      <c r="F14" s="56" t="s">
        <v>38</v>
      </c>
      <c r="G14" s="44">
        <v>15</v>
      </c>
      <c r="H14" s="129">
        <f>IF(B$17=0,0,G14/B$17)</f>
        <v>4.4510385756676561E-2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159</v>
      </c>
      <c r="C15" s="35">
        <f>IF(B$13=0,0,B15/B$13)</f>
        <v>0.59774436090225569</v>
      </c>
      <c r="E15" s="59" t="s">
        <v>78</v>
      </c>
      <c r="F15" s="56" t="s">
        <v>33</v>
      </c>
      <c r="G15" s="44">
        <v>14</v>
      </c>
      <c r="H15" s="129">
        <f>IF(B$17=0,0,G15/B$17)</f>
        <v>4.1543026706231452E-2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 t="shared" ref="O15:O22" si="2">IF(P15=0,0,Q15/P15)</f>
        <v>39.662500000000009</v>
      </c>
      <c r="P15" s="114">
        <v>8</v>
      </c>
      <c r="Q15" s="102">
        <v>317.30000000000007</v>
      </c>
    </row>
    <row r="16" spans="1:17" x14ac:dyDescent="0.4">
      <c r="A16" s="50" t="s">
        <v>124</v>
      </c>
      <c r="B16" s="43">
        <v>107</v>
      </c>
      <c r="C16" s="35">
        <f>IF(B$14=0,0,B16/B$14)</f>
        <v>0.48636363636363639</v>
      </c>
      <c r="E16" s="59" t="s">
        <v>167</v>
      </c>
      <c r="F16" s="56" t="s">
        <v>168</v>
      </c>
      <c r="G16" s="44">
        <v>13</v>
      </c>
      <c r="H16" s="129">
        <f>IF(B$17=0,0,G16/B$17)</f>
        <v>3.857566765578635E-2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 t="shared" si="2"/>
        <v>26.992307692307691</v>
      </c>
      <c r="P16" s="115">
        <v>13</v>
      </c>
      <c r="Q16" s="103">
        <v>350.9</v>
      </c>
    </row>
    <row r="17" spans="1:17" x14ac:dyDescent="0.4">
      <c r="A17" s="50" t="s">
        <v>10</v>
      </c>
      <c r="B17" s="43">
        <f>B19+B18</f>
        <v>337</v>
      </c>
      <c r="C17" s="35">
        <f>IF(B$3=0,0,B17/B$3)</f>
        <v>0.34282807731434384</v>
      </c>
      <c r="E17" s="59" t="s">
        <v>77</v>
      </c>
      <c r="F17" s="56" t="s">
        <v>32</v>
      </c>
      <c r="G17" s="44">
        <v>3</v>
      </c>
      <c r="H17" s="129">
        <f>IF(B$17=0,0,G17/B$17)</f>
        <v>8.9020771513353119E-3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 t="shared" si="2"/>
        <v>17.637777777777782</v>
      </c>
      <c r="P17" s="115">
        <v>45</v>
      </c>
      <c r="Q17" s="103">
        <v>793.70000000000016</v>
      </c>
    </row>
    <row r="18" spans="1:17" x14ac:dyDescent="0.4">
      <c r="A18" s="51" t="s">
        <v>12</v>
      </c>
      <c r="B18" s="44">
        <v>143</v>
      </c>
      <c r="C18" s="37">
        <f>IF(B$17=0,0,B18/B$17)</f>
        <v>0.42433234421364985</v>
      </c>
      <c r="E18" s="59" t="s">
        <v>84</v>
      </c>
      <c r="F18" s="56" t="s">
        <v>39</v>
      </c>
      <c r="G18" s="44">
        <v>3</v>
      </c>
      <c r="H18" s="129">
        <f>IF(B$17=0,0,G18/B$17)</f>
        <v>8.9020771513353119E-3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 t="shared" si="2"/>
        <v>16.541304347826088</v>
      </c>
      <c r="P18" s="115">
        <v>46</v>
      </c>
      <c r="Q18" s="103">
        <v>760.90000000000009</v>
      </c>
    </row>
    <row r="19" spans="1:17" x14ac:dyDescent="0.4">
      <c r="A19" s="51" t="s">
        <v>11</v>
      </c>
      <c r="B19" s="44">
        <v>194</v>
      </c>
      <c r="C19" s="37">
        <f>IF(B$17=0,0,B19/B$17)</f>
        <v>0.57566765578635015</v>
      </c>
      <c r="E19" s="59" t="s">
        <v>92</v>
      </c>
      <c r="F19" s="56" t="s">
        <v>47</v>
      </c>
      <c r="G19" s="44">
        <v>3</v>
      </c>
      <c r="H19" s="129">
        <f>IF(B$17=0,0,G19/B$17)</f>
        <v>8.9020771513353119E-3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 t="shared" si="2"/>
        <v>15.313513513513515</v>
      </c>
      <c r="P19" s="115">
        <v>74</v>
      </c>
      <c r="Q19" s="103">
        <v>1133.2</v>
      </c>
    </row>
    <row r="20" spans="1:17" x14ac:dyDescent="0.4">
      <c r="A20" s="51" t="s">
        <v>13</v>
      </c>
      <c r="B20" s="44">
        <v>127</v>
      </c>
      <c r="C20" s="37">
        <f>IF(B$3=0,0,B20/B$3)</f>
        <v>0.12919633774160733</v>
      </c>
      <c r="E20" s="59" t="s">
        <v>75</v>
      </c>
      <c r="F20" s="56" t="s">
        <v>30</v>
      </c>
      <c r="G20" s="44">
        <v>2</v>
      </c>
      <c r="H20" s="129">
        <f>IF(B$17=0,0,G20/B$17)</f>
        <v>5.9347181008902079E-3</v>
      </c>
      <c r="I20" s="90">
        <v>7</v>
      </c>
      <c r="K20" s="36">
        <v>18</v>
      </c>
      <c r="L20" s="95">
        <v>352.39999999999992</v>
      </c>
      <c r="N20" s="111" t="s">
        <v>166</v>
      </c>
      <c r="O20" s="121">
        <f t="shared" si="2"/>
        <v>5.2892857142857137</v>
      </c>
      <c r="P20" s="115">
        <v>28</v>
      </c>
      <c r="Q20" s="103">
        <v>148.1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2</v>
      </c>
      <c r="H21" s="129">
        <f>IF(B$17=0,0,G21/B$17)</f>
        <v>5.9347181008902079E-3</v>
      </c>
      <c r="I21" s="90">
        <v>7</v>
      </c>
      <c r="K21" s="36">
        <v>19</v>
      </c>
      <c r="L21" s="95">
        <v>383.19999999999993</v>
      </c>
      <c r="N21" s="111" t="s">
        <v>177</v>
      </c>
      <c r="O21" s="121">
        <f t="shared" si="2"/>
        <v>-8.0814814814814806</v>
      </c>
      <c r="P21" s="115">
        <v>27</v>
      </c>
      <c r="Q21" s="103">
        <v>-218.2</v>
      </c>
    </row>
    <row r="22" spans="1:17" x14ac:dyDescent="0.4">
      <c r="A22" s="51" t="s">
        <v>170</v>
      </c>
      <c r="B22" s="44">
        <v>43</v>
      </c>
      <c r="C22" s="131">
        <v>6</v>
      </c>
      <c r="E22" s="59" t="s">
        <v>81</v>
      </c>
      <c r="F22" s="56" t="s">
        <v>36</v>
      </c>
      <c r="G22" s="44">
        <v>2</v>
      </c>
      <c r="H22" s="129">
        <f>IF(B$17=0,0,G22/B$17)</f>
        <v>5.9347181008902079E-3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 t="shared" si="2"/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8289.0207715133529</v>
      </c>
      <c r="C23" s="39">
        <v>2793400</v>
      </c>
      <c r="E23" s="59" t="s">
        <v>85</v>
      </c>
      <c r="F23" s="56" t="s">
        <v>40</v>
      </c>
      <c r="G23" s="44">
        <v>2</v>
      </c>
      <c r="H23" s="129">
        <f>IF(B$17=0,0,G23/B$17)</f>
        <v>5.9347181008902079E-3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8550.434782608696</v>
      </c>
      <c r="C24" s="137">
        <v>1966600</v>
      </c>
      <c r="E24" s="59" t="s">
        <v>88</v>
      </c>
      <c r="F24" s="56" t="s">
        <v>43</v>
      </c>
      <c r="G24" s="44">
        <v>2</v>
      </c>
      <c r="H24" s="129">
        <f>IF(B$17=0,0,G24/B$17)</f>
        <v>5.9347181008902079E-3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7727.1028037383176</v>
      </c>
      <c r="C25" s="137">
        <v>826800</v>
      </c>
      <c r="E25" s="59" t="s">
        <v>91</v>
      </c>
      <c r="F25" s="56" t="s">
        <v>46</v>
      </c>
      <c r="G25" s="44">
        <v>2</v>
      </c>
      <c r="H25" s="129">
        <f>IF(B$17=0,0,G25/B$17)</f>
        <v>5.9347181008902079E-3</v>
      </c>
      <c r="I25" s="90">
        <v>7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-7880.3149606299212</v>
      </c>
      <c r="C26" s="137">
        <v>-1000800</v>
      </c>
      <c r="E26" s="59" t="s">
        <v>74</v>
      </c>
      <c r="F26" s="56" t="s">
        <v>29</v>
      </c>
      <c r="G26" s="44">
        <v>1</v>
      </c>
      <c r="H26" s="129">
        <f>IF(B$17=0,0,G26/B$17)</f>
        <v>2.967359050445104E-3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2.967359050445104E-3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2.967359050445104E-3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1.017293997965412E-3</v>
      </c>
      <c r="E29" s="59" t="s">
        <v>106</v>
      </c>
      <c r="F29" s="56" t="s">
        <v>113</v>
      </c>
      <c r="G29" s="44">
        <v>1</v>
      </c>
      <c r="H29" s="129">
        <f>IF(B$17=0,0,G29/B$17)</f>
        <v>2.967359050445104E-3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</sheetData>
  <sortState xmlns:xlrd2="http://schemas.microsoft.com/office/spreadsheetml/2017/richdata2" ref="E2:I12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1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108</v>
      </c>
      <c r="C2" s="149"/>
      <c r="E2" s="58" t="s">
        <v>66</v>
      </c>
      <c r="F2" s="55" t="s">
        <v>22</v>
      </c>
      <c r="G2" s="43">
        <v>249</v>
      </c>
      <c r="H2" s="128">
        <f>IF(B$17=0,0,G2/B$17)</f>
        <v>0.90875912408759119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-1852.3364485981308</v>
      </c>
      <c r="P2" s="114">
        <v>107</v>
      </c>
      <c r="Q2" s="98">
        <v>-198200</v>
      </c>
    </row>
    <row r="3" spans="1:17" x14ac:dyDescent="0.4">
      <c r="A3" s="51" t="s">
        <v>8</v>
      </c>
      <c r="B3" s="150">
        <v>908</v>
      </c>
      <c r="C3" s="151"/>
      <c r="E3" s="59" t="s">
        <v>72</v>
      </c>
      <c r="F3" s="56" t="s">
        <v>27</v>
      </c>
      <c r="G3" s="44">
        <v>159</v>
      </c>
      <c r="H3" s="129">
        <f>IF(B$17=0,0,G3/B$17)</f>
        <v>0.58029197080291972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1117.1428571428571</v>
      </c>
      <c r="P3" s="115">
        <v>105</v>
      </c>
      <c r="Q3" s="99">
        <v>117300</v>
      </c>
    </row>
    <row r="4" spans="1:17" x14ac:dyDescent="0.4">
      <c r="A4" s="51" t="s">
        <v>6</v>
      </c>
      <c r="B4" s="152">
        <v>-28.200000000000212</v>
      </c>
      <c r="C4" s="153"/>
      <c r="E4" s="59" t="s">
        <v>171</v>
      </c>
      <c r="F4" s="56" t="s">
        <v>172</v>
      </c>
      <c r="G4" s="44">
        <v>115</v>
      </c>
      <c r="H4" s="129">
        <f>IF(B$17=0,0,G4/B$17)</f>
        <v>0.41970802919708028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63.636363636363633</v>
      </c>
      <c r="P4" s="115">
        <v>99</v>
      </c>
      <c r="Q4" s="99">
        <v>6300</v>
      </c>
    </row>
    <row r="5" spans="1:17" x14ac:dyDescent="0.4">
      <c r="A5" s="51" t="s">
        <v>7</v>
      </c>
      <c r="B5" s="154">
        <f>IF(B$2=0,0,B$4/B$2)</f>
        <v>-0.26111111111111307</v>
      </c>
      <c r="C5" s="155"/>
      <c r="E5" s="59" t="s">
        <v>64</v>
      </c>
      <c r="F5" s="56" t="s">
        <v>20</v>
      </c>
      <c r="G5" s="44">
        <v>107</v>
      </c>
      <c r="H5" s="129">
        <f>IF(B$17=0,0,G5/B$17)</f>
        <v>0.39051094890510951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606.45161290322585</v>
      </c>
      <c r="P5" s="115">
        <v>93</v>
      </c>
      <c r="Q5" s="99">
        <v>56400</v>
      </c>
    </row>
    <row r="6" spans="1:17" x14ac:dyDescent="0.4">
      <c r="A6" s="51" t="s">
        <v>1</v>
      </c>
      <c r="B6" s="144">
        <f>IF(B$2=0,0,(B$7*1+B$8*2+B$9*3)/B$2)</f>
        <v>1.9722222222222223</v>
      </c>
      <c r="C6" s="145"/>
      <c r="E6" s="59" t="s">
        <v>68</v>
      </c>
      <c r="F6" s="56" t="s">
        <v>12</v>
      </c>
      <c r="G6" s="44">
        <v>75</v>
      </c>
      <c r="H6" s="129">
        <f>IF(B$17=0,0,G6/B$17)</f>
        <v>0.27372262773722628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-922.35294117647061</v>
      </c>
      <c r="P6" s="115">
        <v>85</v>
      </c>
      <c r="Q6" s="99">
        <v>-78400</v>
      </c>
    </row>
    <row r="7" spans="1:17" x14ac:dyDescent="0.4">
      <c r="A7" s="51" t="s">
        <v>2</v>
      </c>
      <c r="B7" s="44">
        <v>37</v>
      </c>
      <c r="C7" s="37">
        <f t="shared" ref="C7:C12" si="1">IF(B$2=0,0,B7/B$2)</f>
        <v>0.34259259259259262</v>
      </c>
      <c r="E7" s="59" t="s">
        <v>67</v>
      </c>
      <c r="F7" s="56" t="s">
        <v>23</v>
      </c>
      <c r="G7" s="44">
        <v>57</v>
      </c>
      <c r="H7" s="129">
        <f>IF(B$17=0,0,G7/B$17)</f>
        <v>0.20802919708029197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1460.5633802816901</v>
      </c>
      <c r="P7" s="116">
        <v>71</v>
      </c>
      <c r="Q7" s="100">
        <v>103700</v>
      </c>
    </row>
    <row r="8" spans="1:17" x14ac:dyDescent="0.4">
      <c r="A8" s="51" t="s">
        <v>3</v>
      </c>
      <c r="B8" s="44">
        <v>37</v>
      </c>
      <c r="C8" s="37">
        <f t="shared" si="1"/>
        <v>0.34259259259259262</v>
      </c>
      <c r="E8" s="59" t="s">
        <v>89</v>
      </c>
      <c r="F8" s="56" t="s">
        <v>44</v>
      </c>
      <c r="G8" s="44">
        <v>32</v>
      </c>
      <c r="H8" s="129">
        <f>IF(B$17=0,0,G8/B$17)</f>
        <v>0.11678832116788321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0.31481481481481483</v>
      </c>
      <c r="E9" s="59" t="s">
        <v>69</v>
      </c>
      <c r="F9" s="56" t="s">
        <v>24</v>
      </c>
      <c r="G9" s="44">
        <v>31</v>
      </c>
      <c r="H9" s="129">
        <f>IF(B$17=0,0,G9/B$17)</f>
        <v>0.11313868613138686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0.1388888888888889</v>
      </c>
      <c r="E10" s="59" t="s">
        <v>65</v>
      </c>
      <c r="F10" s="56" t="s">
        <v>21</v>
      </c>
      <c r="G10" s="44">
        <v>26</v>
      </c>
      <c r="H10" s="129">
        <f>IF(B$17=0,0,G10/B$17)</f>
        <v>9.4890510948905105E-2</v>
      </c>
      <c r="I10" s="90">
        <v>7</v>
      </c>
      <c r="K10" s="36">
        <v>8</v>
      </c>
      <c r="L10" s="95">
        <v>-56.79999999999999</v>
      </c>
      <c r="N10" s="110" t="s">
        <v>162</v>
      </c>
      <c r="O10" s="120">
        <f>IF(P10=0,0,Q10/P10)</f>
        <v>1.3407407407407417</v>
      </c>
      <c r="P10" s="114">
        <v>27</v>
      </c>
      <c r="Q10" s="102">
        <v>36.200000000000024</v>
      </c>
    </row>
    <row r="11" spans="1:17" x14ac:dyDescent="0.4">
      <c r="A11" s="52" t="s">
        <v>138</v>
      </c>
      <c r="B11" s="45">
        <v>10</v>
      </c>
      <c r="C11" s="38">
        <f t="shared" si="1"/>
        <v>9.2592592592592587E-2</v>
      </c>
      <c r="E11" s="59" t="s">
        <v>70</v>
      </c>
      <c r="F11" s="56" t="s">
        <v>25</v>
      </c>
      <c r="G11" s="44">
        <v>24</v>
      </c>
      <c r="H11" s="129">
        <f>IF(B$17=0,0,G11/B$17)</f>
        <v>8.7591240875912413E-2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4.5848484848484858</v>
      </c>
      <c r="P11" s="115">
        <v>33</v>
      </c>
      <c r="Q11" s="103">
        <v>151.30000000000004</v>
      </c>
    </row>
    <row r="12" spans="1:17" x14ac:dyDescent="0.4">
      <c r="A12" s="53" t="s">
        <v>158</v>
      </c>
      <c r="B12" s="46">
        <v>17</v>
      </c>
      <c r="C12" s="40">
        <f t="shared" si="1"/>
        <v>0.15740740740740741</v>
      </c>
      <c r="E12" s="59" t="s">
        <v>71</v>
      </c>
      <c r="F12" s="56" t="s">
        <v>26</v>
      </c>
      <c r="G12" s="44">
        <v>23</v>
      </c>
      <c r="H12" s="129">
        <f>IF(B$17=0,0,G12/B$17)</f>
        <v>8.3941605839416053E-2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-4.4937500000000012</v>
      </c>
      <c r="P12" s="116">
        <v>48</v>
      </c>
      <c r="Q12" s="104">
        <v>-215.70000000000005</v>
      </c>
    </row>
    <row r="13" spans="1:17" x14ac:dyDescent="0.4">
      <c r="A13" s="54" t="s">
        <v>121</v>
      </c>
      <c r="B13" s="47">
        <v>209</v>
      </c>
      <c r="C13" s="42">
        <f>IF(B$3=0,0,B13/B$3)</f>
        <v>0.23017621145374451</v>
      </c>
      <c r="E13" s="59" t="s">
        <v>86</v>
      </c>
      <c r="F13" s="56" t="s">
        <v>41</v>
      </c>
      <c r="G13" s="44">
        <v>19</v>
      </c>
      <c r="H13" s="129">
        <f>IF(B$17=0,0,G13/B$17)</f>
        <v>6.9343065693430656E-2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278</v>
      </c>
      <c r="C14" s="37">
        <f>IF(B$3=0,0,B14/B$3)</f>
        <v>0.30616740088105726</v>
      </c>
      <c r="E14" s="59" t="s">
        <v>83</v>
      </c>
      <c r="F14" s="56" t="s">
        <v>38</v>
      </c>
      <c r="G14" s="44">
        <v>16</v>
      </c>
      <c r="H14" s="129">
        <f>IF(B$17=0,0,G14/B$17)</f>
        <v>5.8394160583941604E-2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105</v>
      </c>
      <c r="C15" s="35">
        <f>IF(B$13=0,0,B15/B$13)</f>
        <v>0.50239234449760761</v>
      </c>
      <c r="E15" s="59" t="s">
        <v>78</v>
      </c>
      <c r="F15" s="56" t="s">
        <v>33</v>
      </c>
      <c r="G15" s="44">
        <v>9</v>
      </c>
      <c r="H15" s="129">
        <f>IF(B$17=0,0,G15/B$17)</f>
        <v>3.2846715328467155E-2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103</v>
      </c>
      <c r="C16" s="35">
        <f>IF(B$14=0,0,B16/B$14)</f>
        <v>0.37050359712230213</v>
      </c>
      <c r="E16" s="59" t="s">
        <v>91</v>
      </c>
      <c r="F16" s="56" t="s">
        <v>46</v>
      </c>
      <c r="G16" s="44">
        <v>8</v>
      </c>
      <c r="H16" s="129">
        <f>IF(B$17=0,0,G16/B$17)</f>
        <v>2.9197080291970802E-2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274</v>
      </c>
      <c r="C17" s="35">
        <f>IF(B$3=0,0,B17/B$3)</f>
        <v>0.30176211453744495</v>
      </c>
      <c r="E17" s="59" t="s">
        <v>81</v>
      </c>
      <c r="F17" s="56" t="s">
        <v>36</v>
      </c>
      <c r="G17" s="44">
        <v>6</v>
      </c>
      <c r="H17" s="129">
        <f>IF(B$17=0,0,G17/B$17)</f>
        <v>2.1897810218978103E-2</v>
      </c>
      <c r="I17" s="90">
        <v>4</v>
      </c>
      <c r="K17" s="36">
        <v>15</v>
      </c>
      <c r="L17" s="95">
        <v>-144.30000000000001</v>
      </c>
      <c r="N17" s="111" t="s">
        <v>181</v>
      </c>
      <c r="O17" s="121">
        <f>IF(P17=0,0,Q17/P17)</f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111</v>
      </c>
      <c r="C18" s="37">
        <f>IF(B$17=0,0,B18/B$17)</f>
        <v>0.4051094890510949</v>
      </c>
      <c r="E18" s="59" t="s">
        <v>79</v>
      </c>
      <c r="F18" s="56" t="s">
        <v>34</v>
      </c>
      <c r="G18" s="44">
        <v>5</v>
      </c>
      <c r="H18" s="129">
        <f>IF(B$17=0,0,G18/B$17)</f>
        <v>1.824817518248175E-2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>IF(P18=0,0,Q18/P18)</f>
        <v>13.151515151515149</v>
      </c>
      <c r="P18" s="115">
        <v>33</v>
      </c>
      <c r="Q18" s="103">
        <v>433.99999999999989</v>
      </c>
    </row>
    <row r="19" spans="1:17" x14ac:dyDescent="0.4">
      <c r="A19" s="51" t="s">
        <v>11</v>
      </c>
      <c r="B19" s="44">
        <v>163</v>
      </c>
      <c r="C19" s="37">
        <f>IF(B$17=0,0,B19/B$17)</f>
        <v>0.5948905109489051</v>
      </c>
      <c r="E19" s="59" t="s">
        <v>167</v>
      </c>
      <c r="F19" s="56" t="s">
        <v>168</v>
      </c>
      <c r="G19" s="44">
        <v>3</v>
      </c>
      <c r="H19" s="129">
        <f>IF(B$17=0,0,G19/B$17)</f>
        <v>1.0948905109489052E-2</v>
      </c>
      <c r="I19" s="90">
        <v>7</v>
      </c>
      <c r="K19" s="36">
        <v>17</v>
      </c>
      <c r="L19" s="95">
        <v>-179.70000000000002</v>
      </c>
      <c r="N19" s="111" t="s">
        <v>166</v>
      </c>
      <c r="O19" s="121">
        <f>IF(P19=0,0,Q19/P19)</f>
        <v>7.7958333333333316</v>
      </c>
      <c r="P19" s="115">
        <v>24</v>
      </c>
      <c r="Q19" s="103">
        <v>187.09999999999997</v>
      </c>
    </row>
    <row r="20" spans="1:17" x14ac:dyDescent="0.4">
      <c r="A20" s="51" t="s">
        <v>13</v>
      </c>
      <c r="B20" s="44">
        <v>175</v>
      </c>
      <c r="C20" s="37">
        <f>IF(B$3=0,0,B20/B$3)</f>
        <v>0.19273127753303965</v>
      </c>
      <c r="E20" s="59" t="s">
        <v>74</v>
      </c>
      <c r="F20" s="56" t="s">
        <v>29</v>
      </c>
      <c r="G20" s="44">
        <v>2</v>
      </c>
      <c r="H20" s="129">
        <f>IF(B$17=0,0,G20/B$17)</f>
        <v>7.2992700729927005E-3</v>
      </c>
      <c r="I20" s="90">
        <v>3</v>
      </c>
      <c r="K20" s="36">
        <v>18</v>
      </c>
      <c r="L20" s="95">
        <v>-112.90000000000002</v>
      </c>
      <c r="N20" s="111" t="s">
        <v>177</v>
      </c>
      <c r="O20" s="121">
        <f>IF(P20=0,0,Q20/P20)</f>
        <v>0.31034482758621329</v>
      </c>
      <c r="P20" s="115">
        <v>29</v>
      </c>
      <c r="Q20" s="103">
        <v>9.0000000000001847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75</v>
      </c>
      <c r="F21" s="56" t="s">
        <v>30</v>
      </c>
      <c r="G21" s="44">
        <v>2</v>
      </c>
      <c r="H21" s="129">
        <f>IF(B$17=0,0,G21/B$17)</f>
        <v>7.2992700729927005E-3</v>
      </c>
      <c r="I21" s="90">
        <v>4</v>
      </c>
      <c r="K21" s="36">
        <v>19</v>
      </c>
      <c r="L21" s="95">
        <v>-162.40000000000003</v>
      </c>
      <c r="N21" s="111" t="s">
        <v>178</v>
      </c>
      <c r="O21" s="121">
        <f>IF(P21=0,0,Q21/P21)</f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6</v>
      </c>
      <c r="E22" s="59" t="s">
        <v>73</v>
      </c>
      <c r="F22" s="56" t="s">
        <v>28</v>
      </c>
      <c r="G22" s="44">
        <v>1</v>
      </c>
      <c r="H22" s="129">
        <f>IF(B$17=0,0,G22/B$17)</f>
        <v>3.6496350364963502E-3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>IF(P22=0,0,Q22/P22)</f>
        <v>-15.313513513513515</v>
      </c>
      <c r="P22" s="115">
        <v>74</v>
      </c>
      <c r="Q22" s="103">
        <v>-1133.2</v>
      </c>
    </row>
    <row r="23" spans="1:17" x14ac:dyDescent="0.4">
      <c r="A23" s="51" t="s">
        <v>5</v>
      </c>
      <c r="B23" s="48">
        <f>IF(B$17=0,0,C23/B$17)</f>
        <v>8434.6715328467162</v>
      </c>
      <c r="C23" s="39">
        <v>2311100</v>
      </c>
      <c r="E23" s="59" t="s">
        <v>77</v>
      </c>
      <c r="F23" s="56" t="s">
        <v>32</v>
      </c>
      <c r="G23" s="44">
        <v>1</v>
      </c>
      <c r="H23" s="129">
        <f>IF(B$17=0,0,G23/B$17)</f>
        <v>3.6496350364963502E-3</v>
      </c>
      <c r="I23" s="90">
        <v>3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8860.8187134502932</v>
      </c>
      <c r="C24" s="137">
        <v>1515200</v>
      </c>
      <c r="E24" s="59" t="s">
        <v>84</v>
      </c>
      <c r="F24" s="56" t="s">
        <v>39</v>
      </c>
      <c r="G24" s="44">
        <v>1</v>
      </c>
      <c r="H24" s="129">
        <f>IF(B$17=0,0,G24/B$17)</f>
        <v>3.6496350364963502E-3</v>
      </c>
      <c r="I24" s="90">
        <v>2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7727.1844660194174</v>
      </c>
      <c r="C25" s="137">
        <v>795900</v>
      </c>
      <c r="E25" s="59" t="s">
        <v>92</v>
      </c>
      <c r="F25" s="56" t="s">
        <v>47</v>
      </c>
      <c r="G25" s="44">
        <v>1</v>
      </c>
      <c r="H25" s="129">
        <f>IF(B$17=0,0,G25/B$17)</f>
        <v>3.6496350364963502E-3</v>
      </c>
      <c r="I25" s="90">
        <v>4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-8208.5714285714294</v>
      </c>
      <c r="C26" s="137">
        <v>-1436500</v>
      </c>
      <c r="E26" s="59" t="s">
        <v>95</v>
      </c>
      <c r="F26" s="56" t="s">
        <v>50</v>
      </c>
      <c r="G26" s="44">
        <v>1</v>
      </c>
      <c r="H26" s="129">
        <f>IF(B$17=0,0,G26/B$17)</f>
        <v>3.6496350364963502E-3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3.3039647577092512E-3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67</v>
      </c>
      <c r="C2" s="149"/>
      <c r="E2" s="58" t="s">
        <v>66</v>
      </c>
      <c r="F2" s="55" t="s">
        <v>22</v>
      </c>
      <c r="G2" s="43">
        <v>126</v>
      </c>
      <c r="H2" s="128">
        <f>IF(B$17=0,0,G2/B$17)</f>
        <v>0.78260869565217395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68.181818181818187</v>
      </c>
      <c r="P2" s="114">
        <v>66</v>
      </c>
      <c r="Q2" s="98">
        <v>4500</v>
      </c>
    </row>
    <row r="3" spans="1:17" x14ac:dyDescent="0.4">
      <c r="A3" s="51" t="s">
        <v>8</v>
      </c>
      <c r="B3" s="150">
        <v>573</v>
      </c>
      <c r="C3" s="151"/>
      <c r="E3" s="59" t="s">
        <v>64</v>
      </c>
      <c r="F3" s="56" t="s">
        <v>20</v>
      </c>
      <c r="G3" s="44">
        <v>94</v>
      </c>
      <c r="H3" s="129">
        <f>IF(B$17=0,0,G3/B$17)</f>
        <v>0.58385093167701863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-834.84848484848487</v>
      </c>
      <c r="P3" s="115">
        <v>66</v>
      </c>
      <c r="Q3" s="99">
        <v>-55100</v>
      </c>
    </row>
    <row r="4" spans="1:17" x14ac:dyDescent="0.4">
      <c r="A4" s="51" t="s">
        <v>6</v>
      </c>
      <c r="B4" s="152">
        <v>-477.59999999999997</v>
      </c>
      <c r="C4" s="153"/>
      <c r="E4" s="59" t="s">
        <v>72</v>
      </c>
      <c r="F4" s="56" t="s">
        <v>27</v>
      </c>
      <c r="G4" s="44">
        <v>81</v>
      </c>
      <c r="H4" s="129">
        <f>IF(B$17=0,0,G4/B$17)</f>
        <v>0.50310559006211175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175.80645161290323</v>
      </c>
      <c r="P4" s="115">
        <v>62</v>
      </c>
      <c r="Q4" s="99">
        <v>10900</v>
      </c>
    </row>
    <row r="5" spans="1:17" x14ac:dyDescent="0.4">
      <c r="A5" s="51" t="s">
        <v>7</v>
      </c>
      <c r="B5" s="154">
        <f>IF(B$2=0,0,B$4/B$2)</f>
        <v>-7.1283582089552233</v>
      </c>
      <c r="C5" s="155"/>
      <c r="E5" s="59" t="s">
        <v>171</v>
      </c>
      <c r="F5" s="56" t="s">
        <v>172</v>
      </c>
      <c r="G5" s="44">
        <v>69</v>
      </c>
      <c r="H5" s="129">
        <f>IF(B$17=0,0,G5/B$17)</f>
        <v>0.42857142857142855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-1378.688524590164</v>
      </c>
      <c r="P5" s="115">
        <v>61</v>
      </c>
      <c r="Q5" s="99">
        <v>-84100</v>
      </c>
    </row>
    <row r="6" spans="1:17" x14ac:dyDescent="0.4">
      <c r="A6" s="51" t="s">
        <v>1</v>
      </c>
      <c r="B6" s="144">
        <f>IF(B$2=0,0,(B$7*1+B$8*2+B$9*3)/B$2)</f>
        <v>2.1791044776119404</v>
      </c>
      <c r="C6" s="145"/>
      <c r="E6" s="59" t="s">
        <v>68</v>
      </c>
      <c r="F6" s="56" t="s">
        <v>12</v>
      </c>
      <c r="G6" s="44">
        <v>56</v>
      </c>
      <c r="H6" s="129">
        <f>IF(B$17=0,0,G6/B$17)</f>
        <v>0.34782608695652173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-3265.5172413793102</v>
      </c>
      <c r="P6" s="115">
        <v>58</v>
      </c>
      <c r="Q6" s="99">
        <v>-189400</v>
      </c>
    </row>
    <row r="7" spans="1:17" x14ac:dyDescent="0.4">
      <c r="A7" s="51" t="s">
        <v>2</v>
      </c>
      <c r="B7" s="44">
        <v>15</v>
      </c>
      <c r="C7" s="37">
        <f t="shared" ref="C7:C12" si="1">IF(B$2=0,0,B7/B$2)</f>
        <v>0.22388059701492538</v>
      </c>
      <c r="E7" s="59" t="s">
        <v>67</v>
      </c>
      <c r="F7" s="56" t="s">
        <v>23</v>
      </c>
      <c r="G7" s="44">
        <v>49</v>
      </c>
      <c r="H7" s="129">
        <f>IF(B$17=0,0,G7/B$17)</f>
        <v>0.30434782608695654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-1190</v>
      </c>
      <c r="P7" s="116">
        <v>50</v>
      </c>
      <c r="Q7" s="100">
        <v>-59500</v>
      </c>
    </row>
    <row r="8" spans="1:17" x14ac:dyDescent="0.4">
      <c r="A8" s="51" t="s">
        <v>3</v>
      </c>
      <c r="B8" s="44">
        <v>25</v>
      </c>
      <c r="C8" s="37">
        <f t="shared" si="1"/>
        <v>0.37313432835820898</v>
      </c>
      <c r="E8" s="59" t="s">
        <v>70</v>
      </c>
      <c r="F8" s="56" t="s">
        <v>25</v>
      </c>
      <c r="G8" s="44">
        <v>25</v>
      </c>
      <c r="H8" s="129">
        <f>IF(B$17=0,0,G8/B$17)</f>
        <v>0.15527950310559005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1"/>
        <v>0.40298507462686567</v>
      </c>
      <c r="E9" s="59" t="s">
        <v>69</v>
      </c>
      <c r="F9" s="56" t="s">
        <v>24</v>
      </c>
      <c r="G9" s="44">
        <v>23</v>
      </c>
      <c r="H9" s="129">
        <f>IF(B$17=0,0,G9/B$17)</f>
        <v>0.14285714285714285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8.9552238805970144E-2</v>
      </c>
      <c r="E10" s="59" t="s">
        <v>65</v>
      </c>
      <c r="F10" s="56" t="s">
        <v>21</v>
      </c>
      <c r="G10" s="44">
        <v>18</v>
      </c>
      <c r="H10" s="129">
        <f>IF(B$17=0,0,G10/B$17)</f>
        <v>0.11180124223602485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-2.9076923076923085</v>
      </c>
      <c r="P10" s="114">
        <v>26</v>
      </c>
      <c r="Q10" s="102">
        <v>-75.600000000000023</v>
      </c>
    </row>
    <row r="11" spans="1:17" x14ac:dyDescent="0.4">
      <c r="A11" s="52" t="s">
        <v>138</v>
      </c>
      <c r="B11" s="45">
        <v>2</v>
      </c>
      <c r="C11" s="38">
        <f t="shared" si="1"/>
        <v>2.9850746268656716E-2</v>
      </c>
      <c r="E11" s="59" t="s">
        <v>89</v>
      </c>
      <c r="F11" s="56" t="s">
        <v>44</v>
      </c>
      <c r="G11" s="44">
        <v>17</v>
      </c>
      <c r="H11" s="129">
        <f>IF(B$17=0,0,G11/B$17)</f>
        <v>0.10559006211180125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3" t="s">
        <v>158</v>
      </c>
      <c r="B12" s="46">
        <v>5</v>
      </c>
      <c r="C12" s="40">
        <f t="shared" si="1"/>
        <v>7.4626865671641784E-2</v>
      </c>
      <c r="E12" s="59" t="s">
        <v>83</v>
      </c>
      <c r="F12" s="56" t="s">
        <v>38</v>
      </c>
      <c r="G12" s="44">
        <v>10</v>
      </c>
      <c r="H12" s="129">
        <f>IF(B$17=0,0,G12/B$17)</f>
        <v>6.2111801242236024E-2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-11.02</v>
      </c>
      <c r="P12" s="116">
        <v>20</v>
      </c>
      <c r="Q12" s="104">
        <v>-220.39999999999998</v>
      </c>
    </row>
    <row r="13" spans="1:17" x14ac:dyDescent="0.4">
      <c r="A13" s="54" t="s">
        <v>121</v>
      </c>
      <c r="B13" s="47">
        <v>165</v>
      </c>
      <c r="C13" s="42">
        <f>IF(B$3=0,0,B13/B$3)</f>
        <v>0.2879581151832461</v>
      </c>
      <c r="E13" s="59" t="s">
        <v>71</v>
      </c>
      <c r="F13" s="56" t="s">
        <v>26</v>
      </c>
      <c r="G13" s="44">
        <v>7</v>
      </c>
      <c r="H13" s="129">
        <f>IF(B$17=0,0,G13/B$17)</f>
        <v>4.3478260869565216E-2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109</v>
      </c>
      <c r="C14" s="37">
        <f>IF(B$3=0,0,B14/B$3)</f>
        <v>0.19022687609075042</v>
      </c>
      <c r="E14" s="59" t="s">
        <v>78</v>
      </c>
      <c r="F14" s="56" t="s">
        <v>33</v>
      </c>
      <c r="G14" s="44">
        <v>6</v>
      </c>
      <c r="H14" s="129">
        <f>IF(B$17=0,0,G14/B$17)</f>
        <v>3.7267080745341616E-2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95</v>
      </c>
      <c r="C15" s="35">
        <f>IF(B$13=0,0,B15/B$13)</f>
        <v>0.5757575757575758</v>
      </c>
      <c r="E15" s="59" t="s">
        <v>86</v>
      </c>
      <c r="F15" s="56" t="s">
        <v>41</v>
      </c>
      <c r="G15" s="44">
        <v>4</v>
      </c>
      <c r="H15" s="129">
        <f>IF(B$17=0,0,G15/B$17)</f>
        <v>2.4844720496894408E-2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44</v>
      </c>
      <c r="C16" s="35">
        <f>IF(B$14=0,0,B16/B$14)</f>
        <v>0.40366972477064222</v>
      </c>
      <c r="E16" s="59" t="s">
        <v>81</v>
      </c>
      <c r="F16" s="56" t="s">
        <v>36</v>
      </c>
      <c r="G16" s="44">
        <v>3</v>
      </c>
      <c r="H16" s="129">
        <f>IF(B$17=0,0,G16/B$17)</f>
        <v>1.8633540372670808E-2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161</v>
      </c>
      <c r="C17" s="35">
        <f>IF(B$3=0,0,B17/B$3)</f>
        <v>0.28097731239092494</v>
      </c>
      <c r="E17" s="59" t="s">
        <v>167</v>
      </c>
      <c r="F17" s="56" t="s">
        <v>168</v>
      </c>
      <c r="G17" s="44">
        <v>3</v>
      </c>
      <c r="H17" s="129">
        <f>IF(B$17=0,0,G17/B$17)</f>
        <v>1.8633540372670808E-2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 t="shared" si="2"/>
        <v>0.14000000000000129</v>
      </c>
      <c r="P17" s="115">
        <v>10</v>
      </c>
      <c r="Q17" s="103">
        <v>1.4000000000000128</v>
      </c>
    </row>
    <row r="18" spans="1:17" x14ac:dyDescent="0.4">
      <c r="A18" s="51" t="s">
        <v>12</v>
      </c>
      <c r="B18" s="44">
        <v>74</v>
      </c>
      <c r="C18" s="37">
        <f>IF(B$17=0,0,B18/B$17)</f>
        <v>0.45962732919254656</v>
      </c>
      <c r="E18" s="59" t="s">
        <v>75</v>
      </c>
      <c r="F18" s="56" t="s">
        <v>30</v>
      </c>
      <c r="G18" s="44">
        <v>2</v>
      </c>
      <c r="H18" s="129">
        <f>IF(B$17=0,0,G18/B$17)</f>
        <v>1.2422360248447204E-2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 t="shared" si="2"/>
        <v>-9.2727272727272716</v>
      </c>
      <c r="P18" s="115">
        <v>11</v>
      </c>
      <c r="Q18" s="103">
        <v>-101.99999999999999</v>
      </c>
    </row>
    <row r="19" spans="1:17" x14ac:dyDescent="0.4">
      <c r="A19" s="51" t="s">
        <v>11</v>
      </c>
      <c r="B19" s="44">
        <v>87</v>
      </c>
      <c r="C19" s="37">
        <f>IF(B$17=0,0,B19/B$17)</f>
        <v>0.54037267080745344</v>
      </c>
      <c r="E19" s="59" t="s">
        <v>79</v>
      </c>
      <c r="F19" s="56" t="s">
        <v>34</v>
      </c>
      <c r="G19" s="44">
        <v>2</v>
      </c>
      <c r="H19" s="129">
        <f>IF(B$17=0,0,G19/B$17)</f>
        <v>1.2422360248447204E-2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 t="shared" si="2"/>
        <v>-12.900000000000002</v>
      </c>
      <c r="P19" s="115">
        <v>19</v>
      </c>
      <c r="Q19" s="103">
        <v>-245.10000000000005</v>
      </c>
    </row>
    <row r="20" spans="1:17" x14ac:dyDescent="0.4">
      <c r="A20" s="51" t="s">
        <v>13</v>
      </c>
      <c r="B20" s="44">
        <v>117</v>
      </c>
      <c r="C20" s="37">
        <f>IF(B$3=0,0,B20/B$3)</f>
        <v>0.20418848167539266</v>
      </c>
      <c r="E20" s="59" t="s">
        <v>91</v>
      </c>
      <c r="F20" s="56" t="s">
        <v>46</v>
      </c>
      <c r="G20" s="44">
        <v>1</v>
      </c>
      <c r="H20" s="129">
        <f>IF(B$17=0,0,G20/B$17)</f>
        <v>6.2111801242236021E-3</v>
      </c>
      <c r="I20" s="90">
        <v>6</v>
      </c>
      <c r="K20" s="36">
        <v>18</v>
      </c>
      <c r="L20" s="95">
        <v>-240</v>
      </c>
      <c r="N20" s="111" t="s">
        <v>127</v>
      </c>
      <c r="O20" s="121">
        <f t="shared" si="2"/>
        <v>-13.151515151515149</v>
      </c>
      <c r="P20" s="115">
        <v>33</v>
      </c>
      <c r="Q20" s="103">
        <v>-433.99999999999989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 t="shared" si="2"/>
        <v>-17.637777777777785</v>
      </c>
      <c r="P21" s="115">
        <v>45</v>
      </c>
      <c r="Q21" s="103">
        <v>-793.70000000000027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8029.1925465838513</v>
      </c>
      <c r="C23" s="39">
        <v>1292700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8468.3760683760684</v>
      </c>
      <c r="C24" s="137">
        <v>990800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6861.363636363636</v>
      </c>
      <c r="C25" s="137">
        <v>301900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-7662.3931623931621</v>
      </c>
      <c r="C26" s="137">
        <v>-896500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5.235602094240838E-3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</sheetData>
  <sortState xmlns:xlrd2="http://schemas.microsoft.com/office/spreadsheetml/2017/richdata2" ref="E2:I7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7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68</v>
      </c>
      <c r="C2" s="149"/>
      <c r="E2" s="58" t="s">
        <v>66</v>
      </c>
      <c r="F2" s="55" t="s">
        <v>22</v>
      </c>
      <c r="G2" s="43">
        <v>138</v>
      </c>
      <c r="H2" s="128">
        <f>IF(B$17=0,0,G2/B$17)</f>
        <v>0.84146341463414631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1516.1764705882354</v>
      </c>
      <c r="P2" s="114">
        <v>68</v>
      </c>
      <c r="Q2" s="98">
        <v>103100</v>
      </c>
    </row>
    <row r="3" spans="1:17" x14ac:dyDescent="0.4">
      <c r="A3" s="51" t="s">
        <v>8</v>
      </c>
      <c r="B3" s="150">
        <v>558</v>
      </c>
      <c r="C3" s="151"/>
      <c r="E3" s="59" t="s">
        <v>72</v>
      </c>
      <c r="F3" s="56" t="s">
        <v>27</v>
      </c>
      <c r="G3" s="44">
        <v>93</v>
      </c>
      <c r="H3" s="129">
        <f>IF(B$17=0,0,G3/B$17)</f>
        <v>0.56707317073170727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-2083.3333333333335</v>
      </c>
      <c r="P3" s="115">
        <v>66</v>
      </c>
      <c r="Q3" s="99">
        <v>-137500</v>
      </c>
    </row>
    <row r="4" spans="1:17" x14ac:dyDescent="0.4">
      <c r="A4" s="51" t="s">
        <v>6</v>
      </c>
      <c r="B4" s="152">
        <v>458.00000000000011</v>
      </c>
      <c r="C4" s="153"/>
      <c r="E4" s="59" t="s">
        <v>64</v>
      </c>
      <c r="F4" s="56" t="s">
        <v>20</v>
      </c>
      <c r="G4" s="44">
        <v>88</v>
      </c>
      <c r="H4" s="129">
        <f>IF(B$17=0,0,G4/B$17)</f>
        <v>0.53658536585365857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1138.7096774193549</v>
      </c>
      <c r="P4" s="115">
        <v>62</v>
      </c>
      <c r="Q4" s="99">
        <v>70600</v>
      </c>
    </row>
    <row r="5" spans="1:17" x14ac:dyDescent="0.4">
      <c r="A5" s="51" t="s">
        <v>7</v>
      </c>
      <c r="B5" s="154">
        <f>IF(B$2=0,0,B$4/B$2)</f>
        <v>6.7352941176470607</v>
      </c>
      <c r="C5" s="155"/>
      <c r="E5" s="59" t="s">
        <v>67</v>
      </c>
      <c r="F5" s="56" t="s">
        <v>23</v>
      </c>
      <c r="G5" s="44">
        <v>69</v>
      </c>
      <c r="H5" s="129">
        <f>IF(B$17=0,0,G5/B$17)</f>
        <v>0.42073170731707316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3596.6101694915255</v>
      </c>
      <c r="P5" s="115">
        <v>59</v>
      </c>
      <c r="Q5" s="99">
        <v>212200</v>
      </c>
    </row>
    <row r="6" spans="1:17" x14ac:dyDescent="0.4">
      <c r="A6" s="51" t="s">
        <v>1</v>
      </c>
      <c r="B6" s="144">
        <f>IF(B$2=0,0,(B$7*1+B$8*2+B$9*3)/B$2)</f>
        <v>1.8676470588235294</v>
      </c>
      <c r="C6" s="145"/>
      <c r="E6" s="59" t="s">
        <v>171</v>
      </c>
      <c r="F6" s="56" t="s">
        <v>172</v>
      </c>
      <c r="G6" s="44">
        <v>63</v>
      </c>
      <c r="H6" s="129">
        <f>IF(B$17=0,0,G6/B$17)</f>
        <v>0.38414634146341464</v>
      </c>
      <c r="I6" s="90">
        <v>6</v>
      </c>
      <c r="K6" s="36">
        <v>4</v>
      </c>
      <c r="L6" s="95">
        <v>-74.599999999999994</v>
      </c>
      <c r="N6" s="111" t="s">
        <v>134</v>
      </c>
      <c r="O6" s="118">
        <f t="shared" si="0"/>
        <v>853.7037037037037</v>
      </c>
      <c r="P6" s="115">
        <v>54</v>
      </c>
      <c r="Q6" s="99">
        <v>46100</v>
      </c>
    </row>
    <row r="7" spans="1:17" x14ac:dyDescent="0.4">
      <c r="A7" s="51" t="s">
        <v>2</v>
      </c>
      <c r="B7" s="44">
        <v>29</v>
      </c>
      <c r="C7" s="37">
        <f t="shared" ref="C7:C12" si="1">IF(B$2=0,0,B7/B$2)</f>
        <v>0.4264705882352941</v>
      </c>
      <c r="E7" s="59" t="s">
        <v>68</v>
      </c>
      <c r="F7" s="56" t="s">
        <v>12</v>
      </c>
      <c r="G7" s="44">
        <v>60</v>
      </c>
      <c r="H7" s="129">
        <f>IF(B$17=0,0,G7/B$17)</f>
        <v>0.36585365853658536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-370</v>
      </c>
      <c r="P7" s="116">
        <v>40</v>
      </c>
      <c r="Q7" s="100">
        <v>-14800</v>
      </c>
    </row>
    <row r="8" spans="1:17" x14ac:dyDescent="0.4">
      <c r="A8" s="51" t="s">
        <v>3</v>
      </c>
      <c r="B8" s="44">
        <v>19</v>
      </c>
      <c r="C8" s="37">
        <f t="shared" si="1"/>
        <v>0.27941176470588236</v>
      </c>
      <c r="E8" s="59" t="s">
        <v>89</v>
      </c>
      <c r="F8" s="56" t="s">
        <v>44</v>
      </c>
      <c r="G8" s="44">
        <v>35</v>
      </c>
      <c r="H8" s="129">
        <f>IF(B$17=0,0,G8/B$17)</f>
        <v>0.21341463414634146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0.29411764705882354</v>
      </c>
      <c r="E9" s="59" t="s">
        <v>69</v>
      </c>
      <c r="F9" s="56" t="s">
        <v>24</v>
      </c>
      <c r="G9" s="44">
        <v>34</v>
      </c>
      <c r="H9" s="129">
        <f>IF(B$17=0,0,G9/B$17)</f>
        <v>0.2073170731707317</v>
      </c>
      <c r="I9" s="90">
        <v>3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8.8235294117647065E-2</v>
      </c>
      <c r="E10" s="59" t="s">
        <v>65</v>
      </c>
      <c r="F10" s="56" t="s">
        <v>21</v>
      </c>
      <c r="G10" s="44">
        <v>21</v>
      </c>
      <c r="H10" s="129">
        <f>IF(B$17=0,0,G10/B$17)</f>
        <v>0.12804878048780488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6.9263157894736853</v>
      </c>
      <c r="P10" s="114">
        <v>19</v>
      </c>
      <c r="Q10" s="102">
        <v>131.60000000000002</v>
      </c>
    </row>
    <row r="11" spans="1:17" x14ac:dyDescent="0.4">
      <c r="A11" s="52" t="s">
        <v>138</v>
      </c>
      <c r="B11" s="45">
        <v>13</v>
      </c>
      <c r="C11" s="38">
        <f t="shared" si="1"/>
        <v>0.19117647058823528</v>
      </c>
      <c r="E11" s="59" t="s">
        <v>70</v>
      </c>
      <c r="F11" s="56" t="s">
        <v>25</v>
      </c>
      <c r="G11" s="44">
        <v>18</v>
      </c>
      <c r="H11" s="129">
        <f>IF(B$17=0,0,G11/B$17)</f>
        <v>0.10975609756097561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7.8468749999999989</v>
      </c>
      <c r="P11" s="115">
        <v>32</v>
      </c>
      <c r="Q11" s="103">
        <v>251.09999999999997</v>
      </c>
    </row>
    <row r="12" spans="1:17" x14ac:dyDescent="0.4">
      <c r="A12" s="53" t="s">
        <v>158</v>
      </c>
      <c r="B12" s="46">
        <v>7</v>
      </c>
      <c r="C12" s="40">
        <f t="shared" si="1"/>
        <v>0.10294117647058823</v>
      </c>
      <c r="E12" s="59" t="s">
        <v>167</v>
      </c>
      <c r="F12" s="56" t="s">
        <v>168</v>
      </c>
      <c r="G12" s="44">
        <v>11</v>
      </c>
      <c r="H12" s="129">
        <f>IF(B$17=0,0,G12/B$17)</f>
        <v>6.7073170731707321E-2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4.4294117647058826</v>
      </c>
      <c r="P12" s="116">
        <v>17</v>
      </c>
      <c r="Q12" s="104">
        <v>75.300000000000011</v>
      </c>
    </row>
    <row r="13" spans="1:17" x14ac:dyDescent="0.4">
      <c r="A13" s="54" t="s">
        <v>121</v>
      </c>
      <c r="B13" s="47">
        <v>178</v>
      </c>
      <c r="C13" s="42">
        <f>IF(B$3=0,0,B13/B$3)</f>
        <v>0.31899641577060933</v>
      </c>
      <c r="E13" s="59" t="s">
        <v>71</v>
      </c>
      <c r="F13" s="56" t="s">
        <v>26</v>
      </c>
      <c r="G13" s="44">
        <v>8</v>
      </c>
      <c r="H13" s="129">
        <f>IF(B$17=0,0,G13/B$17)</f>
        <v>4.878048780487805E-2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100</v>
      </c>
      <c r="C14" s="37">
        <f>IF(B$3=0,0,B14/B$3)</f>
        <v>0.17921146953405018</v>
      </c>
      <c r="E14" s="59" t="s">
        <v>83</v>
      </c>
      <c r="F14" s="56" t="s">
        <v>38</v>
      </c>
      <c r="G14" s="44">
        <v>7</v>
      </c>
      <c r="H14" s="129">
        <f>IF(B$17=0,0,G14/B$17)</f>
        <v>4.2682926829268296E-2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99</v>
      </c>
      <c r="C15" s="35">
        <f>IF(B$13=0,0,B15/B$13)</f>
        <v>0.5561797752808989</v>
      </c>
      <c r="E15" s="59" t="s">
        <v>86</v>
      </c>
      <c r="F15" s="56" t="s">
        <v>41</v>
      </c>
      <c r="G15" s="44">
        <v>5</v>
      </c>
      <c r="H15" s="129">
        <f>IF(B$17=0,0,G15/B$17)</f>
        <v>3.048780487804878E-2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45</v>
      </c>
      <c r="C16" s="35">
        <f>IF(B$14=0,0,B16/B$14)</f>
        <v>0.45</v>
      </c>
      <c r="E16" s="59" t="s">
        <v>81</v>
      </c>
      <c r="F16" s="56" t="s">
        <v>36</v>
      </c>
      <c r="G16" s="44">
        <v>4</v>
      </c>
      <c r="H16" s="129">
        <f>IF(B$17=0,0,G16/B$17)</f>
        <v>2.4390243902439025E-2</v>
      </c>
      <c r="I16" s="90">
        <v>3</v>
      </c>
      <c r="K16" s="36">
        <v>14</v>
      </c>
      <c r="L16" s="95">
        <v>-86.499999999999972</v>
      </c>
      <c r="N16" s="111" t="s">
        <v>166</v>
      </c>
      <c r="O16" s="121">
        <f>IF(P16=0,0,Q16/P16)</f>
        <v>40.299999999999997</v>
      </c>
      <c r="P16" s="115">
        <v>11</v>
      </c>
      <c r="Q16" s="103">
        <v>443.29999999999995</v>
      </c>
    </row>
    <row r="17" spans="1:17" x14ac:dyDescent="0.4">
      <c r="A17" s="50" t="s">
        <v>10</v>
      </c>
      <c r="B17" s="43">
        <f>B19+B18</f>
        <v>164</v>
      </c>
      <c r="C17" s="35">
        <f>IF(B$3=0,0,B17/B$3)</f>
        <v>0.29390681003584229</v>
      </c>
      <c r="E17" s="59" t="s">
        <v>92</v>
      </c>
      <c r="F17" s="56" t="s">
        <v>47</v>
      </c>
      <c r="G17" s="44">
        <v>4</v>
      </c>
      <c r="H17" s="129">
        <f>IF(B$17=0,0,G17/B$17)</f>
        <v>2.4390243902439025E-2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15.864285714285712</v>
      </c>
      <c r="P17" s="115">
        <v>14</v>
      </c>
      <c r="Q17" s="103">
        <v>222.09999999999997</v>
      </c>
    </row>
    <row r="18" spans="1:17" x14ac:dyDescent="0.4">
      <c r="A18" s="51" t="s">
        <v>12</v>
      </c>
      <c r="B18" s="44">
        <v>79</v>
      </c>
      <c r="C18" s="37">
        <f>IF(B$17=0,0,B18/B$17)</f>
        <v>0.48170731707317072</v>
      </c>
      <c r="E18" s="59" t="s">
        <v>91</v>
      </c>
      <c r="F18" s="56" t="s">
        <v>46</v>
      </c>
      <c r="G18" s="44">
        <v>2</v>
      </c>
      <c r="H18" s="129">
        <f>IF(B$17=0,0,G18/B$17)</f>
        <v>1.2195121951219513E-2</v>
      </c>
      <c r="I18" s="90">
        <v>5</v>
      </c>
      <c r="K18" s="36">
        <v>16</v>
      </c>
      <c r="L18" s="95">
        <v>-63.099999999999966</v>
      </c>
      <c r="N18" s="111" t="s">
        <v>178</v>
      </c>
      <c r="O18" s="121">
        <f>IF(P18=0,0,Q18/P18)</f>
        <v>13.557142857142855</v>
      </c>
      <c r="P18" s="115">
        <v>35</v>
      </c>
      <c r="Q18" s="103">
        <v>474.49999999999994</v>
      </c>
    </row>
    <row r="19" spans="1:17" x14ac:dyDescent="0.4">
      <c r="A19" s="51" t="s">
        <v>11</v>
      </c>
      <c r="B19" s="44">
        <v>85</v>
      </c>
      <c r="C19" s="37">
        <f>IF(B$17=0,0,B19/B$17)</f>
        <v>0.51829268292682928</v>
      </c>
      <c r="E19" s="59" t="s">
        <v>73</v>
      </c>
      <c r="F19" s="56" t="s">
        <v>28</v>
      </c>
      <c r="G19" s="44">
        <v>1</v>
      </c>
      <c r="H19" s="129">
        <f>IF(B$17=0,0,G19/B$17)</f>
        <v>6.0975609756097563E-3</v>
      </c>
      <c r="I19" s="90">
        <v>2</v>
      </c>
      <c r="K19" s="36">
        <v>17</v>
      </c>
      <c r="L19" s="95">
        <v>-55.799999999999969</v>
      </c>
      <c r="N19" s="111" t="s">
        <v>179</v>
      </c>
      <c r="O19" s="121">
        <f>IF(P19=0,0,Q19/P19)</f>
        <v>9.2727272727272716</v>
      </c>
      <c r="P19" s="115">
        <v>11</v>
      </c>
      <c r="Q19" s="103">
        <v>101.99999999999999</v>
      </c>
    </row>
    <row r="20" spans="1:17" x14ac:dyDescent="0.4">
      <c r="A20" s="51" t="s">
        <v>13</v>
      </c>
      <c r="B20" s="44">
        <v>89</v>
      </c>
      <c r="C20" s="37">
        <f>IF(B$3=0,0,B20/B$3)</f>
        <v>0.15949820788530467</v>
      </c>
      <c r="E20" s="59" t="s">
        <v>75</v>
      </c>
      <c r="F20" s="56" t="s">
        <v>30</v>
      </c>
      <c r="G20" s="44">
        <v>1</v>
      </c>
      <c r="H20" s="129">
        <f>IF(B$17=0,0,G20/B$17)</f>
        <v>6.0975609756097563E-3</v>
      </c>
      <c r="I20" s="90">
        <v>6</v>
      </c>
      <c r="K20" s="36">
        <v>18</v>
      </c>
      <c r="L20" s="95">
        <v>-24.999999999999968</v>
      </c>
      <c r="N20" s="111" t="s">
        <v>126</v>
      </c>
      <c r="O20" s="121">
        <f>IF(P20=0,0,Q20/P20)</f>
        <v>8.0814814814814788</v>
      </c>
      <c r="P20" s="115">
        <v>27</v>
      </c>
      <c r="Q20" s="103">
        <v>218.19999999999993</v>
      </c>
    </row>
    <row r="21" spans="1:17" x14ac:dyDescent="0.4">
      <c r="A21" s="51" t="s">
        <v>169</v>
      </c>
      <c r="B21" s="44">
        <v>5</v>
      </c>
      <c r="C21" s="131">
        <v>3</v>
      </c>
      <c r="E21" s="59" t="s">
        <v>78</v>
      </c>
      <c r="F21" s="56" t="s">
        <v>33</v>
      </c>
      <c r="G21" s="44">
        <v>1</v>
      </c>
      <c r="H21" s="129">
        <f>IF(B$17=0,0,G21/B$17)</f>
        <v>6.0975609756097563E-3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-0.31034482758620946</v>
      </c>
      <c r="P21" s="115">
        <v>29</v>
      </c>
      <c r="Q21" s="103">
        <v>-9.0000000000000746</v>
      </c>
    </row>
    <row r="22" spans="1:17" x14ac:dyDescent="0.4">
      <c r="A22" s="51" t="s">
        <v>170</v>
      </c>
      <c r="B22" s="44">
        <v>25</v>
      </c>
      <c r="C22" s="131">
        <v>12</v>
      </c>
      <c r="E22" s="59" t="s">
        <v>79</v>
      </c>
      <c r="F22" s="56" t="s">
        <v>34</v>
      </c>
      <c r="G22" s="44">
        <v>1</v>
      </c>
      <c r="H22" s="129">
        <f>IF(B$17=0,0,G22/B$17)</f>
        <v>6.0975609756097563E-3</v>
      </c>
      <c r="I22" s="90">
        <v>6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10662.195121951219</v>
      </c>
      <c r="C23" s="39">
        <v>1748600</v>
      </c>
      <c r="E23" s="59" t="s">
        <v>85</v>
      </c>
      <c r="F23" s="56" t="s">
        <v>40</v>
      </c>
      <c r="G23" s="44">
        <v>1</v>
      </c>
      <c r="H23" s="129">
        <f>IF(B$17=0,0,G23/B$17)</f>
        <v>6.0975609756097563E-3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11578.991596638656</v>
      </c>
      <c r="C24" s="137">
        <v>1377900</v>
      </c>
      <c r="E24" s="59" t="s">
        <v>90</v>
      </c>
      <c r="F24" s="56" t="s">
        <v>45</v>
      </c>
      <c r="G24" s="44">
        <v>1</v>
      </c>
      <c r="H24" s="129">
        <f>IF(B$17=0,0,G24/B$17)</f>
        <v>6.0975609756097563E-3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8237.7777777777774</v>
      </c>
      <c r="C25" s="137">
        <v>370700</v>
      </c>
      <c r="E25" s="59" t="s">
        <v>93</v>
      </c>
      <c r="F25" s="56" t="s">
        <v>48</v>
      </c>
      <c r="G25" s="44">
        <v>1</v>
      </c>
      <c r="H25" s="129">
        <f>IF(B$17=0,0,G25/B$17)</f>
        <v>6.0975609756097563E-3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-7965.1685393258431</v>
      </c>
      <c r="C26" s="137">
        <v>-708900</v>
      </c>
      <c r="E26" s="59" t="s">
        <v>97</v>
      </c>
      <c r="F26" s="56" t="s">
        <v>52</v>
      </c>
      <c r="G26" s="44">
        <v>1</v>
      </c>
      <c r="H26" s="129">
        <f>IF(B$17=0,0,G26/B$17)</f>
        <v>6.0975609756097563E-3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74</v>
      </c>
      <c r="F27" s="56" t="s">
        <v>29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122100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9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92</v>
      </c>
      <c r="C2" s="149"/>
      <c r="E2" s="58" t="s">
        <v>66</v>
      </c>
      <c r="F2" s="55" t="s">
        <v>22</v>
      </c>
      <c r="G2" s="43">
        <v>157</v>
      </c>
      <c r="H2" s="128">
        <f>IF(B$17=0,0,G2/B$17)</f>
        <v>0.74761904761904763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932.60869565217388</v>
      </c>
      <c r="P2" s="114">
        <v>92</v>
      </c>
      <c r="Q2" s="98">
        <v>85800</v>
      </c>
    </row>
    <row r="3" spans="1:17" x14ac:dyDescent="0.4">
      <c r="A3" s="51" t="s">
        <v>8</v>
      </c>
      <c r="B3" s="150">
        <v>735</v>
      </c>
      <c r="C3" s="151"/>
      <c r="E3" s="59" t="s">
        <v>72</v>
      </c>
      <c r="F3" s="56" t="s">
        <v>27</v>
      </c>
      <c r="G3" s="44">
        <v>119</v>
      </c>
      <c r="H3" s="129">
        <f>IF(B$17=0,0,G3/B$17)</f>
        <v>0.56666666666666665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582.02247191011236</v>
      </c>
      <c r="P3" s="115">
        <v>89</v>
      </c>
      <c r="Q3" s="99">
        <v>51800</v>
      </c>
    </row>
    <row r="4" spans="1:17" x14ac:dyDescent="0.4">
      <c r="A4" s="51" t="s">
        <v>6</v>
      </c>
      <c r="B4" s="152">
        <v>-17.100000000000009</v>
      </c>
      <c r="C4" s="153"/>
      <c r="E4" s="59" t="s">
        <v>64</v>
      </c>
      <c r="F4" s="56" t="s">
        <v>20</v>
      </c>
      <c r="G4" s="44">
        <v>108</v>
      </c>
      <c r="H4" s="129">
        <f>IF(B$17=0,0,G4/B$17)</f>
        <v>0.51428571428571423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-631.32530120481931</v>
      </c>
      <c r="P4" s="115">
        <v>83</v>
      </c>
      <c r="Q4" s="99">
        <v>-52400</v>
      </c>
    </row>
    <row r="5" spans="1:17" x14ac:dyDescent="0.4">
      <c r="A5" s="51" t="s">
        <v>7</v>
      </c>
      <c r="B5" s="154">
        <f>IF(B$2=0,0,B$4/B$2)</f>
        <v>-0.1858695652173914</v>
      </c>
      <c r="C5" s="155"/>
      <c r="E5" s="59" t="s">
        <v>171</v>
      </c>
      <c r="F5" s="56" t="s">
        <v>172</v>
      </c>
      <c r="G5" s="44">
        <v>98</v>
      </c>
      <c r="H5" s="129">
        <f>IF(B$17=0,0,G5/B$17)</f>
        <v>0.46666666666666667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-15.789473684210526</v>
      </c>
      <c r="P5" s="115">
        <v>76</v>
      </c>
      <c r="Q5" s="99">
        <v>-1200</v>
      </c>
    </row>
    <row r="6" spans="1:17" x14ac:dyDescent="0.4">
      <c r="A6" s="51" t="s">
        <v>1</v>
      </c>
      <c r="B6" s="144">
        <f>IF(B$2=0,0,(B$7*1+B$8*2+B$9*3)/B$2)</f>
        <v>2.0326086956521738</v>
      </c>
      <c r="C6" s="145"/>
      <c r="E6" s="59" t="s">
        <v>67</v>
      </c>
      <c r="F6" s="56" t="s">
        <v>23</v>
      </c>
      <c r="G6" s="44">
        <v>82</v>
      </c>
      <c r="H6" s="129">
        <f>IF(B$17=0,0,G6/B$17)</f>
        <v>0.39047619047619048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-676.11940298507466</v>
      </c>
      <c r="P6" s="115">
        <v>67</v>
      </c>
      <c r="Q6" s="99">
        <v>-45300</v>
      </c>
    </row>
    <row r="7" spans="1:17" x14ac:dyDescent="0.4">
      <c r="A7" s="51" t="s">
        <v>2</v>
      </c>
      <c r="B7" s="44">
        <v>22</v>
      </c>
      <c r="C7" s="37">
        <f t="shared" ref="C7:C12" si="1">IF(B$2=0,0,B7/B$2)</f>
        <v>0.2391304347826087</v>
      </c>
      <c r="E7" s="59" t="s">
        <v>68</v>
      </c>
      <c r="F7" s="56" t="s">
        <v>12</v>
      </c>
      <c r="G7" s="44">
        <v>71</v>
      </c>
      <c r="H7" s="129">
        <f>IF(B$17=0,0,G7/B$17)</f>
        <v>0.33809523809523812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-814.03508771929819</v>
      </c>
      <c r="P7" s="116">
        <v>57</v>
      </c>
      <c r="Q7" s="100">
        <v>-46400</v>
      </c>
    </row>
    <row r="8" spans="1:17" x14ac:dyDescent="0.4">
      <c r="A8" s="51" t="s">
        <v>3</v>
      </c>
      <c r="B8" s="44">
        <v>45</v>
      </c>
      <c r="C8" s="37">
        <f t="shared" si="1"/>
        <v>0.4891304347826087</v>
      </c>
      <c r="E8" s="59" t="s">
        <v>69</v>
      </c>
      <c r="F8" s="56" t="s">
        <v>24</v>
      </c>
      <c r="G8" s="44">
        <v>29</v>
      </c>
      <c r="H8" s="129">
        <f>IF(B$17=0,0,G8/B$17)</f>
        <v>0.1380952380952381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0.27173913043478259</v>
      </c>
      <c r="E9" s="59" t="s">
        <v>71</v>
      </c>
      <c r="F9" s="56" t="s">
        <v>26</v>
      </c>
      <c r="G9" s="44">
        <v>21</v>
      </c>
      <c r="H9" s="129">
        <f>IF(B$17=0,0,G9/B$17)</f>
        <v>0.1</v>
      </c>
      <c r="I9" s="90">
        <v>3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8.6956521739130432E-2</v>
      </c>
      <c r="E10" s="59" t="s">
        <v>89</v>
      </c>
      <c r="F10" s="56" t="s">
        <v>44</v>
      </c>
      <c r="G10" s="44">
        <v>21</v>
      </c>
      <c r="H10" s="129">
        <f>IF(B$17=0,0,G10/B$17)</f>
        <v>0.1</v>
      </c>
      <c r="I10" s="90">
        <v>9</v>
      </c>
      <c r="K10" s="36">
        <v>8</v>
      </c>
      <c r="L10" s="95">
        <v>-46.7</v>
      </c>
      <c r="N10" s="110" t="s">
        <v>162</v>
      </c>
      <c r="O10" s="120">
        <f>IF(P10=0,0,Q10/P10)</f>
        <v>0.18974358974358951</v>
      </c>
      <c r="P10" s="114">
        <v>39</v>
      </c>
      <c r="Q10" s="102">
        <v>7.3999999999999915</v>
      </c>
    </row>
    <row r="11" spans="1:17" x14ac:dyDescent="0.4">
      <c r="A11" s="52" t="s">
        <v>138</v>
      </c>
      <c r="B11" s="45">
        <v>8</v>
      </c>
      <c r="C11" s="38">
        <f t="shared" si="1"/>
        <v>8.6956521739130432E-2</v>
      </c>
      <c r="E11" s="59" t="s">
        <v>65</v>
      </c>
      <c r="F11" s="56" t="s">
        <v>21</v>
      </c>
      <c r="G11" s="44">
        <v>17</v>
      </c>
      <c r="H11" s="129">
        <f>IF(B$17=0,0,G11/B$17)</f>
        <v>8.0952380952380956E-2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1.6333333333333331</v>
      </c>
      <c r="P11" s="115">
        <v>27</v>
      </c>
      <c r="Q11" s="103">
        <v>44.099999999999994</v>
      </c>
    </row>
    <row r="12" spans="1:17" x14ac:dyDescent="0.4">
      <c r="A12" s="53" t="s">
        <v>158</v>
      </c>
      <c r="B12" s="46">
        <v>5</v>
      </c>
      <c r="C12" s="40">
        <f t="shared" si="1"/>
        <v>5.434782608695652E-2</v>
      </c>
      <c r="E12" s="59" t="s">
        <v>70</v>
      </c>
      <c r="F12" s="56" t="s">
        <v>25</v>
      </c>
      <c r="G12" s="44">
        <v>17</v>
      </c>
      <c r="H12" s="129">
        <f>IF(B$17=0,0,G12/B$17)</f>
        <v>8.0952380952380956E-2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-2.6384615384615389</v>
      </c>
      <c r="P12" s="116">
        <v>26</v>
      </c>
      <c r="Q12" s="104">
        <v>-68.600000000000009</v>
      </c>
    </row>
    <row r="13" spans="1:17" x14ac:dyDescent="0.4">
      <c r="A13" s="54" t="s">
        <v>121</v>
      </c>
      <c r="B13" s="47">
        <v>196</v>
      </c>
      <c r="C13" s="42">
        <f>IF(B$3=0,0,B13/B$3)</f>
        <v>0.26666666666666666</v>
      </c>
      <c r="E13" s="59" t="s">
        <v>86</v>
      </c>
      <c r="F13" s="56" t="s">
        <v>41</v>
      </c>
      <c r="G13" s="44">
        <v>11</v>
      </c>
      <c r="H13" s="129">
        <f>IF(B$17=0,0,G13/B$17)</f>
        <v>5.2380952380952382E-2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162</v>
      </c>
      <c r="C14" s="37">
        <f>IF(B$3=0,0,B14/B$3)</f>
        <v>0.22040816326530613</v>
      </c>
      <c r="E14" s="59" t="s">
        <v>83</v>
      </c>
      <c r="F14" s="56" t="s">
        <v>38</v>
      </c>
      <c r="G14" s="44">
        <v>7</v>
      </c>
      <c r="H14" s="129">
        <f>IF(B$17=0,0,G14/B$17)</f>
        <v>3.3333333333333333E-2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113</v>
      </c>
      <c r="C15" s="35">
        <f>IF(B$13=0,0,B15/B$13)</f>
        <v>0.57653061224489799</v>
      </c>
      <c r="E15" s="59" t="s">
        <v>79</v>
      </c>
      <c r="F15" s="56" t="s">
        <v>34</v>
      </c>
      <c r="G15" s="44">
        <v>6</v>
      </c>
      <c r="H15" s="129">
        <f>IF(B$17=0,0,G15/B$17)</f>
        <v>2.8571428571428571E-2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67</v>
      </c>
      <c r="C16" s="35">
        <f>IF(B$14=0,0,B16/B$14)</f>
        <v>0.41358024691358025</v>
      </c>
      <c r="E16" s="59" t="s">
        <v>167</v>
      </c>
      <c r="F16" s="56" t="s">
        <v>168</v>
      </c>
      <c r="G16" s="44">
        <v>4</v>
      </c>
      <c r="H16" s="129">
        <f>IF(B$17=0,0,G16/B$17)</f>
        <v>1.9047619047619049E-2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210</v>
      </c>
      <c r="C17" s="35">
        <f>IF(B$3=0,0,B17/B$3)</f>
        <v>0.2857142857142857</v>
      </c>
      <c r="E17" s="59" t="s">
        <v>73</v>
      </c>
      <c r="F17" s="56" t="s">
        <v>28</v>
      </c>
      <c r="G17" s="44">
        <v>3</v>
      </c>
      <c r="H17" s="129">
        <f>IF(B$17=0,0,G17/B$17)</f>
        <v>1.4285714285714285E-2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22.642105263157891</v>
      </c>
      <c r="P17" s="115">
        <v>19</v>
      </c>
      <c r="Q17" s="103">
        <v>430.19999999999993</v>
      </c>
    </row>
    <row r="18" spans="1:17" x14ac:dyDescent="0.4">
      <c r="A18" s="51" t="s">
        <v>12</v>
      </c>
      <c r="B18" s="44">
        <v>96</v>
      </c>
      <c r="C18" s="37">
        <f>IF(B$17=0,0,B18/B$17)</f>
        <v>0.45714285714285713</v>
      </c>
      <c r="E18" s="59" t="s">
        <v>78</v>
      </c>
      <c r="F18" s="56" t="s">
        <v>33</v>
      </c>
      <c r="G18" s="44">
        <v>3</v>
      </c>
      <c r="H18" s="129">
        <f>IF(B$17=0,0,G18/B$17)</f>
        <v>1.4285714285714285E-2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 t="shared" si="2"/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114</v>
      </c>
      <c r="C19" s="37">
        <f>IF(B$17=0,0,B19/B$17)</f>
        <v>0.54285714285714282</v>
      </c>
      <c r="E19" s="59" t="s">
        <v>81</v>
      </c>
      <c r="F19" s="56" t="s">
        <v>36</v>
      </c>
      <c r="G19" s="44">
        <v>2</v>
      </c>
      <c r="H19" s="129">
        <f>IF(B$17=0,0,G19/B$17)</f>
        <v>9.5238095238095247E-3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99</v>
      </c>
      <c r="C20" s="37">
        <f>IF(B$3=0,0,B20/B$3)</f>
        <v>0.13469387755102041</v>
      </c>
      <c r="E20" s="59" t="s">
        <v>74</v>
      </c>
      <c r="F20" s="56" t="s">
        <v>29</v>
      </c>
      <c r="G20" s="44">
        <v>1</v>
      </c>
      <c r="H20" s="129">
        <f>IF(B$17=0,0,G20/B$17)</f>
        <v>4.7619047619047623E-3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 t="shared" si="2"/>
        <v>4.7411764705882353</v>
      </c>
      <c r="P20" s="115">
        <v>17</v>
      </c>
      <c r="Q20" s="103">
        <v>80.599999999999994</v>
      </c>
    </row>
    <row r="21" spans="1:17" x14ac:dyDescent="0.4">
      <c r="A21" s="51" t="s">
        <v>169</v>
      </c>
      <c r="B21" s="44">
        <v>6</v>
      </c>
      <c r="C21" s="131">
        <v>1</v>
      </c>
      <c r="E21" s="59" t="s">
        <v>75</v>
      </c>
      <c r="F21" s="56" t="s">
        <v>30</v>
      </c>
      <c r="G21" s="44">
        <v>1</v>
      </c>
      <c r="H21" s="129">
        <f>IF(B$17=0,0,G21/B$17)</f>
        <v>4.7619047619047623E-3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 t="shared" si="2"/>
        <v>2.8810810810810819</v>
      </c>
      <c r="P21" s="115">
        <v>37</v>
      </c>
      <c r="Q21" s="103">
        <v>106.60000000000002</v>
      </c>
    </row>
    <row r="22" spans="1:17" x14ac:dyDescent="0.4">
      <c r="A22" s="51" t="s">
        <v>170</v>
      </c>
      <c r="B22" s="44">
        <v>44</v>
      </c>
      <c r="C22" s="131">
        <v>5</v>
      </c>
      <c r="E22" s="59" t="s">
        <v>85</v>
      </c>
      <c r="F22" s="56" t="s">
        <v>40</v>
      </c>
      <c r="G22" s="44">
        <v>1</v>
      </c>
      <c r="H22" s="129">
        <f>IF(B$17=0,0,G22/B$17)</f>
        <v>4.7619047619047623E-3</v>
      </c>
      <c r="I22" s="90">
        <v>4</v>
      </c>
      <c r="K22" s="36">
        <v>20</v>
      </c>
      <c r="L22" s="95">
        <v>-93.199999999999989</v>
      </c>
      <c r="N22" s="111" t="s">
        <v>177</v>
      </c>
      <c r="O22" s="121">
        <f t="shared" si="2"/>
        <v>-13.557142857142857</v>
      </c>
      <c r="P22" s="115">
        <v>35</v>
      </c>
      <c r="Q22" s="103">
        <v>-474.5</v>
      </c>
    </row>
    <row r="23" spans="1:17" x14ac:dyDescent="0.4">
      <c r="A23" s="51" t="s">
        <v>5</v>
      </c>
      <c r="B23" s="48">
        <f>IF(B$17=0,0,C23/B$17)</f>
        <v>8431.9047619047615</v>
      </c>
      <c r="C23" s="39">
        <v>1770700</v>
      </c>
      <c r="E23" s="59" t="s">
        <v>87</v>
      </c>
      <c r="F23" s="56" t="s">
        <v>42</v>
      </c>
      <c r="G23" s="44">
        <v>1</v>
      </c>
      <c r="H23" s="129">
        <f>IF(B$17=0,0,G23/B$17)</f>
        <v>4.7619047619047623E-3</v>
      </c>
      <c r="I23" s="90">
        <v>2</v>
      </c>
      <c r="K23" s="36">
        <v>21</v>
      </c>
      <c r="L23" s="95">
        <v>-123.69999999999999</v>
      </c>
      <c r="N23" s="111" t="s">
        <v>126</v>
      </c>
      <c r="O23" s="121">
        <f t="shared" si="2"/>
        <v>-16.541304347826088</v>
      </c>
      <c r="P23" s="115">
        <v>46</v>
      </c>
      <c r="Q23" s="103">
        <v>-760.90000000000009</v>
      </c>
    </row>
    <row r="24" spans="1:17" x14ac:dyDescent="0.4">
      <c r="A24" s="52" t="s">
        <v>216</v>
      </c>
      <c r="B24" s="136">
        <f>IF($B$17-B$16=0,0,C24/($B$17-B$16))</f>
        <v>9455.9440559440554</v>
      </c>
      <c r="C24" s="137">
        <v>1352200</v>
      </c>
      <c r="E24" s="59" t="s">
        <v>88</v>
      </c>
      <c r="F24" s="56" t="s">
        <v>43</v>
      </c>
      <c r="G24" s="44">
        <v>1</v>
      </c>
      <c r="H24" s="129">
        <f>IF(B$17=0,0,G24/B$17)</f>
        <v>4.7619047619047623E-3</v>
      </c>
      <c r="I24" s="90">
        <v>3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6246.2686567164183</v>
      </c>
      <c r="C25" s="137">
        <v>418500</v>
      </c>
      <c r="E25" s="59" t="s">
        <v>91</v>
      </c>
      <c r="F25" s="56" t="s">
        <v>46</v>
      </c>
      <c r="G25" s="44">
        <v>1</v>
      </c>
      <c r="H25" s="129">
        <f>IF(B$17=0,0,G25/B$17)</f>
        <v>4.7619047619047623E-3</v>
      </c>
      <c r="I25" s="90">
        <v>8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-7936.363636363636</v>
      </c>
      <c r="C26" s="137">
        <v>-785700</v>
      </c>
      <c r="E26" s="59" t="s">
        <v>93</v>
      </c>
      <c r="F26" s="56" t="s">
        <v>48</v>
      </c>
      <c r="G26" s="44">
        <v>1</v>
      </c>
      <c r="H26" s="129">
        <f>IF(B$17=0,0,G26/B$17)</f>
        <v>4.7619047619047623E-3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4.7619047619047623E-3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87000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2.7210884353741495E-3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</sheetData>
  <sortState xmlns:xlrd2="http://schemas.microsoft.com/office/spreadsheetml/2017/richdata2" ref="E2:I95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37</v>
      </c>
      <c r="C2" s="149"/>
      <c r="E2" s="58" t="s">
        <v>66</v>
      </c>
      <c r="F2" s="55" t="s">
        <v>22</v>
      </c>
      <c r="G2" s="43">
        <v>52</v>
      </c>
      <c r="H2" s="128">
        <f>IF(B$17=0,0,G2/B$17)</f>
        <v>0.68421052631578949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-3375.6756756756758</v>
      </c>
      <c r="P2" s="114">
        <v>37</v>
      </c>
      <c r="Q2" s="98">
        <v>-124900</v>
      </c>
    </row>
    <row r="3" spans="1:17" x14ac:dyDescent="0.4">
      <c r="A3" s="51" t="s">
        <v>8</v>
      </c>
      <c r="B3" s="150">
        <v>308</v>
      </c>
      <c r="C3" s="151"/>
      <c r="E3" s="59" t="s">
        <v>72</v>
      </c>
      <c r="F3" s="56" t="s">
        <v>27</v>
      </c>
      <c r="G3" s="44">
        <v>46</v>
      </c>
      <c r="H3" s="129">
        <f>IF(B$17=0,0,G3/B$17)</f>
        <v>0.60526315789473684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240.54054054054055</v>
      </c>
      <c r="P3" s="115">
        <v>37</v>
      </c>
      <c r="Q3" s="99">
        <v>8900</v>
      </c>
    </row>
    <row r="4" spans="1:17" x14ac:dyDescent="0.4">
      <c r="A4" s="51" t="s">
        <v>6</v>
      </c>
      <c r="B4" s="152">
        <v>-547.00000000000011</v>
      </c>
      <c r="C4" s="153"/>
      <c r="E4" s="59" t="s">
        <v>64</v>
      </c>
      <c r="F4" s="56" t="s">
        <v>20</v>
      </c>
      <c r="G4" s="44">
        <v>31</v>
      </c>
      <c r="H4" s="129">
        <f>IF(B$17=0,0,G4/B$17)</f>
        <v>0.40789473684210525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-1297.2972972972973</v>
      </c>
      <c r="P4" s="115">
        <v>37</v>
      </c>
      <c r="Q4" s="99">
        <v>-48000</v>
      </c>
    </row>
    <row r="5" spans="1:17" x14ac:dyDescent="0.4">
      <c r="A5" s="51" t="s">
        <v>7</v>
      </c>
      <c r="B5" s="154">
        <f>IF(B$2=0,0,B$4/B$2)</f>
        <v>-14.783783783783786</v>
      </c>
      <c r="C5" s="155"/>
      <c r="E5" s="59" t="s">
        <v>171</v>
      </c>
      <c r="F5" s="56" t="s">
        <v>172</v>
      </c>
      <c r="G5" s="44">
        <v>23</v>
      </c>
      <c r="H5" s="129">
        <f>IF(B$17=0,0,G5/B$17)</f>
        <v>0.30263157894736842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-2179.4117647058824</v>
      </c>
      <c r="P5" s="115">
        <v>34</v>
      </c>
      <c r="Q5" s="99">
        <v>-74100</v>
      </c>
    </row>
    <row r="6" spans="1:17" x14ac:dyDescent="0.4">
      <c r="A6" s="51" t="s">
        <v>1</v>
      </c>
      <c r="B6" s="144">
        <f>IF(B$2=0,0,(B$7*1+B$8*2+B$9*3)/B$2)</f>
        <v>2.4054054054054053</v>
      </c>
      <c r="C6" s="145"/>
      <c r="E6" s="59" t="s">
        <v>68</v>
      </c>
      <c r="F6" s="56" t="s">
        <v>12</v>
      </c>
      <c r="G6" s="44">
        <v>22</v>
      </c>
      <c r="H6" s="129">
        <f>IF(B$17=0,0,G6/B$17)</f>
        <v>0.28947368421052633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-1615.1515151515152</v>
      </c>
      <c r="P6" s="115">
        <v>33</v>
      </c>
      <c r="Q6" s="99">
        <v>-53300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0.13513513513513514</v>
      </c>
      <c r="E7" s="59" t="s">
        <v>67</v>
      </c>
      <c r="F7" s="56" t="s">
        <v>23</v>
      </c>
      <c r="G7" s="44">
        <v>19</v>
      </c>
      <c r="H7" s="129">
        <f>IF(B$17=0,0,G7/B$17)</f>
        <v>0.25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-3600</v>
      </c>
      <c r="P7" s="116">
        <v>26</v>
      </c>
      <c r="Q7" s="100">
        <v>-93600</v>
      </c>
    </row>
    <row r="8" spans="1:17" x14ac:dyDescent="0.4">
      <c r="A8" s="51" t="s">
        <v>3</v>
      </c>
      <c r="B8" s="44">
        <v>12</v>
      </c>
      <c r="C8" s="37">
        <f t="shared" si="1"/>
        <v>0.32432432432432434</v>
      </c>
      <c r="E8" s="59" t="s">
        <v>89</v>
      </c>
      <c r="F8" s="56" t="s">
        <v>44</v>
      </c>
      <c r="G8" s="44">
        <v>11</v>
      </c>
      <c r="H8" s="129">
        <f>IF(B$17=0,0,G8/B$17)</f>
        <v>0.14473684210526316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0.54054054054054057</v>
      </c>
      <c r="E9" s="59" t="s">
        <v>70</v>
      </c>
      <c r="F9" s="56" t="s">
        <v>25</v>
      </c>
      <c r="G9" s="44">
        <v>9</v>
      </c>
      <c r="H9" s="129">
        <f>IF(B$17=0,0,G9/B$17)</f>
        <v>0.11842105263157894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7</v>
      </c>
      <c r="C10" s="38">
        <f t="shared" si="1"/>
        <v>0.1891891891891892</v>
      </c>
      <c r="E10" s="59" t="s">
        <v>71</v>
      </c>
      <c r="F10" s="56" t="s">
        <v>26</v>
      </c>
      <c r="G10" s="44">
        <v>8</v>
      </c>
      <c r="H10" s="129">
        <f>IF(B$17=0,0,G10/B$17)</f>
        <v>0.10526315789473684</v>
      </c>
      <c r="I10" s="90">
        <v>2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2.7027027027027029E-2</v>
      </c>
      <c r="E11" s="59" t="s">
        <v>65</v>
      </c>
      <c r="F11" s="56" t="s">
        <v>21</v>
      </c>
      <c r="G11" s="44">
        <v>7</v>
      </c>
      <c r="H11" s="129">
        <f>IF(B$17=0,0,G11/B$17)</f>
        <v>9.2105263157894732E-2</v>
      </c>
      <c r="I11" s="90">
        <v>8</v>
      </c>
      <c r="K11" s="36">
        <v>9</v>
      </c>
      <c r="L11" s="95">
        <v>-150.6</v>
      </c>
      <c r="N11" s="111" t="s">
        <v>163</v>
      </c>
      <c r="O11" s="121">
        <f>IF(P11=0,0,Q11/P11)</f>
        <v>-12.288888888888888</v>
      </c>
      <c r="P11" s="115">
        <v>9</v>
      </c>
      <c r="Q11" s="103">
        <v>-110.6</v>
      </c>
    </row>
    <row r="12" spans="1:17" x14ac:dyDescent="0.4">
      <c r="A12" s="53" t="s">
        <v>158</v>
      </c>
      <c r="B12" s="46">
        <v>1</v>
      </c>
      <c r="C12" s="40">
        <f t="shared" si="1"/>
        <v>2.7027027027027029E-2</v>
      </c>
      <c r="E12" s="59" t="s">
        <v>69</v>
      </c>
      <c r="F12" s="56" t="s">
        <v>24</v>
      </c>
      <c r="G12" s="44">
        <v>6</v>
      </c>
      <c r="H12" s="129">
        <f>IF(B$17=0,0,G12/B$17)</f>
        <v>7.8947368421052627E-2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-1.3599999999999994</v>
      </c>
      <c r="P12" s="116">
        <v>10</v>
      </c>
      <c r="Q12" s="104">
        <v>-13.599999999999994</v>
      </c>
    </row>
    <row r="13" spans="1:17" x14ac:dyDescent="0.4">
      <c r="A13" s="54" t="s">
        <v>121</v>
      </c>
      <c r="B13" s="47">
        <v>59</v>
      </c>
      <c r="C13" s="42">
        <f>IF(B$3=0,0,B13/B$3)</f>
        <v>0.19155844155844157</v>
      </c>
      <c r="E13" s="59" t="s">
        <v>83</v>
      </c>
      <c r="F13" s="56" t="s">
        <v>38</v>
      </c>
      <c r="G13" s="44">
        <v>6</v>
      </c>
      <c r="H13" s="129">
        <f>IF(B$17=0,0,G13/B$17)</f>
        <v>7.8947368421052627E-2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70</v>
      </c>
      <c r="C14" s="37">
        <f>IF(B$3=0,0,B14/B$3)</f>
        <v>0.22727272727272727</v>
      </c>
      <c r="E14" s="59" t="s">
        <v>86</v>
      </c>
      <c r="F14" s="56" t="s">
        <v>41</v>
      </c>
      <c r="G14" s="44">
        <v>5</v>
      </c>
      <c r="H14" s="129">
        <f>IF(B$17=0,0,G14/B$17)</f>
        <v>6.5789473684210523E-2</v>
      </c>
      <c r="I14" s="90">
        <v>3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32</v>
      </c>
      <c r="C15" s="35">
        <f>IF(B$13=0,0,B15/B$13)</f>
        <v>0.5423728813559322</v>
      </c>
      <c r="E15" s="59" t="s">
        <v>81</v>
      </c>
      <c r="F15" s="56" t="s">
        <v>36</v>
      </c>
      <c r="G15" s="44">
        <v>2</v>
      </c>
      <c r="H15" s="129">
        <f>IF(B$17=0,0,G15/B$17)</f>
        <v>2.6315789473684209E-2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27.433333333333334</v>
      </c>
      <c r="P15" s="114">
        <v>6</v>
      </c>
      <c r="Q15" s="102">
        <v>164.6</v>
      </c>
    </row>
    <row r="16" spans="1:17" x14ac:dyDescent="0.4">
      <c r="A16" s="50" t="s">
        <v>124</v>
      </c>
      <c r="B16" s="43">
        <v>28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1.3157894736842105E-2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 t="shared" si="2"/>
        <v>-15.864285714285714</v>
      </c>
      <c r="P16" s="115">
        <v>14</v>
      </c>
      <c r="Q16" s="103">
        <v>-222.1</v>
      </c>
    </row>
    <row r="17" spans="1:17" x14ac:dyDescent="0.4">
      <c r="A17" s="50" t="s">
        <v>10</v>
      </c>
      <c r="B17" s="43">
        <f>B19+B18</f>
        <v>76</v>
      </c>
      <c r="C17" s="35">
        <f>IF(B$3=0,0,B17/B$3)</f>
        <v>0.24675324675324675</v>
      </c>
      <c r="E17" s="59" t="s">
        <v>78</v>
      </c>
      <c r="F17" s="56" t="s">
        <v>33</v>
      </c>
      <c r="G17" s="44">
        <v>1</v>
      </c>
      <c r="H17" s="129">
        <f>IF(B$17=0,0,G17/B$17)</f>
        <v>1.3157894736842105E-2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37</v>
      </c>
      <c r="C18" s="37">
        <f>IF(B$17=0,0,B18/B$17)</f>
        <v>0.48684210526315791</v>
      </c>
      <c r="E18" s="59" t="s">
        <v>91</v>
      </c>
      <c r="F18" s="56" t="s">
        <v>46</v>
      </c>
      <c r="G18" s="44">
        <v>1</v>
      </c>
      <c r="H18" s="129">
        <f>IF(B$17=0,0,G18/B$17)</f>
        <v>1.3157894736842105E-2</v>
      </c>
      <c r="I18" s="90">
        <v>3</v>
      </c>
      <c r="K18" s="36">
        <v>16</v>
      </c>
      <c r="L18" s="95">
        <v>-320.30000000000007</v>
      </c>
      <c r="N18" s="111" t="s">
        <v>178</v>
      </c>
      <c r="O18" s="121">
        <f t="shared" si="2"/>
        <v>-22.642105263157891</v>
      </c>
      <c r="P18" s="115">
        <v>19</v>
      </c>
      <c r="Q18" s="103">
        <v>-430.19999999999993</v>
      </c>
    </row>
    <row r="19" spans="1:17" x14ac:dyDescent="0.4">
      <c r="A19" s="51" t="s">
        <v>11</v>
      </c>
      <c r="B19" s="44">
        <v>39</v>
      </c>
      <c r="C19" s="37">
        <f>IF(B$17=0,0,B19/B$17)</f>
        <v>0.51315789473684215</v>
      </c>
      <c r="E19" s="59" t="s">
        <v>95</v>
      </c>
      <c r="F19" s="56" t="s">
        <v>50</v>
      </c>
      <c r="G19" s="44">
        <v>1</v>
      </c>
      <c r="H19" s="129">
        <f>IF(B$17=0,0,G19/B$17)</f>
        <v>1.3157894736842105E-2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2"/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58</v>
      </c>
      <c r="C20" s="37">
        <f>IF(B$3=0,0,B20/B$3)</f>
        <v>0.18831168831168832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5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75</v>
      </c>
      <c r="F21" s="56" t="s">
        <v>30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 t="shared" si="2"/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170</v>
      </c>
      <c r="B22" s="44">
        <v>16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-428.10000000000008</v>
      </c>
      <c r="N22" s="111" t="s">
        <v>181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7810.5263157894733</v>
      </c>
      <c r="C23" s="39">
        <v>593600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8183.333333333333</v>
      </c>
      <c r="C24" s="137">
        <v>392800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8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7171.4285714285716</v>
      </c>
      <c r="C25" s="137">
        <v>200800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-7920.6896551724139</v>
      </c>
      <c r="C26" s="137">
        <v>-459400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3.246753246753247E-3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-482.7000000000001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-498.00000000000011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-547.00000000000011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A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24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0">
        <v>229</v>
      </c>
      <c r="C3" s="151"/>
      <c r="E3" s="59" t="s">
        <v>64</v>
      </c>
      <c r="F3" s="56" t="s">
        <v>20</v>
      </c>
      <c r="G3" s="44">
        <v>36</v>
      </c>
      <c r="H3" s="129">
        <f>IF(B$17=0,0,G3/B$17)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2">
        <v>2.1999999999999957</v>
      </c>
      <c r="C4" s="153"/>
      <c r="E4" s="59" t="s">
        <v>68</v>
      </c>
      <c r="F4" s="56" t="s">
        <v>12</v>
      </c>
      <c r="G4" s="44">
        <v>27</v>
      </c>
      <c r="H4" s="129">
        <f>IF(B$17=0,0,G4/B$17)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54">
        <f>IF(B$2=0,0,B$4/B$2)</f>
        <v>9.1666666666666494E-2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0.375</v>
      </c>
      <c r="E7" s="59" t="s">
        <v>67</v>
      </c>
      <c r="F7" s="56" t="s">
        <v>23</v>
      </c>
      <c r="G7" s="44">
        <v>16</v>
      </c>
      <c r="H7" s="129">
        <f>IF(B$17=0,0,G7/B$17)</f>
        <v>0.25806451612903225</v>
      </c>
      <c r="I7" s="90">
        <v>7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IF(B$17=0,0,G8/B$17)</f>
        <v>0.20967741935483872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IF(B$17=0,0,G9/B$17)</f>
        <v>0.14516129032258066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IF(B$17=0,0,G10/B$17)</f>
        <v>9.6774193548387094E-2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2" t="s">
        <v>138</v>
      </c>
      <c r="B11" s="45">
        <v>3</v>
      </c>
      <c r="C11" s="38">
        <f t="shared" si="1"/>
        <v>0.125</v>
      </c>
      <c r="E11" s="59" t="s">
        <v>71</v>
      </c>
      <c r="F11" s="56" t="s">
        <v>26</v>
      </c>
      <c r="G11" s="44">
        <v>6</v>
      </c>
      <c r="H11" s="129">
        <f>IF(B$17=0,0,G11/B$17)</f>
        <v>9.6774193548387094E-2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4.1666666666666664E-2</v>
      </c>
      <c r="E12" s="59" t="s">
        <v>89</v>
      </c>
      <c r="F12" s="56" t="s">
        <v>44</v>
      </c>
      <c r="G12" s="44">
        <v>5</v>
      </c>
      <c r="H12" s="129">
        <f>IF(B$17=0,0,G12/B$17)</f>
        <v>8.0645161290322578E-2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61</v>
      </c>
      <c r="C13" s="42">
        <f>IF(B$3=0,0,B13/B$3)</f>
        <v>0.26637554585152839</v>
      </c>
      <c r="E13" s="59" t="s">
        <v>78</v>
      </c>
      <c r="F13" s="56" t="s">
        <v>33</v>
      </c>
      <c r="G13" s="44">
        <v>3</v>
      </c>
      <c r="H13" s="129">
        <f>IF(B$17=0,0,G13/B$17)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35</v>
      </c>
      <c r="C14" s="37">
        <f>IF(B$3=0,0,B14/B$3)</f>
        <v>0.15283842794759825</v>
      </c>
      <c r="E14" s="59" t="s">
        <v>86</v>
      </c>
      <c r="F14" s="56" t="s">
        <v>41</v>
      </c>
      <c r="G14" s="44">
        <v>3</v>
      </c>
      <c r="H14" s="129">
        <f>IF(B$17=0,0,G14/B$17)</f>
        <v>4.8387096774193547E-2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0.5901639344262295</v>
      </c>
      <c r="E15" s="59" t="s">
        <v>83</v>
      </c>
      <c r="F15" s="56" t="s">
        <v>38</v>
      </c>
      <c r="G15" s="44">
        <v>2</v>
      </c>
      <c r="H15" s="129">
        <f>IF(B$17=0,0,G15/B$17)</f>
        <v>3.2258064516129031E-2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0.34285714285714286</v>
      </c>
      <c r="E16" s="59" t="s">
        <v>75</v>
      </c>
      <c r="F16" s="56" t="s">
        <v>30</v>
      </c>
      <c r="G16" s="44">
        <v>1</v>
      </c>
      <c r="H16" s="129">
        <f>IF(B$17=0,0,G16/B$17)</f>
        <v>1.6129032258064516E-2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62</v>
      </c>
      <c r="C17" s="35">
        <f>IF(B$3=0,0,B17/B$3)</f>
        <v>0.27074235807860264</v>
      </c>
      <c r="E17" s="59" t="s">
        <v>81</v>
      </c>
      <c r="F17" s="56" t="s">
        <v>36</v>
      </c>
      <c r="G17" s="44">
        <v>1</v>
      </c>
      <c r="H17" s="129">
        <f>IF(B$17=0,0,G17/B$17)</f>
        <v>1.6129032258064516E-2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12</v>
      </c>
      <c r="B18" s="44">
        <v>35</v>
      </c>
      <c r="C18" s="37">
        <f>IF(B$17=0,0,B18/B$17)</f>
        <v>0.56451612903225812</v>
      </c>
      <c r="E18" s="59" t="s">
        <v>85</v>
      </c>
      <c r="F18" s="56" t="s">
        <v>40</v>
      </c>
      <c r="G18" s="44">
        <v>1</v>
      </c>
      <c r="H18" s="129">
        <f>IF(B$17=0,0,G18/B$17)</f>
        <v>1.6129032258064516E-2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0.43548387096774194</v>
      </c>
      <c r="E19" s="59" t="s">
        <v>87</v>
      </c>
      <c r="F19" s="56" t="s">
        <v>42</v>
      </c>
      <c r="G19" s="44">
        <v>1</v>
      </c>
      <c r="H19" s="129">
        <f>IF(B$17=0,0,G19/B$17)</f>
        <v>1.6129032258064516E-2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38</v>
      </c>
      <c r="C20" s="37">
        <f>IF(B$3=0,0,B20/B$3)</f>
        <v>0.16593886462882096</v>
      </c>
      <c r="E20" s="59" t="s">
        <v>167</v>
      </c>
      <c r="F20" s="56" t="s">
        <v>168</v>
      </c>
      <c r="G20" s="44">
        <v>1</v>
      </c>
      <c r="H20" s="129">
        <f>IF(B$17=0,0,G20/B$17)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1" t="s">
        <v>5</v>
      </c>
      <c r="B23" s="48">
        <f>IF(B$17=0,0,C23/B$17)</f>
        <v>8456.4516129032254</v>
      </c>
      <c r="C23" s="39">
        <v>524300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8780</v>
      </c>
      <c r="C24" s="137">
        <v>439000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8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-6836.8421052631575</v>
      </c>
      <c r="C26" s="137">
        <v>-259800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4.3668122270742356E-3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5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8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  <row r="27" spans="1:17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0.125</v>
      </c>
      <c r="M27" s="63">
        <v>0.26637554585152839</v>
      </c>
      <c r="N27" s="63">
        <v>0.15283842794759825</v>
      </c>
      <c r="O27" s="63">
        <v>0.5901639344262295</v>
      </c>
      <c r="P27" s="63">
        <v>0.34285714285714286</v>
      </c>
      <c r="Q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4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  <row r="38" spans="1:17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2.8571428571428571E-2</v>
      </c>
      <c r="M38" s="63">
        <v>0.19243986254295534</v>
      </c>
      <c r="N38" s="63">
        <v>0.22680412371134021</v>
      </c>
      <c r="O38" s="63">
        <v>0.5714285714285714</v>
      </c>
      <c r="P38" s="63">
        <v>0.37878787878787878</v>
      </c>
      <c r="Q38" s="63">
        <v>0.45833333333333331</v>
      </c>
    </row>
    <row r="39" spans="1:17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2.7777777777777776E-2</v>
      </c>
      <c r="M39" s="63">
        <v>0.19205298013245034</v>
      </c>
      <c r="N39" s="63">
        <v>0.23178807947019867</v>
      </c>
      <c r="O39" s="63">
        <v>0.55172413793103448</v>
      </c>
      <c r="P39" s="63">
        <v>0.4</v>
      </c>
      <c r="Q39" s="63">
        <v>0.48</v>
      </c>
    </row>
    <row r="40" spans="1:17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2.7027027027027029E-2</v>
      </c>
      <c r="M40" s="63">
        <v>0.19155844155844157</v>
      </c>
      <c r="N40" s="63">
        <v>0.22727272727272727</v>
      </c>
      <c r="O40" s="63">
        <v>0.5423728813559322</v>
      </c>
      <c r="P40" s="63">
        <v>0.4</v>
      </c>
      <c r="Q40" s="63">
        <v>0.48684210526315791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9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  <row r="93" spans="1:17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7.7777777777777779E-2</v>
      </c>
      <c r="M93" s="63">
        <v>0.26592797783933519</v>
      </c>
      <c r="N93" s="63">
        <v>0.22160664819944598</v>
      </c>
      <c r="O93" s="63">
        <v>0.56770833333333337</v>
      </c>
      <c r="P93" s="63">
        <v>0.41249999999999998</v>
      </c>
      <c r="Q93" s="63">
        <v>0.44878048780487806</v>
      </c>
    </row>
    <row r="94" spans="1:17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7.6923076923076927E-2</v>
      </c>
      <c r="M94" s="63">
        <v>0.26648351648351648</v>
      </c>
      <c r="N94" s="63">
        <v>0.22115384615384615</v>
      </c>
      <c r="O94" s="63">
        <v>0.57216494845360821</v>
      </c>
      <c r="P94" s="63">
        <v>0.40993788819875776</v>
      </c>
      <c r="Q94" s="63">
        <v>0.44927536231884058</v>
      </c>
    </row>
    <row r="95" spans="1:17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8.6956521739130432E-2</v>
      </c>
      <c r="M95" s="63">
        <v>0.26666666666666666</v>
      </c>
      <c r="N95" s="63">
        <v>0.22040816326530613</v>
      </c>
      <c r="O95" s="63">
        <v>0.57653061224489799</v>
      </c>
      <c r="P95" s="63">
        <v>0.41358024691358025</v>
      </c>
      <c r="Q95" s="63">
        <v>0.45714285714285713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7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  <row r="64" spans="1:17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0.19672131147540983</v>
      </c>
      <c r="M64" s="63">
        <v>0.32341269841269843</v>
      </c>
      <c r="N64" s="63">
        <v>0.18055555555555555</v>
      </c>
      <c r="O64" s="63">
        <v>0.54601226993865026</v>
      </c>
      <c r="P64" s="63">
        <v>0.43956043956043955</v>
      </c>
      <c r="Q64" s="63">
        <v>0.47297297297297297</v>
      </c>
    </row>
    <row r="65" spans="1:17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0.19354838709677419</v>
      </c>
      <c r="M65" s="63">
        <v>0.32156862745098042</v>
      </c>
      <c r="N65" s="63">
        <v>0.17843137254901961</v>
      </c>
      <c r="O65" s="63">
        <v>0.54878048780487809</v>
      </c>
      <c r="P65" s="63">
        <v>0.43956043956043955</v>
      </c>
      <c r="Q65" s="63">
        <v>0.46979865771812079</v>
      </c>
    </row>
    <row r="66" spans="1:17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0.19047619047619047</v>
      </c>
      <c r="M66" s="63">
        <v>0.31782945736434109</v>
      </c>
      <c r="N66" s="63">
        <v>0.17635658914728683</v>
      </c>
      <c r="O66" s="63">
        <v>0.54878048780487809</v>
      </c>
      <c r="P66" s="63">
        <v>0.43956043956043955</v>
      </c>
      <c r="Q66" s="63">
        <v>0.46979865771812079</v>
      </c>
    </row>
    <row r="67" spans="1:17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0.1875</v>
      </c>
      <c r="M67" s="63">
        <v>0.31739961759082219</v>
      </c>
      <c r="N67" s="63">
        <v>0.17782026768642448</v>
      </c>
      <c r="O67" s="63">
        <v>0.54819277108433739</v>
      </c>
      <c r="P67" s="63">
        <v>0.43010752688172044</v>
      </c>
      <c r="Q67" s="63">
        <v>0.47333333333333333</v>
      </c>
    </row>
    <row r="68" spans="1:17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0.18461538461538463</v>
      </c>
      <c r="M68" s="63">
        <v>0.31826741996233521</v>
      </c>
      <c r="N68" s="63">
        <v>0.17890772128060264</v>
      </c>
      <c r="O68" s="63">
        <v>0.55621301775147924</v>
      </c>
      <c r="P68" s="63">
        <v>0.44210526315789472</v>
      </c>
      <c r="Q68" s="63">
        <v>0.47741935483870968</v>
      </c>
    </row>
    <row r="69" spans="1:17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0.18181818181818182</v>
      </c>
      <c r="M69" s="63">
        <v>0.31860036832412525</v>
      </c>
      <c r="N69" s="63">
        <v>0.17863720073664824</v>
      </c>
      <c r="O69" s="63">
        <v>0.56069364161849711</v>
      </c>
      <c r="P69" s="63">
        <v>0.44329896907216493</v>
      </c>
      <c r="Q69" s="63">
        <v>0.47169811320754718</v>
      </c>
    </row>
    <row r="70" spans="1:17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0.17910447761194029</v>
      </c>
      <c r="M70" s="63">
        <v>0.31760435571687839</v>
      </c>
      <c r="N70" s="63">
        <v>0.17785843920145192</v>
      </c>
      <c r="O70" s="63">
        <v>0.55428571428571427</v>
      </c>
      <c r="P70" s="63">
        <v>0.44897959183673469</v>
      </c>
      <c r="Q70" s="63">
        <v>0.47499999999999998</v>
      </c>
    </row>
    <row r="71" spans="1:17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0.19117647058823528</v>
      </c>
      <c r="M71" s="63">
        <v>0.31899641577060933</v>
      </c>
      <c r="N71" s="63">
        <v>0.17921146953405018</v>
      </c>
      <c r="O71" s="63">
        <v>0.5561797752808989</v>
      </c>
      <c r="P71" s="63">
        <v>0.45</v>
      </c>
      <c r="Q71" s="63">
        <v>0.48170731707317072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7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  <row r="68" spans="1:17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3.0769230769230771E-2</v>
      </c>
      <c r="M68" s="63">
        <v>0.2867513611615245</v>
      </c>
      <c r="N68" s="63">
        <v>0.19237749546279492</v>
      </c>
      <c r="O68" s="63">
        <v>0.58227848101265822</v>
      </c>
      <c r="P68" s="63">
        <v>0.3867924528301887</v>
      </c>
      <c r="Q68" s="63">
        <v>0.45751633986928103</v>
      </c>
    </row>
    <row r="69" spans="1:17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3.0303030303030304E-2</v>
      </c>
      <c r="M69" s="63">
        <v>0.28520499108734404</v>
      </c>
      <c r="N69" s="63">
        <v>0.19073083778966132</v>
      </c>
      <c r="O69" s="63">
        <v>0.58750000000000002</v>
      </c>
      <c r="P69" s="63">
        <v>0.3925233644859813</v>
      </c>
      <c r="Q69" s="63">
        <v>0.46202531645569622</v>
      </c>
    </row>
    <row r="70" spans="1:17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2.9850746268656716E-2</v>
      </c>
      <c r="M70" s="63">
        <v>0.2879581151832461</v>
      </c>
      <c r="N70" s="63">
        <v>0.19022687609075042</v>
      </c>
      <c r="O70" s="63">
        <v>0.5757575757575758</v>
      </c>
      <c r="P70" s="63">
        <v>0.40366972477064222</v>
      </c>
      <c r="Q70" s="63">
        <v>0.45962732919254656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1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  <row r="107" spans="1:17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9.6153846153846159E-2</v>
      </c>
      <c r="M107" s="63">
        <v>0.23279816513761467</v>
      </c>
      <c r="N107" s="63">
        <v>0.30389908256880732</v>
      </c>
      <c r="O107" s="63">
        <v>0.5073891625615764</v>
      </c>
      <c r="P107" s="63">
        <v>0.36603773584905658</v>
      </c>
      <c r="Q107" s="63">
        <v>0.39846743295019155</v>
      </c>
    </row>
    <row r="108" spans="1:17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9.5238095238095233E-2</v>
      </c>
      <c r="M108" s="63">
        <v>0.23269012485811577</v>
      </c>
      <c r="N108" s="63">
        <v>0.30192962542565266</v>
      </c>
      <c r="O108" s="63">
        <v>0.50731707317073171</v>
      </c>
      <c r="P108" s="63">
        <v>0.36466165413533835</v>
      </c>
      <c r="Q108" s="63">
        <v>0.39923954372623577</v>
      </c>
    </row>
    <row r="109" spans="1:17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9.4339622641509441E-2</v>
      </c>
      <c r="M109" s="63">
        <v>0.23180291153415453</v>
      </c>
      <c r="N109" s="63">
        <v>0.30235162374020158</v>
      </c>
      <c r="O109" s="63">
        <v>0.50724637681159424</v>
      </c>
      <c r="P109" s="63">
        <v>0.36296296296296299</v>
      </c>
      <c r="Q109" s="63">
        <v>0.4044943820224719</v>
      </c>
    </row>
    <row r="110" spans="1:17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9.3457943925233641E-2</v>
      </c>
      <c r="M110" s="63">
        <v>0.23085460599334073</v>
      </c>
      <c r="N110" s="63">
        <v>0.30410654827968925</v>
      </c>
      <c r="O110" s="63">
        <v>0.50480769230769229</v>
      </c>
      <c r="P110" s="63">
        <v>0.36861313868613138</v>
      </c>
      <c r="Q110" s="63">
        <v>0.40808823529411764</v>
      </c>
    </row>
    <row r="111" spans="1:17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9.2592592592592587E-2</v>
      </c>
      <c r="M111" s="63">
        <v>0.23017621145374451</v>
      </c>
      <c r="N111" s="63">
        <v>0.30616740088105726</v>
      </c>
      <c r="O111" s="63">
        <v>0.50239234449760761</v>
      </c>
      <c r="P111" s="63">
        <v>0.37050359712230213</v>
      </c>
      <c r="Q111" s="63">
        <v>0.4051094890510949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  <row r="119" spans="1:17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0.12931034482758622</v>
      </c>
      <c r="M119" s="63">
        <v>0.26723223753976671</v>
      </c>
      <c r="N119" s="63">
        <v>0.22481442205726404</v>
      </c>
      <c r="O119" s="63">
        <v>0.60317460317460314</v>
      </c>
      <c r="P119" s="63">
        <v>0.48584905660377359</v>
      </c>
      <c r="Q119" s="63">
        <v>0.42592592592592593</v>
      </c>
    </row>
    <row r="120" spans="1:17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0.12820512820512819</v>
      </c>
      <c r="M120" s="63">
        <v>0.26765015806111697</v>
      </c>
      <c r="N120" s="63">
        <v>0.22444678609062171</v>
      </c>
      <c r="O120" s="63">
        <v>0.60236220472440949</v>
      </c>
      <c r="P120" s="63">
        <v>0.48826291079812206</v>
      </c>
      <c r="Q120" s="63">
        <v>0.42638036809815949</v>
      </c>
    </row>
    <row r="121" spans="1:17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0.1271186440677966</v>
      </c>
      <c r="M121" s="63">
        <v>0.26882845188284521</v>
      </c>
      <c r="N121" s="63">
        <v>0.22280334728033474</v>
      </c>
      <c r="O121" s="63">
        <v>0.59922178988326846</v>
      </c>
      <c r="P121" s="63">
        <v>0.48826291079812206</v>
      </c>
      <c r="Q121" s="63">
        <v>0.42378048780487804</v>
      </c>
    </row>
    <row r="122" spans="1:17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0.12605042016806722</v>
      </c>
      <c r="M122" s="63">
        <v>0.26867219917012447</v>
      </c>
      <c r="N122" s="63">
        <v>0.22199170124481327</v>
      </c>
      <c r="O122" s="63">
        <v>0.59459459459459463</v>
      </c>
      <c r="P122" s="63">
        <v>0.48598130841121495</v>
      </c>
      <c r="Q122" s="63">
        <v>0.42378048780487804</v>
      </c>
    </row>
    <row r="123" spans="1:17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0.125</v>
      </c>
      <c r="M123" s="63">
        <v>0.27132579650565264</v>
      </c>
      <c r="N123" s="63">
        <v>0.22096608427543679</v>
      </c>
      <c r="O123" s="63">
        <v>0.59848484848484851</v>
      </c>
      <c r="P123" s="63">
        <v>0.48837209302325579</v>
      </c>
      <c r="Q123" s="63">
        <v>0.42814371257485029</v>
      </c>
    </row>
    <row r="124" spans="1:17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0.12396694214876033</v>
      </c>
      <c r="M124" s="63">
        <v>0.27060020345879959</v>
      </c>
      <c r="N124" s="63">
        <v>0.22380467955239064</v>
      </c>
      <c r="O124" s="63">
        <v>0.59774436090225569</v>
      </c>
      <c r="P124" s="63">
        <v>0.48636363636363639</v>
      </c>
      <c r="Q124" s="63">
        <v>0.42433234421364985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5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  <row r="53" spans="1:17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0.04</v>
      </c>
      <c r="M53" s="63">
        <v>0.15178571428571427</v>
      </c>
      <c r="N53" s="63">
        <v>0.23214285714285715</v>
      </c>
      <c r="O53" s="63">
        <v>0.48529411764705882</v>
      </c>
      <c r="P53" s="63">
        <v>0.375</v>
      </c>
      <c r="Q53" s="63">
        <v>0.41025641025641024</v>
      </c>
    </row>
    <row r="54" spans="1:17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3.9215686274509803E-2</v>
      </c>
      <c r="M54" s="63">
        <v>0.15250544662309368</v>
      </c>
      <c r="N54" s="63">
        <v>0.22875816993464052</v>
      </c>
      <c r="O54" s="63">
        <v>0.5</v>
      </c>
      <c r="P54" s="63">
        <v>0.37142857142857144</v>
      </c>
      <c r="Q54" s="63">
        <v>0.40833333333333333</v>
      </c>
    </row>
    <row r="55" spans="1:17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3.8461538461538464E-2</v>
      </c>
      <c r="M55" s="63">
        <v>0.15203426124197003</v>
      </c>
      <c r="N55" s="63">
        <v>0.23126338329764454</v>
      </c>
      <c r="O55" s="63">
        <v>0.49295774647887325</v>
      </c>
      <c r="P55" s="63">
        <v>0.37037037037037035</v>
      </c>
      <c r="Q55" s="63">
        <v>0.41322314049586778</v>
      </c>
    </row>
    <row r="56" spans="1:17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3.7735849056603772E-2</v>
      </c>
      <c r="M56" s="63">
        <v>0.14978902953586498</v>
      </c>
      <c r="N56" s="63">
        <v>0.23417721518987342</v>
      </c>
      <c r="O56" s="63">
        <v>0.49295774647887325</v>
      </c>
      <c r="P56" s="63">
        <v>0.36936936936936937</v>
      </c>
      <c r="Q56" s="63">
        <v>0.41463414634146339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9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  <row r="186" spans="1:17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9.4717668488160295E-2</v>
      </c>
      <c r="M186" s="63">
        <v>0.25364685390812103</v>
      </c>
      <c r="N186" s="63">
        <v>0.22969736555628129</v>
      </c>
      <c r="O186" s="63">
        <v>0.55879828326180259</v>
      </c>
      <c r="P186" s="63">
        <v>0.40853080568720379</v>
      </c>
      <c r="Q186" s="63">
        <v>0.43680709534368073</v>
      </c>
    </row>
    <row r="187" spans="1:17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9.420289855072464E-2</v>
      </c>
      <c r="M187" s="63">
        <v>0.25270211846087332</v>
      </c>
      <c r="N187" s="63">
        <v>0.22978815391266752</v>
      </c>
      <c r="O187" s="63">
        <v>0.55859709153122328</v>
      </c>
      <c r="P187" s="63">
        <v>0.4101599247412982</v>
      </c>
      <c r="Q187" s="63">
        <v>0.43727072633895819</v>
      </c>
    </row>
    <row r="188" spans="1:17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9.5495495495495492E-2</v>
      </c>
      <c r="M188" s="63">
        <v>0.25279931093884583</v>
      </c>
      <c r="N188" s="63">
        <v>0.22889750215331611</v>
      </c>
      <c r="O188" s="63">
        <v>0.55962521294718914</v>
      </c>
      <c r="P188" s="63">
        <v>0.4101599247412982</v>
      </c>
      <c r="Q188" s="63">
        <v>0.43859649122807015</v>
      </c>
    </row>
    <row r="189" spans="1:17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9.4982078853046589E-2</v>
      </c>
      <c r="M189" s="63">
        <v>0.25268125268125269</v>
      </c>
      <c r="N189" s="63">
        <v>0.22844272844272845</v>
      </c>
      <c r="O189" s="63">
        <v>0.56027164685908315</v>
      </c>
      <c r="P189" s="63">
        <v>0.41032863849765261</v>
      </c>
      <c r="Q189" s="63">
        <v>0.43877551020408162</v>
      </c>
    </row>
    <row r="190" spans="1:17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9.6256684491978606E-2</v>
      </c>
      <c r="M190" s="63">
        <v>0.25304292120435617</v>
      </c>
      <c r="N190" s="63">
        <v>0.22805893657911594</v>
      </c>
      <c r="O190" s="63">
        <v>0.56033755274261599</v>
      </c>
      <c r="P190" s="63">
        <v>0.4101123595505618</v>
      </c>
      <c r="Q190" s="63">
        <v>0.43976777939042089</v>
      </c>
    </row>
    <row r="191" spans="1:17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9.5744680851063829E-2</v>
      </c>
      <c r="M191" s="63">
        <v>0.25281495644784363</v>
      </c>
      <c r="N191" s="63">
        <v>0.22817080943275972</v>
      </c>
      <c r="O191" s="63">
        <v>0.56050420168067228</v>
      </c>
      <c r="P191" s="63">
        <v>0.41061452513966479</v>
      </c>
      <c r="Q191" s="63">
        <v>0.44043321299638988</v>
      </c>
    </row>
    <row r="192" spans="1:17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9.5238095238095233E-2</v>
      </c>
      <c r="M192" s="63">
        <v>0.25327418673426277</v>
      </c>
      <c r="N192" s="63">
        <v>0.22813688212927757</v>
      </c>
      <c r="O192" s="63">
        <v>0.56130108423686409</v>
      </c>
      <c r="P192" s="63">
        <v>0.40925925925925927</v>
      </c>
      <c r="Q192" s="63">
        <v>0.44117647058823528</v>
      </c>
    </row>
    <row r="193" spans="1:17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9.4736842105263161E-2</v>
      </c>
      <c r="M193" s="63">
        <v>0.25293870696893367</v>
      </c>
      <c r="N193" s="63">
        <v>0.22816960537363559</v>
      </c>
      <c r="O193" s="63">
        <v>0.56182572614107884</v>
      </c>
      <c r="P193" s="63">
        <v>0.40938362465501382</v>
      </c>
      <c r="Q193" s="63">
        <v>0.44119743406985035</v>
      </c>
    </row>
    <row r="194" spans="1:17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9.4240837696335081E-2</v>
      </c>
      <c r="M194" s="63">
        <v>0.25333333333333335</v>
      </c>
      <c r="N194" s="63">
        <v>0.22812499999999999</v>
      </c>
      <c r="O194" s="63">
        <v>0.56085526315789469</v>
      </c>
      <c r="P194" s="63">
        <v>0.41004566210045662</v>
      </c>
      <c r="Q194" s="63">
        <v>0.44130127298444133</v>
      </c>
    </row>
    <row r="195" spans="1:17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9.375E-2</v>
      </c>
      <c r="M195" s="63">
        <v>0.25290215588723053</v>
      </c>
      <c r="N195" s="63">
        <v>0.22864842454394693</v>
      </c>
      <c r="O195" s="63">
        <v>0.55901639344262299</v>
      </c>
      <c r="P195" s="63">
        <v>0.41160471441523117</v>
      </c>
      <c r="Q195" s="63">
        <v>0.44264602392681213</v>
      </c>
    </row>
    <row r="196" spans="1:17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9.499136442141623E-2</v>
      </c>
      <c r="M196" s="63">
        <v>0.25263157894736843</v>
      </c>
      <c r="N196" s="63">
        <v>0.22951496388028897</v>
      </c>
      <c r="O196" s="63">
        <v>0.55882352941176472</v>
      </c>
      <c r="P196" s="63">
        <v>0.41187050359712229</v>
      </c>
      <c r="Q196" s="63">
        <v>0.44296710986703991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2019-11-16T16:16:23Z</dcterms:modified>
</cp:coreProperties>
</file>