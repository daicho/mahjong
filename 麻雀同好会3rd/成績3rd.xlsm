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44DF87B-70F1-4A13-8F17-474DC01F295A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47" r:id="rId6"/>
    <sheet name="たかの" sheetId="6149" r:id="rId7"/>
    <sheet name="だいち" sheetId="6151" r:id="rId8"/>
    <sheet name="ただ" sheetId="6153" r:id="rId9"/>
    <sheet name="りくと" sheetId="6155" r:id="rId10"/>
    <sheet name="れんたろう" sheetId="6157" r:id="rId11"/>
    <sheet name="まっつん" sheetId="6159" r:id="rId12"/>
    <sheet name="のり" sheetId="6161" r:id="rId13"/>
    <sheet name="ぱぱ" sheetId="6163" r:id="rId14"/>
    <sheet name="ほたに" sheetId="6165" r:id="rId15"/>
    <sheet name="いっしー" sheetId="6167" r:id="rId16"/>
    <sheet name="ともき" sheetId="6169" r:id="rId17"/>
    <sheet name="たか" sheetId="6171" r:id="rId18"/>
    <sheet name="ゆう" sheetId="6173" r:id="rId19"/>
    <sheet name="ゆう2" sheetId="6174" state="hidden" r:id="rId20"/>
    <sheet name="たか2" sheetId="6172" state="hidden" r:id="rId21"/>
    <sheet name="ともき2" sheetId="6170" state="hidden" r:id="rId22"/>
    <sheet name="いっしー2" sheetId="6168" state="hidden" r:id="rId23"/>
    <sheet name="ほたに2" sheetId="6166" state="hidden" r:id="rId24"/>
    <sheet name="ぱぱ2" sheetId="6164" state="hidden" r:id="rId25"/>
    <sheet name="のり2" sheetId="6162" state="hidden" r:id="rId26"/>
    <sheet name="まっつん2" sheetId="6160" state="hidden" r:id="rId27"/>
    <sheet name="れんたろう2" sheetId="6158" state="hidden" r:id="rId28"/>
    <sheet name="りくと2" sheetId="6156" state="hidden" r:id="rId29"/>
    <sheet name="ただ2" sheetId="6154" state="hidden" r:id="rId30"/>
    <sheet name="だいち2" sheetId="6152" state="hidden" r:id="rId31"/>
    <sheet name="たかの2" sheetId="6150" state="hidden" r:id="rId32"/>
    <sheet name="全体2" sheetId="614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59" l="1"/>
  <c r="O16" i="6173"/>
  <c r="O17" i="6171"/>
  <c r="O15" i="6149" l="1"/>
  <c r="O21" i="6169"/>
  <c r="O18" i="6171" l="1"/>
  <c r="O15" i="6173"/>
  <c r="O17" i="6173"/>
  <c r="C30" i="6173"/>
  <c r="B25" i="6173"/>
  <c r="C16" i="6173"/>
  <c r="B15" i="6173"/>
  <c r="H4" i="6173" s="1"/>
  <c r="B14" i="6173"/>
  <c r="C14" i="6173" s="1"/>
  <c r="B13" i="6173"/>
  <c r="C13" i="6173" s="1"/>
  <c r="O12" i="6173"/>
  <c r="C12" i="6173"/>
  <c r="O11" i="6173"/>
  <c r="C11" i="6173"/>
  <c r="O10" i="6173"/>
  <c r="C10" i="6173"/>
  <c r="C9" i="6173"/>
  <c r="C8" i="6173"/>
  <c r="O7" i="6173"/>
  <c r="C7" i="6173"/>
  <c r="O6" i="6173"/>
  <c r="B6" i="6173"/>
  <c r="O5" i="6173"/>
  <c r="B5" i="6173"/>
  <c r="O4" i="6173"/>
  <c r="O3" i="6173"/>
  <c r="O2" i="6173"/>
  <c r="O16" i="6161"/>
  <c r="O15" i="6171"/>
  <c r="O16" i="6171"/>
  <c r="C30" i="6171"/>
  <c r="B25" i="6171"/>
  <c r="C16" i="6171"/>
  <c r="B15" i="6171"/>
  <c r="H52" i="6171" s="1"/>
  <c r="B14" i="6171"/>
  <c r="B24" i="6171" s="1"/>
  <c r="B13" i="6171"/>
  <c r="C13" i="6171" s="1"/>
  <c r="O12" i="6171"/>
  <c r="C12" i="6171"/>
  <c r="O11" i="6171"/>
  <c r="C11" i="6171"/>
  <c r="O10" i="6171"/>
  <c r="C10" i="6171"/>
  <c r="C9" i="6171"/>
  <c r="C8" i="6171"/>
  <c r="O7" i="6171"/>
  <c r="C7" i="6171"/>
  <c r="O6" i="6171"/>
  <c r="B6" i="6171"/>
  <c r="O5" i="6171"/>
  <c r="B5" i="6171"/>
  <c r="O4" i="6171"/>
  <c r="O3" i="6171"/>
  <c r="O2" i="6171"/>
  <c r="O15" i="6147"/>
  <c r="H37" i="6173" l="1"/>
  <c r="H2" i="6173"/>
  <c r="H13" i="6173"/>
  <c r="H28" i="6173"/>
  <c r="C14" i="6171"/>
  <c r="H41" i="6173"/>
  <c r="H45" i="6173"/>
  <c r="H3" i="6173"/>
  <c r="H8" i="6173"/>
  <c r="C20" i="6173"/>
  <c r="H33" i="6173"/>
  <c r="H52" i="6173"/>
  <c r="H7" i="6173"/>
  <c r="H18" i="6173"/>
  <c r="C17" i="6173"/>
  <c r="C21" i="6173"/>
  <c r="H29" i="6173"/>
  <c r="H34" i="6173"/>
  <c r="H38" i="6173"/>
  <c r="H42" i="6173"/>
  <c r="H47" i="6173"/>
  <c r="H10" i="6173"/>
  <c r="H6" i="6173"/>
  <c r="H14" i="6173"/>
  <c r="H16" i="6173"/>
  <c r="H17" i="6173"/>
  <c r="C18" i="6173"/>
  <c r="B22" i="6173"/>
  <c r="H35" i="6173"/>
  <c r="H39" i="6173"/>
  <c r="H43" i="6173"/>
  <c r="H49" i="6173"/>
  <c r="H11" i="6173"/>
  <c r="H15" i="6173"/>
  <c r="B23" i="6173"/>
  <c r="C15" i="6173"/>
  <c r="C19" i="6173"/>
  <c r="H32" i="6173"/>
  <c r="H36" i="6173"/>
  <c r="H40" i="6173"/>
  <c r="H44" i="6173"/>
  <c r="H51" i="6173"/>
  <c r="B24" i="6173"/>
  <c r="H5" i="6173"/>
  <c r="H21" i="6173"/>
  <c r="H23" i="6173"/>
  <c r="H25" i="6173"/>
  <c r="H27" i="6173"/>
  <c r="H9" i="6173"/>
  <c r="H31" i="6173"/>
  <c r="C33" i="6173"/>
  <c r="C35" i="6173"/>
  <c r="C37" i="6173"/>
  <c r="C39" i="6173"/>
  <c r="C41" i="6173"/>
  <c r="C43" i="6173"/>
  <c r="H46" i="6173"/>
  <c r="H50" i="6173"/>
  <c r="H19" i="6173"/>
  <c r="H20" i="6173"/>
  <c r="H22" i="6173"/>
  <c r="H24" i="6173"/>
  <c r="H26" i="6173"/>
  <c r="H12" i="6173"/>
  <c r="H30" i="6173"/>
  <c r="C32" i="6173"/>
  <c r="C34" i="6173"/>
  <c r="C36" i="6173"/>
  <c r="C38" i="6173"/>
  <c r="C40" i="6173"/>
  <c r="C42" i="6173"/>
  <c r="C44" i="6173"/>
  <c r="H48" i="6173"/>
  <c r="H2" i="6171"/>
  <c r="H3" i="6171"/>
  <c r="H21" i="6171"/>
  <c r="H42" i="6171"/>
  <c r="H17" i="6171"/>
  <c r="C42" i="6171"/>
  <c r="H26" i="6171"/>
  <c r="C15" i="6171"/>
  <c r="C32" i="6171"/>
  <c r="H34" i="6171"/>
  <c r="C44" i="6171"/>
  <c r="C36" i="6171"/>
  <c r="H11" i="6171"/>
  <c r="H16" i="6171"/>
  <c r="C19" i="6171"/>
  <c r="H38" i="6171"/>
  <c r="H8" i="6171"/>
  <c r="H6" i="6171"/>
  <c r="H15" i="6171"/>
  <c r="H19" i="6171"/>
  <c r="H12" i="6171"/>
  <c r="H30" i="6171"/>
  <c r="C38" i="6171"/>
  <c r="H4" i="6171"/>
  <c r="H10" i="6171"/>
  <c r="H7" i="6171"/>
  <c r="H24" i="6171"/>
  <c r="H14" i="6171"/>
  <c r="C34" i="6171"/>
  <c r="C40" i="6171"/>
  <c r="H47" i="6171"/>
  <c r="H48" i="6171"/>
  <c r="C17" i="6171"/>
  <c r="C21" i="6171"/>
  <c r="H28" i="6171"/>
  <c r="H32" i="6171"/>
  <c r="H36" i="6171"/>
  <c r="H40" i="6171"/>
  <c r="H44" i="6171"/>
  <c r="H51" i="6171"/>
  <c r="H20" i="6171"/>
  <c r="H22" i="6171"/>
  <c r="H23" i="6171"/>
  <c r="H25" i="6171"/>
  <c r="H27" i="6171"/>
  <c r="H13" i="6171"/>
  <c r="H31" i="6171"/>
  <c r="C33" i="6171"/>
  <c r="C35" i="6171"/>
  <c r="C37" i="6171"/>
  <c r="C39" i="6171"/>
  <c r="C41" i="6171"/>
  <c r="C43" i="6171"/>
  <c r="H46" i="6171"/>
  <c r="H50" i="6171"/>
  <c r="B23" i="6171"/>
  <c r="H5" i="6171"/>
  <c r="H9" i="6171"/>
  <c r="H18" i="6171"/>
  <c r="C18" i="6171"/>
  <c r="C20" i="6171"/>
  <c r="B22" i="6171"/>
  <c r="H29" i="6171"/>
  <c r="H33" i="6171"/>
  <c r="H35" i="6171"/>
  <c r="H37" i="6171"/>
  <c r="H39" i="6171"/>
  <c r="H41" i="6171"/>
  <c r="H43" i="6171"/>
  <c r="H45" i="6171"/>
  <c r="H49" i="6171"/>
  <c r="O20" i="6169" l="1"/>
  <c r="O16" i="6151"/>
  <c r="O19" i="6153" l="1"/>
  <c r="O16" i="6169"/>
  <c r="O19" i="6169"/>
  <c r="O22" i="6155"/>
  <c r="O23" i="6163" l="1"/>
  <c r="O15" i="6169"/>
  <c r="O23" i="6157" l="1"/>
  <c r="O18" i="6169"/>
  <c r="O17" i="6169"/>
  <c r="C30" i="6169"/>
  <c r="B25" i="6169"/>
  <c r="C16" i="6169"/>
  <c r="B15" i="6169"/>
  <c r="H51" i="6169" s="1"/>
  <c r="B14" i="6169"/>
  <c r="B24" i="6169" s="1"/>
  <c r="B13" i="6169"/>
  <c r="C13" i="6169" s="1"/>
  <c r="O12" i="6169"/>
  <c r="C12" i="6169"/>
  <c r="O11" i="6169"/>
  <c r="C11" i="6169"/>
  <c r="O10" i="6169"/>
  <c r="C10" i="6169"/>
  <c r="C9" i="6169"/>
  <c r="C8" i="6169"/>
  <c r="O7" i="6169"/>
  <c r="C7" i="6169"/>
  <c r="O6" i="6169"/>
  <c r="B6" i="6169"/>
  <c r="O5" i="6169"/>
  <c r="B5" i="6169"/>
  <c r="O4" i="6169"/>
  <c r="O3" i="6169"/>
  <c r="O2" i="6169"/>
  <c r="O18" i="6161"/>
  <c r="O23" i="6147"/>
  <c r="C14" i="6169" l="1"/>
  <c r="H3" i="6169"/>
  <c r="H2" i="6169"/>
  <c r="C34" i="6169"/>
  <c r="H9" i="6169"/>
  <c r="H19" i="6169"/>
  <c r="C18" i="6169"/>
  <c r="H6" i="6169"/>
  <c r="H12" i="6169"/>
  <c r="C20" i="6169"/>
  <c r="C38" i="6169"/>
  <c r="H21" i="6169"/>
  <c r="H30" i="6169"/>
  <c r="C42" i="6169"/>
  <c r="H18" i="6169"/>
  <c r="C15" i="6169"/>
  <c r="H27" i="6169"/>
  <c r="H7" i="6169"/>
  <c r="B22" i="6169"/>
  <c r="H10" i="6169"/>
  <c r="H4" i="6169"/>
  <c r="H20" i="6169"/>
  <c r="H48" i="6169"/>
  <c r="H13" i="6169"/>
  <c r="H14" i="6169"/>
  <c r="H35" i="6169"/>
  <c r="H39" i="6169"/>
  <c r="H43" i="6169"/>
  <c r="H49" i="6169"/>
  <c r="C32" i="6169"/>
  <c r="C36" i="6169"/>
  <c r="C40" i="6169"/>
  <c r="C44" i="6169"/>
  <c r="H8" i="6169"/>
  <c r="H24" i="6169"/>
  <c r="H15" i="6169"/>
  <c r="H28" i="6169"/>
  <c r="H33" i="6169"/>
  <c r="H37" i="6169"/>
  <c r="H41" i="6169"/>
  <c r="H45" i="6169"/>
  <c r="H52" i="6169"/>
  <c r="H22" i="6169"/>
  <c r="H23" i="6169"/>
  <c r="H25" i="6169"/>
  <c r="H26" i="6169"/>
  <c r="H16" i="6169"/>
  <c r="H11" i="6169"/>
  <c r="H31" i="6169"/>
  <c r="C33" i="6169"/>
  <c r="C35" i="6169"/>
  <c r="C37" i="6169"/>
  <c r="C39" i="6169"/>
  <c r="C41" i="6169"/>
  <c r="C43" i="6169"/>
  <c r="H46" i="6169"/>
  <c r="H50" i="6169"/>
  <c r="H5" i="6169"/>
  <c r="H17" i="6169"/>
  <c r="C17" i="6169"/>
  <c r="C19" i="6169"/>
  <c r="C21" i="6169"/>
  <c r="B23" i="6169"/>
  <c r="H29" i="6169"/>
  <c r="H32" i="6169"/>
  <c r="H34" i="6169"/>
  <c r="H36" i="6169"/>
  <c r="H38" i="6169"/>
  <c r="H40" i="6169"/>
  <c r="H42" i="6169"/>
  <c r="H44" i="6169"/>
  <c r="H47" i="6169"/>
  <c r="O16" i="6159" l="1"/>
  <c r="O17" i="6167"/>
  <c r="O23" i="6151"/>
  <c r="O16" i="6167"/>
  <c r="O15" i="6167"/>
  <c r="C30" i="6167"/>
  <c r="B25" i="6167"/>
  <c r="C16" i="6167"/>
  <c r="B15" i="6167"/>
  <c r="H51" i="6167" s="1"/>
  <c r="B14" i="6167"/>
  <c r="B24" i="6167" s="1"/>
  <c r="B13" i="6167"/>
  <c r="C13" i="6167" s="1"/>
  <c r="O12" i="6167"/>
  <c r="C12" i="6167"/>
  <c r="O11" i="6167"/>
  <c r="C11" i="6167"/>
  <c r="O10" i="6167"/>
  <c r="C10" i="6167"/>
  <c r="C9" i="6167"/>
  <c r="C8" i="6167"/>
  <c r="O7" i="6167"/>
  <c r="C7" i="6167"/>
  <c r="O6" i="6167"/>
  <c r="B6" i="6167"/>
  <c r="O5" i="6167"/>
  <c r="B5" i="6167"/>
  <c r="O4" i="6167"/>
  <c r="O3" i="6167"/>
  <c r="O2" i="6167"/>
  <c r="O20" i="6161"/>
  <c r="O26" i="6147"/>
  <c r="C18" i="6167" l="1"/>
  <c r="H6" i="6167"/>
  <c r="H13" i="6167"/>
  <c r="H3" i="6167"/>
  <c r="H17" i="6167"/>
  <c r="C14" i="6167"/>
  <c r="H35" i="6167"/>
  <c r="C38" i="6167"/>
  <c r="H7" i="6167"/>
  <c r="C19" i="6167"/>
  <c r="H12" i="6167"/>
  <c r="C21" i="6167"/>
  <c r="H39" i="6167"/>
  <c r="H30" i="6167"/>
  <c r="H2" i="6167"/>
  <c r="H18" i="6167"/>
  <c r="H9" i="6167"/>
  <c r="H8" i="6167"/>
  <c r="C34" i="6167"/>
  <c r="C42" i="6167"/>
  <c r="H48" i="6167"/>
  <c r="H43" i="6167"/>
  <c r="H49" i="6167"/>
  <c r="C17" i="6167"/>
  <c r="H22" i="6167"/>
  <c r="B22" i="6167"/>
  <c r="H27" i="6167"/>
  <c r="C32" i="6167"/>
  <c r="C36" i="6167"/>
  <c r="C40" i="6167"/>
  <c r="C44" i="6167"/>
  <c r="H11" i="6167"/>
  <c r="H10" i="6167"/>
  <c r="H15" i="6167"/>
  <c r="H16" i="6167"/>
  <c r="H4" i="6167"/>
  <c r="H14" i="6167"/>
  <c r="B23" i="6167"/>
  <c r="C15" i="6167"/>
  <c r="H20" i="6167"/>
  <c r="C20" i="6167"/>
  <c r="H25" i="6167"/>
  <c r="H28" i="6167"/>
  <c r="H33" i="6167"/>
  <c r="H37" i="6167"/>
  <c r="H41" i="6167"/>
  <c r="H45" i="6167"/>
  <c r="H52" i="6167"/>
  <c r="H19" i="6167"/>
  <c r="H21" i="6167"/>
  <c r="H23" i="6167"/>
  <c r="H24" i="6167"/>
  <c r="H26" i="6167"/>
  <c r="H5" i="6167"/>
  <c r="H31" i="6167"/>
  <c r="C33" i="6167"/>
  <c r="C35" i="6167"/>
  <c r="C37" i="6167"/>
  <c r="C39" i="6167"/>
  <c r="C41" i="6167"/>
  <c r="C43" i="6167"/>
  <c r="H46" i="6167"/>
  <c r="H50" i="6167"/>
  <c r="H29" i="6167"/>
  <c r="H32" i="6167"/>
  <c r="H34" i="6167"/>
  <c r="H36" i="6167"/>
  <c r="H38" i="6167"/>
  <c r="H40" i="6167"/>
  <c r="H42" i="6167"/>
  <c r="H44" i="6167"/>
  <c r="H47" i="6167"/>
  <c r="O22" i="6149" l="1"/>
  <c r="O16" i="6157"/>
  <c r="O15" i="6157" l="1"/>
  <c r="O19" i="6165"/>
  <c r="O15" i="6155" l="1"/>
  <c r="O22" i="6161"/>
  <c r="O16" i="6165" l="1"/>
  <c r="O23" i="6155"/>
  <c r="O21" i="6149" l="1"/>
  <c r="O17" i="6151"/>
  <c r="O15" i="6161"/>
  <c r="O23" i="6161"/>
  <c r="O19" i="6159" l="1"/>
  <c r="O18" i="6163"/>
  <c r="O16" i="6153" l="1"/>
  <c r="O17" i="6159"/>
  <c r="O19" i="6161"/>
  <c r="O21" i="6161"/>
  <c r="O16" i="6149" l="1"/>
  <c r="O17" i="6163"/>
  <c r="O19" i="6163"/>
  <c r="O18" i="6155"/>
  <c r="O21" i="6153" l="1"/>
  <c r="O21" i="6157"/>
  <c r="O19" i="6157" l="1"/>
  <c r="O22" i="6151"/>
  <c r="O25" i="6161"/>
  <c r="O17" i="6165"/>
  <c r="O15" i="6165"/>
  <c r="O21" i="6163"/>
  <c r="O15" i="6153" l="1"/>
  <c r="O22" i="6153"/>
  <c r="O18" i="6165"/>
  <c r="O20" i="6165"/>
  <c r="C30" i="6165"/>
  <c r="B25" i="6165"/>
  <c r="C16" i="6165"/>
  <c r="B15" i="6165"/>
  <c r="H50" i="6165" s="1"/>
  <c r="B14" i="6165"/>
  <c r="B24" i="6165" s="1"/>
  <c r="B13" i="6165"/>
  <c r="C13" i="6165" s="1"/>
  <c r="O12" i="6165"/>
  <c r="C12" i="6165"/>
  <c r="O11" i="6165"/>
  <c r="C11" i="6165"/>
  <c r="O10" i="6165"/>
  <c r="C10" i="6165"/>
  <c r="C9" i="6165"/>
  <c r="C8" i="6165"/>
  <c r="O7" i="6165"/>
  <c r="C7" i="6165"/>
  <c r="O6" i="6165"/>
  <c r="B6" i="6165"/>
  <c r="O5" i="6165"/>
  <c r="B5" i="6165"/>
  <c r="O4" i="6165"/>
  <c r="O3" i="6165"/>
  <c r="O2" i="6165"/>
  <c r="O22" i="6159"/>
  <c r="O15" i="6159"/>
  <c r="O16" i="6147"/>
  <c r="C14" i="6165" l="1"/>
  <c r="H8" i="6165"/>
  <c r="H7" i="6165"/>
  <c r="H12" i="6165"/>
  <c r="H18" i="6165"/>
  <c r="H10" i="6165"/>
  <c r="H19" i="6165"/>
  <c r="C19" i="6165"/>
  <c r="H14" i="6165"/>
  <c r="H27" i="6165"/>
  <c r="H34" i="6165"/>
  <c r="C36" i="6165"/>
  <c r="H39" i="6165"/>
  <c r="H42" i="6165"/>
  <c r="C44" i="6165"/>
  <c r="H49" i="6165"/>
  <c r="H17" i="6165"/>
  <c r="C17" i="6165"/>
  <c r="B22" i="6165"/>
  <c r="H32" i="6165"/>
  <c r="H37" i="6165"/>
  <c r="C42" i="6165"/>
  <c r="H45" i="6165"/>
  <c r="H16" i="6165"/>
  <c r="H26" i="6165"/>
  <c r="C32" i="6165"/>
  <c r="H38" i="6165"/>
  <c r="C40" i="6165"/>
  <c r="H43" i="6165"/>
  <c r="H47" i="6165"/>
  <c r="H6" i="6165"/>
  <c r="H23" i="6165"/>
  <c r="H28" i="6165"/>
  <c r="C34" i="6165"/>
  <c r="H40" i="6165"/>
  <c r="H51" i="6165"/>
  <c r="H4" i="6165"/>
  <c r="C15" i="6165"/>
  <c r="H13" i="6165"/>
  <c r="C20" i="6165"/>
  <c r="H29" i="6165"/>
  <c r="H35" i="6165"/>
  <c r="H3" i="6165"/>
  <c r="H2" i="6165"/>
  <c r="H11" i="6165"/>
  <c r="H5" i="6165"/>
  <c r="H20" i="6165"/>
  <c r="C18" i="6165"/>
  <c r="C21" i="6165"/>
  <c r="H30" i="6165"/>
  <c r="H33" i="6165"/>
  <c r="H36" i="6165"/>
  <c r="C38" i="6165"/>
  <c r="H41" i="6165"/>
  <c r="H44" i="6165"/>
  <c r="H48" i="6165"/>
  <c r="H52" i="6165"/>
  <c r="B23" i="6165"/>
  <c r="H21" i="6165"/>
  <c r="H22" i="6165"/>
  <c r="H24" i="6165"/>
  <c r="H25" i="6165"/>
  <c r="H15" i="6165"/>
  <c r="H9" i="6165"/>
  <c r="H31" i="6165"/>
  <c r="C33" i="6165"/>
  <c r="C35" i="6165"/>
  <c r="C37" i="6165"/>
  <c r="C39" i="6165"/>
  <c r="C41" i="6165"/>
  <c r="C43" i="6165"/>
  <c r="H46" i="6165"/>
  <c r="O20" i="6151" l="1"/>
  <c r="O19" i="6155"/>
  <c r="O19" i="6151" l="1"/>
  <c r="O21" i="6159"/>
  <c r="O24" i="6159"/>
  <c r="O17" i="6149"/>
  <c r="O17" i="6153"/>
  <c r="O16" i="6155"/>
  <c r="O21" i="6155"/>
  <c r="O19" i="6149"/>
  <c r="O18" i="6153"/>
  <c r="O15" i="6151"/>
  <c r="O20" i="6163"/>
  <c r="O22" i="6163"/>
  <c r="O22" i="6157" l="1"/>
  <c r="O17" i="6157"/>
  <c r="O15" i="6163"/>
  <c r="O16" i="6163"/>
  <c r="C30" i="6163"/>
  <c r="B25" i="6163"/>
  <c r="C16" i="6163"/>
  <c r="B15" i="6163"/>
  <c r="H51" i="6163" s="1"/>
  <c r="B14" i="6163"/>
  <c r="B24" i="6163" s="1"/>
  <c r="B13" i="6163"/>
  <c r="C13" i="6163" s="1"/>
  <c r="O12" i="6163"/>
  <c r="C12" i="6163"/>
  <c r="O11" i="6163"/>
  <c r="C11" i="6163"/>
  <c r="O10" i="6163"/>
  <c r="C10" i="6163"/>
  <c r="C9" i="6163"/>
  <c r="C8" i="6163"/>
  <c r="O7" i="6163"/>
  <c r="C7" i="6163"/>
  <c r="O6" i="6163"/>
  <c r="B6" i="6163"/>
  <c r="O5" i="6163"/>
  <c r="B5" i="6163"/>
  <c r="O4" i="6163"/>
  <c r="O3" i="6163"/>
  <c r="O2" i="6163"/>
  <c r="O17" i="6147"/>
  <c r="O17" i="6161"/>
  <c r="O24" i="6161"/>
  <c r="C30" i="6161"/>
  <c r="B25" i="6161"/>
  <c r="C16" i="6161"/>
  <c r="B15" i="6161"/>
  <c r="H21" i="6161" s="1"/>
  <c r="B14" i="6161"/>
  <c r="B24" i="6161" s="1"/>
  <c r="B13" i="6161"/>
  <c r="C13" i="6161" s="1"/>
  <c r="O12" i="6161"/>
  <c r="C12" i="6161"/>
  <c r="O11" i="6161"/>
  <c r="C11" i="6161"/>
  <c r="O10" i="6161"/>
  <c r="C10" i="6161"/>
  <c r="C9" i="6161"/>
  <c r="C8" i="6161"/>
  <c r="O7" i="6161"/>
  <c r="C7" i="6161"/>
  <c r="O6" i="6161"/>
  <c r="B6" i="6161"/>
  <c r="O5" i="6161"/>
  <c r="B5" i="6161"/>
  <c r="O4" i="6161"/>
  <c r="O3" i="6161"/>
  <c r="O2" i="6161"/>
  <c r="O20" i="6147"/>
  <c r="C14" i="6161" l="1"/>
  <c r="C14" i="6163"/>
  <c r="H15" i="6163"/>
  <c r="H23" i="6163"/>
  <c r="C19" i="6163"/>
  <c r="H35" i="6163"/>
  <c r="H40" i="6163"/>
  <c r="H8" i="6163"/>
  <c r="H19" i="6163"/>
  <c r="H43" i="6163"/>
  <c r="C44" i="6163"/>
  <c r="C36" i="6163"/>
  <c r="H50" i="6163"/>
  <c r="H9" i="6163"/>
  <c r="H4" i="6163"/>
  <c r="H11" i="6163"/>
  <c r="H22" i="6163"/>
  <c r="H16" i="6163"/>
  <c r="C17" i="6163"/>
  <c r="H29" i="6163"/>
  <c r="H46" i="6163"/>
  <c r="H7" i="6163"/>
  <c r="H21" i="6163"/>
  <c r="C15" i="6163"/>
  <c r="H25" i="6163"/>
  <c r="C20" i="6163"/>
  <c r="H18" i="6163"/>
  <c r="H30" i="6163"/>
  <c r="C32" i="6163"/>
  <c r="H36" i="6163"/>
  <c r="H39" i="6163"/>
  <c r="C40" i="6163"/>
  <c r="H44" i="6163"/>
  <c r="H48" i="6163"/>
  <c r="H5" i="6163"/>
  <c r="H17" i="6163"/>
  <c r="B22" i="6163"/>
  <c r="H33" i="6163"/>
  <c r="C34" i="6163"/>
  <c r="H38" i="6163"/>
  <c r="H41" i="6163"/>
  <c r="C42" i="6163"/>
  <c r="H20" i="6163"/>
  <c r="H3" i="6163"/>
  <c r="H2" i="6163"/>
  <c r="H10" i="6163"/>
  <c r="H6" i="6163"/>
  <c r="H24" i="6163"/>
  <c r="C18" i="6163"/>
  <c r="C21" i="6163"/>
  <c r="H31" i="6163"/>
  <c r="H34" i="6163"/>
  <c r="H37" i="6163"/>
  <c r="C38" i="6163"/>
  <c r="H42" i="6163"/>
  <c r="H45" i="6163"/>
  <c r="H49" i="6163"/>
  <c r="H52" i="6163"/>
  <c r="B23" i="6163"/>
  <c r="H13" i="6163"/>
  <c r="H26" i="6163"/>
  <c r="H27" i="6163"/>
  <c r="H28" i="6163"/>
  <c r="H14" i="6163"/>
  <c r="H12" i="6163"/>
  <c r="H32" i="6163"/>
  <c r="C33" i="6163"/>
  <c r="C35" i="6163"/>
  <c r="C37" i="6163"/>
  <c r="C39" i="6163"/>
  <c r="C41" i="6163"/>
  <c r="C43" i="6163"/>
  <c r="H47" i="6163"/>
  <c r="C21" i="6161"/>
  <c r="C34" i="6161"/>
  <c r="H9" i="6161"/>
  <c r="H10" i="6161"/>
  <c r="H25" i="6161"/>
  <c r="H14" i="6161"/>
  <c r="H4" i="6161"/>
  <c r="H3" i="6161"/>
  <c r="H12" i="6161"/>
  <c r="C38" i="6161"/>
  <c r="H2" i="6161"/>
  <c r="H7" i="6161"/>
  <c r="H11" i="6161"/>
  <c r="H24" i="6161"/>
  <c r="C18" i="6161"/>
  <c r="H16" i="6161"/>
  <c r="H40" i="6161"/>
  <c r="C42" i="6161"/>
  <c r="C19" i="6161"/>
  <c r="H36" i="6161"/>
  <c r="H44" i="6161"/>
  <c r="H49" i="6161"/>
  <c r="H50" i="6161"/>
  <c r="C17" i="6161"/>
  <c r="H15" i="6161"/>
  <c r="B22" i="6161"/>
  <c r="H31" i="6161"/>
  <c r="C32" i="6161"/>
  <c r="C36" i="6161"/>
  <c r="C40" i="6161"/>
  <c r="C44" i="6161"/>
  <c r="H5" i="6161"/>
  <c r="H17" i="6161"/>
  <c r="H23" i="6161"/>
  <c r="H6" i="6161"/>
  <c r="H22" i="6161"/>
  <c r="B23" i="6161"/>
  <c r="C15" i="6161"/>
  <c r="H26" i="6161"/>
  <c r="C20" i="6161"/>
  <c r="H30" i="6161"/>
  <c r="H32" i="6161"/>
  <c r="H35" i="6161"/>
  <c r="H38" i="6161"/>
  <c r="H42" i="6161"/>
  <c r="H46" i="6161"/>
  <c r="H52" i="6161"/>
  <c r="H18" i="6161"/>
  <c r="H27" i="6161"/>
  <c r="H28" i="6161"/>
  <c r="H29" i="6161"/>
  <c r="H13" i="6161"/>
  <c r="H8" i="6161"/>
  <c r="H19" i="6161"/>
  <c r="C33" i="6161"/>
  <c r="C35" i="6161"/>
  <c r="C37" i="6161"/>
  <c r="C39" i="6161"/>
  <c r="C41" i="6161"/>
  <c r="C43" i="6161"/>
  <c r="H47" i="6161"/>
  <c r="H51" i="6161"/>
  <c r="H33" i="6161"/>
  <c r="H34" i="6161"/>
  <c r="H20" i="6161"/>
  <c r="H37" i="6161"/>
  <c r="H39" i="6161"/>
  <c r="H41" i="6161"/>
  <c r="H43" i="6161"/>
  <c r="H45" i="6161"/>
  <c r="H48" i="6161"/>
  <c r="O23" i="6159" l="1"/>
  <c r="O18" i="6159"/>
  <c r="C30" i="6159"/>
  <c r="B25" i="6159"/>
  <c r="C16" i="6159"/>
  <c r="B15" i="6159"/>
  <c r="H52" i="6159" s="1"/>
  <c r="B14" i="6159"/>
  <c r="B24" i="6159" s="1"/>
  <c r="B13" i="6159"/>
  <c r="C13" i="6159" s="1"/>
  <c r="O12" i="6159"/>
  <c r="C12" i="6159"/>
  <c r="O11" i="6159"/>
  <c r="C11" i="6159"/>
  <c r="O10" i="6159"/>
  <c r="C10" i="6159"/>
  <c r="C9" i="6159"/>
  <c r="C8" i="6159"/>
  <c r="O7" i="6159"/>
  <c r="C7" i="6159"/>
  <c r="O6" i="6159"/>
  <c r="B6" i="6159"/>
  <c r="O5" i="6159"/>
  <c r="B5" i="6159"/>
  <c r="O4" i="6159"/>
  <c r="O3" i="6159"/>
  <c r="O2" i="6159"/>
  <c r="O20" i="6157"/>
  <c r="O18" i="6157"/>
  <c r="C30" i="6157"/>
  <c r="B25" i="6157"/>
  <c r="C16" i="6157"/>
  <c r="B15" i="6157"/>
  <c r="H52" i="6157" s="1"/>
  <c r="B14" i="6157"/>
  <c r="B24" i="6157" s="1"/>
  <c r="B13" i="6157"/>
  <c r="C13" i="6157" s="1"/>
  <c r="O12" i="6157"/>
  <c r="C12" i="6157"/>
  <c r="O11" i="6157"/>
  <c r="C11" i="6157"/>
  <c r="O10" i="6157"/>
  <c r="C10" i="6157"/>
  <c r="C9" i="6157"/>
  <c r="C8" i="6157"/>
  <c r="O7" i="6157"/>
  <c r="C7" i="6157"/>
  <c r="O6" i="6157"/>
  <c r="B6" i="6157"/>
  <c r="O5" i="6157"/>
  <c r="B5" i="6157"/>
  <c r="O4" i="6157"/>
  <c r="O3" i="6157"/>
  <c r="O2" i="6157"/>
  <c r="O18" i="6147"/>
  <c r="O20" i="6155"/>
  <c r="O17" i="6155"/>
  <c r="C30" i="6155"/>
  <c r="B25" i="6155"/>
  <c r="C16" i="6155"/>
  <c r="B15" i="6155"/>
  <c r="H16" i="6155" s="1"/>
  <c r="B14" i="6155"/>
  <c r="B24" i="6155" s="1"/>
  <c r="B13" i="6155"/>
  <c r="C13" i="6155" s="1"/>
  <c r="O12" i="6155"/>
  <c r="C12" i="6155"/>
  <c r="O11" i="6155"/>
  <c r="C11" i="6155"/>
  <c r="O10" i="6155"/>
  <c r="C10" i="6155"/>
  <c r="C9" i="6155"/>
  <c r="C8" i="6155"/>
  <c r="O7" i="6155"/>
  <c r="C7" i="6155"/>
  <c r="O6" i="6155"/>
  <c r="B6" i="6155"/>
  <c r="O5" i="6155"/>
  <c r="B5" i="6155"/>
  <c r="O4" i="6155"/>
  <c r="O3" i="6155"/>
  <c r="O2" i="6155"/>
  <c r="O22" i="6147"/>
  <c r="O24" i="6147"/>
  <c r="C14" i="6155" l="1"/>
  <c r="C14" i="6157"/>
  <c r="H13" i="6155"/>
  <c r="H8" i="6155"/>
  <c r="H6" i="6155"/>
  <c r="H20" i="6155"/>
  <c r="C42" i="6155"/>
  <c r="C20" i="6155"/>
  <c r="H10" i="6155"/>
  <c r="H23" i="6155"/>
  <c r="C34" i="6155"/>
  <c r="C38" i="6155"/>
  <c r="H7" i="6159"/>
  <c r="C14" i="6159"/>
  <c r="H11" i="6159"/>
  <c r="H10" i="6159"/>
  <c r="H23" i="6159"/>
  <c r="H18" i="6159"/>
  <c r="C40" i="6159"/>
  <c r="H6" i="6159"/>
  <c r="H17" i="6159"/>
  <c r="C15" i="6159"/>
  <c r="H15" i="6159"/>
  <c r="C21" i="6159"/>
  <c r="H24" i="6159"/>
  <c r="C34" i="6159"/>
  <c r="C42" i="6159"/>
  <c r="H22" i="6159"/>
  <c r="C17" i="6159"/>
  <c r="H5" i="6159"/>
  <c r="H12" i="6159"/>
  <c r="H14" i="6159"/>
  <c r="C36" i="6159"/>
  <c r="C44" i="6159"/>
  <c r="C32" i="6159"/>
  <c r="H4" i="6159"/>
  <c r="H2" i="6159"/>
  <c r="H3" i="6159"/>
  <c r="H29" i="6159"/>
  <c r="C18" i="6159"/>
  <c r="H21" i="6159"/>
  <c r="H8" i="6159"/>
  <c r="H28" i="6159"/>
  <c r="C19" i="6159"/>
  <c r="H20" i="6159"/>
  <c r="C38" i="6159"/>
  <c r="H49" i="6159"/>
  <c r="H19" i="6159"/>
  <c r="H30" i="6159"/>
  <c r="H31" i="6159"/>
  <c r="H32" i="6159"/>
  <c r="H13" i="6159"/>
  <c r="H9" i="6159"/>
  <c r="H34" i="6159"/>
  <c r="C33" i="6159"/>
  <c r="C35" i="6159"/>
  <c r="C37" i="6159"/>
  <c r="C39" i="6159"/>
  <c r="C41" i="6159"/>
  <c r="C43" i="6159"/>
  <c r="H47" i="6159"/>
  <c r="H51" i="6159"/>
  <c r="B23" i="6159"/>
  <c r="H33" i="6159"/>
  <c r="H26" i="6159"/>
  <c r="H36" i="6159"/>
  <c r="H38" i="6159"/>
  <c r="H40" i="6159"/>
  <c r="H27" i="6159"/>
  <c r="H43" i="6159"/>
  <c r="H45" i="6159"/>
  <c r="H48" i="6159"/>
  <c r="H16" i="6159"/>
  <c r="C20" i="6159"/>
  <c r="B22" i="6159"/>
  <c r="H25" i="6159"/>
  <c r="H35" i="6159"/>
  <c r="H37" i="6159"/>
  <c r="H39" i="6159"/>
  <c r="H41" i="6159"/>
  <c r="H42" i="6159"/>
  <c r="H44" i="6159"/>
  <c r="H46" i="6159"/>
  <c r="H50" i="6159"/>
  <c r="H10" i="6157"/>
  <c r="H13" i="6157"/>
  <c r="H6" i="6157"/>
  <c r="H28" i="6157"/>
  <c r="H24" i="6157"/>
  <c r="C15" i="6157"/>
  <c r="H20" i="6157"/>
  <c r="H31" i="6157"/>
  <c r="H32" i="6157"/>
  <c r="H22" i="6157"/>
  <c r="H15" i="6157"/>
  <c r="H8" i="6157"/>
  <c r="H18" i="6157"/>
  <c r="C33" i="6157"/>
  <c r="C35" i="6157"/>
  <c r="C37" i="6157"/>
  <c r="C39" i="6157"/>
  <c r="C41" i="6157"/>
  <c r="C43" i="6157"/>
  <c r="H47" i="6157"/>
  <c r="H51" i="6157"/>
  <c r="H5" i="6157"/>
  <c r="H19" i="6157"/>
  <c r="C17" i="6157"/>
  <c r="C19" i="6157"/>
  <c r="C21" i="6157"/>
  <c r="B23" i="6157"/>
  <c r="H23" i="6157"/>
  <c r="H26" i="6157"/>
  <c r="H36" i="6157"/>
  <c r="H27" i="6157"/>
  <c r="H39" i="6157"/>
  <c r="H41" i="6157"/>
  <c r="H43" i="6157"/>
  <c r="H45" i="6157"/>
  <c r="H48" i="6157"/>
  <c r="H12" i="6157"/>
  <c r="H3" i="6157"/>
  <c r="H2" i="6157"/>
  <c r="H11" i="6157"/>
  <c r="H4" i="6157"/>
  <c r="H30" i="6157"/>
  <c r="H21" i="6157"/>
  <c r="H16" i="6157"/>
  <c r="H14" i="6157"/>
  <c r="H25" i="6157"/>
  <c r="H33" i="6157"/>
  <c r="H17" i="6157"/>
  <c r="C32" i="6157"/>
  <c r="C34" i="6157"/>
  <c r="C36" i="6157"/>
  <c r="C38" i="6157"/>
  <c r="C40" i="6157"/>
  <c r="C42" i="6157"/>
  <c r="C44" i="6157"/>
  <c r="H49" i="6157"/>
  <c r="H7" i="6157"/>
  <c r="H9" i="6157"/>
  <c r="H29" i="6157"/>
  <c r="C18" i="6157"/>
  <c r="C20" i="6157"/>
  <c r="B22" i="6157"/>
  <c r="H34" i="6157"/>
  <c r="H35" i="6157"/>
  <c r="H37" i="6157"/>
  <c r="H38" i="6157"/>
  <c r="H40" i="6157"/>
  <c r="H42" i="6157"/>
  <c r="H44" i="6157"/>
  <c r="H46" i="6157"/>
  <c r="H50" i="6157"/>
  <c r="H49" i="6155"/>
  <c r="H12" i="6155"/>
  <c r="H36" i="6155"/>
  <c r="H40" i="6155"/>
  <c r="H44" i="6155"/>
  <c r="H50" i="6155"/>
  <c r="H17" i="6155"/>
  <c r="C15" i="6155"/>
  <c r="B22" i="6155"/>
  <c r="H29" i="6155"/>
  <c r="C32" i="6155"/>
  <c r="C40" i="6155"/>
  <c r="C44" i="6155"/>
  <c r="H5" i="6155"/>
  <c r="H22" i="6155"/>
  <c r="H18" i="6155"/>
  <c r="H7" i="6155"/>
  <c r="H21" i="6155"/>
  <c r="C18" i="6155"/>
  <c r="C36" i="6155"/>
  <c r="H3" i="6155"/>
  <c r="H2" i="6155"/>
  <c r="H9" i="6155"/>
  <c r="H4" i="6155"/>
  <c r="H24" i="6155"/>
  <c r="H19" i="6155"/>
  <c r="H28" i="6155"/>
  <c r="H30" i="6155"/>
  <c r="H34" i="6155"/>
  <c r="H38" i="6155"/>
  <c r="H42" i="6155"/>
  <c r="H46" i="6155"/>
  <c r="H52" i="6155"/>
  <c r="H15" i="6155"/>
  <c r="H25" i="6155"/>
  <c r="H26" i="6155"/>
  <c r="H27" i="6155"/>
  <c r="H14" i="6155"/>
  <c r="H11" i="6155"/>
  <c r="H32" i="6155"/>
  <c r="C33" i="6155"/>
  <c r="C35" i="6155"/>
  <c r="C37" i="6155"/>
  <c r="C39" i="6155"/>
  <c r="C41" i="6155"/>
  <c r="C43" i="6155"/>
  <c r="H47" i="6155"/>
  <c r="H51" i="6155"/>
  <c r="C17" i="6155"/>
  <c r="C19" i="6155"/>
  <c r="C21" i="6155"/>
  <c r="B23" i="6155"/>
  <c r="H31" i="6155"/>
  <c r="H33" i="6155"/>
  <c r="H35" i="6155"/>
  <c r="H37" i="6155"/>
  <c r="H39" i="6155"/>
  <c r="H41" i="6155"/>
  <c r="H43" i="6155"/>
  <c r="H45" i="6155"/>
  <c r="H48" i="6155"/>
  <c r="O23" i="6153" l="1"/>
  <c r="O20" i="6153"/>
  <c r="C30" i="6153"/>
  <c r="B25" i="6153"/>
  <c r="C16" i="6153"/>
  <c r="B15" i="6153"/>
  <c r="H52" i="6153" s="1"/>
  <c r="B14" i="6153"/>
  <c r="B24" i="6153" s="1"/>
  <c r="B13" i="6153"/>
  <c r="C13" i="6153" s="1"/>
  <c r="O12" i="6153"/>
  <c r="C12" i="6153"/>
  <c r="O11" i="6153"/>
  <c r="C11" i="6153"/>
  <c r="O10" i="6153"/>
  <c r="C10" i="6153"/>
  <c r="C9" i="6153"/>
  <c r="C8" i="6153"/>
  <c r="O7" i="6153"/>
  <c r="C7" i="6153"/>
  <c r="O6" i="6153"/>
  <c r="B6" i="6153"/>
  <c r="O5" i="6153"/>
  <c r="B5" i="6153"/>
  <c r="O4" i="6153"/>
  <c r="O3" i="6153"/>
  <c r="O2" i="6153"/>
  <c r="O21" i="6151"/>
  <c r="O18" i="6151"/>
  <c r="C30" i="6151"/>
  <c r="B25" i="6151"/>
  <c r="C16" i="6151"/>
  <c r="B15" i="6151"/>
  <c r="H16" i="6151" s="1"/>
  <c r="B14" i="6151"/>
  <c r="C14" i="6151" s="1"/>
  <c r="B13" i="6151"/>
  <c r="C13" i="6151" s="1"/>
  <c r="O12" i="6151"/>
  <c r="C12" i="6151"/>
  <c r="O11" i="6151"/>
  <c r="C11" i="6151"/>
  <c r="O10" i="6151"/>
  <c r="C10" i="6151"/>
  <c r="C9" i="6151"/>
  <c r="C8" i="6151"/>
  <c r="O7" i="6151"/>
  <c r="C7" i="6151"/>
  <c r="O6" i="6151"/>
  <c r="B6" i="6151"/>
  <c r="O5" i="6151"/>
  <c r="B5" i="6151"/>
  <c r="O4" i="6151"/>
  <c r="O3" i="6151"/>
  <c r="O2" i="6151"/>
  <c r="O19" i="6147"/>
  <c r="O18" i="6149"/>
  <c r="O20" i="6149"/>
  <c r="C30" i="6149"/>
  <c r="B25" i="6149"/>
  <c r="C16" i="6149"/>
  <c r="B15" i="6149"/>
  <c r="H52" i="6149" s="1"/>
  <c r="B14" i="6149"/>
  <c r="B24" i="6149" s="1"/>
  <c r="B13" i="6149"/>
  <c r="C13" i="6149" s="1"/>
  <c r="O12" i="6149"/>
  <c r="C12" i="6149"/>
  <c r="O11" i="6149"/>
  <c r="C11" i="6149"/>
  <c r="O10" i="6149"/>
  <c r="C10" i="6149"/>
  <c r="C9" i="6149"/>
  <c r="C8" i="6149"/>
  <c r="O7" i="6149"/>
  <c r="C7" i="6149"/>
  <c r="O6" i="6149"/>
  <c r="B6" i="6149"/>
  <c r="O5" i="6149"/>
  <c r="B5" i="6149"/>
  <c r="O4" i="6149"/>
  <c r="O3" i="6149"/>
  <c r="O2" i="6149"/>
  <c r="O21" i="6147"/>
  <c r="O25" i="6147"/>
  <c r="C30" i="6147"/>
  <c r="B25" i="6147"/>
  <c r="C16" i="6147"/>
  <c r="B15" i="6147"/>
  <c r="H51" i="6147" s="1"/>
  <c r="B14" i="6147"/>
  <c r="C14" i="6147" s="1"/>
  <c r="B13" i="6147"/>
  <c r="C13" i="6147" s="1"/>
  <c r="O12" i="6147"/>
  <c r="C12" i="6147"/>
  <c r="O11" i="6147"/>
  <c r="C11" i="6147"/>
  <c r="O10" i="6147"/>
  <c r="C10" i="6147"/>
  <c r="C9" i="6147"/>
  <c r="C8" i="6147"/>
  <c r="O7" i="6147"/>
  <c r="C7" i="6147"/>
  <c r="O6" i="6147"/>
  <c r="B6" i="6147"/>
  <c r="O5" i="6147"/>
  <c r="B5" i="6147"/>
  <c r="O4" i="6147"/>
  <c r="O3" i="6147"/>
  <c r="O2" i="6147"/>
  <c r="H10" i="6153" l="1"/>
  <c r="B24" i="6151"/>
  <c r="H4" i="6151"/>
  <c r="C14" i="6149"/>
  <c r="H2" i="6153"/>
  <c r="C14" i="6153"/>
  <c r="H5" i="6153"/>
  <c r="H6" i="6153"/>
  <c r="H3" i="6153"/>
  <c r="C15" i="6153"/>
  <c r="H12" i="6153"/>
  <c r="H11" i="6153"/>
  <c r="H22" i="6153"/>
  <c r="H21" i="6153"/>
  <c r="H15" i="6153"/>
  <c r="H29" i="6153"/>
  <c r="H30" i="6153"/>
  <c r="H25" i="6153"/>
  <c r="H13" i="6153"/>
  <c r="H9" i="6153"/>
  <c r="H20" i="6153"/>
  <c r="C33" i="6153"/>
  <c r="C35" i="6153"/>
  <c r="C37" i="6153"/>
  <c r="C39" i="6153"/>
  <c r="C41" i="6153"/>
  <c r="C43" i="6153"/>
  <c r="H47" i="6153"/>
  <c r="H51" i="6153"/>
  <c r="H7" i="6153"/>
  <c r="H23" i="6153"/>
  <c r="C17" i="6153"/>
  <c r="C19" i="6153"/>
  <c r="C21" i="6153"/>
  <c r="B23" i="6153"/>
  <c r="H26" i="6153"/>
  <c r="H34" i="6153"/>
  <c r="H27" i="6153"/>
  <c r="H37" i="6153"/>
  <c r="H39" i="6153"/>
  <c r="H41" i="6153"/>
  <c r="H43" i="6153"/>
  <c r="H45" i="6153"/>
  <c r="H48" i="6153"/>
  <c r="H19" i="6153"/>
  <c r="H24" i="6153"/>
  <c r="H18" i="6153"/>
  <c r="H17" i="6153"/>
  <c r="H14" i="6153"/>
  <c r="H31" i="6153"/>
  <c r="H32" i="6153"/>
  <c r="H16" i="6153"/>
  <c r="C32" i="6153"/>
  <c r="C34" i="6153"/>
  <c r="C36" i="6153"/>
  <c r="C38" i="6153"/>
  <c r="C40" i="6153"/>
  <c r="C42" i="6153"/>
  <c r="C44" i="6153"/>
  <c r="H49" i="6153"/>
  <c r="H4" i="6153"/>
  <c r="H8" i="6153"/>
  <c r="H28" i="6153"/>
  <c r="C18" i="6153"/>
  <c r="C20" i="6153"/>
  <c r="B22" i="6153"/>
  <c r="H33" i="6153"/>
  <c r="H35" i="6153"/>
  <c r="H36" i="6153"/>
  <c r="H38" i="6153"/>
  <c r="H40" i="6153"/>
  <c r="H42" i="6153"/>
  <c r="H44" i="6153"/>
  <c r="H46" i="6153"/>
  <c r="H50" i="6153"/>
  <c r="H9" i="6151"/>
  <c r="H2" i="6151"/>
  <c r="H26" i="6151"/>
  <c r="C38" i="6151"/>
  <c r="H6" i="6151"/>
  <c r="H11" i="6151"/>
  <c r="C15" i="6151"/>
  <c r="H17" i="6151"/>
  <c r="H21" i="6151"/>
  <c r="C34" i="6151"/>
  <c r="C40" i="6151"/>
  <c r="H29" i="6151"/>
  <c r="C18" i="6151"/>
  <c r="H52" i="6151"/>
  <c r="H19" i="6151"/>
  <c r="C20" i="6151"/>
  <c r="C36" i="6151"/>
  <c r="H43" i="6151"/>
  <c r="H49" i="6151"/>
  <c r="H23" i="6151"/>
  <c r="H18" i="6151"/>
  <c r="H25" i="6151"/>
  <c r="H36" i="6151"/>
  <c r="C44" i="6151"/>
  <c r="H10" i="6151"/>
  <c r="H13" i="6151"/>
  <c r="H3" i="6151"/>
  <c r="H31" i="6151"/>
  <c r="B22" i="6151"/>
  <c r="H34" i="6151"/>
  <c r="C32" i="6151"/>
  <c r="H39" i="6151"/>
  <c r="C42" i="6151"/>
  <c r="H5" i="6151"/>
  <c r="H24" i="6151"/>
  <c r="H14" i="6151"/>
  <c r="H37" i="6151"/>
  <c r="H41" i="6151"/>
  <c r="H45" i="6151"/>
  <c r="H50" i="6151"/>
  <c r="H15" i="6151"/>
  <c r="H32" i="6151"/>
  <c r="H33" i="6151"/>
  <c r="H20" i="6151"/>
  <c r="H12" i="6151"/>
  <c r="H8" i="6151"/>
  <c r="H22" i="6151"/>
  <c r="C33" i="6151"/>
  <c r="C35" i="6151"/>
  <c r="C37" i="6151"/>
  <c r="C39" i="6151"/>
  <c r="C41" i="6151"/>
  <c r="C43" i="6151"/>
  <c r="H47" i="6151"/>
  <c r="H51" i="6151"/>
  <c r="H7" i="6151"/>
  <c r="H30" i="6151"/>
  <c r="C17" i="6151"/>
  <c r="C19" i="6151"/>
  <c r="C21" i="6151"/>
  <c r="B23" i="6151"/>
  <c r="H28" i="6151"/>
  <c r="H35" i="6151"/>
  <c r="H27" i="6151"/>
  <c r="H38" i="6151"/>
  <c r="H40" i="6151"/>
  <c r="H42" i="6151"/>
  <c r="H44" i="6151"/>
  <c r="H46" i="6151"/>
  <c r="H48" i="6151"/>
  <c r="H7" i="6149"/>
  <c r="C17" i="6149"/>
  <c r="C21" i="6149"/>
  <c r="H30" i="6149"/>
  <c r="C34" i="6149"/>
  <c r="C42" i="6149"/>
  <c r="H20" i="6149"/>
  <c r="H11" i="6149"/>
  <c r="C36" i="6149"/>
  <c r="C44" i="6149"/>
  <c r="H12" i="6149"/>
  <c r="H10" i="6149"/>
  <c r="C15" i="6149"/>
  <c r="H17" i="6149"/>
  <c r="H8" i="6149"/>
  <c r="H25" i="6149"/>
  <c r="H21" i="6149"/>
  <c r="C19" i="6149"/>
  <c r="H29" i="6149"/>
  <c r="C38" i="6149"/>
  <c r="H48" i="6149"/>
  <c r="H6" i="6149"/>
  <c r="H18" i="6149"/>
  <c r="H16" i="6149"/>
  <c r="H5" i="6149"/>
  <c r="H2" i="6149"/>
  <c r="H9" i="6149"/>
  <c r="H3" i="6149"/>
  <c r="H14" i="6149"/>
  <c r="C32" i="6149"/>
  <c r="C40" i="6149"/>
  <c r="H4" i="6149"/>
  <c r="H22" i="6149"/>
  <c r="H27" i="6149"/>
  <c r="H28" i="6149"/>
  <c r="H23" i="6149"/>
  <c r="H15" i="6149"/>
  <c r="H13" i="6149"/>
  <c r="H32" i="6149"/>
  <c r="C33" i="6149"/>
  <c r="C35" i="6149"/>
  <c r="C37" i="6149"/>
  <c r="C39" i="6149"/>
  <c r="C41" i="6149"/>
  <c r="C43" i="6149"/>
  <c r="H46" i="6149"/>
  <c r="H50" i="6149"/>
  <c r="B23" i="6149"/>
  <c r="H31" i="6149"/>
  <c r="H24" i="6149"/>
  <c r="H34" i="6149"/>
  <c r="H36" i="6149"/>
  <c r="H38" i="6149"/>
  <c r="H40" i="6149"/>
  <c r="H42" i="6149"/>
  <c r="H44" i="6149"/>
  <c r="H47" i="6149"/>
  <c r="H51" i="6149"/>
  <c r="H26" i="6149"/>
  <c r="C18" i="6149"/>
  <c r="C20" i="6149"/>
  <c r="B22" i="6149"/>
  <c r="H19" i="6149"/>
  <c r="H33" i="6149"/>
  <c r="H35" i="6149"/>
  <c r="H37" i="6149"/>
  <c r="H39" i="6149"/>
  <c r="H41" i="6149"/>
  <c r="H43" i="6149"/>
  <c r="H45" i="6149"/>
  <c r="H49" i="6149"/>
  <c r="H10" i="6147"/>
  <c r="H6" i="6147"/>
  <c r="H20" i="6147"/>
  <c r="H8" i="6147"/>
  <c r="H35" i="6147"/>
  <c r="C19" i="6147"/>
  <c r="H14" i="6147"/>
  <c r="H30" i="6147"/>
  <c r="H29" i="6147"/>
  <c r="C36" i="6147"/>
  <c r="H42" i="6147"/>
  <c r="H44" i="6147"/>
  <c r="C44" i="6147"/>
  <c r="H50" i="6147"/>
  <c r="H12" i="6147"/>
  <c r="H23" i="6147"/>
  <c r="C17" i="6147"/>
  <c r="H17" i="6147"/>
  <c r="H27" i="6147"/>
  <c r="C34" i="6147"/>
  <c r="H40" i="6147"/>
  <c r="C42" i="6147"/>
  <c r="H34" i="6147"/>
  <c r="C15" i="6147"/>
  <c r="C20" i="6147"/>
  <c r="H28" i="6147"/>
  <c r="C32" i="6147"/>
  <c r="H39" i="6147"/>
  <c r="H41" i="6147"/>
  <c r="C40" i="6147"/>
  <c r="H45" i="6147"/>
  <c r="H48" i="6147"/>
  <c r="H5" i="6147"/>
  <c r="B22" i="6147"/>
  <c r="H31" i="6147"/>
  <c r="H33" i="6147"/>
  <c r="H16" i="6147"/>
  <c r="H7" i="6147"/>
  <c r="H22" i="6147"/>
  <c r="B23" i="6147"/>
  <c r="H19" i="6147"/>
  <c r="H25" i="6147"/>
  <c r="H4" i="6147"/>
  <c r="H2" i="6147"/>
  <c r="H11" i="6147"/>
  <c r="H3" i="6147"/>
  <c r="H26" i="6147"/>
  <c r="C18" i="6147"/>
  <c r="C21" i="6147"/>
  <c r="H18" i="6147"/>
  <c r="H38" i="6147"/>
  <c r="H32" i="6147"/>
  <c r="C38" i="6147"/>
  <c r="H43" i="6147"/>
  <c r="H46" i="6147"/>
  <c r="H49" i="6147"/>
  <c r="H52" i="6147"/>
  <c r="B24" i="6147"/>
  <c r="H15" i="6147"/>
  <c r="H36" i="6147"/>
  <c r="H37" i="6147"/>
  <c r="H24" i="6147"/>
  <c r="H13" i="6147"/>
  <c r="H9" i="6147"/>
  <c r="H21" i="6147"/>
  <c r="C33" i="6147"/>
  <c r="C35" i="6147"/>
  <c r="C37" i="6147"/>
  <c r="C39" i="6147"/>
  <c r="C41" i="6147"/>
  <c r="C43" i="6147"/>
  <c r="H47" i="614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<sst xmlns="http://schemas.openxmlformats.org/spreadsheetml/2006/main" count="3783" uniqueCount="286">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</sst>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全体!$K$2:$K$764</c:f>
              <c:numCache>
                <c:formatCode>General</c:formatCode>
                <c:ptCount val="7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</c:numCache>
            </c:numRef>
          </c:xVal>
          <c:yVal>
            <c:numRef>
              <c:f>全体!$L$2:$L$764</c:f>
              <c:numCache>
                <c:formatCode>\+0.0;\-0.0;\±0</c:formatCode>
                <c:ptCount val="76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E-4FBB-BF05-EE4C73340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-27.66798418972332</c:v>
                </c:pt>
                <c:pt idx="1">
                  <c:v>13.386880856760374</c:v>
                </c:pt>
                <c:pt idx="2">
                  <c:v>-11.396011396011396</c:v>
                </c:pt>
                <c:pt idx="3">
                  <c:v>10.558069381598793</c:v>
                </c:pt>
                <c:pt idx="4">
                  <c:v>4.9261083743842367</c:v>
                </c:pt>
                <c:pt idx="5">
                  <c:v>15.686274509803921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5-4A97-B64D-905859C0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141</c:v>
                </c:pt>
                <c:pt idx="1">
                  <c:v>313</c:v>
                </c:pt>
                <c:pt idx="2">
                  <c:v>371</c:v>
                </c:pt>
                <c:pt idx="3">
                  <c:v>329</c:v>
                </c:pt>
                <c:pt idx="4">
                  <c:v>302</c:v>
                </c:pt>
                <c:pt idx="5">
                  <c:v>202</c:v>
                </c:pt>
                <c:pt idx="6">
                  <c:v>102</c:v>
                </c:pt>
                <c:pt idx="7">
                  <c:v>52</c:v>
                </c:pt>
                <c:pt idx="8">
                  <c:v>22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1-44D9-8A03-D8593E269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7-429D-B06C-6CB25D078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1441.7910447761194</c:v>
                </c:pt>
                <c:pt idx="1">
                  <c:v>-2021.2121212121212</c:v>
                </c:pt>
                <c:pt idx="2">
                  <c:v>-1348.4375</c:v>
                </c:pt>
                <c:pt idx="3">
                  <c:v>-1325</c:v>
                </c:pt>
                <c:pt idx="4">
                  <c:v>-83.050847457627114</c:v>
                </c:pt>
                <c:pt idx="5">
                  <c:v>-2321.5686274509803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1-487E-B638-A0895230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37</c:v>
                </c:pt>
                <c:pt idx="2">
                  <c:v>34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5-49F3-9DCE-973F7068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だいち!$L$2:$L$153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7-4A19-A789-3DE0B396F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1066.6666666666667</c:v>
                </c:pt>
                <c:pt idx="1">
                  <c:v>929.93197278911566</c:v>
                </c:pt>
                <c:pt idx="2">
                  <c:v>856.0283687943263</c:v>
                </c:pt>
                <c:pt idx="3">
                  <c:v>122.90076335877863</c:v>
                </c:pt>
                <c:pt idx="4">
                  <c:v>2178.5123966942147</c:v>
                </c:pt>
                <c:pt idx="5">
                  <c:v>1932.3232323232323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D-445B-BBA5-F25718B3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39</c:v>
                </c:pt>
                <c:pt idx="1">
                  <c:v>75</c:v>
                </c:pt>
                <c:pt idx="2">
                  <c:v>90</c:v>
                </c:pt>
                <c:pt idx="3">
                  <c:v>77</c:v>
                </c:pt>
                <c:pt idx="4">
                  <c:v>61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9-429D-AEA7-69B467CC3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ただ!$K$2:$K$135</c:f>
              <c:numCache>
                <c:formatCode>General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ただ!$L$2:$L$135</c:f>
              <c:numCache>
                <c:formatCode>\+0.0;\-0.0;\±0</c:formatCode>
                <c:ptCount val="13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1F-4750-B41E-E06FFC9E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-1605.3030303030303</c:v>
                </c:pt>
                <c:pt idx="1">
                  <c:v>1619.2307692307693</c:v>
                </c:pt>
                <c:pt idx="2">
                  <c:v>-268.9075630252101</c:v>
                </c:pt>
                <c:pt idx="3">
                  <c:v>400.88495575221236</c:v>
                </c:pt>
                <c:pt idx="4">
                  <c:v>-864.07766990291259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4-4597-A3A0-7FA96601B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73</c:v>
                </c:pt>
                <c:pt idx="4">
                  <c:v>50</c:v>
                </c:pt>
                <c:pt idx="5">
                  <c:v>38</c:v>
                </c:pt>
                <c:pt idx="6">
                  <c:v>11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89A-958A-14566B892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りくと!$L$2:$L$92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F-4148-AF10-404AB097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-191.01123595505618</c:v>
                </c:pt>
                <c:pt idx="1">
                  <c:v>-1214.6067415730338</c:v>
                </c:pt>
                <c:pt idx="2">
                  <c:v>616.86746987951813</c:v>
                </c:pt>
                <c:pt idx="3">
                  <c:v>-445.1219512195122</c:v>
                </c:pt>
                <c:pt idx="4">
                  <c:v>-2923.3766233766232</c:v>
                </c:pt>
                <c:pt idx="5">
                  <c:v>-1231.8181818181818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D-4CCC-A189-F5B83A9F2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48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4-44E5-81A3-D89F38710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1-48E5-BF9E-A48CDAEA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1424</c:v>
                </c:pt>
                <c:pt idx="1">
                  <c:v>-1321.4285714285713</c:v>
                </c:pt>
                <c:pt idx="2">
                  <c:v>-332.58426966292137</c:v>
                </c:pt>
                <c:pt idx="3">
                  <c:v>2781.1764705882351</c:v>
                </c:pt>
                <c:pt idx="4">
                  <c:v>294.73684210526318</c:v>
                </c:pt>
                <c:pt idx="5">
                  <c:v>18.333333333333332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2-4D45-9FA2-FC4DC0279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29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4-443D-A42C-54C7E0EB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まっつん!$L$2:$L$116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7-4E08-8A99-C49999092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386.84210526315792</c:v>
                </c:pt>
                <c:pt idx="1">
                  <c:v>431.53153153153153</c:v>
                </c:pt>
                <c:pt idx="2">
                  <c:v>592.38095238095241</c:v>
                </c:pt>
                <c:pt idx="3">
                  <c:v>138.54166666666666</c:v>
                </c:pt>
                <c:pt idx="4">
                  <c:v>150.58823529411765</c:v>
                </c:pt>
                <c:pt idx="5">
                  <c:v>-986.48648648648646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A-4B84-88AE-A416EAC2E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55</c:v>
                </c:pt>
                <c:pt idx="3">
                  <c:v>47</c:v>
                </c:pt>
                <c:pt idx="4">
                  <c:v>40</c:v>
                </c:pt>
                <c:pt idx="5">
                  <c:v>32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B-4627-BB95-6DC8DD55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のり!$L$2:$L$56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D-4B78-A43B-F0D903A22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-2024.0740740740741</c:v>
                </c:pt>
                <c:pt idx="1">
                  <c:v>-266.66666666666669</c:v>
                </c:pt>
                <c:pt idx="2">
                  <c:v>-1701.9230769230769</c:v>
                </c:pt>
                <c:pt idx="3">
                  <c:v>-2221.2765957446809</c:v>
                </c:pt>
                <c:pt idx="4">
                  <c:v>-1728.8888888888889</c:v>
                </c:pt>
                <c:pt idx="5">
                  <c:v>-1763.1578947368421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9-41F6-AD86-20659F6C6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25</c:v>
                </c:pt>
                <c:pt idx="3">
                  <c:v>16</c:v>
                </c:pt>
                <c:pt idx="4">
                  <c:v>16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F-4BE4-9F58-986DC97DC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F-4559-B733-92F5EA96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24-4F6F-A6E1-77BC001FF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E-479F-A57F-F934D35B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923-9ED5-B35166BF5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D-4F9E-9981-018CEF581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F-4D8D-9709-9C5D13531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B-417F-BED7-E44C5725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8-42F6-9AEF-1F5A5FFB5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1-48A3-A6FA-F58837C4E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1-4103-9746-BB536D81B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-928.57142857142856</c:v>
                </c:pt>
                <c:pt idx="1">
                  <c:v>257.14285714285717</c:v>
                </c:pt>
                <c:pt idx="2">
                  <c:v>-3828.5714285714284</c:v>
                </c:pt>
                <c:pt idx="3">
                  <c:v>3614.2857142857142</c:v>
                </c:pt>
                <c:pt idx="4">
                  <c:v>-1183.3333333333333</c:v>
                </c:pt>
                <c:pt idx="5">
                  <c:v>2675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31-4E48-9328-16BB7560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8-4313-83F5-58D092DF0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4-41D8-A8DB-3BA76310B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1442.8571428571429</c:v>
                </c:pt>
                <c:pt idx="1">
                  <c:v>7614.2857142857147</c:v>
                </c:pt>
                <c:pt idx="2">
                  <c:v>6500</c:v>
                </c:pt>
                <c:pt idx="3">
                  <c:v>-10100</c:v>
                </c:pt>
                <c:pt idx="4">
                  <c:v>-533.33333333333337</c:v>
                </c:pt>
                <c:pt idx="5">
                  <c:v>2483.3333333333335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4-434E-BB5F-F223B9EC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5-4D66-A7A7-FD92BF1E3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37-4190-A1A4-A68A76CBD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8-4F1F-BAE5-83FEA63D4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034-A64A-2717904BA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623539091870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350669818754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805358550039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4.99466382070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05.2274927395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42519685039370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16154452324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841607565011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36936380481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865013774104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436499466382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776777-0CC3-4D3E-959F-8DCD51AA0E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F45E8A-D04B-4CE1-8AE0-390CC1A39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410EE2-2022-4183-8EA4-802846A901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AEA510-076C-420D-B98F-BB6396715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DD0215-A1B7-45D5-86C3-ADBE0E1F2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02B87D-7BD1-42DF-A205-136E8CFE2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601992-1B49-4112-9C3A-3682DC327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98B13B-7CD0-499D-9799-B3B89910E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13F021-2965-4FF6-A213-444BA2AAD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305FC9-933F-42EC-B37D-373014081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58357F-BBED-4B56-8B3C-7991D69AA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05853C-7EEA-4806-82C2-20EB7A1A18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647370-71B5-4FC0-B9B4-7B41302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5BD444-5F0C-40DF-BEA0-C83AC7E35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31E73C-61E5-4999-8BAA-F5CC19E41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8D2436-A1E2-47A2-B275-1737F34B3C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004E5B-AEB9-4769-9848-B3B226186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4B3002-DE89-4030-91BE-5FDB2F9A4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D10925-9CE9-427C-9A92-9E00A7E3F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12B28A-6F37-4480-9582-4DE85D292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6FDB68-28D2-4479-AE80-A1A237B0D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465C04-4F47-42A3-AF76-95FD7F59E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F28B7B-401D-4D6A-8875-AD83CA0D6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107967-DBC5-4FC5-835D-FFF37D09A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A63E29-229F-41F2-801B-7F4CBE839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942998-C3BB-4629-A03B-583EB5413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B17D17-05D4-4C49-9AE5-0EF66E4C0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B8A5B0-AE80-455D-B97F-FDE65E391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AF013D-A50D-48DA-A4C3-7207146B2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75AAE7-86C5-4153-8164-A5930AE10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CE3B63-8D29-430C-8327-F889EF699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5241CF-4E89-47FA-8B64-5B4149CF5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05D179-28BD-4EE7-8981-D3CA18E0D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C1D2C2-46EC-4A83-93AE-35185F47E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58E41A-23A4-4B1F-B1CA-0ECCA2E9E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F31F53-0593-4111-A716-49D416D18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3FC99B-6D05-4B61-98BC-6E5ACFFB7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48D585-FA0C-4436-93AF-176CEF893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9C484A-4424-44D9-B64F-58880148F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552358-5B04-48D6-AAB3-E333B8B097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2DE76E-9D9B-4C2C-B653-5F1AD0EB2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D84853F-AC45-4111-8139-2BC9252CB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9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43735.329293981478</v>
      </c>
      <c r="C3" s="28" t="s">
        <v>128</v>
      </c>
    </row>
    <row r="4" spans="1:12" x14ac:dyDescent="0.4">
      <c r="A4" s="28" t="s">
        <v>220</v>
      </c>
      <c r="B4" s="29">
        <v>43735.329201388886</v>
      </c>
      <c r="C4" s="28" t="s">
        <v>128</v>
      </c>
    </row>
    <row r="5" spans="1:12" x14ac:dyDescent="0.4">
      <c r="A5" s="28" t="s">
        <v>221</v>
      </c>
      <c r="B5" s="29">
        <v>43737.872604166667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43737.872604166667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43737.873645833337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43739.760312500002</v>
      </c>
      <c r="C8" s="28" t="s">
        <v>128</v>
      </c>
    </row>
    <row r="9" spans="1:12" x14ac:dyDescent="0.4">
      <c r="A9" s="28" t="s">
        <v>229</v>
      </c>
      <c r="B9" s="29">
        <v>43739.760069444441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43742.090381944443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43742.090381944443</v>
      </c>
      <c r="C11" s="28" t="s">
        <v>128</v>
      </c>
    </row>
    <row r="12" spans="1:12" x14ac:dyDescent="0.4">
      <c r="A12" s="28" t="s">
        <v>232</v>
      </c>
      <c r="B12" s="29">
        <v>43742.090381944443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43745.602835648147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43745.602847222224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43745.024594907409</v>
      </c>
      <c r="C18" s="28" t="s">
        <v>128</v>
      </c>
    </row>
    <row r="19" spans="1:12" x14ac:dyDescent="0.4">
      <c r="A19" s="28" t="s">
        <v>239</v>
      </c>
      <c r="B19" s="29">
        <v>43748.026620370372</v>
      </c>
      <c r="C19" s="28" t="s">
        <v>128</v>
      </c>
    </row>
    <row r="20" spans="1:12" x14ac:dyDescent="0.4">
      <c r="A20" s="28" t="s">
        <v>240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43748.026620370372</v>
      </c>
      <c r="C21" s="28" t="s">
        <v>128</v>
      </c>
    </row>
    <row r="22" spans="1:12" x14ac:dyDescent="0.4">
      <c r="A22" s="28" t="s">
        <v>242</v>
      </c>
      <c r="B22" s="29">
        <v>43748.026620370372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43801.790567129632</v>
      </c>
      <c r="C23" s="28" t="s">
        <v>128</v>
      </c>
    </row>
    <row r="24" spans="1:12" x14ac:dyDescent="0.4">
      <c r="A24" s="28" t="s">
        <v>244</v>
      </c>
      <c r="B24" s="29">
        <v>43751.127928240741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43751.127928240741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43752.484606481485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43753.081296296295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43801.790567129632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43755.626284722224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43756.406157407408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43758.084374999999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43758.955601851849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43758.955601851849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43763.053819444445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43763.053819444445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43763.053819444445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43764.184340277781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43765.985891203702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43765.985891203702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43771.434791666667</v>
      </c>
      <c r="C41" s="28" t="s">
        <v>128</v>
      </c>
    </row>
    <row r="42" spans="1:9" x14ac:dyDescent="0.4">
      <c r="A42" s="28" t="s">
        <v>214</v>
      </c>
      <c r="B42" s="29">
        <v>43771.434791666667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43771.434791666667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43771.434791666667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43771.434791666667</v>
      </c>
      <c r="C47" s="28" t="s">
        <v>128</v>
      </c>
    </row>
    <row r="48" spans="1:9" x14ac:dyDescent="0.4">
      <c r="A48" s="28" t="s">
        <v>251</v>
      </c>
      <c r="B48" s="29">
        <v>43771.757430555554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43773.988738425927</v>
      </c>
      <c r="C50" s="28" t="s">
        <v>128</v>
      </c>
    </row>
    <row r="51" spans="1:9" x14ac:dyDescent="0.4">
      <c r="A51" s="28" t="s">
        <v>254</v>
      </c>
      <c r="B51" s="29">
        <v>43775.353136574071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43786.930289351854</v>
      </c>
      <c r="C53" s="28" t="s">
        <v>128</v>
      </c>
    </row>
    <row r="54" spans="1:9" x14ac:dyDescent="0.4">
      <c r="A54" s="28" t="s">
        <v>257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43786.930289351854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43786.930289351854</v>
      </c>
      <c r="C56" s="28" t="s">
        <v>128</v>
      </c>
    </row>
    <row r="57" spans="1:9" x14ac:dyDescent="0.4">
      <c r="A57" s="28" t="s">
        <v>260</v>
      </c>
      <c r="B57" s="29">
        <v>43786.930289351854</v>
      </c>
      <c r="C57" s="28" t="s">
        <v>128</v>
      </c>
    </row>
    <row r="58" spans="1:9" x14ac:dyDescent="0.4">
      <c r="A58" s="28" t="s">
        <v>261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43786.930289351854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43788.870613425926</v>
      </c>
      <c r="C60" s="28" t="s">
        <v>128</v>
      </c>
    </row>
    <row r="61" spans="1:9" x14ac:dyDescent="0.4">
      <c r="A61" s="28" t="s">
        <v>264</v>
      </c>
      <c r="B61" s="29">
        <v>43789.063784722224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43790.614351851851</v>
      </c>
      <c r="C62" s="28" t="s">
        <v>128</v>
      </c>
    </row>
    <row r="63" spans="1:9" x14ac:dyDescent="0.4">
      <c r="A63" s="28" t="s">
        <v>266</v>
      </c>
      <c r="B63" s="29">
        <v>43790.988564814812</v>
      </c>
      <c r="C63" s="28" t="s">
        <v>128</v>
      </c>
    </row>
    <row r="64" spans="1:9" x14ac:dyDescent="0.4">
      <c r="A64" s="28" t="s">
        <v>267</v>
      </c>
      <c r="B64" s="29">
        <v>43792.907395833332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43793.921354166669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43795.739641203705</v>
      </c>
      <c r="C66" s="28" t="s">
        <v>128</v>
      </c>
    </row>
    <row r="67" spans="1:12" x14ac:dyDescent="0.4">
      <c r="A67" s="28" t="s">
        <v>270</v>
      </c>
      <c r="B67" s="29">
        <v>43801.790567129632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43801.790567129632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43805.924375000002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43805.924375000002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43805.924375000002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43805.924375000002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43805.924375000002</v>
      </c>
      <c r="C73" s="28" t="s">
        <v>128</v>
      </c>
    </row>
    <row r="74" spans="1:12" x14ac:dyDescent="0.4">
      <c r="A74" s="28" t="s">
        <v>278</v>
      </c>
      <c r="B74" s="29">
        <v>43809.912534722222</v>
      </c>
      <c r="C74" s="28" t="s">
        <v>128</v>
      </c>
    </row>
    <row r="75" spans="1:12" x14ac:dyDescent="0.4">
      <c r="A75" s="28" t="s">
        <v>279</v>
      </c>
      <c r="B75" s="29">
        <v>43809.912534722222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43809.912534722222</v>
      </c>
      <c r="C76" s="28" t="s">
        <v>128</v>
      </c>
    </row>
    <row r="77" spans="1:12" x14ac:dyDescent="0.4">
      <c r="A77" s="28" t="s">
        <v>283</v>
      </c>
      <c r="B77" s="29">
        <v>43809.912534722222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43809.912534722222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43809.912534722222</v>
      </c>
      <c r="C79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762</v>
      </c>
    </row>
    <row r="2" spans="1:2" x14ac:dyDescent="0.4">
      <c r="A2" t="s">
        <v>161</v>
      </c>
      <c r="B2">
        <v>67</v>
      </c>
    </row>
    <row r="3" spans="1:2" x14ac:dyDescent="0.4">
      <c r="A3" t="s">
        <v>126</v>
      </c>
      <c r="B3">
        <v>151</v>
      </c>
    </row>
    <row r="4" spans="1:2" x14ac:dyDescent="0.4">
      <c r="A4" t="s">
        <v>127</v>
      </c>
      <c r="B4">
        <v>133</v>
      </c>
    </row>
    <row r="5" spans="1:2" x14ac:dyDescent="0.4">
      <c r="A5" t="s">
        <v>172</v>
      </c>
      <c r="B5">
        <v>90</v>
      </c>
    </row>
    <row r="6" spans="1:2" x14ac:dyDescent="0.4">
      <c r="A6" t="s">
        <v>170</v>
      </c>
      <c r="B6">
        <v>100</v>
      </c>
    </row>
    <row r="7" spans="1:2" x14ac:dyDescent="0.4">
      <c r="A7" t="s">
        <v>171</v>
      </c>
      <c r="B7">
        <v>114</v>
      </c>
    </row>
    <row r="8" spans="1:2" x14ac:dyDescent="0.4">
      <c r="A8" t="s">
        <v>197</v>
      </c>
      <c r="B8">
        <v>54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7</v>
      </c>
    </row>
    <row r="13" spans="1:2" x14ac:dyDescent="0.4">
      <c r="A13" t="s">
        <v>281</v>
      </c>
      <c r="B13">
        <v>7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0.98894677644377327</v>
      </c>
      <c r="G2" s="163"/>
      <c r="H2" s="162">
        <v>0.83042561983061891</v>
      </c>
      <c r="I2" s="163"/>
      <c r="J2" s="162">
        <v>0.89949423028241682</v>
      </c>
      <c r="K2" s="163"/>
      <c r="L2" s="162">
        <v>0.78491063231180591</v>
      </c>
      <c r="M2" s="163"/>
      <c r="N2" s="162">
        <v>0.52482032541829104</v>
      </c>
      <c r="O2" s="163"/>
      <c r="P2" s="162">
        <v>0.53322889610366153</v>
      </c>
      <c r="Q2" s="163"/>
      <c r="R2" s="162">
        <v>4.8508843035817047E-2</v>
      </c>
      <c r="S2" s="163"/>
      <c r="T2" s="162">
        <v>0.53749308439849841</v>
      </c>
      <c r="U2" s="163"/>
      <c r="V2" s="162">
        <v>0.56191435856524352</v>
      </c>
      <c r="W2" s="163"/>
      <c r="X2" s="162">
        <v>-5.7267492672967525E-2</v>
      </c>
      <c r="Y2" s="163"/>
      <c r="Z2" s="162">
        <v>0.46004010061668571</v>
      </c>
      <c r="AA2" s="163"/>
      <c r="AB2" s="162">
        <v>0.2760652503275926</v>
      </c>
      <c r="AC2" s="163"/>
      <c r="AD2" s="162">
        <v>5.3476491305968446E-2</v>
      </c>
      <c r="AE2" s="163"/>
      <c r="AF2" s="162">
        <v>0.84411762158235304</v>
      </c>
      <c r="AG2" s="163"/>
    </row>
    <row r="3" spans="1:33" x14ac:dyDescent="0.4">
      <c r="A3" s="70">
        <v>1</v>
      </c>
      <c r="B3" s="71" t="s">
        <v>126</v>
      </c>
      <c r="C3" s="72">
        <v>1213.5000000000002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281</v>
      </c>
      <c r="I3" s="75">
        <v>0.5714285714285714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10834.375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0.44067796610169491</v>
      </c>
      <c r="X3" s="73" t="s">
        <v>228</v>
      </c>
      <c r="Y3" s="76">
        <v>0.35483870967741937</v>
      </c>
      <c r="Z3" s="73" t="s">
        <v>274</v>
      </c>
      <c r="AA3" s="76">
        <v>0.7142857142857143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350.30000000000018</v>
      </c>
      <c r="D4" s="81" t="s">
        <v>281</v>
      </c>
      <c r="E4" s="93">
        <v>12.5</v>
      </c>
      <c r="F4" s="81" t="s">
        <v>126</v>
      </c>
      <c r="G4" s="82">
        <v>1.8079470198675496</v>
      </c>
      <c r="H4" s="81" t="s">
        <v>203</v>
      </c>
      <c r="I4" s="83">
        <v>0.5</v>
      </c>
      <c r="J4" s="81" t="s">
        <v>126</v>
      </c>
      <c r="K4" s="83">
        <v>0.25827814569536423</v>
      </c>
      <c r="L4" s="81" t="s">
        <v>281</v>
      </c>
      <c r="M4" s="84">
        <v>0.38983050847457629</v>
      </c>
      <c r="N4" s="81" t="s">
        <v>274</v>
      </c>
      <c r="O4" s="84">
        <v>0.1</v>
      </c>
      <c r="P4" s="81" t="s">
        <v>281</v>
      </c>
      <c r="Q4" s="85">
        <v>9647.826086956522</v>
      </c>
      <c r="R4" s="81" t="s">
        <v>171</v>
      </c>
      <c r="S4" s="85">
        <v>-7440.4958677685954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281</v>
      </c>
      <c r="AA4" s="84">
        <v>0.65384615384615385</v>
      </c>
      <c r="AB4" s="81" t="s">
        <v>274</v>
      </c>
      <c r="AC4" s="84">
        <v>0.7142857142857143</v>
      </c>
      <c r="AD4" s="81" t="s">
        <v>170</v>
      </c>
      <c r="AE4" s="84">
        <v>0.5223214285714286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171</v>
      </c>
      <c r="C5" s="80">
        <v>116.9</v>
      </c>
      <c r="D5" s="81" t="s">
        <v>126</v>
      </c>
      <c r="E5" s="93">
        <v>8.0364238410596034</v>
      </c>
      <c r="F5" s="81" t="s">
        <v>274</v>
      </c>
      <c r="G5" s="82">
        <v>1.8571428571428572</v>
      </c>
      <c r="H5" s="81" t="s">
        <v>126</v>
      </c>
      <c r="I5" s="83">
        <v>0.45033112582781459</v>
      </c>
      <c r="J5" s="81" t="s">
        <v>171</v>
      </c>
      <c r="K5" s="83">
        <v>0.27192982456140352</v>
      </c>
      <c r="L5" s="81" t="s">
        <v>274</v>
      </c>
      <c r="M5" s="84">
        <v>0.35</v>
      </c>
      <c r="N5" s="81" t="s">
        <v>171</v>
      </c>
      <c r="O5" s="84">
        <v>0.13180827886710239</v>
      </c>
      <c r="P5" s="81" t="s">
        <v>280</v>
      </c>
      <c r="Q5" s="85">
        <v>8512.5</v>
      </c>
      <c r="R5" s="81" t="s">
        <v>172</v>
      </c>
      <c r="S5" s="85">
        <v>-7551.7730496453896</v>
      </c>
      <c r="T5" s="81" t="s">
        <v>126</v>
      </c>
      <c r="U5" s="83">
        <v>4.6357615894039736E-2</v>
      </c>
      <c r="V5" s="81" t="s">
        <v>274</v>
      </c>
      <c r="W5" s="84">
        <v>0.35</v>
      </c>
      <c r="X5" s="81" t="s">
        <v>127</v>
      </c>
      <c r="Y5" s="84">
        <v>0.3040358744394619</v>
      </c>
      <c r="Z5" s="81" t="s">
        <v>126</v>
      </c>
      <c r="AA5" s="84">
        <v>0.6</v>
      </c>
      <c r="AB5" s="81" t="s">
        <v>126</v>
      </c>
      <c r="AC5" s="84">
        <v>0.49300699300699302</v>
      </c>
      <c r="AD5" s="81" t="s">
        <v>172</v>
      </c>
      <c r="AE5" s="84">
        <v>0.46226415094339623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127</v>
      </c>
      <c r="C6" s="80">
        <v>91.299999999999812</v>
      </c>
      <c r="D6" s="81" t="s">
        <v>170</v>
      </c>
      <c r="E6" s="93">
        <v>3.5030000000000019</v>
      </c>
      <c r="F6" s="81" t="s">
        <v>281</v>
      </c>
      <c r="G6" s="82">
        <v>1.8571428571428572</v>
      </c>
      <c r="H6" s="81" t="s">
        <v>228</v>
      </c>
      <c r="I6" s="83">
        <v>0.42857142857142855</v>
      </c>
      <c r="J6" s="81" t="s">
        <v>274</v>
      </c>
      <c r="K6" s="83">
        <v>0.2857142857142857</v>
      </c>
      <c r="L6" s="81" t="s">
        <v>126</v>
      </c>
      <c r="M6" s="84">
        <v>0.34359805510534847</v>
      </c>
      <c r="N6" s="81" t="s">
        <v>126</v>
      </c>
      <c r="O6" s="84">
        <v>0.13209076175040518</v>
      </c>
      <c r="P6" s="81" t="s">
        <v>171</v>
      </c>
      <c r="Q6" s="85">
        <v>8470.8333333333339</v>
      </c>
      <c r="R6" s="81" t="s">
        <v>161</v>
      </c>
      <c r="S6" s="85">
        <v>-7673.1182795698924</v>
      </c>
      <c r="T6" s="81" t="s">
        <v>171</v>
      </c>
      <c r="U6" s="83">
        <v>7.0175438596491224E-2</v>
      </c>
      <c r="V6" s="81" t="s">
        <v>170</v>
      </c>
      <c r="W6" s="84">
        <v>0.31467661691542287</v>
      </c>
      <c r="X6" s="81" t="s">
        <v>161</v>
      </c>
      <c r="Y6" s="84">
        <v>0.2533783783783784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197</v>
      </c>
      <c r="AE6" s="84">
        <v>0.45614035087719296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281</v>
      </c>
      <c r="C7" s="80">
        <v>87.5</v>
      </c>
      <c r="D7" s="81" t="s">
        <v>274</v>
      </c>
      <c r="E7" s="93">
        <v>3.3000000000000003</v>
      </c>
      <c r="F7" s="81" t="s">
        <v>170</v>
      </c>
      <c r="G7" s="82">
        <v>1.93</v>
      </c>
      <c r="H7" s="81" t="s">
        <v>274</v>
      </c>
      <c r="I7" s="83">
        <v>0.42857142857142855</v>
      </c>
      <c r="J7" s="81" t="s">
        <v>127</v>
      </c>
      <c r="K7" s="83">
        <v>0.2932330827067669</v>
      </c>
      <c r="L7" s="81" t="s">
        <v>127</v>
      </c>
      <c r="M7" s="84">
        <v>0.30224215246636771</v>
      </c>
      <c r="N7" s="81" t="s">
        <v>161</v>
      </c>
      <c r="O7" s="84">
        <v>0.1570945945945946</v>
      </c>
      <c r="P7" s="81" t="s">
        <v>127</v>
      </c>
      <c r="Q7" s="85">
        <v>8466.4688427299698</v>
      </c>
      <c r="R7" s="81" t="s">
        <v>126</v>
      </c>
      <c r="S7" s="85">
        <v>-7676.687116564417</v>
      </c>
      <c r="T7" s="81" t="s">
        <v>161</v>
      </c>
      <c r="U7" s="83">
        <v>7.4626865671641784E-2</v>
      </c>
      <c r="V7" s="81" t="s">
        <v>172</v>
      </c>
      <c r="W7" s="84">
        <v>0.28047182175622543</v>
      </c>
      <c r="X7" s="81" t="s">
        <v>126</v>
      </c>
      <c r="Y7" s="84">
        <v>0.23176661264181522</v>
      </c>
      <c r="Z7" s="81" t="s">
        <v>171</v>
      </c>
      <c r="AA7" s="84">
        <v>0.57438016528925617</v>
      </c>
      <c r="AB7" s="81" t="s">
        <v>171</v>
      </c>
      <c r="AC7" s="84">
        <v>0.43627450980392157</v>
      </c>
      <c r="AD7" s="81" t="s">
        <v>171</v>
      </c>
      <c r="AE7" s="84">
        <v>0.44696969696969696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203</v>
      </c>
      <c r="C8" s="80">
        <v>26.2</v>
      </c>
      <c r="D8" s="81" t="s">
        <v>171</v>
      </c>
      <c r="E8" s="93">
        <v>1.025438596491228</v>
      </c>
      <c r="F8" s="81" t="s">
        <v>127</v>
      </c>
      <c r="G8" s="82">
        <v>1.9473684210526316</v>
      </c>
      <c r="H8" s="81" t="s">
        <v>170</v>
      </c>
      <c r="I8" s="83">
        <v>0.39</v>
      </c>
      <c r="J8" s="81" t="s">
        <v>170</v>
      </c>
      <c r="K8" s="83">
        <v>0.32</v>
      </c>
      <c r="L8" s="81" t="s">
        <v>141</v>
      </c>
      <c r="M8" s="84">
        <v>0.29535066981875491</v>
      </c>
      <c r="N8" s="81" t="s">
        <v>141</v>
      </c>
      <c r="O8" s="84">
        <v>0.16280535855003941</v>
      </c>
      <c r="P8" s="81" t="s">
        <v>141</v>
      </c>
      <c r="Q8" s="85">
        <v>8414.9946638207039</v>
      </c>
      <c r="R8" s="81" t="s">
        <v>141</v>
      </c>
      <c r="S8" s="85">
        <v>-7805.2274927395938</v>
      </c>
      <c r="T8" s="81" t="s">
        <v>172</v>
      </c>
      <c r="U8" s="83">
        <v>7.7777777777777779E-2</v>
      </c>
      <c r="V8" s="81" t="s">
        <v>126</v>
      </c>
      <c r="W8" s="84">
        <v>0.26742301458670986</v>
      </c>
      <c r="X8" s="81" t="s">
        <v>141</v>
      </c>
      <c r="Y8" s="84">
        <v>0.22884160756501182</v>
      </c>
      <c r="Z8" s="81" t="s">
        <v>141</v>
      </c>
      <c r="AA8" s="84">
        <v>0.55836936380481783</v>
      </c>
      <c r="AB8" s="81" t="s">
        <v>197</v>
      </c>
      <c r="AC8" s="84">
        <v>0.43</v>
      </c>
      <c r="AD8" s="81" t="s">
        <v>141</v>
      </c>
      <c r="AE8" s="84">
        <v>0.44343649946638208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274</v>
      </c>
      <c r="C9" s="80">
        <v>23.1</v>
      </c>
      <c r="D9" s="81" t="s">
        <v>127</v>
      </c>
      <c r="E9" s="93">
        <v>0.68646616541353245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171</v>
      </c>
      <c r="M9" s="84">
        <v>0.28758169934640521</v>
      </c>
      <c r="N9" s="81" t="s">
        <v>196</v>
      </c>
      <c r="O9" s="84">
        <v>0.17499999999999999</v>
      </c>
      <c r="P9" s="81" t="s">
        <v>196</v>
      </c>
      <c r="Q9" s="85">
        <v>8385.7142857142862</v>
      </c>
      <c r="R9" s="81" t="s">
        <v>127</v>
      </c>
      <c r="S9" s="85">
        <v>-7849.5238095238092</v>
      </c>
      <c r="T9" s="81" t="s">
        <v>141</v>
      </c>
      <c r="U9" s="83">
        <v>9.8425196850393706E-2</v>
      </c>
      <c r="V9" s="81" t="s">
        <v>203</v>
      </c>
      <c r="W9" s="84">
        <v>0.26666666666666666</v>
      </c>
      <c r="X9" s="81" t="s">
        <v>197</v>
      </c>
      <c r="Y9" s="84">
        <v>0.22573363431151242</v>
      </c>
      <c r="Z9" s="81" t="s">
        <v>170</v>
      </c>
      <c r="AA9" s="84">
        <v>0.55731225296442688</v>
      </c>
      <c r="AB9" s="81" t="s">
        <v>141</v>
      </c>
      <c r="AC9" s="84">
        <v>0.42286501377410468</v>
      </c>
      <c r="AD9" s="81" t="s">
        <v>281</v>
      </c>
      <c r="AE9" s="84">
        <v>0.43478260869565216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141</v>
      </c>
      <c r="C10" s="80">
        <v>-3.5527136788005009E-14</v>
      </c>
      <c r="D10" s="81" t="s">
        <v>141</v>
      </c>
      <c r="E10" s="93">
        <v>-4.662353909187009E-17</v>
      </c>
      <c r="F10" s="81" t="s">
        <v>171</v>
      </c>
      <c r="G10" s="82">
        <v>2.0175438596491229</v>
      </c>
      <c r="H10" s="81" t="s">
        <v>127</v>
      </c>
      <c r="I10" s="83">
        <v>0.34586466165413532</v>
      </c>
      <c r="J10" s="81" t="s">
        <v>172</v>
      </c>
      <c r="K10" s="83">
        <v>0.37777777777777777</v>
      </c>
      <c r="L10" s="81" t="s">
        <v>170</v>
      </c>
      <c r="M10" s="84">
        <v>0.27860696517412936</v>
      </c>
      <c r="N10" s="81" t="s">
        <v>170</v>
      </c>
      <c r="O10" s="84">
        <v>0.17537313432835822</v>
      </c>
      <c r="P10" s="81" t="s">
        <v>126</v>
      </c>
      <c r="Q10" s="85">
        <v>8161.3207547169814</v>
      </c>
      <c r="R10" s="81" t="s">
        <v>280</v>
      </c>
      <c r="S10" s="85">
        <v>-7987.5</v>
      </c>
      <c r="T10" s="81" t="s">
        <v>170</v>
      </c>
      <c r="U10" s="83">
        <v>0.11</v>
      </c>
      <c r="V10" s="81" t="s">
        <v>171</v>
      </c>
      <c r="W10" s="84">
        <v>0.26361655773420478</v>
      </c>
      <c r="X10" s="81" t="s">
        <v>171</v>
      </c>
      <c r="Y10" s="84">
        <v>0.22222222222222221</v>
      </c>
      <c r="Z10" s="81" t="s">
        <v>172</v>
      </c>
      <c r="AA10" s="84">
        <v>0.55140186915887845</v>
      </c>
      <c r="AB10" s="81" t="s">
        <v>172</v>
      </c>
      <c r="AC10" s="84">
        <v>0.40909090909090912</v>
      </c>
      <c r="AD10" s="81" t="s">
        <v>126</v>
      </c>
      <c r="AE10" s="84">
        <v>0.419811320754717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196</v>
      </c>
      <c r="K11" s="83">
        <v>0.4</v>
      </c>
      <c r="L11" s="81" t="s">
        <v>172</v>
      </c>
      <c r="M11" s="84">
        <v>0.27785058977719529</v>
      </c>
      <c r="N11" s="81" t="s">
        <v>172</v>
      </c>
      <c r="O11" s="84">
        <v>0.18479685452162517</v>
      </c>
      <c r="P11" s="81" t="s">
        <v>197</v>
      </c>
      <c r="Q11" s="85">
        <v>7932.4561403508769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0.20183486238532111</v>
      </c>
      <c r="Z11" s="81" t="s">
        <v>197</v>
      </c>
      <c r="AA11" s="84">
        <v>0.54166666666666663</v>
      </c>
      <c r="AB11" s="81" t="s">
        <v>161</v>
      </c>
      <c r="AC11" s="84">
        <v>0.40666666666666668</v>
      </c>
      <c r="AD11" s="81" t="s">
        <v>127</v>
      </c>
      <c r="AE11" s="84">
        <v>0.41543026706231456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280</v>
      </c>
      <c r="C12" s="80">
        <v>-80.800000000000011</v>
      </c>
      <c r="D12" s="81" t="s">
        <v>172</v>
      </c>
      <c r="E12" s="93">
        <v>-6.19</v>
      </c>
      <c r="F12" s="81" t="s">
        <v>228</v>
      </c>
      <c r="G12" s="82">
        <v>2.1428571428571428</v>
      </c>
      <c r="H12" s="81" t="s">
        <v>161</v>
      </c>
      <c r="I12" s="83">
        <v>0.31343283582089554</v>
      </c>
      <c r="J12" s="81" t="s">
        <v>280</v>
      </c>
      <c r="K12" s="83">
        <v>0.4</v>
      </c>
      <c r="L12" s="81" t="s">
        <v>161</v>
      </c>
      <c r="M12" s="84">
        <v>0.27364864864864863</v>
      </c>
      <c r="N12" s="81" t="s">
        <v>197</v>
      </c>
      <c r="O12" s="84">
        <v>0.18510158013544017</v>
      </c>
      <c r="P12" s="81" t="s">
        <v>172</v>
      </c>
      <c r="Q12" s="85">
        <v>7730.1886792452833</v>
      </c>
      <c r="R12" s="81" t="s">
        <v>197</v>
      </c>
      <c r="S12" s="85">
        <v>-8185.3658536585363</v>
      </c>
      <c r="T12" s="81" t="s">
        <v>127</v>
      </c>
      <c r="U12" s="83">
        <v>0.13533834586466165</v>
      </c>
      <c r="V12" s="81" t="s">
        <v>141</v>
      </c>
      <c r="W12" s="84">
        <v>0.25516154452324663</v>
      </c>
      <c r="X12" s="81" t="s">
        <v>281</v>
      </c>
      <c r="Y12" s="84">
        <v>0.1864406779661017</v>
      </c>
      <c r="Z12" s="81" t="s">
        <v>228</v>
      </c>
      <c r="AA12" s="84">
        <v>0.53333333333333333</v>
      </c>
      <c r="AB12" s="81" t="s">
        <v>170</v>
      </c>
      <c r="AC12" s="84">
        <v>0.39393939393939392</v>
      </c>
      <c r="AD12" s="81" t="s">
        <v>161</v>
      </c>
      <c r="AE12" s="84">
        <v>0.40123456790123457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-7.3731343283582111</v>
      </c>
      <c r="F13" s="81" t="s">
        <v>172</v>
      </c>
      <c r="G13" s="82">
        <v>2.1555555555555554</v>
      </c>
      <c r="H13" s="81" t="s">
        <v>171</v>
      </c>
      <c r="I13" s="83">
        <v>0.25438596491228072</v>
      </c>
      <c r="J13" s="81" t="s">
        <v>281</v>
      </c>
      <c r="K13" s="83">
        <v>0.42857142857142855</v>
      </c>
      <c r="L13" s="81" t="s">
        <v>196</v>
      </c>
      <c r="M13" s="84">
        <v>0.26250000000000001</v>
      </c>
      <c r="N13" s="81" t="s">
        <v>127</v>
      </c>
      <c r="O13" s="84">
        <v>0.18834080717488788</v>
      </c>
      <c r="P13" s="81" t="s">
        <v>228</v>
      </c>
      <c r="Q13" s="85">
        <v>7473.333333333333</v>
      </c>
      <c r="R13" s="81" t="s">
        <v>170</v>
      </c>
      <c r="S13" s="85">
        <v>-8365.9574468085102</v>
      </c>
      <c r="T13" s="81" t="s">
        <v>274</v>
      </c>
      <c r="U13" s="83">
        <v>0.14285714285714285</v>
      </c>
      <c r="V13" s="81" t="s">
        <v>228</v>
      </c>
      <c r="W13" s="84">
        <v>0.24193548387096775</v>
      </c>
      <c r="X13" s="81" t="s">
        <v>170</v>
      </c>
      <c r="Y13" s="84">
        <v>0.16417910447761194</v>
      </c>
      <c r="Z13" s="81" t="s">
        <v>161</v>
      </c>
      <c r="AA13" s="84">
        <v>0.51162790697674421</v>
      </c>
      <c r="AB13" s="81" t="s">
        <v>127</v>
      </c>
      <c r="AC13" s="84">
        <v>0.38348082595870209</v>
      </c>
      <c r="AD13" s="81" t="s">
        <v>274</v>
      </c>
      <c r="AE13" s="84">
        <v>0.38095238095238093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-494.00000000000017</v>
      </c>
      <c r="D14" s="81" t="s">
        <v>197</v>
      </c>
      <c r="E14" s="93">
        <v>-11.6</v>
      </c>
      <c r="F14" s="81" t="s">
        <v>161</v>
      </c>
      <c r="G14" s="82">
        <v>2.1641791044776117</v>
      </c>
      <c r="H14" s="81" t="s">
        <v>172</v>
      </c>
      <c r="I14" s="83">
        <v>0.22222222222222221</v>
      </c>
      <c r="J14" s="81" t="s">
        <v>161</v>
      </c>
      <c r="K14" s="83">
        <v>0.47761194029850745</v>
      </c>
      <c r="L14" s="81" t="s">
        <v>197</v>
      </c>
      <c r="M14" s="84">
        <v>0.25733634311512416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274</v>
      </c>
      <c r="S14" s="85">
        <v>-8500</v>
      </c>
      <c r="T14" s="81" t="s">
        <v>197</v>
      </c>
      <c r="U14" s="83">
        <v>0.18518518518518517</v>
      </c>
      <c r="V14" s="81" t="s">
        <v>127</v>
      </c>
      <c r="W14" s="84">
        <v>0.22869955156950672</v>
      </c>
      <c r="X14" s="81" t="s">
        <v>196</v>
      </c>
      <c r="Y14" s="84">
        <v>0.15</v>
      </c>
      <c r="Z14" s="81" t="s">
        <v>203</v>
      </c>
      <c r="AA14" s="84">
        <v>0.5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172</v>
      </c>
      <c r="C15" s="80">
        <v>-557.1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0.48148148148148145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274</v>
      </c>
      <c r="Q15" s="85">
        <v>7342.8571428571431</v>
      </c>
      <c r="R15" s="81" t="s">
        <v>281</v>
      </c>
      <c r="S15" s="85">
        <v>-8692.3076923076915</v>
      </c>
      <c r="T15" s="81" t="s">
        <v>280</v>
      </c>
      <c r="U15" s="83">
        <v>0.2</v>
      </c>
      <c r="V15" s="81" t="s">
        <v>197</v>
      </c>
      <c r="W15" s="84">
        <v>0.21670428893905191</v>
      </c>
      <c r="X15" s="81" t="s">
        <v>280</v>
      </c>
      <c r="Y15" s="84">
        <v>0.15</v>
      </c>
      <c r="Z15" s="81" t="s">
        <v>127</v>
      </c>
      <c r="AA15" s="84">
        <v>0.49803921568627452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197</v>
      </c>
      <c r="C16" s="80">
        <v>-626.4</v>
      </c>
      <c r="D16" s="81" t="s">
        <v>280</v>
      </c>
      <c r="E16" s="93">
        <v>-16.160000000000004</v>
      </c>
      <c r="F16" s="81" t="s">
        <v>197</v>
      </c>
      <c r="G16" s="82">
        <v>2.2962962962962963</v>
      </c>
      <c r="H16" s="81" t="s">
        <v>197</v>
      </c>
      <c r="I16" s="83">
        <v>0.18518518518518517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0.22033898305084745</v>
      </c>
      <c r="P16" s="81" t="s">
        <v>161</v>
      </c>
      <c r="Q16" s="85">
        <v>6873.4567901234568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0.14527027027027026</v>
      </c>
      <c r="X16" s="81" t="s">
        <v>274</v>
      </c>
      <c r="Y16" s="84">
        <v>0.11666666666666667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53C4-13AA-4FFF-9CBC-962524260415}">
  <sheetPr codeName="Sheet4"/>
  <dimension ref="A1:Q76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762</v>
      </c>
      <c r="C2" s="155"/>
      <c r="E2" s="58" t="s">
        <v>66</v>
      </c>
      <c r="F2" s="55" t="s">
        <v>22</v>
      </c>
      <c r="G2" s="43">
        <v>1429</v>
      </c>
      <c r="H2" s="128">
        <f>IF(B$15=0,0,G2/B$15)</f>
        <v>0.76254002134471721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-27.66798418972332</v>
      </c>
      <c r="P2" s="114">
        <v>759</v>
      </c>
      <c r="Q2" s="98">
        <v>-21000</v>
      </c>
    </row>
    <row r="3" spans="1:17" x14ac:dyDescent="0.4">
      <c r="A3" s="51" t="s">
        <v>8</v>
      </c>
      <c r="B3" s="156">
        <v>6345</v>
      </c>
      <c r="C3" s="157"/>
      <c r="E3" s="59" t="s">
        <v>72</v>
      </c>
      <c r="F3" s="56" t="s">
        <v>27</v>
      </c>
      <c r="G3" s="44">
        <v>1006</v>
      </c>
      <c r="H3" s="129">
        <f>IF(B$15=0,0,G3/B$15)</f>
        <v>0.53681963713980785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13.386880856760374</v>
      </c>
      <c r="P3" s="115">
        <v>747</v>
      </c>
      <c r="Q3" s="99">
        <v>10000</v>
      </c>
    </row>
    <row r="4" spans="1:17" x14ac:dyDescent="0.4">
      <c r="A4" s="51" t="s">
        <v>6</v>
      </c>
      <c r="B4" s="158">
        <v>-3.5527136788005009E-14</v>
      </c>
      <c r="C4" s="159"/>
      <c r="E4" s="59" t="s">
        <v>64</v>
      </c>
      <c r="F4" s="56" t="s">
        <v>20</v>
      </c>
      <c r="G4" s="44">
        <v>872</v>
      </c>
      <c r="H4" s="129">
        <f>IF(B$15=0,0,G4/B$15)</f>
        <v>0.46531483457844186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-11.396011396011396</v>
      </c>
      <c r="P4" s="115">
        <v>702</v>
      </c>
      <c r="Q4" s="99">
        <v>-8000</v>
      </c>
    </row>
    <row r="5" spans="1:17" x14ac:dyDescent="0.4">
      <c r="A5" s="51" t="s">
        <v>7</v>
      </c>
      <c r="B5" s="160">
        <f>IF(B$2=0,0,B$4/B$2)</f>
        <v>-4.662353909187009E-17</v>
      </c>
      <c r="C5" s="161"/>
      <c r="E5" s="59" t="s">
        <v>166</v>
      </c>
      <c r="F5" s="56" t="s">
        <v>167</v>
      </c>
      <c r="G5" s="44">
        <v>746</v>
      </c>
      <c r="H5" s="129">
        <f>IF(B$15=0,0,G5/B$15)</f>
        <v>0.39807897545357523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10.558069381598793</v>
      </c>
      <c r="P5" s="115">
        <v>663</v>
      </c>
      <c r="Q5" s="99">
        <v>7000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578</v>
      </c>
      <c r="H6" s="129">
        <f>IF(B$15=0,0,G6/B$15)</f>
        <v>0.30843116328708642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4.9261083743842367</v>
      </c>
      <c r="P6" s="115">
        <v>609</v>
      </c>
      <c r="Q6" s="99">
        <v>3000</v>
      </c>
    </row>
    <row r="7" spans="1:17" x14ac:dyDescent="0.4">
      <c r="A7" s="51" t="s">
        <v>2</v>
      </c>
      <c r="B7" s="44">
        <v>254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537</v>
      </c>
      <c r="H7" s="129">
        <f>IF(B$15=0,0,G7/B$15)</f>
        <v>0.2865528281750267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15.686274509803921</v>
      </c>
      <c r="P7" s="116">
        <v>510</v>
      </c>
      <c r="Q7" s="100">
        <v>8000</v>
      </c>
    </row>
    <row r="8" spans="1:17" x14ac:dyDescent="0.4">
      <c r="A8" s="51" t="s">
        <v>3</v>
      </c>
      <c r="B8" s="44">
        <v>254</v>
      </c>
      <c r="C8" s="37">
        <f t="shared" si="1"/>
        <v>0.33333333333333331</v>
      </c>
      <c r="E8" s="59" t="s">
        <v>69</v>
      </c>
      <c r="F8" s="56" t="s">
        <v>24</v>
      </c>
      <c r="G8" s="44">
        <v>274</v>
      </c>
      <c r="H8" s="129">
        <f>IF(B$15=0,0,G8/B$15)</f>
        <v>0.14621131270010673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254</v>
      </c>
      <c r="C9" s="38">
        <f t="shared" si="1"/>
        <v>0.33333333333333331</v>
      </c>
      <c r="E9" s="59" t="s">
        <v>89</v>
      </c>
      <c r="F9" s="56" t="s">
        <v>44</v>
      </c>
      <c r="G9" s="44">
        <v>251</v>
      </c>
      <c r="H9" s="129">
        <f>IF(B$15=0,0,G9/B$15)</f>
        <v>0.13393810032017076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75</v>
      </c>
      <c r="C10" s="40">
        <f t="shared" si="1"/>
        <v>9.8425196850393706E-2</v>
      </c>
      <c r="E10" s="59" t="s">
        <v>65</v>
      </c>
      <c r="F10" s="56" t="s">
        <v>21</v>
      </c>
      <c r="G10" s="44">
        <v>201</v>
      </c>
      <c r="H10" s="129">
        <f>IF(B$15=0,0,G10/B$15)</f>
        <v>0.10725720384204909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-1.943307086614174</v>
      </c>
      <c r="P10" s="114">
        <v>254</v>
      </c>
      <c r="Q10" s="102">
        <v>-493.60000000000019</v>
      </c>
    </row>
    <row r="11" spans="1:17" x14ac:dyDescent="0.4">
      <c r="A11" s="54" t="s">
        <v>121</v>
      </c>
      <c r="B11" s="47">
        <v>1619</v>
      </c>
      <c r="C11" s="42">
        <f>IF(B$3=0,0,B11/B$3)</f>
        <v>0.25516154452324663</v>
      </c>
      <c r="E11" s="59" t="s">
        <v>70</v>
      </c>
      <c r="F11" s="56" t="s">
        <v>25</v>
      </c>
      <c r="G11" s="44">
        <v>170</v>
      </c>
      <c r="H11" s="129">
        <f>IF(B$15=0,0,G11/B$15)</f>
        <v>9.0715048025613657E-2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0.38622047244094498</v>
      </c>
      <c r="P11" s="115">
        <v>254</v>
      </c>
      <c r="Q11" s="103">
        <v>98.100000000000023</v>
      </c>
    </row>
    <row r="12" spans="1:17" x14ac:dyDescent="0.4">
      <c r="A12" s="51" t="s">
        <v>118</v>
      </c>
      <c r="B12" s="44">
        <v>1452</v>
      </c>
      <c r="C12" s="37">
        <f>IF(B$3=0,0,B12/B$3)</f>
        <v>0.22884160756501182</v>
      </c>
      <c r="E12" s="59" t="s">
        <v>71</v>
      </c>
      <c r="F12" s="56" t="s">
        <v>26</v>
      </c>
      <c r="G12" s="44">
        <v>148</v>
      </c>
      <c r="H12" s="129">
        <f>IF(B$15=0,0,G12/B$15)</f>
        <v>7.8975453575240134E-2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1.5570866141732276</v>
      </c>
      <c r="P12" s="116">
        <v>254</v>
      </c>
      <c r="Q12" s="104">
        <v>395.49999999999983</v>
      </c>
    </row>
    <row r="13" spans="1:17" x14ac:dyDescent="0.4">
      <c r="A13" s="50" t="s">
        <v>123</v>
      </c>
      <c r="B13" s="43">
        <f>B19</f>
        <v>904</v>
      </c>
      <c r="C13" s="35">
        <f>IF(B$11=0,0,B13/B$11)</f>
        <v>0.55836936380481783</v>
      </c>
      <c r="E13" s="59" t="s">
        <v>86</v>
      </c>
      <c r="F13" s="56" t="s">
        <v>41</v>
      </c>
      <c r="G13" s="44">
        <v>98</v>
      </c>
      <c r="H13" s="129">
        <f>IF(B$15=0,0,G13/B$15)</f>
        <v>5.2294557097118465E-2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614</v>
      </c>
      <c r="C14" s="35">
        <f>IF(B$12=0,0,B14/B$12)</f>
        <v>0.42286501377410468</v>
      </c>
      <c r="E14" s="59" t="s">
        <v>83</v>
      </c>
      <c r="F14" s="56" t="s">
        <v>38</v>
      </c>
      <c r="G14" s="44">
        <v>95</v>
      </c>
      <c r="H14" s="129">
        <f>IF(B$15=0,0,G14/B$15)</f>
        <v>5.0693703308431162E-2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1874</v>
      </c>
      <c r="C15" s="35">
        <f>IF(B$3=0,0,B15/B$3)</f>
        <v>0.29535066981875491</v>
      </c>
      <c r="E15" s="59" t="s">
        <v>78</v>
      </c>
      <c r="F15" s="56" t="s">
        <v>33</v>
      </c>
      <c r="G15" s="44">
        <v>45</v>
      </c>
      <c r="H15" s="129">
        <f>IF(B$15=0,0,G15/B$15)</f>
        <v>2.4012806830309499E-2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1033</v>
      </c>
      <c r="C16" s="37">
        <f>IF(B$3=0,0,B16/B$3)</f>
        <v>0.16280535855003941</v>
      </c>
      <c r="E16" s="59" t="s">
        <v>162</v>
      </c>
      <c r="F16" s="56" t="s">
        <v>163</v>
      </c>
      <c r="G16" s="44">
        <v>45</v>
      </c>
      <c r="H16" s="129">
        <f>IF(B$15=0,0,G16/B$15)</f>
        <v>2.4012806830309499E-2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831</v>
      </c>
      <c r="C17" s="37">
        <f>IF(B$15=0,0,B17/B$15)</f>
        <v>0.44343649946638208</v>
      </c>
      <c r="E17" s="59" t="s">
        <v>81</v>
      </c>
      <c r="F17" s="56" t="s">
        <v>36</v>
      </c>
      <c r="G17" s="44">
        <v>37</v>
      </c>
      <c r="H17" s="129">
        <f>IF(B$15=0,0,G17/B$15)</f>
        <v>1.9743863393810034E-2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17.399999999999988</v>
      </c>
      <c r="P17" s="115">
        <v>108</v>
      </c>
      <c r="Q17" s="103">
        <v>1879.1999999999987</v>
      </c>
    </row>
    <row r="18" spans="1:17" x14ac:dyDescent="0.4">
      <c r="A18" s="51" t="s">
        <v>11</v>
      </c>
      <c r="B18" s="44">
        <v>1043</v>
      </c>
      <c r="C18" s="37">
        <f>IF(B$15=0,0,B18/B$15)</f>
        <v>0.55656350053361792</v>
      </c>
      <c r="E18" s="59" t="s">
        <v>91</v>
      </c>
      <c r="F18" s="56" t="s">
        <v>46</v>
      </c>
      <c r="G18" s="44">
        <v>26</v>
      </c>
      <c r="H18" s="129">
        <f>IF(B$15=0,0,G18/B$15)</f>
        <v>1.3874066168623266E-2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9.2849999999999966</v>
      </c>
      <c r="P18" s="115">
        <v>180</v>
      </c>
      <c r="Q18" s="103">
        <v>1671.2999999999995</v>
      </c>
    </row>
    <row r="19" spans="1:17" x14ac:dyDescent="0.4">
      <c r="A19" s="51" t="s">
        <v>195</v>
      </c>
      <c r="B19" s="44">
        <v>904</v>
      </c>
      <c r="C19" s="37">
        <f>IF(B$15=0,0,B19/B$15)</f>
        <v>0.4823906083244397</v>
      </c>
      <c r="E19" s="59" t="s">
        <v>79</v>
      </c>
      <c r="F19" s="56" t="s">
        <v>34</v>
      </c>
      <c r="G19" s="44">
        <v>25</v>
      </c>
      <c r="H19" s="129">
        <f>IF(B$15=0,0,G19/B$15)</f>
        <v>1.3340448239060833E-2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8.2398648648648596</v>
      </c>
      <c r="P19" s="115">
        <v>148</v>
      </c>
      <c r="Q19" s="103">
        <v>1219.4999999999991</v>
      </c>
    </row>
    <row r="20" spans="1:17" x14ac:dyDescent="0.4">
      <c r="A20" s="51" t="s">
        <v>193</v>
      </c>
      <c r="B20" s="44">
        <v>614</v>
      </c>
      <c r="C20" s="37">
        <f>IF(B$15=0,0,B20/B$15)</f>
        <v>0.32764140875133402</v>
      </c>
      <c r="E20" s="59" t="s">
        <v>75</v>
      </c>
      <c r="F20" s="56" t="s">
        <v>30</v>
      </c>
      <c r="G20" s="44">
        <v>14</v>
      </c>
      <c r="H20" s="129">
        <f>IF(B$15=0,0,G20/B$15)</f>
        <v>7.470651013874066E-3</v>
      </c>
      <c r="I20" s="90">
        <v>4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">
      <c r="A21" s="51" t="s">
        <v>194</v>
      </c>
      <c r="B21" s="44">
        <v>356</v>
      </c>
      <c r="C21" s="37">
        <f>IF(B$15=0,0,B21/B$15)</f>
        <v>0.18996798292422626</v>
      </c>
      <c r="E21" s="59" t="s">
        <v>92</v>
      </c>
      <c r="F21" s="56" t="s">
        <v>47</v>
      </c>
      <c r="G21" s="44">
        <v>11</v>
      </c>
      <c r="H21" s="129">
        <f>IF(B$15=0,0,G21/B$15)</f>
        <v>5.8697972251867663E-3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-1.0296992481203051</v>
      </c>
      <c r="P21" s="115">
        <v>266</v>
      </c>
      <c r="Q21" s="103">
        <v>-273.90000000000117</v>
      </c>
    </row>
    <row r="22" spans="1:17" x14ac:dyDescent="0.4">
      <c r="A22" s="51" t="s">
        <v>5</v>
      </c>
      <c r="B22" s="48">
        <f>IF(B$15=0,0,C22/B$15)</f>
        <v>8414.9946638207039</v>
      </c>
      <c r="C22" s="39">
        <v>15769700</v>
      </c>
      <c r="E22" s="59" t="s">
        <v>73</v>
      </c>
      <c r="F22" s="56" t="s">
        <v>28</v>
      </c>
      <c r="G22" s="44">
        <v>8</v>
      </c>
      <c r="H22" s="129">
        <f>IF(B$15=0,0,G22/B$15)</f>
        <v>4.2689434364994666E-3</v>
      </c>
      <c r="I22" s="90">
        <v>3</v>
      </c>
      <c r="K22" s="36">
        <v>20</v>
      </c>
      <c r="L22" s="95">
        <v>-61.199999999999996</v>
      </c>
      <c r="N22" s="111" t="s">
        <v>171</v>
      </c>
      <c r="O22" s="121">
        <f>IF(P22=0,0,Q22/P22)</f>
        <v>-1.5381578947368426</v>
      </c>
      <c r="P22" s="115">
        <v>228</v>
      </c>
      <c r="Q22" s="103">
        <v>-350.7000000000001</v>
      </c>
    </row>
    <row r="23" spans="1:17" x14ac:dyDescent="0.4">
      <c r="A23" s="52" t="s">
        <v>177</v>
      </c>
      <c r="B23" s="136">
        <f>IF($B$15-B$14=0,0,C23/($B$15-B$14))</f>
        <v>9061.0317460317456</v>
      </c>
      <c r="C23" s="137">
        <v>11416900</v>
      </c>
      <c r="E23" s="59" t="s">
        <v>74</v>
      </c>
      <c r="F23" s="56" t="s">
        <v>29</v>
      </c>
      <c r="G23" s="44">
        <v>8</v>
      </c>
      <c r="H23" s="129">
        <f>IF(B$15=0,0,G23/B$15)</f>
        <v>4.2689434364994666E-3</v>
      </c>
      <c r="I23" s="90">
        <v>5</v>
      </c>
      <c r="K23" s="36">
        <v>21</v>
      </c>
      <c r="L23" s="95">
        <v>7.1054273576010019E-15</v>
      </c>
      <c r="N23" s="111" t="s">
        <v>274</v>
      </c>
      <c r="O23" s="121">
        <f>IF(P23=0,0,Q23/P23)</f>
        <v>-4.950000000000002</v>
      </c>
      <c r="P23" s="115">
        <v>14</v>
      </c>
      <c r="Q23" s="103">
        <v>-69.300000000000026</v>
      </c>
    </row>
    <row r="24" spans="1:17" x14ac:dyDescent="0.4">
      <c r="A24" s="52" t="s">
        <v>178</v>
      </c>
      <c r="B24" s="136">
        <f>IF(B$14=0,0,C24/B$14)</f>
        <v>7089.2508143322475</v>
      </c>
      <c r="C24" s="137">
        <v>4352800</v>
      </c>
      <c r="E24" s="59" t="s">
        <v>84</v>
      </c>
      <c r="F24" s="56" t="s">
        <v>39</v>
      </c>
      <c r="G24" s="44">
        <v>7</v>
      </c>
      <c r="H24" s="129">
        <f>IF(B$15=0,0,G24/B$15)</f>
        <v>3.735325506937033E-3</v>
      </c>
      <c r="I24" s="90">
        <v>4</v>
      </c>
      <c r="K24" s="36">
        <v>22</v>
      </c>
      <c r="L24" s="95">
        <v>-25.099999999999994</v>
      </c>
      <c r="N24" s="111" t="s">
        <v>170</v>
      </c>
      <c r="O24" s="121">
        <f>IF(P24=0,0,Q24/P24)</f>
        <v>-5.2544999999999966</v>
      </c>
      <c r="P24" s="115">
        <v>200</v>
      </c>
      <c r="Q24" s="103">
        <v>-1050.8999999999994</v>
      </c>
    </row>
    <row r="25" spans="1:17" x14ac:dyDescent="0.4">
      <c r="A25" s="52" t="s">
        <v>176</v>
      </c>
      <c r="B25" s="136">
        <f>IF(B$16=0,0,C25/B$16)</f>
        <v>-7805.2274927395938</v>
      </c>
      <c r="C25" s="137">
        <v>-8062800</v>
      </c>
      <c r="E25" s="59" t="s">
        <v>85</v>
      </c>
      <c r="F25" s="56" t="s">
        <v>40</v>
      </c>
      <c r="G25" s="44">
        <v>7</v>
      </c>
      <c r="H25" s="129">
        <f>IF(B$15=0,0,G25/B$15)</f>
        <v>3.735325506937033E-3</v>
      </c>
      <c r="I25" s="90">
        <v>6</v>
      </c>
      <c r="K25" s="36">
        <v>23</v>
      </c>
      <c r="L25" s="95">
        <v>-26.799999999999994</v>
      </c>
      <c r="N25" s="111" t="s">
        <v>126</v>
      </c>
      <c r="O25" s="121">
        <f>IF(P25=0,0,Q25/P25)</f>
        <v>-12.054635761589397</v>
      </c>
      <c r="P25" s="115">
        <v>302</v>
      </c>
      <c r="Q25" s="103">
        <v>-3640.4999999999982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2.6680896478121665E-3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2.6680896478121665E-3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4</v>
      </c>
      <c r="H28" s="129">
        <f>IF(B$15=0,0,G28/B$15)</f>
        <v>2.1344717182497333E-3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95</v>
      </c>
      <c r="F29" s="56" t="s">
        <v>50</v>
      </c>
      <c r="G29" s="44">
        <v>4</v>
      </c>
      <c r="H29" s="129">
        <f>IF(B$15=0,0,G29/B$15)</f>
        <v>2.1344717182497333E-3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16</v>
      </c>
      <c r="C30" s="40">
        <f>IF(B$3=0,0,B30/B$3)</f>
        <v>2.5216706067769899E-3</v>
      </c>
      <c r="E30" s="59" t="s">
        <v>87</v>
      </c>
      <c r="F30" s="56" t="s">
        <v>42</v>
      </c>
      <c r="G30" s="44">
        <v>3</v>
      </c>
      <c r="H30" s="129">
        <f>IF(B$15=0,0,G30/B$15)</f>
        <v>1.6008537886872999E-3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3</v>
      </c>
      <c r="H31" s="129">
        <f>IF(B$15=0,0,G31/B$15)</f>
        <v>1.6008537886872999E-3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141</v>
      </c>
      <c r="C32" s="141">
        <f>IF(B$15=0,0,B32/B$15)</f>
        <v>7.5240128068303089E-2</v>
      </c>
      <c r="E32" s="59" t="s">
        <v>97</v>
      </c>
      <c r="F32" s="56" t="s">
        <v>52</v>
      </c>
      <c r="G32" s="44">
        <v>1</v>
      </c>
      <c r="H32" s="129">
        <f>IF(B$15=0,0,G32/B$15)</f>
        <v>5.3361792956243333E-4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313</v>
      </c>
      <c r="C33" s="37">
        <f t="shared" ref="C33:C44" si="2">IF(B$15=0,0,B33/B$15)</f>
        <v>0.16702241195304163</v>
      </c>
      <c r="E33" s="59" t="s">
        <v>101</v>
      </c>
      <c r="F33" s="56" t="s">
        <v>56</v>
      </c>
      <c r="G33" s="44">
        <v>1</v>
      </c>
      <c r="H33" s="129">
        <f>IF(B$15=0,0,G33/B$15)</f>
        <v>5.3361792956243333E-4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371</v>
      </c>
      <c r="C34" s="37">
        <f>IF(B$15=0,0,B34/B$15)</f>
        <v>0.19797225186766276</v>
      </c>
      <c r="E34" s="59" t="s">
        <v>106</v>
      </c>
      <c r="F34" s="56" t="s">
        <v>113</v>
      </c>
      <c r="G34" s="44">
        <v>1</v>
      </c>
      <c r="H34" s="129">
        <f>IF(B$15=0,0,G34/B$15)</f>
        <v>5.3361792956243333E-4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329</v>
      </c>
      <c r="C35" s="37">
        <f t="shared" si="2"/>
        <v>0.17556029882604055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302</v>
      </c>
      <c r="C36" s="37">
        <f t="shared" si="2"/>
        <v>0.16115261472785486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202</v>
      </c>
      <c r="C37" s="37">
        <f t="shared" si="2"/>
        <v>0.10779082177161152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102</v>
      </c>
      <c r="C38" s="37">
        <f t="shared" si="2"/>
        <v>5.4429028815368194E-2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52</v>
      </c>
      <c r="C39" s="37">
        <f t="shared" si="2"/>
        <v>2.7748132337246531E-2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22</v>
      </c>
      <c r="C40" s="37">
        <f t="shared" si="2"/>
        <v>1.1739594450373533E-2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7</v>
      </c>
      <c r="C41" s="37">
        <f t="shared" si="2"/>
        <v>3.735325506937033E-3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3.2017075773745998E-3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3.2017075773745998E-3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21</v>
      </c>
      <c r="C44" s="40">
        <f t="shared" si="2"/>
        <v>1.1205976520811099E-2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57CAB-F7E9-44E4-B52F-79B5F8FB223C}">
  <sheetPr codeName="Sheet7"/>
  <dimension ref="A1:Q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67</v>
      </c>
      <c r="C2" s="155"/>
      <c r="E2" s="58" t="s">
        <v>66</v>
      </c>
      <c r="F2" s="55" t="s">
        <v>22</v>
      </c>
      <c r="G2" s="43">
        <v>120</v>
      </c>
      <c r="H2" s="128">
        <f>IF(B$15=0,0,G2/B$15)</f>
        <v>0.7407407407407407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1441.7910447761194</v>
      </c>
      <c r="P2" s="114">
        <v>67</v>
      </c>
      <c r="Q2" s="98">
        <v>96600</v>
      </c>
    </row>
    <row r="3" spans="1:17" x14ac:dyDescent="0.4">
      <c r="A3" s="51" t="s">
        <v>8</v>
      </c>
      <c r="B3" s="156">
        <v>592</v>
      </c>
      <c r="C3" s="157"/>
      <c r="E3" s="59" t="s">
        <v>72</v>
      </c>
      <c r="F3" s="56" t="s">
        <v>27</v>
      </c>
      <c r="G3" s="44">
        <v>90</v>
      </c>
      <c r="H3" s="129">
        <f>IF(B$15=0,0,G3/B$15)</f>
        <v>0.55555555555555558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-2021.2121212121212</v>
      </c>
      <c r="P3" s="115">
        <v>66</v>
      </c>
      <c r="Q3" s="99">
        <v>-133400</v>
      </c>
    </row>
    <row r="4" spans="1:17" x14ac:dyDescent="0.4">
      <c r="A4" s="51" t="s">
        <v>6</v>
      </c>
      <c r="B4" s="158">
        <v>-494.00000000000017</v>
      </c>
      <c r="C4" s="159"/>
      <c r="E4" s="59" t="s">
        <v>166</v>
      </c>
      <c r="F4" s="56" t="s">
        <v>167</v>
      </c>
      <c r="G4" s="44">
        <v>66</v>
      </c>
      <c r="H4" s="129">
        <f>IF(B$15=0,0,G4/B$15)</f>
        <v>0.40740740740740738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-1348.4375</v>
      </c>
      <c r="P4" s="115">
        <v>64</v>
      </c>
      <c r="Q4" s="99">
        <v>-86300</v>
      </c>
    </row>
    <row r="5" spans="1:17" x14ac:dyDescent="0.4">
      <c r="A5" s="51" t="s">
        <v>7</v>
      </c>
      <c r="B5" s="160">
        <f>IF(B$2=0,0,B$4/B$2)</f>
        <v>-7.3731343283582111</v>
      </c>
      <c r="C5" s="161"/>
      <c r="E5" s="59" t="s">
        <v>64</v>
      </c>
      <c r="F5" s="56" t="s">
        <v>20</v>
      </c>
      <c r="G5" s="44">
        <v>42</v>
      </c>
      <c r="H5" s="129">
        <f>IF(B$15=0,0,G5/B$15)</f>
        <v>0.25925925925925924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-1325</v>
      </c>
      <c r="P5" s="115">
        <v>60</v>
      </c>
      <c r="Q5" s="99">
        <v>-79500</v>
      </c>
    </row>
    <row r="6" spans="1:17" x14ac:dyDescent="0.4">
      <c r="A6" s="51" t="s">
        <v>1</v>
      </c>
      <c r="B6" s="150">
        <f>IF(B$2=0,0,(B$7*1+B$8*2+B$9*3)/B$2)</f>
        <v>2.1641791044776117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0.25925925925925924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-83.050847457627114</v>
      </c>
      <c r="P6" s="115">
        <v>59</v>
      </c>
      <c r="Q6" s="99">
        <v>-4900</v>
      </c>
    </row>
    <row r="7" spans="1:17" x14ac:dyDescent="0.4">
      <c r="A7" s="51" t="s">
        <v>2</v>
      </c>
      <c r="B7" s="44">
        <v>21</v>
      </c>
      <c r="C7" s="37">
        <f t="shared" ref="C7:C10" si="1">IF(B$2=0,0,B7/B$2)</f>
        <v>0.31343283582089554</v>
      </c>
      <c r="E7" s="59" t="s">
        <v>69</v>
      </c>
      <c r="F7" s="56" t="s">
        <v>24</v>
      </c>
      <c r="G7" s="44">
        <v>32</v>
      </c>
      <c r="H7" s="129">
        <f>IF(B$15=0,0,G7/B$15)</f>
        <v>0.19753086419753085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-2321.5686274509803</v>
      </c>
      <c r="P7" s="116">
        <v>51</v>
      </c>
      <c r="Q7" s="100">
        <v>-118400</v>
      </c>
    </row>
    <row r="8" spans="1:17" x14ac:dyDescent="0.4">
      <c r="A8" s="51" t="s">
        <v>3</v>
      </c>
      <c r="B8" s="44">
        <v>14</v>
      </c>
      <c r="C8" s="37">
        <f t="shared" si="1"/>
        <v>0.20895522388059701</v>
      </c>
      <c r="E8" s="59" t="s">
        <v>67</v>
      </c>
      <c r="F8" s="56" t="s">
        <v>23</v>
      </c>
      <c r="G8" s="44">
        <v>24</v>
      </c>
      <c r="H8" s="129">
        <f>IF(B$15=0,0,G8/B$15)</f>
        <v>0.14814814814814814</v>
      </c>
      <c r="I8" s="90">
        <v>13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1"/>
        <v>0.47761194029850745</v>
      </c>
      <c r="E9" s="59" t="s">
        <v>70</v>
      </c>
      <c r="F9" s="56" t="s">
        <v>25</v>
      </c>
      <c r="G9" s="44">
        <v>19</v>
      </c>
      <c r="H9" s="129">
        <f>IF(B$15=0,0,G9/B$15)</f>
        <v>0.11728395061728394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7.4626865671641784E-2</v>
      </c>
      <c r="E10" s="59" t="s">
        <v>71</v>
      </c>
      <c r="F10" s="56" t="s">
        <v>26</v>
      </c>
      <c r="G10" s="44">
        <v>17</v>
      </c>
      <c r="H10" s="129">
        <f>IF(B$15=0,0,G10/B$15)</f>
        <v>0.10493827160493827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">
      <c r="A11" s="54" t="s">
        <v>121</v>
      </c>
      <c r="B11" s="47">
        <v>86</v>
      </c>
      <c r="C11" s="42">
        <f>IF(B$3=0,0,B11/B$3)</f>
        <v>0.14527027027027026</v>
      </c>
      <c r="E11" s="59" t="s">
        <v>83</v>
      </c>
      <c r="F11" s="56" t="s">
        <v>38</v>
      </c>
      <c r="G11" s="44">
        <v>13</v>
      </c>
      <c r="H11" s="129">
        <f>IF(B$15=0,0,G11/B$15)</f>
        <v>8.0246913580246909E-2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">
      <c r="A12" s="51" t="s">
        <v>118</v>
      </c>
      <c r="B12" s="44">
        <v>150</v>
      </c>
      <c r="C12" s="37">
        <f>IF(B$3=0,0,B12/B$3)</f>
        <v>0.2533783783783784</v>
      </c>
      <c r="E12" s="59" t="s">
        <v>65</v>
      </c>
      <c r="F12" s="56" t="s">
        <v>21</v>
      </c>
      <c r="G12" s="44">
        <v>9</v>
      </c>
      <c r="H12" s="129">
        <f>IF(B$15=0,0,G12/B$15)</f>
        <v>5.5555555555555552E-2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-0.67391304347826031</v>
      </c>
      <c r="P12" s="116">
        <v>23</v>
      </c>
      <c r="Q12" s="104">
        <v>-15.499999999999988</v>
      </c>
    </row>
    <row r="13" spans="1:17" x14ac:dyDescent="0.4">
      <c r="A13" s="50" t="s">
        <v>123</v>
      </c>
      <c r="B13" s="43">
        <f>B19</f>
        <v>44</v>
      </c>
      <c r="C13" s="35">
        <f>IF(B$11=0,0,B13/B$11)</f>
        <v>0.51162790697674421</v>
      </c>
      <c r="E13" s="59" t="s">
        <v>89</v>
      </c>
      <c r="F13" s="56" t="s">
        <v>44</v>
      </c>
      <c r="G13" s="44">
        <v>9</v>
      </c>
      <c r="H13" s="129">
        <f>IF(B$15=0,0,G13/B$15)</f>
        <v>5.5555555555555552E-2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61</v>
      </c>
      <c r="C14" s="35">
        <f>IF(B$12=0,0,B14/B$12)</f>
        <v>0.40666666666666668</v>
      </c>
      <c r="E14" s="59" t="s">
        <v>81</v>
      </c>
      <c r="F14" s="56" t="s">
        <v>36</v>
      </c>
      <c r="G14" s="44">
        <v>6</v>
      </c>
      <c r="H14" s="129">
        <f>IF(B$15=0,0,G14/B$15)</f>
        <v>3.7037037037037035E-2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162</v>
      </c>
      <c r="C15" s="35">
        <f>IF(B$3=0,0,B15/B$3)</f>
        <v>0.27364864864864863</v>
      </c>
      <c r="E15" s="59" t="s">
        <v>86</v>
      </c>
      <c r="F15" s="56" t="s">
        <v>41</v>
      </c>
      <c r="G15" s="44">
        <v>5</v>
      </c>
      <c r="H15" s="129">
        <f>IF(B$15=0,0,G15/B$15)</f>
        <v>3.0864197530864196E-2</v>
      </c>
      <c r="I15" s="90">
        <v>11</v>
      </c>
      <c r="K15" s="36">
        <v>13</v>
      </c>
      <c r="L15" s="95">
        <v>-66.2</v>
      </c>
      <c r="N15" s="110" t="s">
        <v>274</v>
      </c>
      <c r="O15" s="120">
        <f>IF(P15=0,0,Q15/P15)</f>
        <v>51.55</v>
      </c>
      <c r="P15" s="114">
        <v>2</v>
      </c>
      <c r="Q15" s="102">
        <v>103.1</v>
      </c>
    </row>
    <row r="16" spans="1:17" x14ac:dyDescent="0.4">
      <c r="A16" s="51" t="s">
        <v>13</v>
      </c>
      <c r="B16" s="44">
        <v>93</v>
      </c>
      <c r="C16" s="37">
        <f>IF(B$3=0,0,B16/B$3)</f>
        <v>0.1570945945945946</v>
      </c>
      <c r="E16" s="59" t="s">
        <v>79</v>
      </c>
      <c r="F16" s="56" t="s">
        <v>34</v>
      </c>
      <c r="G16" s="44">
        <v>3</v>
      </c>
      <c r="H16" s="129">
        <f>IF(B$15=0,0,G16/B$15)</f>
        <v>1.8518518518518517E-2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65</v>
      </c>
      <c r="C17" s="37">
        <f>IF(B$15=0,0,B17/B$15)</f>
        <v>0.40123456790123457</v>
      </c>
      <c r="E17" s="59" t="s">
        <v>91</v>
      </c>
      <c r="F17" s="56" t="s">
        <v>46</v>
      </c>
      <c r="G17" s="44">
        <v>3</v>
      </c>
      <c r="H17" s="129">
        <f>IF(B$15=0,0,G17/B$15)</f>
        <v>1.8518518518518517E-2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-3.9454545454545453</v>
      </c>
      <c r="P17" s="115">
        <v>22</v>
      </c>
      <c r="Q17" s="103">
        <v>-86.8</v>
      </c>
    </row>
    <row r="18" spans="1:17" x14ac:dyDescent="0.4">
      <c r="A18" s="51" t="s">
        <v>11</v>
      </c>
      <c r="B18" s="44">
        <v>97</v>
      </c>
      <c r="C18" s="37">
        <f>IF(B$15=0,0,B18/B$15)</f>
        <v>0.59876543209876543</v>
      </c>
      <c r="E18" s="59" t="s">
        <v>74</v>
      </c>
      <c r="F18" s="56" t="s">
        <v>29</v>
      </c>
      <c r="G18" s="44">
        <v>2</v>
      </c>
      <c r="H18" s="129">
        <f>IF(B$15=0,0,G18/B$15)</f>
        <v>1.2345679012345678E-2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>IF(P18=0,0,Q18/P18)</f>
        <v>-4.1851851851851869</v>
      </c>
      <c r="P18" s="115">
        <v>27</v>
      </c>
      <c r="Q18" s="103">
        <v>-113.00000000000004</v>
      </c>
    </row>
    <row r="19" spans="1:17" x14ac:dyDescent="0.4">
      <c r="A19" s="51" t="s">
        <v>195</v>
      </c>
      <c r="B19" s="44">
        <v>44</v>
      </c>
      <c r="C19" s="37">
        <f>IF(B$15=0,0,B19/B$15)</f>
        <v>0.27160493827160492</v>
      </c>
      <c r="E19" s="59" t="s">
        <v>88</v>
      </c>
      <c r="F19" s="56" t="s">
        <v>43</v>
      </c>
      <c r="G19" s="44">
        <v>2</v>
      </c>
      <c r="H19" s="129">
        <f>IF(B$15=0,0,G19/B$15)</f>
        <v>1.2345679012345678E-2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>IF(P19=0,0,Q19/P19)</f>
        <v>-6.0625000000000036</v>
      </c>
      <c r="P19" s="115">
        <v>16</v>
      </c>
      <c r="Q19" s="103">
        <v>-97.000000000000057</v>
      </c>
    </row>
    <row r="20" spans="1:17" x14ac:dyDescent="0.4">
      <c r="A20" s="51" t="s">
        <v>193</v>
      </c>
      <c r="B20" s="44">
        <v>61</v>
      </c>
      <c r="C20" s="37">
        <f>IF(B$15=0,0,B20/B$15)</f>
        <v>0.37654320987654322</v>
      </c>
      <c r="E20" s="59" t="s">
        <v>75</v>
      </c>
      <c r="F20" s="56" t="s">
        <v>30</v>
      </c>
      <c r="G20" s="44">
        <v>1</v>
      </c>
      <c r="H20" s="129">
        <f>IF(B$15=0,0,G20/B$15)</f>
        <v>6.1728395061728392E-3</v>
      </c>
      <c r="I20" s="90">
        <v>5</v>
      </c>
      <c r="K20" s="36">
        <v>18</v>
      </c>
      <c r="L20" s="95">
        <v>-80.2</v>
      </c>
      <c r="N20" s="111" t="s">
        <v>126</v>
      </c>
      <c r="O20" s="121">
        <f>IF(P20=0,0,Q20/P20)</f>
        <v>-11.200000000000001</v>
      </c>
      <c r="P20" s="115">
        <v>35</v>
      </c>
      <c r="Q20" s="103">
        <v>-392.00000000000006</v>
      </c>
    </row>
    <row r="21" spans="1:17" x14ac:dyDescent="0.4">
      <c r="A21" s="51" t="s">
        <v>194</v>
      </c>
      <c r="B21" s="44">
        <v>57</v>
      </c>
      <c r="C21" s="37">
        <f>IF(B$15=0,0,B21/B$15)</f>
        <v>0.35185185185185186</v>
      </c>
      <c r="E21" s="59" t="s">
        <v>77</v>
      </c>
      <c r="F21" s="56" t="s">
        <v>32</v>
      </c>
      <c r="G21" s="44">
        <v>1</v>
      </c>
      <c r="H21" s="129">
        <f>IF(B$15=0,0,G21/B$15)</f>
        <v>6.1728395061728392E-3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>IF(P21=0,0,Q21/P21)</f>
        <v>-34.137499999999996</v>
      </c>
      <c r="P21" s="115">
        <v>8</v>
      </c>
      <c r="Q21" s="103">
        <v>-273.09999999999997</v>
      </c>
    </row>
    <row r="22" spans="1:17" x14ac:dyDescent="0.4">
      <c r="A22" s="51" t="s">
        <v>5</v>
      </c>
      <c r="B22" s="48">
        <f>IF(B$15=0,0,C22/B$15)</f>
        <v>6873.4567901234568</v>
      </c>
      <c r="C22" s="39">
        <v>1113500</v>
      </c>
      <c r="E22" s="59" t="s">
        <v>78</v>
      </c>
      <c r="F22" s="56" t="s">
        <v>33</v>
      </c>
      <c r="G22" s="44">
        <v>1</v>
      </c>
      <c r="H22" s="129">
        <f>IF(B$15=0,0,G22/B$15)</f>
        <v>6.1728395061728392E-3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>IF(P22=0,0,Q22/P22)</f>
        <v>-37.1</v>
      </c>
      <c r="P22" s="115">
        <v>18</v>
      </c>
      <c r="Q22" s="103">
        <v>-667.80000000000007</v>
      </c>
    </row>
    <row r="23" spans="1:17" x14ac:dyDescent="0.4">
      <c r="A23" s="52" t="s">
        <v>177</v>
      </c>
      <c r="B23" s="136">
        <f>IF($B$15-B$14=0,0,C23/($B$15-B$14))</f>
        <v>7337.6237623762372</v>
      </c>
      <c r="C23" s="137">
        <v>741100</v>
      </c>
      <c r="E23" s="59" t="s">
        <v>84</v>
      </c>
      <c r="F23" s="56" t="s">
        <v>39</v>
      </c>
      <c r="G23" s="44">
        <v>1</v>
      </c>
      <c r="H23" s="129">
        <f>IF(B$15=0,0,G23/B$15)</f>
        <v>6.1728395061728392E-3</v>
      </c>
      <c r="I23" s="90">
        <v>3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6104.9180327868853</v>
      </c>
      <c r="C24" s="137">
        <v>372400</v>
      </c>
      <c r="E24" s="59" t="s">
        <v>93</v>
      </c>
      <c r="F24" s="56" t="s">
        <v>48</v>
      </c>
      <c r="G24" s="44">
        <v>1</v>
      </c>
      <c r="H24" s="129">
        <f>IF(B$15=0,0,G24/B$15)</f>
        <v>6.1728395061728392E-3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3.3783783783783786E-3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21</v>
      </c>
      <c r="C32" s="141">
        <f>IF(B$15=0,0,B32/B$15)</f>
        <v>0.12962962962962962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37</v>
      </c>
      <c r="C33" s="37">
        <f t="shared" ref="C33:C44" si="2">IF(B$15=0,0,B33/B$15)</f>
        <v>0.22839506172839505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34</v>
      </c>
      <c r="C34" s="37">
        <f>IF(B$15=0,0,B34/B$15)</f>
        <v>0.20987654320987653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24</v>
      </c>
      <c r="C35" s="37">
        <f t="shared" si="2"/>
        <v>0.14814814814814814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17</v>
      </c>
      <c r="C36" s="37">
        <f t="shared" si="2"/>
        <v>0.10493827160493827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14</v>
      </c>
      <c r="C37" s="37">
        <f t="shared" si="2"/>
        <v>8.6419753086419748E-2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9</v>
      </c>
      <c r="C38" s="37">
        <f t="shared" si="2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5</v>
      </c>
      <c r="C39" s="37">
        <f t="shared" si="2"/>
        <v>3.0864197530864196E-2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1</v>
      </c>
      <c r="C44" s="40">
        <f t="shared" si="2"/>
        <v>6.1728395061728392E-3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7B0B-061B-4A2D-8AC4-02C5B61AFF51}">
  <sheetPr codeName="Sheet9"/>
  <dimension ref="A1:Q1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151</v>
      </c>
      <c r="C2" s="155"/>
      <c r="E2" s="58" t="s">
        <v>66</v>
      </c>
      <c r="F2" s="55" t="s">
        <v>22</v>
      </c>
      <c r="G2" s="43">
        <v>283</v>
      </c>
      <c r="H2" s="128">
        <f>IF(B$15=0,0,G2/B$15)</f>
        <v>0.66745283018867929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1066.6666666666667</v>
      </c>
      <c r="P2" s="114">
        <v>150</v>
      </c>
      <c r="Q2" s="98">
        <v>160000</v>
      </c>
    </row>
    <row r="3" spans="1:17" x14ac:dyDescent="0.4">
      <c r="A3" s="51" t="s">
        <v>8</v>
      </c>
      <c r="B3" s="156">
        <v>1234</v>
      </c>
      <c r="C3" s="157"/>
      <c r="E3" s="59" t="s">
        <v>72</v>
      </c>
      <c r="F3" s="56" t="s">
        <v>27</v>
      </c>
      <c r="G3" s="44">
        <v>222</v>
      </c>
      <c r="H3" s="129">
        <f>IF(B$15=0,0,G3/B$15)</f>
        <v>0.52358490566037741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929.93197278911566</v>
      </c>
      <c r="P3" s="115">
        <v>147</v>
      </c>
      <c r="Q3" s="99">
        <v>136700</v>
      </c>
    </row>
    <row r="4" spans="1:17" x14ac:dyDescent="0.4">
      <c r="A4" s="51" t="s">
        <v>6</v>
      </c>
      <c r="B4" s="158">
        <v>1213.5000000000002</v>
      </c>
      <c r="C4" s="159"/>
      <c r="E4" s="59" t="s">
        <v>64</v>
      </c>
      <c r="F4" s="56" t="s">
        <v>20</v>
      </c>
      <c r="G4" s="44">
        <v>188</v>
      </c>
      <c r="H4" s="129">
        <f>IF(B$15=0,0,G4/B$15)</f>
        <v>0.44339622641509435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856.0283687943263</v>
      </c>
      <c r="P4" s="115">
        <v>141</v>
      </c>
      <c r="Q4" s="99">
        <v>120700</v>
      </c>
    </row>
    <row r="5" spans="1:17" x14ac:dyDescent="0.4">
      <c r="A5" s="51" t="s">
        <v>7</v>
      </c>
      <c r="B5" s="160">
        <f>IF(B$2=0,0,B$4/B$2)</f>
        <v>8.0364238410596034</v>
      </c>
      <c r="C5" s="161"/>
      <c r="E5" s="59" t="s">
        <v>166</v>
      </c>
      <c r="F5" s="56" t="s">
        <v>167</v>
      </c>
      <c r="G5" s="44">
        <v>161</v>
      </c>
      <c r="H5" s="129">
        <f>IF(B$15=0,0,G5/B$15)</f>
        <v>0.37971698113207547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122.90076335877863</v>
      </c>
      <c r="P5" s="115">
        <v>131</v>
      </c>
      <c r="Q5" s="99">
        <v>16100</v>
      </c>
    </row>
    <row r="6" spans="1:17" x14ac:dyDescent="0.4">
      <c r="A6" s="51" t="s">
        <v>1</v>
      </c>
      <c r="B6" s="150">
        <f>IF(B$2=0,0,(B$7*1+B$8*2+B$9*3)/B$2)</f>
        <v>1.8079470198675496</v>
      </c>
      <c r="C6" s="151"/>
      <c r="E6" s="59" t="s">
        <v>68</v>
      </c>
      <c r="F6" s="56" t="s">
        <v>12</v>
      </c>
      <c r="G6" s="44">
        <v>118</v>
      </c>
      <c r="H6" s="129">
        <f>IF(B$15=0,0,G6/B$15)</f>
        <v>0.27830188679245282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2178.5123966942147</v>
      </c>
      <c r="P6" s="115">
        <v>121</v>
      </c>
      <c r="Q6" s="99">
        <v>263600</v>
      </c>
    </row>
    <row r="7" spans="1:17" x14ac:dyDescent="0.4">
      <c r="A7" s="51" t="s">
        <v>2</v>
      </c>
      <c r="B7" s="44">
        <v>68</v>
      </c>
      <c r="C7" s="37">
        <f t="shared" ref="C7:C10" si="1">IF(B$2=0,0,B7/B$2)</f>
        <v>0.45033112582781459</v>
      </c>
      <c r="E7" s="59" t="s">
        <v>67</v>
      </c>
      <c r="F7" s="56" t="s">
        <v>23</v>
      </c>
      <c r="G7" s="44">
        <v>107</v>
      </c>
      <c r="H7" s="129">
        <f>IF(B$15=0,0,G7/B$15)</f>
        <v>0.25235849056603776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1932.3232323232323</v>
      </c>
      <c r="P7" s="116">
        <v>99</v>
      </c>
      <c r="Q7" s="100">
        <v>191300</v>
      </c>
    </row>
    <row r="8" spans="1:17" x14ac:dyDescent="0.4">
      <c r="A8" s="51" t="s">
        <v>3</v>
      </c>
      <c r="B8" s="44">
        <v>44</v>
      </c>
      <c r="C8" s="37">
        <f t="shared" si="1"/>
        <v>0.29139072847682118</v>
      </c>
      <c r="E8" s="59" t="s">
        <v>89</v>
      </c>
      <c r="F8" s="56" t="s">
        <v>44</v>
      </c>
      <c r="G8" s="44">
        <v>61</v>
      </c>
      <c r="H8" s="129">
        <f>IF(B$15=0,0,G8/B$15)</f>
        <v>0.14386792452830188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39</v>
      </c>
      <c r="C9" s="38">
        <f t="shared" si="1"/>
        <v>0.25827814569536423</v>
      </c>
      <c r="E9" s="59" t="s">
        <v>69</v>
      </c>
      <c r="F9" s="56" t="s">
        <v>24</v>
      </c>
      <c r="G9" s="44">
        <v>57</v>
      </c>
      <c r="H9" s="129">
        <f>IF(B$15=0,0,G9/B$15)</f>
        <v>0.13443396226415094</v>
      </c>
      <c r="I9" s="90">
        <v>8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4.6357615894039736E-2</v>
      </c>
      <c r="E10" s="59" t="s">
        <v>65</v>
      </c>
      <c r="F10" s="56" t="s">
        <v>21</v>
      </c>
      <c r="G10" s="44">
        <v>48</v>
      </c>
      <c r="H10" s="129">
        <f>IF(B$15=0,0,G10/B$15)</f>
        <v>0.11320754716981132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12.976190476190471</v>
      </c>
      <c r="P10" s="114">
        <v>42</v>
      </c>
      <c r="Q10" s="102">
        <v>544.99999999999977</v>
      </c>
    </row>
    <row r="11" spans="1:17" x14ac:dyDescent="0.4">
      <c r="A11" s="54" t="s">
        <v>121</v>
      </c>
      <c r="B11" s="47">
        <v>330</v>
      </c>
      <c r="C11" s="42">
        <f>IF(B$3=0,0,B11/B$3)</f>
        <v>0.26742301458670986</v>
      </c>
      <c r="E11" s="59" t="s">
        <v>71</v>
      </c>
      <c r="F11" s="56" t="s">
        <v>26</v>
      </c>
      <c r="G11" s="44">
        <v>29</v>
      </c>
      <c r="H11" s="129">
        <f>IF(B$15=0,0,G11/B$15)</f>
        <v>6.8396226415094338E-2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">
      <c r="A12" s="51" t="s">
        <v>118</v>
      </c>
      <c r="B12" s="44">
        <v>286</v>
      </c>
      <c r="C12" s="37">
        <f>IF(B$3=0,0,B12/B$3)</f>
        <v>0.23176661264181522</v>
      </c>
      <c r="E12" s="59" t="s">
        <v>86</v>
      </c>
      <c r="F12" s="56" t="s">
        <v>41</v>
      </c>
      <c r="G12" s="44">
        <v>28</v>
      </c>
      <c r="H12" s="129">
        <f>IF(B$15=0,0,G12/B$15)</f>
        <v>6.6037735849056603E-2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 x14ac:dyDescent="0.4">
      <c r="A13" s="50" t="s">
        <v>123</v>
      </c>
      <c r="B13" s="43">
        <f>B19</f>
        <v>198</v>
      </c>
      <c r="C13" s="35">
        <f>IF(B$11=0,0,B13/B$11)</f>
        <v>0.6</v>
      </c>
      <c r="E13" s="59" t="s">
        <v>70</v>
      </c>
      <c r="F13" s="56" t="s">
        <v>25</v>
      </c>
      <c r="G13" s="44">
        <v>24</v>
      </c>
      <c r="H13" s="129">
        <f>IF(B$15=0,0,G13/B$15)</f>
        <v>5.6603773584905662E-2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141</v>
      </c>
      <c r="C14" s="35">
        <f>IF(B$12=0,0,B14/B$12)</f>
        <v>0.49300699300699302</v>
      </c>
      <c r="E14" s="59" t="s">
        <v>83</v>
      </c>
      <c r="F14" s="56" t="s">
        <v>38</v>
      </c>
      <c r="G14" s="44">
        <v>21</v>
      </c>
      <c r="H14" s="129">
        <f>IF(B$15=0,0,G14/B$15)</f>
        <v>4.9528301886792456E-2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424</v>
      </c>
      <c r="C15" s="35">
        <f>IF(B$3=0,0,B15/B$3)</f>
        <v>0.34359805510534847</v>
      </c>
      <c r="E15" s="59" t="s">
        <v>78</v>
      </c>
      <c r="F15" s="56" t="s">
        <v>33</v>
      </c>
      <c r="G15" s="44">
        <v>15</v>
      </c>
      <c r="H15" s="129">
        <f>IF(B$15=0,0,G15/B$15)</f>
        <v>3.5377358490566037E-2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163</v>
      </c>
      <c r="C16" s="37">
        <f>IF(B$3=0,0,B16/B$3)</f>
        <v>0.13209076175040518</v>
      </c>
      <c r="E16" s="59" t="s">
        <v>162</v>
      </c>
      <c r="F16" s="56" t="s">
        <v>163</v>
      </c>
      <c r="G16" s="44">
        <v>13</v>
      </c>
      <c r="H16" s="129">
        <f>IF(B$15=0,0,G16/B$15)</f>
        <v>3.0660377358490566E-2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>IF(P16=0,0,Q16/P16)</f>
        <v>29.949999999999996</v>
      </c>
      <c r="P16" s="115">
        <v>2</v>
      </c>
      <c r="Q16" s="103">
        <v>59.899999999999991</v>
      </c>
    </row>
    <row r="17" spans="1:17" x14ac:dyDescent="0.4">
      <c r="A17" s="51" t="s">
        <v>12</v>
      </c>
      <c r="B17" s="44">
        <v>178</v>
      </c>
      <c r="C17" s="37">
        <f>IF(B$15=0,0,B17/B$15)</f>
        <v>0.419811320754717</v>
      </c>
      <c r="E17" s="59" t="s">
        <v>81</v>
      </c>
      <c r="F17" s="56" t="s">
        <v>36</v>
      </c>
      <c r="G17" s="44">
        <v>6</v>
      </c>
      <c r="H17" s="129">
        <f>IF(B$15=0,0,G17/B$15)</f>
        <v>1.4150943396226415E-2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27.288235294117644</v>
      </c>
      <c r="P17" s="115">
        <v>17</v>
      </c>
      <c r="Q17" s="103">
        <v>463.9</v>
      </c>
    </row>
    <row r="18" spans="1:17" x14ac:dyDescent="0.4">
      <c r="A18" s="51" t="s">
        <v>11</v>
      </c>
      <c r="B18" s="44">
        <v>246</v>
      </c>
      <c r="C18" s="37">
        <f>IF(B$15=0,0,B18/B$15)</f>
        <v>0.58018867924528306</v>
      </c>
      <c r="E18" s="59" t="s">
        <v>75</v>
      </c>
      <c r="F18" s="56" t="s">
        <v>30</v>
      </c>
      <c r="G18" s="44">
        <v>5</v>
      </c>
      <c r="H18" s="129">
        <f>IF(B$15=0,0,G18/B$15)</f>
        <v>1.179245283018868E-2</v>
      </c>
      <c r="I18" s="90">
        <v>3</v>
      </c>
      <c r="K18" s="36">
        <v>16</v>
      </c>
      <c r="L18" s="95">
        <v>323.69999999999993</v>
      </c>
      <c r="N18" s="111" t="s">
        <v>127</v>
      </c>
      <c r="O18" s="121">
        <f>IF(P18=0,0,Q18/P18)</f>
        <v>13.324175824175827</v>
      </c>
      <c r="P18" s="115">
        <v>91</v>
      </c>
      <c r="Q18" s="103">
        <v>1212.5000000000002</v>
      </c>
    </row>
    <row r="19" spans="1:17" x14ac:dyDescent="0.4">
      <c r="A19" s="51" t="s">
        <v>195</v>
      </c>
      <c r="B19" s="44">
        <v>198</v>
      </c>
      <c r="C19" s="37">
        <f>IF(B$15=0,0,B19/B$15)</f>
        <v>0.46698113207547171</v>
      </c>
      <c r="E19" s="59" t="s">
        <v>77</v>
      </c>
      <c r="F19" s="56" t="s">
        <v>32</v>
      </c>
      <c r="G19" s="44">
        <v>3</v>
      </c>
      <c r="H19" s="129">
        <f>IF(B$15=0,0,G19/B$15)</f>
        <v>7.0754716981132077E-3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>IF(P19=0,0,Q19/P19)</f>
        <v>13.271698113207547</v>
      </c>
      <c r="P19" s="115">
        <v>53</v>
      </c>
      <c r="Q19" s="103">
        <v>703.4</v>
      </c>
    </row>
    <row r="20" spans="1:17" x14ac:dyDescent="0.4">
      <c r="A20" s="51" t="s">
        <v>193</v>
      </c>
      <c r="B20" s="44">
        <v>141</v>
      </c>
      <c r="C20" s="37">
        <f>IF(B$15=0,0,B20/B$15)</f>
        <v>0.33254716981132076</v>
      </c>
      <c r="E20" s="59" t="s">
        <v>84</v>
      </c>
      <c r="F20" s="56" t="s">
        <v>39</v>
      </c>
      <c r="G20" s="44">
        <v>3</v>
      </c>
      <c r="H20" s="129">
        <f>IF(B$15=0,0,G20/B$15)</f>
        <v>7.0754716981132077E-3</v>
      </c>
      <c r="I20" s="90">
        <v>2</v>
      </c>
      <c r="K20" s="36">
        <v>18</v>
      </c>
      <c r="L20" s="95">
        <v>352.39999999999992</v>
      </c>
      <c r="N20" s="111" t="s">
        <v>172</v>
      </c>
      <c r="O20" s="121">
        <f>IF(P20=0,0,Q20/P20)</f>
        <v>12.07090909090909</v>
      </c>
      <c r="P20" s="115">
        <v>55</v>
      </c>
      <c r="Q20" s="103">
        <v>663.9</v>
      </c>
    </row>
    <row r="21" spans="1:17" x14ac:dyDescent="0.4">
      <c r="A21" s="51" t="s">
        <v>194</v>
      </c>
      <c r="B21" s="44">
        <v>85</v>
      </c>
      <c r="C21" s="37">
        <f>IF(B$15=0,0,B21/B$15)</f>
        <v>0.20047169811320756</v>
      </c>
      <c r="E21" s="59" t="s">
        <v>91</v>
      </c>
      <c r="F21" s="56" t="s">
        <v>46</v>
      </c>
      <c r="G21" s="44">
        <v>3</v>
      </c>
      <c r="H21" s="129">
        <f>IF(B$15=0,0,G21/B$15)</f>
        <v>7.0754716981132077E-3</v>
      </c>
      <c r="I21" s="90">
        <v>8</v>
      </c>
      <c r="K21" s="36">
        <v>19</v>
      </c>
      <c r="L21" s="95">
        <v>383.19999999999993</v>
      </c>
      <c r="N21" s="111" t="s">
        <v>161</v>
      </c>
      <c r="O21" s="121">
        <f>IF(P21=0,0,Q21/P21)</f>
        <v>11.755555555555556</v>
      </c>
      <c r="P21" s="115">
        <v>36</v>
      </c>
      <c r="Q21" s="103">
        <v>423.20000000000005</v>
      </c>
    </row>
    <row r="22" spans="1:17" x14ac:dyDescent="0.4">
      <c r="A22" s="51" t="s">
        <v>5</v>
      </c>
      <c r="B22" s="48">
        <f>IF(B$15=0,0,C22/B$15)</f>
        <v>8161.3207547169814</v>
      </c>
      <c r="C22" s="39">
        <v>3460400</v>
      </c>
      <c r="E22" s="59" t="s">
        <v>92</v>
      </c>
      <c r="F22" s="56" t="s">
        <v>47</v>
      </c>
      <c r="G22" s="44">
        <v>3</v>
      </c>
      <c r="H22" s="129">
        <f>IF(B$15=0,0,G22/B$15)</f>
        <v>7.0754716981132077E-3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>IF(P22=0,0,Q22/P22)</f>
        <v>-3.4128205128205127</v>
      </c>
      <c r="P22" s="115">
        <v>39</v>
      </c>
      <c r="Q22" s="103">
        <v>-133.1</v>
      </c>
    </row>
    <row r="23" spans="1:17" x14ac:dyDescent="0.4">
      <c r="A23" s="52" t="s">
        <v>177</v>
      </c>
      <c r="B23" s="136">
        <f>IF($B$15-B$14=0,0,C23/($B$15-B$14))</f>
        <v>8586.2190812720855</v>
      </c>
      <c r="C23" s="137">
        <v>2429900</v>
      </c>
      <c r="E23" s="59" t="s">
        <v>74</v>
      </c>
      <c r="F23" s="56" t="s">
        <v>29</v>
      </c>
      <c r="G23" s="44">
        <v>2</v>
      </c>
      <c r="H23" s="129">
        <f>IF(B$15=0,0,G23/B$15)</f>
        <v>4.7169811320754715E-3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7308.510638297872</v>
      </c>
      <c r="C24" s="137">
        <v>1030500</v>
      </c>
      <c r="E24" s="59" t="s">
        <v>79</v>
      </c>
      <c r="F24" s="56" t="s">
        <v>34</v>
      </c>
      <c r="G24" s="44">
        <v>2</v>
      </c>
      <c r="H24" s="129">
        <f>IF(B$15=0,0,G24/B$15)</f>
        <v>4.7169811320754715E-3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-7676.687116564417</v>
      </c>
      <c r="C25" s="137">
        <v>-1251300</v>
      </c>
      <c r="E25" s="59" t="s">
        <v>85</v>
      </c>
      <c r="F25" s="56" t="s">
        <v>40</v>
      </c>
      <c r="G25" s="44">
        <v>2</v>
      </c>
      <c r="H25" s="129">
        <f>IF(B$15=0,0,G25/B$15)</f>
        <v>4.7169811320754715E-3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2</v>
      </c>
      <c r="E26" s="59" t="s">
        <v>88</v>
      </c>
      <c r="F26" s="56" t="s">
        <v>43</v>
      </c>
      <c r="G26" s="44">
        <v>2</v>
      </c>
      <c r="H26" s="129">
        <f>IF(B$15=0,0,G26/B$15)</f>
        <v>4.7169811320754715E-3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10</v>
      </c>
      <c r="E27" s="59" t="s">
        <v>95</v>
      </c>
      <c r="F27" s="56" t="s">
        <v>50</v>
      </c>
      <c r="G27" s="44">
        <v>2</v>
      </c>
      <c r="H27" s="129">
        <f>IF(B$15=0,0,G27/B$15)</f>
        <v>4.7169811320754715E-3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2.3584905660377358E-3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2.3584905660377358E-3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8.1037277147487841E-4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39</v>
      </c>
      <c r="C32" s="141">
        <f>IF(B$15=0,0,B32/B$15)</f>
        <v>9.1981132075471692E-2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75</v>
      </c>
      <c r="C33" s="37">
        <f t="shared" ref="C33:C44" si="2">IF(B$15=0,0,B33/B$15)</f>
        <v>0.17688679245283018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90</v>
      </c>
      <c r="C34" s="37">
        <f>IF(B$15=0,0,B34/B$15)</f>
        <v>0.21226415094339623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77</v>
      </c>
      <c r="C35" s="37">
        <f t="shared" si="2"/>
        <v>0.18160377358490565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61</v>
      </c>
      <c r="C36" s="37">
        <f t="shared" si="2"/>
        <v>0.14386792452830188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40</v>
      </c>
      <c r="C37" s="37">
        <f t="shared" si="2"/>
        <v>9.4339622641509441E-2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21</v>
      </c>
      <c r="C38" s="37">
        <f t="shared" si="2"/>
        <v>4.9528301886792456E-2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6</v>
      </c>
      <c r="C39" s="37">
        <f t="shared" si="2"/>
        <v>1.4150943396226415E-2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8</v>
      </c>
      <c r="C40" s="37">
        <f t="shared" si="2"/>
        <v>1.8867924528301886E-2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2"/>
        <v>2.3584905660377358E-3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6</v>
      </c>
      <c r="C44" s="40">
        <f t="shared" si="2"/>
        <v>1.4150943396226415E-2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2F36-9EF9-4FB8-9866-4E48C91959DE}">
  <sheetPr codeName="Sheet11"/>
  <dimension ref="A1:Q13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133</v>
      </c>
      <c r="C2" s="155"/>
      <c r="E2" s="58" t="s">
        <v>66</v>
      </c>
      <c r="F2" s="55" t="s">
        <v>22</v>
      </c>
      <c r="G2" s="43">
        <v>280</v>
      </c>
      <c r="H2" s="128">
        <f>IF(B$15=0,0,G2/B$15)</f>
        <v>0.83086053412462912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-1605.3030303030303</v>
      </c>
      <c r="P2" s="114">
        <v>132</v>
      </c>
      <c r="Q2" s="98">
        <v>-211900</v>
      </c>
    </row>
    <row r="3" spans="1:17" x14ac:dyDescent="0.4">
      <c r="A3" s="51" t="s">
        <v>8</v>
      </c>
      <c r="B3" s="156">
        <v>1115</v>
      </c>
      <c r="C3" s="157"/>
      <c r="E3" s="59" t="s">
        <v>72</v>
      </c>
      <c r="F3" s="56" t="s">
        <v>27</v>
      </c>
      <c r="G3" s="44">
        <v>192</v>
      </c>
      <c r="H3" s="129">
        <f>IF(B$15=0,0,G3/B$15)</f>
        <v>0.56973293768545996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1619.2307692307693</v>
      </c>
      <c r="P3" s="115">
        <v>130</v>
      </c>
      <c r="Q3" s="99">
        <v>210500</v>
      </c>
    </row>
    <row r="4" spans="1:17" x14ac:dyDescent="0.4">
      <c r="A4" s="51" t="s">
        <v>6</v>
      </c>
      <c r="B4" s="158">
        <v>91.299999999999812</v>
      </c>
      <c r="C4" s="159"/>
      <c r="E4" s="59" t="s">
        <v>166</v>
      </c>
      <c r="F4" s="56" t="s">
        <v>167</v>
      </c>
      <c r="G4" s="44">
        <v>135</v>
      </c>
      <c r="H4" s="129">
        <f>IF(B$15=0,0,G4/B$15)</f>
        <v>0.40059347181008903</v>
      </c>
      <c r="I4" s="90">
        <v>6</v>
      </c>
      <c r="K4" s="36">
        <v>2</v>
      </c>
      <c r="L4" s="95">
        <v>-34.299999999999997</v>
      </c>
      <c r="N4" s="111" t="s">
        <v>132</v>
      </c>
      <c r="O4" s="118">
        <f t="shared" si="0"/>
        <v>-268.9075630252101</v>
      </c>
      <c r="P4" s="115">
        <v>119</v>
      </c>
      <c r="Q4" s="99">
        <v>-32000</v>
      </c>
    </row>
    <row r="5" spans="1:17" x14ac:dyDescent="0.4">
      <c r="A5" s="51" t="s">
        <v>7</v>
      </c>
      <c r="B5" s="160">
        <f>IF(B$2=0,0,B$4/B$2)</f>
        <v>0.68646616541353245</v>
      </c>
      <c r="C5" s="161"/>
      <c r="E5" s="59" t="s">
        <v>64</v>
      </c>
      <c r="F5" s="56" t="s">
        <v>20</v>
      </c>
      <c r="G5" s="44">
        <v>128</v>
      </c>
      <c r="H5" s="129">
        <f>IF(B$15=0,0,G5/B$15)</f>
        <v>0.37982195845697331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400.88495575221236</v>
      </c>
      <c r="P5" s="115">
        <v>113</v>
      </c>
      <c r="Q5" s="99">
        <v>45300</v>
      </c>
    </row>
    <row r="6" spans="1:17" x14ac:dyDescent="0.4">
      <c r="A6" s="51" t="s">
        <v>1</v>
      </c>
      <c r="B6" s="150">
        <f>IF(B$2=0,0,(B$7*1+B$8*2+B$9*3)/B$2)</f>
        <v>1.9473684210526316</v>
      </c>
      <c r="C6" s="151"/>
      <c r="E6" s="59" t="s">
        <v>68</v>
      </c>
      <c r="F6" s="56" t="s">
        <v>12</v>
      </c>
      <c r="G6" s="44">
        <v>93</v>
      </c>
      <c r="H6" s="129">
        <f>IF(B$15=0,0,G6/B$15)</f>
        <v>0.27596439169139464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-864.07766990291259</v>
      </c>
      <c r="P6" s="115">
        <v>103</v>
      </c>
      <c r="Q6" s="99">
        <v>-89000</v>
      </c>
    </row>
    <row r="7" spans="1:17" x14ac:dyDescent="0.4">
      <c r="A7" s="51" t="s">
        <v>2</v>
      </c>
      <c r="B7" s="44">
        <v>46</v>
      </c>
      <c r="C7" s="37">
        <f t="shared" ref="C7:C10" si="1">IF(B$2=0,0,B7/B$2)</f>
        <v>0.34586466165413532</v>
      </c>
      <c r="E7" s="59" t="s">
        <v>67</v>
      </c>
      <c r="F7" s="56" t="s">
        <v>23</v>
      </c>
      <c r="G7" s="44">
        <v>71</v>
      </c>
      <c r="H7" s="129">
        <f>IF(B$15=0,0,G7/B$15)</f>
        <v>0.21068249258160238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 x14ac:dyDescent="0.4">
      <c r="A8" s="51" t="s">
        <v>3</v>
      </c>
      <c r="B8" s="44">
        <v>48</v>
      </c>
      <c r="C8" s="37">
        <f t="shared" si="1"/>
        <v>0.36090225563909772</v>
      </c>
      <c r="E8" s="59" t="s">
        <v>69</v>
      </c>
      <c r="F8" s="56" t="s">
        <v>24</v>
      </c>
      <c r="G8" s="44">
        <v>41</v>
      </c>
      <c r="H8" s="129">
        <f>IF(B$15=0,0,G8/B$15)</f>
        <v>0.12166172106824925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39</v>
      </c>
      <c r="C9" s="38">
        <f t="shared" si="1"/>
        <v>0.2932330827067669</v>
      </c>
      <c r="E9" s="59" t="s">
        <v>89</v>
      </c>
      <c r="F9" s="56" t="s">
        <v>44</v>
      </c>
      <c r="G9" s="44">
        <v>40</v>
      </c>
      <c r="H9" s="129">
        <f>IF(B$15=0,0,G9/B$15)</f>
        <v>0.11869436201780416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0.13533834586466165</v>
      </c>
      <c r="E10" s="59" t="s">
        <v>71</v>
      </c>
      <c r="F10" s="56" t="s">
        <v>26</v>
      </c>
      <c r="G10" s="44">
        <v>32</v>
      </c>
      <c r="H10" s="129">
        <f>IF(B$15=0,0,G10/B$15)</f>
        <v>9.4955489614243327E-2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 x14ac:dyDescent="0.4">
      <c r="A11" s="54" t="s">
        <v>121</v>
      </c>
      <c r="B11" s="47">
        <v>255</v>
      </c>
      <c r="C11" s="42">
        <f>IF(B$3=0,0,B11/B$3)</f>
        <v>0.22869955156950672</v>
      </c>
      <c r="E11" s="59" t="s">
        <v>70</v>
      </c>
      <c r="F11" s="56" t="s">
        <v>25</v>
      </c>
      <c r="G11" s="44">
        <v>31</v>
      </c>
      <c r="H11" s="129">
        <f>IF(B$15=0,0,G11/B$15)</f>
        <v>9.1988130563798218E-2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5.1195652173913055</v>
      </c>
      <c r="P11" s="115">
        <v>46</v>
      </c>
      <c r="Q11" s="103">
        <v>235.50000000000006</v>
      </c>
    </row>
    <row r="12" spans="1:17" x14ac:dyDescent="0.4">
      <c r="A12" s="51" t="s">
        <v>118</v>
      </c>
      <c r="B12" s="44">
        <v>339</v>
      </c>
      <c r="C12" s="37">
        <f>IF(B$3=0,0,B12/B$3)</f>
        <v>0.3040358744394619</v>
      </c>
      <c r="E12" s="59" t="s">
        <v>65</v>
      </c>
      <c r="F12" s="56" t="s">
        <v>21</v>
      </c>
      <c r="G12" s="44">
        <v>30</v>
      </c>
      <c r="H12" s="129">
        <f>IF(B$15=0,0,G12/B$15)</f>
        <v>8.9020771513353122E-2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">
      <c r="A13" s="50" t="s">
        <v>123</v>
      </c>
      <c r="B13" s="43">
        <f>B19</f>
        <v>127</v>
      </c>
      <c r="C13" s="35">
        <f>IF(B$11=0,0,B13/B$11)</f>
        <v>0.49803921568627452</v>
      </c>
      <c r="E13" s="59" t="s">
        <v>86</v>
      </c>
      <c r="F13" s="56" t="s">
        <v>41</v>
      </c>
      <c r="G13" s="44">
        <v>22</v>
      </c>
      <c r="H13" s="129">
        <f>IF(B$15=0,0,G13/B$15)</f>
        <v>6.5281899109792291E-2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130</v>
      </c>
      <c r="C14" s="35">
        <f>IF(B$12=0,0,B14/B$12)</f>
        <v>0.38348082595870209</v>
      </c>
      <c r="E14" s="59" t="s">
        <v>83</v>
      </c>
      <c r="F14" s="56" t="s">
        <v>38</v>
      </c>
      <c r="G14" s="44">
        <v>19</v>
      </c>
      <c r="H14" s="129">
        <f>IF(B$15=0,0,G14/B$15)</f>
        <v>5.637982195845697E-2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337</v>
      </c>
      <c r="C15" s="35">
        <f>IF(B$3=0,0,B15/B$3)</f>
        <v>0.30224215246636771</v>
      </c>
      <c r="E15" s="59" t="s">
        <v>78</v>
      </c>
      <c r="F15" s="56" t="s">
        <v>33</v>
      </c>
      <c r="G15" s="44">
        <v>10</v>
      </c>
      <c r="H15" s="129">
        <f>IF(B$15=0,0,G15/B$15)</f>
        <v>2.967359050445104E-2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210</v>
      </c>
      <c r="C16" s="37">
        <f>IF(B$3=0,0,B16/B$3)</f>
        <v>0.18834080717488788</v>
      </c>
      <c r="E16" s="59" t="s">
        <v>91</v>
      </c>
      <c r="F16" s="56" t="s">
        <v>46</v>
      </c>
      <c r="G16" s="44">
        <v>10</v>
      </c>
      <c r="H16" s="129">
        <f>IF(B$15=0,0,G16/B$15)</f>
        <v>2.967359050445104E-2</v>
      </c>
      <c r="I16" s="90">
        <v>2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 x14ac:dyDescent="0.4">
      <c r="A17" s="51" t="s">
        <v>12</v>
      </c>
      <c r="B17" s="44">
        <v>140</v>
      </c>
      <c r="C17" s="37">
        <f>IF(B$15=0,0,B17/B$15)</f>
        <v>0.41543026706231456</v>
      </c>
      <c r="E17" s="59" t="s">
        <v>81</v>
      </c>
      <c r="F17" s="56" t="s">
        <v>36</v>
      </c>
      <c r="G17" s="44">
        <v>8</v>
      </c>
      <c r="H17" s="129">
        <f>IF(B$15=0,0,G17/B$15)</f>
        <v>2.3738872403560832E-2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16.497872340425523</v>
      </c>
      <c r="P17" s="115">
        <v>47</v>
      </c>
      <c r="Q17" s="103">
        <v>775.39999999999964</v>
      </c>
    </row>
    <row r="18" spans="1:17" x14ac:dyDescent="0.4">
      <c r="A18" s="51" t="s">
        <v>11</v>
      </c>
      <c r="B18" s="44">
        <v>197</v>
      </c>
      <c r="C18" s="37">
        <f>IF(B$15=0,0,B18/B$15)</f>
        <v>0.58456973293768544</v>
      </c>
      <c r="E18" s="59" t="s">
        <v>79</v>
      </c>
      <c r="F18" s="56" t="s">
        <v>34</v>
      </c>
      <c r="G18" s="44">
        <v>6</v>
      </c>
      <c r="H18" s="129">
        <f>IF(B$15=0,0,G18/B$15)</f>
        <v>1.7804154302670624E-2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127</v>
      </c>
      <c r="C19" s="37">
        <f>IF(B$15=0,0,B19/B$15)</f>
        <v>0.37685459940652821</v>
      </c>
      <c r="E19" s="59" t="s">
        <v>162</v>
      </c>
      <c r="F19" s="56" t="s">
        <v>163</v>
      </c>
      <c r="G19" s="44">
        <v>4</v>
      </c>
      <c r="H19" s="129">
        <f>IF(B$15=0,0,G19/B$15)</f>
        <v>1.1869436201780416E-2</v>
      </c>
      <c r="I19" s="90">
        <v>7</v>
      </c>
      <c r="K19" s="36">
        <v>17</v>
      </c>
      <c r="L19" s="95">
        <v>-179.70000000000002</v>
      </c>
      <c r="N19" s="111" t="s">
        <v>274</v>
      </c>
      <c r="O19" s="121">
        <f>IF(P19=0,0,Q19/P19)</f>
        <v>12.150000000000002</v>
      </c>
      <c r="P19" s="115">
        <v>2</v>
      </c>
      <c r="Q19" s="103">
        <v>24.300000000000004</v>
      </c>
    </row>
    <row r="20" spans="1:17" x14ac:dyDescent="0.4">
      <c r="A20" s="51" t="s">
        <v>193</v>
      </c>
      <c r="B20" s="44">
        <v>130</v>
      </c>
      <c r="C20" s="37">
        <f>IF(B$15=0,0,B20/B$15)</f>
        <v>0.3857566765578635</v>
      </c>
      <c r="E20" s="59" t="s">
        <v>92</v>
      </c>
      <c r="F20" s="56" t="s">
        <v>47</v>
      </c>
      <c r="G20" s="44">
        <v>3</v>
      </c>
      <c r="H20" s="129">
        <f>IF(B$15=0,0,G20/B$15)</f>
        <v>8.9020771513353119E-3</v>
      </c>
      <c r="I20" s="90">
        <v>2</v>
      </c>
      <c r="K20" s="36">
        <v>18</v>
      </c>
      <c r="L20" s="95">
        <v>-112.90000000000002</v>
      </c>
      <c r="N20" s="111" t="s">
        <v>161</v>
      </c>
      <c r="O20" s="121">
        <f>IF(P20=0,0,Q20/P20)</f>
        <v>4.1851851851851842</v>
      </c>
      <c r="P20" s="115">
        <v>27</v>
      </c>
      <c r="Q20" s="103">
        <v>112.99999999999999</v>
      </c>
    </row>
    <row r="21" spans="1:17" x14ac:dyDescent="0.4">
      <c r="A21" s="51" t="s">
        <v>194</v>
      </c>
      <c r="B21" s="44">
        <v>80</v>
      </c>
      <c r="C21" s="37">
        <f>IF(B$15=0,0,B21/B$15)</f>
        <v>0.23738872403560832</v>
      </c>
      <c r="E21" s="59" t="s">
        <v>74</v>
      </c>
      <c r="F21" s="56" t="s">
        <v>29</v>
      </c>
      <c r="G21" s="44">
        <v>2</v>
      </c>
      <c r="H21" s="129">
        <f>IF(B$15=0,0,G21/B$15)</f>
        <v>5.9347181008902079E-3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3.5842105263157951</v>
      </c>
      <c r="P21" s="115">
        <v>38</v>
      </c>
      <c r="Q21" s="103">
        <v>136.20000000000022</v>
      </c>
    </row>
    <row r="22" spans="1:17" x14ac:dyDescent="0.4">
      <c r="A22" s="51" t="s">
        <v>5</v>
      </c>
      <c r="B22" s="48">
        <f>IF(B$15=0,0,C22/B$15)</f>
        <v>8466.4688427299698</v>
      </c>
      <c r="C22" s="39">
        <v>2853200</v>
      </c>
      <c r="E22" s="59" t="s">
        <v>75</v>
      </c>
      <c r="F22" s="56" t="s">
        <v>30</v>
      </c>
      <c r="G22" s="44">
        <v>2</v>
      </c>
      <c r="H22" s="129">
        <f>IF(B$15=0,0,G22/B$15)</f>
        <v>5.9347181008902079E-3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>IF(P22=0,0,Q22/P22)</f>
        <v>-0.33499999999999791</v>
      </c>
      <c r="P22" s="115">
        <v>40</v>
      </c>
      <c r="Q22" s="103">
        <v>-13.399999999999917</v>
      </c>
    </row>
    <row r="23" spans="1:17" x14ac:dyDescent="0.4">
      <c r="A23" s="52" t="s">
        <v>177</v>
      </c>
      <c r="B23" s="136">
        <f>IF($B$15-B$14=0,0,C23/($B$15-B$14))</f>
        <v>9141.5458937198073</v>
      </c>
      <c r="C23" s="137">
        <v>1892300</v>
      </c>
      <c r="E23" s="59" t="s">
        <v>73</v>
      </c>
      <c r="F23" s="56" t="s">
        <v>28</v>
      </c>
      <c r="G23" s="44">
        <v>1</v>
      </c>
      <c r="H23" s="129">
        <f>IF(B$15=0,0,G23/B$15)</f>
        <v>2.967359050445104E-3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-13.324175824175827</v>
      </c>
      <c r="P23" s="115">
        <v>91</v>
      </c>
      <c r="Q23" s="103">
        <v>-1212.5000000000002</v>
      </c>
    </row>
    <row r="24" spans="1:17" x14ac:dyDescent="0.4">
      <c r="A24" s="52" t="s">
        <v>178</v>
      </c>
      <c r="B24" s="136">
        <f>IF(B$14=0,0,C24/B$14)</f>
        <v>7391.5384615384619</v>
      </c>
      <c r="C24" s="137">
        <v>960900</v>
      </c>
      <c r="E24" s="59" t="s">
        <v>77</v>
      </c>
      <c r="F24" s="56" t="s">
        <v>32</v>
      </c>
      <c r="G24" s="44">
        <v>1</v>
      </c>
      <c r="H24" s="129">
        <f>IF(B$15=0,0,G24/B$15)</f>
        <v>2.967359050445104E-3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-7849.5238095238092</v>
      </c>
      <c r="C25" s="137">
        <v>-1648400</v>
      </c>
      <c r="E25" s="59" t="s">
        <v>84</v>
      </c>
      <c r="F25" s="56" t="s">
        <v>39</v>
      </c>
      <c r="G25" s="44">
        <v>1</v>
      </c>
      <c r="H25" s="129">
        <f>IF(B$15=0,0,G25/B$15)</f>
        <v>2.967359050445104E-3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2.967359050445104E-3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2.967359050445104E-3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4</v>
      </c>
      <c r="C30" s="40">
        <f>IF(B$3=0,0,B30/B$3)</f>
        <v>3.5874439461883408E-3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23</v>
      </c>
      <c r="C32" s="141">
        <f>IF(B$15=0,0,B32/B$15)</f>
        <v>6.8249258160237386E-2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53</v>
      </c>
      <c r="C33" s="37">
        <f t="shared" ref="C33:C44" si="2">IF(B$15=0,0,B33/B$15)</f>
        <v>0.15727002967359049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69</v>
      </c>
      <c r="C34" s="37">
        <f>IF(B$15=0,0,B34/B$15)</f>
        <v>0.20474777448071216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73</v>
      </c>
      <c r="C35" s="37">
        <f t="shared" si="2"/>
        <v>0.21661721068249259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50</v>
      </c>
      <c r="C36" s="37">
        <f t="shared" si="2"/>
        <v>0.14836795252225518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38</v>
      </c>
      <c r="C37" s="37">
        <f t="shared" si="2"/>
        <v>0.11275964391691394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11</v>
      </c>
      <c r="C38" s="37">
        <f t="shared" si="2"/>
        <v>3.2640949554896145E-2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8</v>
      </c>
      <c r="C39" s="37">
        <f t="shared" si="2"/>
        <v>2.3738872403560832E-2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5</v>
      </c>
      <c r="C40" s="37">
        <f t="shared" si="2"/>
        <v>1.483679525222552E-2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2"/>
        <v>2.967359050445104E-3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2"/>
        <v>5.9347181008902079E-3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2"/>
        <v>1.1869436201780416E-2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B1BC-CFCD-4866-BD24-A090F5382ECE}">
  <sheetPr codeName="Sheet13"/>
  <dimension ref="A1:Q9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90</v>
      </c>
      <c r="C2" s="155"/>
      <c r="E2" s="58" t="s">
        <v>66</v>
      </c>
      <c r="F2" s="55" t="s">
        <v>22</v>
      </c>
      <c r="G2" s="43">
        <v>166</v>
      </c>
      <c r="H2" s="128">
        <f>IF(B$15=0,0,G2/B$15)</f>
        <v>0.78301886792452835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-191.01123595505618</v>
      </c>
      <c r="P2" s="114">
        <v>89</v>
      </c>
      <c r="Q2" s="98">
        <v>-17000</v>
      </c>
    </row>
    <row r="3" spans="1:17" x14ac:dyDescent="0.4">
      <c r="A3" s="51" t="s">
        <v>8</v>
      </c>
      <c r="B3" s="156">
        <v>763</v>
      </c>
      <c r="C3" s="157"/>
      <c r="E3" s="59" t="s">
        <v>64</v>
      </c>
      <c r="F3" s="56" t="s">
        <v>20</v>
      </c>
      <c r="G3" s="44">
        <v>119</v>
      </c>
      <c r="H3" s="129">
        <f>IF(B$15=0,0,G3/B$15)</f>
        <v>0.56132075471698117</v>
      </c>
      <c r="I3" s="90">
        <v>6</v>
      </c>
      <c r="K3" s="36">
        <v>1</v>
      </c>
      <c r="L3" s="95">
        <v>-37.799999999999997</v>
      </c>
      <c r="N3" s="111" t="s">
        <v>131</v>
      </c>
      <c r="O3" s="118">
        <f t="shared" si="0"/>
        <v>-1214.6067415730338</v>
      </c>
      <c r="P3" s="115">
        <v>89</v>
      </c>
      <c r="Q3" s="99">
        <v>-108100</v>
      </c>
    </row>
    <row r="4" spans="1:17" x14ac:dyDescent="0.4">
      <c r="A4" s="51" t="s">
        <v>6</v>
      </c>
      <c r="B4" s="158">
        <v>-557.1</v>
      </c>
      <c r="C4" s="159"/>
      <c r="E4" s="59" t="s">
        <v>72</v>
      </c>
      <c r="F4" s="56" t="s">
        <v>27</v>
      </c>
      <c r="G4" s="44">
        <v>107</v>
      </c>
      <c r="H4" s="129">
        <f>IF(B$15=0,0,G4/B$15)</f>
        <v>0.50471698113207553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616.86746987951813</v>
      </c>
      <c r="P4" s="115">
        <v>83</v>
      </c>
      <c r="Q4" s="99">
        <v>51200</v>
      </c>
    </row>
    <row r="5" spans="1:17" x14ac:dyDescent="0.4">
      <c r="A5" s="51" t="s">
        <v>7</v>
      </c>
      <c r="B5" s="160">
        <f>IF(B$2=0,0,B$4/B$2)</f>
        <v>-6.19</v>
      </c>
      <c r="C5" s="161"/>
      <c r="E5" s="59" t="s">
        <v>166</v>
      </c>
      <c r="F5" s="56" t="s">
        <v>167</v>
      </c>
      <c r="G5" s="44">
        <v>88</v>
      </c>
      <c r="H5" s="129">
        <f>IF(B$15=0,0,G5/B$15)</f>
        <v>0.41509433962264153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-445.1219512195122</v>
      </c>
      <c r="P5" s="115">
        <v>82</v>
      </c>
      <c r="Q5" s="99">
        <v>-36500</v>
      </c>
    </row>
    <row r="6" spans="1:17" x14ac:dyDescent="0.4">
      <c r="A6" s="51" t="s">
        <v>1</v>
      </c>
      <c r="B6" s="150">
        <f>IF(B$2=0,0,(B$7*1+B$8*2+B$9*3)/B$2)</f>
        <v>2.1555555555555554</v>
      </c>
      <c r="C6" s="151"/>
      <c r="E6" s="59" t="s">
        <v>68</v>
      </c>
      <c r="F6" s="56" t="s">
        <v>12</v>
      </c>
      <c r="G6" s="44">
        <v>72</v>
      </c>
      <c r="H6" s="129">
        <f>IF(B$15=0,0,G6/B$15)</f>
        <v>0.33962264150943394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-2923.3766233766232</v>
      </c>
      <c r="P6" s="115">
        <v>77</v>
      </c>
      <c r="Q6" s="99">
        <v>-225100</v>
      </c>
    </row>
    <row r="7" spans="1:17" x14ac:dyDescent="0.4">
      <c r="A7" s="51" t="s">
        <v>2</v>
      </c>
      <c r="B7" s="44">
        <v>20</v>
      </c>
      <c r="C7" s="37">
        <f t="shared" ref="C7:C10" si="1">IF(B$2=0,0,B7/B$2)</f>
        <v>0.22222222222222221</v>
      </c>
      <c r="E7" s="59" t="s">
        <v>67</v>
      </c>
      <c r="F7" s="56" t="s">
        <v>23</v>
      </c>
      <c r="G7" s="44">
        <v>62</v>
      </c>
      <c r="H7" s="129">
        <f>IF(B$15=0,0,G7/B$15)</f>
        <v>0.29245283018867924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-1231.8181818181818</v>
      </c>
      <c r="P7" s="116">
        <v>66</v>
      </c>
      <c r="Q7" s="100">
        <v>-81300</v>
      </c>
    </row>
    <row r="8" spans="1:17" x14ac:dyDescent="0.4">
      <c r="A8" s="51" t="s">
        <v>3</v>
      </c>
      <c r="B8" s="44">
        <v>36</v>
      </c>
      <c r="C8" s="37">
        <f t="shared" si="1"/>
        <v>0.4</v>
      </c>
      <c r="E8" s="59" t="s">
        <v>69</v>
      </c>
      <c r="F8" s="56" t="s">
        <v>24</v>
      </c>
      <c r="G8" s="44">
        <v>30</v>
      </c>
      <c r="H8" s="129">
        <f>IF(B$15=0,0,G8/B$15)</f>
        <v>0.14150943396226415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0.37777777777777777</v>
      </c>
      <c r="E9" s="59" t="s">
        <v>70</v>
      </c>
      <c r="F9" s="56" t="s">
        <v>25</v>
      </c>
      <c r="G9" s="44">
        <v>26</v>
      </c>
      <c r="H9" s="129">
        <f>IF(B$15=0,0,G9/B$15)</f>
        <v>0.12264150943396226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7.7777777777777779E-2</v>
      </c>
      <c r="E10" s="59" t="s">
        <v>65</v>
      </c>
      <c r="F10" s="56" t="s">
        <v>21</v>
      </c>
      <c r="G10" s="44">
        <v>25</v>
      </c>
      <c r="H10" s="129">
        <f>IF(B$15=0,0,G10/B$15)</f>
        <v>0.11792452830188679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-5.00810810810811</v>
      </c>
      <c r="P10" s="114">
        <v>37</v>
      </c>
      <c r="Q10" s="102">
        <v>-185.30000000000007</v>
      </c>
    </row>
    <row r="11" spans="1:17" x14ac:dyDescent="0.4">
      <c r="A11" s="54" t="s">
        <v>121</v>
      </c>
      <c r="B11" s="47">
        <v>214</v>
      </c>
      <c r="C11" s="42">
        <f>IF(B$3=0,0,B11/B$3)</f>
        <v>0.28047182175622543</v>
      </c>
      <c r="E11" s="59" t="s">
        <v>89</v>
      </c>
      <c r="F11" s="56" t="s">
        <v>44</v>
      </c>
      <c r="G11" s="44">
        <v>25</v>
      </c>
      <c r="H11" s="129">
        <f>IF(B$15=0,0,G11/B$15)</f>
        <v>0.11792452830188679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-6.0320000000000018</v>
      </c>
      <c r="P11" s="115">
        <v>25</v>
      </c>
      <c r="Q11" s="103">
        <v>-150.80000000000004</v>
      </c>
    </row>
    <row r="12" spans="1:17" x14ac:dyDescent="0.4">
      <c r="A12" s="51" t="s">
        <v>118</v>
      </c>
      <c r="B12" s="44">
        <v>154</v>
      </c>
      <c r="C12" s="37">
        <f>IF(B$3=0,0,B12/B$3)</f>
        <v>0.20183486238532111</v>
      </c>
      <c r="E12" s="59" t="s">
        <v>83</v>
      </c>
      <c r="F12" s="56" t="s">
        <v>38</v>
      </c>
      <c r="G12" s="44">
        <v>11</v>
      </c>
      <c r="H12" s="129">
        <f>IF(B$15=0,0,G12/B$15)</f>
        <v>5.1886792452830191E-2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">
      <c r="A13" s="50" t="s">
        <v>123</v>
      </c>
      <c r="B13" s="43">
        <f>B19</f>
        <v>118</v>
      </c>
      <c r="C13" s="35">
        <f>IF(B$11=0,0,B13/B$11)</f>
        <v>0.55140186915887845</v>
      </c>
      <c r="E13" s="59" t="s">
        <v>71</v>
      </c>
      <c r="F13" s="56" t="s">
        <v>26</v>
      </c>
      <c r="G13" s="44">
        <v>9</v>
      </c>
      <c r="H13" s="129">
        <f>IF(B$15=0,0,G13/B$15)</f>
        <v>4.2452830188679243E-2</v>
      </c>
      <c r="I13" s="90">
        <v>13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63</v>
      </c>
      <c r="C14" s="35">
        <f>IF(B$12=0,0,B14/B$12)</f>
        <v>0.40909090909090912</v>
      </c>
      <c r="E14" s="59" t="s">
        <v>86</v>
      </c>
      <c r="F14" s="56" t="s">
        <v>41</v>
      </c>
      <c r="G14" s="44">
        <v>9</v>
      </c>
      <c r="H14" s="129">
        <f>IF(B$15=0,0,G14/B$15)</f>
        <v>4.2452830188679243E-2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212</v>
      </c>
      <c r="C15" s="35">
        <f>IF(B$3=0,0,B15/B$3)</f>
        <v>0.27785058977719529</v>
      </c>
      <c r="E15" s="59" t="s">
        <v>78</v>
      </c>
      <c r="F15" s="56" t="s">
        <v>33</v>
      </c>
      <c r="G15" s="44">
        <v>7</v>
      </c>
      <c r="H15" s="129">
        <f>IF(B$15=0,0,G15/B$15)</f>
        <v>3.3018867924528301E-2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141</v>
      </c>
      <c r="C16" s="37">
        <f>IF(B$3=0,0,B16/B$3)</f>
        <v>0.18479685452162517</v>
      </c>
      <c r="E16" s="59" t="s">
        <v>162</v>
      </c>
      <c r="F16" s="56" t="s">
        <v>163</v>
      </c>
      <c r="G16" s="44">
        <v>4</v>
      </c>
      <c r="H16" s="129">
        <f>IF(B$15=0,0,G16/B$15)</f>
        <v>1.8867924528301886E-2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6.0625000000000036</v>
      </c>
      <c r="P16" s="115">
        <v>16</v>
      </c>
      <c r="Q16" s="103">
        <v>97.000000000000057</v>
      </c>
    </row>
    <row r="17" spans="1:17" x14ac:dyDescent="0.4">
      <c r="A17" s="51" t="s">
        <v>12</v>
      </c>
      <c r="B17" s="44">
        <v>98</v>
      </c>
      <c r="C17" s="37">
        <f>IF(B$15=0,0,B17/B$15)</f>
        <v>0.46226415094339623</v>
      </c>
      <c r="E17" s="59" t="s">
        <v>75</v>
      </c>
      <c r="F17" s="56" t="s">
        <v>30</v>
      </c>
      <c r="G17" s="44">
        <v>3</v>
      </c>
      <c r="H17" s="129">
        <f>IF(B$15=0,0,G17/B$15)</f>
        <v>1.4150943396226415E-2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">
      <c r="A18" s="51" t="s">
        <v>11</v>
      </c>
      <c r="B18" s="44">
        <v>114</v>
      </c>
      <c r="C18" s="37">
        <f>IF(B$15=0,0,B18/B$15)</f>
        <v>0.53773584905660377</v>
      </c>
      <c r="E18" s="59" t="s">
        <v>79</v>
      </c>
      <c r="F18" s="56" t="s">
        <v>34</v>
      </c>
      <c r="G18" s="44">
        <v>3</v>
      </c>
      <c r="H18" s="129">
        <f>IF(B$15=0,0,G18/B$15)</f>
        <v>1.4150943396226415E-2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118</v>
      </c>
      <c r="C19" s="37">
        <f>IF(B$15=0,0,B19/B$15)</f>
        <v>0.55660377358490565</v>
      </c>
      <c r="E19" s="59" t="s">
        <v>81</v>
      </c>
      <c r="F19" s="56" t="s">
        <v>36</v>
      </c>
      <c r="G19" s="44">
        <v>3</v>
      </c>
      <c r="H19" s="129">
        <f>IF(B$15=0,0,G19/B$15)</f>
        <v>1.4150943396226415E-2</v>
      </c>
      <c r="I19" s="90">
        <v>9</v>
      </c>
      <c r="K19" s="36">
        <v>17</v>
      </c>
      <c r="L19" s="95">
        <v>-251.4</v>
      </c>
      <c r="N19" s="111" t="s">
        <v>126</v>
      </c>
      <c r="O19" s="121">
        <f>IF(P19=0,0,Q19/P19)</f>
        <v>-12.070909090909092</v>
      </c>
      <c r="P19" s="115">
        <v>55</v>
      </c>
      <c r="Q19" s="103">
        <v>-663.90000000000009</v>
      </c>
    </row>
    <row r="20" spans="1:17" x14ac:dyDescent="0.4">
      <c r="A20" s="51" t="s">
        <v>193</v>
      </c>
      <c r="B20" s="44">
        <v>63</v>
      </c>
      <c r="C20" s="37">
        <f>IF(B$15=0,0,B20/B$15)</f>
        <v>0.29716981132075471</v>
      </c>
      <c r="E20" s="59" t="s">
        <v>91</v>
      </c>
      <c r="F20" s="56" t="s">
        <v>46</v>
      </c>
      <c r="G20" s="44">
        <v>1</v>
      </c>
      <c r="H20" s="129">
        <f>IF(B$15=0,0,G20/B$15)</f>
        <v>4.7169811320754715E-3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 x14ac:dyDescent="0.4">
      <c r="A21" s="51" t="s">
        <v>194</v>
      </c>
      <c r="B21" s="44">
        <v>31</v>
      </c>
      <c r="C21" s="37">
        <f>IF(B$15=0,0,B21/B$15)</f>
        <v>0.14622641509433962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-16.497872340425523</v>
      </c>
      <c r="P21" s="115">
        <v>47</v>
      </c>
      <c r="Q21" s="103">
        <v>-775.39999999999964</v>
      </c>
    </row>
    <row r="22" spans="1:17" x14ac:dyDescent="0.4">
      <c r="A22" s="51" t="s">
        <v>5</v>
      </c>
      <c r="B22" s="48">
        <f>IF(B$15=0,0,C22/B$15)</f>
        <v>7730.1886792452833</v>
      </c>
      <c r="C22" s="39">
        <v>1638800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-34.699999999999996</v>
      </c>
      <c r="P22" s="115">
        <v>3</v>
      </c>
      <c r="Q22" s="103">
        <v>-104.1</v>
      </c>
    </row>
    <row r="23" spans="1:17" x14ac:dyDescent="0.4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6298.4126984126988</v>
      </c>
      <c r="C24" s="137">
        <v>396800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-7551.7730496453896</v>
      </c>
      <c r="C25" s="137">
        <v>-1064800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3.9318479685452159E-3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15</v>
      </c>
      <c r="C32" s="141">
        <f>IF(B$15=0,0,B32/B$15)</f>
        <v>7.0754716981132074E-2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2">IF(B$15=0,0,B33/B$15)</f>
        <v>0.18396226415094338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48</v>
      </c>
      <c r="C34" s="37">
        <f>IF(B$15=0,0,B34/B$15)</f>
        <v>0.22641509433962265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32</v>
      </c>
      <c r="C35" s="37">
        <f t="shared" si="2"/>
        <v>0.15094339622641509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35</v>
      </c>
      <c r="C36" s="37">
        <f t="shared" si="2"/>
        <v>0.1650943396226415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22</v>
      </c>
      <c r="C37" s="37">
        <f t="shared" si="2"/>
        <v>0.10377358490566038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2"/>
        <v>6.1320754716981132E-2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4</v>
      </c>
      <c r="C39" s="37">
        <f t="shared" si="2"/>
        <v>1.8867924528301886E-2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2"/>
        <v>4.7169811320754715E-3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2"/>
        <v>4.7169811320754715E-3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2"/>
        <v>9.433962264150943E-3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5F1F-E42F-459A-A41F-1800BFBCD48A}">
  <sheetPr codeName="Sheet15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188</v>
      </c>
      <c r="H2" s="128">
        <f>IF(B$15=0,0,G2/B$15)</f>
        <v>0.8392857142857143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1424</v>
      </c>
      <c r="P2" s="114">
        <v>100</v>
      </c>
      <c r="Q2" s="98">
        <v>142400</v>
      </c>
    </row>
    <row r="3" spans="1:17" x14ac:dyDescent="0.4">
      <c r="A3" s="51" t="s">
        <v>8</v>
      </c>
      <c r="B3" s="156">
        <v>804</v>
      </c>
      <c r="C3" s="157"/>
      <c r="E3" s="59" t="s">
        <v>64</v>
      </c>
      <c r="F3" s="56" t="s">
        <v>20</v>
      </c>
      <c r="G3" s="44">
        <v>126</v>
      </c>
      <c r="H3" s="129">
        <f>IF(B$15=0,0,G3/B$15)</f>
        <v>0.5625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-1321.4285714285713</v>
      </c>
      <c r="P3" s="115">
        <v>98</v>
      </c>
      <c r="Q3" s="99">
        <v>-129500</v>
      </c>
    </row>
    <row r="4" spans="1:17" x14ac:dyDescent="0.4">
      <c r="A4" s="51" t="s">
        <v>6</v>
      </c>
      <c r="B4" s="158">
        <v>350.30000000000018</v>
      </c>
      <c r="C4" s="159"/>
      <c r="E4" s="59" t="s">
        <v>72</v>
      </c>
      <c r="F4" s="56" t="s">
        <v>27</v>
      </c>
      <c r="G4" s="44">
        <v>124</v>
      </c>
      <c r="H4" s="129">
        <f>IF(B$15=0,0,G4/B$15)</f>
        <v>0.5535714285714286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-332.58426966292137</v>
      </c>
      <c r="P4" s="115">
        <v>89</v>
      </c>
      <c r="Q4" s="99">
        <v>-29600</v>
      </c>
    </row>
    <row r="5" spans="1:17" x14ac:dyDescent="0.4">
      <c r="A5" s="51" t="s">
        <v>7</v>
      </c>
      <c r="B5" s="160">
        <f>IF(B$2=0,0,B$4/B$2)</f>
        <v>3.5030000000000019</v>
      </c>
      <c r="C5" s="161"/>
      <c r="E5" s="59" t="s">
        <v>67</v>
      </c>
      <c r="F5" s="56" t="s">
        <v>23</v>
      </c>
      <c r="G5" s="44">
        <v>98</v>
      </c>
      <c r="H5" s="129">
        <f>IF(B$15=0,0,G5/B$15)</f>
        <v>0.4375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2781.1764705882351</v>
      </c>
      <c r="P5" s="115">
        <v>85</v>
      </c>
      <c r="Q5" s="99">
        <v>236400</v>
      </c>
    </row>
    <row r="6" spans="1:17" x14ac:dyDescent="0.4">
      <c r="A6" s="51" t="s">
        <v>1</v>
      </c>
      <c r="B6" s="150">
        <f>IF(B$2=0,0,(B$7*1+B$8*2+B$9*3)/B$2)</f>
        <v>1.93</v>
      </c>
      <c r="C6" s="151"/>
      <c r="E6" s="59" t="s">
        <v>68</v>
      </c>
      <c r="F6" s="56" t="s">
        <v>12</v>
      </c>
      <c r="G6" s="44">
        <v>91</v>
      </c>
      <c r="H6" s="129">
        <f>IF(B$15=0,0,G6/B$15)</f>
        <v>0.40625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294.73684210526318</v>
      </c>
      <c r="P6" s="115">
        <v>76</v>
      </c>
      <c r="Q6" s="99">
        <v>22400</v>
      </c>
    </row>
    <row r="7" spans="1:17" x14ac:dyDescent="0.4">
      <c r="A7" s="51" t="s">
        <v>2</v>
      </c>
      <c r="B7" s="44">
        <v>39</v>
      </c>
      <c r="C7" s="37">
        <f t="shared" ref="C7:C10" si="1">IF(B$2=0,0,B7/B$2)</f>
        <v>0.39</v>
      </c>
      <c r="E7" s="59" t="s">
        <v>166</v>
      </c>
      <c r="F7" s="56" t="s">
        <v>167</v>
      </c>
      <c r="G7" s="44">
        <v>86</v>
      </c>
      <c r="H7" s="129">
        <f>IF(B$15=0,0,G7/B$15)</f>
        <v>0.38392857142857145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18.333333333333332</v>
      </c>
      <c r="P7" s="116">
        <v>60</v>
      </c>
      <c r="Q7" s="100">
        <v>1100</v>
      </c>
    </row>
    <row r="8" spans="1:17" x14ac:dyDescent="0.4">
      <c r="A8" s="51" t="s">
        <v>3</v>
      </c>
      <c r="B8" s="44">
        <v>29</v>
      </c>
      <c r="C8" s="37">
        <f t="shared" si="1"/>
        <v>0.28999999999999998</v>
      </c>
      <c r="E8" s="59" t="s">
        <v>89</v>
      </c>
      <c r="F8" s="56" t="s">
        <v>44</v>
      </c>
      <c r="G8" s="44">
        <v>52</v>
      </c>
      <c r="H8" s="129">
        <f>IF(B$15=0,0,G8/B$15)</f>
        <v>0.23214285714285715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48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</v>
      </c>
      <c r="C10" s="40">
        <f t="shared" si="1"/>
        <v>0.11</v>
      </c>
      <c r="E10" s="59" t="s">
        <v>65</v>
      </c>
      <c r="F10" s="56" t="s">
        <v>21</v>
      </c>
      <c r="G10" s="44">
        <v>33</v>
      </c>
      <c r="H10" s="129">
        <f>IF(B$15=0,0,G10/B$15)</f>
        <v>0.14732142857142858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 x14ac:dyDescent="0.4">
      <c r="A11" s="54" t="s">
        <v>121</v>
      </c>
      <c r="B11" s="47">
        <v>253</v>
      </c>
      <c r="C11" s="42">
        <f>IF(B$3=0,0,B11/B$3)</f>
        <v>0.31467661691542287</v>
      </c>
      <c r="E11" s="59" t="s">
        <v>70</v>
      </c>
      <c r="F11" s="56" t="s">
        <v>25</v>
      </c>
      <c r="G11" s="44">
        <v>24</v>
      </c>
      <c r="H11" s="129">
        <f>IF(B$15=0,0,G11/B$15)</f>
        <v>0.10714285714285714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">
      <c r="A12" s="51" t="s">
        <v>118</v>
      </c>
      <c r="B12" s="44">
        <v>132</v>
      </c>
      <c r="C12" s="37">
        <f>IF(B$3=0,0,B12/B$3)</f>
        <v>0.16417910447761194</v>
      </c>
      <c r="E12" s="59" t="s">
        <v>162</v>
      </c>
      <c r="F12" s="56" t="s">
        <v>163</v>
      </c>
      <c r="G12" s="44">
        <v>16</v>
      </c>
      <c r="H12" s="129">
        <f>IF(B$15=0,0,G12/B$15)</f>
        <v>7.1428571428571425E-2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 x14ac:dyDescent="0.4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5.3571428571428568E-2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52</v>
      </c>
      <c r="C14" s="35">
        <f>IF(B$12=0,0,B14/B$12)</f>
        <v>0.39393939393939392</v>
      </c>
      <c r="E14" s="59" t="s">
        <v>83</v>
      </c>
      <c r="F14" s="56" t="s">
        <v>38</v>
      </c>
      <c r="G14" s="44">
        <v>7</v>
      </c>
      <c r="H14" s="129">
        <f>IF(B$15=0,0,G14/B$15)</f>
        <v>3.125E-2</v>
      </c>
      <c r="I14" s="90">
        <v>12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224</v>
      </c>
      <c r="C15" s="35">
        <f>IF(B$3=0,0,B15/B$3)</f>
        <v>0.27860696517412936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141</v>
      </c>
      <c r="C16" s="37">
        <f>IF(B$3=0,0,B16/B$3)</f>
        <v>0.17537313432835822</v>
      </c>
      <c r="E16" s="59" t="s">
        <v>81</v>
      </c>
      <c r="F16" s="56" t="s">
        <v>36</v>
      </c>
      <c r="G16" s="44">
        <v>4</v>
      </c>
      <c r="H16" s="129">
        <f>IF(B$15=0,0,G16/B$15)</f>
        <v>1.7857142857142856E-2</v>
      </c>
      <c r="I16" s="90">
        <v>6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">
      <c r="A17" s="51" t="s">
        <v>12</v>
      </c>
      <c r="B17" s="44">
        <v>117</v>
      </c>
      <c r="C17" s="37">
        <f>IF(B$15=0,0,B17/B$15)</f>
        <v>0.5223214285714286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">
      <c r="A18" s="51" t="s">
        <v>11</v>
      </c>
      <c r="B18" s="44">
        <v>107</v>
      </c>
      <c r="C18" s="37">
        <f>IF(B$15=0,0,B18/B$15)</f>
        <v>0.47767857142857145</v>
      </c>
      <c r="E18" s="59" t="s">
        <v>92</v>
      </c>
      <c r="F18" s="56" t="s">
        <v>47</v>
      </c>
      <c r="G18" s="44">
        <v>4</v>
      </c>
      <c r="H18" s="129">
        <f>IF(B$15=0,0,G18/B$15)</f>
        <v>1.7857142857142856E-2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6.0122448979591834</v>
      </c>
      <c r="P18" s="115">
        <v>49</v>
      </c>
      <c r="Q18" s="103">
        <v>294.59999999999997</v>
      </c>
    </row>
    <row r="19" spans="1:17" x14ac:dyDescent="0.4">
      <c r="A19" s="51" t="s">
        <v>195</v>
      </c>
      <c r="B19" s="44">
        <v>141</v>
      </c>
      <c r="C19" s="37">
        <f>IF(B$15=0,0,B19/B$15)</f>
        <v>0.6294642857142857</v>
      </c>
      <c r="E19" s="59" t="s">
        <v>73</v>
      </c>
      <c r="F19" s="56" t="s">
        <v>28</v>
      </c>
      <c r="G19" s="44">
        <v>2</v>
      </c>
      <c r="H19" s="129">
        <f>IF(B$15=0,0,G19/B$15)</f>
        <v>8.9285714285714281E-3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3.4128205128205105</v>
      </c>
      <c r="P19" s="115">
        <v>39</v>
      </c>
      <c r="Q19" s="103">
        <v>133.09999999999991</v>
      </c>
    </row>
    <row r="20" spans="1:17" x14ac:dyDescent="0.4">
      <c r="A20" s="51" t="s">
        <v>193</v>
      </c>
      <c r="B20" s="44">
        <v>52</v>
      </c>
      <c r="C20" s="37">
        <f>IF(B$15=0,0,B20/B$15)</f>
        <v>0.23214285714285715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-2.5450000000000008</v>
      </c>
      <c r="P20" s="115">
        <v>20</v>
      </c>
      <c r="Q20" s="103">
        <v>-50.90000000000002</v>
      </c>
    </row>
    <row r="21" spans="1:17" x14ac:dyDescent="0.4">
      <c r="A21" s="51" t="s">
        <v>194</v>
      </c>
      <c r="B21" s="44">
        <v>31</v>
      </c>
      <c r="C21" s="37">
        <f>IF(B$15=0,0,B21/B$15)</f>
        <v>0.13839285714285715</v>
      </c>
      <c r="E21" s="59" t="s">
        <v>79</v>
      </c>
      <c r="F21" s="56" t="s">
        <v>34</v>
      </c>
      <c r="G21" s="44">
        <v>2</v>
      </c>
      <c r="H21" s="129">
        <f>IF(B$15=0,0,G21/B$15)</f>
        <v>8.9285714285714281E-3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-3.584210526315792</v>
      </c>
      <c r="P21" s="115">
        <v>38</v>
      </c>
      <c r="Q21" s="103">
        <v>-136.2000000000001</v>
      </c>
    </row>
    <row r="22" spans="1:17" x14ac:dyDescent="0.4">
      <c r="A22" s="51" t="s">
        <v>5</v>
      </c>
      <c r="B22" s="48">
        <f>IF(B$15=0,0,C22/B$15)</f>
        <v>10834.375</v>
      </c>
      <c r="C22" s="39">
        <v>2426900</v>
      </c>
      <c r="E22" s="59" t="s">
        <v>84</v>
      </c>
      <c r="F22" s="56" t="s">
        <v>39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8.9285714285714281E-3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-27.466666666666665</v>
      </c>
      <c r="P23" s="115">
        <v>3</v>
      </c>
      <c r="Q23" s="103">
        <v>-82.399999999999991</v>
      </c>
    </row>
    <row r="24" spans="1:17" x14ac:dyDescent="0.4">
      <c r="A24" s="52" t="s">
        <v>178</v>
      </c>
      <c r="B24" s="136">
        <f>IF(B$14=0,0,C24/B$14)</f>
        <v>8475</v>
      </c>
      <c r="C24" s="137">
        <v>440700</v>
      </c>
      <c r="E24" s="59" t="s">
        <v>75</v>
      </c>
      <c r="F24" s="56" t="s">
        <v>30</v>
      </c>
      <c r="G24" s="44">
        <v>1</v>
      </c>
      <c r="H24" s="129">
        <f>IF(B$15=0,0,G24/B$15)</f>
        <v>4.464285714285714E-3</v>
      </c>
      <c r="I24" s="90">
        <v>7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-8365.9574468085102</v>
      </c>
      <c r="C25" s="137">
        <v>-1179600</v>
      </c>
      <c r="E25" s="59" t="s">
        <v>85</v>
      </c>
      <c r="F25" s="56" t="s">
        <v>40</v>
      </c>
      <c r="G25" s="44">
        <v>1</v>
      </c>
      <c r="H25" s="129">
        <f>IF(B$15=0,0,G25/B$15)</f>
        <v>4.464285714285714E-3</v>
      </c>
      <c r="I25" s="90">
        <v>5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4.464285714285714E-3</v>
      </c>
      <c r="I26" s="90">
        <v>2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5</v>
      </c>
      <c r="E27" s="59" t="s">
        <v>97</v>
      </c>
      <c r="F27" s="56" t="s">
        <v>52</v>
      </c>
      <c r="G27" s="44">
        <v>1</v>
      </c>
      <c r="H27" s="129">
        <f>IF(B$15=0,0,G27/B$15)</f>
        <v>4.464285714285714E-3</v>
      </c>
      <c r="I27" s="90">
        <v>1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1</v>
      </c>
      <c r="C30" s="40">
        <f>IF(B$3=0,0,B30/B$3)</f>
        <v>1.2437810945273632E-3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5</v>
      </c>
      <c r="C32" s="141">
        <f>IF(B$15=0,0,B32/B$15)</f>
        <v>2.2321428571428572E-2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19</v>
      </c>
      <c r="C33" s="37">
        <f t="shared" ref="C33:C44" si="2">IF(B$15=0,0,B33/B$15)</f>
        <v>8.4821428571428575E-2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29</v>
      </c>
      <c r="C34" s="37">
        <f>IF(B$15=0,0,B34/B$15)</f>
        <v>0.12946428571428573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40</v>
      </c>
      <c r="C35" s="37">
        <f t="shared" si="2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56</v>
      </c>
      <c r="C36" s="37">
        <f t="shared" si="2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25</v>
      </c>
      <c r="C37" s="37">
        <f t="shared" si="2"/>
        <v>0.11160714285714286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20</v>
      </c>
      <c r="C38" s="37">
        <f t="shared" si="2"/>
        <v>8.9285714285714288E-2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15</v>
      </c>
      <c r="C39" s="37">
        <f t="shared" si="2"/>
        <v>6.6964285714285712E-2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4</v>
      </c>
      <c r="C40" s="37">
        <f t="shared" si="2"/>
        <v>1.7857142857142856E-2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2</v>
      </c>
      <c r="C41" s="37">
        <f t="shared" si="2"/>
        <v>8.9285714285714281E-3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2"/>
        <v>8.9285714285714281E-3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2"/>
        <v>4.464285714285714E-3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6</v>
      </c>
      <c r="C44" s="40">
        <f t="shared" si="2"/>
        <v>2.6785714285714284E-2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2734-DF76-4B50-A8D4-6DEBB6719F3C}">
  <sheetPr codeName="Sheet17"/>
  <dimension ref="A1:Q11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114</v>
      </c>
      <c r="C2" s="155"/>
      <c r="E2" s="58" t="s">
        <v>66</v>
      </c>
      <c r="F2" s="55" t="s">
        <v>22</v>
      </c>
      <c r="G2" s="43">
        <v>200</v>
      </c>
      <c r="H2" s="128">
        <f>IF(B$15=0,0,G2/B$15)</f>
        <v>0.75757575757575757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386.84210526315792</v>
      </c>
      <c r="P2" s="114">
        <v>114</v>
      </c>
      <c r="Q2" s="98">
        <v>44100</v>
      </c>
    </row>
    <row r="3" spans="1:17" x14ac:dyDescent="0.4">
      <c r="A3" s="51" t="s">
        <v>8</v>
      </c>
      <c r="B3" s="156">
        <v>918</v>
      </c>
      <c r="C3" s="157"/>
      <c r="E3" s="59" t="s">
        <v>72</v>
      </c>
      <c r="F3" s="56" t="s">
        <v>27</v>
      </c>
      <c r="G3" s="44">
        <v>149</v>
      </c>
      <c r="H3" s="129">
        <f>IF(B$15=0,0,G3/B$15)</f>
        <v>0.56439393939393945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431.53153153153153</v>
      </c>
      <c r="P3" s="115">
        <v>111</v>
      </c>
      <c r="Q3" s="99">
        <v>47900</v>
      </c>
    </row>
    <row r="4" spans="1:17" x14ac:dyDescent="0.4">
      <c r="A4" s="51" t="s">
        <v>6</v>
      </c>
      <c r="B4" s="158">
        <v>116.9</v>
      </c>
      <c r="C4" s="159"/>
      <c r="E4" s="59" t="s">
        <v>64</v>
      </c>
      <c r="F4" s="56" t="s">
        <v>20</v>
      </c>
      <c r="G4" s="44">
        <v>133</v>
      </c>
      <c r="H4" s="129">
        <f>IF(B$15=0,0,G4/B$15)</f>
        <v>0.50378787878787878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592.38095238095241</v>
      </c>
      <c r="P4" s="115">
        <v>105</v>
      </c>
      <c r="Q4" s="99">
        <v>62200</v>
      </c>
    </row>
    <row r="5" spans="1:17" x14ac:dyDescent="0.4">
      <c r="A5" s="51" t="s">
        <v>7</v>
      </c>
      <c r="B5" s="160">
        <f>IF(B$2=0,0,B$4/B$2)</f>
        <v>1.025438596491228</v>
      </c>
      <c r="C5" s="161"/>
      <c r="E5" s="59" t="s">
        <v>166</v>
      </c>
      <c r="F5" s="56" t="s">
        <v>167</v>
      </c>
      <c r="G5" s="44">
        <v>119</v>
      </c>
      <c r="H5" s="129">
        <f>IF(B$15=0,0,G5/B$15)</f>
        <v>0.45075757575757575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138.54166666666666</v>
      </c>
      <c r="P5" s="115">
        <v>96</v>
      </c>
      <c r="Q5" s="99">
        <v>13300</v>
      </c>
    </row>
    <row r="6" spans="1:17" x14ac:dyDescent="0.4">
      <c r="A6" s="51" t="s">
        <v>1</v>
      </c>
      <c r="B6" s="150">
        <f>IF(B$2=0,0,(B$7*1+B$8*2+B$9*3)/B$2)</f>
        <v>2.0175438596491229</v>
      </c>
      <c r="C6" s="151"/>
      <c r="E6" s="59" t="s">
        <v>67</v>
      </c>
      <c r="F6" s="56" t="s">
        <v>23</v>
      </c>
      <c r="G6" s="44">
        <v>96</v>
      </c>
      <c r="H6" s="129">
        <f>IF(B$15=0,0,G6/B$15)</f>
        <v>0.36363636363636365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150.58823529411765</v>
      </c>
      <c r="P6" s="115">
        <v>85</v>
      </c>
      <c r="Q6" s="99">
        <v>12800</v>
      </c>
    </row>
    <row r="7" spans="1:17" x14ac:dyDescent="0.4">
      <c r="A7" s="51" t="s">
        <v>2</v>
      </c>
      <c r="B7" s="44">
        <v>29</v>
      </c>
      <c r="C7" s="37">
        <f t="shared" ref="C7:C10" si="1">IF(B$2=0,0,B7/B$2)</f>
        <v>0.25438596491228072</v>
      </c>
      <c r="E7" s="59" t="s">
        <v>68</v>
      </c>
      <c r="F7" s="56" t="s">
        <v>12</v>
      </c>
      <c r="G7" s="44">
        <v>87</v>
      </c>
      <c r="H7" s="129">
        <f>IF(B$15=0,0,G7/B$15)</f>
        <v>0.32954545454545453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-986.48648648648646</v>
      </c>
      <c r="P7" s="116">
        <v>74</v>
      </c>
      <c r="Q7" s="100">
        <v>-73000</v>
      </c>
    </row>
    <row r="8" spans="1:17" x14ac:dyDescent="0.4">
      <c r="A8" s="51" t="s">
        <v>3</v>
      </c>
      <c r="B8" s="44">
        <v>54</v>
      </c>
      <c r="C8" s="37">
        <f t="shared" si="1"/>
        <v>0.47368421052631576</v>
      </c>
      <c r="E8" s="59" t="s">
        <v>69</v>
      </c>
      <c r="F8" s="56" t="s">
        <v>24</v>
      </c>
      <c r="G8" s="44">
        <v>37</v>
      </c>
      <c r="H8" s="129">
        <f>IF(B$15=0,0,G8/B$15)</f>
        <v>0.14015151515151514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1"/>
        <v>0.27192982456140352</v>
      </c>
      <c r="E9" s="59" t="s">
        <v>89</v>
      </c>
      <c r="F9" s="56" t="s">
        <v>44</v>
      </c>
      <c r="G9" s="44">
        <v>32</v>
      </c>
      <c r="H9" s="129">
        <f>IF(B$15=0,0,G9/B$15)</f>
        <v>0.12121212121212122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7.0175438596491224E-2</v>
      </c>
      <c r="E10" s="59" t="s">
        <v>71</v>
      </c>
      <c r="F10" s="56" t="s">
        <v>26</v>
      </c>
      <c r="G10" s="44">
        <v>26</v>
      </c>
      <c r="H10" s="129">
        <f>IF(B$15=0,0,G10/B$15)</f>
        <v>9.8484848484848481E-2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0.32040816326530597</v>
      </c>
      <c r="P10" s="114">
        <v>49</v>
      </c>
      <c r="Q10" s="102">
        <v>15.699999999999992</v>
      </c>
    </row>
    <row r="11" spans="1:17" x14ac:dyDescent="0.4">
      <c r="A11" s="54" t="s">
        <v>121</v>
      </c>
      <c r="B11" s="47">
        <v>242</v>
      </c>
      <c r="C11" s="42">
        <f>IF(B$3=0,0,B11/B$3)</f>
        <v>0.26361655773420478</v>
      </c>
      <c r="E11" s="59" t="s">
        <v>65</v>
      </c>
      <c r="F11" s="56" t="s">
        <v>21</v>
      </c>
      <c r="G11" s="44">
        <v>22</v>
      </c>
      <c r="H11" s="129">
        <f>IF(B$15=0,0,G11/B$15)</f>
        <v>8.3333333333333329E-2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3.0085714285714293</v>
      </c>
      <c r="P11" s="115">
        <v>35</v>
      </c>
      <c r="Q11" s="103">
        <v>105.30000000000003</v>
      </c>
    </row>
    <row r="12" spans="1:17" x14ac:dyDescent="0.4">
      <c r="A12" s="51" t="s">
        <v>118</v>
      </c>
      <c r="B12" s="44">
        <v>204</v>
      </c>
      <c r="C12" s="37">
        <f>IF(B$3=0,0,B12/B$3)</f>
        <v>0.22222222222222221</v>
      </c>
      <c r="E12" s="59" t="s">
        <v>70</v>
      </c>
      <c r="F12" s="56" t="s">
        <v>25</v>
      </c>
      <c r="G12" s="44">
        <v>20</v>
      </c>
      <c r="H12" s="129">
        <f>IF(B$15=0,0,G12/B$15)</f>
        <v>7.575757575757576E-2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-0.13666666666666688</v>
      </c>
      <c r="P12" s="116">
        <v>30</v>
      </c>
      <c r="Q12" s="104">
        <v>-4.1000000000000068</v>
      </c>
    </row>
    <row r="13" spans="1:17" x14ac:dyDescent="0.4">
      <c r="A13" s="50" t="s">
        <v>123</v>
      </c>
      <c r="B13" s="43">
        <f>B19</f>
        <v>139</v>
      </c>
      <c r="C13" s="35">
        <f>IF(B$11=0,0,B13/B$11)</f>
        <v>0.57438016528925617</v>
      </c>
      <c r="E13" s="59" t="s">
        <v>86</v>
      </c>
      <c r="F13" s="56" t="s">
        <v>41</v>
      </c>
      <c r="G13" s="44">
        <v>14</v>
      </c>
      <c r="H13" s="129">
        <f>IF(B$15=0,0,G13/B$15)</f>
        <v>5.3030303030303032E-2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89</v>
      </c>
      <c r="C14" s="35">
        <f>IF(B$12=0,0,B14/B$12)</f>
        <v>0.43627450980392157</v>
      </c>
      <c r="E14" s="59" t="s">
        <v>83</v>
      </c>
      <c r="F14" s="56" t="s">
        <v>38</v>
      </c>
      <c r="G14" s="44">
        <v>11</v>
      </c>
      <c r="H14" s="129">
        <f>IF(B$15=0,0,G14/B$15)</f>
        <v>4.1666666666666664E-2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264</v>
      </c>
      <c r="C15" s="35">
        <f>IF(B$3=0,0,B15/B$3)</f>
        <v>0.28758169934640521</v>
      </c>
      <c r="E15" s="59" t="s">
        <v>79</v>
      </c>
      <c r="F15" s="56" t="s">
        <v>34</v>
      </c>
      <c r="G15" s="44">
        <v>7</v>
      </c>
      <c r="H15" s="129">
        <f>IF(B$15=0,0,G15/B$15)</f>
        <v>2.6515151515151516E-2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121</v>
      </c>
      <c r="C16" s="37">
        <f>IF(B$3=0,0,B16/B$3)</f>
        <v>0.13180827886710239</v>
      </c>
      <c r="E16" s="59" t="s">
        <v>162</v>
      </c>
      <c r="F16" s="56" t="s">
        <v>163</v>
      </c>
      <c r="G16" s="44">
        <v>6</v>
      </c>
      <c r="H16" s="129">
        <f>IF(B$15=0,0,G16/B$15)</f>
        <v>2.2727272727272728E-2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118</v>
      </c>
      <c r="C17" s="37">
        <f>IF(B$15=0,0,B17/B$15)</f>
        <v>0.44696969696969696</v>
      </c>
      <c r="E17" s="59" t="s">
        <v>73</v>
      </c>
      <c r="F17" s="56" t="s">
        <v>28</v>
      </c>
      <c r="G17" s="44">
        <v>5</v>
      </c>
      <c r="H17" s="129">
        <f>IF(B$15=0,0,G17/B$15)</f>
        <v>1.893939393939394E-2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23.608333333333331</v>
      </c>
      <c r="P17" s="115">
        <v>24</v>
      </c>
      <c r="Q17" s="103">
        <v>566.59999999999991</v>
      </c>
    </row>
    <row r="18" spans="1:17" x14ac:dyDescent="0.4">
      <c r="A18" s="51" t="s">
        <v>11</v>
      </c>
      <c r="B18" s="44">
        <v>146</v>
      </c>
      <c r="C18" s="37">
        <f>IF(B$15=0,0,B18/B$15)</f>
        <v>0.55303030303030298</v>
      </c>
      <c r="E18" s="59" t="s">
        <v>81</v>
      </c>
      <c r="F18" s="56" t="s">
        <v>36</v>
      </c>
      <c r="G18" s="44">
        <v>4</v>
      </c>
      <c r="H18" s="129">
        <f>IF(B$15=0,0,G18/B$15)</f>
        <v>1.5151515151515152E-2</v>
      </c>
      <c r="I18" s="90">
        <v>8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">
      <c r="A19" s="51" t="s">
        <v>195</v>
      </c>
      <c r="B19" s="44">
        <v>139</v>
      </c>
      <c r="C19" s="37">
        <f>IF(B$15=0,0,B19/B$15)</f>
        <v>0.52651515151515149</v>
      </c>
      <c r="E19" s="59" t="s">
        <v>78</v>
      </c>
      <c r="F19" s="56" t="s">
        <v>33</v>
      </c>
      <c r="G19" s="44">
        <v>3</v>
      </c>
      <c r="H19" s="129">
        <f>IF(B$15=0,0,G19/B$15)</f>
        <v>1.1363636363636364E-2</v>
      </c>
      <c r="I19" s="90">
        <v>7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89</v>
      </c>
      <c r="C20" s="37">
        <f>IF(B$15=0,0,B20/B$15)</f>
        <v>0.3371212121212121</v>
      </c>
      <c r="E20" s="59" t="s">
        <v>85</v>
      </c>
      <c r="F20" s="56" t="s">
        <v>40</v>
      </c>
      <c r="G20" s="44">
        <v>2</v>
      </c>
      <c r="H20" s="129">
        <f>IF(B$15=0,0,G20/B$15)</f>
        <v>7.575757575757576E-3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36</v>
      </c>
      <c r="C21" s="37">
        <f>IF(B$15=0,0,B21/B$15)</f>
        <v>0.13636363636363635</v>
      </c>
      <c r="E21" s="59" t="s">
        <v>91</v>
      </c>
      <c r="F21" s="56" t="s">
        <v>46</v>
      </c>
      <c r="G21" s="44">
        <v>2</v>
      </c>
      <c r="H21" s="129">
        <f>IF(B$15=0,0,G21/B$15)</f>
        <v>7.575757575757576E-3</v>
      </c>
      <c r="I21" s="90">
        <v>7</v>
      </c>
      <c r="K21" s="36">
        <v>19</v>
      </c>
      <c r="L21" s="95">
        <v>-56.399999999999991</v>
      </c>
      <c r="N21" s="111" t="s">
        <v>161</v>
      </c>
      <c r="O21" s="121">
        <f>IF(P21=0,0,Q21/P21)</f>
        <v>4.7920000000000007</v>
      </c>
      <c r="P21" s="115">
        <v>25</v>
      </c>
      <c r="Q21" s="103">
        <v>119.80000000000001</v>
      </c>
    </row>
    <row r="22" spans="1:17" x14ac:dyDescent="0.4">
      <c r="A22" s="51" t="s">
        <v>5</v>
      </c>
      <c r="B22" s="48">
        <f>IF(B$15=0,0,C22/B$15)</f>
        <v>8470.8333333333339</v>
      </c>
      <c r="C22" s="39">
        <v>2236300</v>
      </c>
      <c r="E22" s="59" t="s">
        <v>74</v>
      </c>
      <c r="F22" s="56" t="s">
        <v>29</v>
      </c>
      <c r="G22" s="44">
        <v>1</v>
      </c>
      <c r="H22" s="129">
        <f>IF(B$15=0,0,G22/B$15)</f>
        <v>3.787878787878788E-3</v>
      </c>
      <c r="I22" s="90">
        <v>6</v>
      </c>
      <c r="K22" s="36">
        <v>20</v>
      </c>
      <c r="L22" s="95">
        <v>-93.199999999999989</v>
      </c>
      <c r="N22" s="111" t="s">
        <v>127</v>
      </c>
      <c r="O22" s="121">
        <f>IF(P22=0,0,Q22/P22)</f>
        <v>0.33500000000000069</v>
      </c>
      <c r="P22" s="115">
        <v>40</v>
      </c>
      <c r="Q22" s="103">
        <v>13.400000000000027</v>
      </c>
    </row>
    <row r="23" spans="1:17" x14ac:dyDescent="0.4">
      <c r="A23" s="52" t="s">
        <v>177</v>
      </c>
      <c r="B23" s="136">
        <f>IF($B$15-B$14=0,0,C23/($B$15-B$14))</f>
        <v>9333.1428571428569</v>
      </c>
      <c r="C23" s="137">
        <v>1633300</v>
      </c>
      <c r="E23" s="59" t="s">
        <v>75</v>
      </c>
      <c r="F23" s="56" t="s">
        <v>30</v>
      </c>
      <c r="G23" s="44">
        <v>1</v>
      </c>
      <c r="H23" s="129">
        <f>IF(B$15=0,0,G23/B$15)</f>
        <v>3.787878787878788E-3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>IF(P23=0,0,Q23/P23)</f>
        <v>-6.0122448979591843</v>
      </c>
      <c r="P23" s="115">
        <v>49</v>
      </c>
      <c r="Q23" s="103">
        <v>-294.60000000000002</v>
      </c>
    </row>
    <row r="24" spans="1:17" x14ac:dyDescent="0.4">
      <c r="A24" s="52" t="s">
        <v>178</v>
      </c>
      <c r="B24" s="136">
        <f>IF(B$14=0,0,C24/B$14)</f>
        <v>6775.2808988764045</v>
      </c>
      <c r="C24" s="137">
        <v>603000</v>
      </c>
      <c r="E24" s="59" t="s">
        <v>87</v>
      </c>
      <c r="F24" s="56" t="s">
        <v>42</v>
      </c>
      <c r="G24" s="44">
        <v>1</v>
      </c>
      <c r="H24" s="129">
        <f>IF(B$15=0,0,G24/B$15)</f>
        <v>3.787878787878788E-3</v>
      </c>
      <c r="I24" s="90">
        <v>3</v>
      </c>
      <c r="K24" s="36">
        <v>22</v>
      </c>
      <c r="L24" s="95">
        <v>-66.999999999999986</v>
      </c>
      <c r="N24" s="111" t="s">
        <v>126</v>
      </c>
      <c r="O24" s="121">
        <f>IF(P24=0,0,Q24/P24)</f>
        <v>-13.271698113207547</v>
      </c>
      <c r="P24" s="115">
        <v>53</v>
      </c>
      <c r="Q24" s="103">
        <v>-703.4</v>
      </c>
    </row>
    <row r="25" spans="1:17" x14ac:dyDescent="0.4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3.787878787878788E-3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3.787878787878788E-3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30</v>
      </c>
      <c r="E27" s="59" t="s">
        <v>101</v>
      </c>
      <c r="F27" s="56" t="s">
        <v>56</v>
      </c>
      <c r="G27" s="44">
        <v>1</v>
      </c>
      <c r="H27" s="129">
        <f>IF(B$15=0,0,G27/B$15)</f>
        <v>3.787878787878788E-3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2.1786492374727671E-3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15</v>
      </c>
      <c r="C32" s="141">
        <f>IF(B$15=0,0,B32/B$15)</f>
        <v>5.6818181818181816E-2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46</v>
      </c>
      <c r="C33" s="37">
        <f t="shared" ref="C33:C44" si="2">IF(B$15=0,0,B33/B$15)</f>
        <v>0.17424242424242425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55</v>
      </c>
      <c r="C34" s="37">
        <f>IF(B$15=0,0,B34/B$15)</f>
        <v>0.20833333333333334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47</v>
      </c>
      <c r="C35" s="37">
        <f t="shared" si="2"/>
        <v>0.17803030303030304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40</v>
      </c>
      <c r="C36" s="37">
        <f t="shared" si="2"/>
        <v>0.15151515151515152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32</v>
      </c>
      <c r="C37" s="37">
        <f t="shared" si="2"/>
        <v>0.12121212121212122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12</v>
      </c>
      <c r="C38" s="37">
        <f t="shared" si="2"/>
        <v>4.5454545454545456E-2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2"/>
        <v>2.6515151515151516E-2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2"/>
        <v>1.1363636363636364E-2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2"/>
        <v>7.575757575757576E-3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2"/>
        <v>3.787878787878788E-3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2"/>
        <v>7.575757575757576E-3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2</v>
      </c>
      <c r="C44" s="40">
        <f t="shared" si="2"/>
        <v>7.575757575757576E-3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4239-A202-471B-BAC5-A23633BFC187}">
  <sheetPr codeName="Sheet19"/>
  <dimension ref="A1:Q5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54</v>
      </c>
      <c r="C2" s="155"/>
      <c r="E2" s="58" t="s">
        <v>72</v>
      </c>
      <c r="F2" s="55" t="s">
        <v>27</v>
      </c>
      <c r="G2" s="43">
        <v>71</v>
      </c>
      <c r="H2" s="128">
        <f>IF(B$15=0,0,G2/B$15)</f>
        <v>0.6228070175438597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-2024.0740740740741</v>
      </c>
      <c r="P2" s="114">
        <v>54</v>
      </c>
      <c r="Q2" s="98">
        <v>-109300</v>
      </c>
    </row>
    <row r="3" spans="1:17" x14ac:dyDescent="0.4">
      <c r="A3" s="51" t="s">
        <v>8</v>
      </c>
      <c r="B3" s="156">
        <v>443</v>
      </c>
      <c r="C3" s="157"/>
      <c r="E3" s="59" t="s">
        <v>66</v>
      </c>
      <c r="F3" s="56" t="s">
        <v>22</v>
      </c>
      <c r="G3" s="44">
        <v>70</v>
      </c>
      <c r="H3" s="129">
        <f>IF(B$15=0,0,G3/B$15)</f>
        <v>0.61403508771929827</v>
      </c>
      <c r="I3" s="90">
        <v>13</v>
      </c>
      <c r="K3" s="36">
        <v>1</v>
      </c>
      <c r="L3" s="95">
        <v>-12</v>
      </c>
      <c r="N3" s="111" t="s">
        <v>131</v>
      </c>
      <c r="O3" s="118">
        <f t="shared" si="0"/>
        <v>-266.66666666666669</v>
      </c>
      <c r="P3" s="115">
        <v>54</v>
      </c>
      <c r="Q3" s="99">
        <v>-14400</v>
      </c>
    </row>
    <row r="4" spans="1:17" x14ac:dyDescent="0.4">
      <c r="A4" s="51" t="s">
        <v>6</v>
      </c>
      <c r="B4" s="158">
        <v>-626.4</v>
      </c>
      <c r="C4" s="159"/>
      <c r="E4" s="59" t="s">
        <v>64</v>
      </c>
      <c r="F4" s="56" t="s">
        <v>20</v>
      </c>
      <c r="G4" s="44">
        <v>50</v>
      </c>
      <c r="H4" s="129">
        <f>IF(B$15=0,0,G4/B$15)</f>
        <v>0.43859649122807015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-1701.9230769230769</v>
      </c>
      <c r="P4" s="115">
        <v>52</v>
      </c>
      <c r="Q4" s="99">
        <v>-88500</v>
      </c>
    </row>
    <row r="5" spans="1:17" x14ac:dyDescent="0.4">
      <c r="A5" s="51" t="s">
        <v>7</v>
      </c>
      <c r="B5" s="160">
        <f>IF(B$2=0,0,B$4/B$2)</f>
        <v>-11.6</v>
      </c>
      <c r="C5" s="161"/>
      <c r="E5" s="59" t="s">
        <v>166</v>
      </c>
      <c r="F5" s="56" t="s">
        <v>167</v>
      </c>
      <c r="G5" s="44">
        <v>42</v>
      </c>
      <c r="H5" s="129">
        <f>IF(B$15=0,0,G5/B$15)</f>
        <v>0.36842105263157893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-2221.2765957446809</v>
      </c>
      <c r="P5" s="115">
        <v>47</v>
      </c>
      <c r="Q5" s="99">
        <v>-104400</v>
      </c>
    </row>
    <row r="6" spans="1:17" x14ac:dyDescent="0.4">
      <c r="A6" s="51" t="s">
        <v>1</v>
      </c>
      <c r="B6" s="150">
        <f>IF(B$2=0,0,(B$7*1+B$8*2+B$9*3)/B$2)</f>
        <v>2.2962962962962963</v>
      </c>
      <c r="C6" s="151"/>
      <c r="E6" s="59" t="s">
        <v>67</v>
      </c>
      <c r="F6" s="56" t="s">
        <v>23</v>
      </c>
      <c r="G6" s="44">
        <v>29</v>
      </c>
      <c r="H6" s="129">
        <f>IF(B$15=0,0,G6/B$15)</f>
        <v>0.25438596491228072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-1728.8888888888889</v>
      </c>
      <c r="P6" s="115">
        <v>45</v>
      </c>
      <c r="Q6" s="99">
        <v>-77800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0.18518518518518517</v>
      </c>
      <c r="E7" s="59" t="s">
        <v>68</v>
      </c>
      <c r="F7" s="56" t="s">
        <v>12</v>
      </c>
      <c r="G7" s="44">
        <v>29</v>
      </c>
      <c r="H7" s="129">
        <f>IF(B$15=0,0,G7/B$15)</f>
        <v>0.25438596491228072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-1763.1578947368421</v>
      </c>
      <c r="P7" s="116">
        <v>38</v>
      </c>
      <c r="Q7" s="100">
        <v>-67000</v>
      </c>
    </row>
    <row r="8" spans="1:17" x14ac:dyDescent="0.4">
      <c r="A8" s="51" t="s">
        <v>3</v>
      </c>
      <c r="B8" s="44">
        <v>18</v>
      </c>
      <c r="C8" s="37">
        <f t="shared" si="1"/>
        <v>0.33333333333333331</v>
      </c>
      <c r="E8" s="59" t="s">
        <v>89</v>
      </c>
      <c r="F8" s="56" t="s">
        <v>44</v>
      </c>
      <c r="G8" s="44">
        <v>17</v>
      </c>
      <c r="H8" s="129">
        <f>IF(B$15=0,0,G8/B$15)</f>
        <v>0.14912280701754385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0.48148148148148145</v>
      </c>
      <c r="E9" s="59" t="s">
        <v>65</v>
      </c>
      <c r="F9" s="56" t="s">
        <v>21</v>
      </c>
      <c r="G9" s="44">
        <v>14</v>
      </c>
      <c r="H9" s="129">
        <f>IF(B$15=0,0,G9/B$15)</f>
        <v>0.12280701754385964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0.18518518518518517</v>
      </c>
      <c r="E10" s="59" t="s">
        <v>70</v>
      </c>
      <c r="F10" s="56" t="s">
        <v>25</v>
      </c>
      <c r="G10" s="44">
        <v>12</v>
      </c>
      <c r="H10" s="129">
        <f>IF(B$15=0,0,G10/B$15)</f>
        <v>0.10526315789473684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-19.613043478260867</v>
      </c>
      <c r="P10" s="114">
        <v>23</v>
      </c>
      <c r="Q10" s="102">
        <v>-451.09999999999997</v>
      </c>
    </row>
    <row r="11" spans="1:17" x14ac:dyDescent="0.4">
      <c r="A11" s="54" t="s">
        <v>121</v>
      </c>
      <c r="B11" s="47">
        <v>96</v>
      </c>
      <c r="C11" s="42">
        <f>IF(B$3=0,0,B11/B$3)</f>
        <v>0.21670428893905191</v>
      </c>
      <c r="E11" s="59" t="s">
        <v>71</v>
      </c>
      <c r="F11" s="56" t="s">
        <v>26</v>
      </c>
      <c r="G11" s="44">
        <v>11</v>
      </c>
      <c r="H11" s="129">
        <f>IF(B$15=0,0,G11/B$15)</f>
        <v>9.6491228070175433E-2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">
      <c r="A12" s="51" t="s">
        <v>118</v>
      </c>
      <c r="B12" s="44">
        <v>100</v>
      </c>
      <c r="C12" s="37">
        <f>IF(B$3=0,0,B12/B$3)</f>
        <v>0.22573363431151242</v>
      </c>
      <c r="E12" s="59" t="s">
        <v>69</v>
      </c>
      <c r="F12" s="56" t="s">
        <v>24</v>
      </c>
      <c r="G12" s="44">
        <v>8</v>
      </c>
      <c r="H12" s="129">
        <f>IF(B$15=0,0,G12/B$15)</f>
        <v>7.0175438596491224E-2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-7.2062499999999998</v>
      </c>
      <c r="P12" s="116">
        <v>16</v>
      </c>
      <c r="Q12" s="104">
        <v>-115.3</v>
      </c>
    </row>
    <row r="13" spans="1:17" x14ac:dyDescent="0.4">
      <c r="A13" s="50" t="s">
        <v>123</v>
      </c>
      <c r="B13" s="43">
        <f>B19</f>
        <v>52</v>
      </c>
      <c r="C13" s="35">
        <f>IF(B$11=0,0,B13/B$11)</f>
        <v>0.54166666666666663</v>
      </c>
      <c r="E13" s="59" t="s">
        <v>86</v>
      </c>
      <c r="F13" s="56" t="s">
        <v>41</v>
      </c>
      <c r="G13" s="44">
        <v>8</v>
      </c>
      <c r="H13" s="129">
        <f>IF(B$15=0,0,G13/B$15)</f>
        <v>7.0175438596491224E-2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43</v>
      </c>
      <c r="C14" s="35">
        <f>IF(B$12=0,0,B14/B$12)</f>
        <v>0.43</v>
      </c>
      <c r="E14" s="59" t="s">
        <v>83</v>
      </c>
      <c r="F14" s="56" t="s">
        <v>38</v>
      </c>
      <c r="G14" s="44">
        <v>7</v>
      </c>
      <c r="H14" s="129">
        <f>IF(B$15=0,0,G14/B$15)</f>
        <v>6.1403508771929821E-2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114</v>
      </c>
      <c r="C15" s="35">
        <f>IF(B$3=0,0,B15/B$3)</f>
        <v>0.25733634311512416</v>
      </c>
      <c r="E15" s="59" t="s">
        <v>81</v>
      </c>
      <c r="F15" s="56" t="s">
        <v>36</v>
      </c>
      <c r="G15" s="44">
        <v>3</v>
      </c>
      <c r="H15" s="129">
        <f>IF(B$15=0,0,G15/B$15)</f>
        <v>2.6315789473684209E-2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13.299999999999994</v>
      </c>
      <c r="P15" s="114">
        <v>13</v>
      </c>
      <c r="Q15" s="102">
        <v>172.89999999999992</v>
      </c>
    </row>
    <row r="16" spans="1:17" x14ac:dyDescent="0.4">
      <c r="A16" s="51" t="s">
        <v>13</v>
      </c>
      <c r="B16" s="44">
        <v>82</v>
      </c>
      <c r="C16" s="37">
        <f>IF(B$3=0,0,B16/B$3)</f>
        <v>0.18510158013544017</v>
      </c>
      <c r="E16" s="59" t="s">
        <v>91</v>
      </c>
      <c r="F16" s="56" t="s">
        <v>46</v>
      </c>
      <c r="G16" s="44">
        <v>2</v>
      </c>
      <c r="H16" s="129">
        <f>IF(B$15=0,0,G16/B$15)</f>
        <v>1.7543859649122806E-2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52</v>
      </c>
      <c r="C17" s="37">
        <f>IF(B$15=0,0,B17/B$15)</f>
        <v>0.45614035087719296</v>
      </c>
      <c r="E17" s="59" t="s">
        <v>74</v>
      </c>
      <c r="F17" s="56" t="s">
        <v>29</v>
      </c>
      <c r="G17" s="44">
        <v>1</v>
      </c>
      <c r="H17" s="129">
        <f>IF(B$15=0,0,G17/B$15)</f>
        <v>8.771929824561403E-3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>IF(P17=0,0,Q17/P17)</f>
        <v>-9.4086956521739129</v>
      </c>
      <c r="P17" s="115">
        <v>23</v>
      </c>
      <c r="Q17" s="103">
        <v>-216.4</v>
      </c>
    </row>
    <row r="18" spans="1:17" x14ac:dyDescent="0.4">
      <c r="A18" s="51" t="s">
        <v>11</v>
      </c>
      <c r="B18" s="44">
        <v>62</v>
      </c>
      <c r="C18" s="37">
        <f>IF(B$15=0,0,B18/B$15)</f>
        <v>0.54385964912280704</v>
      </c>
      <c r="E18" s="59" t="s">
        <v>78</v>
      </c>
      <c r="F18" s="56" t="s">
        <v>33</v>
      </c>
      <c r="G18" s="44">
        <v>1</v>
      </c>
      <c r="H18" s="129">
        <f>IF(B$15=0,0,G18/B$15)</f>
        <v>8.771929824561403E-3</v>
      </c>
      <c r="I18" s="90">
        <v>9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52</v>
      </c>
      <c r="C19" s="37">
        <f>IF(B$15=0,0,B19/B$15)</f>
        <v>0.45614035087719296</v>
      </c>
      <c r="E19" s="59" t="s">
        <v>92</v>
      </c>
      <c r="F19" s="56" t="s">
        <v>47</v>
      </c>
      <c r="G19" s="44">
        <v>1</v>
      </c>
      <c r="H19" s="129">
        <f>IF(B$15=0,0,G19/B$15)</f>
        <v>8.771929824561403E-3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43</v>
      </c>
      <c r="C20" s="37">
        <f>IF(B$15=0,0,B20/B$15)</f>
        <v>0.37719298245614036</v>
      </c>
      <c r="E20" s="59" t="s">
        <v>95</v>
      </c>
      <c r="F20" s="56" t="s">
        <v>50</v>
      </c>
      <c r="G20" s="44">
        <v>1</v>
      </c>
      <c r="H20" s="129">
        <f>IF(B$15=0,0,G20/B$15)</f>
        <v>8.771929824561403E-3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 x14ac:dyDescent="0.4">
      <c r="A21" s="51" t="s">
        <v>194</v>
      </c>
      <c r="B21" s="44">
        <v>19</v>
      </c>
      <c r="C21" s="37">
        <f>IF(B$15=0,0,B21/B$15)</f>
        <v>0.16666666666666666</v>
      </c>
      <c r="E21" s="59" t="s">
        <v>162</v>
      </c>
      <c r="F21" s="56" t="s">
        <v>163</v>
      </c>
      <c r="G21" s="44">
        <v>1</v>
      </c>
      <c r="H21" s="129">
        <f>IF(B$15=0,0,G21/B$15)</f>
        <v>8.771929824561403E-3</v>
      </c>
      <c r="I21" s="90">
        <v>8</v>
      </c>
      <c r="K21" s="36">
        <v>19</v>
      </c>
      <c r="L21" s="95">
        <v>-400.60000000000008</v>
      </c>
      <c r="N21" s="111" t="s">
        <v>171</v>
      </c>
      <c r="O21" s="121">
        <f>IF(P21=0,0,Q21/P21)</f>
        <v>-23.608333333333331</v>
      </c>
      <c r="P21" s="115">
        <v>24</v>
      </c>
      <c r="Q21" s="103">
        <v>-566.59999999999991</v>
      </c>
    </row>
    <row r="22" spans="1:17" x14ac:dyDescent="0.4">
      <c r="A22" s="51" t="s">
        <v>5</v>
      </c>
      <c r="B22" s="48">
        <f>IF(B$15=0,0,C22/B$15)</f>
        <v>7932.4561403508769</v>
      </c>
      <c r="C22" s="39">
        <v>904300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8476.0563380281692</v>
      </c>
      <c r="C23" s="137">
        <v>601800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9</v>
      </c>
      <c r="K23" s="36">
        <v>21</v>
      </c>
      <c r="L23" s="95">
        <v>-423.7000000000001</v>
      </c>
      <c r="N23" s="111" t="s">
        <v>126</v>
      </c>
      <c r="O23" s="121">
        <f>IF(P23=0,0,Q23/P23)</f>
        <v>-27.288235294117648</v>
      </c>
      <c r="P23" s="115">
        <v>17</v>
      </c>
      <c r="Q23" s="103">
        <v>-463.90000000000003</v>
      </c>
    </row>
    <row r="24" spans="1:17" x14ac:dyDescent="0.4">
      <c r="A24" s="52" t="s">
        <v>178</v>
      </c>
      <c r="B24" s="136">
        <f>IF(B$14=0,0,C24/B$14)</f>
        <v>7034.8837209302328</v>
      </c>
      <c r="C24" s="137">
        <v>302500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-8185.3658536585363</v>
      </c>
      <c r="C25" s="137">
        <v>-671200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2.257336343115124E-3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10</v>
      </c>
      <c r="C32" s="141">
        <f>IF(B$15=0,0,B32/B$15)</f>
        <v>8.771929824561403E-2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23</v>
      </c>
      <c r="C33" s="37">
        <f t="shared" ref="C33:C44" si="2">IF(B$15=0,0,B33/B$15)</f>
        <v>0.20175438596491227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25</v>
      </c>
      <c r="C34" s="37">
        <f>IF(B$15=0,0,B34/B$15)</f>
        <v>0.21929824561403508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16</v>
      </c>
      <c r="C35" s="37">
        <f t="shared" si="2"/>
        <v>0.14035087719298245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16</v>
      </c>
      <c r="C36" s="37">
        <f t="shared" si="2"/>
        <v>0.14035087719298245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8</v>
      </c>
      <c r="C37" s="37">
        <f t="shared" si="2"/>
        <v>7.0175438596491224E-2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8</v>
      </c>
      <c r="C38" s="37">
        <f t="shared" si="2"/>
        <v>7.0175438596491224E-2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2"/>
        <v>4.3859649122807015E-2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2"/>
        <v>8.771929824561403E-3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2"/>
        <v>1.7543859649122806E-2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8449-D73D-4AB5-BFF3-AB2B1CBECA97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9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>IF(P16=0,0,Q16/P16)</f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>IF(P23=0,0,Q23/P23)</f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">
      <c r="A33" s="51" t="s">
        <v>179</v>
      </c>
      <c r="B33" s="44">
        <v>9</v>
      </c>
      <c r="C33" s="37">
        <f t="shared" ref="C33:C44" si="2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2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2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2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2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2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2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86EF2-241B-41CC-962B-558F5373C26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F24AC-3853-4C6A-9FFA-143DCB63F2F5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6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2963-D98F-439C-A601-CAE959B12724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64</v>
      </c>
      <c r="F2" s="55" t="s">
        <v>20</v>
      </c>
      <c r="G2" s="43">
        <v>16</v>
      </c>
      <c r="H2" s="128">
        <f>IF(B$15=0,0,G2/B$15)</f>
        <v>0.76190476190476186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-928.57142857142856</v>
      </c>
      <c r="P2" s="114">
        <v>7</v>
      </c>
      <c r="Q2" s="98">
        <v>-6500</v>
      </c>
    </row>
    <row r="3" spans="1:17" x14ac:dyDescent="0.4">
      <c r="A3" s="51" t="s">
        <v>8</v>
      </c>
      <c r="B3" s="156">
        <v>60</v>
      </c>
      <c r="C3" s="157"/>
      <c r="E3" s="59" t="s">
        <v>66</v>
      </c>
      <c r="F3" s="56" t="s">
        <v>22</v>
      </c>
      <c r="G3" s="44">
        <v>16</v>
      </c>
      <c r="H3" s="129">
        <f>IF(B$15=0,0,G3/B$15)</f>
        <v>0.76190476190476186</v>
      </c>
      <c r="I3" s="90">
        <v>7</v>
      </c>
      <c r="K3" s="36">
        <v>1</v>
      </c>
      <c r="L3" s="95">
        <v>17.600000000000001</v>
      </c>
      <c r="N3" s="111" t="s">
        <v>131</v>
      </c>
      <c r="O3" s="118">
        <f t="shared" si="0"/>
        <v>257.14285714285717</v>
      </c>
      <c r="P3" s="115">
        <v>7</v>
      </c>
      <c r="Q3" s="99">
        <v>1800</v>
      </c>
    </row>
    <row r="4" spans="1:17" x14ac:dyDescent="0.4">
      <c r="A4" s="51" t="s">
        <v>6</v>
      </c>
      <c r="B4" s="158">
        <v>23.1</v>
      </c>
      <c r="C4" s="159"/>
      <c r="E4" s="59" t="s">
        <v>72</v>
      </c>
      <c r="F4" s="56" t="s">
        <v>27</v>
      </c>
      <c r="G4" s="44">
        <v>9</v>
      </c>
      <c r="H4" s="129">
        <f>IF(B$15=0,0,G4/B$15)</f>
        <v>0.42857142857142855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-3828.5714285714284</v>
      </c>
      <c r="P4" s="115">
        <v>7</v>
      </c>
      <c r="Q4" s="99">
        <v>-26800</v>
      </c>
    </row>
    <row r="5" spans="1:17" x14ac:dyDescent="0.4">
      <c r="A5" s="51" t="s">
        <v>7</v>
      </c>
      <c r="B5" s="160">
        <f>IF(B$2=0,0,B$4/B$2)</f>
        <v>3.3000000000000003</v>
      </c>
      <c r="C5" s="161"/>
      <c r="E5" s="59" t="s">
        <v>67</v>
      </c>
      <c r="F5" s="56" t="s">
        <v>23</v>
      </c>
      <c r="G5" s="44">
        <v>8</v>
      </c>
      <c r="H5" s="129">
        <f>IF(B$15=0,0,G5/B$15)</f>
        <v>0.38095238095238093</v>
      </c>
      <c r="I5" s="90">
        <v>5</v>
      </c>
      <c r="K5" s="36">
        <v>3</v>
      </c>
      <c r="L5" s="95">
        <v>20.399999999999999</v>
      </c>
      <c r="N5" s="111" t="s">
        <v>133</v>
      </c>
      <c r="O5" s="118">
        <f t="shared" si="0"/>
        <v>3614.2857142857142</v>
      </c>
      <c r="P5" s="115">
        <v>7</v>
      </c>
      <c r="Q5" s="99">
        <v>25300</v>
      </c>
    </row>
    <row r="6" spans="1:17" x14ac:dyDescent="0.4">
      <c r="A6" s="51" t="s">
        <v>1</v>
      </c>
      <c r="B6" s="150">
        <f>IF(B$2=0,0,(B$7*1+B$8*2+B$9*3)/B$2)</f>
        <v>1.8571428571428572</v>
      </c>
      <c r="C6" s="151"/>
      <c r="E6" s="59" t="s">
        <v>68</v>
      </c>
      <c r="F6" s="56" t="s">
        <v>12</v>
      </c>
      <c r="G6" s="44">
        <v>5</v>
      </c>
      <c r="H6" s="129">
        <f>IF(B$15=0,0,G6/B$15)</f>
        <v>0.23809523809523808</v>
      </c>
      <c r="I6" s="90">
        <v>13</v>
      </c>
      <c r="K6" s="36">
        <v>4</v>
      </c>
      <c r="L6" s="95">
        <v>53.1</v>
      </c>
      <c r="N6" s="111" t="s">
        <v>134</v>
      </c>
      <c r="O6" s="118">
        <f t="shared" si="0"/>
        <v>-1183.3333333333333</v>
      </c>
      <c r="P6" s="115">
        <v>6</v>
      </c>
      <c r="Q6" s="99">
        <v>-7100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4</v>
      </c>
      <c r="H7" s="129">
        <f>IF(B$15=0,0,G7/B$15)</f>
        <v>0.19047619047619047</v>
      </c>
      <c r="I7" s="90">
        <v>2</v>
      </c>
      <c r="K7" s="36">
        <v>5</v>
      </c>
      <c r="L7" s="95">
        <v>28.6</v>
      </c>
      <c r="N7" s="112" t="s">
        <v>135</v>
      </c>
      <c r="O7" s="119">
        <f t="shared" si="0"/>
        <v>2675</v>
      </c>
      <c r="P7" s="116">
        <v>4</v>
      </c>
      <c r="Q7" s="100">
        <v>10700</v>
      </c>
    </row>
    <row r="8" spans="1:17" x14ac:dyDescent="0.4">
      <c r="A8" s="51" t="s">
        <v>3</v>
      </c>
      <c r="B8" s="44">
        <v>2</v>
      </c>
      <c r="C8" s="37">
        <f t="shared" si="1"/>
        <v>0.2857142857142857</v>
      </c>
      <c r="E8" s="59" t="s">
        <v>166</v>
      </c>
      <c r="F8" s="56" t="s">
        <v>167</v>
      </c>
      <c r="G8" s="44">
        <v>4</v>
      </c>
      <c r="H8" s="129">
        <f>IF(B$15=0,0,G8/B$15)</f>
        <v>0.19047619047619047</v>
      </c>
      <c r="I8" s="90">
        <v>13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0.2857142857142857</v>
      </c>
      <c r="E9" s="59" t="s">
        <v>69</v>
      </c>
      <c r="F9" s="56" t="s">
        <v>24</v>
      </c>
      <c r="G9" s="44">
        <v>2</v>
      </c>
      <c r="H9" s="129">
        <f>IF(B$15=0,0,G9/B$15)</f>
        <v>9.5238095238095233E-2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0.14285714285714285</v>
      </c>
      <c r="E10" s="59" t="s">
        <v>70</v>
      </c>
      <c r="F10" s="56" t="s">
        <v>25</v>
      </c>
      <c r="G10" s="44">
        <v>2</v>
      </c>
      <c r="H10" s="129">
        <f>IF(B$15=0,0,G10/B$15)</f>
        <v>9.5238095238095233E-2</v>
      </c>
      <c r="I10" s="90">
        <v>8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">
      <c r="A11" s="54" t="s">
        <v>121</v>
      </c>
      <c r="B11" s="47">
        <v>21</v>
      </c>
      <c r="C11" s="42">
        <f>IF(B$3=0,0,B11/B$3)</f>
        <v>0.35</v>
      </c>
      <c r="E11" s="59" t="s">
        <v>89</v>
      </c>
      <c r="F11" s="56" t="s">
        <v>44</v>
      </c>
      <c r="G11" s="44">
        <v>2</v>
      </c>
      <c r="H11" s="129">
        <f>IF(B$15=0,0,G11/B$15)</f>
        <v>9.5238095238095233E-2</v>
      </c>
      <c r="I11" s="90">
        <v>11</v>
      </c>
      <c r="N11" s="111" t="s">
        <v>158</v>
      </c>
      <c r="O11" s="121">
        <f>IF(P11=0,0,Q11/P11)</f>
        <v>-17.766666666666666</v>
      </c>
      <c r="P11" s="115">
        <v>3</v>
      </c>
      <c r="Q11" s="103">
        <v>-53.3</v>
      </c>
    </row>
    <row r="12" spans="1:17" x14ac:dyDescent="0.4">
      <c r="A12" s="51" t="s">
        <v>118</v>
      </c>
      <c r="B12" s="44">
        <v>7</v>
      </c>
      <c r="C12" s="37">
        <f>IF(B$3=0,0,B12/B$3)</f>
        <v>0.11666666666666667</v>
      </c>
      <c r="E12" s="59" t="s">
        <v>71</v>
      </c>
      <c r="F12" s="56" t="s">
        <v>26</v>
      </c>
      <c r="G12" s="44">
        <v>1</v>
      </c>
      <c r="H12" s="129">
        <f>IF(B$15=0,0,G12/B$15)</f>
        <v>4.7619047619047616E-2</v>
      </c>
      <c r="I12" s="90">
        <v>12</v>
      </c>
      <c r="N12" s="112" t="s">
        <v>159</v>
      </c>
      <c r="O12" s="122">
        <f>IF(P12=0,0,Q12/P12)</f>
        <v>36.799999999999997</v>
      </c>
      <c r="P12" s="116">
        <v>2</v>
      </c>
      <c r="Q12" s="104">
        <v>73.599999999999994</v>
      </c>
    </row>
    <row r="13" spans="1:17" x14ac:dyDescent="0.4">
      <c r="A13" s="50" t="s">
        <v>123</v>
      </c>
      <c r="B13" s="43">
        <f>B19</f>
        <v>15</v>
      </c>
      <c r="C13" s="35">
        <f>IF(B$11=0,0,B13/B$11)</f>
        <v>0.7142857142857143</v>
      </c>
      <c r="E13" s="59" t="s">
        <v>79</v>
      </c>
      <c r="F13" s="56" t="s">
        <v>34</v>
      </c>
      <c r="G13" s="44">
        <v>1</v>
      </c>
      <c r="H13" s="129">
        <f>IF(B$15=0,0,G13/B$15)</f>
        <v>4.7619047619047616E-2</v>
      </c>
      <c r="I13" s="90">
        <v>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83</v>
      </c>
      <c r="F14" s="56" t="s">
        <v>38</v>
      </c>
      <c r="G14" s="44">
        <v>1</v>
      </c>
      <c r="H14" s="129">
        <f>IF(B$15=0,0,G14/B$15)</f>
        <v>4.7619047619047616E-2</v>
      </c>
      <c r="I14" s="90">
        <v>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21</v>
      </c>
      <c r="C15" s="35">
        <f>IF(B$3=0,0,B15/B$3)</f>
        <v>0.35</v>
      </c>
      <c r="E15" s="59" t="s">
        <v>85</v>
      </c>
      <c r="F15" s="56" t="s">
        <v>40</v>
      </c>
      <c r="G15" s="44">
        <v>1</v>
      </c>
      <c r="H15" s="129">
        <f>IF(B$15=0,0,G15/B$15)</f>
        <v>4.7619047619047616E-2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6</v>
      </c>
      <c r="C16" s="37">
        <f>IF(B$3=0,0,B16/B$3)</f>
        <v>0.1</v>
      </c>
      <c r="E16" s="59" t="s">
        <v>86</v>
      </c>
      <c r="F16" s="56" t="s">
        <v>41</v>
      </c>
      <c r="G16" s="44">
        <v>1</v>
      </c>
      <c r="H16" s="129">
        <f>IF(B$15=0,0,G16/B$15)</f>
        <v>4.7619047619047616E-2</v>
      </c>
      <c r="I16" s="90">
        <v>7</v>
      </c>
      <c r="N16" s="111" t="s">
        <v>172</v>
      </c>
      <c r="O16" s="121">
        <f>IF(P16=0,0,Q16/P16)</f>
        <v>34.699999999999996</v>
      </c>
      <c r="P16" s="115">
        <v>3</v>
      </c>
      <c r="Q16" s="103">
        <v>104.1</v>
      </c>
    </row>
    <row r="17" spans="1:17" x14ac:dyDescent="0.4">
      <c r="A17" s="51" t="s">
        <v>12</v>
      </c>
      <c r="B17" s="44">
        <v>8</v>
      </c>
      <c r="C17" s="37">
        <f>IF(B$15=0,0,B17/B$15)</f>
        <v>0.38095238095238093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170</v>
      </c>
      <c r="O17" s="121">
        <f>IF(P17=0,0,Q17/P17)</f>
        <v>27.466666666666669</v>
      </c>
      <c r="P17" s="115">
        <v>3</v>
      </c>
      <c r="Q17" s="103">
        <v>82.4</v>
      </c>
    </row>
    <row r="18" spans="1:17" x14ac:dyDescent="0.4">
      <c r="A18" s="51" t="s">
        <v>11</v>
      </c>
      <c r="B18" s="44">
        <v>13</v>
      </c>
      <c r="C18" s="37">
        <f>IF(B$15=0,0,B18/B$15)</f>
        <v>0.61904761904761907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">
      <c r="A19" s="51" t="s">
        <v>195</v>
      </c>
      <c r="B19" s="44">
        <v>15</v>
      </c>
      <c r="C19" s="37">
        <f>IF(B$15=0,0,B19/B$15)</f>
        <v>0.7142857142857143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127</v>
      </c>
      <c r="O19" s="121">
        <f>IF(P19=0,0,Q19/P19)</f>
        <v>-12.149999999999999</v>
      </c>
      <c r="P19" s="115">
        <v>2</v>
      </c>
      <c r="Q19" s="103">
        <v>-24.299999999999997</v>
      </c>
    </row>
    <row r="20" spans="1:17" x14ac:dyDescent="0.4">
      <c r="A20" s="51" t="s">
        <v>193</v>
      </c>
      <c r="B20" s="44">
        <v>5</v>
      </c>
      <c r="C20" s="37">
        <f>IF(B$15=0,0,B20/B$15)</f>
        <v>0.23809523809523808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126</v>
      </c>
      <c r="O20" s="121">
        <f>IF(P20=0,0,Q20/P20)</f>
        <v>-29.949999999999996</v>
      </c>
      <c r="P20" s="115">
        <v>2</v>
      </c>
      <c r="Q20" s="103">
        <v>-59.899999999999991</v>
      </c>
    </row>
    <row r="21" spans="1:17" x14ac:dyDescent="0.4">
      <c r="A21" s="51" t="s">
        <v>194</v>
      </c>
      <c r="B21" s="44">
        <v>1</v>
      </c>
      <c r="C21" s="37">
        <f>IF(B$15=0,0,B21/B$15)</f>
        <v>4.7619047619047616E-2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  <c r="N21" s="111" t="s">
        <v>161</v>
      </c>
      <c r="O21" s="121">
        <f>IF(P21=0,0,Q21/P21)</f>
        <v>-51.55</v>
      </c>
      <c r="P21" s="115">
        <v>2</v>
      </c>
      <c r="Q21" s="103">
        <v>-103.1</v>
      </c>
    </row>
    <row r="22" spans="1:17" x14ac:dyDescent="0.4">
      <c r="A22" s="51" t="s">
        <v>5</v>
      </c>
      <c r="B22" s="48">
        <f>IF(B$15=0,0,C22/B$15)</f>
        <v>7342.8571428571431</v>
      </c>
      <c r="C22" s="39">
        <v>154200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7818.75</v>
      </c>
      <c r="C23" s="137">
        <v>125100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-8500</v>
      </c>
      <c r="C25" s="137">
        <v>-51000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2</v>
      </c>
      <c r="C26" s="131">
        <v>2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8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2</v>
      </c>
      <c r="C32" s="141">
        <f>IF(B$15=0,0,B32/B$15)</f>
        <v>9.5238095238095233E-2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4</v>
      </c>
      <c r="C33" s="37">
        <f t="shared" ref="C33:C44" si="2">IF(B$15=0,0,B33/B$15)</f>
        <v>0.19047619047619047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2</v>
      </c>
      <c r="C34" s="37">
        <f>IF(B$15=0,0,B34/B$15)</f>
        <v>9.5238095238095233E-2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7</v>
      </c>
      <c r="C35" s="37">
        <f t="shared" si="2"/>
        <v>0.33333333333333331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3</v>
      </c>
      <c r="C36" s="37">
        <f t="shared" si="2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4.7619047619047616E-2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2"/>
        <v>9.5238095238095233E-2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D99B-11CA-4BE4-AB25-3BFA2F514FA7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24</v>
      </c>
      <c r="H2" s="128">
        <f>IF(B$15=0,0,G2/B$15)</f>
        <v>1.0434782608695652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1442.8571428571429</v>
      </c>
      <c r="P2" s="114">
        <v>7</v>
      </c>
      <c r="Q2" s="98">
        <v>10100</v>
      </c>
    </row>
    <row r="3" spans="1:17" x14ac:dyDescent="0.4">
      <c r="A3" s="51" t="s">
        <v>8</v>
      </c>
      <c r="B3" s="156">
        <v>59</v>
      </c>
      <c r="C3" s="157"/>
      <c r="E3" s="59" t="s">
        <v>64</v>
      </c>
      <c r="F3" s="56" t="s">
        <v>20</v>
      </c>
      <c r="G3" s="44">
        <v>17</v>
      </c>
      <c r="H3" s="129">
        <f>IF(B$15=0,0,G3/B$15)</f>
        <v>0.73913043478260865</v>
      </c>
      <c r="I3" s="90">
        <v>3</v>
      </c>
      <c r="K3" s="36">
        <v>1</v>
      </c>
      <c r="L3" s="95">
        <v>35</v>
      </c>
      <c r="N3" s="111" t="s">
        <v>131</v>
      </c>
      <c r="O3" s="118">
        <f t="shared" si="0"/>
        <v>7614.2857142857147</v>
      </c>
      <c r="P3" s="115">
        <v>7</v>
      </c>
      <c r="Q3" s="99">
        <v>53300</v>
      </c>
    </row>
    <row r="4" spans="1:17" x14ac:dyDescent="0.4">
      <c r="A4" s="51" t="s">
        <v>6</v>
      </c>
      <c r="B4" s="158">
        <v>87.5</v>
      </c>
      <c r="C4" s="159"/>
      <c r="E4" s="59" t="s">
        <v>67</v>
      </c>
      <c r="F4" s="56" t="s">
        <v>23</v>
      </c>
      <c r="G4" s="44">
        <v>15</v>
      </c>
      <c r="H4" s="129">
        <f>IF(B$15=0,0,G4/B$15)</f>
        <v>0.65217391304347827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6500</v>
      </c>
      <c r="P4" s="115">
        <v>6</v>
      </c>
      <c r="Q4" s="99">
        <v>39000</v>
      </c>
    </row>
    <row r="5" spans="1:17" x14ac:dyDescent="0.4">
      <c r="A5" s="51" t="s">
        <v>7</v>
      </c>
      <c r="B5" s="160">
        <f>IF(B$2=0,0,B$4/B$2)</f>
        <v>12.5</v>
      </c>
      <c r="C5" s="161"/>
      <c r="E5" s="59" t="s">
        <v>166</v>
      </c>
      <c r="F5" s="56" t="s">
        <v>167</v>
      </c>
      <c r="G5" s="44">
        <v>11</v>
      </c>
      <c r="H5" s="129">
        <f>IF(B$15=0,0,G5/B$15)</f>
        <v>0.47826086956521741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-10100</v>
      </c>
      <c r="P5" s="115">
        <v>6</v>
      </c>
      <c r="Q5" s="99">
        <v>-60600</v>
      </c>
    </row>
    <row r="6" spans="1:17" x14ac:dyDescent="0.4">
      <c r="A6" s="51" t="s">
        <v>1</v>
      </c>
      <c r="B6" s="150">
        <f>IF(B$2=0,0,(B$7*1+B$8*2+B$9*3)/B$2)</f>
        <v>1.8571428571428572</v>
      </c>
      <c r="C6" s="151"/>
      <c r="E6" s="59" t="s">
        <v>68</v>
      </c>
      <c r="F6" s="56" t="s">
        <v>12</v>
      </c>
      <c r="G6" s="44">
        <v>6</v>
      </c>
      <c r="H6" s="129">
        <f>IF(B$15=0,0,G6/B$15)</f>
        <v>0.2608695652173913</v>
      </c>
      <c r="I6" s="90">
        <v>9</v>
      </c>
      <c r="K6" s="36">
        <v>4</v>
      </c>
      <c r="L6" s="95">
        <v>109.9</v>
      </c>
      <c r="N6" s="111" t="s">
        <v>134</v>
      </c>
      <c r="O6" s="118">
        <f t="shared" si="0"/>
        <v>-533.33333333333337</v>
      </c>
      <c r="P6" s="115">
        <v>6</v>
      </c>
      <c r="Q6" s="99">
        <v>-3200</v>
      </c>
    </row>
    <row r="7" spans="1:17" x14ac:dyDescent="0.4">
      <c r="A7" s="51" t="s">
        <v>2</v>
      </c>
      <c r="B7" s="44">
        <v>4</v>
      </c>
      <c r="C7" s="37">
        <f t="shared" ref="C7:C10" si="1">IF(B$2=0,0,B7/B$2)</f>
        <v>0.5714285714285714</v>
      </c>
      <c r="E7" s="59" t="s">
        <v>72</v>
      </c>
      <c r="F7" s="56" t="s">
        <v>27</v>
      </c>
      <c r="G7" s="44">
        <v>5</v>
      </c>
      <c r="H7" s="129">
        <f>IF(B$15=0,0,G7/B$15)</f>
        <v>0.21739130434782608</v>
      </c>
      <c r="I7" s="90">
        <v>14</v>
      </c>
      <c r="K7" s="36">
        <v>5</v>
      </c>
      <c r="L7" s="95">
        <v>84.7</v>
      </c>
      <c r="N7" s="112" t="s">
        <v>135</v>
      </c>
      <c r="O7" s="119">
        <f t="shared" si="0"/>
        <v>2483.3333333333335</v>
      </c>
      <c r="P7" s="116">
        <v>6</v>
      </c>
      <c r="Q7" s="100">
        <v>14900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65</v>
      </c>
      <c r="F8" s="56" t="s">
        <v>21</v>
      </c>
      <c r="G8" s="44">
        <v>3</v>
      </c>
      <c r="H8" s="129">
        <f>IF(B$15=0,0,G8/B$15)</f>
        <v>0.13043478260869565</v>
      </c>
      <c r="I8" s="90">
        <v>5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0.42857142857142855</v>
      </c>
      <c r="E9" s="59" t="s">
        <v>69</v>
      </c>
      <c r="F9" s="56" t="s">
        <v>24</v>
      </c>
      <c r="G9" s="44">
        <v>3</v>
      </c>
      <c r="H9" s="129">
        <f>IF(B$15=0,0,G9/B$15)</f>
        <v>0.13043478260869565</v>
      </c>
      <c r="I9" s="90">
        <v>9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3</v>
      </c>
      <c r="H10" s="129">
        <f>IF(B$15=0,0,G10/B$15)</f>
        <v>0.13043478260869565</v>
      </c>
      <c r="I10" s="90">
        <v>2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26</v>
      </c>
      <c r="C11" s="42">
        <f>IF(B$3=0,0,B11/B$3)</f>
        <v>0.44067796610169491</v>
      </c>
      <c r="E11" s="59" t="s">
        <v>71</v>
      </c>
      <c r="F11" s="56" t="s">
        <v>26</v>
      </c>
      <c r="G11" s="44">
        <v>3</v>
      </c>
      <c r="H11" s="129">
        <f>IF(B$15=0,0,G11/B$15)</f>
        <v>0.13043478260869565</v>
      </c>
      <c r="I11" s="90">
        <v>2</v>
      </c>
      <c r="N11" s="111" t="s">
        <v>158</v>
      </c>
      <c r="O11" s="121">
        <f>IF(P11=0,0,Q11/P11)</f>
        <v>-33.4</v>
      </c>
      <c r="P11" s="115">
        <v>2</v>
      </c>
      <c r="Q11" s="103">
        <v>-66.8</v>
      </c>
    </row>
    <row r="12" spans="1:17" x14ac:dyDescent="0.4">
      <c r="A12" s="51" t="s">
        <v>118</v>
      </c>
      <c r="B12" s="44">
        <v>11</v>
      </c>
      <c r="C12" s="37">
        <f>IF(B$3=0,0,B12/B$3)</f>
        <v>0.1864406779661017</v>
      </c>
      <c r="E12" s="59" t="s">
        <v>81</v>
      </c>
      <c r="F12" s="56" t="s">
        <v>36</v>
      </c>
      <c r="G12" s="44">
        <v>2</v>
      </c>
      <c r="H12" s="129">
        <f>IF(B$15=0,0,G12/B$15)</f>
        <v>8.6956521739130432E-2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17</v>
      </c>
      <c r="C13" s="35">
        <f>IF(B$11=0,0,B13/B$11)</f>
        <v>0.65384615384615385</v>
      </c>
      <c r="E13" s="59" t="s">
        <v>89</v>
      </c>
      <c r="F13" s="56" t="s">
        <v>44</v>
      </c>
      <c r="G13" s="44">
        <v>1</v>
      </c>
      <c r="H13" s="129">
        <f>IF(B$15=0,0,G13/B$15)</f>
        <v>4.3478260869565216E-2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4.3478260869565216E-2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</v>
      </c>
      <c r="C15" s="35">
        <f>IF(B$3=0,0,B15/B$3)</f>
        <v>0.38983050847457629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13</v>
      </c>
      <c r="C16" s="37">
        <f>IF(B$3=0,0,B16/B$3)</f>
        <v>0.22033898305084745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197</v>
      </c>
      <c r="O16" s="121">
        <f>IF(P16=0,0,Q16/P16)</f>
        <v>20.04</v>
      </c>
      <c r="P16" s="115">
        <v>5</v>
      </c>
      <c r="Q16" s="103">
        <v>100.2</v>
      </c>
    </row>
    <row r="17" spans="1:17" x14ac:dyDescent="0.4">
      <c r="A17" s="51" t="s">
        <v>12</v>
      </c>
      <c r="B17" s="44">
        <v>10</v>
      </c>
      <c r="C17" s="37">
        <f>IF(B$15=0,0,B17/B$15)</f>
        <v>0.43478260869565216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9</v>
      </c>
      <c r="N17" s="111" t="s">
        <v>171</v>
      </c>
      <c r="O17" s="121">
        <f>IF(P17=0,0,Q17/P17)</f>
        <v>-11</v>
      </c>
      <c r="P17" s="115">
        <v>3</v>
      </c>
      <c r="Q17" s="103">
        <v>-33</v>
      </c>
    </row>
    <row r="18" spans="1:17" x14ac:dyDescent="0.4">
      <c r="A18" s="51" t="s">
        <v>11</v>
      </c>
      <c r="B18" s="44">
        <v>13</v>
      </c>
      <c r="C18" s="37">
        <f>IF(B$15=0,0,B18/B$15)</f>
        <v>0.56521739130434778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126</v>
      </c>
      <c r="O18" s="121">
        <f>IF(P18=0,0,Q18/P18)</f>
        <v>-31.200000000000003</v>
      </c>
      <c r="P18" s="115">
        <v>1</v>
      </c>
      <c r="Q18" s="103">
        <v>-31.200000000000003</v>
      </c>
    </row>
    <row r="19" spans="1:17" x14ac:dyDescent="0.4">
      <c r="A19" s="51" t="s">
        <v>195</v>
      </c>
      <c r="B19" s="44">
        <v>17</v>
      </c>
      <c r="C19" s="37">
        <f>IF(B$15=0,0,B19/B$15)</f>
        <v>0.73913043478260865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</row>
    <row r="20" spans="1:17" x14ac:dyDescent="0.4">
      <c r="A20" s="51" t="s">
        <v>193</v>
      </c>
      <c r="B20" s="44">
        <v>5</v>
      </c>
      <c r="C20" s="37">
        <f>IF(B$15=0,0,B20/B$15)</f>
        <v>0.21739130434782608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1</v>
      </c>
      <c r="C21" s="37">
        <f>IF(B$15=0,0,B21/B$15)</f>
        <v>4.3478260869565216E-2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9647.826086956522</v>
      </c>
      <c r="C22" s="39">
        <v>221900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9827.7777777777774</v>
      </c>
      <c r="C23" s="137">
        <v>176900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-8692.3076923076915</v>
      </c>
      <c r="C25" s="137">
        <v>-113000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4.3478260869565216E-2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0.13043478260869565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5</v>
      </c>
      <c r="C34" s="37">
        <f>IF(B$15=0,0,B34/B$15)</f>
        <v>0.21739130434782608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4.3478260869565216E-2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2"/>
        <v>0.2608695652173913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0.2608695652173913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4.3478260869565216E-2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363E-A0F0-4A02-845E-3B05350B782E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12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9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6CE41-B84A-480B-B2B3-462930710693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48032-F2CC-48A2-B1E0-766CB9D9A28C}">
  <sheetPr codeName="Sheet30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4061-A518-4D76-8E47-48642FD9FB1E}">
  <sheetPr codeName="Sheet28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2F4D-2FB1-4AC2-A18A-17854BEA473E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8CEC-F03E-416D-90B9-D54B7B964264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FC41-C54F-4C3E-89EA-DB3B13719860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B1DFC-FADA-4372-B5A6-D3D6D4AF0B3D}">
  <sheetPr codeName="Sheet20"/>
  <dimension ref="A1:Q5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8C35-2CF8-4307-97AA-50E0DA93D122}">
  <sheetPr codeName="Sheet18"/>
  <dimension ref="A1:Q1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741E-0E94-47E2-93FC-6BAAED1E7F3C}">
  <sheetPr codeName="Sheet16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912A4-C413-4022-8AE3-28B67F840C9E}">
  <sheetPr codeName="Sheet14"/>
  <dimension ref="A1:Q9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A668-4C57-4BA6-827A-8E1F3F3A1F89}">
  <sheetPr codeName="Sheet12"/>
  <dimension ref="A1:Q1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A3E04-5866-4C78-A151-A2385B1C500B}">
  <sheetPr codeName="Sheet10"/>
  <dimension ref="A1:Q1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5287-9281-4E41-9555-D26CE51A3D33}">
  <sheetPr codeName="Sheet8"/>
  <dimension ref="A1:Q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9B0-E4BB-491E-A693-2786963BE876}">
  <sheetPr codeName="Sheet6"/>
  <dimension ref="A1:Q25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2019-12-10T12:56:39Z</dcterms:modified>
</cp:coreProperties>
</file>