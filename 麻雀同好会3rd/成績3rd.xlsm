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CC72AA9-6977-4260-B4C8-FA39A1B016A3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19" i="5869"/>
  <c r="O19" i="5867" l="1"/>
  <c r="O18" i="5871"/>
  <c r="O16" i="5861" l="1"/>
  <c r="O17" i="5867"/>
  <c r="O21" i="5869"/>
  <c r="O17" i="5869"/>
  <c r="O15" i="5857" l="1"/>
  <c r="O17" i="5871"/>
  <c r="O19" i="5871"/>
  <c r="O17" i="5863"/>
  <c r="O19" i="5861" l="1"/>
  <c r="O21" i="5865"/>
  <c r="O20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2" i="5867"/>
  <c r="O18" i="5857"/>
  <c r="O18" i="5861"/>
  <c r="O16" i="5863"/>
  <c r="O20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6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5" i="5871"/>
  <c r="H10" i="5871"/>
  <c r="H17" i="5869"/>
  <c r="H8" i="5871"/>
  <c r="H2" i="5871"/>
  <c r="H32" i="5871"/>
  <c r="H40" i="5871"/>
  <c r="H48" i="5871"/>
  <c r="C17" i="5871"/>
  <c r="H14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5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3" i="5869"/>
  <c r="H39" i="5869"/>
  <c r="B23" i="5869"/>
  <c r="H43" i="5869"/>
  <c r="H47" i="5869"/>
  <c r="H21" i="5869"/>
  <c r="H5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6" i="5869"/>
  <c r="H12" i="5869"/>
  <c r="H20" i="5869"/>
  <c r="H22" i="5869"/>
  <c r="C19" i="5869"/>
  <c r="H11" i="5869"/>
  <c r="B24" i="5869"/>
  <c r="H34" i="5869"/>
  <c r="H37" i="5869"/>
  <c r="H41" i="5869"/>
  <c r="H45" i="5869"/>
  <c r="H49" i="5869"/>
  <c r="H52" i="5869"/>
  <c r="H9" i="5869"/>
  <c r="H7" i="5869"/>
  <c r="H10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19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19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6" i="5865"/>
  <c r="H25" i="5865"/>
  <c r="C18" i="5865"/>
  <c r="B23" i="5865"/>
  <c r="H46" i="5865"/>
  <c r="H52" i="5865"/>
  <c r="H27" i="5865"/>
  <c r="H10" i="5865"/>
  <c r="H13" i="5865"/>
  <c r="H5" i="5865"/>
  <c r="H19" i="5865"/>
  <c r="H26" i="5865"/>
  <c r="H21" i="5865"/>
  <c r="C19" i="5865"/>
  <c r="B24" i="5865"/>
  <c r="H34" i="5865"/>
  <c r="H50" i="5865"/>
  <c r="H28" i="5865"/>
  <c r="H15" i="5865"/>
  <c r="H31" i="5865"/>
  <c r="H16" i="5865"/>
  <c r="H33" i="5865"/>
  <c r="H18" i="5865"/>
  <c r="H35" i="5865"/>
  <c r="H39" i="5865"/>
  <c r="H43" i="5865"/>
  <c r="H47" i="5865"/>
  <c r="H51" i="5865"/>
  <c r="H9" i="5865"/>
  <c r="H17" i="5865"/>
  <c r="H36" i="5865"/>
  <c r="H40" i="5865"/>
  <c r="H44" i="5865"/>
  <c r="H48" i="5865"/>
  <c r="H12" i="5865"/>
  <c r="H29" i="5865"/>
  <c r="H30" i="5865"/>
  <c r="H22" i="5865"/>
  <c r="H32" i="5865"/>
  <c r="H23" i="5865"/>
  <c r="H24" i="5865"/>
  <c r="H37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25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19" i="5861"/>
  <c r="H18" i="5861"/>
  <c r="H17" i="5861"/>
  <c r="H22" i="5861"/>
  <c r="H13" i="5861"/>
  <c r="H32" i="5861"/>
  <c r="H15" i="5861"/>
  <c r="H24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0" i="5861"/>
  <c r="H21" i="5861"/>
  <c r="C19" i="5861"/>
  <c r="H14" i="5861"/>
  <c r="H35" i="5861"/>
  <c r="H42" i="5861"/>
  <c r="H50" i="5861"/>
  <c r="H7" i="5861"/>
  <c r="H26" i="5861"/>
  <c r="H27" i="5861"/>
  <c r="H16" i="5861"/>
  <c r="C18" i="5861"/>
  <c r="B23" i="5861"/>
  <c r="H8" i="5861"/>
  <c r="H23" i="5861"/>
  <c r="H36" i="5861"/>
  <c r="H40" i="5861"/>
  <c r="H44" i="5861"/>
  <c r="H48" i="5861"/>
  <c r="H4" i="5855"/>
  <c r="H7" i="5859"/>
  <c r="H30" i="5859"/>
  <c r="H31" i="5859"/>
  <c r="H16" i="5859"/>
  <c r="C18" i="5859"/>
  <c r="B23" i="5859"/>
  <c r="H22" i="5859"/>
  <c r="H41" i="5859"/>
  <c r="H2" i="5859"/>
  <c r="H13" i="5859"/>
  <c r="H3" i="5859"/>
  <c r="H26" i="5859"/>
  <c r="H21" i="5859"/>
  <c r="H23" i="5859"/>
  <c r="H19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4" i="5859"/>
  <c r="H25" i="5859"/>
  <c r="H14" i="5859"/>
  <c r="H40" i="5859"/>
  <c r="H51" i="5859"/>
  <c r="H48" i="5859"/>
  <c r="C19" i="5859"/>
  <c r="H18" i="5859"/>
  <c r="H37" i="5859"/>
  <c r="H45" i="5859"/>
  <c r="H15" i="5859"/>
  <c r="H32" i="5859"/>
  <c r="H33" i="5859"/>
  <c r="H20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2" i="5855"/>
  <c r="H48" i="5855"/>
  <c r="H11" i="5855"/>
  <c r="H34" i="5855"/>
  <c r="B23" i="5855"/>
  <c r="C17" i="5855"/>
  <c r="H2" i="5855"/>
  <c r="H26" i="5855"/>
  <c r="C18" i="5855"/>
  <c r="H38" i="5855"/>
  <c r="H16" i="5855"/>
  <c r="H35" i="5855"/>
  <c r="H36" i="5855"/>
  <c r="H24" i="5855"/>
  <c r="H30" i="5855"/>
  <c r="H31" i="5855"/>
  <c r="H28" i="5855"/>
  <c r="H39" i="5855"/>
  <c r="H32" i="5855"/>
  <c r="H46" i="5855"/>
  <c r="H49" i="5855"/>
  <c r="H5" i="5855"/>
  <c r="H8" i="5855"/>
  <c r="H20" i="5855"/>
  <c r="H23" i="5855"/>
  <c r="C19" i="5855"/>
  <c r="H13" i="5855"/>
  <c r="B24" i="5855"/>
  <c r="H37" i="5855"/>
  <c r="H40" i="5855"/>
  <c r="H43" i="5855"/>
  <c r="H33" i="5855"/>
  <c r="H50" i="5855"/>
  <c r="H52" i="5855"/>
  <c r="H10" i="5855"/>
  <c r="H6" i="5855"/>
  <c r="H12" i="5855"/>
  <c r="H21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<sst xmlns="http://schemas.openxmlformats.org/spreadsheetml/2006/main" count="2828" uniqueCount="240">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</sst>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全体!$K$2:$K$515</c:f>
              <c:numCache>
                <c:formatCode>General</c:formatCode>
                <c:ptCount val="5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</c:numCache>
            </c:numRef>
          </c:xVal>
          <c:yVal>
            <c:numRef>
              <c:f>全体!$L$2:$L$515</c:f>
              <c:numCache>
                <c:formatCode>\+0.0;\-0.0;\±0</c:formatCode>
                <c:ptCount val="51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-19.607843137254903</c:v>
                </c:pt>
                <c:pt idx="1">
                  <c:v>6.024096385542169</c:v>
                </c:pt>
                <c:pt idx="2">
                  <c:v>-16.877637130801688</c:v>
                </c:pt>
                <c:pt idx="3">
                  <c:v>13.333333333333334</c:v>
                </c:pt>
                <c:pt idx="4">
                  <c:v>9.6618357487922708</c:v>
                </c:pt>
                <c:pt idx="5">
                  <c:v>14.245014245014245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-1309.3023255813953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だいち!$L$2:$L$107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1113.4615384615386</c:v>
                </c:pt>
                <c:pt idx="1">
                  <c:v>-91.089108910891085</c:v>
                </c:pt>
                <c:pt idx="2">
                  <c:v>364.28571428571428</c:v>
                </c:pt>
                <c:pt idx="3">
                  <c:v>880</c:v>
                </c:pt>
                <c:pt idx="4">
                  <c:v>2104.8192771084337</c:v>
                </c:pt>
                <c:pt idx="5">
                  <c:v>3085.5072463768115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ただ!$L$2:$L$98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-1961.0526315789473</c:v>
                </c:pt>
                <c:pt idx="1">
                  <c:v>1510.752688172043</c:v>
                </c:pt>
                <c:pt idx="2">
                  <c:v>406.81818181818181</c:v>
                </c:pt>
                <c:pt idx="3">
                  <c:v>848.19277108433732</c:v>
                </c:pt>
                <c:pt idx="4">
                  <c:v>-753.9473684210526</c:v>
                </c:pt>
                <c:pt idx="5">
                  <c:v>1272.3076923076924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りくと!$L$2:$L$63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-358.33333333333331</c:v>
                </c:pt>
                <c:pt idx="1">
                  <c:v>-550</c:v>
                </c:pt>
                <c:pt idx="2">
                  <c:v>735.08771929824559</c:v>
                </c:pt>
                <c:pt idx="3">
                  <c:v>-1635.7142857142858</c:v>
                </c:pt>
                <c:pt idx="4">
                  <c:v>-3603.7735849056603</c:v>
                </c:pt>
                <c:pt idx="5">
                  <c:v>-1310.6382978723404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れんたろう!$L$2:$L$59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2366.6666666666665</c:v>
                </c:pt>
                <c:pt idx="1">
                  <c:v>-1832.7272727272727</c:v>
                </c:pt>
                <c:pt idx="2">
                  <c:v>1925.4901960784314</c:v>
                </c:pt>
                <c:pt idx="3">
                  <c:v>3140.8163265306121</c:v>
                </c:pt>
                <c:pt idx="4">
                  <c:v>-828.88888888888891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669.76744186046517</c:v>
                </c:pt>
                <c:pt idx="1">
                  <c:v>861.4457831325301</c:v>
                </c:pt>
                <c:pt idx="2">
                  <c:v>-1151.9480519480519</c:v>
                </c:pt>
                <c:pt idx="3">
                  <c:v>-240.8450704225352</c:v>
                </c:pt>
                <c:pt idx="4">
                  <c:v>-140.32258064516128</c:v>
                </c:pt>
                <c:pt idx="5">
                  <c:v>-1277.7777777777778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まっつん2!$B$3:$B$89</c:f>
              <c:numCache>
                <c:formatCode>\+0.0;\-0.0;\±0</c:formatCode>
                <c:ptCount val="8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まっつん2!$C$3:$C$89</c:f>
              <c:numCache>
                <c:formatCode>\+0.0;\-0.0;\±0</c:formatCode>
                <c:ptCount val="87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080588471892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まっつん2!$D$3:$D$89</c:f>
              <c:numCache>
                <c:formatCode>0.00\ "位"</c:formatCode>
                <c:ptCount val="87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まっつん2!$E$3:$E$89</c:f>
              <c:numCache>
                <c:formatCode>0.0%</c:formatCode>
                <c:ptCount val="8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まっつん2!$F$3:$F$89</c:f>
              <c:numCache>
                <c:formatCode>0.0%</c:formatCode>
                <c:ptCount val="8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まっつん2!$G$3:$G$89</c:f>
              <c:numCache>
                <c:formatCode>0.0%</c:formatCode>
                <c:ptCount val="87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46407538280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まっつん2!$H$3:$H$89</c:f>
              <c:numCache>
                <c:formatCode>0.0%</c:formatCode>
                <c:ptCount val="87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486454652532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まっつん2!$I$3:$I$89</c:f>
              <c:numCache>
                <c:formatCode>0</c:formatCode>
                <c:ptCount val="87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まっつん2!$J$3:$J$89</c:f>
              <c:numCache>
                <c:formatCode>0</c:formatCode>
                <c:ptCount val="87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4.69740634005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まっつん2!$K$3:$K$89</c:f>
              <c:numCache>
                <c:formatCode>0.0%</c:formatCode>
                <c:ptCount val="8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56725146198829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まっつん2!$L$3:$L$89</c:f>
              <c:numCache>
                <c:formatCode>0.0%</c:formatCode>
                <c:ptCount val="8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56725146198829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まっつん2!$M$3:$M$89</c:f>
              <c:numCache>
                <c:formatCode>0.0%</c:formatCode>
                <c:ptCount val="87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767962308598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まっつん2!$N$3:$N$89</c:f>
              <c:numCache>
                <c:formatCode>0.0%</c:formatCode>
                <c:ptCount val="87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802120141342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まっつん2!$O$3:$O$89</c:f>
              <c:numCache>
                <c:formatCode>0.0%</c:formatCode>
                <c:ptCount val="87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011183597390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まっつん2!$P$3:$P$89</c:f>
              <c:numCache>
                <c:formatCode>0.0%</c:formatCode>
                <c:ptCount val="87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552845528455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まっつん2!$Q$3:$Q$89</c:f>
              <c:numCache>
                <c:formatCode>0.0%</c:formatCode>
                <c:ptCount val="87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199999999999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513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105</v>
      </c>
    </row>
    <row r="4" spans="1:2" x14ac:dyDescent="0.4">
      <c r="A4" t="s">
        <v>127</v>
      </c>
      <c r="B4">
        <v>96</v>
      </c>
    </row>
    <row r="5" spans="1:2" x14ac:dyDescent="0.4">
      <c r="A5" t="s">
        <v>179</v>
      </c>
      <c r="B5">
        <v>61</v>
      </c>
    </row>
    <row r="6" spans="1:2" x14ac:dyDescent="0.4">
      <c r="A6" t="s">
        <v>177</v>
      </c>
      <c r="B6">
        <v>57</v>
      </c>
    </row>
    <row r="7" spans="1:2" x14ac:dyDescent="0.4">
      <c r="A7" t="s">
        <v>178</v>
      </c>
      <c r="B7">
        <v>86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0.99262076864756021</v>
      </c>
      <c r="G2" s="157"/>
      <c r="H2" s="156">
        <v>0.92707145003906755</v>
      </c>
      <c r="I2" s="157"/>
      <c r="J2" s="156">
        <v>0.91416727622273231</v>
      </c>
      <c r="K2" s="157"/>
      <c r="L2" s="156">
        <v>0.91555647222105874</v>
      </c>
      <c r="M2" s="157"/>
      <c r="N2" s="156">
        <v>0.56710976345703823</v>
      </c>
      <c r="O2" s="157"/>
      <c r="P2" s="156">
        <v>0.450366755032656</v>
      </c>
      <c r="Q2" s="157"/>
      <c r="R2" s="156">
        <v>-8.768929988310549E-2</v>
      </c>
      <c r="S2" s="157"/>
      <c r="T2" s="156">
        <v>0.48052985774377038</v>
      </c>
      <c r="U2" s="157"/>
      <c r="V2" s="156">
        <v>0.79961125171631708</v>
      </c>
      <c r="W2" s="157"/>
      <c r="X2" s="156">
        <v>0.51821476804003785</v>
      </c>
      <c r="Y2" s="157"/>
      <c r="Z2" s="156">
        <v>3.1120134527604811E-2</v>
      </c>
      <c r="AA2" s="157"/>
      <c r="AB2" s="156">
        <v>0.20018516714483772</v>
      </c>
      <c r="AC2" s="157"/>
      <c r="AD2" s="156">
        <v>0.56932258085044607</v>
      </c>
      <c r="AE2" s="157"/>
      <c r="AF2" s="156">
        <v>-0.16359104095716048</v>
      </c>
      <c r="AG2" s="157"/>
      <c r="AH2" s="156">
        <v>0.73169226134811904</v>
      </c>
      <c r="AI2" s="157"/>
    </row>
    <row r="3" spans="1:35" x14ac:dyDescent="0.4">
      <c r="A3" s="70">
        <v>1</v>
      </c>
      <c r="B3" s="71" t="s">
        <v>126</v>
      </c>
      <c r="C3" s="72">
        <v>884.39999999999986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10292.64705882353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0.19298245614035087</v>
      </c>
      <c r="X3" s="73" t="s">
        <v>177</v>
      </c>
      <c r="Y3" s="76">
        <v>0.32385120350109409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291.80000000000007</v>
      </c>
      <c r="D4" s="81" t="s">
        <v>126</v>
      </c>
      <c r="E4" s="93">
        <v>8.4228571428571417</v>
      </c>
      <c r="F4" s="81" t="s">
        <v>126</v>
      </c>
      <c r="G4" s="82">
        <v>1.7714285714285714</v>
      </c>
      <c r="H4" s="81" t="s">
        <v>126</v>
      </c>
      <c r="I4" s="83">
        <v>0.47619047619047616</v>
      </c>
      <c r="J4" s="81" t="s">
        <v>126</v>
      </c>
      <c r="K4" s="83">
        <v>0.24761904761904763</v>
      </c>
      <c r="L4" s="81" t="s">
        <v>126</v>
      </c>
      <c r="M4" s="84">
        <v>0.33847980997624705</v>
      </c>
      <c r="N4" s="81" t="s">
        <v>126</v>
      </c>
      <c r="O4" s="84">
        <v>0.13064133016627077</v>
      </c>
      <c r="P4" s="81" t="s">
        <v>127</v>
      </c>
      <c r="Q4" s="85">
        <v>8574.6987951807223</v>
      </c>
      <c r="R4" s="81" t="s">
        <v>181</v>
      </c>
      <c r="S4" s="85">
        <v>-7151.6129032258068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0.28488372093023256</v>
      </c>
      <c r="Z4" s="81" t="s">
        <v>222</v>
      </c>
      <c r="AA4" s="84">
        <v>0.33333333333333331</v>
      </c>
      <c r="AB4" s="81" t="s">
        <v>126</v>
      </c>
      <c r="AC4" s="84">
        <v>0.6026200873362445</v>
      </c>
      <c r="AD4" s="81" t="s">
        <v>126</v>
      </c>
      <c r="AE4" s="84">
        <v>0.47619047619047616</v>
      </c>
      <c r="AF4" s="81" t="s">
        <v>177</v>
      </c>
      <c r="AG4" s="84">
        <v>0.48529411764705882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72.299999999999784</v>
      </c>
      <c r="D5" s="81" t="s">
        <v>177</v>
      </c>
      <c r="E5" s="93">
        <v>5.1192982456140363</v>
      </c>
      <c r="F5" s="81" t="s">
        <v>177</v>
      </c>
      <c r="G5" s="82">
        <v>1.8947368421052631</v>
      </c>
      <c r="H5" s="81" t="s">
        <v>195</v>
      </c>
      <c r="I5" s="83">
        <v>0.42857142857142855</v>
      </c>
      <c r="J5" s="81" t="s">
        <v>178</v>
      </c>
      <c r="K5" s="83">
        <v>0.27906976744186046</v>
      </c>
      <c r="L5" s="81" t="s">
        <v>127</v>
      </c>
      <c r="M5" s="84">
        <v>0.30552147239263805</v>
      </c>
      <c r="N5" s="81" t="s">
        <v>178</v>
      </c>
      <c r="O5" s="84">
        <v>0.13469985358711567</v>
      </c>
      <c r="P5" s="81" t="s">
        <v>178</v>
      </c>
      <c r="Q5" s="85">
        <v>8382.2916666666661</v>
      </c>
      <c r="R5" s="81" t="s">
        <v>179</v>
      </c>
      <c r="S5" s="85">
        <v>-7655.0458715596333</v>
      </c>
      <c r="T5" s="81" t="s">
        <v>126</v>
      </c>
      <c r="U5" s="83">
        <v>4.7619047619047616E-2</v>
      </c>
      <c r="V5" s="81" t="s">
        <v>126</v>
      </c>
      <c r="W5" s="83">
        <v>0.12380952380952381</v>
      </c>
      <c r="X5" s="81" t="s">
        <v>126</v>
      </c>
      <c r="Y5" s="84">
        <v>0.27197149643705465</v>
      </c>
      <c r="Z5" s="81" t="s">
        <v>127</v>
      </c>
      <c r="AA5" s="84">
        <v>0.30674846625766872</v>
      </c>
      <c r="AB5" s="81" t="s">
        <v>179</v>
      </c>
      <c r="AC5" s="84">
        <v>0.59183673469387754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0.75312499999999771</v>
      </c>
      <c r="F6" s="81" t="s">
        <v>127</v>
      </c>
      <c r="G6" s="82">
        <v>1.9583333333333333</v>
      </c>
      <c r="H6" s="81" t="s">
        <v>177</v>
      </c>
      <c r="I6" s="83">
        <v>0.42105263157894735</v>
      </c>
      <c r="J6" s="81" t="s">
        <v>177</v>
      </c>
      <c r="K6" s="83">
        <v>0.31578947368421051</v>
      </c>
      <c r="L6" s="81" t="s">
        <v>177</v>
      </c>
      <c r="M6" s="84">
        <v>0.2975929978118162</v>
      </c>
      <c r="N6" s="81" t="s">
        <v>166</v>
      </c>
      <c r="O6" s="84">
        <v>0.14463840399002495</v>
      </c>
      <c r="P6" s="81" t="s">
        <v>143</v>
      </c>
      <c r="Q6" s="85">
        <v>8374</v>
      </c>
      <c r="R6" s="81" t="s">
        <v>126</v>
      </c>
      <c r="S6" s="85">
        <v>-7804.545454545455</v>
      </c>
      <c r="T6" s="81" t="s">
        <v>178</v>
      </c>
      <c r="U6" s="83">
        <v>8.1395348837209308E-2</v>
      </c>
      <c r="V6" s="81" t="s">
        <v>127</v>
      </c>
      <c r="W6" s="83">
        <v>0.10416666666666667</v>
      </c>
      <c r="X6" s="81" t="s">
        <v>222</v>
      </c>
      <c r="Y6" s="84">
        <v>0.26666666666666666</v>
      </c>
      <c r="Z6" s="81" t="s">
        <v>166</v>
      </c>
      <c r="AA6" s="84">
        <v>0.23441396508728179</v>
      </c>
      <c r="AB6" s="81" t="s">
        <v>143</v>
      </c>
      <c r="AC6" s="84">
        <v>0.5601118359739049</v>
      </c>
      <c r="AD6" s="81" t="s">
        <v>178</v>
      </c>
      <c r="AE6" s="84">
        <v>0.4140127388535032</v>
      </c>
      <c r="AF6" s="81" t="s">
        <v>179</v>
      </c>
      <c r="AG6" s="84">
        <v>0.4513888888888889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-5.6843418860808015E-14</v>
      </c>
      <c r="D7" s="81" t="s">
        <v>143</v>
      </c>
      <c r="E7" s="93">
        <v>-1.10805884718924E-16</v>
      </c>
      <c r="F7" s="81" t="s">
        <v>181</v>
      </c>
      <c r="G7" s="82">
        <v>2</v>
      </c>
      <c r="H7" s="81" t="s">
        <v>127</v>
      </c>
      <c r="I7" s="83">
        <v>0.36458333333333331</v>
      </c>
      <c r="J7" s="81" t="s">
        <v>127</v>
      </c>
      <c r="K7" s="83">
        <v>0.32291666666666669</v>
      </c>
      <c r="L7" s="81" t="s">
        <v>143</v>
      </c>
      <c r="M7" s="84">
        <v>0.29446407538280328</v>
      </c>
      <c r="N7" s="81" t="s">
        <v>181</v>
      </c>
      <c r="O7" s="84">
        <v>0.15196078431372548</v>
      </c>
      <c r="P7" s="81" t="s">
        <v>126</v>
      </c>
      <c r="Q7" s="85">
        <v>8117.894736842105</v>
      </c>
      <c r="R7" s="81" t="s">
        <v>143</v>
      </c>
      <c r="S7" s="85">
        <v>-7864.6974063400576</v>
      </c>
      <c r="T7" s="81" t="s">
        <v>179</v>
      </c>
      <c r="U7" s="83">
        <v>8.1967213114754092E-2</v>
      </c>
      <c r="V7" s="81" t="s">
        <v>143</v>
      </c>
      <c r="W7" s="83">
        <v>9.3567251461988299E-2</v>
      </c>
      <c r="X7" s="81" t="s">
        <v>181</v>
      </c>
      <c r="Y7" s="84">
        <v>0.26470588235294118</v>
      </c>
      <c r="Z7" s="81" t="s">
        <v>143</v>
      </c>
      <c r="AA7" s="84">
        <v>0.23180212014134274</v>
      </c>
      <c r="AB7" s="81" t="s">
        <v>178</v>
      </c>
      <c r="AC7" s="84">
        <v>0.55681818181818177</v>
      </c>
      <c r="AD7" s="81" t="s">
        <v>143</v>
      </c>
      <c r="AE7" s="84">
        <v>0.40955284552845528</v>
      </c>
      <c r="AF7" s="81" t="s">
        <v>178</v>
      </c>
      <c r="AG7" s="84">
        <v>0.44791666666666669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181</v>
      </c>
      <c r="I8" s="83">
        <v>0.36363636363636365</v>
      </c>
      <c r="J8" s="81" t="s">
        <v>143</v>
      </c>
      <c r="K8" s="83">
        <v>0.33333333333333331</v>
      </c>
      <c r="L8" s="81" t="s">
        <v>178</v>
      </c>
      <c r="M8" s="84">
        <v>0.28111273792093705</v>
      </c>
      <c r="N8" s="81" t="s">
        <v>177</v>
      </c>
      <c r="O8" s="84">
        <v>0.16192560175054704</v>
      </c>
      <c r="P8" s="81" t="s">
        <v>181</v>
      </c>
      <c r="Q8" s="85">
        <v>8115.7894736842109</v>
      </c>
      <c r="R8" s="81" t="s">
        <v>178</v>
      </c>
      <c r="S8" s="85">
        <v>-7886.95652173913</v>
      </c>
      <c r="T8" s="81" t="s">
        <v>177</v>
      </c>
      <c r="U8" s="83">
        <v>8.771929824561403E-2</v>
      </c>
      <c r="V8" s="81" t="s">
        <v>181</v>
      </c>
      <c r="W8" s="83">
        <v>9.0909090909090912E-2</v>
      </c>
      <c r="X8" s="81" t="s">
        <v>178</v>
      </c>
      <c r="Y8" s="84">
        <v>0.25768667642752563</v>
      </c>
      <c r="Z8" s="81" t="s">
        <v>178</v>
      </c>
      <c r="AA8" s="84">
        <v>0.22986822840409957</v>
      </c>
      <c r="AB8" s="81" t="s">
        <v>177</v>
      </c>
      <c r="AC8" s="84">
        <v>0.54729729729729726</v>
      </c>
      <c r="AD8" s="81" t="s">
        <v>182</v>
      </c>
      <c r="AE8" s="84">
        <v>0.4</v>
      </c>
      <c r="AF8" s="81" t="s">
        <v>143</v>
      </c>
      <c r="AG8" s="84">
        <v>0.43919999999999998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178</v>
      </c>
      <c r="C9" s="80">
        <v>-83.800000000000011</v>
      </c>
      <c r="D9" s="81" t="s">
        <v>178</v>
      </c>
      <c r="E9" s="93">
        <v>-0.97441860465116292</v>
      </c>
      <c r="F9" s="81" t="s">
        <v>178</v>
      </c>
      <c r="G9" s="82">
        <v>2.058139534883721</v>
      </c>
      <c r="H9" s="81" t="s">
        <v>166</v>
      </c>
      <c r="I9" s="83">
        <v>0.34782608695652173</v>
      </c>
      <c r="J9" s="81" t="s">
        <v>181</v>
      </c>
      <c r="K9" s="83">
        <v>0.36363636363636365</v>
      </c>
      <c r="L9" s="81" t="s">
        <v>181</v>
      </c>
      <c r="M9" s="84">
        <v>0.27941176470588236</v>
      </c>
      <c r="N9" s="81" t="s">
        <v>143</v>
      </c>
      <c r="O9" s="84">
        <v>0.16348645465253239</v>
      </c>
      <c r="P9" s="81" t="s">
        <v>179</v>
      </c>
      <c r="Q9" s="85">
        <v>8055.5555555555557</v>
      </c>
      <c r="R9" s="81" t="s">
        <v>222</v>
      </c>
      <c r="S9" s="85">
        <v>-8000</v>
      </c>
      <c r="T9" s="81" t="s">
        <v>181</v>
      </c>
      <c r="U9" s="83">
        <v>9.0909090909090912E-2</v>
      </c>
      <c r="V9" s="81" t="s">
        <v>178</v>
      </c>
      <c r="W9" s="83">
        <v>6.9767441860465115E-2</v>
      </c>
      <c r="X9" s="81" t="s">
        <v>143</v>
      </c>
      <c r="Y9" s="84">
        <v>0.25276796230859833</v>
      </c>
      <c r="Z9" s="81" t="s">
        <v>126</v>
      </c>
      <c r="AA9" s="84">
        <v>0.22446555819477435</v>
      </c>
      <c r="AB9" s="81" t="s">
        <v>182</v>
      </c>
      <c r="AC9" s="84">
        <v>0.54166666666666663</v>
      </c>
      <c r="AD9" s="81" t="s">
        <v>179</v>
      </c>
      <c r="AE9" s="84">
        <v>0.38775510204081631</v>
      </c>
      <c r="AF9" s="81" t="s">
        <v>126</v>
      </c>
      <c r="AG9" s="84">
        <v>0.43508771929824563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-3.1717391304347839</v>
      </c>
      <c r="F10" s="81" t="s">
        <v>166</v>
      </c>
      <c r="G10" s="82">
        <v>2.0652173913043477</v>
      </c>
      <c r="H10" s="81" t="s">
        <v>143</v>
      </c>
      <c r="I10" s="83">
        <v>0.33333333333333331</v>
      </c>
      <c r="J10" s="81" t="s">
        <v>179</v>
      </c>
      <c r="K10" s="83">
        <v>0.39344262295081966</v>
      </c>
      <c r="L10" s="81" t="s">
        <v>179</v>
      </c>
      <c r="M10" s="84">
        <v>0.27906976744186046</v>
      </c>
      <c r="N10" s="81" t="s">
        <v>182</v>
      </c>
      <c r="O10" s="84">
        <v>0.188</v>
      </c>
      <c r="P10" s="81" t="s">
        <v>182</v>
      </c>
      <c r="Q10" s="85">
        <v>7901.7241379310344</v>
      </c>
      <c r="R10" s="81" t="s">
        <v>182</v>
      </c>
      <c r="S10" s="85">
        <v>-8059.5744680851067</v>
      </c>
      <c r="T10" s="81" t="s">
        <v>143</v>
      </c>
      <c r="U10" s="83">
        <v>9.3567251461988299E-2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0.376</v>
      </c>
      <c r="AF10" s="81" t="s">
        <v>166</v>
      </c>
      <c r="AG10" s="84">
        <v>0.42990654205607476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-7.4360655737704908</v>
      </c>
      <c r="F11" s="81" t="s">
        <v>195</v>
      </c>
      <c r="G11" s="82">
        <v>2.1428571428571428</v>
      </c>
      <c r="H11" s="81" t="s">
        <v>178</v>
      </c>
      <c r="I11" s="83">
        <v>0.22093023255813954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-8236.4864864864867</v>
      </c>
      <c r="T11" s="81" t="s">
        <v>127</v>
      </c>
      <c r="U11" s="83">
        <v>0.14583333333333334</v>
      </c>
      <c r="V11" s="81" t="s">
        <v>179</v>
      </c>
      <c r="W11" s="83">
        <v>3.2786885245901641E-2</v>
      </c>
      <c r="X11" s="81" t="s">
        <v>127</v>
      </c>
      <c r="Y11" s="84">
        <v>0.2343558282208589</v>
      </c>
      <c r="Z11" s="81" t="s">
        <v>179</v>
      </c>
      <c r="AA11" s="84">
        <v>0.18992248062015504</v>
      </c>
      <c r="AB11" s="81" t="s">
        <v>166</v>
      </c>
      <c r="AC11" s="84">
        <v>0.50819672131147542</v>
      </c>
      <c r="AD11" s="81" t="s">
        <v>181</v>
      </c>
      <c r="AE11" s="84">
        <v>0.375</v>
      </c>
      <c r="AF11" s="81" t="s">
        <v>127</v>
      </c>
      <c r="AG11" s="84">
        <v>0.38554216867469882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-453.59999999999997</v>
      </c>
      <c r="D12" s="81" t="s">
        <v>195</v>
      </c>
      <c r="E12" s="93">
        <v>-14.971428571428573</v>
      </c>
      <c r="F12" s="81" t="s">
        <v>179</v>
      </c>
      <c r="G12" s="82">
        <v>2.1967213114754101</v>
      </c>
      <c r="H12" s="81" t="s">
        <v>179</v>
      </c>
      <c r="I12" s="83">
        <v>0.19672131147540983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0.19631901840490798</v>
      </c>
      <c r="P12" s="81" t="s">
        <v>222</v>
      </c>
      <c r="Q12" s="85">
        <v>7385.7142857142853</v>
      </c>
      <c r="R12" s="81" t="s">
        <v>127</v>
      </c>
      <c r="S12" s="85">
        <v>-8255.625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0.17943107221006566</v>
      </c>
      <c r="AB12" s="81" t="s">
        <v>127</v>
      </c>
      <c r="AC12" s="84">
        <v>0.50785340314136129</v>
      </c>
      <c r="AD12" s="81" t="s">
        <v>166</v>
      </c>
      <c r="AE12" s="84">
        <v>0.36170212765957449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0.21124031007751937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1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513</v>
      </c>
      <c r="C2" s="149"/>
      <c r="E2" s="58" t="s">
        <v>66</v>
      </c>
      <c r="F2" s="55" t="s">
        <v>22</v>
      </c>
      <c r="G2" s="43">
        <v>969</v>
      </c>
      <c r="H2" s="128">
        <f>IF(B$17=0,0,G2/B$17)</f>
        <v>0.7752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-19.607843137254903</v>
      </c>
      <c r="P2" s="114">
        <v>510</v>
      </c>
      <c r="Q2" s="98">
        <v>-10000</v>
      </c>
    </row>
    <row r="3" spans="1:17" x14ac:dyDescent="0.4">
      <c r="A3" s="51" t="s">
        <v>8</v>
      </c>
      <c r="B3" s="150">
        <v>4245</v>
      </c>
      <c r="C3" s="151"/>
      <c r="E3" s="59" t="s">
        <v>72</v>
      </c>
      <c r="F3" s="56" t="s">
        <v>27</v>
      </c>
      <c r="G3" s="44">
        <v>673</v>
      </c>
      <c r="H3" s="129">
        <f>IF(B$17=0,0,G3/B$17)</f>
        <v>0.53839999999999999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6.024096385542169</v>
      </c>
      <c r="P3" s="115">
        <v>498</v>
      </c>
      <c r="Q3" s="99">
        <v>3000</v>
      </c>
    </row>
    <row r="4" spans="1:17" x14ac:dyDescent="0.4">
      <c r="A4" s="51" t="s">
        <v>6</v>
      </c>
      <c r="B4" s="152">
        <v>-5.6843418860808015E-14</v>
      </c>
      <c r="C4" s="153"/>
      <c r="E4" s="59" t="s">
        <v>64</v>
      </c>
      <c r="F4" s="56" t="s">
        <v>20</v>
      </c>
      <c r="G4" s="44">
        <v>574</v>
      </c>
      <c r="H4" s="129">
        <f>IF(B$17=0,0,G4/B$17)</f>
        <v>0.4592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-16.877637130801688</v>
      </c>
      <c r="P4" s="115">
        <v>474</v>
      </c>
      <c r="Q4" s="99">
        <v>-8000</v>
      </c>
    </row>
    <row r="5" spans="1:17" x14ac:dyDescent="0.4">
      <c r="A5" s="51" t="s">
        <v>7</v>
      </c>
      <c r="B5" s="154">
        <f>IF(B$2=0,0,B$4/B$2)</f>
        <v>-1.10805884718924E-16</v>
      </c>
      <c r="C5" s="155"/>
      <c r="E5" s="59" t="s">
        <v>171</v>
      </c>
      <c r="F5" s="56" t="s">
        <v>172</v>
      </c>
      <c r="G5" s="44">
        <v>495</v>
      </c>
      <c r="H5" s="129">
        <f>IF(B$17=0,0,G5/B$17)</f>
        <v>0.39600000000000002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0"/>
        <v>13.333333333333334</v>
      </c>
      <c r="P5" s="115">
        <v>450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393</v>
      </c>
      <c r="H6" s="129">
        <f>IF(B$17=0,0,G6/B$17)</f>
        <v>0.31440000000000001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9.6618357487922708</v>
      </c>
      <c r="P6" s="115">
        <v>414</v>
      </c>
      <c r="Q6" s="99">
        <v>4000</v>
      </c>
    </row>
    <row r="7" spans="1:17" x14ac:dyDescent="0.4">
      <c r="A7" s="51" t="s">
        <v>2</v>
      </c>
      <c r="B7" s="44">
        <v>171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359</v>
      </c>
      <c r="H7" s="129">
        <f>IF(B$17=0,0,G7/B$17)</f>
        <v>0.28720000000000001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14.245014245014245</v>
      </c>
      <c r="P7" s="116">
        <v>351</v>
      </c>
      <c r="Q7" s="100">
        <v>5000</v>
      </c>
    </row>
    <row r="8" spans="1:17" x14ac:dyDescent="0.4">
      <c r="A8" s="51" t="s">
        <v>3</v>
      </c>
      <c r="B8" s="44">
        <v>171</v>
      </c>
      <c r="C8" s="37">
        <f t="shared" si="1"/>
        <v>0.33333333333333331</v>
      </c>
      <c r="E8" s="59" t="s">
        <v>69</v>
      </c>
      <c r="F8" s="56" t="s">
        <v>24</v>
      </c>
      <c r="G8" s="44">
        <v>192</v>
      </c>
      <c r="H8" s="129">
        <f>IF(B$17=0,0,G8/B$17)</f>
        <v>0.15359999999999999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171</v>
      </c>
      <c r="C9" s="38">
        <f t="shared" si="1"/>
        <v>0.33333333333333331</v>
      </c>
      <c r="E9" s="59" t="s">
        <v>89</v>
      </c>
      <c r="F9" s="56" t="s">
        <v>44</v>
      </c>
      <c r="G9" s="44">
        <v>163</v>
      </c>
      <c r="H9" s="129">
        <f>IF(B$17=0,0,G9/B$17)</f>
        <v>0.13039999999999999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48</v>
      </c>
      <c r="C10" s="38">
        <f t="shared" si="1"/>
        <v>9.3567251461988299E-2</v>
      </c>
      <c r="E10" s="59" t="s">
        <v>65</v>
      </c>
      <c r="F10" s="56" t="s">
        <v>21</v>
      </c>
      <c r="G10" s="44">
        <v>129</v>
      </c>
      <c r="H10" s="129">
        <f>IF(B$17=0,0,G10/B$17)</f>
        <v>0.1032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-0.16140350877193013</v>
      </c>
      <c r="P10" s="114">
        <v>171</v>
      </c>
      <c r="Q10" s="102">
        <v>-27.600000000000051</v>
      </c>
    </row>
    <row r="11" spans="1:17" x14ac:dyDescent="0.4">
      <c r="A11" s="52" t="s">
        <v>138</v>
      </c>
      <c r="B11" s="45">
        <v>48</v>
      </c>
      <c r="C11" s="38">
        <f t="shared" si="1"/>
        <v>9.3567251461988299E-2</v>
      </c>
      <c r="E11" s="59" t="s">
        <v>70</v>
      </c>
      <c r="F11" s="56" t="s">
        <v>25</v>
      </c>
      <c r="G11" s="44">
        <v>116</v>
      </c>
      <c r="H11" s="129">
        <f>IF(B$17=0,0,G11/B$17)</f>
        <v>9.2799999999999994E-2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1.8228070175438593</v>
      </c>
      <c r="P11" s="115">
        <v>171</v>
      </c>
      <c r="Q11" s="103">
        <v>311.69999999999993</v>
      </c>
    </row>
    <row r="12" spans="1:17" x14ac:dyDescent="0.4">
      <c r="A12" s="53" t="s">
        <v>158</v>
      </c>
      <c r="B12" s="46">
        <v>52</v>
      </c>
      <c r="C12" s="40">
        <f t="shared" si="1"/>
        <v>0.10136452241715399</v>
      </c>
      <c r="E12" s="59" t="s">
        <v>71</v>
      </c>
      <c r="F12" s="56" t="s">
        <v>26</v>
      </c>
      <c r="G12" s="44">
        <v>97</v>
      </c>
      <c r="H12" s="129">
        <f>IF(B$17=0,0,G12/B$17)</f>
        <v>7.7600000000000002E-2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-1.6614035087719305</v>
      </c>
      <c r="P12" s="116">
        <v>171</v>
      </c>
      <c r="Q12" s="104">
        <v>-284.10000000000014</v>
      </c>
    </row>
    <row r="13" spans="1:17" x14ac:dyDescent="0.4">
      <c r="A13" s="54" t="s">
        <v>121</v>
      </c>
      <c r="B13" s="47">
        <v>1073</v>
      </c>
      <c r="C13" s="42">
        <f>IF(B$3=0,0,B13/B$3)</f>
        <v>0.25276796230859833</v>
      </c>
      <c r="E13" s="59" t="s">
        <v>83</v>
      </c>
      <c r="F13" s="56" t="s">
        <v>38</v>
      </c>
      <c r="G13" s="44">
        <v>69</v>
      </c>
      <c r="H13" s="129">
        <f>IF(B$17=0,0,G13/B$17)</f>
        <v>5.5199999999999999E-2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984</v>
      </c>
      <c r="C14" s="37">
        <f>IF(B$3=0,0,B14/B$3)</f>
        <v>0.23180212014134274</v>
      </c>
      <c r="E14" s="59" t="s">
        <v>86</v>
      </c>
      <c r="F14" s="56" t="s">
        <v>41</v>
      </c>
      <c r="G14" s="44">
        <v>61</v>
      </c>
      <c r="H14" s="129">
        <f>IF(B$17=0,0,G14/B$17)</f>
        <v>4.8800000000000003E-2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601</v>
      </c>
      <c r="C15" s="35">
        <f>IF(B$13=0,0,B15/B$13)</f>
        <v>0.5601118359739049</v>
      </c>
      <c r="E15" s="59" t="s">
        <v>78</v>
      </c>
      <c r="F15" s="56" t="s">
        <v>33</v>
      </c>
      <c r="G15" s="44">
        <v>31</v>
      </c>
      <c r="H15" s="129">
        <f>IF(B$17=0,0,G15/B$17)</f>
        <v>2.4799999999999999E-2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403</v>
      </c>
      <c r="C16" s="35">
        <f>IF(B$14=0,0,B16/B$14)</f>
        <v>0.40955284552845528</v>
      </c>
      <c r="E16" s="59" t="s">
        <v>167</v>
      </c>
      <c r="F16" s="56" t="s">
        <v>168</v>
      </c>
      <c r="G16" s="44">
        <v>30</v>
      </c>
      <c r="H16" s="129">
        <f>IF(B$17=0,0,G16/B$17)</f>
        <v>2.4E-2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1250</v>
      </c>
      <c r="C17" s="35">
        <f>IF(B$3=0,0,B17/B$3)</f>
        <v>0.29446407538280328</v>
      </c>
      <c r="E17" s="59" t="s">
        <v>81</v>
      </c>
      <c r="F17" s="56" t="s">
        <v>36</v>
      </c>
      <c r="G17" s="44">
        <v>22</v>
      </c>
      <c r="H17" s="129">
        <f>IF(B$17=0,0,G17/B$17)</f>
        <v>1.7600000000000001E-2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11.154098360655739</v>
      </c>
      <c r="P17" s="115">
        <v>122</v>
      </c>
      <c r="Q17" s="103">
        <v>1360.8000000000002</v>
      </c>
    </row>
    <row r="18" spans="1:17" x14ac:dyDescent="0.4">
      <c r="A18" s="51" t="s">
        <v>12</v>
      </c>
      <c r="B18" s="44">
        <v>549</v>
      </c>
      <c r="C18" s="37">
        <f>IF(B$17=0,0,B18/B$17)</f>
        <v>0.43919999999999998</v>
      </c>
      <c r="E18" s="59" t="s">
        <v>91</v>
      </c>
      <c r="F18" s="56" t="s">
        <v>46</v>
      </c>
      <c r="G18" s="44">
        <v>17</v>
      </c>
      <c r="H18" s="129">
        <f>IF(B$17=0,0,G18/B$17)</f>
        <v>1.3599999999999999E-2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701</v>
      </c>
      <c r="C19" s="37">
        <f>IF(B$17=0,0,B19/B$17)</f>
        <v>0.56079999999999997</v>
      </c>
      <c r="E19" s="59" t="s">
        <v>79</v>
      </c>
      <c r="F19" s="56" t="s">
        <v>34</v>
      </c>
      <c r="G19" s="44">
        <v>15</v>
      </c>
      <c r="H19" s="129">
        <f>IF(B$17=0,0,G19/B$17)</f>
        <v>1.2E-2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1.4616279069767433</v>
      </c>
      <c r="P19" s="115">
        <v>172</v>
      </c>
      <c r="Q19" s="103">
        <v>251.39999999999984</v>
      </c>
    </row>
    <row r="20" spans="1:17" x14ac:dyDescent="0.4">
      <c r="A20" s="51" t="s">
        <v>13</v>
      </c>
      <c r="B20" s="44">
        <v>694</v>
      </c>
      <c r="C20" s="37">
        <f>IF(B$3=0,0,B20/B$3)</f>
        <v>0.16348645465253239</v>
      </c>
      <c r="E20" s="59" t="s">
        <v>75</v>
      </c>
      <c r="F20" s="56" t="s">
        <v>30</v>
      </c>
      <c r="G20" s="44">
        <v>9</v>
      </c>
      <c r="H20" s="129">
        <f>IF(B$17=0,0,G20/B$17)</f>
        <v>7.1999999999999998E-3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6</v>
      </c>
      <c r="H21" s="129">
        <f>IF(B$17=0,0,G21/B$17)</f>
        <v>4.7999999999999996E-3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-1.1296875000000066</v>
      </c>
      <c r="P21" s="115">
        <v>192</v>
      </c>
      <c r="Q21" s="103">
        <v>-216.90000000000128</v>
      </c>
    </row>
    <row r="22" spans="1:17" x14ac:dyDescent="0.4">
      <c r="A22" s="51" t="s">
        <v>170</v>
      </c>
      <c r="B22" s="44">
        <v>31</v>
      </c>
      <c r="C22" s="131">
        <v>4</v>
      </c>
      <c r="E22" s="59" t="s">
        <v>92</v>
      </c>
      <c r="F22" s="56" t="s">
        <v>47</v>
      </c>
      <c r="G22" s="44">
        <v>6</v>
      </c>
      <c r="H22" s="129">
        <f>IF(B$17=0,0,G22/B$17)</f>
        <v>4.7999999999999996E-3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-7.6789473684210527</v>
      </c>
      <c r="P22" s="115">
        <v>114</v>
      </c>
      <c r="Q22" s="103">
        <v>-875.4</v>
      </c>
    </row>
    <row r="23" spans="1:17" x14ac:dyDescent="0.4">
      <c r="A23" s="51" t="s">
        <v>5</v>
      </c>
      <c r="B23" s="48">
        <f>IF(B$17=0,0,C23/B$17)</f>
        <v>8374</v>
      </c>
      <c r="C23" s="39">
        <v>10467500</v>
      </c>
      <c r="E23" s="59" t="s">
        <v>77</v>
      </c>
      <c r="F23" s="56" t="s">
        <v>32</v>
      </c>
      <c r="G23" s="44">
        <v>5</v>
      </c>
      <c r="H23" s="129">
        <f>IF(B$17=0,0,G23/B$17)</f>
        <v>4.0000000000000001E-3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-12.634285714285712</v>
      </c>
      <c r="P23" s="115">
        <v>210</v>
      </c>
      <c r="Q23" s="103">
        <v>-2653.1999999999994</v>
      </c>
    </row>
    <row r="24" spans="1:17" x14ac:dyDescent="0.4">
      <c r="A24" s="52" t="s">
        <v>216</v>
      </c>
      <c r="B24" s="136">
        <f>IF($B$17-B$16=0,0,C24/($B$17-B$16))</f>
        <v>8845.5726092089735</v>
      </c>
      <c r="C24" s="137">
        <v>7492200</v>
      </c>
      <c r="E24" s="59" t="s">
        <v>85</v>
      </c>
      <c r="F24" s="56" t="s">
        <v>40</v>
      </c>
      <c r="G24" s="44">
        <v>5</v>
      </c>
      <c r="H24" s="129">
        <f>IF(B$17=0,0,G24/B$17)</f>
        <v>4.0000000000000001E-3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7382.8784119106704</v>
      </c>
      <c r="C25" s="137">
        <v>2975300</v>
      </c>
      <c r="E25" s="59" t="s">
        <v>88</v>
      </c>
      <c r="F25" s="56" t="s">
        <v>43</v>
      </c>
      <c r="G25" s="44">
        <v>5</v>
      </c>
      <c r="H25" s="129">
        <f>IF(B$17=0,0,G25/B$17)</f>
        <v>4.0000000000000001E-3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-7864.6974063400576</v>
      </c>
      <c r="C26" s="137">
        <v>-5458100</v>
      </c>
      <c r="E26" s="59" t="s">
        <v>73</v>
      </c>
      <c r="F26" s="56" t="s">
        <v>28</v>
      </c>
      <c r="G26" s="44">
        <v>4</v>
      </c>
      <c r="H26" s="129">
        <f>IF(B$17=0,0,G26/B$17)</f>
        <v>3.2000000000000002E-3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3.2000000000000002E-3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2.3999999999999998E-3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13</v>
      </c>
      <c r="C29" s="40">
        <f>IF(B$3=0,0,B29/B$3)</f>
        <v>3.0624263839811542E-3</v>
      </c>
      <c r="E29" s="59" t="s">
        <v>95</v>
      </c>
      <c r="F29" s="56" t="s">
        <v>50</v>
      </c>
      <c r="G29" s="44">
        <v>3</v>
      </c>
      <c r="H29" s="129">
        <f>IF(B$17=0,0,G29/B$17)</f>
        <v>2.3999999999999998E-3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1.6000000000000001E-3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1.6000000000000001E-3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8.0000000000000004E-4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106</v>
      </c>
      <c r="F33" s="56" t="s">
        <v>113</v>
      </c>
      <c r="G33" s="44">
        <v>1</v>
      </c>
      <c r="H33" s="129">
        <f>IF(B$17=0,0,G33/B$17)</f>
        <v>8.0000000000000004E-4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76</v>
      </c>
      <c r="F34" s="56" t="s">
        <v>31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80</v>
      </c>
      <c r="F35" s="56" t="s">
        <v>35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82</v>
      </c>
      <c r="F36" s="56" t="s">
        <v>37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94</v>
      </c>
      <c r="F37" s="56" t="s">
        <v>49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96</v>
      </c>
      <c r="F38" s="56" t="s">
        <v>51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97</v>
      </c>
      <c r="F39" s="56" t="s">
        <v>52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-1309.3023255813953</v>
      </c>
      <c r="P4" s="115">
        <v>43</v>
      </c>
      <c r="Q4" s="99">
        <v>-56300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 t="shared" si="2"/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105</v>
      </c>
      <c r="C2" s="149"/>
      <c r="E2" s="58" t="s">
        <v>66</v>
      </c>
      <c r="F2" s="55" t="s">
        <v>22</v>
      </c>
      <c r="G2" s="43">
        <v>194</v>
      </c>
      <c r="H2" s="128">
        <f>IF(B$17=0,0,G2/B$17)</f>
        <v>0.68070175438596492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1113.4615384615386</v>
      </c>
      <c r="P2" s="114">
        <v>104</v>
      </c>
      <c r="Q2" s="98">
        <v>115800</v>
      </c>
    </row>
    <row r="3" spans="1:17" x14ac:dyDescent="0.4">
      <c r="A3" s="51" t="s">
        <v>8</v>
      </c>
      <c r="B3" s="150">
        <v>842</v>
      </c>
      <c r="C3" s="151"/>
      <c r="E3" s="59" t="s">
        <v>72</v>
      </c>
      <c r="F3" s="56" t="s">
        <v>27</v>
      </c>
      <c r="G3" s="44">
        <v>137</v>
      </c>
      <c r="H3" s="129">
        <f>IF(B$17=0,0,G3/B$17)</f>
        <v>0.48070175438596491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-91.089108910891085</v>
      </c>
      <c r="P3" s="115">
        <v>101</v>
      </c>
      <c r="Q3" s="99">
        <v>-9200</v>
      </c>
    </row>
    <row r="4" spans="1:17" x14ac:dyDescent="0.4">
      <c r="A4" s="51" t="s">
        <v>6</v>
      </c>
      <c r="B4" s="152">
        <v>884.39999999999986</v>
      </c>
      <c r="C4" s="153"/>
      <c r="E4" s="59" t="s">
        <v>64</v>
      </c>
      <c r="F4" s="56" t="s">
        <v>20</v>
      </c>
      <c r="G4" s="44">
        <v>129</v>
      </c>
      <c r="H4" s="129">
        <f>IF(B$17=0,0,G4/B$17)</f>
        <v>0.45263157894736844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364.28571428571428</v>
      </c>
      <c r="P4" s="115">
        <v>98</v>
      </c>
      <c r="Q4" s="99">
        <v>35700</v>
      </c>
    </row>
    <row r="5" spans="1:17" x14ac:dyDescent="0.4">
      <c r="A5" s="51" t="s">
        <v>7</v>
      </c>
      <c r="B5" s="154">
        <f>IF(B$2=0,0,B$4/B$2)</f>
        <v>8.4228571428571417</v>
      </c>
      <c r="C5" s="155"/>
      <c r="E5" s="59" t="s">
        <v>171</v>
      </c>
      <c r="F5" s="56" t="s">
        <v>172</v>
      </c>
      <c r="G5" s="44">
        <v>108</v>
      </c>
      <c r="H5" s="129">
        <f>IF(B$17=0,0,G5/B$17)</f>
        <v>0.37894736842105264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880</v>
      </c>
      <c r="P5" s="115">
        <v>90</v>
      </c>
      <c r="Q5" s="99">
        <v>79200</v>
      </c>
    </row>
    <row r="6" spans="1:17" x14ac:dyDescent="0.4">
      <c r="A6" s="51" t="s">
        <v>1</v>
      </c>
      <c r="B6" s="144">
        <f>IF(B$2=0,0,(B$7*1+B$8*2+B$9*3)/B$2)</f>
        <v>1.7714285714285714</v>
      </c>
      <c r="C6" s="145"/>
      <c r="E6" s="59" t="s">
        <v>68</v>
      </c>
      <c r="F6" s="56" t="s">
        <v>12</v>
      </c>
      <c r="G6" s="44">
        <v>86</v>
      </c>
      <c r="H6" s="129">
        <f>IF(B$17=0,0,G6/B$17)</f>
        <v>0.30175438596491228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2104.8192771084337</v>
      </c>
      <c r="P6" s="115">
        <v>83</v>
      </c>
      <c r="Q6" s="99">
        <v>174700</v>
      </c>
    </row>
    <row r="7" spans="1:17" x14ac:dyDescent="0.4">
      <c r="A7" s="51" t="s">
        <v>2</v>
      </c>
      <c r="B7" s="44">
        <v>50</v>
      </c>
      <c r="C7" s="37">
        <f t="shared" ref="C7:C12" si="1">IF(B$2=0,0,B7/B$2)</f>
        <v>0.47619047619047616</v>
      </c>
      <c r="E7" s="59" t="s">
        <v>67</v>
      </c>
      <c r="F7" s="56" t="s">
        <v>23</v>
      </c>
      <c r="G7" s="44">
        <v>71</v>
      </c>
      <c r="H7" s="129">
        <f>IF(B$17=0,0,G7/B$17)</f>
        <v>0.24912280701754386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3085.5072463768115</v>
      </c>
      <c r="P7" s="116">
        <v>69</v>
      </c>
      <c r="Q7" s="100">
        <v>212900</v>
      </c>
    </row>
    <row r="8" spans="1:17" x14ac:dyDescent="0.4">
      <c r="A8" s="51" t="s">
        <v>3</v>
      </c>
      <c r="B8" s="44">
        <v>29</v>
      </c>
      <c r="C8" s="37">
        <f t="shared" si="1"/>
        <v>0.27619047619047621</v>
      </c>
      <c r="E8" s="59" t="s">
        <v>69</v>
      </c>
      <c r="F8" s="56" t="s">
        <v>24</v>
      </c>
      <c r="G8" s="44">
        <v>45</v>
      </c>
      <c r="H8" s="129">
        <f>IF(B$17=0,0,G8/B$17)</f>
        <v>0.15789473684210525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0.24761904761904763</v>
      </c>
      <c r="E9" s="59" t="s">
        <v>89</v>
      </c>
      <c r="F9" s="56" t="s">
        <v>44</v>
      </c>
      <c r="G9" s="44">
        <v>43</v>
      </c>
      <c r="H9" s="129">
        <f>IF(B$17=0,0,G9/B$17)</f>
        <v>0.15087719298245614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4.7619047619047616E-2</v>
      </c>
      <c r="E10" s="59" t="s">
        <v>65</v>
      </c>
      <c r="F10" s="56" t="s">
        <v>21</v>
      </c>
      <c r="G10" s="44">
        <v>33</v>
      </c>
      <c r="H10" s="129">
        <f>IF(B$17=0,0,G10/B$17)</f>
        <v>0.11578947368421053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13.189999999999998</v>
      </c>
      <c r="P10" s="114">
        <v>30</v>
      </c>
      <c r="Q10" s="102">
        <v>395.69999999999993</v>
      </c>
    </row>
    <row r="11" spans="1:17" x14ac:dyDescent="0.4">
      <c r="A11" s="52" t="s">
        <v>138</v>
      </c>
      <c r="B11" s="45">
        <v>13</v>
      </c>
      <c r="C11" s="38">
        <f t="shared" si="1"/>
        <v>0.12380952380952381</v>
      </c>
      <c r="E11" s="59" t="s">
        <v>71</v>
      </c>
      <c r="F11" s="56" t="s">
        <v>26</v>
      </c>
      <c r="G11" s="44">
        <v>20</v>
      </c>
      <c r="H11" s="129">
        <f>IF(B$17=0,0,G11/B$17)</f>
        <v>7.0175438596491224E-2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3.5842105263157897</v>
      </c>
      <c r="P11" s="115">
        <v>38</v>
      </c>
      <c r="Q11" s="103">
        <v>136.20000000000002</v>
      </c>
    </row>
    <row r="12" spans="1:17" x14ac:dyDescent="0.4">
      <c r="A12" s="53" t="s">
        <v>158</v>
      </c>
      <c r="B12" s="46">
        <v>12</v>
      </c>
      <c r="C12" s="40">
        <f t="shared" si="1"/>
        <v>0.11428571428571428</v>
      </c>
      <c r="E12" s="59" t="s">
        <v>86</v>
      </c>
      <c r="F12" s="56" t="s">
        <v>41</v>
      </c>
      <c r="G12" s="44">
        <v>16</v>
      </c>
      <c r="H12" s="129">
        <f>IF(B$17=0,0,G12/B$17)</f>
        <v>5.6140350877192984E-2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9.5270270270270263</v>
      </c>
      <c r="P12" s="116">
        <v>37</v>
      </c>
      <c r="Q12" s="104">
        <v>352.49999999999994</v>
      </c>
    </row>
    <row r="13" spans="1:17" x14ac:dyDescent="0.4">
      <c r="A13" s="54" t="s">
        <v>121</v>
      </c>
      <c r="B13" s="47">
        <v>229</v>
      </c>
      <c r="C13" s="42">
        <f>IF(B$3=0,0,B13/B$3)</f>
        <v>0.27197149643705465</v>
      </c>
      <c r="E13" s="59" t="s">
        <v>70</v>
      </c>
      <c r="F13" s="56" t="s">
        <v>25</v>
      </c>
      <c r="G13" s="44">
        <v>15</v>
      </c>
      <c r="H13" s="129">
        <f>IF(B$17=0,0,G13/B$17)</f>
        <v>5.2631578947368418E-2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189</v>
      </c>
      <c r="C14" s="37">
        <f>IF(B$3=0,0,B14/B$3)</f>
        <v>0.22446555819477435</v>
      </c>
      <c r="E14" s="59" t="s">
        <v>83</v>
      </c>
      <c r="F14" s="56" t="s">
        <v>38</v>
      </c>
      <c r="G14" s="44">
        <v>13</v>
      </c>
      <c r="H14" s="129">
        <f>IF(B$17=0,0,G14/B$17)</f>
        <v>4.5614035087719301E-2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138</v>
      </c>
      <c r="C15" s="35">
        <f>IF(B$13=0,0,B15/B$13)</f>
        <v>0.6026200873362445</v>
      </c>
      <c r="E15" s="59" t="s">
        <v>167</v>
      </c>
      <c r="F15" s="56" t="s">
        <v>168</v>
      </c>
      <c r="G15" s="44">
        <v>12</v>
      </c>
      <c r="H15" s="129">
        <f>IF(B$17=0,0,G15/B$17)</f>
        <v>4.2105263157894736E-2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90</v>
      </c>
      <c r="C16" s="35">
        <f>IF(B$14=0,0,B16/B$14)</f>
        <v>0.47619047619047616</v>
      </c>
      <c r="E16" s="59" t="s">
        <v>78</v>
      </c>
      <c r="F16" s="56" t="s">
        <v>33</v>
      </c>
      <c r="G16" s="44">
        <v>10</v>
      </c>
      <c r="H16" s="129">
        <f>IF(B$17=0,0,G16/B$17)</f>
        <v>3.5087719298245612E-2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285</v>
      </c>
      <c r="C17" s="35">
        <f>IF(B$3=0,0,B17/B$3)</f>
        <v>0.33847980997624705</v>
      </c>
      <c r="E17" s="59" t="s">
        <v>77</v>
      </c>
      <c r="F17" s="56" t="s">
        <v>32</v>
      </c>
      <c r="G17" s="44">
        <v>3</v>
      </c>
      <c r="H17" s="129">
        <f>IF(B$17=0,0,G17/B$17)</f>
        <v>1.0526315789473684E-2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124</v>
      </c>
      <c r="C18" s="37">
        <f>IF(B$17=0,0,B18/B$17)</f>
        <v>0.43508771929824563</v>
      </c>
      <c r="E18" s="59" t="s">
        <v>84</v>
      </c>
      <c r="F18" s="56" t="s">
        <v>39</v>
      </c>
      <c r="G18" s="44">
        <v>3</v>
      </c>
      <c r="H18" s="129">
        <f>IF(B$17=0,0,G18/B$17)</f>
        <v>1.0526315789473684E-2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16.673170731707319</v>
      </c>
      <c r="P18" s="115">
        <v>41</v>
      </c>
      <c r="Q18" s="103">
        <v>683.60000000000014</v>
      </c>
    </row>
    <row r="19" spans="1:17" x14ac:dyDescent="0.4">
      <c r="A19" s="51" t="s">
        <v>11</v>
      </c>
      <c r="B19" s="44">
        <v>161</v>
      </c>
      <c r="C19" s="37">
        <f>IF(B$17=0,0,B19/B$17)</f>
        <v>0.56491228070175437</v>
      </c>
      <c r="E19" s="59" t="s">
        <v>75</v>
      </c>
      <c r="F19" s="56" t="s">
        <v>30</v>
      </c>
      <c r="G19" s="44">
        <v>2</v>
      </c>
      <c r="H19" s="129">
        <f>IF(B$17=0,0,G19/B$17)</f>
        <v>7.0175438596491229E-3</v>
      </c>
      <c r="I19" s="90">
        <v>6</v>
      </c>
      <c r="K19" s="36">
        <v>17</v>
      </c>
      <c r="L19" s="95">
        <v>359.09999999999991</v>
      </c>
      <c r="N19" s="111" t="s">
        <v>127</v>
      </c>
      <c r="O19" s="121">
        <f>IF(P19=0,0,Q19/P19)</f>
        <v>14.033846153846151</v>
      </c>
      <c r="P19" s="115">
        <v>65</v>
      </c>
      <c r="Q19" s="103">
        <v>912.19999999999982</v>
      </c>
    </row>
    <row r="20" spans="1:17" x14ac:dyDescent="0.4">
      <c r="A20" s="51" t="s">
        <v>13</v>
      </c>
      <c r="B20" s="44">
        <v>110</v>
      </c>
      <c r="C20" s="37">
        <f>IF(B$3=0,0,B20/B$3)</f>
        <v>0.13064133016627077</v>
      </c>
      <c r="E20" s="59" t="s">
        <v>85</v>
      </c>
      <c r="F20" s="56" t="s">
        <v>40</v>
      </c>
      <c r="G20" s="44">
        <v>2</v>
      </c>
      <c r="H20" s="129">
        <f>IF(B$17=0,0,G20/B$17)</f>
        <v>7.0175438596491229E-3</v>
      </c>
      <c r="I20" s="90">
        <v>3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88</v>
      </c>
      <c r="F21" s="56" t="s">
        <v>43</v>
      </c>
      <c r="G21" s="44">
        <v>2</v>
      </c>
      <c r="H21" s="129">
        <f>IF(B$17=0,0,G21/B$17)</f>
        <v>7.0175438596491229E-3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-5.7045454545454559</v>
      </c>
      <c r="P21" s="115">
        <v>22</v>
      </c>
      <c r="Q21" s="103">
        <v>-125.50000000000003</v>
      </c>
    </row>
    <row r="22" spans="1:17" x14ac:dyDescent="0.4">
      <c r="A22" s="51" t="s">
        <v>170</v>
      </c>
      <c r="B22" s="44">
        <v>43</v>
      </c>
      <c r="C22" s="131">
        <v>6</v>
      </c>
      <c r="E22" s="59" t="s">
        <v>91</v>
      </c>
      <c r="F22" s="56" t="s">
        <v>46</v>
      </c>
      <c r="G22" s="44">
        <v>2</v>
      </c>
      <c r="H22" s="129">
        <f>IF(B$17=0,0,G22/B$17)</f>
        <v>7.0175438596491229E-3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8117.894736842105</v>
      </c>
      <c r="C23" s="39">
        <v>2313600</v>
      </c>
      <c r="E23" s="59" t="s">
        <v>92</v>
      </c>
      <c r="F23" s="56" t="s">
        <v>47</v>
      </c>
      <c r="G23" s="44">
        <v>2</v>
      </c>
      <c r="H23" s="129">
        <f>IF(B$17=0,0,G23/B$17)</f>
        <v>7.0175438596491229E-3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8163.5897435897432</v>
      </c>
      <c r="C24" s="137">
        <v>1591900</v>
      </c>
      <c r="E24" s="59" t="s">
        <v>74</v>
      </c>
      <c r="F24" s="56" t="s">
        <v>29</v>
      </c>
      <c r="G24" s="44">
        <v>1</v>
      </c>
      <c r="H24" s="129">
        <f>IF(B$17=0,0,G24/B$17)</f>
        <v>3.5087719298245615E-3</v>
      </c>
      <c r="I24" s="90">
        <v>6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8018.8888888888887</v>
      </c>
      <c r="C25" s="137">
        <v>721700</v>
      </c>
      <c r="E25" s="59" t="s">
        <v>79</v>
      </c>
      <c r="F25" s="56" t="s">
        <v>34</v>
      </c>
      <c r="G25" s="44">
        <v>1</v>
      </c>
      <c r="H25" s="129">
        <f>IF(B$17=0,0,G25/B$17)</f>
        <v>3.5087719298245615E-3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-7804.545454545455</v>
      </c>
      <c r="C26" s="137">
        <v>-858500</v>
      </c>
      <c r="E26" s="59" t="s">
        <v>81</v>
      </c>
      <c r="F26" s="56" t="s">
        <v>36</v>
      </c>
      <c r="G26" s="44">
        <v>1</v>
      </c>
      <c r="H26" s="129">
        <f>IF(B$17=0,0,G26/B$17)</f>
        <v>3.5087719298245615E-3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3.5087719298245615E-3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3.5087719298245615E-3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1.1876484560570072E-3</v>
      </c>
      <c r="E29" s="59" t="s">
        <v>106</v>
      </c>
      <c r="F29" s="56" t="s">
        <v>113</v>
      </c>
      <c r="G29" s="44">
        <v>1</v>
      </c>
      <c r="H29" s="129">
        <f>IF(B$17=0,0,G29/B$17)</f>
        <v>3.5087719298245615E-3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96</v>
      </c>
      <c r="C2" s="149"/>
      <c r="E2" s="58" t="s">
        <v>66</v>
      </c>
      <c r="F2" s="55" t="s">
        <v>22</v>
      </c>
      <c r="G2" s="43">
        <v>228</v>
      </c>
      <c r="H2" s="128">
        <f>IF(B$17=0,0,G2/B$17)</f>
        <v>0.91566265060240959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-1961.0526315789473</v>
      </c>
      <c r="P2" s="114">
        <v>95</v>
      </c>
      <c r="Q2" s="98">
        <v>-186300</v>
      </c>
    </row>
    <row r="3" spans="1:17" x14ac:dyDescent="0.4">
      <c r="A3" s="51" t="s">
        <v>8</v>
      </c>
      <c r="B3" s="150">
        <v>815</v>
      </c>
      <c r="C3" s="151"/>
      <c r="E3" s="59" t="s">
        <v>72</v>
      </c>
      <c r="F3" s="56" t="s">
        <v>27</v>
      </c>
      <c r="G3" s="44">
        <v>146</v>
      </c>
      <c r="H3" s="129">
        <f>IF(B$17=0,0,G3/B$17)</f>
        <v>0.58634538152610438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1510.752688172043</v>
      </c>
      <c r="P3" s="115">
        <v>93</v>
      </c>
      <c r="Q3" s="99">
        <v>140500</v>
      </c>
    </row>
    <row r="4" spans="1:17" x14ac:dyDescent="0.4">
      <c r="A4" s="51" t="s">
        <v>6</v>
      </c>
      <c r="B4" s="152">
        <v>72.299999999999784</v>
      </c>
      <c r="C4" s="153"/>
      <c r="E4" s="59" t="s">
        <v>171</v>
      </c>
      <c r="F4" s="56" t="s">
        <v>172</v>
      </c>
      <c r="G4" s="44">
        <v>106</v>
      </c>
      <c r="H4" s="129">
        <f>IF(B$17=0,0,G4/B$17)</f>
        <v>0.42570281124497994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406.81818181818181</v>
      </c>
      <c r="P4" s="115">
        <v>88</v>
      </c>
      <c r="Q4" s="99">
        <v>35800</v>
      </c>
    </row>
    <row r="5" spans="1:17" x14ac:dyDescent="0.4">
      <c r="A5" s="51" t="s">
        <v>7</v>
      </c>
      <c r="B5" s="154">
        <f>IF(B$2=0,0,B$4/B$2)</f>
        <v>0.75312499999999771</v>
      </c>
      <c r="C5" s="155"/>
      <c r="E5" s="59" t="s">
        <v>64</v>
      </c>
      <c r="F5" s="56" t="s">
        <v>20</v>
      </c>
      <c r="G5" s="44">
        <v>98</v>
      </c>
      <c r="H5" s="129">
        <f>IF(B$17=0,0,G5/B$17)</f>
        <v>0.39357429718875503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848.19277108433732</v>
      </c>
      <c r="P5" s="115">
        <v>83</v>
      </c>
      <c r="Q5" s="99">
        <v>70400</v>
      </c>
    </row>
    <row r="6" spans="1:17" x14ac:dyDescent="0.4">
      <c r="A6" s="51" t="s">
        <v>1</v>
      </c>
      <c r="B6" s="144">
        <f>IF(B$2=0,0,(B$7*1+B$8*2+B$9*3)/B$2)</f>
        <v>1.9583333333333333</v>
      </c>
      <c r="C6" s="145"/>
      <c r="E6" s="59" t="s">
        <v>68</v>
      </c>
      <c r="F6" s="56" t="s">
        <v>12</v>
      </c>
      <c r="G6" s="44">
        <v>66</v>
      </c>
      <c r="H6" s="129">
        <f>IF(B$17=0,0,G6/B$17)</f>
        <v>0.26506024096385544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-753.9473684210526</v>
      </c>
      <c r="P6" s="115">
        <v>76</v>
      </c>
      <c r="Q6" s="99">
        <v>-57300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0.36458333333333331</v>
      </c>
      <c r="E7" s="59" t="s">
        <v>67</v>
      </c>
      <c r="F7" s="56" t="s">
        <v>23</v>
      </c>
      <c r="G7" s="44">
        <v>52</v>
      </c>
      <c r="H7" s="129">
        <f>IF(B$17=0,0,G7/B$17)</f>
        <v>0.20883534136546184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1272.3076923076924</v>
      </c>
      <c r="P7" s="116">
        <v>65</v>
      </c>
      <c r="Q7" s="100">
        <v>82700</v>
      </c>
    </row>
    <row r="8" spans="1:17" x14ac:dyDescent="0.4">
      <c r="A8" s="51" t="s">
        <v>3</v>
      </c>
      <c r="B8" s="44">
        <v>30</v>
      </c>
      <c r="C8" s="37">
        <f t="shared" si="1"/>
        <v>0.3125</v>
      </c>
      <c r="E8" s="59" t="s">
        <v>89</v>
      </c>
      <c r="F8" s="56" t="s">
        <v>44</v>
      </c>
      <c r="G8" s="44">
        <v>31</v>
      </c>
      <c r="H8" s="129">
        <f>IF(B$17=0,0,G8/B$17)</f>
        <v>0.12449799196787148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1"/>
        <v>0.32291666666666669</v>
      </c>
      <c r="E9" s="59" t="s">
        <v>69</v>
      </c>
      <c r="F9" s="56" t="s">
        <v>24</v>
      </c>
      <c r="G9" s="44">
        <v>29</v>
      </c>
      <c r="H9" s="129">
        <f>IF(B$17=0,0,G9/B$17)</f>
        <v>0.11646586345381527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14</v>
      </c>
      <c r="C10" s="38">
        <f t="shared" si="1"/>
        <v>0.14583333333333334</v>
      </c>
      <c r="E10" s="59" t="s">
        <v>65</v>
      </c>
      <c r="F10" s="56" t="s">
        <v>21</v>
      </c>
      <c r="G10" s="44">
        <v>23</v>
      </c>
      <c r="H10" s="129">
        <f>IF(B$17=0,0,G10/B$17)</f>
        <v>9.2369477911646583E-2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2.9818181818181828</v>
      </c>
      <c r="P10" s="114">
        <v>22</v>
      </c>
      <c r="Q10" s="102">
        <v>65.600000000000023</v>
      </c>
    </row>
    <row r="11" spans="1:17" x14ac:dyDescent="0.4">
      <c r="A11" s="52" t="s">
        <v>138</v>
      </c>
      <c r="B11" s="45">
        <v>10</v>
      </c>
      <c r="C11" s="38">
        <f t="shared" si="1"/>
        <v>0.10416666666666667</v>
      </c>
      <c r="E11" s="59" t="s">
        <v>71</v>
      </c>
      <c r="F11" s="56" t="s">
        <v>26</v>
      </c>
      <c r="G11" s="44">
        <v>21</v>
      </c>
      <c r="H11" s="129">
        <f>IF(B$17=0,0,G11/B$17)</f>
        <v>8.4337349397590355E-2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7.8777777777777782</v>
      </c>
      <c r="P11" s="115">
        <v>27</v>
      </c>
      <c r="Q11" s="103">
        <v>212.70000000000002</v>
      </c>
    </row>
    <row r="12" spans="1:17" x14ac:dyDescent="0.4">
      <c r="A12" s="53" t="s">
        <v>158</v>
      </c>
      <c r="B12" s="46">
        <v>17</v>
      </c>
      <c r="C12" s="40">
        <f t="shared" si="1"/>
        <v>0.17708333333333334</v>
      </c>
      <c r="E12" s="59" t="s">
        <v>70</v>
      </c>
      <c r="F12" s="56" t="s">
        <v>25</v>
      </c>
      <c r="G12" s="44">
        <v>20</v>
      </c>
      <c r="H12" s="129">
        <f>IF(B$17=0,0,G12/B$17)</f>
        <v>8.0321285140562249E-2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191</v>
      </c>
      <c r="C13" s="42">
        <f>IF(B$3=0,0,B13/B$3)</f>
        <v>0.2343558282208589</v>
      </c>
      <c r="E13" s="59" t="s">
        <v>86</v>
      </c>
      <c r="F13" s="56" t="s">
        <v>41</v>
      </c>
      <c r="G13" s="44">
        <v>18</v>
      </c>
      <c r="H13" s="129">
        <f>IF(B$17=0,0,G13/B$17)</f>
        <v>7.2289156626506021E-2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250</v>
      </c>
      <c r="C14" s="37">
        <f>IF(B$3=0,0,B14/B$3)</f>
        <v>0.30674846625766872</v>
      </c>
      <c r="E14" s="59" t="s">
        <v>83</v>
      </c>
      <c r="F14" s="56" t="s">
        <v>38</v>
      </c>
      <c r="G14" s="44">
        <v>14</v>
      </c>
      <c r="H14" s="129">
        <f>IF(B$17=0,0,G14/B$17)</f>
        <v>5.6224899598393573E-2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97</v>
      </c>
      <c r="C15" s="35">
        <f>IF(B$13=0,0,B15/B$13)</f>
        <v>0.50785340314136129</v>
      </c>
      <c r="E15" s="59" t="s">
        <v>91</v>
      </c>
      <c r="F15" s="56" t="s">
        <v>46</v>
      </c>
      <c r="G15" s="44">
        <v>8</v>
      </c>
      <c r="H15" s="129">
        <f>IF(B$17=0,0,G15/B$17)</f>
        <v>3.2128514056224897E-2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94</v>
      </c>
      <c r="C16" s="35">
        <f>IF(B$14=0,0,B16/B$14)</f>
        <v>0.376</v>
      </c>
      <c r="E16" s="59" t="s">
        <v>78</v>
      </c>
      <c r="F16" s="56" t="s">
        <v>33</v>
      </c>
      <c r="G16" s="44">
        <v>7</v>
      </c>
      <c r="H16" s="129">
        <f>IF(B$17=0,0,G16/B$17)</f>
        <v>2.8112449799196786E-2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249</v>
      </c>
      <c r="C17" s="35">
        <f>IF(B$3=0,0,B17/B$3)</f>
        <v>0.30552147239263805</v>
      </c>
      <c r="E17" s="59" t="s">
        <v>81</v>
      </c>
      <c r="F17" s="56" t="s">
        <v>36</v>
      </c>
      <c r="G17" s="44">
        <v>6</v>
      </c>
      <c r="H17" s="129">
        <f>IF(B$17=0,0,G17/B$17)</f>
        <v>2.4096385542168676E-2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96</v>
      </c>
      <c r="C18" s="37">
        <f>IF(B$17=0,0,B18/B$17)</f>
        <v>0.38554216867469882</v>
      </c>
      <c r="E18" s="59" t="s">
        <v>79</v>
      </c>
      <c r="F18" s="56" t="s">
        <v>34</v>
      </c>
      <c r="G18" s="44">
        <v>5</v>
      </c>
      <c r="H18" s="129">
        <f>IF(B$17=0,0,G18/B$17)</f>
        <v>2.0080321285140562E-2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13.265517241379307</v>
      </c>
      <c r="P18" s="115">
        <v>29</v>
      </c>
      <c r="Q18" s="103">
        <v>384.69999999999987</v>
      </c>
    </row>
    <row r="19" spans="1:17" x14ac:dyDescent="0.4">
      <c r="A19" s="51" t="s">
        <v>11</v>
      </c>
      <c r="B19" s="44">
        <v>153</v>
      </c>
      <c r="C19" s="37">
        <f>IF(B$17=0,0,B19/B$17)</f>
        <v>0.61445783132530118</v>
      </c>
      <c r="E19" s="59" t="s">
        <v>74</v>
      </c>
      <c r="F19" s="56" t="s">
        <v>29</v>
      </c>
      <c r="G19" s="44">
        <v>2</v>
      </c>
      <c r="H19" s="129">
        <f>IF(B$17=0,0,G19/B$17)</f>
        <v>8.0321285140562242E-3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8.3916666666666746</v>
      </c>
      <c r="P19" s="115">
        <v>24</v>
      </c>
      <c r="Q19" s="103">
        <v>201.40000000000018</v>
      </c>
    </row>
    <row r="20" spans="1:17" x14ac:dyDescent="0.4">
      <c r="A20" s="51" t="s">
        <v>13</v>
      </c>
      <c r="B20" s="44">
        <v>160</v>
      </c>
      <c r="C20" s="37">
        <f>IF(B$3=0,0,B20/B$3)</f>
        <v>0.19631901840490798</v>
      </c>
      <c r="E20" s="59" t="s">
        <v>75</v>
      </c>
      <c r="F20" s="56" t="s">
        <v>30</v>
      </c>
      <c r="G20" s="44">
        <v>1</v>
      </c>
      <c r="H20" s="129">
        <f>IF(B$17=0,0,G20/B$17)</f>
        <v>4.0160642570281121E-3</v>
      </c>
      <c r="I20" s="90">
        <v>8</v>
      </c>
      <c r="K20" s="36">
        <v>18</v>
      </c>
      <c r="L20" s="95">
        <v>-112.90000000000002</v>
      </c>
      <c r="N20" s="111" t="s">
        <v>166</v>
      </c>
      <c r="O20" s="121">
        <f>IF(P20=0,0,Q20/P20)</f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77</v>
      </c>
      <c r="F21" s="56" t="s">
        <v>32</v>
      </c>
      <c r="G21" s="44">
        <v>1</v>
      </c>
      <c r="H21" s="129">
        <f>IF(B$17=0,0,G21/B$17)</f>
        <v>4.0160642570281121E-3</v>
      </c>
      <c r="I21" s="90">
        <v>3</v>
      </c>
      <c r="K21" s="36">
        <v>19</v>
      </c>
      <c r="L21" s="95">
        <v>-162.40000000000003</v>
      </c>
      <c r="N21" s="111" t="s">
        <v>178</v>
      </c>
      <c r="O21" s="121">
        <f>IF(P21=0,0,Q21/P21)</f>
        <v>-1.4055555555555532</v>
      </c>
      <c r="P21" s="115">
        <v>36</v>
      </c>
      <c r="Q21" s="103">
        <v>-50.599999999999916</v>
      </c>
    </row>
    <row r="22" spans="1:17" x14ac:dyDescent="0.4">
      <c r="A22" s="51" t="s">
        <v>170</v>
      </c>
      <c r="B22" s="44">
        <v>30</v>
      </c>
      <c r="C22" s="131">
        <v>4</v>
      </c>
      <c r="E22" s="59" t="s">
        <v>84</v>
      </c>
      <c r="F22" s="56" t="s">
        <v>39</v>
      </c>
      <c r="G22" s="44">
        <v>1</v>
      </c>
      <c r="H22" s="129">
        <f>IF(B$17=0,0,G22/B$17)</f>
        <v>4.0160642570281121E-3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-14.033846153846152</v>
      </c>
      <c r="P22" s="115">
        <v>65</v>
      </c>
      <c r="Q22" s="103">
        <v>-912.19999999999993</v>
      </c>
    </row>
    <row r="23" spans="1:17" x14ac:dyDescent="0.4">
      <c r="A23" s="51" t="s">
        <v>5</v>
      </c>
      <c r="B23" s="48">
        <f>IF(B$17=0,0,C23/B$17)</f>
        <v>8574.6987951807223</v>
      </c>
      <c r="C23" s="39">
        <v>2135100</v>
      </c>
      <c r="E23" s="59" t="s">
        <v>92</v>
      </c>
      <c r="F23" s="56" t="s">
        <v>47</v>
      </c>
      <c r="G23" s="44">
        <v>1</v>
      </c>
      <c r="H23" s="129">
        <f>IF(B$17=0,0,G23/B$17)</f>
        <v>4.0160642570281121E-3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8955.4838709677424</v>
      </c>
      <c r="C24" s="137">
        <v>1388100</v>
      </c>
      <c r="E24" s="59" t="s">
        <v>95</v>
      </c>
      <c r="F24" s="56" t="s">
        <v>50</v>
      </c>
      <c r="G24" s="44">
        <v>1</v>
      </c>
      <c r="H24" s="129">
        <f>IF(B$17=0,0,G24/B$17)</f>
        <v>4.0160642570281121E-3</v>
      </c>
      <c r="I24" s="90">
        <v>2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7946.8085106382978</v>
      </c>
      <c r="C25" s="137">
        <v>747000</v>
      </c>
      <c r="E25" s="59" t="s">
        <v>167</v>
      </c>
      <c r="F25" s="56" t="s">
        <v>168</v>
      </c>
      <c r="G25" s="44">
        <v>1</v>
      </c>
      <c r="H25" s="129">
        <f>IF(B$17=0,0,G25/B$17)</f>
        <v>4.0160642570281121E-3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-8255.625</v>
      </c>
      <c r="C26" s="137">
        <v>-1320900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3.6809815950920245E-3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-358.33333333333331</v>
      </c>
      <c r="P2" s="114">
        <v>60</v>
      </c>
      <c r="Q2" s="98">
        <v>-21500</v>
      </c>
    </row>
    <row r="3" spans="1:17" x14ac:dyDescent="0.4">
      <c r="A3" s="51" t="s">
        <v>8</v>
      </c>
      <c r="B3" s="150">
        <v>516</v>
      </c>
      <c r="C3" s="151"/>
      <c r="E3" s="59" t="s">
        <v>64</v>
      </c>
      <c r="F3" s="56" t="s">
        <v>20</v>
      </c>
      <c r="G3" s="44">
        <v>85</v>
      </c>
      <c r="H3" s="129">
        <f>IF(B$17=0,0,G3/B$17)</f>
        <v>0.59027777777777779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-550</v>
      </c>
      <c r="P3" s="115">
        <v>60</v>
      </c>
      <c r="Q3" s="99">
        <v>-33000</v>
      </c>
    </row>
    <row r="4" spans="1:17" x14ac:dyDescent="0.4">
      <c r="A4" s="51" t="s">
        <v>6</v>
      </c>
      <c r="B4" s="152">
        <v>-453.59999999999997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0.51388888888888884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735.08771929824559</v>
      </c>
      <c r="P4" s="115">
        <v>57</v>
      </c>
      <c r="Q4" s="99">
        <v>41900</v>
      </c>
    </row>
    <row r="5" spans="1:17" x14ac:dyDescent="0.4">
      <c r="A5" s="51" t="s">
        <v>7</v>
      </c>
      <c r="B5" s="154">
        <f>IF(B$2=0,0,B$4/B$2)</f>
        <v>-7.4360655737704908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0.39583333333333331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-1635.7142857142858</v>
      </c>
      <c r="P5" s="115">
        <v>56</v>
      </c>
      <c r="Q5" s="99">
        <v>-91600</v>
      </c>
    </row>
    <row r="6" spans="1:17" x14ac:dyDescent="0.4">
      <c r="A6" s="51" t="s">
        <v>1</v>
      </c>
      <c r="B6" s="144">
        <f>IF(B$2=0,0,(B$7*1+B$8*2+B$9*3)/B$2)</f>
        <v>2.1967213114754101</v>
      </c>
      <c r="C6" s="145"/>
      <c r="E6" s="59" t="s">
        <v>68</v>
      </c>
      <c r="F6" s="56" t="s">
        <v>12</v>
      </c>
      <c r="G6" s="44">
        <v>50</v>
      </c>
      <c r="H6" s="129">
        <f>IF(B$17=0,0,G6/B$17)</f>
        <v>0.34722222222222221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-3603.7735849056603</v>
      </c>
      <c r="P6" s="115">
        <v>53</v>
      </c>
      <c r="Q6" s="99">
        <v>-191000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0.19672131147540983</v>
      </c>
      <c r="E7" s="59" t="s">
        <v>67</v>
      </c>
      <c r="F7" s="56" t="s">
        <v>23</v>
      </c>
      <c r="G7" s="44">
        <v>45</v>
      </c>
      <c r="H7" s="129">
        <f>IF(B$17=0,0,G7/B$17)</f>
        <v>0.3125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-1310.6382978723404</v>
      </c>
      <c r="P7" s="116">
        <v>47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0.4098360655737705</v>
      </c>
      <c r="E8" s="59" t="s">
        <v>70</v>
      </c>
      <c r="F8" s="56" t="s">
        <v>25</v>
      </c>
      <c r="G8" s="44">
        <v>22</v>
      </c>
      <c r="H8" s="129">
        <f>IF(B$17=0,0,G8/B$17)</f>
        <v>0.15277777777777779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0.39344262295081966</v>
      </c>
      <c r="E9" s="59" t="s">
        <v>69</v>
      </c>
      <c r="F9" s="56" t="s">
        <v>24</v>
      </c>
      <c r="G9" s="44">
        <v>21</v>
      </c>
      <c r="H9" s="129">
        <f>IF(B$17=0,0,G9/B$17)</f>
        <v>0.14583333333333334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8.1967213114754092E-2</v>
      </c>
      <c r="E10" s="59" t="s">
        <v>65</v>
      </c>
      <c r="F10" s="56" t="s">
        <v>21</v>
      </c>
      <c r="G10" s="44">
        <v>16</v>
      </c>
      <c r="H10" s="129">
        <f>IF(B$17=0,0,G10/B$17)</f>
        <v>0.1111111111111111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3.2786885245901641E-2</v>
      </c>
      <c r="E11" s="59" t="s">
        <v>89</v>
      </c>
      <c r="F11" s="56" t="s">
        <v>44</v>
      </c>
      <c r="G11" s="44">
        <v>14</v>
      </c>
      <c r="H11" s="129">
        <f>IF(B$17=0,0,G11/B$17)</f>
        <v>9.7222222222222224E-2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8.1967213114754092E-2</v>
      </c>
      <c r="E12" s="59" t="s">
        <v>83</v>
      </c>
      <c r="F12" s="56" t="s">
        <v>38</v>
      </c>
      <c r="G12" s="44">
        <v>9</v>
      </c>
      <c r="H12" s="129">
        <f>IF(B$17=0,0,G12/B$17)</f>
        <v>6.25E-2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-14.158823529411764</v>
      </c>
      <c r="P12" s="116">
        <v>17</v>
      </c>
      <c r="Q12" s="104">
        <v>-240.7</v>
      </c>
    </row>
    <row r="13" spans="1:17" x14ac:dyDescent="0.4">
      <c r="A13" s="54" t="s">
        <v>121</v>
      </c>
      <c r="B13" s="47">
        <v>147</v>
      </c>
      <c r="C13" s="42">
        <f>IF(B$3=0,0,B13/B$3)</f>
        <v>0.28488372093023256</v>
      </c>
      <c r="E13" s="59" t="s">
        <v>71</v>
      </c>
      <c r="F13" s="56" t="s">
        <v>26</v>
      </c>
      <c r="G13" s="44">
        <v>7</v>
      </c>
      <c r="H13" s="129">
        <f>IF(B$17=0,0,G13/B$17)</f>
        <v>4.8611111111111112E-2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98</v>
      </c>
      <c r="C14" s="37">
        <f>IF(B$3=0,0,B14/B$3)</f>
        <v>0.18992248062015504</v>
      </c>
      <c r="E14" s="59" t="s">
        <v>78</v>
      </c>
      <c r="F14" s="56" t="s">
        <v>33</v>
      </c>
      <c r="G14" s="44">
        <v>6</v>
      </c>
      <c r="H14" s="129">
        <f>IF(B$17=0,0,G14/B$17)</f>
        <v>4.1666666666666664E-2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0.59183673469387754</v>
      </c>
      <c r="E15" s="59" t="s">
        <v>86</v>
      </c>
      <c r="F15" s="56" t="s">
        <v>41</v>
      </c>
      <c r="G15" s="44">
        <v>4</v>
      </c>
      <c r="H15" s="129">
        <f>IF(B$17=0,0,G15/B$17)</f>
        <v>2.7777777777777776E-2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0.38775510204081631</v>
      </c>
      <c r="E16" s="59" t="s">
        <v>81</v>
      </c>
      <c r="F16" s="56" t="s">
        <v>36</v>
      </c>
      <c r="G16" s="44">
        <v>3</v>
      </c>
      <c r="H16" s="129">
        <f>IF(B$17=0,0,G16/B$17)</f>
        <v>2.0833333333333332E-2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144</v>
      </c>
      <c r="C17" s="35">
        <f>IF(B$3=0,0,B17/B$3)</f>
        <v>0.27906976744186046</v>
      </c>
      <c r="E17" s="59" t="s">
        <v>167</v>
      </c>
      <c r="F17" s="56" t="s">
        <v>168</v>
      </c>
      <c r="G17" s="44">
        <v>3</v>
      </c>
      <c r="H17" s="129">
        <f>IF(B$17=0,0,G17/B$17)</f>
        <v>2.0833333333333332E-2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65</v>
      </c>
      <c r="C18" s="37">
        <f>IF(B$17=0,0,B18/B$17)</f>
        <v>0.4513888888888889</v>
      </c>
      <c r="E18" s="59" t="s">
        <v>75</v>
      </c>
      <c r="F18" s="56" t="s">
        <v>30</v>
      </c>
      <c r="G18" s="44">
        <v>2</v>
      </c>
      <c r="H18" s="129">
        <f>IF(B$17=0,0,G18/B$17)</f>
        <v>1.3888888888888888E-2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79</v>
      </c>
      <c r="C19" s="37">
        <f>IF(B$17=0,0,B19/B$17)</f>
        <v>0.54861111111111116</v>
      </c>
      <c r="E19" s="59" t="s">
        <v>79</v>
      </c>
      <c r="F19" s="56" t="s">
        <v>34</v>
      </c>
      <c r="G19" s="44">
        <v>2</v>
      </c>
      <c r="H19" s="129">
        <f>IF(B$17=0,0,G19/B$17)</f>
        <v>1.3888888888888888E-2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109</v>
      </c>
      <c r="C20" s="37">
        <f>IF(B$3=0,0,B20/B$3)</f>
        <v>0.21124031007751937</v>
      </c>
      <c r="E20" s="59" t="s">
        <v>91</v>
      </c>
      <c r="F20" s="56" t="s">
        <v>46</v>
      </c>
      <c r="G20" s="44">
        <v>1</v>
      </c>
      <c r="H20" s="129">
        <f>IF(B$17=0,0,G20/B$17)</f>
        <v>6.9444444444444441E-3</v>
      </c>
      <c r="I20" s="90">
        <v>6</v>
      </c>
      <c r="K20" s="36">
        <v>18</v>
      </c>
      <c r="L20" s="95">
        <v>-240</v>
      </c>
      <c r="N20" s="111" t="s">
        <v>127</v>
      </c>
      <c r="O20" s="121">
        <f t="shared" si="2"/>
        <v>-13.265517241379307</v>
      </c>
      <c r="P20" s="115">
        <v>29</v>
      </c>
      <c r="Q20" s="103">
        <v>-384.69999999999987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8055.5555555555557</v>
      </c>
      <c r="C23" s="39">
        <v>1160000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8575.4716981132078</v>
      </c>
      <c r="C24" s="137">
        <v>909000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-7655.0458715596333</v>
      </c>
      <c r="C26" s="137">
        <v>-834400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3.875968992248062E-3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</sheetData>
  <sortState xmlns:xlrd2="http://schemas.microsoft.com/office/spreadsheetml/2017/richdata2" ref="E2:I6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0.83088235294117652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2366.6666666666665</v>
      </c>
      <c r="P2" s="114">
        <v>57</v>
      </c>
      <c r="Q2" s="98">
        <v>134900</v>
      </c>
    </row>
    <row r="3" spans="1:17" x14ac:dyDescent="0.4">
      <c r="A3" s="51" t="s">
        <v>8</v>
      </c>
      <c r="B3" s="150">
        <v>457</v>
      </c>
      <c r="C3" s="151"/>
      <c r="E3" s="59" t="s">
        <v>72</v>
      </c>
      <c r="F3" s="56" t="s">
        <v>27</v>
      </c>
      <c r="G3" s="44">
        <v>77</v>
      </c>
      <c r="H3" s="129">
        <f>IF(B$17=0,0,G3/B$17)</f>
        <v>0.56617647058823528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-1832.7272727272727</v>
      </c>
      <c r="P3" s="115">
        <v>55</v>
      </c>
      <c r="Q3" s="99">
        <v>-100800</v>
      </c>
    </row>
    <row r="4" spans="1:17" x14ac:dyDescent="0.4">
      <c r="A4" s="51" t="s">
        <v>6</v>
      </c>
      <c r="B4" s="152">
        <v>291.80000000000007</v>
      </c>
      <c r="C4" s="153"/>
      <c r="E4" s="59" t="s">
        <v>64</v>
      </c>
      <c r="F4" s="56" t="s">
        <v>20</v>
      </c>
      <c r="G4" s="44">
        <v>71</v>
      </c>
      <c r="H4" s="129">
        <f>IF(B$17=0,0,G4/B$17)</f>
        <v>0.5220588235294118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1925.4901960784314</v>
      </c>
      <c r="P4" s="115">
        <v>51</v>
      </c>
      <c r="Q4" s="99">
        <v>98200</v>
      </c>
    </row>
    <row r="5" spans="1:17" x14ac:dyDescent="0.4">
      <c r="A5" s="51" t="s">
        <v>7</v>
      </c>
      <c r="B5" s="154">
        <f>IF(B$2=0,0,B$4/B$2)</f>
        <v>5.1192982456140363</v>
      </c>
      <c r="C5" s="155"/>
      <c r="E5" s="59" t="s">
        <v>67</v>
      </c>
      <c r="F5" s="56" t="s">
        <v>23</v>
      </c>
      <c r="G5" s="44">
        <v>59</v>
      </c>
      <c r="H5" s="129">
        <f>IF(B$17=0,0,G5/B$17)</f>
        <v>0.43382352941176472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3140.8163265306121</v>
      </c>
      <c r="P5" s="115">
        <v>49</v>
      </c>
      <c r="Q5" s="99">
        <v>153900</v>
      </c>
    </row>
    <row r="6" spans="1:17" x14ac:dyDescent="0.4">
      <c r="A6" s="51" t="s">
        <v>1</v>
      </c>
      <c r="B6" s="144">
        <f>IF(B$2=0,0,(B$7*1+B$8*2+B$9*3)/B$2)</f>
        <v>1.8947368421052631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0.38235294117647056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-828.88888888888891</v>
      </c>
      <c r="P6" s="115">
        <v>45</v>
      </c>
      <c r="Q6" s="99">
        <v>-37300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0.42105263157894735</v>
      </c>
      <c r="E7" s="59" t="s">
        <v>171</v>
      </c>
      <c r="F7" s="56" t="s">
        <v>172</v>
      </c>
      <c r="G7" s="44">
        <v>52</v>
      </c>
      <c r="H7" s="129">
        <f>IF(B$17=0,0,G7/B$17)</f>
        <v>0.38235294117647056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-300</v>
      </c>
      <c r="P7" s="116">
        <v>37</v>
      </c>
      <c r="Q7" s="100">
        <v>-11100</v>
      </c>
    </row>
    <row r="8" spans="1:17" x14ac:dyDescent="0.4">
      <c r="A8" s="51" t="s">
        <v>3</v>
      </c>
      <c r="B8" s="44">
        <v>15</v>
      </c>
      <c r="C8" s="37">
        <f t="shared" si="1"/>
        <v>0.26315789473684209</v>
      </c>
      <c r="E8" s="59" t="s">
        <v>69</v>
      </c>
      <c r="F8" s="56" t="s">
        <v>24</v>
      </c>
      <c r="G8" s="44">
        <v>31</v>
      </c>
      <c r="H8" s="129">
        <f>IF(B$17=0,0,G8/B$17)</f>
        <v>0.22794117647058823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0.31578947368421051</v>
      </c>
      <c r="E9" s="59" t="s">
        <v>89</v>
      </c>
      <c r="F9" s="56" t="s">
        <v>44</v>
      </c>
      <c r="G9" s="44">
        <v>30</v>
      </c>
      <c r="H9" s="129">
        <f>IF(B$17=0,0,G9/B$17)</f>
        <v>0.22058823529411764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8.771929824561403E-2</v>
      </c>
      <c r="E10" s="59" t="s">
        <v>65</v>
      </c>
      <c r="F10" s="56" t="s">
        <v>21</v>
      </c>
      <c r="G10" s="44">
        <v>17</v>
      </c>
      <c r="H10" s="129">
        <f>IF(B$17=0,0,G10/B$17)</f>
        <v>0.125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0.19298245614035087</v>
      </c>
      <c r="E11" s="59" t="s">
        <v>70</v>
      </c>
      <c r="F11" s="56" t="s">
        <v>25</v>
      </c>
      <c r="G11" s="44">
        <v>15</v>
      </c>
      <c r="H11" s="129">
        <f>IF(B$17=0,0,G11/B$17)</f>
        <v>0.11029411764705882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167</v>
      </c>
      <c r="F12" s="56" t="s">
        <v>168</v>
      </c>
      <c r="G12" s="44">
        <v>9</v>
      </c>
      <c r="H12" s="129">
        <f>IF(B$17=0,0,G12/B$17)</f>
        <v>6.6176470588235295E-2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-2.621428571428571</v>
      </c>
      <c r="P12" s="116">
        <v>14</v>
      </c>
      <c r="Q12" s="104">
        <v>-36.699999999999996</v>
      </c>
    </row>
    <row r="13" spans="1:17" x14ac:dyDescent="0.4">
      <c r="A13" s="54" t="s">
        <v>121</v>
      </c>
      <c r="B13" s="47">
        <v>148</v>
      </c>
      <c r="C13" s="42">
        <f>IF(B$3=0,0,B13/B$3)</f>
        <v>0.32385120350109409</v>
      </c>
      <c r="E13" s="59" t="s">
        <v>71</v>
      </c>
      <c r="F13" s="56" t="s">
        <v>26</v>
      </c>
      <c r="G13" s="44">
        <v>7</v>
      </c>
      <c r="H13" s="129">
        <f>IF(B$17=0,0,G13/B$17)</f>
        <v>5.1470588235294115E-2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0.17943107221006566</v>
      </c>
      <c r="E14" s="59" t="s">
        <v>83</v>
      </c>
      <c r="F14" s="56" t="s">
        <v>38</v>
      </c>
      <c r="G14" s="44">
        <v>6</v>
      </c>
      <c r="H14" s="129">
        <f>IF(B$17=0,0,G14/B$17)</f>
        <v>4.4117647058823532E-2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0.54729729729729726</v>
      </c>
      <c r="E15" s="59" t="s">
        <v>81</v>
      </c>
      <c r="F15" s="56" t="s">
        <v>36</v>
      </c>
      <c r="G15" s="44">
        <v>3</v>
      </c>
      <c r="H15" s="129">
        <f>IF(B$17=0,0,G15/B$17)</f>
        <v>2.2058823529411766E-2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86</v>
      </c>
      <c r="F16" s="56" t="s">
        <v>41</v>
      </c>
      <c r="G16" s="44">
        <v>3</v>
      </c>
      <c r="H16" s="129">
        <f>IF(B$17=0,0,G16/B$17)</f>
        <v>2.2058823529411766E-2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>IF(P16=0,0,Q16/P16)</f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0.2975929978118162</v>
      </c>
      <c r="E17" s="59" t="s">
        <v>92</v>
      </c>
      <c r="F17" s="56" t="s">
        <v>47</v>
      </c>
      <c r="G17" s="44">
        <v>3</v>
      </c>
      <c r="H17" s="129">
        <f>IF(B$17=0,0,G17/B$17)</f>
        <v>2.2058823529411766E-2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66</v>
      </c>
      <c r="C18" s="37">
        <f>IF(B$17=0,0,B18/B$17)</f>
        <v>0.48529411764705882</v>
      </c>
      <c r="E18" s="59" t="s">
        <v>91</v>
      </c>
      <c r="F18" s="56" t="s">
        <v>46</v>
      </c>
      <c r="G18" s="44">
        <v>2</v>
      </c>
      <c r="H18" s="129">
        <f>IF(B$17=0,0,G18/B$17)</f>
        <v>1.4705882352941176E-2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17.729032258064517</v>
      </c>
      <c r="P18" s="115">
        <v>31</v>
      </c>
      <c r="Q18" s="103">
        <v>549.6</v>
      </c>
    </row>
    <row r="19" spans="1:17" x14ac:dyDescent="0.4">
      <c r="A19" s="51" t="s">
        <v>11</v>
      </c>
      <c r="B19" s="44">
        <v>70</v>
      </c>
      <c r="C19" s="37">
        <f>IF(B$17=0,0,B19/B$17)</f>
        <v>0.51470588235294112</v>
      </c>
      <c r="E19" s="59" t="s">
        <v>73</v>
      </c>
      <c r="F19" s="56" t="s">
        <v>28</v>
      </c>
      <c r="G19" s="44">
        <v>1</v>
      </c>
      <c r="H19" s="129">
        <f>IF(B$17=0,0,G19/B$17)</f>
        <v>7.3529411764705881E-3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>IF(P19=0,0,Q19/P19)</f>
        <v>6.6222222222222209</v>
      </c>
      <c r="P19" s="115">
        <v>9</v>
      </c>
      <c r="Q19" s="103">
        <v>59.599999999999987</v>
      </c>
    </row>
    <row r="20" spans="1:17" x14ac:dyDescent="0.4">
      <c r="A20" s="51" t="s">
        <v>13</v>
      </c>
      <c r="B20" s="44">
        <v>74</v>
      </c>
      <c r="C20" s="37">
        <f>IF(B$3=0,0,B20/B$3)</f>
        <v>0.16192560175054704</v>
      </c>
      <c r="E20" s="59" t="s">
        <v>75</v>
      </c>
      <c r="F20" s="56" t="s">
        <v>30</v>
      </c>
      <c r="G20" s="44">
        <v>1</v>
      </c>
      <c r="H20" s="129">
        <f>IF(B$17=0,0,G20/B$17)</f>
        <v>7.3529411764705881E-3</v>
      </c>
      <c r="I20" s="90">
        <v>4</v>
      </c>
      <c r="K20" s="36">
        <v>18</v>
      </c>
      <c r="L20" s="95">
        <v>-24.999999999999968</v>
      </c>
      <c r="N20" s="111" t="s">
        <v>126</v>
      </c>
      <c r="O20" s="121">
        <f>IF(P20=0,0,Q20/P20)</f>
        <v>5.7045454545454533</v>
      </c>
      <c r="P20" s="115">
        <v>22</v>
      </c>
      <c r="Q20" s="103">
        <v>125.49999999999997</v>
      </c>
    </row>
    <row r="21" spans="1:17" x14ac:dyDescent="0.4">
      <c r="A21" s="51" t="s">
        <v>169</v>
      </c>
      <c r="B21" s="44">
        <v>3</v>
      </c>
      <c r="C21" s="131">
        <v>3</v>
      </c>
      <c r="E21" s="59" t="s">
        <v>78</v>
      </c>
      <c r="F21" s="56" t="s">
        <v>33</v>
      </c>
      <c r="G21" s="44">
        <v>1</v>
      </c>
      <c r="H21" s="129">
        <f>IF(B$17=0,0,G21/B$17)</f>
        <v>7.3529411764705881E-3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-8.391666666666671</v>
      </c>
      <c r="P21" s="115">
        <v>24</v>
      </c>
      <c r="Q21" s="103">
        <v>-201.40000000000009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85</v>
      </c>
      <c r="F22" s="56" t="s">
        <v>40</v>
      </c>
      <c r="G22" s="44">
        <v>1</v>
      </c>
      <c r="H22" s="129">
        <f>IF(B$17=0,0,G22/B$17)</f>
        <v>7.3529411764705881E-3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10292.64705882353</v>
      </c>
      <c r="C23" s="39">
        <v>1399800</v>
      </c>
      <c r="E23" s="59" t="s">
        <v>90</v>
      </c>
      <c r="F23" s="56" t="s">
        <v>45</v>
      </c>
      <c r="G23" s="44">
        <v>1</v>
      </c>
      <c r="H23" s="129">
        <f>IF(B$17=0,0,G23/B$17)</f>
        <v>7.3529411764705881E-3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11158.585858585859</v>
      </c>
      <c r="C24" s="137">
        <v>1104700</v>
      </c>
      <c r="E24" s="59" t="s">
        <v>93</v>
      </c>
      <c r="F24" s="56" t="s">
        <v>48</v>
      </c>
      <c r="G24" s="44">
        <v>1</v>
      </c>
      <c r="H24" s="129">
        <f>IF(B$17=0,0,G24/B$17)</f>
        <v>7.3529411764705881E-3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-8236.4864864864867</v>
      </c>
      <c r="C26" s="137">
        <v>-609500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5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8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86</v>
      </c>
      <c r="C2" s="149"/>
      <c r="E2" s="58" t="s">
        <v>66</v>
      </c>
      <c r="F2" s="55" t="s">
        <v>22</v>
      </c>
      <c r="G2" s="43">
        <v>145</v>
      </c>
      <c r="H2" s="128">
        <f>IF(B$17=0,0,G2/B$17)</f>
        <v>0.75520833333333337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669.76744186046517</v>
      </c>
      <c r="P2" s="114">
        <v>86</v>
      </c>
      <c r="Q2" s="98">
        <v>57600</v>
      </c>
    </row>
    <row r="3" spans="1:17" x14ac:dyDescent="0.4">
      <c r="A3" s="51" t="s">
        <v>8</v>
      </c>
      <c r="B3" s="150">
        <v>683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0.609375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861.4457831325301</v>
      </c>
      <c r="P3" s="115">
        <v>83</v>
      </c>
      <c r="Q3" s="99">
        <v>71500</v>
      </c>
    </row>
    <row r="4" spans="1:17" x14ac:dyDescent="0.4">
      <c r="A4" s="51" t="s">
        <v>6</v>
      </c>
      <c r="B4" s="152">
        <v>-83.800000000000011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0.484375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-1151.9480519480519</v>
      </c>
      <c r="P4" s="115">
        <v>77</v>
      </c>
      <c r="Q4" s="99">
        <v>-88700</v>
      </c>
    </row>
    <row r="5" spans="1:17" x14ac:dyDescent="0.4">
      <c r="A5" s="51" t="s">
        <v>7</v>
      </c>
      <c r="B5" s="154">
        <f>IF(B$2=0,0,B$4/B$2)</f>
        <v>-0.97441860465116292</v>
      </c>
      <c r="C5" s="155"/>
      <c r="E5" s="59" t="s">
        <v>171</v>
      </c>
      <c r="F5" s="56" t="s">
        <v>172</v>
      </c>
      <c r="G5" s="44">
        <v>88</v>
      </c>
      <c r="H5" s="129">
        <f>IF(B$17=0,0,G5/B$17)</f>
        <v>0.45833333333333331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-240.8450704225352</v>
      </c>
      <c r="P5" s="115">
        <v>71</v>
      </c>
      <c r="Q5" s="99">
        <v>-17100</v>
      </c>
    </row>
    <row r="6" spans="1:17" x14ac:dyDescent="0.4">
      <c r="A6" s="51" t="s">
        <v>1</v>
      </c>
      <c r="B6" s="144">
        <f>IF(B$2=0,0,(B$7*1+B$8*2+B$9*3)/B$2)</f>
        <v>2.058139534883721</v>
      </c>
      <c r="C6" s="145"/>
      <c r="E6" s="59" t="s">
        <v>67</v>
      </c>
      <c r="F6" s="56" t="s">
        <v>23</v>
      </c>
      <c r="G6" s="44">
        <v>75</v>
      </c>
      <c r="H6" s="129">
        <f>IF(B$17=0,0,G6/B$17)</f>
        <v>0.390625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-140.32258064516128</v>
      </c>
      <c r="P6" s="115">
        <v>62</v>
      </c>
      <c r="Q6" s="99">
        <v>-8700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0.22093023255813954</v>
      </c>
      <c r="E7" s="59" t="s">
        <v>68</v>
      </c>
      <c r="F7" s="56" t="s">
        <v>12</v>
      </c>
      <c r="G7" s="44">
        <v>62</v>
      </c>
      <c r="H7" s="129">
        <f>IF(B$17=0,0,G7/B$17)</f>
        <v>0.32291666666666669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-1277.7777777777778</v>
      </c>
      <c r="P7" s="116">
        <v>54</v>
      </c>
      <c r="Q7" s="100">
        <v>-69000</v>
      </c>
    </row>
    <row r="8" spans="1:17" x14ac:dyDescent="0.4">
      <c r="A8" s="51" t="s">
        <v>3</v>
      </c>
      <c r="B8" s="44">
        <v>43</v>
      </c>
      <c r="C8" s="37">
        <f t="shared" si="1"/>
        <v>0.5</v>
      </c>
      <c r="E8" s="59" t="s">
        <v>69</v>
      </c>
      <c r="F8" s="56" t="s">
        <v>24</v>
      </c>
      <c r="G8" s="44">
        <v>25</v>
      </c>
      <c r="H8" s="129">
        <f>IF(B$17=0,0,G8/B$17)</f>
        <v>0.13020833333333334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0.27906976744186046</v>
      </c>
      <c r="E9" s="59" t="s">
        <v>89</v>
      </c>
      <c r="F9" s="56" t="s">
        <v>44</v>
      </c>
      <c r="G9" s="44">
        <v>20</v>
      </c>
      <c r="H9" s="129">
        <f>IF(B$17=0,0,G9/B$17)</f>
        <v>0.10416666666666667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8.1395348837209308E-2</v>
      </c>
      <c r="E10" s="59" t="s">
        <v>71</v>
      </c>
      <c r="F10" s="56" t="s">
        <v>26</v>
      </c>
      <c r="G10" s="44">
        <v>17</v>
      </c>
      <c r="H10" s="129">
        <f>IF(B$17=0,0,G10/B$17)</f>
        <v>8.8541666666666671E-2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-1.0000000000000004</v>
      </c>
      <c r="P10" s="114">
        <v>36</v>
      </c>
      <c r="Q10" s="102">
        <v>-36.000000000000014</v>
      </c>
    </row>
    <row r="11" spans="1:17" x14ac:dyDescent="0.4">
      <c r="A11" s="52" t="s">
        <v>138</v>
      </c>
      <c r="B11" s="45">
        <v>6</v>
      </c>
      <c r="C11" s="38">
        <f t="shared" si="1"/>
        <v>6.9767441860465115E-2</v>
      </c>
      <c r="E11" s="59" t="s">
        <v>70</v>
      </c>
      <c r="F11" s="56" t="s">
        <v>25</v>
      </c>
      <c r="G11" s="44">
        <v>15</v>
      </c>
      <c r="H11" s="129">
        <f>IF(B$17=0,0,G11/B$17)</f>
        <v>7.8125E-2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5.8139534883720929E-2</v>
      </c>
      <c r="E12" s="59" t="s">
        <v>65</v>
      </c>
      <c r="F12" s="56" t="s">
        <v>21</v>
      </c>
      <c r="G12" s="44">
        <v>14</v>
      </c>
      <c r="H12" s="129">
        <f>IF(B$17=0,0,G12/B$17)</f>
        <v>7.2916666666666671E-2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-3.7166666666666668</v>
      </c>
      <c r="P12" s="116">
        <v>24</v>
      </c>
      <c r="Q12" s="104">
        <v>-89.2</v>
      </c>
    </row>
    <row r="13" spans="1:17" x14ac:dyDescent="0.4">
      <c r="A13" s="54" t="s">
        <v>121</v>
      </c>
      <c r="B13" s="47">
        <v>176</v>
      </c>
      <c r="C13" s="42">
        <f>IF(B$3=0,0,B13/B$3)</f>
        <v>0.25768667642752563</v>
      </c>
      <c r="E13" s="59" t="s">
        <v>86</v>
      </c>
      <c r="F13" s="56" t="s">
        <v>41</v>
      </c>
      <c r="G13" s="44">
        <v>10</v>
      </c>
      <c r="H13" s="129">
        <f>IF(B$17=0,0,G13/B$17)</f>
        <v>5.2083333333333336E-2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157</v>
      </c>
      <c r="C14" s="37">
        <f>IF(B$3=0,0,B14/B$3)</f>
        <v>0.22986822840409957</v>
      </c>
      <c r="E14" s="59" t="s">
        <v>83</v>
      </c>
      <c r="F14" s="56" t="s">
        <v>38</v>
      </c>
      <c r="G14" s="44">
        <v>7</v>
      </c>
      <c r="H14" s="129">
        <f>IF(B$17=0,0,G14/B$17)</f>
        <v>3.6458333333333336E-2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98</v>
      </c>
      <c r="C15" s="35">
        <f>IF(B$13=0,0,B15/B$13)</f>
        <v>0.55681818181818177</v>
      </c>
      <c r="E15" s="59" t="s">
        <v>79</v>
      </c>
      <c r="F15" s="56" t="s">
        <v>34</v>
      </c>
      <c r="G15" s="44">
        <v>6</v>
      </c>
      <c r="H15" s="129">
        <f>IF(B$17=0,0,G15/B$17)</f>
        <v>3.125E-2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65</v>
      </c>
      <c r="C16" s="35">
        <f>IF(B$14=0,0,B16/B$14)</f>
        <v>0.4140127388535032</v>
      </c>
      <c r="E16" s="59" t="s">
        <v>167</v>
      </c>
      <c r="F16" s="56" t="s">
        <v>168</v>
      </c>
      <c r="G16" s="44">
        <v>4</v>
      </c>
      <c r="H16" s="129">
        <f>IF(B$17=0,0,G16/B$17)</f>
        <v>2.0833333333333332E-2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192</v>
      </c>
      <c r="C17" s="35">
        <f>IF(B$3=0,0,B17/B$3)</f>
        <v>0.28111273792093705</v>
      </c>
      <c r="E17" s="59" t="s">
        <v>73</v>
      </c>
      <c r="F17" s="56" t="s">
        <v>28</v>
      </c>
      <c r="G17" s="44">
        <v>3</v>
      </c>
      <c r="H17" s="129">
        <f>IF(B$17=0,0,G17/B$17)</f>
        <v>1.5625E-2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86</v>
      </c>
      <c r="C18" s="37">
        <f>IF(B$17=0,0,B18/B$17)</f>
        <v>0.44791666666666669</v>
      </c>
      <c r="E18" s="59" t="s">
        <v>78</v>
      </c>
      <c r="F18" s="56" t="s">
        <v>33</v>
      </c>
      <c r="G18" s="44">
        <v>3</v>
      </c>
      <c r="H18" s="129">
        <f>IF(B$17=0,0,G18/B$17)</f>
        <v>1.5625E-2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106</v>
      </c>
      <c r="C19" s="37">
        <f>IF(B$17=0,0,B19/B$17)</f>
        <v>0.55208333333333337</v>
      </c>
      <c r="E19" s="59" t="s">
        <v>81</v>
      </c>
      <c r="F19" s="56" t="s">
        <v>36</v>
      </c>
      <c r="G19" s="44">
        <v>2</v>
      </c>
      <c r="H19" s="129">
        <f>IF(B$17=0,0,G19/B$17)</f>
        <v>1.0416666666666666E-2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92</v>
      </c>
      <c r="C20" s="37">
        <f>IF(B$3=0,0,B20/B$3)</f>
        <v>0.13469985358711567</v>
      </c>
      <c r="E20" s="59" t="s">
        <v>74</v>
      </c>
      <c r="F20" s="56" t="s">
        <v>29</v>
      </c>
      <c r="G20" s="44">
        <v>1</v>
      </c>
      <c r="H20" s="129">
        <f>IF(B$17=0,0,G20/B$17)</f>
        <v>5.208333333333333E-3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2.8312499999999998</v>
      </c>
      <c r="P20" s="115">
        <v>16</v>
      </c>
      <c r="Q20" s="103">
        <v>45.3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5.208333333333333E-3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>IF(P21=0,0,Q21/P21)</f>
        <v>1.4055555555555559</v>
      </c>
      <c r="P21" s="115">
        <v>36</v>
      </c>
      <c r="Q21" s="103">
        <v>50.600000000000016</v>
      </c>
    </row>
    <row r="22" spans="1:17" x14ac:dyDescent="0.4">
      <c r="A22" s="51" t="s">
        <v>170</v>
      </c>
      <c r="B22" s="44">
        <v>44</v>
      </c>
      <c r="C22" s="131">
        <v>12</v>
      </c>
      <c r="E22" s="59" t="s">
        <v>85</v>
      </c>
      <c r="F22" s="56" t="s">
        <v>40</v>
      </c>
      <c r="G22" s="44">
        <v>1</v>
      </c>
      <c r="H22" s="129">
        <f>IF(B$17=0,0,G22/B$17)</f>
        <v>5.208333333333333E-3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>IF(P22=0,0,Q22/P22)</f>
        <v>-16.673170731707319</v>
      </c>
      <c r="P22" s="115">
        <v>41</v>
      </c>
      <c r="Q22" s="103">
        <v>-683.60000000000014</v>
      </c>
    </row>
    <row r="23" spans="1:17" x14ac:dyDescent="0.4">
      <c r="A23" s="51" t="s">
        <v>5</v>
      </c>
      <c r="B23" s="48">
        <f>IF(B$17=0,0,C23/B$17)</f>
        <v>8382.2916666666661</v>
      </c>
      <c r="C23" s="39">
        <v>1609400</v>
      </c>
      <c r="E23" s="59" t="s">
        <v>87</v>
      </c>
      <c r="F23" s="56" t="s">
        <v>42</v>
      </c>
      <c r="G23" s="44">
        <v>1</v>
      </c>
      <c r="H23" s="129">
        <f>IF(B$17=0,0,G23/B$17)</f>
        <v>5.208333333333333E-3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>IF(P23=0,0,Q23/P23)</f>
        <v>-17.729032258064517</v>
      </c>
      <c r="P23" s="115">
        <v>31</v>
      </c>
      <c r="Q23" s="103">
        <v>-549.6</v>
      </c>
    </row>
    <row r="24" spans="1:17" x14ac:dyDescent="0.4">
      <c r="A24" s="52" t="s">
        <v>216</v>
      </c>
      <c r="B24" s="136">
        <f>IF($B$17-B$16=0,0,C24/($B$17-B$16))</f>
        <v>9403.9370078740158</v>
      </c>
      <c r="C24" s="137">
        <v>1194300</v>
      </c>
      <c r="E24" s="59" t="s">
        <v>88</v>
      </c>
      <c r="F24" s="56" t="s">
        <v>43</v>
      </c>
      <c r="G24" s="44">
        <v>1</v>
      </c>
      <c r="H24" s="129">
        <f>IF(B$17=0,0,G24/B$17)</f>
        <v>5.208333333333333E-3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6386.1538461538457</v>
      </c>
      <c r="C25" s="137">
        <v>415100</v>
      </c>
      <c r="E25" s="59" t="s">
        <v>91</v>
      </c>
      <c r="F25" s="56" t="s">
        <v>46</v>
      </c>
      <c r="G25" s="44">
        <v>1</v>
      </c>
      <c r="H25" s="129">
        <f>IF(B$17=0,0,G25/B$17)</f>
        <v>5.208333333333333E-3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-7886.95652173913</v>
      </c>
      <c r="C26" s="137">
        <v>-725600</v>
      </c>
      <c r="E26" s="59" t="s">
        <v>93</v>
      </c>
      <c r="F26" s="56" t="s">
        <v>48</v>
      </c>
      <c r="G26" s="44">
        <v>1</v>
      </c>
      <c r="H26" s="129">
        <f>IF(B$17=0,0,G26/B$17)</f>
        <v>5.208333333333333E-3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5.208333333333333E-3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2.9282576866764276E-3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8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9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2019-11-02T08:49:09Z</dcterms:modified>
</cp:coreProperties>
</file>