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9EFED547-6DC7-415C-A803-73864FC736A2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85" r:id="rId6"/>
    <sheet name="たかの" sheetId="6387" r:id="rId7"/>
    <sheet name="だいち" sheetId="6389" r:id="rId8"/>
    <sheet name="ただ" sheetId="6391" r:id="rId9"/>
    <sheet name="りくと" sheetId="6393" r:id="rId10"/>
    <sheet name="れんたろう" sheetId="6395" r:id="rId11"/>
    <sheet name="まっつん" sheetId="6397" r:id="rId12"/>
    <sheet name="のり" sheetId="6399" r:id="rId13"/>
    <sheet name="ぱぱ" sheetId="6401" r:id="rId14"/>
    <sheet name="ほたに" sheetId="6403" r:id="rId15"/>
    <sheet name="いっしー" sheetId="6405" r:id="rId16"/>
    <sheet name="ともき" sheetId="6407" r:id="rId17"/>
    <sheet name="たか" sheetId="6409" r:id="rId18"/>
    <sheet name="ゆう" sheetId="6411" r:id="rId19"/>
    <sheet name="ゆう2" sheetId="6412" state="hidden" r:id="rId20"/>
    <sheet name="たか2" sheetId="6410" state="hidden" r:id="rId21"/>
    <sheet name="ともき2" sheetId="6408" state="hidden" r:id="rId22"/>
    <sheet name="いっしー2" sheetId="6406" state="hidden" r:id="rId23"/>
    <sheet name="ほたに2" sheetId="6404" state="hidden" r:id="rId24"/>
    <sheet name="ぱぱ2" sheetId="6402" state="hidden" r:id="rId25"/>
    <sheet name="のり2" sheetId="6400" state="hidden" r:id="rId26"/>
    <sheet name="まっつん2" sheetId="6398" state="hidden" r:id="rId27"/>
    <sheet name="れんたろう2" sheetId="6396" state="hidden" r:id="rId28"/>
    <sheet name="りくと2" sheetId="6394" state="hidden" r:id="rId29"/>
    <sheet name="ただ2" sheetId="6392" state="hidden" r:id="rId30"/>
    <sheet name="だいち2" sheetId="6390" state="hidden" r:id="rId31"/>
    <sheet name="たかの2" sheetId="6388" state="hidden" r:id="rId32"/>
    <sheet name="全体2" sheetId="638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7">だいち!#REF!</definedName>
    <definedName name="ダマアガリ点" localSheetId="17">たか!#REF!</definedName>
    <definedName name="ダマアガリ点" localSheetId="6">たかの!#REF!</definedName>
    <definedName name="ダマアガリ点" localSheetId="8">ただ!#REF!</definedName>
    <definedName name="ダマアガリ点" localSheetId="16">ともき!#REF!</definedName>
    <definedName name="ダマアガリ点" localSheetId="12">のり!#REF!</definedName>
    <definedName name="ダマアガリ点" localSheetId="13">ぱぱ!#REF!</definedName>
    <definedName name="ダマアガリ点" localSheetId="14">ほたに!#REF!</definedName>
    <definedName name="ダマアガリ点" localSheetId="11">まっつん!#REF!</definedName>
    <definedName name="ダマアガリ点" localSheetId="18">ゆう!#REF!</definedName>
    <definedName name="ダマアガリ点" localSheetId="9">りくと!#REF!</definedName>
    <definedName name="ダマアガリ点" localSheetId="10">れんたろう!#REF!</definedName>
    <definedName name="ダマアガリ点" localSheetId="5">全体!#REF!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7">だいち!#REF!</definedName>
    <definedName name="ふっとばし数" localSheetId="17">たか!#REF!</definedName>
    <definedName name="ふっとばし数" localSheetId="6">たかの!#REF!</definedName>
    <definedName name="ふっとばし数" localSheetId="8">ただ!#REF!</definedName>
    <definedName name="ふっとばし数" localSheetId="16">ともき!#REF!</definedName>
    <definedName name="ふっとばし数" localSheetId="12">のり!#REF!</definedName>
    <definedName name="ふっとばし数" localSheetId="13">ぱぱ!#REF!</definedName>
    <definedName name="ふっとばし数" localSheetId="14">ほたに!#REF!</definedName>
    <definedName name="ふっとばし数" localSheetId="11">まっつん!#REF!</definedName>
    <definedName name="ふっとばし数" localSheetId="18">ゆう!#REF!</definedName>
    <definedName name="ふっとばし数" localSheetId="9">りくと!#REF!</definedName>
    <definedName name="ふっとばし数" localSheetId="10">れんたろう!#REF!</definedName>
    <definedName name="ふっとばし数" localSheetId="5">全体!#REF!</definedName>
    <definedName name="ふっとばし数">Template1!#REF!</definedName>
    <definedName name="ふっとばし率" localSheetId="15">いっしー!#REF!</definedName>
    <definedName name="ふっとばし率" localSheetId="7">だいち!#REF!</definedName>
    <definedName name="ふっとばし率" localSheetId="17">たか!#REF!</definedName>
    <definedName name="ふっとばし率" localSheetId="6">たかの!#REF!</definedName>
    <definedName name="ふっとばし率" localSheetId="8">ただ!#REF!</definedName>
    <definedName name="ふっとばし率" localSheetId="16">ともき!#REF!</definedName>
    <definedName name="ふっとばし率" localSheetId="12">のり!#REF!</definedName>
    <definedName name="ふっとばし率" localSheetId="13">ぱぱ!#REF!</definedName>
    <definedName name="ふっとばし率" localSheetId="14">ほたに!#REF!</definedName>
    <definedName name="ふっとばし率" localSheetId="11">まっつん!#REF!</definedName>
    <definedName name="ふっとばし率" localSheetId="18">ゆう!#REF!</definedName>
    <definedName name="ふっとばし率" localSheetId="9">りくと!#REF!</definedName>
    <definedName name="ふっとばし率" localSheetId="10">れんたろう!#REF!</definedName>
    <definedName name="ふっとばし率" localSheetId="5">全体!#REF!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7">だいち!#REF!</definedName>
    <definedName name="逆転数" localSheetId="17">たか!#REF!</definedName>
    <definedName name="逆転数" localSheetId="6">たかの!#REF!</definedName>
    <definedName name="逆転数" localSheetId="8">ただ!#REF!</definedName>
    <definedName name="逆転数" localSheetId="16">ともき!#REF!</definedName>
    <definedName name="逆転数" localSheetId="12">のり!#REF!</definedName>
    <definedName name="逆転数" localSheetId="13">ぱぱ!#REF!</definedName>
    <definedName name="逆転数" localSheetId="14">ほたに!#REF!</definedName>
    <definedName name="逆転数" localSheetId="11">まっつん!#REF!</definedName>
    <definedName name="逆転数" localSheetId="18">ゆう!#REF!</definedName>
    <definedName name="逆転数" localSheetId="9">りくと!#REF!</definedName>
    <definedName name="逆転数" localSheetId="10">れんたろう!#REF!</definedName>
    <definedName name="逆転数" localSheetId="5">全体!#REF!</definedName>
    <definedName name="逆転数">Template1!#REF!</definedName>
    <definedName name="逆転率" localSheetId="15">いっしー!#REF!</definedName>
    <definedName name="逆転率" localSheetId="7">だいち!#REF!</definedName>
    <definedName name="逆転率" localSheetId="17">たか!#REF!</definedName>
    <definedName name="逆転率" localSheetId="6">たかの!#REF!</definedName>
    <definedName name="逆転率" localSheetId="8">ただ!#REF!</definedName>
    <definedName name="逆転率" localSheetId="16">ともき!#REF!</definedName>
    <definedName name="逆転率" localSheetId="12">のり!#REF!</definedName>
    <definedName name="逆転率" localSheetId="13">ぱぱ!#REF!</definedName>
    <definedName name="逆転率" localSheetId="14">ほたに!#REF!</definedName>
    <definedName name="逆転率" localSheetId="11">まっつん!#REF!</definedName>
    <definedName name="逆転率" localSheetId="18">ゆう!#REF!</definedName>
    <definedName name="逆転率" localSheetId="9">りくと!#REF!</definedName>
    <definedName name="逆転率" localSheetId="10">れんたろう!#REF!</definedName>
    <definedName name="逆転率" localSheetId="5">全体!#REF!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409" l="1"/>
  <c r="O25" i="6397" l="1"/>
  <c r="O15" i="6407"/>
  <c r="O16" i="6409" l="1"/>
  <c r="O23" i="6387"/>
  <c r="O20" i="6397" l="1"/>
  <c r="O16" i="6411"/>
  <c r="O18" i="6409"/>
  <c r="O15" i="6387" l="1"/>
  <c r="O22" i="6407"/>
  <c r="O19" i="6409" l="1"/>
  <c r="O15" i="6411"/>
  <c r="O17" i="6411"/>
  <c r="H39" i="6411"/>
  <c r="H34" i="6411"/>
  <c r="C30" i="6411"/>
  <c r="H12" i="6411"/>
  <c r="B25" i="6411"/>
  <c r="C16" i="6411"/>
  <c r="B15" i="6411"/>
  <c r="H50" i="6411" s="1"/>
  <c r="H18" i="6411"/>
  <c r="B14" i="6411"/>
  <c r="B24" i="6411" s="1"/>
  <c r="B13" i="6411"/>
  <c r="C13" i="6411" s="1"/>
  <c r="O12" i="6411"/>
  <c r="C12" i="6411"/>
  <c r="O11" i="6411"/>
  <c r="C11" i="6411"/>
  <c r="O10" i="6411"/>
  <c r="C10" i="6411"/>
  <c r="H14" i="6411"/>
  <c r="C9" i="6411"/>
  <c r="H13" i="6411"/>
  <c r="C8" i="6411"/>
  <c r="O7" i="6411"/>
  <c r="C7" i="6411"/>
  <c r="O6" i="6411"/>
  <c r="B6" i="6411"/>
  <c r="O5" i="6411"/>
  <c r="B5" i="6411"/>
  <c r="O4" i="6411"/>
  <c r="O3" i="6411"/>
  <c r="O2" i="6411"/>
  <c r="O16" i="6399"/>
  <c r="O15" i="6409"/>
  <c r="O17" i="6409"/>
  <c r="C30" i="6409"/>
  <c r="B25" i="6409"/>
  <c r="C16" i="6409"/>
  <c r="B15" i="6409"/>
  <c r="H50" i="6409" s="1"/>
  <c r="B14" i="6409"/>
  <c r="B24" i="6409" s="1"/>
  <c r="B13" i="6409"/>
  <c r="C13" i="6409" s="1"/>
  <c r="O12" i="6409"/>
  <c r="C12" i="6409"/>
  <c r="O11" i="6409"/>
  <c r="C11" i="6409"/>
  <c r="O10" i="6409"/>
  <c r="C10" i="6409"/>
  <c r="C9" i="6409"/>
  <c r="C8" i="6409"/>
  <c r="O7" i="6409"/>
  <c r="C7" i="6409"/>
  <c r="O6" i="6409"/>
  <c r="B6" i="6409"/>
  <c r="O5" i="6409"/>
  <c r="B5" i="6409"/>
  <c r="O4" i="6409"/>
  <c r="O3" i="6409"/>
  <c r="O2" i="6409"/>
  <c r="O15" i="6385"/>
  <c r="H2" i="6411" l="1"/>
  <c r="C19" i="6411"/>
  <c r="C14" i="6409"/>
  <c r="C14" i="6411"/>
  <c r="C44" i="6411"/>
  <c r="H22" i="6411"/>
  <c r="H47" i="6411"/>
  <c r="H40" i="6411"/>
  <c r="C15" i="6411"/>
  <c r="H29" i="6411"/>
  <c r="H36" i="6411"/>
  <c r="H41" i="6411"/>
  <c r="H48" i="6411"/>
  <c r="C34" i="6411"/>
  <c r="H6" i="6411"/>
  <c r="H49" i="6411"/>
  <c r="H35" i="6411"/>
  <c r="H30" i="6411"/>
  <c r="H3" i="6411"/>
  <c r="H8" i="6411"/>
  <c r="C36" i="6411"/>
  <c r="H7" i="6411"/>
  <c r="B22" i="6411"/>
  <c r="H32" i="6411"/>
  <c r="C42" i="6411"/>
  <c r="H51" i="6411"/>
  <c r="H45" i="6411"/>
  <c r="H10" i="6411"/>
  <c r="C20" i="6411"/>
  <c r="C21" i="6411"/>
  <c r="C17" i="6411"/>
  <c r="H37" i="6411"/>
  <c r="H20" i="6411"/>
  <c r="H26" i="6411"/>
  <c r="H38" i="6411"/>
  <c r="H43" i="6411"/>
  <c r="H4" i="6411"/>
  <c r="H28" i="6411"/>
  <c r="H16" i="6411"/>
  <c r="C40" i="6411"/>
  <c r="H19" i="6411"/>
  <c r="H24" i="6411"/>
  <c r="H42" i="6411"/>
  <c r="C32" i="6411"/>
  <c r="H11" i="6411"/>
  <c r="H15" i="6411"/>
  <c r="C18" i="6411"/>
  <c r="H33" i="6411"/>
  <c r="C38" i="6411"/>
  <c r="H44" i="6411"/>
  <c r="H52" i="6411"/>
  <c r="H21" i="6411"/>
  <c r="H25" i="6411"/>
  <c r="H9" i="6411"/>
  <c r="C33" i="6411"/>
  <c r="C37" i="6411"/>
  <c r="C41" i="6411"/>
  <c r="H46" i="6411"/>
  <c r="B23" i="6411"/>
  <c r="H17" i="6411"/>
  <c r="H5" i="6411"/>
  <c r="H23" i="6411"/>
  <c r="H27" i="6411"/>
  <c r="H31" i="6411"/>
  <c r="C35" i="6411"/>
  <c r="C39" i="6411"/>
  <c r="C43" i="6411"/>
  <c r="C19" i="6409"/>
  <c r="H3" i="6409"/>
  <c r="H34" i="6409"/>
  <c r="H10" i="6409"/>
  <c r="H28" i="6409"/>
  <c r="H18" i="6409"/>
  <c r="C44" i="6409"/>
  <c r="H12" i="6409"/>
  <c r="H35" i="6409"/>
  <c r="H39" i="6409"/>
  <c r="H29" i="6409"/>
  <c r="C15" i="6409"/>
  <c r="H47" i="6409"/>
  <c r="H14" i="6409"/>
  <c r="H48" i="6409"/>
  <c r="H45" i="6409"/>
  <c r="H2" i="6409"/>
  <c r="H16" i="6409"/>
  <c r="H30" i="6409"/>
  <c r="H19" i="6409"/>
  <c r="H36" i="6409"/>
  <c r="H8" i="6409"/>
  <c r="H42" i="6409"/>
  <c r="C17" i="6409"/>
  <c r="H37" i="6409"/>
  <c r="H51" i="6409"/>
  <c r="H40" i="6409"/>
  <c r="H9" i="6409"/>
  <c r="H11" i="6409"/>
  <c r="H49" i="6409"/>
  <c r="H7" i="6409"/>
  <c r="B22" i="6409"/>
  <c r="H32" i="6409"/>
  <c r="C42" i="6409"/>
  <c r="H26" i="6409"/>
  <c r="H38" i="6409"/>
  <c r="H43" i="6409"/>
  <c r="H5" i="6409"/>
  <c r="C34" i="6409"/>
  <c r="H6" i="6409"/>
  <c r="C20" i="6409"/>
  <c r="C40" i="6409"/>
  <c r="C21" i="6409"/>
  <c r="H41" i="6409"/>
  <c r="H24" i="6409"/>
  <c r="C36" i="6409"/>
  <c r="H21" i="6409"/>
  <c r="C32" i="6409"/>
  <c r="H4" i="6409"/>
  <c r="H15" i="6409"/>
  <c r="C18" i="6409"/>
  <c r="H33" i="6409"/>
  <c r="C38" i="6409"/>
  <c r="H44" i="6409"/>
  <c r="H52" i="6409"/>
  <c r="H22" i="6409"/>
  <c r="H25" i="6409"/>
  <c r="H13" i="6409"/>
  <c r="C33" i="6409"/>
  <c r="C37" i="6409"/>
  <c r="C41" i="6409"/>
  <c r="H46" i="6409"/>
  <c r="B23" i="6409"/>
  <c r="H17" i="6409"/>
  <c r="H20" i="6409"/>
  <c r="H23" i="6409"/>
  <c r="H27" i="6409"/>
  <c r="H31" i="6409"/>
  <c r="C35" i="6409"/>
  <c r="C39" i="6409"/>
  <c r="C43" i="6409"/>
  <c r="O21" i="6407" l="1"/>
  <c r="O15" i="6389"/>
  <c r="O21" i="6391" l="1"/>
  <c r="O16" i="6407"/>
  <c r="O19" i="6407"/>
  <c r="O22" i="6393"/>
  <c r="O17" i="6401" l="1"/>
  <c r="O20" i="6407"/>
  <c r="O21" i="6395" l="1"/>
  <c r="O17" i="6407"/>
  <c r="O18" i="6407"/>
  <c r="C30" i="6407"/>
  <c r="B25" i="6407"/>
  <c r="C16" i="6407"/>
  <c r="B15" i="6407"/>
  <c r="H52" i="6407" s="1"/>
  <c r="C14" i="6407"/>
  <c r="B14" i="6407"/>
  <c r="B13" i="6407"/>
  <c r="C13" i="6407" s="1"/>
  <c r="O12" i="6407"/>
  <c r="C12" i="6407"/>
  <c r="O11" i="6407"/>
  <c r="C11" i="6407"/>
  <c r="O10" i="6407"/>
  <c r="C10" i="6407"/>
  <c r="C9" i="6407"/>
  <c r="C8" i="6407"/>
  <c r="O7" i="6407"/>
  <c r="C7" i="6407"/>
  <c r="O6" i="6407"/>
  <c r="B6" i="6407"/>
  <c r="O5" i="6407"/>
  <c r="B5" i="6407"/>
  <c r="O4" i="6407"/>
  <c r="O3" i="6407"/>
  <c r="O2" i="6407"/>
  <c r="O18" i="6399"/>
  <c r="O20" i="6385"/>
  <c r="B23" i="6407" l="1"/>
  <c r="H15" i="6407"/>
  <c r="H36" i="6407"/>
  <c r="C36" i="6407"/>
  <c r="H3" i="6407"/>
  <c r="H10" i="6407"/>
  <c r="H18" i="6407"/>
  <c r="H27" i="6407"/>
  <c r="H42" i="6407"/>
  <c r="H44" i="6407"/>
  <c r="H38" i="6407"/>
  <c r="H29" i="6407"/>
  <c r="H30" i="6407"/>
  <c r="H4" i="6407"/>
  <c r="C19" i="6407"/>
  <c r="C44" i="6407"/>
  <c r="C17" i="6407"/>
  <c r="C42" i="6407"/>
  <c r="H13" i="6407"/>
  <c r="H34" i="6407"/>
  <c r="H5" i="6407"/>
  <c r="H24" i="6407"/>
  <c r="C34" i="6407"/>
  <c r="H47" i="6407"/>
  <c r="C20" i="6407"/>
  <c r="C38" i="6407"/>
  <c r="H48" i="6407"/>
  <c r="H2" i="6407"/>
  <c r="H9" i="6407"/>
  <c r="C15" i="6407"/>
  <c r="C21" i="6407"/>
  <c r="H32" i="6407"/>
  <c r="H40" i="6407"/>
  <c r="H51" i="6407"/>
  <c r="H8" i="6407"/>
  <c r="H6" i="6407"/>
  <c r="H16" i="6407"/>
  <c r="H19" i="6407"/>
  <c r="H21" i="6407"/>
  <c r="H14" i="6407"/>
  <c r="C32" i="6407"/>
  <c r="C40" i="6407"/>
  <c r="H7" i="6407"/>
  <c r="H23" i="6407"/>
  <c r="H26" i="6407"/>
  <c r="H11" i="6407"/>
  <c r="C33" i="6407"/>
  <c r="C37" i="6407"/>
  <c r="C41" i="6407"/>
  <c r="H46" i="6407"/>
  <c r="B24" i="6407"/>
  <c r="H35" i="6407"/>
  <c r="H39" i="6407"/>
  <c r="H43" i="6407"/>
  <c r="H49" i="6407"/>
  <c r="H12" i="6407"/>
  <c r="H22" i="6407"/>
  <c r="H25" i="6407"/>
  <c r="H17" i="6407"/>
  <c r="H31" i="6407"/>
  <c r="C35" i="6407"/>
  <c r="C39" i="6407"/>
  <c r="C43" i="6407"/>
  <c r="H50" i="6407"/>
  <c r="H20" i="6407"/>
  <c r="C18" i="6407"/>
  <c r="B22" i="6407"/>
  <c r="H28" i="6407"/>
  <c r="H33" i="6407"/>
  <c r="H37" i="6407"/>
  <c r="H41" i="6407"/>
  <c r="H45" i="6407"/>
  <c r="O16" i="6397" l="1"/>
  <c r="O17" i="6405"/>
  <c r="O23" i="6389"/>
  <c r="O16" i="6405"/>
  <c r="O15" i="6405"/>
  <c r="C30" i="6405"/>
  <c r="B25" i="6405"/>
  <c r="C16" i="6405"/>
  <c r="B15" i="6405"/>
  <c r="H51" i="6405" s="1"/>
  <c r="H17" i="6405"/>
  <c r="B14" i="6405"/>
  <c r="C14" i="6405" s="1"/>
  <c r="B13" i="6405"/>
  <c r="C13" i="6405" s="1"/>
  <c r="O12" i="6405"/>
  <c r="C12" i="6405"/>
  <c r="O11" i="6405"/>
  <c r="C11" i="6405"/>
  <c r="O10" i="6405"/>
  <c r="C10" i="6405"/>
  <c r="C9" i="6405"/>
  <c r="C8" i="6405"/>
  <c r="O7" i="6405"/>
  <c r="C7" i="6405"/>
  <c r="O6" i="6405"/>
  <c r="B6" i="6405"/>
  <c r="O5" i="6405"/>
  <c r="B5" i="6405"/>
  <c r="O4" i="6405"/>
  <c r="O3" i="6405"/>
  <c r="O2" i="6405"/>
  <c r="O20" i="6399"/>
  <c r="O26" i="6385"/>
  <c r="B24" i="6405" l="1"/>
  <c r="H22" i="6405"/>
  <c r="H30" i="6405"/>
  <c r="C40" i="6405"/>
  <c r="C42" i="6405"/>
  <c r="H8" i="6405"/>
  <c r="H9" i="6405"/>
  <c r="B22" i="6405"/>
  <c r="H6" i="6405"/>
  <c r="H25" i="6405"/>
  <c r="H45" i="6405"/>
  <c r="C36" i="6405"/>
  <c r="H15" i="6405"/>
  <c r="C44" i="6405"/>
  <c r="H10" i="6405"/>
  <c r="H18" i="6405"/>
  <c r="H12" i="6405"/>
  <c r="H48" i="6405"/>
  <c r="H2" i="6405"/>
  <c r="H20" i="6405"/>
  <c r="H27" i="6405"/>
  <c r="H37" i="6405"/>
  <c r="H11" i="6405"/>
  <c r="H41" i="6405"/>
  <c r="C32" i="6405"/>
  <c r="C15" i="6405"/>
  <c r="H33" i="6405"/>
  <c r="H7" i="6405"/>
  <c r="C34" i="6405"/>
  <c r="H3" i="6405"/>
  <c r="H13" i="6405"/>
  <c r="C18" i="6405"/>
  <c r="H28" i="6405"/>
  <c r="C38" i="6405"/>
  <c r="H52" i="6405"/>
  <c r="H21" i="6405"/>
  <c r="H24" i="6405"/>
  <c r="H5" i="6405"/>
  <c r="C33" i="6405"/>
  <c r="C37" i="6405"/>
  <c r="C41" i="6405"/>
  <c r="H46" i="6405"/>
  <c r="C19" i="6405"/>
  <c r="B23" i="6405"/>
  <c r="H29" i="6405"/>
  <c r="H34" i="6405"/>
  <c r="H38" i="6405"/>
  <c r="H42" i="6405"/>
  <c r="H47" i="6405"/>
  <c r="C20" i="6405"/>
  <c r="H35" i="6405"/>
  <c r="H39" i="6405"/>
  <c r="H43" i="6405"/>
  <c r="H49" i="6405"/>
  <c r="H16" i="6405"/>
  <c r="H19" i="6405"/>
  <c r="H23" i="6405"/>
  <c r="H26" i="6405"/>
  <c r="H31" i="6405"/>
  <c r="C35" i="6405"/>
  <c r="C39" i="6405"/>
  <c r="C43" i="6405"/>
  <c r="H50" i="6405"/>
  <c r="H4" i="6405"/>
  <c r="H14" i="6405"/>
  <c r="C17" i="6405"/>
  <c r="C21" i="6405"/>
  <c r="H32" i="6405"/>
  <c r="H36" i="6405"/>
  <c r="H40" i="6405"/>
  <c r="H44" i="6405"/>
  <c r="O22" i="6387" l="1"/>
  <c r="O16" i="6395"/>
  <c r="O15" i="6395" l="1"/>
  <c r="O19" i="6403"/>
  <c r="O15" i="6393" l="1"/>
  <c r="O22" i="6399"/>
  <c r="O16" i="6403" l="1"/>
  <c r="O23" i="6393"/>
  <c r="O20" i="6387" l="1"/>
  <c r="O17" i="6389"/>
  <c r="O15" i="6399"/>
  <c r="O23" i="6399"/>
  <c r="O19" i="6397" l="1"/>
  <c r="O19" i="6401"/>
  <c r="O18" i="6391" l="1"/>
  <c r="O17" i="6397"/>
  <c r="O17" i="6399"/>
  <c r="O19" i="6399"/>
  <c r="O16" i="6387" l="1"/>
  <c r="O16" i="6401"/>
  <c r="O20" i="6401"/>
  <c r="O18" i="6393"/>
  <c r="O22" i="6391" l="1"/>
  <c r="O20" i="6395"/>
  <c r="O23" i="6395" l="1"/>
  <c r="O22" i="6389"/>
  <c r="O25" i="6399"/>
  <c r="O17" i="6403"/>
  <c r="O15" i="6403"/>
  <c r="O21" i="6401"/>
  <c r="O15" i="6391" l="1"/>
  <c r="O20" i="6391"/>
  <c r="O18" i="6403"/>
  <c r="O20" i="6403"/>
  <c r="C40" i="6403"/>
  <c r="C30" i="6403"/>
  <c r="B25" i="6403"/>
  <c r="C16" i="6403"/>
  <c r="B15" i="6403"/>
  <c r="H51" i="6403" s="1"/>
  <c r="H19" i="6403"/>
  <c r="B14" i="6403"/>
  <c r="B24" i="6403" s="1"/>
  <c r="B13" i="6403"/>
  <c r="C13" i="6403" s="1"/>
  <c r="O12" i="6403"/>
  <c r="C12" i="6403"/>
  <c r="O11" i="6403"/>
  <c r="C11" i="6403"/>
  <c r="O10" i="6403"/>
  <c r="C10" i="6403"/>
  <c r="C9" i="6403"/>
  <c r="C8" i="6403"/>
  <c r="O7" i="6403"/>
  <c r="C7" i="6403"/>
  <c r="O6" i="6403"/>
  <c r="B6" i="6403"/>
  <c r="O5" i="6403"/>
  <c r="B5" i="6403"/>
  <c r="O4" i="6403"/>
  <c r="O3" i="6403"/>
  <c r="O2" i="6403"/>
  <c r="O21" i="6397"/>
  <c r="O15" i="6397"/>
  <c r="O16" i="6385"/>
  <c r="C14" i="6403" l="1"/>
  <c r="C20" i="6403"/>
  <c r="H30" i="6403"/>
  <c r="B22" i="6403"/>
  <c r="C42" i="6403"/>
  <c r="H26" i="6403"/>
  <c r="C44" i="6403"/>
  <c r="H14" i="6403"/>
  <c r="C32" i="6403"/>
  <c r="H45" i="6403"/>
  <c r="H3" i="6403"/>
  <c r="H12" i="6403"/>
  <c r="H48" i="6403"/>
  <c r="H41" i="6403"/>
  <c r="H17" i="6403"/>
  <c r="H20" i="6403"/>
  <c r="H5" i="6403"/>
  <c r="H13" i="6403"/>
  <c r="C36" i="6403"/>
  <c r="H2" i="6403"/>
  <c r="H10" i="6403"/>
  <c r="H37" i="6403"/>
  <c r="H6" i="6403"/>
  <c r="H11" i="6403"/>
  <c r="C15" i="6403"/>
  <c r="H8" i="6403"/>
  <c r="H33" i="6403"/>
  <c r="H7" i="6403"/>
  <c r="C34" i="6403"/>
  <c r="C18" i="6403"/>
  <c r="H27" i="6403"/>
  <c r="H23" i="6403"/>
  <c r="H28" i="6403"/>
  <c r="C38" i="6403"/>
  <c r="H52" i="6403"/>
  <c r="H22" i="6403"/>
  <c r="H25" i="6403"/>
  <c r="H9" i="6403"/>
  <c r="C33" i="6403"/>
  <c r="C37" i="6403"/>
  <c r="C41" i="6403"/>
  <c r="H46" i="6403"/>
  <c r="C19" i="6403"/>
  <c r="B23" i="6403"/>
  <c r="H29" i="6403"/>
  <c r="H34" i="6403"/>
  <c r="H38" i="6403"/>
  <c r="H42" i="6403"/>
  <c r="H47" i="6403"/>
  <c r="H35" i="6403"/>
  <c r="H39" i="6403"/>
  <c r="H43" i="6403"/>
  <c r="H49" i="6403"/>
  <c r="H18" i="6403"/>
  <c r="H21" i="6403"/>
  <c r="H24" i="6403"/>
  <c r="H15" i="6403"/>
  <c r="H31" i="6403"/>
  <c r="C35" i="6403"/>
  <c r="C39" i="6403"/>
  <c r="C43" i="6403"/>
  <c r="H50" i="6403"/>
  <c r="H4" i="6403"/>
  <c r="H16" i="6403"/>
  <c r="C17" i="6403"/>
  <c r="C21" i="6403"/>
  <c r="H32" i="6403"/>
  <c r="H36" i="6403"/>
  <c r="H40" i="6403"/>
  <c r="H44" i="6403"/>
  <c r="O18" i="6389" l="1"/>
  <c r="O20" i="6393"/>
  <c r="O21" i="6389" l="1"/>
  <c r="O22" i="6397"/>
  <c r="O24" i="6397"/>
  <c r="O18" i="6387"/>
  <c r="O17" i="6391"/>
  <c r="O17" i="6393"/>
  <c r="O21" i="6393"/>
  <c r="O17" i="6387"/>
  <c r="O16" i="6391"/>
  <c r="O16" i="6389"/>
  <c r="O22" i="6401"/>
  <c r="O23" i="6401"/>
  <c r="O19" i="6395" l="1"/>
  <c r="O17" i="6395"/>
  <c r="O15" i="6401"/>
  <c r="O18" i="6401"/>
  <c r="C30" i="6401"/>
  <c r="B25" i="6401"/>
  <c r="C16" i="6401"/>
  <c r="B15" i="6401"/>
  <c r="H51" i="6401" s="1"/>
  <c r="B14" i="6401"/>
  <c r="B24" i="6401" s="1"/>
  <c r="B13" i="6401"/>
  <c r="C13" i="6401" s="1"/>
  <c r="O12" i="6401"/>
  <c r="C12" i="6401"/>
  <c r="O11" i="6401"/>
  <c r="C11" i="6401"/>
  <c r="O10" i="6401"/>
  <c r="C10" i="6401"/>
  <c r="C9" i="6401"/>
  <c r="C8" i="6401"/>
  <c r="O7" i="6401"/>
  <c r="C7" i="6401"/>
  <c r="O6" i="6401"/>
  <c r="B6" i="6401"/>
  <c r="O5" i="6401"/>
  <c r="B5" i="6401"/>
  <c r="O4" i="6401"/>
  <c r="O3" i="6401"/>
  <c r="O2" i="6401"/>
  <c r="O17" i="6385"/>
  <c r="O21" i="6399"/>
  <c r="O24" i="6399"/>
  <c r="C30" i="6399"/>
  <c r="B25" i="6399"/>
  <c r="C16" i="6399"/>
  <c r="B15" i="6399"/>
  <c r="H5" i="6399" s="1"/>
  <c r="B14" i="6399"/>
  <c r="B24" i="6399" s="1"/>
  <c r="B13" i="6399"/>
  <c r="C13" i="6399" s="1"/>
  <c r="O12" i="6399"/>
  <c r="C12" i="6399"/>
  <c r="O11" i="6399"/>
  <c r="C11" i="6399"/>
  <c r="O10" i="6399"/>
  <c r="C10" i="6399"/>
  <c r="C9" i="6399"/>
  <c r="C8" i="6399"/>
  <c r="O7" i="6399"/>
  <c r="C7" i="6399"/>
  <c r="O6" i="6399"/>
  <c r="B6" i="6399"/>
  <c r="O5" i="6399"/>
  <c r="B5" i="6399"/>
  <c r="O4" i="6399"/>
  <c r="O3" i="6399"/>
  <c r="O2" i="6399"/>
  <c r="O21" i="6385"/>
  <c r="C14" i="6399" l="1"/>
  <c r="C14" i="6401"/>
  <c r="H23" i="6401"/>
  <c r="H3" i="6401"/>
  <c r="H19" i="6401"/>
  <c r="C19" i="6401"/>
  <c r="H10" i="6401"/>
  <c r="H35" i="6401"/>
  <c r="H40" i="6401"/>
  <c r="C15" i="6401"/>
  <c r="C44" i="6401"/>
  <c r="C20" i="6401"/>
  <c r="C34" i="6401"/>
  <c r="H9" i="6401"/>
  <c r="H22" i="6401"/>
  <c r="H36" i="6401"/>
  <c r="H49" i="6401"/>
  <c r="H29" i="6401"/>
  <c r="H2" i="6401"/>
  <c r="H48" i="6401"/>
  <c r="H24" i="6401"/>
  <c r="C21" i="6401"/>
  <c r="H31" i="6401"/>
  <c r="H37" i="6401"/>
  <c r="H6" i="6401"/>
  <c r="H15" i="6401"/>
  <c r="C36" i="6401"/>
  <c r="H43" i="6401"/>
  <c r="B22" i="6401"/>
  <c r="H33" i="6401"/>
  <c r="H38" i="6401"/>
  <c r="C42" i="6401"/>
  <c r="H20" i="6401"/>
  <c r="H41" i="6401"/>
  <c r="H12" i="6401"/>
  <c r="H30" i="6401"/>
  <c r="H50" i="6401"/>
  <c r="H8" i="6401"/>
  <c r="C17" i="6401"/>
  <c r="H25" i="6401"/>
  <c r="H18" i="6401"/>
  <c r="C32" i="6401"/>
  <c r="H39" i="6401"/>
  <c r="H44" i="6401"/>
  <c r="H5" i="6401"/>
  <c r="H17" i="6401"/>
  <c r="H46" i="6401"/>
  <c r="H4" i="6401"/>
  <c r="C40" i="6401"/>
  <c r="H42" i="6401"/>
  <c r="H7" i="6401"/>
  <c r="H21" i="6401"/>
  <c r="C18" i="6401"/>
  <c r="H34" i="6401"/>
  <c r="C38" i="6401"/>
  <c r="H45" i="6401"/>
  <c r="H52" i="6401"/>
  <c r="H26" i="6401"/>
  <c r="H28" i="6401"/>
  <c r="H11" i="6401"/>
  <c r="C33" i="6401"/>
  <c r="C37" i="6401"/>
  <c r="C41" i="6401"/>
  <c r="H47" i="6401"/>
  <c r="B23" i="6401"/>
  <c r="H16" i="6401"/>
  <c r="H13" i="6401"/>
  <c r="H27" i="6401"/>
  <c r="H14" i="6401"/>
  <c r="H32" i="6401"/>
  <c r="C35" i="6401"/>
  <c r="C39" i="6401"/>
  <c r="C43" i="6401"/>
  <c r="H2" i="6399"/>
  <c r="H11" i="6399"/>
  <c r="H32" i="6399"/>
  <c r="H19" i="6399"/>
  <c r="H42" i="6399"/>
  <c r="H12" i="6399"/>
  <c r="C15" i="6399"/>
  <c r="H35" i="6399"/>
  <c r="H4" i="6399"/>
  <c r="H6" i="6399"/>
  <c r="H46" i="6399"/>
  <c r="H25" i="6399"/>
  <c r="H38" i="6399"/>
  <c r="H10" i="6399"/>
  <c r="C18" i="6399"/>
  <c r="H9" i="6399"/>
  <c r="B22" i="6399"/>
  <c r="H52" i="6399"/>
  <c r="H27" i="6399"/>
  <c r="H29" i="6399"/>
  <c r="H8" i="6399"/>
  <c r="C33" i="6399"/>
  <c r="C37" i="6399"/>
  <c r="C41" i="6399"/>
  <c r="H47" i="6399"/>
  <c r="C19" i="6399"/>
  <c r="B23" i="6399"/>
  <c r="H33" i="6399"/>
  <c r="H22" i="6399"/>
  <c r="H39" i="6399"/>
  <c r="H43" i="6399"/>
  <c r="H48" i="6399"/>
  <c r="H3" i="6399"/>
  <c r="H26" i="6399"/>
  <c r="H13" i="6399"/>
  <c r="H30" i="6399"/>
  <c r="H16" i="6399"/>
  <c r="C34" i="6399"/>
  <c r="C38" i="6399"/>
  <c r="C42" i="6399"/>
  <c r="H49" i="6399"/>
  <c r="H50" i="6399"/>
  <c r="H24" i="6399"/>
  <c r="H17" i="6399"/>
  <c r="H28" i="6399"/>
  <c r="H15" i="6399"/>
  <c r="H21" i="6399"/>
  <c r="C35" i="6399"/>
  <c r="C39" i="6399"/>
  <c r="C43" i="6399"/>
  <c r="H51" i="6399"/>
  <c r="C20" i="6399"/>
  <c r="H36" i="6399"/>
  <c r="H40" i="6399"/>
  <c r="H44" i="6399"/>
  <c r="H7" i="6399"/>
  <c r="H18" i="6399"/>
  <c r="C17" i="6399"/>
  <c r="C21" i="6399"/>
  <c r="H34" i="6399"/>
  <c r="H37" i="6399"/>
  <c r="H41" i="6399"/>
  <c r="H45" i="6399"/>
  <c r="H23" i="6399"/>
  <c r="H20" i="6399"/>
  <c r="H14" i="6399"/>
  <c r="H31" i="6399"/>
  <c r="C32" i="6399"/>
  <c r="C36" i="6399"/>
  <c r="C40" i="6399"/>
  <c r="C44" i="6399"/>
  <c r="O23" i="6397" l="1"/>
  <c r="O18" i="6397"/>
  <c r="C30" i="6397"/>
  <c r="B25" i="6397"/>
  <c r="C16" i="6397"/>
  <c r="B15" i="6397"/>
  <c r="H52" i="6397" s="1"/>
  <c r="B14" i="6397"/>
  <c r="B24" i="6397" s="1"/>
  <c r="B13" i="6397"/>
  <c r="C13" i="6397" s="1"/>
  <c r="O12" i="6397"/>
  <c r="C12" i="6397"/>
  <c r="O11" i="6397"/>
  <c r="C11" i="6397"/>
  <c r="O10" i="6397"/>
  <c r="C10" i="6397"/>
  <c r="C9" i="6397"/>
  <c r="C8" i="6397"/>
  <c r="O7" i="6397"/>
  <c r="C7" i="6397"/>
  <c r="O6" i="6397"/>
  <c r="B6" i="6397"/>
  <c r="O5" i="6397"/>
  <c r="B5" i="6397"/>
  <c r="O4" i="6397"/>
  <c r="O3" i="6397"/>
  <c r="O2" i="6397"/>
  <c r="O22" i="6395"/>
  <c r="O18" i="6395"/>
  <c r="C30" i="6395"/>
  <c r="B25" i="6395"/>
  <c r="C16" i="6395"/>
  <c r="B15" i="6395"/>
  <c r="H52" i="6395" s="1"/>
  <c r="B14" i="6395"/>
  <c r="B24" i="6395" s="1"/>
  <c r="B13" i="6395"/>
  <c r="C13" i="6395" s="1"/>
  <c r="O12" i="6395"/>
  <c r="C12" i="6395"/>
  <c r="O11" i="6395"/>
  <c r="C11" i="6395"/>
  <c r="O10" i="6395"/>
  <c r="C10" i="6395"/>
  <c r="C9" i="6395"/>
  <c r="C8" i="6395"/>
  <c r="O7" i="6395"/>
  <c r="C7" i="6395"/>
  <c r="O6" i="6395"/>
  <c r="B6" i="6395"/>
  <c r="O5" i="6395"/>
  <c r="B5" i="6395"/>
  <c r="O4" i="6395"/>
  <c r="O3" i="6395"/>
  <c r="O2" i="6395"/>
  <c r="O18" i="6385"/>
  <c r="O19" i="6393"/>
  <c r="O16" i="6393"/>
  <c r="C30" i="6393"/>
  <c r="B25" i="6393"/>
  <c r="C16" i="6393"/>
  <c r="B15" i="6393"/>
  <c r="H18" i="6393" s="1"/>
  <c r="B14" i="6393"/>
  <c r="B24" i="6393" s="1"/>
  <c r="B13" i="6393"/>
  <c r="C13" i="6393" s="1"/>
  <c r="O12" i="6393"/>
  <c r="C12" i="6393"/>
  <c r="O11" i="6393"/>
  <c r="C11" i="6393"/>
  <c r="O10" i="6393"/>
  <c r="C10" i="6393"/>
  <c r="C9" i="6393"/>
  <c r="C8" i="6393"/>
  <c r="O7" i="6393"/>
  <c r="C7" i="6393"/>
  <c r="O6" i="6393"/>
  <c r="B6" i="6393"/>
  <c r="O5" i="6393"/>
  <c r="B5" i="6393"/>
  <c r="O4" i="6393"/>
  <c r="O3" i="6393"/>
  <c r="O2" i="6393"/>
  <c r="O23" i="6385"/>
  <c r="O24" i="6385"/>
  <c r="C14" i="6393" l="1"/>
  <c r="C14" i="6395"/>
  <c r="H3" i="6395"/>
  <c r="H6" i="6395"/>
  <c r="H2" i="6393"/>
  <c r="H16" i="6393"/>
  <c r="H9" i="6393"/>
  <c r="H43" i="6393"/>
  <c r="C34" i="6393"/>
  <c r="C19" i="6393"/>
  <c r="C36" i="6393"/>
  <c r="C42" i="6393"/>
  <c r="H8" i="6393"/>
  <c r="H35" i="6393"/>
  <c r="C18" i="6393"/>
  <c r="H24" i="6393"/>
  <c r="H29" i="6393"/>
  <c r="H30" i="6393"/>
  <c r="H10" i="6395"/>
  <c r="H17" i="6395"/>
  <c r="C14" i="6397"/>
  <c r="C21" i="6397"/>
  <c r="H4" i="6397"/>
  <c r="H43" i="6397"/>
  <c r="H28" i="6397"/>
  <c r="H14" i="6397"/>
  <c r="H30" i="6397"/>
  <c r="H11" i="6397"/>
  <c r="H7" i="6397"/>
  <c r="C34" i="6397"/>
  <c r="C42" i="6397"/>
  <c r="C40" i="6397"/>
  <c r="H45" i="6397"/>
  <c r="H25" i="6397"/>
  <c r="H3" i="6397"/>
  <c r="C17" i="6397"/>
  <c r="H26" i="6397"/>
  <c r="H38" i="6397"/>
  <c r="H15" i="6397"/>
  <c r="H34" i="6397"/>
  <c r="C36" i="6397"/>
  <c r="C44" i="6397"/>
  <c r="H6" i="6397"/>
  <c r="H12" i="6397"/>
  <c r="C15" i="6397"/>
  <c r="H36" i="6397"/>
  <c r="C19" i="6397"/>
  <c r="H20" i="6397"/>
  <c r="H40" i="6397"/>
  <c r="H48" i="6397"/>
  <c r="H27" i="6397"/>
  <c r="C32" i="6397"/>
  <c r="H10" i="6397"/>
  <c r="H21" i="6397"/>
  <c r="H2" i="6397"/>
  <c r="H18" i="6397"/>
  <c r="H19" i="6397"/>
  <c r="C38" i="6397"/>
  <c r="H17" i="6397"/>
  <c r="H31" i="6397"/>
  <c r="H33" i="6397"/>
  <c r="H8" i="6397"/>
  <c r="C33" i="6397"/>
  <c r="C37" i="6397"/>
  <c r="C41" i="6397"/>
  <c r="H47" i="6397"/>
  <c r="B23" i="6397"/>
  <c r="H49" i="6397"/>
  <c r="H9" i="6397"/>
  <c r="C20" i="6397"/>
  <c r="H37" i="6397"/>
  <c r="H41" i="6397"/>
  <c r="H44" i="6397"/>
  <c r="H50" i="6397"/>
  <c r="H23" i="6397"/>
  <c r="H16" i="6397"/>
  <c r="H32" i="6397"/>
  <c r="H13" i="6397"/>
  <c r="H22" i="6397"/>
  <c r="C35" i="6397"/>
  <c r="C39" i="6397"/>
  <c r="C43" i="6397"/>
  <c r="H51" i="6397"/>
  <c r="H5" i="6397"/>
  <c r="H29" i="6397"/>
  <c r="C18" i="6397"/>
  <c r="B22" i="6397"/>
  <c r="H24" i="6397"/>
  <c r="H35" i="6397"/>
  <c r="H39" i="6397"/>
  <c r="H42" i="6397"/>
  <c r="H46" i="6397"/>
  <c r="H16" i="6395"/>
  <c r="H23" i="6395"/>
  <c r="C17" i="6395"/>
  <c r="H39" i="6395"/>
  <c r="H29" i="6395"/>
  <c r="H11" i="6395"/>
  <c r="H20" i="6395"/>
  <c r="C38" i="6395"/>
  <c r="H2" i="6395"/>
  <c r="H5" i="6395"/>
  <c r="C19" i="6395"/>
  <c r="H43" i="6395"/>
  <c r="H35" i="6395"/>
  <c r="C42" i="6395"/>
  <c r="C15" i="6395"/>
  <c r="H26" i="6395"/>
  <c r="H45" i="6395"/>
  <c r="C34" i="6395"/>
  <c r="C44" i="6395"/>
  <c r="H14" i="6395"/>
  <c r="H4" i="6395"/>
  <c r="H21" i="6395"/>
  <c r="H30" i="6395"/>
  <c r="H48" i="6395"/>
  <c r="H12" i="6395"/>
  <c r="H31" i="6395"/>
  <c r="H25" i="6395"/>
  <c r="C36" i="6395"/>
  <c r="H49" i="6395"/>
  <c r="C21" i="6395"/>
  <c r="H28" i="6395"/>
  <c r="H41" i="6395"/>
  <c r="H13" i="6395"/>
  <c r="C32" i="6395"/>
  <c r="C40" i="6395"/>
  <c r="H7" i="6395"/>
  <c r="H33" i="6395"/>
  <c r="H22" i="6395"/>
  <c r="H8" i="6395"/>
  <c r="C33" i="6395"/>
  <c r="C37" i="6395"/>
  <c r="C41" i="6395"/>
  <c r="H47" i="6395"/>
  <c r="B23" i="6395"/>
  <c r="H9" i="6395"/>
  <c r="C20" i="6395"/>
  <c r="H37" i="6395"/>
  <c r="H40" i="6395"/>
  <c r="H44" i="6395"/>
  <c r="H50" i="6395"/>
  <c r="H24" i="6395"/>
  <c r="H19" i="6395"/>
  <c r="H34" i="6395"/>
  <c r="H15" i="6395"/>
  <c r="H18" i="6395"/>
  <c r="C35" i="6395"/>
  <c r="C39" i="6395"/>
  <c r="C43" i="6395"/>
  <c r="H51" i="6395"/>
  <c r="H32" i="6395"/>
  <c r="C18" i="6395"/>
  <c r="B22" i="6395"/>
  <c r="H27" i="6395"/>
  <c r="H36" i="6395"/>
  <c r="H38" i="6395"/>
  <c r="H42" i="6395"/>
  <c r="H46" i="6395"/>
  <c r="C44" i="6393"/>
  <c r="H12" i="6393"/>
  <c r="H31" i="6393"/>
  <c r="H38" i="6393"/>
  <c r="H46" i="6393"/>
  <c r="B22" i="6393"/>
  <c r="H48" i="6393"/>
  <c r="H25" i="6393"/>
  <c r="C15" i="6393"/>
  <c r="B23" i="6393"/>
  <c r="C38" i="6393"/>
  <c r="H49" i="6393"/>
  <c r="H10" i="6393"/>
  <c r="H20" i="6393"/>
  <c r="C40" i="6393"/>
  <c r="H5" i="6393"/>
  <c r="H3" i="6393"/>
  <c r="H23" i="6393"/>
  <c r="H21" i="6393"/>
  <c r="H39" i="6393"/>
  <c r="H6" i="6393"/>
  <c r="H14" i="6393"/>
  <c r="C32" i="6393"/>
  <c r="H4" i="6393"/>
  <c r="H17" i="6393"/>
  <c r="H34" i="6393"/>
  <c r="H42" i="6393"/>
  <c r="H52" i="6393"/>
  <c r="H26" i="6393"/>
  <c r="H28" i="6393"/>
  <c r="H11" i="6393"/>
  <c r="C33" i="6393"/>
  <c r="C37" i="6393"/>
  <c r="C41" i="6393"/>
  <c r="H47" i="6393"/>
  <c r="H36" i="6393"/>
  <c r="H40" i="6393"/>
  <c r="H44" i="6393"/>
  <c r="H50" i="6393"/>
  <c r="H19" i="6393"/>
  <c r="H15" i="6393"/>
  <c r="H27" i="6393"/>
  <c r="H13" i="6393"/>
  <c r="H32" i="6393"/>
  <c r="C35" i="6393"/>
  <c r="C39" i="6393"/>
  <c r="C43" i="6393"/>
  <c r="H51" i="6393"/>
  <c r="C20" i="6393"/>
  <c r="H7" i="6393"/>
  <c r="H22" i="6393"/>
  <c r="C17" i="6393"/>
  <c r="C21" i="6393"/>
  <c r="H33" i="6393"/>
  <c r="H37" i="6393"/>
  <c r="H41" i="6393"/>
  <c r="H45" i="6393"/>
  <c r="O23" i="6391" l="1"/>
  <c r="O19" i="6391"/>
  <c r="C30" i="6391"/>
  <c r="B25" i="6391"/>
  <c r="C16" i="6391"/>
  <c r="B15" i="6391"/>
  <c r="H19" i="6391" s="1"/>
  <c r="B14" i="6391"/>
  <c r="B24" i="6391" s="1"/>
  <c r="B13" i="6391"/>
  <c r="C13" i="6391" s="1"/>
  <c r="O12" i="6391"/>
  <c r="C12" i="6391"/>
  <c r="O11" i="6391"/>
  <c r="C11" i="6391"/>
  <c r="O10" i="6391"/>
  <c r="C10" i="6391"/>
  <c r="C9" i="6391"/>
  <c r="C8" i="6391"/>
  <c r="O7" i="6391"/>
  <c r="C7" i="6391"/>
  <c r="O6" i="6391"/>
  <c r="B6" i="6391"/>
  <c r="O5" i="6391"/>
  <c r="B5" i="6391"/>
  <c r="O4" i="6391"/>
  <c r="O3" i="6391"/>
  <c r="O2" i="6391"/>
  <c r="O20" i="6389"/>
  <c r="O19" i="6389"/>
  <c r="C30" i="6389"/>
  <c r="B25" i="6389"/>
  <c r="C16" i="6389"/>
  <c r="B15" i="6389"/>
  <c r="H52" i="6389" s="1"/>
  <c r="C14" i="6389"/>
  <c r="B14" i="6389"/>
  <c r="B13" i="6389"/>
  <c r="C13" i="6389" s="1"/>
  <c r="O12" i="6389"/>
  <c r="C12" i="6389"/>
  <c r="O11" i="6389"/>
  <c r="C11" i="6389"/>
  <c r="O10" i="6389"/>
  <c r="C10" i="6389"/>
  <c r="C9" i="6389"/>
  <c r="C8" i="6389"/>
  <c r="O7" i="6389"/>
  <c r="C7" i="6389"/>
  <c r="O6" i="6389"/>
  <c r="B6" i="6389"/>
  <c r="O5" i="6389"/>
  <c r="B5" i="6389"/>
  <c r="O4" i="6389"/>
  <c r="O3" i="6389"/>
  <c r="O2" i="6389"/>
  <c r="O19" i="6385"/>
  <c r="O19" i="6387"/>
  <c r="O21" i="6387"/>
  <c r="C30" i="6387"/>
  <c r="B25" i="6387"/>
  <c r="C16" i="6387"/>
  <c r="B15" i="6387"/>
  <c r="H50" i="6387" s="1"/>
  <c r="B14" i="6387"/>
  <c r="B24" i="6387" s="1"/>
  <c r="B13" i="6387"/>
  <c r="C13" i="6387" s="1"/>
  <c r="O12" i="6387"/>
  <c r="C12" i="6387"/>
  <c r="O11" i="6387"/>
  <c r="C11" i="6387"/>
  <c r="O10" i="6387"/>
  <c r="C10" i="6387"/>
  <c r="C9" i="6387"/>
  <c r="C8" i="6387"/>
  <c r="O7" i="6387"/>
  <c r="C7" i="6387"/>
  <c r="O6" i="6387"/>
  <c r="B6" i="6387"/>
  <c r="O5" i="6387"/>
  <c r="B5" i="6387"/>
  <c r="O4" i="6387"/>
  <c r="O3" i="6387"/>
  <c r="O2" i="6387"/>
  <c r="O22" i="6385"/>
  <c r="O25" i="6385"/>
  <c r="C30" i="6385"/>
  <c r="B25" i="6385"/>
  <c r="C16" i="6385"/>
  <c r="B15" i="6385"/>
  <c r="H17" i="6385" s="1"/>
  <c r="B14" i="6385"/>
  <c r="B24" i="6385" s="1"/>
  <c r="B13" i="6385"/>
  <c r="C13" i="6385" s="1"/>
  <c r="O12" i="6385"/>
  <c r="C12" i="6385"/>
  <c r="O11" i="6385"/>
  <c r="C11" i="6385"/>
  <c r="O10" i="6385"/>
  <c r="C10" i="6385"/>
  <c r="C9" i="6385"/>
  <c r="C8" i="6385"/>
  <c r="O7" i="6385"/>
  <c r="C7" i="6385"/>
  <c r="O6" i="6385"/>
  <c r="B6" i="6385"/>
  <c r="O5" i="6385"/>
  <c r="B5" i="6385"/>
  <c r="O4" i="6385"/>
  <c r="O3" i="6385"/>
  <c r="O2" i="6385"/>
  <c r="C14" i="6391" l="1"/>
  <c r="C14" i="6385"/>
  <c r="C14" i="6387"/>
  <c r="H27" i="6387"/>
  <c r="H44" i="6391"/>
  <c r="C43" i="6391"/>
  <c r="H39" i="6391"/>
  <c r="H11" i="6391"/>
  <c r="H25" i="6391"/>
  <c r="H32" i="6391"/>
  <c r="H27" i="6391"/>
  <c r="H40" i="6391"/>
  <c r="C44" i="6391"/>
  <c r="H5" i="6391"/>
  <c r="H17" i="6391"/>
  <c r="C15" i="6391"/>
  <c r="H30" i="6391"/>
  <c r="H3" i="6391"/>
  <c r="H14" i="6391"/>
  <c r="H33" i="6391"/>
  <c r="C34" i="6391"/>
  <c r="C39" i="6391"/>
  <c r="H46" i="6391"/>
  <c r="C20" i="6391"/>
  <c r="H12" i="6391"/>
  <c r="H8" i="6391"/>
  <c r="H22" i="6391"/>
  <c r="H15" i="6391"/>
  <c r="B22" i="6391"/>
  <c r="H23" i="6391"/>
  <c r="H36" i="6391"/>
  <c r="C40" i="6391"/>
  <c r="H49" i="6391"/>
  <c r="C32" i="6391"/>
  <c r="H35" i="6391"/>
  <c r="H18" i="6391"/>
  <c r="C35" i="6391"/>
  <c r="H51" i="6391"/>
  <c r="H13" i="6391"/>
  <c r="C38" i="6391"/>
  <c r="H16" i="6391"/>
  <c r="C18" i="6391"/>
  <c r="H31" i="6391"/>
  <c r="C36" i="6391"/>
  <c r="H43" i="6391"/>
  <c r="H4" i="6391"/>
  <c r="H21" i="6391"/>
  <c r="H6" i="6391"/>
  <c r="H2" i="6391"/>
  <c r="B23" i="6391"/>
  <c r="H42" i="6391"/>
  <c r="H10" i="6391"/>
  <c r="H28" i="6391"/>
  <c r="C19" i="6391"/>
  <c r="H20" i="6391"/>
  <c r="H38" i="6391"/>
  <c r="C42" i="6391"/>
  <c r="H52" i="6391"/>
  <c r="H29" i="6391"/>
  <c r="H26" i="6391"/>
  <c r="H9" i="6391"/>
  <c r="C33" i="6391"/>
  <c r="C37" i="6391"/>
  <c r="C41" i="6391"/>
  <c r="H47" i="6391"/>
  <c r="H48" i="6391"/>
  <c r="H50" i="6391"/>
  <c r="H7" i="6391"/>
  <c r="H24" i="6391"/>
  <c r="C17" i="6391"/>
  <c r="C21" i="6391"/>
  <c r="H34" i="6391"/>
  <c r="H37" i="6391"/>
  <c r="H41" i="6391"/>
  <c r="H45" i="6391"/>
  <c r="H35" i="6385"/>
  <c r="H42" i="6389"/>
  <c r="C32" i="6389"/>
  <c r="H27" i="6389"/>
  <c r="H44" i="6389"/>
  <c r="C21" i="6389"/>
  <c r="H4" i="6389"/>
  <c r="H22" i="6389"/>
  <c r="H10" i="6389"/>
  <c r="H6" i="6389"/>
  <c r="C34" i="6389"/>
  <c r="C42" i="6389"/>
  <c r="H12" i="6389"/>
  <c r="C40" i="6389"/>
  <c r="H3" i="6389"/>
  <c r="C17" i="6389"/>
  <c r="H28" i="6389"/>
  <c r="H38" i="6389"/>
  <c r="H46" i="6389"/>
  <c r="H7" i="6389"/>
  <c r="C15" i="6389"/>
  <c r="H23" i="6389"/>
  <c r="H2" i="6389"/>
  <c r="C44" i="6389"/>
  <c r="H14" i="6389"/>
  <c r="H11" i="6389"/>
  <c r="H29" i="6389"/>
  <c r="B23" i="6389"/>
  <c r="C19" i="6389"/>
  <c r="H40" i="6389"/>
  <c r="H48" i="6389"/>
  <c r="H35" i="6389"/>
  <c r="H25" i="6389"/>
  <c r="H21" i="6389"/>
  <c r="C36" i="6389"/>
  <c r="H18" i="6389"/>
  <c r="H31" i="6389"/>
  <c r="H17" i="6389"/>
  <c r="C38" i="6389"/>
  <c r="H16" i="6389"/>
  <c r="H33" i="6389"/>
  <c r="H24" i="6389"/>
  <c r="H8" i="6389"/>
  <c r="C33" i="6389"/>
  <c r="C37" i="6389"/>
  <c r="C41" i="6389"/>
  <c r="H47" i="6389"/>
  <c r="H49" i="6389"/>
  <c r="H9" i="6389"/>
  <c r="C20" i="6389"/>
  <c r="B24" i="6389"/>
  <c r="H37" i="6389"/>
  <c r="H41" i="6389"/>
  <c r="H45" i="6389"/>
  <c r="H50" i="6389"/>
  <c r="H20" i="6389"/>
  <c r="H15" i="6389"/>
  <c r="H34" i="6389"/>
  <c r="H13" i="6389"/>
  <c r="H19" i="6389"/>
  <c r="C35" i="6389"/>
  <c r="C39" i="6389"/>
  <c r="C43" i="6389"/>
  <c r="H51" i="6389"/>
  <c r="H5" i="6389"/>
  <c r="H32" i="6389"/>
  <c r="C18" i="6389"/>
  <c r="B22" i="6389"/>
  <c r="H26" i="6389"/>
  <c r="H36" i="6389"/>
  <c r="H39" i="6389"/>
  <c r="H43" i="6389"/>
  <c r="H30" i="6389"/>
  <c r="H6" i="6387"/>
  <c r="C19" i="6387"/>
  <c r="H10" i="6387"/>
  <c r="H25" i="6387"/>
  <c r="H34" i="6387"/>
  <c r="H39" i="6387"/>
  <c r="C44" i="6387"/>
  <c r="C34" i="6387"/>
  <c r="H40" i="6387"/>
  <c r="H45" i="6387"/>
  <c r="H14" i="6387"/>
  <c r="H18" i="6387"/>
  <c r="H35" i="6387"/>
  <c r="H47" i="6387"/>
  <c r="H13" i="6387"/>
  <c r="C20" i="6387"/>
  <c r="H31" i="6387"/>
  <c r="C40" i="6387"/>
  <c r="H23" i="6387"/>
  <c r="C21" i="6387"/>
  <c r="H17" i="6387"/>
  <c r="H36" i="6387"/>
  <c r="H41" i="6387"/>
  <c r="H48" i="6387"/>
  <c r="H5" i="6387"/>
  <c r="H42" i="6387"/>
  <c r="H49" i="6387"/>
  <c r="H8" i="6387"/>
  <c r="C17" i="6387"/>
  <c r="B22" i="6387"/>
  <c r="H22" i="6387"/>
  <c r="H37" i="6387"/>
  <c r="C42" i="6387"/>
  <c r="H51" i="6387"/>
  <c r="H21" i="6387"/>
  <c r="H9" i="6387"/>
  <c r="H2" i="6387"/>
  <c r="H38" i="6387"/>
  <c r="H43" i="6387"/>
  <c r="H4" i="6387"/>
  <c r="C15" i="6387"/>
  <c r="H3" i="6387"/>
  <c r="H11" i="6387"/>
  <c r="C36" i="6387"/>
  <c r="H16" i="6387"/>
  <c r="H30" i="6387"/>
  <c r="C32" i="6387"/>
  <c r="H7" i="6387"/>
  <c r="H26" i="6387"/>
  <c r="C18" i="6387"/>
  <c r="H33" i="6387"/>
  <c r="C38" i="6387"/>
  <c r="H44" i="6387"/>
  <c r="H52" i="6387"/>
  <c r="H28" i="6387"/>
  <c r="H24" i="6387"/>
  <c r="H12" i="6387"/>
  <c r="C33" i="6387"/>
  <c r="C37" i="6387"/>
  <c r="C41" i="6387"/>
  <c r="H46" i="6387"/>
  <c r="B23" i="6387"/>
  <c r="H19" i="6387"/>
  <c r="H20" i="6387"/>
  <c r="H29" i="6387"/>
  <c r="H15" i="6387"/>
  <c r="H32" i="6387"/>
  <c r="C35" i="6387"/>
  <c r="C39" i="6387"/>
  <c r="C43" i="6387"/>
  <c r="B22" i="6385"/>
  <c r="H10" i="6385"/>
  <c r="C36" i="6385"/>
  <c r="H40" i="6385"/>
  <c r="H24" i="6385"/>
  <c r="C15" i="6385"/>
  <c r="H28" i="6385"/>
  <c r="H27" i="6385"/>
  <c r="C44" i="6385"/>
  <c r="H12" i="6385"/>
  <c r="H19" i="6385"/>
  <c r="H34" i="6385"/>
  <c r="C18" i="6385"/>
  <c r="H5" i="6385"/>
  <c r="C40" i="6385"/>
  <c r="H11" i="6385"/>
  <c r="H43" i="6385"/>
  <c r="H4" i="6385"/>
  <c r="H6" i="6385"/>
  <c r="C32" i="6385"/>
  <c r="H13" i="6385"/>
  <c r="H38" i="6385"/>
  <c r="H52" i="6385"/>
  <c r="H36" i="6385"/>
  <c r="H25" i="6385"/>
  <c r="H8" i="6385"/>
  <c r="C33" i="6385"/>
  <c r="C37" i="6385"/>
  <c r="C41" i="6385"/>
  <c r="H47" i="6385"/>
  <c r="C19" i="6385"/>
  <c r="B23" i="6385"/>
  <c r="H29" i="6385"/>
  <c r="H30" i="6385"/>
  <c r="H41" i="6385"/>
  <c r="H44" i="6385"/>
  <c r="H48" i="6385"/>
  <c r="H2" i="6385"/>
  <c r="H3" i="6385"/>
  <c r="H26" i="6385"/>
  <c r="H22" i="6385"/>
  <c r="C34" i="6385"/>
  <c r="C42" i="6385"/>
  <c r="H49" i="6385"/>
  <c r="H9" i="6385"/>
  <c r="C20" i="6385"/>
  <c r="H39" i="6385"/>
  <c r="H42" i="6385"/>
  <c r="H45" i="6385"/>
  <c r="H50" i="6385"/>
  <c r="H16" i="6385"/>
  <c r="H18" i="6385"/>
  <c r="C38" i="6385"/>
  <c r="H20" i="6385"/>
  <c r="H15" i="6385"/>
  <c r="H37" i="6385"/>
  <c r="H14" i="6385"/>
  <c r="H21" i="6385"/>
  <c r="C35" i="6385"/>
  <c r="C39" i="6385"/>
  <c r="C43" i="6385"/>
  <c r="H51" i="6385"/>
  <c r="H7" i="6385"/>
  <c r="H23" i="6385"/>
  <c r="C17" i="6385"/>
  <c r="C21" i="6385"/>
  <c r="H31" i="6385"/>
  <c r="H32" i="6385"/>
  <c r="H33" i="6385"/>
  <c r="H46" i="638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<sst xmlns="http://schemas.openxmlformats.org/spreadsheetml/2006/main" count="3910" uniqueCount="317">
  <si>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</si>
  <si>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</si>
  <si>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</si>
  <si>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</si>
  <si>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</si>
  <si>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</si>
  <si>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</si>
  <si>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</si>
  <si>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</si>
  <si>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</si>
  <si>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</si>
  <si>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</si>
  <si>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</si>
  <si>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</si>
  <si>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</si>
  <si>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</si>
  <si>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</si>
  <si>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</si>
  <si>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</si>
  <si>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</si>
  <si>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</si>
  <si>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</si>
  <si>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</si>
  <si>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</si>
  <si>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</si>
  <si>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</si>
  <si>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</si>
  <si>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</si>
  <si>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</si>
  <si>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</si>
  <si>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</si>
  <si>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</si>
  <si>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</si>
  <si>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</si>
  <si>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</si>
  <si>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</si>
  <si>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</si>
  <si>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</si>
  <si>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</si>
  <si>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</si>
  <si>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</si>
  <si>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</si>
  <si>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</si>
  <si>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</si>
  <si>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</si>
  <si>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</si>
  <si>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</si>
  <si>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</si>
  <si>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</si>
  <si>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</si>
  <si>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</si>
  <si>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</si>
  <si>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</si>
  <si>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</si>
  <si>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</si>
  <si>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</si>
  <si>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</si>
  <si>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</si>
  <si>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</si>
  <si>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</si>
  <si>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</si>
  <si>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</si>
  <si>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</si>
  <si>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</si>
  <si>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</si>
  <si>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</si>
  <si>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</si>
  <si>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</si>
  <si>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</si>
  <si>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</si>
  <si>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</si>
  <si>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</si>
  <si>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</si>
  <si>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</si>
  <si>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</si>
  <si>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</si>
  <si>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</si>
  <si>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</si>
  <si>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</si>
  <si>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</si>
  <si>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</si>
  <si>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</si>
  <si>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</si>
  <si>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</si>
  <si>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</si>
  <si>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</si>
  <si>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</si>
  <si>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</si>
  <si>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</si>
  <si>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</si>
  <si>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</si>
  <si>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</si>
  <si>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</si>
  <si>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</si>
  <si>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</si>
  <si>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</si>
  <si>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</si>
  <si>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</si>
  <si>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</si>
  <si>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</si>
  <si>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</si>
  <si>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</si>
  <si>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</si>
  <si>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</si>
  <si>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</si>
  <si>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</si>
  <si>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</si>
  <si>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</si>
  <si>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</si>
  <si>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</si>
  <si>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</si>
  <si>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</si>
  <si>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</si>
  <si>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</si>
  <si>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</si>
  <si>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</si>
  <si>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</si>
  <si>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</si>
  <si>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</si>
  <si>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</si>
  <si>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</si>
  <si>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</si>
  <si>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</si>
  <si>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</si>
  <si>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</si>
  <si>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</si>
  <si>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</si>
  <si>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</si>
  <si>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</si>
  <si>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</si>
  <si>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</si>
  <si>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</si>
  <si>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</si>
  <si>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</si>
  <si>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</si>
  <si>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</si>
  <si>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</si>
  <si>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</si>
  <si>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</si>
  <si>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</si>
  <si>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</si>
  <si>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</si>
  <si>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</si>
  <si>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</si>
  <si>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</si>
  <si>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</si>
  <si>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</si>
  <si>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</si>
  <si>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</si>
  <si>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</si>
  <si>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</si>
  <si>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</si>
  <si>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</si>
  <si>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</si>
  <si>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</si>
  <si>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</si>
  <si>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</si>
  <si>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</si>
  <si>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</si>
  <si>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</si>
  <si>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</si>
  <si>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</si>
  <si>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</si>
  <si>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</si>
  <si>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</si>
  <si>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</si>
  <si>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</si>
  <si>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</si>
  <si>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</si>
  <si>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</si>
  <si>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</si>
  <si>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</si>
  <si>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</si>
  <si>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</si>
  <si>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</si>
  <si>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</si>
  <si>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</si>
  <si>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</si>
  <si>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</si>
  <si>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</si>
  <si>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</si>
  <si>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</si>
  <si>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</si>
  <si>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</si>
  <si>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</si>
  <si>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</si>
  <si>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</si>
  <si>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</si>
  <si>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</si>
  <si>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</si>
  <si>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</si>
  <si>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</si>
  <si>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</si>
  <si>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</si>
  <si>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</si>
  <si>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</si>
  <si>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</si>
  <si>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</si>
  <si>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</si>
  <si>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</si>
  <si>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ともき</t>
  </si>
  <si>
    <t>たか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</si>
  <si>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</si>
  <si>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</si>
  <si>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</si>
  <si>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</si>
  <si>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</si>
  <si>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</si>
  <si>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</si>
  <si>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</si>
  <si>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</si>
  <si>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</si>
  <si>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</si>
  <si>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</si>
  <si>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</si>
  <si>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</si>
  <si>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</si>
  <si>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</si>
  <si>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</si>
  <si>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</si>
  <si>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</si>
  <si>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</si>
  <si>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</si>
  <si>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</si>
  <si>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</si>
  <si>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</si>
  <si>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</si>
  <si>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</si>
  <si>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</si>
  <si>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</si>
  <si>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</si>
  <si>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</si>
  <si>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</si>
  <si>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</si>
  <si>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</si>
  <si>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</si>
  <si>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</si>
  <si>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</si>
  <si>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</si>
  <si>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</si>
  <si>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</si>
  <si>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</si>
  <si>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</si>
  <si>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</si>
  <si>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</si>
  <si>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</si>
  <si>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</si>
  <si>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</si>
  <si>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</si>
  <si>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</si>
  <si>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</si>
  <si>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</si>
  <si>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</si>
  <si>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</si>
  <si>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</si>
  <si>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</si>
  <si>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</si>
  <si>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</si>
  <si>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</si>
  <si>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</si>
  <si>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</si>
  <si>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</si>
  <si>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</si>
  <si>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</si>
  <si>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</si>
  <si>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</si>
  <si>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</si>
  <si>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</si>
  <si>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</si>
  <si>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</si>
  <si>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</si>
  <si>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</si>
  <si>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</si>
  <si>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</si>
  <si>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</si>
  <si>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</si>
  <si>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</si>
  <si>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</si>
  <si>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</si>
  <si>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</si>
  <si>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</si>
  <si>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</si>
  <si>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</si>
  <si>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</si>
  <si>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</si>
  <si>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</si>
  <si>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</si>
  <si>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</si>
  <si>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</si>
  <si>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</si>
  <si>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</si>
  <si>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</si>
  <si>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</si>
  <si>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</si>
  <si>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</si>
  <si>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</si>
  <si>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</si>
  <si>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</si>
  <si>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</si>
  <si>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</si>
  <si>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</si>
  <si>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</si>
  <si>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</si>
  <si>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</si>
  <si>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</si>
  <si>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</si>
  <si>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</si>
  <si>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</si>
  <si>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</si>
  <si>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</si>
  <si>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</si>
  <si>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</si>
  <si>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</si>
  <si>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2020-02-01@2.xlsm</t>
  </si>
  <si>
    <t>2020-02-03@5.xlsm</t>
  </si>
  <si>
    <t>2020-02-04@2.xlsm</t>
  </si>
  <si>
    <t>2020-02-05@2.xlsm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</si>
</sst>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全体!$K$2:$K$1037</c:f>
              <c:numCache>
                <c:formatCode>General</c:formatCode>
                <c:ptCount val="10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</c:numCache>
            </c:numRef>
          </c:xVal>
          <c:yVal>
            <c:numRef>
              <c:f>全体!$L$2:$L$1037</c:f>
              <c:numCache>
                <c:formatCode>\+0.0;\-0.0;\±0</c:formatCode>
                <c:ptCount val="103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4-4A07-9B11-651B90BD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-29.154518950437318</c:v>
                </c:pt>
                <c:pt idx="1">
                  <c:v>9.8911968348170127</c:v>
                </c:pt>
                <c:pt idx="2">
                  <c:v>-1.0515247108307044</c:v>
                </c:pt>
                <c:pt idx="3">
                  <c:v>-1.1261261261261262</c:v>
                </c:pt>
                <c:pt idx="4">
                  <c:v>9.7680097680097688</c:v>
                </c:pt>
                <c:pt idx="5">
                  <c:v>19.174041297935105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B-43F3-85F0-84632ECB0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198</c:v>
                </c:pt>
                <c:pt idx="1">
                  <c:v>435</c:v>
                </c:pt>
                <c:pt idx="2">
                  <c:v>488</c:v>
                </c:pt>
                <c:pt idx="3">
                  <c:v>456</c:v>
                </c:pt>
                <c:pt idx="4">
                  <c:v>395</c:v>
                </c:pt>
                <c:pt idx="5">
                  <c:v>268</c:v>
                </c:pt>
                <c:pt idx="6">
                  <c:v>132</c:v>
                </c:pt>
                <c:pt idx="7">
                  <c:v>74</c:v>
                </c:pt>
                <c:pt idx="8">
                  <c:v>34</c:v>
                </c:pt>
                <c:pt idx="9">
                  <c:v>12</c:v>
                </c:pt>
                <c:pt idx="10">
                  <c:v>9</c:v>
                </c:pt>
                <c:pt idx="11">
                  <c:v>6</c:v>
                </c:pt>
                <c:pt idx="1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C-4F94-B721-ECA64604A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たかの!$L$2:$L$91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A6-426B-A931-D44298E76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2286.5168539325841</c:v>
                </c:pt>
                <c:pt idx="1">
                  <c:v>-2071.2643678160921</c:v>
                </c:pt>
                <c:pt idx="2">
                  <c:v>-2372.9411764705883</c:v>
                </c:pt>
                <c:pt idx="3">
                  <c:v>-1037.9746835443038</c:v>
                </c:pt>
                <c:pt idx="4">
                  <c:v>-93.506493506493513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B-4B39-9BB5-27BA2154B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45</c:v>
                </c:pt>
                <c:pt idx="2">
                  <c:v>44</c:v>
                </c:pt>
                <c:pt idx="3">
                  <c:v>40</c:v>
                </c:pt>
                <c:pt idx="4">
                  <c:v>22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5-455E-8762-39EA3736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だいち!$K$2:$K$209</c:f>
              <c:numCache>
                <c:formatCode>General</c:formatCode>
                <c:ptCount val="2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</c:numCache>
            </c:numRef>
          </c:xVal>
          <c:yVal>
            <c:numRef>
              <c:f>だいち!$L$2:$L$209</c:f>
              <c:numCache>
                <c:formatCode>\+0.0;\-0.0;\±0</c:formatCode>
                <c:ptCount val="20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FE-439B-827D-B209CBCAA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1366.990291262136</c:v>
                </c:pt>
                <c:pt idx="1">
                  <c:v>1723.6453201970444</c:v>
                </c:pt>
                <c:pt idx="2">
                  <c:v>1193.8461538461538</c:v>
                </c:pt>
                <c:pt idx="3">
                  <c:v>162.08791208791209</c:v>
                </c:pt>
                <c:pt idx="4">
                  <c:v>1643.7869822485206</c:v>
                </c:pt>
                <c:pt idx="5">
                  <c:v>2038.4057971014493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EC-4413-A73B-37A1E20B7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55</c:v>
                </c:pt>
                <c:pt idx="1">
                  <c:v>109</c:v>
                </c:pt>
                <c:pt idx="2">
                  <c:v>116</c:v>
                </c:pt>
                <c:pt idx="3">
                  <c:v>106</c:v>
                </c:pt>
                <c:pt idx="4">
                  <c:v>86</c:v>
                </c:pt>
                <c:pt idx="5">
                  <c:v>56</c:v>
                </c:pt>
                <c:pt idx="6">
                  <c:v>27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C0-4AF0-A314-6E8712814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6-4812-A120-0E3354AD1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-1120.3389830508474</c:v>
                </c:pt>
                <c:pt idx="1">
                  <c:v>1104.0229885057472</c:v>
                </c:pt>
                <c:pt idx="2">
                  <c:v>-244.44444444444446</c:v>
                </c:pt>
                <c:pt idx="3">
                  <c:v>102.59740259740259</c:v>
                </c:pt>
                <c:pt idx="4">
                  <c:v>-1502.127659574468</c:v>
                </c:pt>
                <c:pt idx="5">
                  <c:v>1161.3445378151262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0-45CF-B31B-1C18C8038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37</c:v>
                </c:pt>
                <c:pt idx="1">
                  <c:v>90</c:v>
                </c:pt>
                <c:pt idx="2">
                  <c:v>100</c:v>
                </c:pt>
                <c:pt idx="3">
                  <c:v>93</c:v>
                </c:pt>
                <c:pt idx="4">
                  <c:v>65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8-4997-93E3-A11DFFC35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りくと!$L$2:$L$104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9-44DB-85F5-AE90287E9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-722.77227722772273</c:v>
                </c:pt>
                <c:pt idx="1">
                  <c:v>-772.2772277227723</c:v>
                </c:pt>
                <c:pt idx="2">
                  <c:v>412.63157894736844</c:v>
                </c:pt>
                <c:pt idx="3">
                  <c:v>-763.44086021505382</c:v>
                </c:pt>
                <c:pt idx="4">
                  <c:v>-2801.1363636363635</c:v>
                </c:pt>
                <c:pt idx="5">
                  <c:v>-1762.3376623376623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5C-4406-BDB1-046FA8C9C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18</c:v>
                </c:pt>
                <c:pt idx="1">
                  <c:v>39</c:v>
                </c:pt>
                <c:pt idx="2">
                  <c:v>53</c:v>
                </c:pt>
                <c:pt idx="3">
                  <c:v>36</c:v>
                </c:pt>
                <c:pt idx="4">
                  <c:v>40</c:v>
                </c:pt>
                <c:pt idx="5">
                  <c:v>23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73-4E9D-A204-8D3FAC491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れんたろう!$K$2:$K$157</c:f>
              <c:numCache>
                <c:formatCode>General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れんたろう!$L$2:$L$157</c:f>
              <c:numCache>
                <c:formatCode>\+0.0;\-0.0;\±0</c:formatCode>
                <c:ptCount val="15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5-472A-AB4B-6B4C900E6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1777.922077922078</c:v>
                </c:pt>
                <c:pt idx="1">
                  <c:v>-2359.3333333333335</c:v>
                </c:pt>
                <c:pt idx="2">
                  <c:v>191.1764705882353</c:v>
                </c:pt>
                <c:pt idx="3">
                  <c:v>2186.4</c:v>
                </c:pt>
                <c:pt idx="4">
                  <c:v>1555.7522123893805</c:v>
                </c:pt>
                <c:pt idx="5">
                  <c:v>514.11764705882354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8-45F9-8901-D5EA9A6CA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27</c:v>
                </c:pt>
                <c:pt idx="2">
                  <c:v>46</c:v>
                </c:pt>
                <c:pt idx="3">
                  <c:v>64</c:v>
                </c:pt>
                <c:pt idx="4">
                  <c:v>73</c:v>
                </c:pt>
                <c:pt idx="5">
                  <c:v>48</c:v>
                </c:pt>
                <c:pt idx="6">
                  <c:v>26</c:v>
                </c:pt>
                <c:pt idx="7">
                  <c:v>22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FF8-8EF9-957AAAFEC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まっつん!$L$2:$L$158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D-4F70-92F5-5F862DB7B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-417.94871794871796</c:v>
                </c:pt>
                <c:pt idx="1">
                  <c:v>578.43137254901956</c:v>
                </c:pt>
                <c:pt idx="2">
                  <c:v>157.63888888888889</c:v>
                </c:pt>
                <c:pt idx="3">
                  <c:v>237.69230769230768</c:v>
                </c:pt>
                <c:pt idx="4">
                  <c:v>145.76271186440678</c:v>
                </c:pt>
                <c:pt idx="5">
                  <c:v>-990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B-41A6-B3A1-A6706146D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67</c:v>
                </c:pt>
                <c:pt idx="4">
                  <c:v>49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8-4DD0-803D-8370A8DD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B8-4DE6-ACA1-739060998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-3816.4383561643835</c:v>
                </c:pt>
                <c:pt idx="1">
                  <c:v>1436.1111111111111</c:v>
                </c:pt>
                <c:pt idx="2">
                  <c:v>-1208.8235294117646</c:v>
                </c:pt>
                <c:pt idx="3">
                  <c:v>-1706.5573770491803</c:v>
                </c:pt>
                <c:pt idx="4">
                  <c:v>-1807.0175438596491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B-4958-A086-19BB8CD3E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9-4E83-B3FF-7F721976A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2-4ADD-BB79-6702FA4D3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7-4731-881B-7F853D069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1-4153-AFEE-F76C74161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82-4FC5-9A10-CEA942D5B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3-47B1-AAF1-0DDD25E52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2-4514-9109-0765C07C0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C6-4ECF-AE9A-647BBF9DB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43-437A-9C22-76181D8B2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1A-4FDF-B08A-7669B156E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8-4474-B036-D90D621CB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18-4F60-9310-F8B37776D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62-4DD5-81E2-10F79A70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9-4446-A1B9-E8598B56C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ED-4876-8650-FA3746DE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8-4728-B96E-82B71FD78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3A-413E-9C32-6E2A46086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1-46D1-8E9F-31B86E89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C2-4F2D-B207-3C1A8D919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れんたろう2!$B$3:$B$158</c:f>
              <c:numCache>
                <c:formatCode>\+0.0;\-0.0;\±0</c:formatCode>
                <c:ptCount val="15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6069872548105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れんたろう2!$C$3:$C$158</c:f>
              <c:numCache>
                <c:formatCode>\+0.0;\-0.0;\±0</c:formatCode>
                <c:ptCount val="156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  <c:pt idx="78">
                  <c:v>4.0064102564102582</c:v>
                </c:pt>
                <c:pt idx="79">
                  <c:v>3.3392405063291153</c:v>
                </c:pt>
                <c:pt idx="80">
                  <c:v>3.0687500000000014</c:v>
                </c:pt>
                <c:pt idx="81">
                  <c:v>2.472839506172841</c:v>
                </c:pt>
                <c:pt idx="82">
                  <c:v>2.7939024390243921</c:v>
                </c:pt>
                <c:pt idx="83">
                  <c:v>2.7795180722891581</c:v>
                </c:pt>
                <c:pt idx="84">
                  <c:v>2.3940476190476208</c:v>
                </c:pt>
                <c:pt idx="85">
                  <c:v>2.3552941176470603</c:v>
                </c:pt>
                <c:pt idx="86">
                  <c:v>2.4616279069767457</c:v>
                </c:pt>
                <c:pt idx="87">
                  <c:v>2.1413793103448291</c:v>
                </c:pt>
                <c:pt idx="88">
                  <c:v>1.8590909090909107</c:v>
                </c:pt>
                <c:pt idx="89">
                  <c:v>2.1191011235955073</c:v>
                </c:pt>
                <c:pt idx="90">
                  <c:v>2.6233333333333348</c:v>
                </c:pt>
                <c:pt idx="91">
                  <c:v>2.6406593406593419</c:v>
                </c:pt>
                <c:pt idx="92">
                  <c:v>3.1141304347826098</c:v>
                </c:pt>
                <c:pt idx="93">
                  <c:v>2.8311827956989259</c:v>
                </c:pt>
                <c:pt idx="94">
                  <c:v>3.1872340425531931</c:v>
                </c:pt>
                <c:pt idx="95">
                  <c:v>3.5294736842105277</c:v>
                </c:pt>
                <c:pt idx="96">
                  <c:v>3.4937500000000017</c:v>
                </c:pt>
                <c:pt idx="97">
                  <c:v>3.4505154639175273</c:v>
                </c:pt>
                <c:pt idx="98">
                  <c:v>3.56122448979592</c:v>
                </c:pt>
                <c:pt idx="99">
                  <c:v>3.9060606060606076</c:v>
                </c:pt>
                <c:pt idx="100">
                  <c:v>3.5030000000000019</c:v>
                </c:pt>
                <c:pt idx="101">
                  <c:v>3.414851485148517</c:v>
                </c:pt>
                <c:pt idx="102">
                  <c:v>3.5245098039215708</c:v>
                </c:pt>
                <c:pt idx="103">
                  <c:v>3.905825242718449</c:v>
                </c:pt>
                <c:pt idx="104">
                  <c:v>3.9317307692307719</c:v>
                </c:pt>
                <c:pt idx="105">
                  <c:v>3.545714285714288</c:v>
                </c:pt>
                <c:pt idx="106">
                  <c:v>3.7339622641509456</c:v>
                </c:pt>
                <c:pt idx="107">
                  <c:v>4.0953271028037399</c:v>
                </c:pt>
                <c:pt idx="108">
                  <c:v>4.3620370370370392</c:v>
                </c:pt>
                <c:pt idx="109">
                  <c:v>4.6697247706422038</c:v>
                </c:pt>
                <c:pt idx="110">
                  <c:v>4.7500000000000018</c:v>
                </c:pt>
                <c:pt idx="111">
                  <c:v>5.4126126126126142</c:v>
                </c:pt>
                <c:pt idx="112">
                  <c:v>5.5035714285714308</c:v>
                </c:pt>
                <c:pt idx="113">
                  <c:v>5.646902654867259</c:v>
                </c:pt>
                <c:pt idx="114">
                  <c:v>5.5885964912280723</c:v>
                </c:pt>
                <c:pt idx="115">
                  <c:v>5.0530434782608715</c:v>
                </c:pt>
                <c:pt idx="116">
                  <c:v>4.8172413793103477</c:v>
                </c:pt>
                <c:pt idx="117">
                  <c:v>5.2905982905982931</c:v>
                </c:pt>
                <c:pt idx="118">
                  <c:v>5.9838983050847485</c:v>
                </c:pt>
                <c:pt idx="119">
                  <c:v>5.653781512605045</c:v>
                </c:pt>
                <c:pt idx="120">
                  <c:v>5.1866666666666701</c:v>
                </c:pt>
                <c:pt idx="121">
                  <c:v>5.1545454545454579</c:v>
                </c:pt>
                <c:pt idx="122">
                  <c:v>4.9942622950819704</c:v>
                </c:pt>
                <c:pt idx="123">
                  <c:v>5.052845528455288</c:v>
                </c:pt>
                <c:pt idx="124">
                  <c:v>4.6048387096774226</c:v>
                </c:pt>
                <c:pt idx="125">
                  <c:v>4.044000000000004</c:v>
                </c:pt>
                <c:pt idx="126">
                  <c:v>3.7698412698412733</c:v>
                </c:pt>
                <c:pt idx="127">
                  <c:v>4.1834645669291373</c:v>
                </c:pt>
                <c:pt idx="128">
                  <c:v>3.8601562500000033</c:v>
                </c:pt>
                <c:pt idx="129">
                  <c:v>4.1069767441860501</c:v>
                </c:pt>
                <c:pt idx="130">
                  <c:v>3.9400000000000031</c:v>
                </c:pt>
                <c:pt idx="131">
                  <c:v>3.5511450381679417</c:v>
                </c:pt>
                <c:pt idx="132">
                  <c:v>3.4257575757575789</c:v>
                </c:pt>
                <c:pt idx="133">
                  <c:v>3.8563909774436125</c:v>
                </c:pt>
                <c:pt idx="134">
                  <c:v>4.0604477611940331</c:v>
                </c:pt>
                <c:pt idx="135">
                  <c:v>4.0637037037037071</c:v>
                </c:pt>
                <c:pt idx="136">
                  <c:v>4.0816176470588275</c:v>
                </c:pt>
                <c:pt idx="137">
                  <c:v>4.2956204379562077</c:v>
                </c:pt>
                <c:pt idx="138">
                  <c:v>4.0340579710144961</c:v>
                </c:pt>
                <c:pt idx="139">
                  <c:v>4.1863309352518021</c:v>
                </c:pt>
                <c:pt idx="140">
                  <c:v>4.1992857142857183</c:v>
                </c:pt>
                <c:pt idx="141">
                  <c:v>3.7936170212765998</c:v>
                </c:pt>
                <c:pt idx="142">
                  <c:v>3.8838028169014125</c:v>
                </c:pt>
                <c:pt idx="143">
                  <c:v>3.6944055944055982</c:v>
                </c:pt>
                <c:pt idx="144">
                  <c:v>3.3395833333333371</c:v>
                </c:pt>
                <c:pt idx="145">
                  <c:v>3.4206896551724175</c:v>
                </c:pt>
                <c:pt idx="146">
                  <c:v>3.0815068493150721</c:v>
                </c:pt>
                <c:pt idx="147">
                  <c:v>3.56462585034014</c:v>
                </c:pt>
                <c:pt idx="148">
                  <c:v>3.4763513513513553</c:v>
                </c:pt>
                <c:pt idx="149">
                  <c:v>3.825503355704702</c:v>
                </c:pt>
                <c:pt idx="150">
                  <c:v>3.988000000000004</c:v>
                </c:pt>
                <c:pt idx="151">
                  <c:v>3.9304635761589442</c:v>
                </c:pt>
                <c:pt idx="152">
                  <c:v>4.1019736842105301</c:v>
                </c:pt>
                <c:pt idx="153">
                  <c:v>4.4607843137254939</c:v>
                </c:pt>
                <c:pt idx="154">
                  <c:v>4.5389610389610429</c:v>
                </c:pt>
                <c:pt idx="155">
                  <c:v>4.6051612903225836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208404565682175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れんたろう2!$D$3:$D$158</c:f>
              <c:numCache>
                <c:formatCode>0.00\ "位"</c:formatCode>
                <c:ptCount val="156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  <c:pt idx="78">
                  <c:v>1.9230769230769231</c:v>
                </c:pt>
                <c:pt idx="79">
                  <c:v>1.9367088607594938</c:v>
                </c:pt>
                <c:pt idx="80">
                  <c:v>1.95</c:v>
                </c:pt>
                <c:pt idx="81">
                  <c:v>1.962962962962963</c:v>
                </c:pt>
                <c:pt idx="82">
                  <c:v>1.9512195121951219</c:v>
                </c:pt>
                <c:pt idx="83">
                  <c:v>1.9518072289156627</c:v>
                </c:pt>
                <c:pt idx="84">
                  <c:v>1.9523809523809523</c:v>
                </c:pt>
                <c:pt idx="85">
                  <c:v>1.9529411764705882</c:v>
                </c:pt>
                <c:pt idx="86">
                  <c:v>1.9534883720930232</c:v>
                </c:pt>
                <c:pt idx="87">
                  <c:v>1.9655172413793103</c:v>
                </c:pt>
                <c:pt idx="88">
                  <c:v>1.9772727272727273</c:v>
                </c:pt>
                <c:pt idx="89">
                  <c:v>1.9662921348314606</c:v>
                </c:pt>
                <c:pt idx="90">
                  <c:v>1.9555555555555555</c:v>
                </c:pt>
                <c:pt idx="91">
                  <c:v>1.956043956043956</c:v>
                </c:pt>
                <c:pt idx="92">
                  <c:v>1.9456521739130435</c:v>
                </c:pt>
                <c:pt idx="93">
                  <c:v>1.956989247311828</c:v>
                </c:pt>
                <c:pt idx="94">
                  <c:v>1.946808510638298</c:v>
                </c:pt>
                <c:pt idx="95">
                  <c:v>1.9368421052631579</c:v>
                </c:pt>
                <c:pt idx="96">
                  <c:v>1.9375</c:v>
                </c:pt>
                <c:pt idx="97">
                  <c:v>1.9381443298969072</c:v>
                </c:pt>
                <c:pt idx="98">
                  <c:v>1.9285714285714286</c:v>
                </c:pt>
                <c:pt idx="99">
                  <c:v>1.9191919191919191</c:v>
                </c:pt>
                <c:pt idx="100">
                  <c:v>1.93</c:v>
                </c:pt>
                <c:pt idx="101">
                  <c:v>1.9306930693069306</c:v>
                </c:pt>
                <c:pt idx="102">
                  <c:v>1.9215686274509804</c:v>
                </c:pt>
                <c:pt idx="103">
                  <c:v>1.912621359223301</c:v>
                </c:pt>
                <c:pt idx="104">
                  <c:v>1.9134615384615385</c:v>
                </c:pt>
                <c:pt idx="105">
                  <c:v>1.9238095238095239</c:v>
                </c:pt>
                <c:pt idx="106">
                  <c:v>1.9150943396226414</c:v>
                </c:pt>
                <c:pt idx="107">
                  <c:v>1.9065420560747663</c:v>
                </c:pt>
                <c:pt idx="108">
                  <c:v>1.8981481481481481</c:v>
                </c:pt>
                <c:pt idx="109">
                  <c:v>1.8899082568807339</c:v>
                </c:pt>
                <c:pt idx="110">
                  <c:v>1.8818181818181818</c:v>
                </c:pt>
                <c:pt idx="111">
                  <c:v>1.8738738738738738</c:v>
                </c:pt>
                <c:pt idx="112">
                  <c:v>1.875</c:v>
                </c:pt>
                <c:pt idx="113">
                  <c:v>1.8672566371681416</c:v>
                </c:pt>
                <c:pt idx="114">
                  <c:v>1.868421052631579</c:v>
                </c:pt>
                <c:pt idx="115">
                  <c:v>1.8782608695652174</c:v>
                </c:pt>
                <c:pt idx="116">
                  <c:v>1.8879310344827587</c:v>
                </c:pt>
                <c:pt idx="117">
                  <c:v>1.8803418803418803</c:v>
                </c:pt>
                <c:pt idx="118">
                  <c:v>1.8728813559322033</c:v>
                </c:pt>
                <c:pt idx="119">
                  <c:v>1.8823529411764706</c:v>
                </c:pt>
                <c:pt idx="120">
                  <c:v>1.8916666666666666</c:v>
                </c:pt>
                <c:pt idx="121">
                  <c:v>1.8925619834710743</c:v>
                </c:pt>
                <c:pt idx="122">
                  <c:v>1.8934426229508197</c:v>
                </c:pt>
                <c:pt idx="123">
                  <c:v>1.8943089430894309</c:v>
                </c:pt>
                <c:pt idx="124">
                  <c:v>1.903225806451613</c:v>
                </c:pt>
                <c:pt idx="125">
                  <c:v>1.9119999999999999</c:v>
                </c:pt>
                <c:pt idx="126">
                  <c:v>1.9206349206349207</c:v>
                </c:pt>
                <c:pt idx="127">
                  <c:v>1.9133858267716535</c:v>
                </c:pt>
                <c:pt idx="128">
                  <c:v>1.921875</c:v>
                </c:pt>
                <c:pt idx="129">
                  <c:v>1.9147286821705427</c:v>
                </c:pt>
                <c:pt idx="130">
                  <c:v>1.9230769230769231</c:v>
                </c:pt>
                <c:pt idx="131">
                  <c:v>1.9312977099236641</c:v>
                </c:pt>
                <c:pt idx="132">
                  <c:v>1.9318181818181819</c:v>
                </c:pt>
                <c:pt idx="133">
                  <c:v>1.9248120300751879</c:v>
                </c:pt>
                <c:pt idx="134">
                  <c:v>1.9179104477611941</c:v>
                </c:pt>
                <c:pt idx="135">
                  <c:v>1.9185185185185185</c:v>
                </c:pt>
                <c:pt idx="136">
                  <c:v>1.9191176470588236</c:v>
                </c:pt>
                <c:pt idx="137">
                  <c:v>1.9124087591240877</c:v>
                </c:pt>
                <c:pt idx="138">
                  <c:v>1.9202898550724639</c:v>
                </c:pt>
                <c:pt idx="139">
                  <c:v>1.9136690647482015</c:v>
                </c:pt>
                <c:pt idx="140">
                  <c:v>1.9142857142857144</c:v>
                </c:pt>
                <c:pt idx="141">
                  <c:v>1.9219858156028369</c:v>
                </c:pt>
                <c:pt idx="142">
                  <c:v>1.9225352112676057</c:v>
                </c:pt>
                <c:pt idx="143">
                  <c:v>1.93006993006993</c:v>
                </c:pt>
                <c:pt idx="144">
                  <c:v>1.9375</c:v>
                </c:pt>
                <c:pt idx="145">
                  <c:v>1.9379310344827587</c:v>
                </c:pt>
                <c:pt idx="146">
                  <c:v>1.9452054794520548</c:v>
                </c:pt>
                <c:pt idx="147">
                  <c:v>1.9387755102040816</c:v>
                </c:pt>
                <c:pt idx="148">
                  <c:v>1.9391891891891893</c:v>
                </c:pt>
                <c:pt idx="149">
                  <c:v>1.9328859060402686</c:v>
                </c:pt>
                <c:pt idx="150">
                  <c:v>1.9266666666666667</c:v>
                </c:pt>
                <c:pt idx="151">
                  <c:v>1.9271523178807948</c:v>
                </c:pt>
                <c:pt idx="152">
                  <c:v>1.9210526315789473</c:v>
                </c:pt>
                <c:pt idx="153">
                  <c:v>1.9150326797385622</c:v>
                </c:pt>
                <c:pt idx="154">
                  <c:v>1.9090909090909092</c:v>
                </c:pt>
                <c:pt idx="155">
                  <c:v>1.9096774193548387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れんたろう2!$E$3:$E$158</c:f>
              <c:numCache>
                <c:formatCode>0.0%</c:formatCode>
                <c:ptCount val="15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  <c:pt idx="78">
                  <c:v>0.39743589743589741</c:v>
                </c:pt>
                <c:pt idx="79">
                  <c:v>0.39240506329113922</c:v>
                </c:pt>
                <c:pt idx="80">
                  <c:v>0.38750000000000001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0.36781609195402298</c:v>
                </c:pt>
                <c:pt idx="88">
                  <c:v>0.36363636363636365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0.37362637362637363</c:v>
                </c:pt>
                <c:pt idx="92">
                  <c:v>0.38043478260869568</c:v>
                </c:pt>
                <c:pt idx="93">
                  <c:v>0.37634408602150538</c:v>
                </c:pt>
                <c:pt idx="94">
                  <c:v>0.38297872340425532</c:v>
                </c:pt>
                <c:pt idx="95">
                  <c:v>0.38947368421052631</c:v>
                </c:pt>
                <c:pt idx="96">
                  <c:v>0.38541666666666669</c:v>
                </c:pt>
                <c:pt idx="97">
                  <c:v>0.38144329896907214</c:v>
                </c:pt>
                <c:pt idx="98">
                  <c:v>0.38775510204081631</c:v>
                </c:pt>
                <c:pt idx="99">
                  <c:v>0.39393939393939392</c:v>
                </c:pt>
                <c:pt idx="100">
                  <c:v>0.39</c:v>
                </c:pt>
                <c:pt idx="101">
                  <c:v>0.38613861386138615</c:v>
                </c:pt>
                <c:pt idx="102">
                  <c:v>0.39215686274509803</c:v>
                </c:pt>
                <c:pt idx="103">
                  <c:v>0.39805825242718446</c:v>
                </c:pt>
                <c:pt idx="104">
                  <c:v>0.39423076923076922</c:v>
                </c:pt>
                <c:pt idx="105">
                  <c:v>0.39047619047619048</c:v>
                </c:pt>
                <c:pt idx="106">
                  <c:v>0.39622641509433965</c:v>
                </c:pt>
                <c:pt idx="107">
                  <c:v>0.40186915887850466</c:v>
                </c:pt>
                <c:pt idx="108">
                  <c:v>0.40740740740740738</c:v>
                </c:pt>
                <c:pt idx="109">
                  <c:v>0.41284403669724773</c:v>
                </c:pt>
                <c:pt idx="110">
                  <c:v>0.41818181818181815</c:v>
                </c:pt>
                <c:pt idx="111">
                  <c:v>0.42342342342342343</c:v>
                </c:pt>
                <c:pt idx="112">
                  <c:v>0.41964285714285715</c:v>
                </c:pt>
                <c:pt idx="113">
                  <c:v>0.4247787610619469</c:v>
                </c:pt>
                <c:pt idx="114">
                  <c:v>0.42105263157894735</c:v>
                </c:pt>
                <c:pt idx="115">
                  <c:v>0.41739130434782606</c:v>
                </c:pt>
                <c:pt idx="116">
                  <c:v>0.41379310344827586</c:v>
                </c:pt>
                <c:pt idx="117">
                  <c:v>0.41880341880341881</c:v>
                </c:pt>
                <c:pt idx="118">
                  <c:v>0.42372881355932202</c:v>
                </c:pt>
                <c:pt idx="119">
                  <c:v>0.42016806722689076</c:v>
                </c:pt>
                <c:pt idx="120">
                  <c:v>0.41666666666666669</c:v>
                </c:pt>
                <c:pt idx="121">
                  <c:v>0.41322314049586778</c:v>
                </c:pt>
                <c:pt idx="122">
                  <c:v>0.4098360655737705</c:v>
                </c:pt>
                <c:pt idx="123">
                  <c:v>0.4065040650406504</c:v>
                </c:pt>
                <c:pt idx="124">
                  <c:v>0.40322580645161288</c:v>
                </c:pt>
                <c:pt idx="125">
                  <c:v>0.4</c:v>
                </c:pt>
                <c:pt idx="126">
                  <c:v>0.3968253968253968</c:v>
                </c:pt>
                <c:pt idx="127">
                  <c:v>0.40157480314960631</c:v>
                </c:pt>
                <c:pt idx="128">
                  <c:v>0.3984375</c:v>
                </c:pt>
                <c:pt idx="129">
                  <c:v>0.40310077519379844</c:v>
                </c:pt>
                <c:pt idx="130">
                  <c:v>0.4</c:v>
                </c:pt>
                <c:pt idx="131">
                  <c:v>0.39694656488549618</c:v>
                </c:pt>
                <c:pt idx="132">
                  <c:v>0.39393939393939392</c:v>
                </c:pt>
                <c:pt idx="133">
                  <c:v>0.39849624060150374</c:v>
                </c:pt>
                <c:pt idx="134">
                  <c:v>0.40298507462686567</c:v>
                </c:pt>
                <c:pt idx="135">
                  <c:v>0.4</c:v>
                </c:pt>
                <c:pt idx="136">
                  <c:v>0.39705882352941174</c:v>
                </c:pt>
                <c:pt idx="137">
                  <c:v>0.40145985401459855</c:v>
                </c:pt>
                <c:pt idx="138">
                  <c:v>0.39855072463768115</c:v>
                </c:pt>
                <c:pt idx="139">
                  <c:v>0.40287769784172661</c:v>
                </c:pt>
                <c:pt idx="140">
                  <c:v>0.4</c:v>
                </c:pt>
                <c:pt idx="141">
                  <c:v>0.3971631205673759</c:v>
                </c:pt>
                <c:pt idx="142">
                  <c:v>0.39436619718309857</c:v>
                </c:pt>
                <c:pt idx="143">
                  <c:v>0.39160839160839161</c:v>
                </c:pt>
                <c:pt idx="144">
                  <c:v>0.3888888888888889</c:v>
                </c:pt>
                <c:pt idx="145">
                  <c:v>0.38620689655172413</c:v>
                </c:pt>
                <c:pt idx="146">
                  <c:v>0.38356164383561642</c:v>
                </c:pt>
                <c:pt idx="147">
                  <c:v>0.38775510204081631</c:v>
                </c:pt>
                <c:pt idx="148">
                  <c:v>0.38513513513513514</c:v>
                </c:pt>
                <c:pt idx="149">
                  <c:v>0.38926174496644295</c:v>
                </c:pt>
                <c:pt idx="150">
                  <c:v>0.39333333333333331</c:v>
                </c:pt>
                <c:pt idx="151">
                  <c:v>0.39072847682119205</c:v>
                </c:pt>
                <c:pt idx="152">
                  <c:v>0.39473684210526316</c:v>
                </c:pt>
                <c:pt idx="153">
                  <c:v>0.39869281045751637</c:v>
                </c:pt>
                <c:pt idx="154">
                  <c:v>0.40259740259740262</c:v>
                </c:pt>
                <c:pt idx="15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れんたろう2!$F$3:$F$158</c:f>
              <c:numCache>
                <c:formatCode>0.0%</c:formatCode>
                <c:ptCount val="156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  <c:pt idx="78">
                  <c:v>0.32051282051282054</c:v>
                </c:pt>
                <c:pt idx="79">
                  <c:v>0.32911392405063289</c:v>
                </c:pt>
                <c:pt idx="80">
                  <c:v>0.33750000000000002</c:v>
                </c:pt>
                <c:pt idx="81">
                  <c:v>0.34567901234567899</c:v>
                </c:pt>
                <c:pt idx="82">
                  <c:v>0.34146341463414637</c:v>
                </c:pt>
                <c:pt idx="83">
                  <c:v>0.33734939759036142</c:v>
                </c:pt>
                <c:pt idx="84">
                  <c:v>0.33333333333333331</c:v>
                </c:pt>
                <c:pt idx="85">
                  <c:v>0.32941176470588235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0.33707865168539325</c:v>
                </c:pt>
                <c:pt idx="90">
                  <c:v>0.33333333333333331</c:v>
                </c:pt>
                <c:pt idx="91">
                  <c:v>0.32967032967032966</c:v>
                </c:pt>
                <c:pt idx="92">
                  <c:v>0.32608695652173914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0.31958762886597936</c:v>
                </c:pt>
                <c:pt idx="98">
                  <c:v>0.31632653061224492</c:v>
                </c:pt>
                <c:pt idx="99">
                  <c:v>0.31313131313131315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0.31067961165048541</c:v>
                </c:pt>
                <c:pt idx="104">
                  <c:v>0.30769230769230771</c:v>
                </c:pt>
                <c:pt idx="105">
                  <c:v>0.31428571428571428</c:v>
                </c:pt>
                <c:pt idx="106">
                  <c:v>0.31132075471698112</c:v>
                </c:pt>
                <c:pt idx="107">
                  <c:v>0.30841121495327101</c:v>
                </c:pt>
                <c:pt idx="108">
                  <c:v>0.30555555555555558</c:v>
                </c:pt>
                <c:pt idx="109">
                  <c:v>0.30275229357798167</c:v>
                </c:pt>
                <c:pt idx="110">
                  <c:v>0.3</c:v>
                </c:pt>
                <c:pt idx="111">
                  <c:v>0.29729729729729731</c:v>
                </c:pt>
                <c:pt idx="112">
                  <c:v>0.29464285714285715</c:v>
                </c:pt>
                <c:pt idx="113">
                  <c:v>0.29203539823008851</c:v>
                </c:pt>
                <c:pt idx="114">
                  <c:v>0.28947368421052633</c:v>
                </c:pt>
                <c:pt idx="115">
                  <c:v>0.29565217391304349</c:v>
                </c:pt>
                <c:pt idx="116">
                  <c:v>0.30172413793103448</c:v>
                </c:pt>
                <c:pt idx="117">
                  <c:v>0.29914529914529914</c:v>
                </c:pt>
                <c:pt idx="118">
                  <c:v>0.29661016949152541</c:v>
                </c:pt>
                <c:pt idx="119">
                  <c:v>0.30252100840336132</c:v>
                </c:pt>
                <c:pt idx="120">
                  <c:v>0.30833333333333335</c:v>
                </c:pt>
                <c:pt idx="121">
                  <c:v>0.30578512396694213</c:v>
                </c:pt>
                <c:pt idx="122">
                  <c:v>0.30327868852459017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0.31782945736434109</c:v>
                </c:pt>
                <c:pt idx="130">
                  <c:v>0.32307692307692309</c:v>
                </c:pt>
                <c:pt idx="131">
                  <c:v>0.3282442748091603</c:v>
                </c:pt>
                <c:pt idx="132">
                  <c:v>0.32575757575757575</c:v>
                </c:pt>
                <c:pt idx="133">
                  <c:v>0.32330827067669171</c:v>
                </c:pt>
                <c:pt idx="134">
                  <c:v>0.32089552238805968</c:v>
                </c:pt>
                <c:pt idx="135">
                  <c:v>0.31851851851851853</c:v>
                </c:pt>
                <c:pt idx="136">
                  <c:v>0.31617647058823528</c:v>
                </c:pt>
                <c:pt idx="137">
                  <c:v>0.31386861313868614</c:v>
                </c:pt>
                <c:pt idx="138">
                  <c:v>0.3188405797101449</c:v>
                </c:pt>
                <c:pt idx="139">
                  <c:v>0.31654676258992803</c:v>
                </c:pt>
                <c:pt idx="140">
                  <c:v>0.31428571428571428</c:v>
                </c:pt>
                <c:pt idx="141">
                  <c:v>0.31914893617021278</c:v>
                </c:pt>
                <c:pt idx="142">
                  <c:v>0.31690140845070425</c:v>
                </c:pt>
                <c:pt idx="143">
                  <c:v>0.32167832167832167</c:v>
                </c:pt>
                <c:pt idx="144">
                  <c:v>0.3263888888888889</c:v>
                </c:pt>
                <c:pt idx="145">
                  <c:v>0.32413793103448274</c:v>
                </c:pt>
                <c:pt idx="146">
                  <c:v>0.32876712328767121</c:v>
                </c:pt>
                <c:pt idx="147">
                  <c:v>0.32653061224489793</c:v>
                </c:pt>
                <c:pt idx="148">
                  <c:v>0.32432432432432434</c:v>
                </c:pt>
                <c:pt idx="149">
                  <c:v>0.32214765100671139</c:v>
                </c:pt>
                <c:pt idx="150">
                  <c:v>0.32</c:v>
                </c:pt>
                <c:pt idx="151">
                  <c:v>0.31788079470198677</c:v>
                </c:pt>
                <c:pt idx="152">
                  <c:v>0.31578947368421051</c:v>
                </c:pt>
                <c:pt idx="153">
                  <c:v>0.31372549019607843</c:v>
                </c:pt>
                <c:pt idx="154">
                  <c:v>0.31168831168831168</c:v>
                </c:pt>
                <c:pt idx="155">
                  <c:v>0.30967741935483872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れんたろう2!$G$3:$G$158</c:f>
              <c:numCache>
                <c:formatCode>0.0%</c:formatCode>
                <c:ptCount val="156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  <c:pt idx="78">
                  <c:v>0.28389154704944181</c:v>
                </c:pt>
                <c:pt idx="79">
                  <c:v>0.28031496062992128</c:v>
                </c:pt>
                <c:pt idx="80">
                  <c:v>0.27906976744186046</c:v>
                </c:pt>
                <c:pt idx="81">
                  <c:v>0.27981651376146788</c:v>
                </c:pt>
                <c:pt idx="82">
                  <c:v>0.28290468986384265</c:v>
                </c:pt>
                <c:pt idx="83">
                  <c:v>0.28083209509658247</c:v>
                </c:pt>
                <c:pt idx="84">
                  <c:v>0.27941176470588236</c:v>
                </c:pt>
                <c:pt idx="85">
                  <c:v>0.27826086956521739</c:v>
                </c:pt>
                <c:pt idx="86">
                  <c:v>0.27936962750716332</c:v>
                </c:pt>
                <c:pt idx="87">
                  <c:v>0.27659574468085107</c:v>
                </c:pt>
                <c:pt idx="88">
                  <c:v>0.27591036414565828</c:v>
                </c:pt>
                <c:pt idx="89">
                  <c:v>0.27524204702627941</c:v>
                </c:pt>
                <c:pt idx="90">
                  <c:v>0.27747252747252749</c:v>
                </c:pt>
                <c:pt idx="91">
                  <c:v>0.27755102040816326</c:v>
                </c:pt>
                <c:pt idx="92">
                  <c:v>0.2807017543859649</c:v>
                </c:pt>
                <c:pt idx="93">
                  <c:v>0.27978580990629182</c:v>
                </c:pt>
                <c:pt idx="94">
                  <c:v>0.27910052910052913</c:v>
                </c:pt>
                <c:pt idx="95">
                  <c:v>0.28047182175622543</c:v>
                </c:pt>
                <c:pt idx="96">
                  <c:v>0.2805194805194805</c:v>
                </c:pt>
                <c:pt idx="97">
                  <c:v>0.27963917525773196</c:v>
                </c:pt>
                <c:pt idx="98">
                  <c:v>0.28061224489795916</c:v>
                </c:pt>
                <c:pt idx="99">
                  <c:v>0.28050314465408804</c:v>
                </c:pt>
                <c:pt idx="100">
                  <c:v>0.27860696517412936</c:v>
                </c:pt>
                <c:pt idx="101">
                  <c:v>0.27764127764127766</c:v>
                </c:pt>
                <c:pt idx="102">
                  <c:v>0.27669902912621358</c:v>
                </c:pt>
                <c:pt idx="103">
                  <c:v>0.27764423076923078</c:v>
                </c:pt>
                <c:pt idx="104">
                  <c:v>0.27738095238095239</c:v>
                </c:pt>
                <c:pt idx="105">
                  <c:v>0.27379553466509987</c:v>
                </c:pt>
                <c:pt idx="106">
                  <c:v>0.27494199535962877</c:v>
                </c:pt>
                <c:pt idx="107">
                  <c:v>0.27733026467203681</c:v>
                </c:pt>
                <c:pt idx="108">
                  <c:v>0.27758816837315131</c:v>
                </c:pt>
                <c:pt idx="109">
                  <c:v>0.27833894500561168</c:v>
                </c:pt>
                <c:pt idx="110">
                  <c:v>0.27919911012235815</c:v>
                </c:pt>
                <c:pt idx="111">
                  <c:v>0.28193832599118945</c:v>
                </c:pt>
                <c:pt idx="112">
                  <c:v>0.28244274809160308</c:v>
                </c:pt>
                <c:pt idx="113">
                  <c:v>0.28277356446370533</c:v>
                </c:pt>
                <c:pt idx="114">
                  <c:v>0.28279569892473116</c:v>
                </c:pt>
                <c:pt idx="115">
                  <c:v>0.28128342245989307</c:v>
                </c:pt>
                <c:pt idx="116">
                  <c:v>0.28088701161562829</c:v>
                </c:pt>
                <c:pt idx="117">
                  <c:v>0.28347280334728031</c:v>
                </c:pt>
                <c:pt idx="118">
                  <c:v>0.28526970954356845</c:v>
                </c:pt>
                <c:pt idx="119">
                  <c:v>0.28365878725590954</c:v>
                </c:pt>
                <c:pt idx="120">
                  <c:v>0.28194726166328599</c:v>
                </c:pt>
                <c:pt idx="121">
                  <c:v>0.28225806451612906</c:v>
                </c:pt>
                <c:pt idx="122">
                  <c:v>0.28128128128128127</c:v>
                </c:pt>
                <c:pt idx="123">
                  <c:v>0.2813121272365805</c:v>
                </c:pt>
                <c:pt idx="124">
                  <c:v>0.27936821322803551</c:v>
                </c:pt>
                <c:pt idx="125">
                  <c:v>0.27881773399014781</c:v>
                </c:pt>
                <c:pt idx="126">
                  <c:v>0.27788649706457924</c:v>
                </c:pt>
                <c:pt idx="127">
                  <c:v>0.27756286266924562</c:v>
                </c:pt>
                <c:pt idx="128">
                  <c:v>0.27586206896551724</c:v>
                </c:pt>
                <c:pt idx="129">
                  <c:v>0.27714285714285714</c:v>
                </c:pt>
                <c:pt idx="130">
                  <c:v>0.27599243856332706</c:v>
                </c:pt>
                <c:pt idx="131">
                  <c:v>0.27417840375586855</c:v>
                </c:pt>
                <c:pt idx="132">
                  <c:v>0.27255813953488373</c:v>
                </c:pt>
                <c:pt idx="133">
                  <c:v>0.27331486611265005</c:v>
                </c:pt>
                <c:pt idx="134">
                  <c:v>0.27422303473491771</c:v>
                </c:pt>
                <c:pt idx="135">
                  <c:v>0.27445652173913043</c:v>
                </c:pt>
                <c:pt idx="136">
                  <c:v>0.27387387387387385</c:v>
                </c:pt>
                <c:pt idx="137">
                  <c:v>0.27370304114490163</c:v>
                </c:pt>
                <c:pt idx="138">
                  <c:v>0.27200000000000002</c:v>
                </c:pt>
                <c:pt idx="139">
                  <c:v>0.27208480565371024</c:v>
                </c:pt>
                <c:pt idx="140">
                  <c:v>0.27192982456140352</c:v>
                </c:pt>
                <c:pt idx="141">
                  <c:v>0.27097902097902099</c:v>
                </c:pt>
                <c:pt idx="142">
                  <c:v>0.27146574154379877</c:v>
                </c:pt>
                <c:pt idx="143">
                  <c:v>0.27155172413793105</c:v>
                </c:pt>
                <c:pt idx="144">
                  <c:v>0.27163667523564694</c:v>
                </c:pt>
                <c:pt idx="145">
                  <c:v>0.27257240204429301</c:v>
                </c:pt>
                <c:pt idx="146">
                  <c:v>0.27164685908319186</c:v>
                </c:pt>
                <c:pt idx="147">
                  <c:v>0.27387996618765847</c:v>
                </c:pt>
                <c:pt idx="148">
                  <c:v>0.27318718381112983</c:v>
                </c:pt>
                <c:pt idx="149">
                  <c:v>0.27417998317914216</c:v>
                </c:pt>
                <c:pt idx="150">
                  <c:v>0.27447698744769872</c:v>
                </c:pt>
                <c:pt idx="151">
                  <c:v>0.27377998345740279</c:v>
                </c:pt>
                <c:pt idx="152">
                  <c:v>0.27399507793273176</c:v>
                </c:pt>
                <c:pt idx="153">
                  <c:v>0.27591836734693875</c:v>
                </c:pt>
                <c:pt idx="154">
                  <c:v>0.27625201938610661</c:v>
                </c:pt>
                <c:pt idx="155">
                  <c:v>0.27644230769230771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67556942999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れんたろう2!$H$3:$H$158</c:f>
              <c:numCache>
                <c:formatCode>0.0%</c:formatCode>
                <c:ptCount val="156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  <c:pt idx="78">
                  <c:v>0.17224880382775121</c:v>
                </c:pt>
                <c:pt idx="79">
                  <c:v>0.17322834645669291</c:v>
                </c:pt>
                <c:pt idx="80">
                  <c:v>0.17674418604651163</c:v>
                </c:pt>
                <c:pt idx="81">
                  <c:v>0.17737003058103976</c:v>
                </c:pt>
                <c:pt idx="82">
                  <c:v>0.17700453857791226</c:v>
                </c:pt>
                <c:pt idx="83">
                  <c:v>0.17682020802377416</c:v>
                </c:pt>
                <c:pt idx="84">
                  <c:v>0.17647058823529413</c:v>
                </c:pt>
                <c:pt idx="85">
                  <c:v>0.17826086956521739</c:v>
                </c:pt>
                <c:pt idx="86">
                  <c:v>0.17765042979942694</c:v>
                </c:pt>
                <c:pt idx="87">
                  <c:v>0.17872340425531916</c:v>
                </c:pt>
                <c:pt idx="88">
                  <c:v>0.18067226890756302</c:v>
                </c:pt>
                <c:pt idx="89">
                  <c:v>0.17980636237897649</c:v>
                </c:pt>
                <c:pt idx="90">
                  <c:v>0.17857142857142858</c:v>
                </c:pt>
                <c:pt idx="91">
                  <c:v>0.17823129251700681</c:v>
                </c:pt>
                <c:pt idx="92">
                  <c:v>0.17678812415654521</c:v>
                </c:pt>
                <c:pt idx="93">
                  <c:v>0.17804551539491298</c:v>
                </c:pt>
                <c:pt idx="94">
                  <c:v>0.17724867724867724</c:v>
                </c:pt>
                <c:pt idx="95">
                  <c:v>0.17693315858453473</c:v>
                </c:pt>
                <c:pt idx="96">
                  <c:v>0.17662337662337663</c:v>
                </c:pt>
                <c:pt idx="97">
                  <c:v>0.17654639175257733</c:v>
                </c:pt>
                <c:pt idx="98">
                  <c:v>0.17729591836734693</c:v>
                </c:pt>
                <c:pt idx="99">
                  <c:v>0.17484276729559747</c:v>
                </c:pt>
                <c:pt idx="100">
                  <c:v>0.17537313432835822</c:v>
                </c:pt>
                <c:pt idx="101">
                  <c:v>0.17444717444717445</c:v>
                </c:pt>
                <c:pt idx="102">
                  <c:v>0.17597087378640777</c:v>
                </c:pt>
                <c:pt idx="103">
                  <c:v>0.17668269230769232</c:v>
                </c:pt>
                <c:pt idx="104">
                  <c:v>0.17499999999999999</c:v>
                </c:pt>
                <c:pt idx="105">
                  <c:v>0.17508813160987075</c:v>
                </c:pt>
                <c:pt idx="106">
                  <c:v>0.1751740139211137</c:v>
                </c:pt>
                <c:pt idx="107">
                  <c:v>0.17491369390103567</c:v>
                </c:pt>
                <c:pt idx="108">
                  <c:v>0.17406143344709898</c:v>
                </c:pt>
                <c:pt idx="109">
                  <c:v>0.1728395061728395</c:v>
                </c:pt>
                <c:pt idx="110">
                  <c:v>0.17241379310344829</c:v>
                </c:pt>
                <c:pt idx="111">
                  <c:v>0.17070484581497797</c:v>
                </c:pt>
                <c:pt idx="112">
                  <c:v>0.17121046892039257</c:v>
                </c:pt>
                <c:pt idx="113">
                  <c:v>0.17118093174431204</c:v>
                </c:pt>
                <c:pt idx="114">
                  <c:v>0.16989247311827957</c:v>
                </c:pt>
                <c:pt idx="115">
                  <c:v>0.17005347593582887</c:v>
                </c:pt>
                <c:pt idx="116">
                  <c:v>0.16895459345300951</c:v>
                </c:pt>
                <c:pt idx="117">
                  <c:v>0.16945606694560669</c:v>
                </c:pt>
                <c:pt idx="118">
                  <c:v>0.16804979253112035</c:v>
                </c:pt>
                <c:pt idx="119">
                  <c:v>0.16855087358684481</c:v>
                </c:pt>
                <c:pt idx="120">
                  <c:v>0.16937119675456389</c:v>
                </c:pt>
                <c:pt idx="121">
                  <c:v>0.16935483870967741</c:v>
                </c:pt>
                <c:pt idx="122">
                  <c:v>0.17017017017017017</c:v>
                </c:pt>
                <c:pt idx="123">
                  <c:v>0.16898608349900596</c:v>
                </c:pt>
                <c:pt idx="124">
                  <c:v>0.16979269496544916</c:v>
                </c:pt>
                <c:pt idx="125">
                  <c:v>0.17044334975369457</c:v>
                </c:pt>
                <c:pt idx="126">
                  <c:v>0.17123287671232876</c:v>
                </c:pt>
                <c:pt idx="127">
                  <c:v>0.17117988394584138</c:v>
                </c:pt>
                <c:pt idx="128">
                  <c:v>0.17145593869731801</c:v>
                </c:pt>
                <c:pt idx="129">
                  <c:v>0.17047619047619048</c:v>
                </c:pt>
                <c:pt idx="130">
                  <c:v>0.17013232514177692</c:v>
                </c:pt>
                <c:pt idx="131">
                  <c:v>0.17183098591549295</c:v>
                </c:pt>
                <c:pt idx="132">
                  <c:v>0.17209302325581396</c:v>
                </c:pt>
                <c:pt idx="133">
                  <c:v>0.17359187442289936</c:v>
                </c:pt>
                <c:pt idx="134">
                  <c:v>0.17367458866544791</c:v>
                </c:pt>
                <c:pt idx="135">
                  <c:v>0.17481884057971014</c:v>
                </c:pt>
                <c:pt idx="136">
                  <c:v>0.17387387387387387</c:v>
                </c:pt>
                <c:pt idx="137">
                  <c:v>0.1744186046511628</c:v>
                </c:pt>
                <c:pt idx="138">
                  <c:v>0.17422222222222222</c:v>
                </c:pt>
                <c:pt idx="139">
                  <c:v>0.17402826855123674</c:v>
                </c:pt>
                <c:pt idx="140">
                  <c:v>0.1736842105263158</c:v>
                </c:pt>
                <c:pt idx="141">
                  <c:v>0.17482517482517482</c:v>
                </c:pt>
                <c:pt idx="142">
                  <c:v>0.17519514310494363</c:v>
                </c:pt>
                <c:pt idx="143">
                  <c:v>0.17413793103448275</c:v>
                </c:pt>
                <c:pt idx="144">
                  <c:v>0.17395029991431019</c:v>
                </c:pt>
                <c:pt idx="145">
                  <c:v>0.17461669505962521</c:v>
                </c:pt>
                <c:pt idx="146">
                  <c:v>0.17487266553480477</c:v>
                </c:pt>
                <c:pt idx="147">
                  <c:v>0.17413355874894337</c:v>
                </c:pt>
                <c:pt idx="148">
                  <c:v>0.17369308600337269</c:v>
                </c:pt>
                <c:pt idx="149">
                  <c:v>0.17325483599663583</c:v>
                </c:pt>
                <c:pt idx="150">
                  <c:v>0.17322175732217573</c:v>
                </c:pt>
                <c:pt idx="151">
                  <c:v>0.17369727047146402</c:v>
                </c:pt>
                <c:pt idx="152">
                  <c:v>0.17309269893355209</c:v>
                </c:pt>
                <c:pt idx="153">
                  <c:v>0.17306122448979591</c:v>
                </c:pt>
                <c:pt idx="154">
                  <c:v>0.172859450726979</c:v>
                </c:pt>
                <c:pt idx="155">
                  <c:v>0.17227564102564102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671638339692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れんたろう2!$I$3:$I$158</c:f>
              <c:numCache>
                <c:formatCode>0</c:formatCode>
                <c:ptCount val="156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  <c:pt idx="78">
                  <c:v>10858.988764044943</c:v>
                </c:pt>
                <c:pt idx="79">
                  <c:v>10858.988764044943</c:v>
                </c:pt>
                <c:pt idx="80">
                  <c:v>10849.444444444445</c:v>
                </c:pt>
                <c:pt idx="81">
                  <c:v>10812.021857923497</c:v>
                </c:pt>
                <c:pt idx="82">
                  <c:v>10767.379679144386</c:v>
                </c:pt>
                <c:pt idx="83">
                  <c:v>10780.42328042328</c:v>
                </c:pt>
                <c:pt idx="84">
                  <c:v>10786.842105263158</c:v>
                </c:pt>
                <c:pt idx="85">
                  <c:v>10893.229166666666</c:v>
                </c:pt>
                <c:pt idx="86">
                  <c:v>10961.538461538461</c:v>
                </c:pt>
                <c:pt idx="87">
                  <c:v>10961.538461538461</c:v>
                </c:pt>
                <c:pt idx="88">
                  <c:v>10904.060913705584</c:v>
                </c:pt>
                <c:pt idx="89">
                  <c:v>10915.075376884422</c:v>
                </c:pt>
                <c:pt idx="90">
                  <c:v>10921.287128712871</c:v>
                </c:pt>
                <c:pt idx="91">
                  <c:v>10912.254901960785</c:v>
                </c:pt>
                <c:pt idx="92">
                  <c:v>10862.01923076923</c:v>
                </c:pt>
                <c:pt idx="93">
                  <c:v>10848.325358851675</c:v>
                </c:pt>
                <c:pt idx="94">
                  <c:v>10887.677725118483</c:v>
                </c:pt>
                <c:pt idx="95">
                  <c:v>10903.271028037383</c:v>
                </c:pt>
                <c:pt idx="96">
                  <c:v>10913.425925925925</c:v>
                </c:pt>
                <c:pt idx="97">
                  <c:v>10918.433179723503</c:v>
                </c:pt>
                <c:pt idx="98">
                  <c:v>10869.545454545454</c:v>
                </c:pt>
                <c:pt idx="99">
                  <c:v>10865.470852017937</c:v>
                </c:pt>
                <c:pt idx="100">
                  <c:v>10834.375</c:v>
                </c:pt>
                <c:pt idx="101">
                  <c:v>10797.345132743363</c:v>
                </c:pt>
                <c:pt idx="102">
                  <c:v>10799.122807017544</c:v>
                </c:pt>
                <c:pt idx="103">
                  <c:v>10866.666666666666</c:v>
                </c:pt>
                <c:pt idx="104">
                  <c:v>10847.639484978541</c:v>
                </c:pt>
                <c:pt idx="105">
                  <c:v>10847.639484978541</c:v>
                </c:pt>
                <c:pt idx="106">
                  <c:v>10790.717299578058</c:v>
                </c:pt>
                <c:pt idx="107">
                  <c:v>10780.91286307054</c:v>
                </c:pt>
                <c:pt idx="108">
                  <c:v>10770.901639344262</c:v>
                </c:pt>
                <c:pt idx="109">
                  <c:v>10772.177419354839</c:v>
                </c:pt>
                <c:pt idx="110">
                  <c:v>10762.151394422312</c:v>
                </c:pt>
                <c:pt idx="111">
                  <c:v>10817.578125</c:v>
                </c:pt>
                <c:pt idx="112">
                  <c:v>10779.536679536679</c:v>
                </c:pt>
                <c:pt idx="113">
                  <c:v>10757.088122605364</c:v>
                </c:pt>
                <c:pt idx="114">
                  <c:v>10736.121673003803</c:v>
                </c:pt>
                <c:pt idx="115">
                  <c:v>10736.121673003803</c:v>
                </c:pt>
                <c:pt idx="116">
                  <c:v>10659.774436090225</c:v>
                </c:pt>
                <c:pt idx="117">
                  <c:v>10674.169741697417</c:v>
                </c:pt>
                <c:pt idx="118">
                  <c:v>10721.09090909091</c:v>
                </c:pt>
                <c:pt idx="119">
                  <c:v>10711.231884057972</c:v>
                </c:pt>
                <c:pt idx="120">
                  <c:v>10716.187050359713</c:v>
                </c:pt>
                <c:pt idx="121">
                  <c:v>10701.428571428571</c:v>
                </c:pt>
                <c:pt idx="122">
                  <c:v>10666.903914590748</c:v>
                </c:pt>
                <c:pt idx="123">
                  <c:v>10697.526501766784</c:v>
                </c:pt>
                <c:pt idx="124">
                  <c:v>10697.526501766784</c:v>
                </c:pt>
                <c:pt idx="125">
                  <c:v>10697.526501766784</c:v>
                </c:pt>
                <c:pt idx="126">
                  <c:v>10702.112676056338</c:v>
                </c:pt>
                <c:pt idx="127">
                  <c:v>10827.177700348431</c:v>
                </c:pt>
                <c:pt idx="128">
                  <c:v>10831.25</c:v>
                </c:pt>
                <c:pt idx="129">
                  <c:v>10828.52233676976</c:v>
                </c:pt>
                <c:pt idx="130">
                  <c:v>10798.630136986301</c:v>
                </c:pt>
                <c:pt idx="131">
                  <c:v>10798.630136986301</c:v>
                </c:pt>
                <c:pt idx="132">
                  <c:v>10816.382252559726</c:v>
                </c:pt>
                <c:pt idx="133">
                  <c:v>10950</c:v>
                </c:pt>
                <c:pt idx="134">
                  <c:v>10948</c:v>
                </c:pt>
                <c:pt idx="135">
                  <c:v>10919.141914191419</c:v>
                </c:pt>
                <c:pt idx="136">
                  <c:v>10935.855263157895</c:v>
                </c:pt>
                <c:pt idx="137">
                  <c:v>10949.346405228758</c:v>
                </c:pt>
                <c:pt idx="138">
                  <c:v>10949.346405228758</c:v>
                </c:pt>
                <c:pt idx="139">
                  <c:v>10969.155844155845</c:v>
                </c:pt>
                <c:pt idx="140">
                  <c:v>11027.41935483871</c:v>
                </c:pt>
                <c:pt idx="141">
                  <c:v>11027.41935483871</c:v>
                </c:pt>
                <c:pt idx="142">
                  <c:v>11062.300319488819</c:v>
                </c:pt>
                <c:pt idx="143">
                  <c:v>11036.825396825398</c:v>
                </c:pt>
                <c:pt idx="144">
                  <c:v>11041.640378548896</c:v>
                </c:pt>
                <c:pt idx="145">
                  <c:v>11038.125</c:v>
                </c:pt>
                <c:pt idx="146">
                  <c:v>11038.125</c:v>
                </c:pt>
                <c:pt idx="147">
                  <c:v>11087.037037037036</c:v>
                </c:pt>
                <c:pt idx="148">
                  <c:v>11087.037037037036</c:v>
                </c:pt>
                <c:pt idx="149">
                  <c:v>11153.98773006135</c:v>
                </c:pt>
                <c:pt idx="150">
                  <c:v>11175</c:v>
                </c:pt>
                <c:pt idx="151">
                  <c:v>11139.2749244713</c:v>
                </c:pt>
                <c:pt idx="152">
                  <c:v>11133.832335329342</c:v>
                </c:pt>
                <c:pt idx="153">
                  <c:v>11166.863905325445</c:v>
                </c:pt>
                <c:pt idx="154">
                  <c:v>11169.883040935672</c:v>
                </c:pt>
                <c:pt idx="155">
                  <c:v>11155.36231884058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4.96062992125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れんたろう2!$J$3:$J$158</c:f>
              <c:numCache>
                <c:formatCode>0</c:formatCode>
                <c:ptCount val="156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  <c:pt idx="78">
                  <c:v>-8263.8888888888887</c:v>
                </c:pt>
                <c:pt idx="79">
                  <c:v>-8233.636363636364</c:v>
                </c:pt>
                <c:pt idx="80">
                  <c:v>-8083.333333333333</c:v>
                </c:pt>
                <c:pt idx="81">
                  <c:v>-8375</c:v>
                </c:pt>
                <c:pt idx="82">
                  <c:v>-8405.9829059829062</c:v>
                </c:pt>
                <c:pt idx="83">
                  <c:v>-8356.3025210084033</c:v>
                </c:pt>
                <c:pt idx="84">
                  <c:v>-8383.3333333333339</c:v>
                </c:pt>
                <c:pt idx="85">
                  <c:v>-8391.0569105691065</c:v>
                </c:pt>
                <c:pt idx="86">
                  <c:v>-8581.4516129032254</c:v>
                </c:pt>
                <c:pt idx="87">
                  <c:v>-8529.3650793650795</c:v>
                </c:pt>
                <c:pt idx="88">
                  <c:v>-8453.4883720930229</c:v>
                </c:pt>
                <c:pt idx="89">
                  <c:v>-8403.8461538461543</c:v>
                </c:pt>
                <c:pt idx="90">
                  <c:v>-8403.8461538461543</c:v>
                </c:pt>
                <c:pt idx="91">
                  <c:v>-8400.7633587786258</c:v>
                </c:pt>
                <c:pt idx="92">
                  <c:v>-8400.7633587786258</c:v>
                </c:pt>
                <c:pt idx="93">
                  <c:v>-8422.5563909774428</c:v>
                </c:pt>
                <c:pt idx="94">
                  <c:v>-8419.4029850746265</c:v>
                </c:pt>
                <c:pt idx="95">
                  <c:v>-8366.6666666666661</c:v>
                </c:pt>
                <c:pt idx="96">
                  <c:v>-8437.5</c:v>
                </c:pt>
                <c:pt idx="97">
                  <c:v>-8432.1167883211674</c:v>
                </c:pt>
                <c:pt idx="98">
                  <c:v>-8434.5323741007196</c:v>
                </c:pt>
                <c:pt idx="99">
                  <c:v>-8434.5323741007196</c:v>
                </c:pt>
                <c:pt idx="100">
                  <c:v>-8365.9574468085102</c:v>
                </c:pt>
                <c:pt idx="101">
                  <c:v>-8334.5070422535209</c:v>
                </c:pt>
                <c:pt idx="102">
                  <c:v>-8273.7931034482754</c:v>
                </c:pt>
                <c:pt idx="103">
                  <c:v>-8237.4149659863942</c:v>
                </c:pt>
                <c:pt idx="104">
                  <c:v>-8237.4149659863942</c:v>
                </c:pt>
                <c:pt idx="105">
                  <c:v>-8216.1073825503354</c:v>
                </c:pt>
                <c:pt idx="106">
                  <c:v>-8184.1059602649011</c:v>
                </c:pt>
                <c:pt idx="107">
                  <c:v>-8155.9210526315792</c:v>
                </c:pt>
                <c:pt idx="108">
                  <c:v>-8109.1503267973858</c:v>
                </c:pt>
                <c:pt idx="109">
                  <c:v>-8094.1558441558445</c:v>
                </c:pt>
                <c:pt idx="110">
                  <c:v>-8119.3548387096771</c:v>
                </c:pt>
                <c:pt idx="111">
                  <c:v>-8119.3548387096771</c:v>
                </c:pt>
                <c:pt idx="112">
                  <c:v>-8036.9426751592355</c:v>
                </c:pt>
                <c:pt idx="113">
                  <c:v>-8006.3291139240509</c:v>
                </c:pt>
                <c:pt idx="114">
                  <c:v>-8006.3291139240509</c:v>
                </c:pt>
                <c:pt idx="115">
                  <c:v>-8106.9182389937105</c:v>
                </c:pt>
                <c:pt idx="116">
                  <c:v>-8088.75</c:v>
                </c:pt>
                <c:pt idx="117">
                  <c:v>-8017.2839506172841</c:v>
                </c:pt>
                <c:pt idx="118">
                  <c:v>-8017.2839506172841</c:v>
                </c:pt>
                <c:pt idx="119">
                  <c:v>-7949.3902439024387</c:v>
                </c:pt>
                <c:pt idx="120">
                  <c:v>-8014.9700598802392</c:v>
                </c:pt>
                <c:pt idx="121">
                  <c:v>-7998.2142857142853</c:v>
                </c:pt>
                <c:pt idx="122">
                  <c:v>-7932.9411764705883</c:v>
                </c:pt>
                <c:pt idx="123">
                  <c:v>-7932.9411764705883</c:v>
                </c:pt>
                <c:pt idx="124">
                  <c:v>-7897.0930232558139</c:v>
                </c:pt>
                <c:pt idx="125">
                  <c:v>-8128.9017341040462</c:v>
                </c:pt>
                <c:pt idx="126">
                  <c:v>-8111.4285714285716</c:v>
                </c:pt>
                <c:pt idx="127">
                  <c:v>-8116.9491525423728</c:v>
                </c:pt>
                <c:pt idx="128">
                  <c:v>-8136.3128491620109</c:v>
                </c:pt>
                <c:pt idx="129">
                  <c:v>-8136.3128491620109</c:v>
                </c:pt>
                <c:pt idx="130">
                  <c:v>-8105.5555555555557</c:v>
                </c:pt>
                <c:pt idx="131">
                  <c:v>-8065.0273224043713</c:v>
                </c:pt>
                <c:pt idx="132">
                  <c:v>-8040.5405405405409</c:v>
                </c:pt>
                <c:pt idx="133">
                  <c:v>-7993.6170212765956</c:v>
                </c:pt>
                <c:pt idx="134">
                  <c:v>-7993.6842105263158</c:v>
                </c:pt>
                <c:pt idx="135">
                  <c:v>-7965.8031088082898</c:v>
                </c:pt>
                <c:pt idx="136">
                  <c:v>-7965.8031088082898</c:v>
                </c:pt>
                <c:pt idx="137">
                  <c:v>-7916.4102564102568</c:v>
                </c:pt>
                <c:pt idx="138">
                  <c:v>-7937.2448979591836</c:v>
                </c:pt>
                <c:pt idx="139">
                  <c:v>-7926.3959390862947</c:v>
                </c:pt>
                <c:pt idx="140">
                  <c:v>-7946.969696969697</c:v>
                </c:pt>
                <c:pt idx="141">
                  <c:v>-8017.5</c:v>
                </c:pt>
                <c:pt idx="142">
                  <c:v>-8076.2376237623766</c:v>
                </c:pt>
                <c:pt idx="143">
                  <c:v>-8076.2376237623766</c:v>
                </c:pt>
                <c:pt idx="144">
                  <c:v>-8272.9064039408859</c:v>
                </c:pt>
                <c:pt idx="145">
                  <c:v>-8269.7560975609758</c:v>
                </c:pt>
                <c:pt idx="146">
                  <c:v>-8384.9514563106804</c:v>
                </c:pt>
                <c:pt idx="147">
                  <c:v>-8384.9514563106804</c:v>
                </c:pt>
                <c:pt idx="148">
                  <c:v>-8384.9514563106804</c:v>
                </c:pt>
                <c:pt idx="149">
                  <c:v>-8384.9514563106804</c:v>
                </c:pt>
                <c:pt idx="150">
                  <c:v>-8402.4154589371974</c:v>
                </c:pt>
                <c:pt idx="151">
                  <c:v>-8387.1428571428569</c:v>
                </c:pt>
                <c:pt idx="152">
                  <c:v>-8359.7156398104271</c:v>
                </c:pt>
                <c:pt idx="153">
                  <c:v>-8356.6037735849059</c:v>
                </c:pt>
                <c:pt idx="154">
                  <c:v>-8370.5607476635505</c:v>
                </c:pt>
                <c:pt idx="155">
                  <c:v>-8355.8139534883721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75.16292541636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れんたろう2!$K$3:$K$158</c:f>
              <c:numCache>
                <c:formatCode>0.0%</c:formatCode>
                <c:ptCount val="156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0.11538461538461539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  <c:pt idx="104">
                  <c:v>0.10576923076923077</c:v>
                </c:pt>
                <c:pt idx="105">
                  <c:v>0.10476190476190476</c:v>
                </c:pt>
                <c:pt idx="106">
                  <c:v>0.10377358490566038</c:v>
                </c:pt>
                <c:pt idx="107">
                  <c:v>0.10280373831775701</c:v>
                </c:pt>
                <c:pt idx="108">
                  <c:v>0.10185185185185185</c:v>
                </c:pt>
                <c:pt idx="109">
                  <c:v>0.10091743119266056</c:v>
                </c:pt>
                <c:pt idx="110">
                  <c:v>0.1</c:v>
                </c:pt>
                <c:pt idx="111">
                  <c:v>9.90990990990991E-2</c:v>
                </c:pt>
                <c:pt idx="112">
                  <c:v>9.8214285714285712E-2</c:v>
                </c:pt>
                <c:pt idx="113">
                  <c:v>9.7345132743362831E-2</c:v>
                </c:pt>
                <c:pt idx="114">
                  <c:v>9.6491228070175433E-2</c:v>
                </c:pt>
                <c:pt idx="115">
                  <c:v>0.10434782608695652</c:v>
                </c:pt>
                <c:pt idx="116">
                  <c:v>0.10344827586206896</c:v>
                </c:pt>
                <c:pt idx="117">
                  <c:v>0.10256410256410256</c:v>
                </c:pt>
                <c:pt idx="118">
                  <c:v>0.10169491525423729</c:v>
                </c:pt>
                <c:pt idx="119">
                  <c:v>0.10084033613445378</c:v>
                </c:pt>
                <c:pt idx="120">
                  <c:v>0.10833333333333334</c:v>
                </c:pt>
                <c:pt idx="121">
                  <c:v>0.10743801652892562</c:v>
                </c:pt>
                <c:pt idx="122">
                  <c:v>0.10655737704918032</c:v>
                </c:pt>
                <c:pt idx="123">
                  <c:v>0.10569105691056911</c:v>
                </c:pt>
                <c:pt idx="124">
                  <c:v>0.11290322580645161</c:v>
                </c:pt>
                <c:pt idx="125">
                  <c:v>0.12</c:v>
                </c:pt>
                <c:pt idx="126">
                  <c:v>0.11904761904761904</c:v>
                </c:pt>
                <c:pt idx="127">
                  <c:v>0.11811023622047244</c:v>
                </c:pt>
                <c:pt idx="128">
                  <c:v>0.1171875</c:v>
                </c:pt>
                <c:pt idx="129">
                  <c:v>0.11627906976744186</c:v>
                </c:pt>
                <c:pt idx="130">
                  <c:v>0.11538461538461539</c:v>
                </c:pt>
                <c:pt idx="131">
                  <c:v>0.12213740458015267</c:v>
                </c:pt>
                <c:pt idx="132">
                  <c:v>0.12121212121212122</c:v>
                </c:pt>
                <c:pt idx="133">
                  <c:v>0.12030075187969924</c:v>
                </c:pt>
                <c:pt idx="134">
                  <c:v>0.11940298507462686</c:v>
                </c:pt>
                <c:pt idx="135">
                  <c:v>0.11851851851851852</c:v>
                </c:pt>
                <c:pt idx="136">
                  <c:v>0.11764705882352941</c:v>
                </c:pt>
                <c:pt idx="137">
                  <c:v>0.11678832116788321</c:v>
                </c:pt>
                <c:pt idx="138">
                  <c:v>0.11594202898550725</c:v>
                </c:pt>
                <c:pt idx="139">
                  <c:v>0.11510791366906475</c:v>
                </c:pt>
                <c:pt idx="140">
                  <c:v>0.11428571428571428</c:v>
                </c:pt>
                <c:pt idx="141">
                  <c:v>0.12056737588652482</c:v>
                </c:pt>
                <c:pt idx="142">
                  <c:v>0.11971830985915492</c:v>
                </c:pt>
                <c:pt idx="143">
                  <c:v>0.11888111888111888</c:v>
                </c:pt>
                <c:pt idx="144">
                  <c:v>0.125</c:v>
                </c:pt>
                <c:pt idx="145">
                  <c:v>0.12413793103448276</c:v>
                </c:pt>
                <c:pt idx="146">
                  <c:v>0.13013698630136986</c:v>
                </c:pt>
                <c:pt idx="147">
                  <c:v>0.12925170068027211</c:v>
                </c:pt>
                <c:pt idx="148">
                  <c:v>0.12837837837837837</c:v>
                </c:pt>
                <c:pt idx="149">
                  <c:v>0.12751677852348994</c:v>
                </c:pt>
                <c:pt idx="150">
                  <c:v>0.12666666666666668</c:v>
                </c:pt>
                <c:pt idx="151">
                  <c:v>0.12582781456953643</c:v>
                </c:pt>
                <c:pt idx="152">
                  <c:v>0.125</c:v>
                </c:pt>
                <c:pt idx="153">
                  <c:v>0.12418300653594772</c:v>
                </c:pt>
                <c:pt idx="154">
                  <c:v>0.12337662337662338</c:v>
                </c:pt>
                <c:pt idx="155">
                  <c:v>0.12258064516129032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51690821256038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れんたろう2!$L$3:$L$158</c:f>
              <c:numCache>
                <c:formatCode>0.0%</c:formatCode>
                <c:ptCount val="156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  <c:pt idx="78">
                  <c:v>0.31897926634768742</c:v>
                </c:pt>
                <c:pt idx="79">
                  <c:v>0.31653543307086612</c:v>
                </c:pt>
                <c:pt idx="80">
                  <c:v>0.31627906976744186</c:v>
                </c:pt>
                <c:pt idx="81">
                  <c:v>0.3165137614678899</c:v>
                </c:pt>
                <c:pt idx="82">
                  <c:v>0.31618759455370649</c:v>
                </c:pt>
                <c:pt idx="83">
                  <c:v>0.31500742942050519</c:v>
                </c:pt>
                <c:pt idx="84">
                  <c:v>0.31617647058823528</c:v>
                </c:pt>
                <c:pt idx="85">
                  <c:v>0.31304347826086959</c:v>
                </c:pt>
                <c:pt idx="86">
                  <c:v>0.31088825214899712</c:v>
                </c:pt>
                <c:pt idx="87">
                  <c:v>0.31063829787234043</c:v>
                </c:pt>
                <c:pt idx="88">
                  <c:v>0.31092436974789917</c:v>
                </c:pt>
                <c:pt idx="89">
                  <c:v>0.31258644536652835</c:v>
                </c:pt>
                <c:pt idx="90">
                  <c:v>0.31318681318681318</c:v>
                </c:pt>
                <c:pt idx="91">
                  <c:v>0.31564625850340133</c:v>
                </c:pt>
                <c:pt idx="92">
                  <c:v>0.31713900134952766</c:v>
                </c:pt>
                <c:pt idx="93">
                  <c:v>0.31593038821954483</c:v>
                </c:pt>
                <c:pt idx="94">
                  <c:v>0.31613756613756616</c:v>
                </c:pt>
                <c:pt idx="95">
                  <c:v>0.31716906946264745</c:v>
                </c:pt>
                <c:pt idx="96">
                  <c:v>0.31818181818181818</c:v>
                </c:pt>
                <c:pt idx="97">
                  <c:v>0.31572164948453607</c:v>
                </c:pt>
                <c:pt idx="98">
                  <c:v>0.31887755102040816</c:v>
                </c:pt>
                <c:pt idx="99">
                  <c:v>0.31823899371069181</c:v>
                </c:pt>
                <c:pt idx="100">
                  <c:v>0.31467661691542287</c:v>
                </c:pt>
                <c:pt idx="101">
                  <c:v>0.31449631449631449</c:v>
                </c:pt>
                <c:pt idx="102">
                  <c:v>0.31310679611650488</c:v>
                </c:pt>
                <c:pt idx="103">
                  <c:v>0.31129807692307693</c:v>
                </c:pt>
                <c:pt idx="104">
                  <c:v>0.31071428571428572</c:v>
                </c:pt>
                <c:pt idx="105">
                  <c:v>0.30904817861339601</c:v>
                </c:pt>
                <c:pt idx="106">
                  <c:v>0.30974477958236657</c:v>
                </c:pt>
                <c:pt idx="107">
                  <c:v>0.31185270425776757</c:v>
                </c:pt>
                <c:pt idx="108">
                  <c:v>0.31626848691695109</c:v>
                </c:pt>
                <c:pt idx="109">
                  <c:v>0.31313131313131315</c:v>
                </c:pt>
                <c:pt idx="110">
                  <c:v>0.31368186874304782</c:v>
                </c:pt>
                <c:pt idx="111">
                  <c:v>0.31387665198237885</c:v>
                </c:pt>
                <c:pt idx="112">
                  <c:v>0.31406761177753545</c:v>
                </c:pt>
                <c:pt idx="113">
                  <c:v>0.31419284940411701</c:v>
                </c:pt>
                <c:pt idx="114">
                  <c:v>0.3139784946236559</c:v>
                </c:pt>
                <c:pt idx="115">
                  <c:v>0.31229946524064173</c:v>
                </c:pt>
                <c:pt idx="116">
                  <c:v>0.31151003167898628</c:v>
                </c:pt>
                <c:pt idx="117">
                  <c:v>0.31171548117154813</c:v>
                </c:pt>
                <c:pt idx="118">
                  <c:v>0.31120331950207469</c:v>
                </c:pt>
                <c:pt idx="119">
                  <c:v>0.31038026721479961</c:v>
                </c:pt>
                <c:pt idx="120">
                  <c:v>0.30933062880324541</c:v>
                </c:pt>
                <c:pt idx="121">
                  <c:v>0.30947580645161288</c:v>
                </c:pt>
                <c:pt idx="122">
                  <c:v>0.30730730730730732</c:v>
                </c:pt>
                <c:pt idx="123">
                  <c:v>0.30715705765407553</c:v>
                </c:pt>
                <c:pt idx="124">
                  <c:v>0.30700888450148073</c:v>
                </c:pt>
                <c:pt idx="125">
                  <c:v>0.30640394088669953</c:v>
                </c:pt>
                <c:pt idx="126">
                  <c:v>0.30430528375733856</c:v>
                </c:pt>
                <c:pt idx="127">
                  <c:v>0.30367504835589942</c:v>
                </c:pt>
                <c:pt idx="128">
                  <c:v>0.30363984674329503</c:v>
                </c:pt>
                <c:pt idx="129">
                  <c:v>0.30476190476190479</c:v>
                </c:pt>
                <c:pt idx="130">
                  <c:v>0.30434782608695654</c:v>
                </c:pt>
                <c:pt idx="131">
                  <c:v>0.30234741784037561</c:v>
                </c:pt>
                <c:pt idx="132">
                  <c:v>0.30139534883720931</c:v>
                </c:pt>
                <c:pt idx="133">
                  <c:v>0.30009233610341646</c:v>
                </c:pt>
                <c:pt idx="134">
                  <c:v>0.29981718464351004</c:v>
                </c:pt>
                <c:pt idx="135">
                  <c:v>0.29891304347826086</c:v>
                </c:pt>
                <c:pt idx="136">
                  <c:v>0.29819819819819821</c:v>
                </c:pt>
                <c:pt idx="137">
                  <c:v>0.29785330948121647</c:v>
                </c:pt>
                <c:pt idx="138">
                  <c:v>0.29599999999999999</c:v>
                </c:pt>
                <c:pt idx="139">
                  <c:v>0.29593639575971731</c:v>
                </c:pt>
                <c:pt idx="140">
                  <c:v>0.29736842105263156</c:v>
                </c:pt>
                <c:pt idx="141">
                  <c:v>0.29720279720279719</c:v>
                </c:pt>
                <c:pt idx="142">
                  <c:v>0.29835212489158719</c:v>
                </c:pt>
                <c:pt idx="143">
                  <c:v>0.29913793103448277</c:v>
                </c:pt>
                <c:pt idx="144">
                  <c:v>0.29820051413881749</c:v>
                </c:pt>
                <c:pt idx="145">
                  <c:v>0.29727427597955708</c:v>
                </c:pt>
                <c:pt idx="146">
                  <c:v>0.29626485568760613</c:v>
                </c:pt>
                <c:pt idx="147">
                  <c:v>0.2967032967032967</c:v>
                </c:pt>
                <c:pt idx="148">
                  <c:v>0.29595278246205736</c:v>
                </c:pt>
                <c:pt idx="149">
                  <c:v>0.29604709840201848</c:v>
                </c:pt>
                <c:pt idx="150">
                  <c:v>0.29623430962343095</c:v>
                </c:pt>
                <c:pt idx="151">
                  <c:v>0.29528535980148884</c:v>
                </c:pt>
                <c:pt idx="152">
                  <c:v>0.29532403609515995</c:v>
                </c:pt>
                <c:pt idx="153">
                  <c:v>0.29551020408163264</c:v>
                </c:pt>
                <c:pt idx="154">
                  <c:v>0.2940226171243942</c:v>
                </c:pt>
                <c:pt idx="155">
                  <c:v>0.29407051282051283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127297953520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れんたろう2!$M$3:$M$158</c:f>
              <c:numCache>
                <c:formatCode>0.0%</c:formatCode>
                <c:ptCount val="156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  <c:pt idx="78">
                  <c:v>0.17543859649122806</c:v>
                </c:pt>
                <c:pt idx="79">
                  <c:v>0.17480314960629922</c:v>
                </c:pt>
                <c:pt idx="80">
                  <c:v>0.17674418604651163</c:v>
                </c:pt>
                <c:pt idx="81">
                  <c:v>0.1743119266055046</c:v>
                </c:pt>
                <c:pt idx="82">
                  <c:v>0.17397881996974282</c:v>
                </c:pt>
                <c:pt idx="83">
                  <c:v>0.17236255572065379</c:v>
                </c:pt>
                <c:pt idx="84">
                  <c:v>0.17058823529411765</c:v>
                </c:pt>
                <c:pt idx="85">
                  <c:v>0.17101449275362318</c:v>
                </c:pt>
                <c:pt idx="86">
                  <c:v>0.16905444126074498</c:v>
                </c:pt>
                <c:pt idx="87">
                  <c:v>0.1702127659574468</c:v>
                </c:pt>
                <c:pt idx="88">
                  <c:v>0.17086834733893558</c:v>
                </c:pt>
                <c:pt idx="89">
                  <c:v>0.17012448132780084</c:v>
                </c:pt>
                <c:pt idx="90">
                  <c:v>0.16895604395604397</c:v>
                </c:pt>
                <c:pt idx="91">
                  <c:v>0.16734693877551021</c:v>
                </c:pt>
                <c:pt idx="92">
                  <c:v>0.16599190283400811</c:v>
                </c:pt>
                <c:pt idx="93">
                  <c:v>0.1646586345381526</c:v>
                </c:pt>
                <c:pt idx="94">
                  <c:v>0.16402116402116401</c:v>
                </c:pt>
                <c:pt idx="95">
                  <c:v>0.16382699868938402</c:v>
                </c:pt>
                <c:pt idx="96">
                  <c:v>0.16493506493506493</c:v>
                </c:pt>
                <c:pt idx="97">
                  <c:v>0.16365979381443299</c:v>
                </c:pt>
                <c:pt idx="98">
                  <c:v>0.16198979591836735</c:v>
                </c:pt>
                <c:pt idx="99">
                  <c:v>0.16352201257861634</c:v>
                </c:pt>
                <c:pt idx="100">
                  <c:v>0.16417910447761194</c:v>
                </c:pt>
                <c:pt idx="101">
                  <c:v>0.16584766584766586</c:v>
                </c:pt>
                <c:pt idx="102">
                  <c:v>0.16747572815533981</c:v>
                </c:pt>
                <c:pt idx="103">
                  <c:v>0.16586538461538461</c:v>
                </c:pt>
                <c:pt idx="104">
                  <c:v>0.16666666666666666</c:v>
                </c:pt>
                <c:pt idx="105">
                  <c:v>0.16686251468860164</c:v>
                </c:pt>
                <c:pt idx="106">
                  <c:v>0.17053364269141533</c:v>
                </c:pt>
                <c:pt idx="107">
                  <c:v>0.17031070195627157</c:v>
                </c:pt>
                <c:pt idx="108">
                  <c:v>0.17064846416382254</c:v>
                </c:pt>
                <c:pt idx="109">
                  <c:v>0.17508417508417509</c:v>
                </c:pt>
                <c:pt idx="110">
                  <c:v>0.1757508342602892</c:v>
                </c:pt>
                <c:pt idx="111">
                  <c:v>0.1762114537444934</c:v>
                </c:pt>
                <c:pt idx="112">
                  <c:v>0.17775354416575789</c:v>
                </c:pt>
                <c:pt idx="113">
                  <c:v>0.17659804983748645</c:v>
                </c:pt>
                <c:pt idx="114">
                  <c:v>0.17741935483870969</c:v>
                </c:pt>
                <c:pt idx="115">
                  <c:v>0.17647058823529413</c:v>
                </c:pt>
                <c:pt idx="116">
                  <c:v>0.17634635691657866</c:v>
                </c:pt>
                <c:pt idx="117">
                  <c:v>0.17782426778242677</c:v>
                </c:pt>
                <c:pt idx="118">
                  <c:v>0.17946058091286307</c:v>
                </c:pt>
                <c:pt idx="119">
                  <c:v>0.17985611510791366</c:v>
                </c:pt>
                <c:pt idx="120">
                  <c:v>0.18154158215010141</c:v>
                </c:pt>
                <c:pt idx="121">
                  <c:v>0.18044354838709678</c:v>
                </c:pt>
                <c:pt idx="122">
                  <c:v>0.18118118118118118</c:v>
                </c:pt>
                <c:pt idx="123">
                  <c:v>0.18091451292246521</c:v>
                </c:pt>
                <c:pt idx="124">
                  <c:v>0.18065153010858837</c:v>
                </c:pt>
                <c:pt idx="125">
                  <c:v>0.18029556650246306</c:v>
                </c:pt>
                <c:pt idx="126">
                  <c:v>0.18395303326810175</c:v>
                </c:pt>
                <c:pt idx="127">
                  <c:v>0.18568665377176016</c:v>
                </c:pt>
                <c:pt idx="128">
                  <c:v>0.18486590038314177</c:v>
                </c:pt>
                <c:pt idx="129">
                  <c:v>0.18380952380952381</c:v>
                </c:pt>
                <c:pt idx="130">
                  <c:v>0.18525519848771266</c:v>
                </c:pt>
                <c:pt idx="131">
                  <c:v>0.18497652582159624</c:v>
                </c:pt>
                <c:pt idx="132">
                  <c:v>0.18511627906976744</c:v>
                </c:pt>
                <c:pt idx="133">
                  <c:v>0.18374884579870729</c:v>
                </c:pt>
                <c:pt idx="134">
                  <c:v>0.18190127970749542</c:v>
                </c:pt>
                <c:pt idx="135">
                  <c:v>0.18115942028985507</c:v>
                </c:pt>
                <c:pt idx="136">
                  <c:v>0.18108108108108109</c:v>
                </c:pt>
                <c:pt idx="137">
                  <c:v>0.18067978533094811</c:v>
                </c:pt>
                <c:pt idx="138">
                  <c:v>0.18133333333333335</c:v>
                </c:pt>
                <c:pt idx="139">
                  <c:v>0.18197879858657243</c:v>
                </c:pt>
                <c:pt idx="140">
                  <c:v>0.18245614035087721</c:v>
                </c:pt>
                <c:pt idx="141">
                  <c:v>0.18269230769230768</c:v>
                </c:pt>
                <c:pt idx="142">
                  <c:v>0.18300086730268864</c:v>
                </c:pt>
                <c:pt idx="143">
                  <c:v>0.18362068965517242</c:v>
                </c:pt>
                <c:pt idx="144">
                  <c:v>0.18337617823479005</c:v>
                </c:pt>
                <c:pt idx="145">
                  <c:v>0.18483816013628621</c:v>
                </c:pt>
                <c:pt idx="146">
                  <c:v>0.18421052631578946</c:v>
                </c:pt>
                <c:pt idx="147">
                  <c:v>0.18427726120033813</c:v>
                </c:pt>
                <c:pt idx="148">
                  <c:v>0.18465430016863407</c:v>
                </c:pt>
                <c:pt idx="149">
                  <c:v>0.18418839360807401</c:v>
                </c:pt>
                <c:pt idx="150">
                  <c:v>0.18326359832635983</c:v>
                </c:pt>
                <c:pt idx="151">
                  <c:v>0.18527708850289495</c:v>
                </c:pt>
                <c:pt idx="152">
                  <c:v>0.18457752255947499</c:v>
                </c:pt>
                <c:pt idx="153">
                  <c:v>0.18612244897959185</c:v>
                </c:pt>
                <c:pt idx="154">
                  <c:v>0.18659127625201938</c:v>
                </c:pt>
                <c:pt idx="155">
                  <c:v>0.18669871794871795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81870736501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れんたろう2!$N$3:$N$158</c:f>
              <c:numCache>
                <c:formatCode>0.0%</c:formatCode>
                <c:ptCount val="156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  <c:pt idx="78">
                  <c:v>0.55000000000000004</c:v>
                </c:pt>
                <c:pt idx="79">
                  <c:v>0.54726368159203975</c:v>
                </c:pt>
                <c:pt idx="80">
                  <c:v>0.54411764705882348</c:v>
                </c:pt>
                <c:pt idx="81">
                  <c:v>0.54589371980676327</c:v>
                </c:pt>
                <c:pt idx="82">
                  <c:v>0.55023923444976075</c:v>
                </c:pt>
                <c:pt idx="83">
                  <c:v>0.55188679245283023</c:v>
                </c:pt>
                <c:pt idx="84">
                  <c:v>0.5488372093023256</c:v>
                </c:pt>
                <c:pt idx="85">
                  <c:v>0.55092592592592593</c:v>
                </c:pt>
                <c:pt idx="86">
                  <c:v>0.55299539170506917</c:v>
                </c:pt>
                <c:pt idx="87">
                  <c:v>0.54794520547945202</c:v>
                </c:pt>
                <c:pt idx="88">
                  <c:v>0.54504504504504503</c:v>
                </c:pt>
                <c:pt idx="89">
                  <c:v>0.54424778761061943</c:v>
                </c:pt>
                <c:pt idx="90">
                  <c:v>0.54824561403508776</c:v>
                </c:pt>
                <c:pt idx="91">
                  <c:v>0.54741379310344829</c:v>
                </c:pt>
                <c:pt idx="92">
                  <c:v>0.55319148936170215</c:v>
                </c:pt>
                <c:pt idx="93">
                  <c:v>0.55508474576271183</c:v>
                </c:pt>
                <c:pt idx="94">
                  <c:v>0.55648535564853552</c:v>
                </c:pt>
                <c:pt idx="95">
                  <c:v>0.55371900826446285</c:v>
                </c:pt>
                <c:pt idx="96">
                  <c:v>0.55510204081632653</c:v>
                </c:pt>
                <c:pt idx="97">
                  <c:v>0.55510204081632653</c:v>
                </c:pt>
                <c:pt idx="98">
                  <c:v>0.55600000000000005</c:v>
                </c:pt>
                <c:pt idx="99">
                  <c:v>0.55731225296442688</c:v>
                </c:pt>
                <c:pt idx="100">
                  <c:v>0.55731225296442688</c:v>
                </c:pt>
                <c:pt idx="101">
                  <c:v>0.5546875</c:v>
                </c:pt>
                <c:pt idx="102">
                  <c:v>0.55426356589147285</c:v>
                </c:pt>
                <c:pt idx="103">
                  <c:v>0.55598455598455598</c:v>
                </c:pt>
                <c:pt idx="104">
                  <c:v>0.55555555555555558</c:v>
                </c:pt>
                <c:pt idx="105">
                  <c:v>0.5513307984790875</c:v>
                </c:pt>
                <c:pt idx="106">
                  <c:v>0.55430711610486894</c:v>
                </c:pt>
                <c:pt idx="107">
                  <c:v>0.55719557195571956</c:v>
                </c:pt>
                <c:pt idx="108">
                  <c:v>0.5539568345323741</c:v>
                </c:pt>
                <c:pt idx="109">
                  <c:v>0.55197132616487454</c:v>
                </c:pt>
                <c:pt idx="110">
                  <c:v>0.54964539007092195</c:v>
                </c:pt>
                <c:pt idx="111">
                  <c:v>0.55438596491228065</c:v>
                </c:pt>
                <c:pt idx="112">
                  <c:v>0.55208333333333337</c:v>
                </c:pt>
                <c:pt idx="113">
                  <c:v>0.55517241379310345</c:v>
                </c:pt>
                <c:pt idx="114">
                  <c:v>0.55136986301369861</c:v>
                </c:pt>
                <c:pt idx="115">
                  <c:v>0.55136986301369861</c:v>
                </c:pt>
                <c:pt idx="116">
                  <c:v>0.55254237288135588</c:v>
                </c:pt>
                <c:pt idx="117">
                  <c:v>0.55704697986577179</c:v>
                </c:pt>
                <c:pt idx="118">
                  <c:v>0.55666666666666664</c:v>
                </c:pt>
                <c:pt idx="119">
                  <c:v>0.55629139072847678</c:v>
                </c:pt>
                <c:pt idx="120">
                  <c:v>0.55081967213114758</c:v>
                </c:pt>
                <c:pt idx="121">
                  <c:v>0.55374592833876224</c:v>
                </c:pt>
                <c:pt idx="122">
                  <c:v>0.55374592833876224</c:v>
                </c:pt>
                <c:pt idx="123">
                  <c:v>0.55339805825242716</c:v>
                </c:pt>
                <c:pt idx="124">
                  <c:v>0.54983922829581988</c:v>
                </c:pt>
                <c:pt idx="125">
                  <c:v>0.54983922829581988</c:v>
                </c:pt>
                <c:pt idx="126">
                  <c:v>0.54983922829581988</c:v>
                </c:pt>
                <c:pt idx="127">
                  <c:v>0.55095541401273884</c:v>
                </c:pt>
                <c:pt idx="128">
                  <c:v>0.54889589905362779</c:v>
                </c:pt>
                <c:pt idx="129">
                  <c:v>0.55312499999999998</c:v>
                </c:pt>
                <c:pt idx="130">
                  <c:v>0.5496894409937888</c:v>
                </c:pt>
                <c:pt idx="131">
                  <c:v>0.5496894409937888</c:v>
                </c:pt>
                <c:pt idx="132">
                  <c:v>0.54938271604938271</c:v>
                </c:pt>
                <c:pt idx="133">
                  <c:v>0.55076923076923079</c:v>
                </c:pt>
                <c:pt idx="134">
                  <c:v>0.54878048780487809</c:v>
                </c:pt>
                <c:pt idx="135">
                  <c:v>0.54848484848484846</c:v>
                </c:pt>
                <c:pt idx="136">
                  <c:v>0.54682779456193353</c:v>
                </c:pt>
                <c:pt idx="137">
                  <c:v>0.5495495495495496</c:v>
                </c:pt>
                <c:pt idx="138">
                  <c:v>0.5495495495495496</c:v>
                </c:pt>
                <c:pt idx="139">
                  <c:v>0.54925373134328359</c:v>
                </c:pt>
                <c:pt idx="140">
                  <c:v>0.54867256637168138</c:v>
                </c:pt>
                <c:pt idx="141">
                  <c:v>0.54705882352941182</c:v>
                </c:pt>
                <c:pt idx="142">
                  <c:v>0.54360465116279066</c:v>
                </c:pt>
                <c:pt idx="143">
                  <c:v>0.5417867435158501</c:v>
                </c:pt>
                <c:pt idx="144">
                  <c:v>0.54022988505747127</c:v>
                </c:pt>
                <c:pt idx="145">
                  <c:v>0.5386819484240688</c:v>
                </c:pt>
                <c:pt idx="146">
                  <c:v>0.5386819484240688</c:v>
                </c:pt>
                <c:pt idx="147">
                  <c:v>0.54131054131054135</c:v>
                </c:pt>
                <c:pt idx="148">
                  <c:v>0.54131054131054135</c:v>
                </c:pt>
                <c:pt idx="149">
                  <c:v>0.54261363636363635</c:v>
                </c:pt>
                <c:pt idx="150">
                  <c:v>0.5423728813559322</c:v>
                </c:pt>
                <c:pt idx="151">
                  <c:v>0.54061624649859941</c:v>
                </c:pt>
                <c:pt idx="152">
                  <c:v>0.54166666666666663</c:v>
                </c:pt>
                <c:pt idx="153">
                  <c:v>0.54143646408839774</c:v>
                </c:pt>
                <c:pt idx="154">
                  <c:v>0.54395604395604391</c:v>
                </c:pt>
                <c:pt idx="155">
                  <c:v>0.54495912806539515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040515653775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れんたろう2!$O$3:$O$158</c:f>
              <c:numCache>
                <c:formatCode>0.0%</c:formatCode>
                <c:ptCount val="156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  <c:pt idx="78">
                  <c:v>0.41818181818181815</c:v>
                </c:pt>
                <c:pt idx="79">
                  <c:v>0.4144144144144144</c:v>
                </c:pt>
                <c:pt idx="80">
                  <c:v>0.40350877192982454</c:v>
                </c:pt>
                <c:pt idx="81">
                  <c:v>0.40350877192982454</c:v>
                </c:pt>
                <c:pt idx="82">
                  <c:v>0.40869565217391307</c:v>
                </c:pt>
                <c:pt idx="83">
                  <c:v>0.40517241379310343</c:v>
                </c:pt>
                <c:pt idx="84">
                  <c:v>0.40517241379310343</c:v>
                </c:pt>
                <c:pt idx="85">
                  <c:v>0.40677966101694918</c:v>
                </c:pt>
                <c:pt idx="86">
                  <c:v>0.40677966101694918</c:v>
                </c:pt>
                <c:pt idx="87">
                  <c:v>0.4</c:v>
                </c:pt>
                <c:pt idx="88">
                  <c:v>0.40163934426229508</c:v>
                </c:pt>
                <c:pt idx="89">
                  <c:v>0.3983739837398374</c:v>
                </c:pt>
                <c:pt idx="90">
                  <c:v>0.3983739837398374</c:v>
                </c:pt>
                <c:pt idx="91">
                  <c:v>0.3983739837398374</c:v>
                </c:pt>
                <c:pt idx="92">
                  <c:v>0.3983739837398374</c:v>
                </c:pt>
                <c:pt idx="93">
                  <c:v>0.3983739837398374</c:v>
                </c:pt>
                <c:pt idx="94">
                  <c:v>0.39516129032258063</c:v>
                </c:pt>
                <c:pt idx="95">
                  <c:v>0.4</c:v>
                </c:pt>
                <c:pt idx="96">
                  <c:v>0.39370078740157483</c:v>
                </c:pt>
                <c:pt idx="97">
                  <c:v>0.39370078740157483</c:v>
                </c:pt>
                <c:pt idx="98">
                  <c:v>0.39370078740157483</c:v>
                </c:pt>
                <c:pt idx="99">
                  <c:v>0.3923076923076923</c:v>
                </c:pt>
                <c:pt idx="100">
                  <c:v>0.39393939393939392</c:v>
                </c:pt>
                <c:pt idx="101">
                  <c:v>0.3925925925925926</c:v>
                </c:pt>
                <c:pt idx="102">
                  <c:v>0.39130434782608697</c:v>
                </c:pt>
                <c:pt idx="103">
                  <c:v>0.39130434782608697</c:v>
                </c:pt>
                <c:pt idx="104">
                  <c:v>0.38571428571428573</c:v>
                </c:pt>
                <c:pt idx="105">
                  <c:v>0.38028169014084506</c:v>
                </c:pt>
                <c:pt idx="106">
                  <c:v>0.37414965986394561</c:v>
                </c:pt>
                <c:pt idx="107">
                  <c:v>0.3783783783783784</c:v>
                </c:pt>
                <c:pt idx="108">
                  <c:v>0.37333333333333335</c:v>
                </c:pt>
                <c:pt idx="109">
                  <c:v>0.37820512820512819</c:v>
                </c:pt>
                <c:pt idx="110">
                  <c:v>0.38607594936708861</c:v>
                </c:pt>
                <c:pt idx="111">
                  <c:v>0.39374999999999999</c:v>
                </c:pt>
                <c:pt idx="112">
                  <c:v>0.3987730061349693</c:v>
                </c:pt>
                <c:pt idx="113">
                  <c:v>0.3987730061349693</c:v>
                </c:pt>
                <c:pt idx="114">
                  <c:v>0.4</c:v>
                </c:pt>
                <c:pt idx="115">
                  <c:v>0.4</c:v>
                </c:pt>
                <c:pt idx="116">
                  <c:v>0.39520958083832336</c:v>
                </c:pt>
                <c:pt idx="117">
                  <c:v>0.39411764705882352</c:v>
                </c:pt>
                <c:pt idx="118">
                  <c:v>0.40462427745664742</c:v>
                </c:pt>
                <c:pt idx="119">
                  <c:v>0.4</c:v>
                </c:pt>
                <c:pt idx="120">
                  <c:v>0.4022346368715084</c:v>
                </c:pt>
                <c:pt idx="121">
                  <c:v>0.4022346368715084</c:v>
                </c:pt>
                <c:pt idx="122">
                  <c:v>0.40331491712707185</c:v>
                </c:pt>
                <c:pt idx="123">
                  <c:v>0.40109890109890112</c:v>
                </c:pt>
                <c:pt idx="124">
                  <c:v>0.39890710382513661</c:v>
                </c:pt>
                <c:pt idx="125">
                  <c:v>0.39890710382513661</c:v>
                </c:pt>
                <c:pt idx="126">
                  <c:v>0.39361702127659576</c:v>
                </c:pt>
                <c:pt idx="127">
                  <c:v>0.390625</c:v>
                </c:pt>
                <c:pt idx="128">
                  <c:v>0.38860103626943004</c:v>
                </c:pt>
                <c:pt idx="129">
                  <c:v>0.38860103626943004</c:v>
                </c:pt>
                <c:pt idx="130">
                  <c:v>0.38265306122448978</c:v>
                </c:pt>
                <c:pt idx="131">
                  <c:v>0.38071065989847713</c:v>
                </c:pt>
                <c:pt idx="132">
                  <c:v>0.37688442211055279</c:v>
                </c:pt>
                <c:pt idx="133">
                  <c:v>0.37688442211055279</c:v>
                </c:pt>
                <c:pt idx="134">
                  <c:v>0.37688442211055279</c:v>
                </c:pt>
                <c:pt idx="135">
                  <c:v>0.375</c:v>
                </c:pt>
                <c:pt idx="136">
                  <c:v>0.37313432835820898</c:v>
                </c:pt>
                <c:pt idx="137">
                  <c:v>0.37128712871287128</c:v>
                </c:pt>
                <c:pt idx="138">
                  <c:v>0.36764705882352944</c:v>
                </c:pt>
                <c:pt idx="139">
                  <c:v>0.36893203883495146</c:v>
                </c:pt>
                <c:pt idx="140">
                  <c:v>0.36538461538461536</c:v>
                </c:pt>
                <c:pt idx="141">
                  <c:v>0.36363636363636365</c:v>
                </c:pt>
                <c:pt idx="142">
                  <c:v>0.36966824644549762</c:v>
                </c:pt>
                <c:pt idx="143">
                  <c:v>0.37089201877934275</c:v>
                </c:pt>
                <c:pt idx="144">
                  <c:v>0.37383177570093457</c:v>
                </c:pt>
                <c:pt idx="145">
                  <c:v>0.38248847926267282</c:v>
                </c:pt>
                <c:pt idx="146">
                  <c:v>0.38248847926267282</c:v>
                </c:pt>
                <c:pt idx="147">
                  <c:v>0.38532110091743121</c:v>
                </c:pt>
                <c:pt idx="148">
                  <c:v>0.38356164383561642</c:v>
                </c:pt>
                <c:pt idx="149">
                  <c:v>0.38356164383561642</c:v>
                </c:pt>
                <c:pt idx="150">
                  <c:v>0.38356164383561642</c:v>
                </c:pt>
                <c:pt idx="151">
                  <c:v>0.38392857142857145</c:v>
                </c:pt>
                <c:pt idx="152">
                  <c:v>0.38666666666666666</c:v>
                </c:pt>
                <c:pt idx="153">
                  <c:v>0.39035087719298245</c:v>
                </c:pt>
                <c:pt idx="154">
                  <c:v>0.38961038961038963</c:v>
                </c:pt>
                <c:pt idx="155">
                  <c:v>0.3905579399141631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453865336658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れんたろう2!$A$3:$A$158</c:f>
              <c:numCache>
                <c:formatCode>0\ "回"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れんたろう2!$P$3:$P$158</c:f>
              <c:numCache>
                <c:formatCode>0.0%</c:formatCode>
                <c:ptCount val="156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  <c:pt idx="78">
                  <c:v>0.4887640449438202</c:v>
                </c:pt>
                <c:pt idx="79">
                  <c:v>0.4887640449438202</c:v>
                </c:pt>
                <c:pt idx="80">
                  <c:v>0.49444444444444446</c:v>
                </c:pt>
                <c:pt idx="81">
                  <c:v>0.49180327868852458</c:v>
                </c:pt>
                <c:pt idx="82">
                  <c:v>0.49732620320855614</c:v>
                </c:pt>
                <c:pt idx="83">
                  <c:v>0.49735449735449733</c:v>
                </c:pt>
                <c:pt idx="84">
                  <c:v>0.5</c:v>
                </c:pt>
                <c:pt idx="85">
                  <c:v>0.50520833333333337</c:v>
                </c:pt>
                <c:pt idx="86">
                  <c:v>0.51282051282051277</c:v>
                </c:pt>
                <c:pt idx="87">
                  <c:v>0.51282051282051277</c:v>
                </c:pt>
                <c:pt idx="88">
                  <c:v>0.51776649746192893</c:v>
                </c:pt>
                <c:pt idx="89">
                  <c:v>0.52261306532663321</c:v>
                </c:pt>
                <c:pt idx="90">
                  <c:v>0.52475247524752477</c:v>
                </c:pt>
                <c:pt idx="91">
                  <c:v>0.52941176470588236</c:v>
                </c:pt>
                <c:pt idx="92">
                  <c:v>0.52403846153846156</c:v>
                </c:pt>
                <c:pt idx="93">
                  <c:v>0.52153110047846885</c:v>
                </c:pt>
                <c:pt idx="94">
                  <c:v>0.52606635071090047</c:v>
                </c:pt>
                <c:pt idx="95">
                  <c:v>0.52336448598130836</c:v>
                </c:pt>
                <c:pt idx="96">
                  <c:v>0.52314814814814814</c:v>
                </c:pt>
                <c:pt idx="97">
                  <c:v>0.52534562211981561</c:v>
                </c:pt>
                <c:pt idx="98">
                  <c:v>0.51818181818181819</c:v>
                </c:pt>
                <c:pt idx="99">
                  <c:v>0.5246636771300448</c:v>
                </c:pt>
                <c:pt idx="100">
                  <c:v>0.5223214285714286</c:v>
                </c:pt>
                <c:pt idx="101">
                  <c:v>0.52212389380530977</c:v>
                </c:pt>
                <c:pt idx="102">
                  <c:v>0.52631578947368418</c:v>
                </c:pt>
                <c:pt idx="103">
                  <c:v>0.52813852813852813</c:v>
                </c:pt>
                <c:pt idx="104">
                  <c:v>0.52360515021459231</c:v>
                </c:pt>
                <c:pt idx="105">
                  <c:v>0.52360515021459231</c:v>
                </c:pt>
                <c:pt idx="106">
                  <c:v>0.51898734177215189</c:v>
                </c:pt>
                <c:pt idx="107">
                  <c:v>0.51867219917012453</c:v>
                </c:pt>
                <c:pt idx="108">
                  <c:v>0.51229508196721307</c:v>
                </c:pt>
                <c:pt idx="109">
                  <c:v>0.50806451612903225</c:v>
                </c:pt>
                <c:pt idx="110">
                  <c:v>0.50597609561752988</c:v>
                </c:pt>
                <c:pt idx="111">
                  <c:v>0.50390625</c:v>
                </c:pt>
                <c:pt idx="112">
                  <c:v>0.49806949806949807</c:v>
                </c:pt>
                <c:pt idx="113">
                  <c:v>0.49808429118773945</c:v>
                </c:pt>
                <c:pt idx="114">
                  <c:v>0.49809885931558934</c:v>
                </c:pt>
                <c:pt idx="115">
                  <c:v>0.49809885931558934</c:v>
                </c:pt>
                <c:pt idx="116">
                  <c:v>0.5</c:v>
                </c:pt>
                <c:pt idx="117">
                  <c:v>0.50553505535055354</c:v>
                </c:pt>
                <c:pt idx="118">
                  <c:v>0.50545454545454549</c:v>
                </c:pt>
                <c:pt idx="119">
                  <c:v>0.50724637681159424</c:v>
                </c:pt>
                <c:pt idx="120">
                  <c:v>0.5071942446043165</c:v>
                </c:pt>
                <c:pt idx="121">
                  <c:v>0.50714285714285712</c:v>
                </c:pt>
                <c:pt idx="122">
                  <c:v>0.50533807829181498</c:v>
                </c:pt>
                <c:pt idx="123">
                  <c:v>0.50176678445229683</c:v>
                </c:pt>
                <c:pt idx="124">
                  <c:v>0.50176678445229683</c:v>
                </c:pt>
                <c:pt idx="125">
                  <c:v>0.50176678445229683</c:v>
                </c:pt>
                <c:pt idx="126">
                  <c:v>0.50352112676056338</c:v>
                </c:pt>
                <c:pt idx="127">
                  <c:v>0.50871080139372826</c:v>
                </c:pt>
                <c:pt idx="128">
                  <c:v>0.51041666666666663</c:v>
                </c:pt>
                <c:pt idx="129">
                  <c:v>0.51202749140893467</c:v>
                </c:pt>
                <c:pt idx="130">
                  <c:v>0.51369863013698636</c:v>
                </c:pt>
                <c:pt idx="131">
                  <c:v>0.51369863013698636</c:v>
                </c:pt>
                <c:pt idx="132">
                  <c:v>0.51194539249146753</c:v>
                </c:pt>
                <c:pt idx="133">
                  <c:v>0.51351351351351349</c:v>
                </c:pt>
                <c:pt idx="134">
                  <c:v>0.51</c:v>
                </c:pt>
                <c:pt idx="135">
                  <c:v>0.5082508250825083</c:v>
                </c:pt>
                <c:pt idx="136">
                  <c:v>0.50986842105263153</c:v>
                </c:pt>
                <c:pt idx="137">
                  <c:v>0.50980392156862742</c:v>
                </c:pt>
                <c:pt idx="138">
                  <c:v>0.50980392156862742</c:v>
                </c:pt>
                <c:pt idx="139">
                  <c:v>0.51298701298701299</c:v>
                </c:pt>
                <c:pt idx="140">
                  <c:v>0.5161290322580645</c:v>
                </c:pt>
                <c:pt idx="141">
                  <c:v>0.5161290322580645</c:v>
                </c:pt>
                <c:pt idx="142">
                  <c:v>0.51757188498402551</c:v>
                </c:pt>
                <c:pt idx="143">
                  <c:v>0.51746031746031751</c:v>
                </c:pt>
                <c:pt idx="144">
                  <c:v>0.51419558359621453</c:v>
                </c:pt>
                <c:pt idx="145">
                  <c:v>0.50937500000000002</c:v>
                </c:pt>
                <c:pt idx="146">
                  <c:v>0.50937500000000002</c:v>
                </c:pt>
                <c:pt idx="147">
                  <c:v>0.51543209876543206</c:v>
                </c:pt>
                <c:pt idx="148">
                  <c:v>0.51543209876543206</c:v>
                </c:pt>
                <c:pt idx="149">
                  <c:v>0.51533742331288346</c:v>
                </c:pt>
                <c:pt idx="150">
                  <c:v>0.51219512195121952</c:v>
                </c:pt>
                <c:pt idx="151">
                  <c:v>0.51057401812688818</c:v>
                </c:pt>
                <c:pt idx="152">
                  <c:v>0.5119760479041916</c:v>
                </c:pt>
                <c:pt idx="153">
                  <c:v>0.51183431952662717</c:v>
                </c:pt>
                <c:pt idx="154">
                  <c:v>0.51169590643274854</c:v>
                </c:pt>
                <c:pt idx="155">
                  <c:v>0.51014492753623186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57480314960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0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222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223</v>
      </c>
      <c r="B3" s="29">
        <v>43737.532500000001</v>
      </c>
      <c r="C3" s="28" t="s">
        <v>128</v>
      </c>
    </row>
    <row r="4" spans="1:12" x14ac:dyDescent="0.45">
      <c r="A4" s="28" t="s">
        <v>224</v>
      </c>
      <c r="B4" s="29">
        <v>43737.532500000001</v>
      </c>
      <c r="C4" s="28" t="s">
        <v>128</v>
      </c>
    </row>
    <row r="5" spans="1:12" x14ac:dyDescent="0.45">
      <c r="A5" s="28" t="s">
        <v>225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226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227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228</v>
      </c>
      <c r="K7" s="28" t="s">
        <v>229</v>
      </c>
      <c r="L7" s="28" t="s">
        <v>230</v>
      </c>
    </row>
    <row r="8" spans="1:12" x14ac:dyDescent="0.45">
      <c r="A8" s="28" t="s">
        <v>231</v>
      </c>
      <c r="B8" s="29">
        <v>43740.96733796296</v>
      </c>
      <c r="C8" s="28" t="s">
        <v>128</v>
      </c>
    </row>
    <row r="9" spans="1:12" x14ac:dyDescent="0.45">
      <c r="A9" s="28" t="s">
        <v>233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235</v>
      </c>
      <c r="B11" s="29">
        <v>43741.028969907406</v>
      </c>
      <c r="C11" s="28" t="s">
        <v>128</v>
      </c>
    </row>
    <row r="12" spans="1:12" x14ac:dyDescent="0.45">
      <c r="A12" s="28" t="s">
        <v>236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237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239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240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241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242</v>
      </c>
      <c r="B18" s="29">
        <v>43745.374525462961</v>
      </c>
      <c r="C18" s="28" t="s">
        <v>128</v>
      </c>
    </row>
    <row r="19" spans="1:12" x14ac:dyDescent="0.45">
      <c r="A19" s="28" t="s">
        <v>243</v>
      </c>
      <c r="B19" s="29">
        <v>43750.963090277779</v>
      </c>
      <c r="C19" s="28" t="s">
        <v>128</v>
      </c>
    </row>
    <row r="20" spans="1:12" x14ac:dyDescent="0.45">
      <c r="A20" s="28" t="s">
        <v>244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245</v>
      </c>
      <c r="B21" s="29">
        <v>43750.963090277779</v>
      </c>
      <c r="C21" s="28" t="s">
        <v>128</v>
      </c>
    </row>
    <row r="22" spans="1:12" x14ac:dyDescent="0.45">
      <c r="A22" s="28" t="s">
        <v>246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247</v>
      </c>
      <c r="B23" s="29">
        <v>43800.062326388892</v>
      </c>
      <c r="C23" s="28" t="s">
        <v>128</v>
      </c>
    </row>
    <row r="24" spans="1:12" x14ac:dyDescent="0.45">
      <c r="A24" s="28" t="s">
        <v>248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228</v>
      </c>
      <c r="K25" s="28" t="s">
        <v>229</v>
      </c>
      <c r="L25" s="28" t="s">
        <v>230</v>
      </c>
    </row>
    <row r="26" spans="1:12" x14ac:dyDescent="0.45">
      <c r="A26" s="28" t="s">
        <v>250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251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228</v>
      </c>
      <c r="K27" s="28" t="s">
        <v>229</v>
      </c>
    </row>
    <row r="28" spans="1:12" x14ac:dyDescent="0.45">
      <c r="A28" s="28" t="s">
        <v>252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228</v>
      </c>
      <c r="K28" s="28" t="s">
        <v>229</v>
      </c>
    </row>
    <row r="29" spans="1:12" x14ac:dyDescent="0.45">
      <c r="A29" s="28" t="s">
        <v>253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254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255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257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258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259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260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261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262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263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264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265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266</v>
      </c>
      <c r="B41" s="29">
        <v>43766.037835648145</v>
      </c>
      <c r="C41" s="28" t="s">
        <v>128</v>
      </c>
    </row>
    <row r="42" spans="1:9" x14ac:dyDescent="0.45">
      <c r="A42" s="28" t="s">
        <v>267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268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269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270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271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272</v>
      </c>
      <c r="B47" s="29">
        <v>43770.815983796296</v>
      </c>
      <c r="C47" s="28" t="s">
        <v>128</v>
      </c>
    </row>
    <row r="48" spans="1:9" x14ac:dyDescent="0.45">
      <c r="A48" s="28" t="s">
        <v>273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274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275</v>
      </c>
      <c r="B50" s="29">
        <v>43773.722453703704</v>
      </c>
      <c r="C50" s="28" t="s">
        <v>128</v>
      </c>
    </row>
    <row r="51" spans="1:9" x14ac:dyDescent="0.45">
      <c r="A51" s="28" t="s">
        <v>276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277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278</v>
      </c>
      <c r="B53" s="29">
        <v>43781.637499999997</v>
      </c>
      <c r="C53" s="28" t="s">
        <v>128</v>
      </c>
    </row>
    <row r="54" spans="1:9" x14ac:dyDescent="0.45">
      <c r="A54" s="28" t="s">
        <v>279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280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281</v>
      </c>
      <c r="B56" s="29">
        <v>43783.744745370372</v>
      </c>
      <c r="C56" s="28" t="s">
        <v>128</v>
      </c>
    </row>
    <row r="57" spans="1:9" x14ac:dyDescent="0.45">
      <c r="A57" s="28" t="s">
        <v>282</v>
      </c>
      <c r="B57" s="29">
        <v>43784.974247685182</v>
      </c>
      <c r="C57" s="28" t="s">
        <v>128</v>
      </c>
    </row>
    <row r="58" spans="1:9" x14ac:dyDescent="0.45">
      <c r="A58" s="28" t="s">
        <v>283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284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285</v>
      </c>
      <c r="B60" s="29">
        <v>43787.745706018519</v>
      </c>
      <c r="C60" s="28" t="s">
        <v>128</v>
      </c>
    </row>
    <row r="61" spans="1:9" x14ac:dyDescent="0.45">
      <c r="A61" s="28" t="s">
        <v>286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287</v>
      </c>
      <c r="B62" s="29">
        <v>43789.730671296296</v>
      </c>
      <c r="C62" s="28" t="s">
        <v>128</v>
      </c>
    </row>
    <row r="63" spans="1:9" x14ac:dyDescent="0.45">
      <c r="A63" s="28" t="s">
        <v>288</v>
      </c>
      <c r="B63" s="29">
        <v>43790.974027777775</v>
      </c>
      <c r="C63" s="28" t="s">
        <v>128</v>
      </c>
    </row>
    <row r="64" spans="1:9" x14ac:dyDescent="0.45">
      <c r="A64" s="28" t="s">
        <v>289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290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291</v>
      </c>
      <c r="B66" s="29">
        <v>43795.03466435185</v>
      </c>
      <c r="C66" s="28" t="s">
        <v>128</v>
      </c>
    </row>
    <row r="67" spans="1:12" x14ac:dyDescent="0.45">
      <c r="A67" s="28" t="s">
        <v>292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228</v>
      </c>
      <c r="K67" s="28" t="s">
        <v>229</v>
      </c>
      <c r="L67" s="28" t="s">
        <v>230</v>
      </c>
    </row>
    <row r="68" spans="1:12" x14ac:dyDescent="0.45">
      <c r="A68" s="28" t="s">
        <v>293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294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295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296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297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298</v>
      </c>
      <c r="B73" s="29">
        <v>43805.880937499998</v>
      </c>
      <c r="C73" s="28" t="s">
        <v>128</v>
      </c>
    </row>
    <row r="74" spans="1:12" x14ac:dyDescent="0.45">
      <c r="A74" s="28" t="s">
        <v>299</v>
      </c>
      <c r="B74" s="29">
        <v>43806.068379629629</v>
      </c>
      <c r="C74" s="28" t="s">
        <v>128</v>
      </c>
    </row>
    <row r="75" spans="1:12" x14ac:dyDescent="0.45">
      <c r="A75" s="28" t="s">
        <v>300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302</v>
      </c>
      <c r="B76" s="29">
        <v>43809.906898148147</v>
      </c>
      <c r="C76" s="28" t="s">
        <v>128</v>
      </c>
    </row>
    <row r="77" spans="1:12" x14ac:dyDescent="0.45">
      <c r="A77" s="28" t="s">
        <v>303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304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305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306</v>
      </c>
      <c r="B80" s="29">
        <v>43812.000752314816</v>
      </c>
      <c r="C80" s="28" t="s">
        <v>128</v>
      </c>
    </row>
    <row r="81" spans="1:9" x14ac:dyDescent="0.45">
      <c r="A81" s="28" t="s">
        <v>307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308</v>
      </c>
      <c r="B82" s="29">
        <v>43814.578449074077</v>
      </c>
      <c r="C82" s="28" t="s">
        <v>128</v>
      </c>
    </row>
    <row r="83" spans="1:9" x14ac:dyDescent="0.45">
      <c r="A83" s="28" t="s">
        <v>309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310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311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312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202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203</v>
      </c>
      <c r="B88" s="29">
        <v>43838.76290509259</v>
      </c>
      <c r="C88" s="28" t="s">
        <v>128</v>
      </c>
    </row>
    <row r="89" spans="1:9" x14ac:dyDescent="0.45">
      <c r="A89" s="28" t="s">
        <v>204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205</v>
      </c>
      <c r="B90" s="29">
        <v>43840.436331018522</v>
      </c>
      <c r="C90" s="28" t="s">
        <v>128</v>
      </c>
    </row>
    <row r="91" spans="1:9" x14ac:dyDescent="0.45">
      <c r="A91" s="28" t="s">
        <v>206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207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208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209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210</v>
      </c>
      <c r="B95" s="29">
        <v>43846.004641203705</v>
      </c>
      <c r="C95" s="28" t="s">
        <v>128</v>
      </c>
    </row>
    <row r="96" spans="1:9" x14ac:dyDescent="0.45">
      <c r="A96" s="28" t="s">
        <v>211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212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213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214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215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  <row r="101" spans="1:7" x14ac:dyDescent="0.45">
      <c r="A101" s="28" t="s">
        <v>216</v>
      </c>
      <c r="B101" s="29">
        <v>43857.063576388886</v>
      </c>
      <c r="C101" s="28" t="s">
        <v>128</v>
      </c>
      <c r="D101" s="28" t="s">
        <v>129</v>
      </c>
      <c r="E101" s="28" t="s">
        <v>173</v>
      </c>
    </row>
    <row r="102" spans="1:7" x14ac:dyDescent="0.45">
      <c r="A102" s="28" t="s">
        <v>217</v>
      </c>
      <c r="B102" s="29">
        <v>43858.020173611112</v>
      </c>
      <c r="C102" s="28" t="s">
        <v>128</v>
      </c>
      <c r="D102" s="28" t="s">
        <v>129</v>
      </c>
      <c r="E102" s="28" t="s">
        <v>173</v>
      </c>
    </row>
    <row r="103" spans="1:7" x14ac:dyDescent="0.45">
      <c r="A103" s="28" t="s">
        <v>218</v>
      </c>
      <c r="B103" s="29">
        <v>43862.05269675926</v>
      </c>
      <c r="C103" s="28" t="s">
        <v>128</v>
      </c>
      <c r="D103" s="28" t="s">
        <v>129</v>
      </c>
      <c r="E103" s="28" t="s">
        <v>173</v>
      </c>
      <c r="F103" s="28" t="s">
        <v>174</v>
      </c>
    </row>
    <row r="104" spans="1:7" x14ac:dyDescent="0.45">
      <c r="A104" s="28" t="s">
        <v>219</v>
      </c>
      <c r="B104" s="29">
        <v>43860.026909722219</v>
      </c>
      <c r="C104" s="28" t="s">
        <v>128</v>
      </c>
      <c r="D104" s="28" t="s">
        <v>129</v>
      </c>
      <c r="E104" s="28" t="s">
        <v>173</v>
      </c>
    </row>
    <row r="105" spans="1:7" x14ac:dyDescent="0.45">
      <c r="A105" s="28" t="s">
        <v>220</v>
      </c>
      <c r="B105" s="29">
        <v>43862.053043981483</v>
      </c>
      <c r="C105" s="28" t="s">
        <v>128</v>
      </c>
      <c r="D105" s="28" t="s">
        <v>129</v>
      </c>
    </row>
    <row r="106" spans="1:7" x14ac:dyDescent="0.45">
      <c r="A106" s="28" t="s">
        <v>221</v>
      </c>
      <c r="B106" s="29">
        <v>43862.101307870369</v>
      </c>
      <c r="C106" s="28" t="s">
        <v>128</v>
      </c>
      <c r="D106" s="28" t="s">
        <v>129</v>
      </c>
      <c r="E106" s="28" t="s">
        <v>173</v>
      </c>
    </row>
    <row r="107" spans="1:7" x14ac:dyDescent="0.45">
      <c r="A107" s="28" t="s">
        <v>313</v>
      </c>
      <c r="B107" s="29">
        <v>43863.061215277776</v>
      </c>
      <c r="C107" s="28" t="s">
        <v>128</v>
      </c>
      <c r="D107" s="28" t="s">
        <v>129</v>
      </c>
      <c r="E107" s="28" t="s">
        <v>173</v>
      </c>
    </row>
    <row r="108" spans="1:7" x14ac:dyDescent="0.45">
      <c r="A108" s="28" t="s">
        <v>314</v>
      </c>
      <c r="B108" s="29">
        <v>43865.925081018519</v>
      </c>
      <c r="C108" s="28" t="s">
        <v>128</v>
      </c>
    </row>
    <row r="109" spans="1:7" x14ac:dyDescent="0.45">
      <c r="A109" s="28" t="s">
        <v>315</v>
      </c>
      <c r="B109" s="29">
        <v>43865.989189814813</v>
      </c>
      <c r="C109" s="28" t="s">
        <v>128</v>
      </c>
      <c r="D109" s="28" t="s">
        <v>129</v>
      </c>
    </row>
    <row r="110" spans="1:7" x14ac:dyDescent="0.45">
      <c r="A110" s="28" t="s">
        <v>316</v>
      </c>
      <c r="B110" s="29">
        <v>43866.98027777778</v>
      </c>
      <c r="C110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1035</v>
      </c>
    </row>
    <row r="2" spans="1:2" x14ac:dyDescent="0.45">
      <c r="A2" t="s">
        <v>161</v>
      </c>
      <c r="B2">
        <v>89</v>
      </c>
    </row>
    <row r="3" spans="1:2" x14ac:dyDescent="0.45">
      <c r="A3" t="s">
        <v>126</v>
      </c>
      <c r="B3">
        <v>207</v>
      </c>
    </row>
    <row r="4" spans="1:2" x14ac:dyDescent="0.45">
      <c r="A4" t="s">
        <v>127</v>
      </c>
      <c r="B4">
        <v>179</v>
      </c>
    </row>
    <row r="5" spans="1:2" x14ac:dyDescent="0.45">
      <c r="A5" t="s">
        <v>172</v>
      </c>
      <c r="B5">
        <v>102</v>
      </c>
    </row>
    <row r="6" spans="1:2" x14ac:dyDescent="0.45">
      <c r="A6" t="s">
        <v>170</v>
      </c>
      <c r="B6">
        <v>155</v>
      </c>
    </row>
    <row r="7" spans="1:2" x14ac:dyDescent="0.45">
      <c r="A7" t="s">
        <v>171</v>
      </c>
      <c r="B7">
        <v>156</v>
      </c>
    </row>
    <row r="8" spans="1:2" x14ac:dyDescent="0.45">
      <c r="A8" t="s">
        <v>197</v>
      </c>
      <c r="B8">
        <v>73</v>
      </c>
    </row>
    <row r="9" spans="1:2" x14ac:dyDescent="0.45">
      <c r="A9" t="s">
        <v>196</v>
      </c>
      <c r="B9">
        <v>32</v>
      </c>
    </row>
    <row r="10" spans="1:2" x14ac:dyDescent="0.45">
      <c r="A10" t="s">
        <v>232</v>
      </c>
      <c r="B10">
        <v>7</v>
      </c>
    </row>
    <row r="11" spans="1:2" x14ac:dyDescent="0.45">
      <c r="A11" t="s">
        <v>256</v>
      </c>
      <c r="B11">
        <v>2</v>
      </c>
    </row>
    <row r="12" spans="1:2" x14ac:dyDescent="0.45">
      <c r="A12" t="s">
        <v>200</v>
      </c>
      <c r="B12">
        <v>18</v>
      </c>
    </row>
    <row r="13" spans="1:2" x14ac:dyDescent="0.45">
      <c r="A13" t="s">
        <v>201</v>
      </c>
      <c r="B13">
        <v>10</v>
      </c>
    </row>
    <row r="14" spans="1:2" x14ac:dyDescent="0.45">
      <c r="A14" t="s">
        <v>301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0.97842277847610737</v>
      </c>
      <c r="G2" s="163"/>
      <c r="H2" s="162">
        <v>0.83320985130869518</v>
      </c>
      <c r="I2" s="163"/>
      <c r="J2" s="162">
        <v>0.68817519498780566</v>
      </c>
      <c r="K2" s="163"/>
      <c r="L2" s="162">
        <v>0.60773873663740241</v>
      </c>
      <c r="M2" s="163"/>
      <c r="N2" s="162">
        <v>0.26143406455163176</v>
      </c>
      <c r="O2" s="163"/>
      <c r="P2" s="162">
        <v>0.45043326460888566</v>
      </c>
      <c r="Q2" s="163"/>
      <c r="R2" s="162">
        <v>-3.7147789642197476E-2</v>
      </c>
      <c r="S2" s="163"/>
      <c r="T2" s="162">
        <v>0.33448396776003275</v>
      </c>
      <c r="U2" s="163"/>
      <c r="V2" s="162">
        <v>0.37001715044152356</v>
      </c>
      <c r="W2" s="163"/>
      <c r="X2" s="162">
        <v>2.0324319920887457E-2</v>
      </c>
      <c r="Y2" s="163"/>
      <c r="Z2" s="162">
        <v>0.49542581365234911</v>
      </c>
      <c r="AA2" s="163"/>
      <c r="AB2" s="162">
        <v>9.1789717976035537E-2</v>
      </c>
      <c r="AC2" s="163"/>
      <c r="AD2" s="162">
        <v>-0.13660462863866504</v>
      </c>
      <c r="AE2" s="163"/>
      <c r="AF2" s="162">
        <v>0.73558453032887938</v>
      </c>
      <c r="AG2" s="163"/>
    </row>
    <row r="3" spans="1:33" x14ac:dyDescent="0.45">
      <c r="A3" s="70">
        <v>1</v>
      </c>
      <c r="B3" s="71" t="s">
        <v>126</v>
      </c>
      <c r="C3" s="72">
        <v>1977.1999999999998</v>
      </c>
      <c r="D3" s="73" t="s">
        <v>256</v>
      </c>
      <c r="E3" s="92">
        <v>13.1</v>
      </c>
      <c r="F3" s="73" t="s">
        <v>256</v>
      </c>
      <c r="G3" s="74">
        <v>1.5</v>
      </c>
      <c r="H3" s="73" t="s">
        <v>201</v>
      </c>
      <c r="I3" s="75">
        <v>0.5</v>
      </c>
      <c r="J3" s="73" t="s">
        <v>256</v>
      </c>
      <c r="K3" s="75">
        <v>0</v>
      </c>
      <c r="L3" s="73" t="s">
        <v>256</v>
      </c>
      <c r="M3" s="76">
        <v>0.46666666666666667</v>
      </c>
      <c r="N3" s="73" t="s">
        <v>256</v>
      </c>
      <c r="O3" s="76">
        <v>6.6666666666666666E-2</v>
      </c>
      <c r="P3" s="73" t="s">
        <v>170</v>
      </c>
      <c r="Q3" s="77">
        <v>11155.36231884058</v>
      </c>
      <c r="R3" s="73" t="s">
        <v>196</v>
      </c>
      <c r="S3" s="77">
        <v>-7102</v>
      </c>
      <c r="T3" s="73" t="s">
        <v>256</v>
      </c>
      <c r="U3" s="75">
        <v>0</v>
      </c>
      <c r="V3" s="73" t="s">
        <v>201</v>
      </c>
      <c r="W3" s="76">
        <v>0.38461538461538464</v>
      </c>
      <c r="X3" s="73" t="s">
        <v>232</v>
      </c>
      <c r="Y3" s="76">
        <v>0.35483870967741937</v>
      </c>
      <c r="Z3" s="73" t="s">
        <v>201</v>
      </c>
      <c r="AA3" s="76">
        <v>0.6333333333333333</v>
      </c>
      <c r="AB3" s="73" t="s">
        <v>256</v>
      </c>
      <c r="AC3" s="76">
        <v>1</v>
      </c>
      <c r="AD3" s="73" t="s">
        <v>196</v>
      </c>
      <c r="AE3" s="76">
        <v>0.58441558441558439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713.80000000000052</v>
      </c>
      <c r="D4" s="81" t="s">
        <v>126</v>
      </c>
      <c r="E4" s="93">
        <v>9.5516908212560381</v>
      </c>
      <c r="F4" s="81" t="s">
        <v>126</v>
      </c>
      <c r="G4" s="82">
        <v>1.7632850241545894</v>
      </c>
      <c r="H4" s="81" t="s">
        <v>256</v>
      </c>
      <c r="I4" s="83">
        <v>0.5</v>
      </c>
      <c r="J4" s="81" t="s">
        <v>126</v>
      </c>
      <c r="K4" s="83">
        <v>0.23671497584541062</v>
      </c>
      <c r="L4" s="81" t="s">
        <v>200</v>
      </c>
      <c r="M4" s="84">
        <v>0.34838709677419355</v>
      </c>
      <c r="N4" s="81" t="s">
        <v>126</v>
      </c>
      <c r="O4" s="84">
        <v>0.12362159024956472</v>
      </c>
      <c r="P4" s="81" t="s">
        <v>201</v>
      </c>
      <c r="Q4" s="85">
        <v>9534.6153846153848</v>
      </c>
      <c r="R4" s="81" t="s">
        <v>171</v>
      </c>
      <c r="S4" s="85">
        <v>-7195.4802259887001</v>
      </c>
      <c r="T4" s="81" t="s">
        <v>126</v>
      </c>
      <c r="U4" s="83">
        <v>4.3478260869565216E-2</v>
      </c>
      <c r="V4" s="81" t="s">
        <v>301</v>
      </c>
      <c r="W4" s="84">
        <v>0.375</v>
      </c>
      <c r="X4" s="81" t="s">
        <v>256</v>
      </c>
      <c r="Y4" s="84">
        <v>0.33333333333333331</v>
      </c>
      <c r="Z4" s="81" t="s">
        <v>126</v>
      </c>
      <c r="AA4" s="84">
        <v>0.58333333333333337</v>
      </c>
      <c r="AB4" s="81" t="s">
        <v>200</v>
      </c>
      <c r="AC4" s="84">
        <v>0.68421052631578949</v>
      </c>
      <c r="AD4" s="81" t="s">
        <v>200</v>
      </c>
      <c r="AE4" s="84">
        <v>0.53703703703703709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256</v>
      </c>
      <c r="C5" s="80">
        <v>26.2</v>
      </c>
      <c r="D5" s="81" t="s">
        <v>170</v>
      </c>
      <c r="E5" s="93">
        <v>4.6051612903225836</v>
      </c>
      <c r="F5" s="81" t="s">
        <v>170</v>
      </c>
      <c r="G5" s="82">
        <v>1.9096774193548387</v>
      </c>
      <c r="H5" s="81" t="s">
        <v>126</v>
      </c>
      <c r="I5" s="83">
        <v>0.47342995169082125</v>
      </c>
      <c r="J5" s="81" t="s">
        <v>171</v>
      </c>
      <c r="K5" s="83">
        <v>0.30128205128205127</v>
      </c>
      <c r="L5" s="81" t="s">
        <v>126</v>
      </c>
      <c r="M5" s="84">
        <v>0.34300638421358098</v>
      </c>
      <c r="N5" s="81" t="s">
        <v>171</v>
      </c>
      <c r="O5" s="84">
        <v>0.14025356576862125</v>
      </c>
      <c r="P5" s="81" t="s">
        <v>301</v>
      </c>
      <c r="Q5" s="85">
        <v>8512.5</v>
      </c>
      <c r="R5" s="81" t="s">
        <v>161</v>
      </c>
      <c r="S5" s="85">
        <v>-7497.65625</v>
      </c>
      <c r="T5" s="81" t="s">
        <v>172</v>
      </c>
      <c r="U5" s="83">
        <v>7.8431372549019607E-2</v>
      </c>
      <c r="V5" s="81" t="s">
        <v>200</v>
      </c>
      <c r="W5" s="84">
        <v>0.34838709677419355</v>
      </c>
      <c r="X5" s="81" t="s">
        <v>127</v>
      </c>
      <c r="Y5" s="84">
        <v>0.29912810194500333</v>
      </c>
      <c r="Z5" s="81" t="s">
        <v>200</v>
      </c>
      <c r="AA5" s="84">
        <v>0.57407407407407407</v>
      </c>
      <c r="AB5" s="81" t="s">
        <v>126</v>
      </c>
      <c r="AC5" s="84">
        <v>0.48426150121065376</v>
      </c>
      <c r="AD5" s="81" t="s">
        <v>170</v>
      </c>
      <c r="AE5" s="84">
        <v>0.51014492753623186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201</v>
      </c>
      <c r="C6" s="80">
        <v>9.2999999999999972</v>
      </c>
      <c r="D6" s="81" t="s">
        <v>201</v>
      </c>
      <c r="E6" s="93">
        <v>0.92999999999999972</v>
      </c>
      <c r="F6" s="81" t="s">
        <v>127</v>
      </c>
      <c r="G6" s="82">
        <v>1.988826815642458</v>
      </c>
      <c r="H6" s="81" t="s">
        <v>232</v>
      </c>
      <c r="I6" s="83">
        <v>0.42857142857142855</v>
      </c>
      <c r="J6" s="81" t="s">
        <v>170</v>
      </c>
      <c r="K6" s="83">
        <v>0.30967741935483872</v>
      </c>
      <c r="L6" s="81" t="s">
        <v>201</v>
      </c>
      <c r="M6" s="84">
        <v>0.33333333333333331</v>
      </c>
      <c r="N6" s="81" t="s">
        <v>141</v>
      </c>
      <c r="O6" s="84">
        <v>0.15967163833969245</v>
      </c>
      <c r="P6" s="81" t="s">
        <v>171</v>
      </c>
      <c r="Q6" s="85">
        <v>8511.1428571428569</v>
      </c>
      <c r="R6" s="81" t="s">
        <v>126</v>
      </c>
      <c r="S6" s="85">
        <v>-7630.5164319248825</v>
      </c>
      <c r="T6" s="81" t="s">
        <v>161</v>
      </c>
      <c r="U6" s="83">
        <v>7.8651685393258425E-2</v>
      </c>
      <c r="V6" s="81" t="s">
        <v>170</v>
      </c>
      <c r="W6" s="84">
        <v>0.29407051282051283</v>
      </c>
      <c r="X6" s="81" t="s">
        <v>161</v>
      </c>
      <c r="Y6" s="84">
        <v>0.26202531645569621</v>
      </c>
      <c r="Z6" s="81" t="s">
        <v>196</v>
      </c>
      <c r="AA6" s="84">
        <v>0.5662650602409639</v>
      </c>
      <c r="AB6" s="81" t="s">
        <v>141</v>
      </c>
      <c r="AC6" s="84">
        <v>0.41845386533665835</v>
      </c>
      <c r="AD6" s="81" t="s">
        <v>172</v>
      </c>
      <c r="AE6" s="84">
        <v>0.47435897435897434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-7.460698725481052E-14</v>
      </c>
      <c r="D7" s="81" t="s">
        <v>141</v>
      </c>
      <c r="E7" s="93">
        <v>-7.2084045656821753E-17</v>
      </c>
      <c r="F7" s="81" t="s">
        <v>196</v>
      </c>
      <c r="G7" s="82">
        <v>2</v>
      </c>
      <c r="H7" s="81" t="s">
        <v>170</v>
      </c>
      <c r="I7" s="83">
        <v>0.4</v>
      </c>
      <c r="J7" s="81" t="s">
        <v>127</v>
      </c>
      <c r="K7" s="83">
        <v>0.32402234636871508</v>
      </c>
      <c r="L7" s="81" t="s">
        <v>127</v>
      </c>
      <c r="M7" s="84">
        <v>0.31321260898725689</v>
      </c>
      <c r="N7" s="81" t="s">
        <v>200</v>
      </c>
      <c r="O7" s="84">
        <v>0.16129032258064516</v>
      </c>
      <c r="P7" s="81" t="s">
        <v>141</v>
      </c>
      <c r="Q7" s="85">
        <v>8464.9606299212592</v>
      </c>
      <c r="R7" s="81" t="s">
        <v>172</v>
      </c>
      <c r="S7" s="85">
        <v>-7839.375</v>
      </c>
      <c r="T7" s="81" t="s">
        <v>171</v>
      </c>
      <c r="U7" s="83">
        <v>8.3333333333333329E-2</v>
      </c>
      <c r="V7" s="81" t="s">
        <v>196</v>
      </c>
      <c r="W7" s="84">
        <v>0.27852348993288589</v>
      </c>
      <c r="X7" s="81" t="s">
        <v>126</v>
      </c>
      <c r="Y7" s="84">
        <v>0.23969820081253626</v>
      </c>
      <c r="Z7" s="81" t="s">
        <v>171</v>
      </c>
      <c r="AA7" s="84">
        <v>0.54798761609907121</v>
      </c>
      <c r="AB7" s="81" t="s">
        <v>171</v>
      </c>
      <c r="AC7" s="84">
        <v>0.41811846689895471</v>
      </c>
      <c r="AD7" s="81" t="s">
        <v>201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200</v>
      </c>
      <c r="C8" s="80">
        <v>-55.6</v>
      </c>
      <c r="D8" s="81" t="s">
        <v>171</v>
      </c>
      <c r="E8" s="93">
        <v>-0.5262820512820513</v>
      </c>
      <c r="F8" s="81" t="s">
        <v>201</v>
      </c>
      <c r="G8" s="82">
        <v>2</v>
      </c>
      <c r="H8" s="81" t="s">
        <v>196</v>
      </c>
      <c r="I8" s="83">
        <v>0.375</v>
      </c>
      <c r="J8" s="81" t="s">
        <v>141</v>
      </c>
      <c r="K8" s="83">
        <v>0.33333333333333331</v>
      </c>
      <c r="L8" s="81" t="s">
        <v>141</v>
      </c>
      <c r="M8" s="84">
        <v>0.2936755694299919</v>
      </c>
      <c r="N8" s="81" t="s">
        <v>161</v>
      </c>
      <c r="O8" s="84">
        <v>0.16202531645569621</v>
      </c>
      <c r="P8" s="81" t="s">
        <v>197</v>
      </c>
      <c r="Q8" s="85">
        <v>8326.6666666666661</v>
      </c>
      <c r="R8" s="81" t="s">
        <v>141</v>
      </c>
      <c r="S8" s="85">
        <v>-7875.1629254163654</v>
      </c>
      <c r="T8" s="81" t="s">
        <v>141</v>
      </c>
      <c r="U8" s="83">
        <v>9.9516908212560387E-2</v>
      </c>
      <c r="V8" s="81" t="s">
        <v>172</v>
      </c>
      <c r="W8" s="84">
        <v>0.27582292849035189</v>
      </c>
      <c r="X8" s="81" t="s">
        <v>141</v>
      </c>
      <c r="Y8" s="84">
        <v>0.23181870736501331</v>
      </c>
      <c r="Z8" s="81" t="s">
        <v>141</v>
      </c>
      <c r="AA8" s="84">
        <v>0.54604051565377532</v>
      </c>
      <c r="AB8" s="81" t="s">
        <v>197</v>
      </c>
      <c r="AC8" s="84">
        <v>0.41304347826086957</v>
      </c>
      <c r="AD8" s="81" t="s">
        <v>171</v>
      </c>
      <c r="AE8" s="84">
        <v>0.46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301</v>
      </c>
      <c r="C9" s="80">
        <v>-80.800000000000011</v>
      </c>
      <c r="D9" s="81" t="s">
        <v>127</v>
      </c>
      <c r="E9" s="93">
        <v>-0.56815642458100679</v>
      </c>
      <c r="F9" s="81" t="s">
        <v>141</v>
      </c>
      <c r="G9" s="82">
        <v>2</v>
      </c>
      <c r="H9" s="81" t="s">
        <v>127</v>
      </c>
      <c r="I9" s="83">
        <v>0.33519553072625696</v>
      </c>
      <c r="J9" s="81" t="s">
        <v>196</v>
      </c>
      <c r="K9" s="83">
        <v>0.375</v>
      </c>
      <c r="L9" s="81" t="s">
        <v>171</v>
      </c>
      <c r="M9" s="84">
        <v>0.27733755942947702</v>
      </c>
      <c r="N9" s="81" t="s">
        <v>196</v>
      </c>
      <c r="O9" s="84">
        <v>0.16778523489932887</v>
      </c>
      <c r="P9" s="81" t="s">
        <v>126</v>
      </c>
      <c r="Q9" s="85">
        <v>8277.8341793570216</v>
      </c>
      <c r="R9" s="81" t="s">
        <v>301</v>
      </c>
      <c r="S9" s="85">
        <v>-7987.5</v>
      </c>
      <c r="T9" s="81" t="s">
        <v>127</v>
      </c>
      <c r="U9" s="83">
        <v>0.10614525139664804</v>
      </c>
      <c r="V9" s="81" t="s">
        <v>256</v>
      </c>
      <c r="W9" s="84">
        <v>0.26666666666666666</v>
      </c>
      <c r="X9" s="81" t="s">
        <v>197</v>
      </c>
      <c r="Y9" s="84">
        <v>0.22772277227722773</v>
      </c>
      <c r="Z9" s="81" t="s">
        <v>170</v>
      </c>
      <c r="AA9" s="84">
        <v>0.54495912806539515</v>
      </c>
      <c r="AB9" s="81" t="s">
        <v>172</v>
      </c>
      <c r="AC9" s="84">
        <v>0.39880952380952384</v>
      </c>
      <c r="AD9" s="81" t="s">
        <v>197</v>
      </c>
      <c r="AE9" s="84">
        <v>0.46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171</v>
      </c>
      <c r="C10" s="80">
        <v>-82.1</v>
      </c>
      <c r="D10" s="81" t="s">
        <v>196</v>
      </c>
      <c r="E10" s="93">
        <v>-3.0218749999999992</v>
      </c>
      <c r="F10" s="81" t="s">
        <v>171</v>
      </c>
      <c r="G10" s="82">
        <v>2.0448717948717947</v>
      </c>
      <c r="H10" s="81" t="s">
        <v>200</v>
      </c>
      <c r="I10" s="83">
        <v>0.33333333333333331</v>
      </c>
      <c r="J10" s="81" t="s">
        <v>200</v>
      </c>
      <c r="K10" s="83">
        <v>0.3888888888888889</v>
      </c>
      <c r="L10" s="81" t="s">
        <v>170</v>
      </c>
      <c r="M10" s="84">
        <v>0.27644230769230771</v>
      </c>
      <c r="N10" s="81" t="s">
        <v>170</v>
      </c>
      <c r="O10" s="84">
        <v>0.17227564102564102</v>
      </c>
      <c r="P10" s="81" t="s">
        <v>196</v>
      </c>
      <c r="Q10" s="85">
        <v>8164.9350649350654</v>
      </c>
      <c r="R10" s="81" t="s">
        <v>127</v>
      </c>
      <c r="S10" s="85">
        <v>-7989.772727272727</v>
      </c>
      <c r="T10" s="81" t="s">
        <v>170</v>
      </c>
      <c r="U10" s="83">
        <v>0.12258064516129032</v>
      </c>
      <c r="V10" s="81" t="s">
        <v>126</v>
      </c>
      <c r="W10" s="84">
        <v>0.26465467208357518</v>
      </c>
      <c r="X10" s="81" t="s">
        <v>171</v>
      </c>
      <c r="Y10" s="84">
        <v>0.22741679873217116</v>
      </c>
      <c r="Z10" s="81" t="s">
        <v>172</v>
      </c>
      <c r="AA10" s="84">
        <v>0.53909465020576131</v>
      </c>
      <c r="AB10" s="81" t="s">
        <v>161</v>
      </c>
      <c r="AC10" s="84">
        <v>0.39613526570048307</v>
      </c>
      <c r="AD10" s="81" t="s">
        <v>141</v>
      </c>
      <c r="AE10" s="84">
        <v>0.4515748031496063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196</v>
      </c>
      <c r="C11" s="80">
        <v>-96.699999999999974</v>
      </c>
      <c r="D11" s="81" t="s">
        <v>200</v>
      </c>
      <c r="E11" s="93">
        <v>-3.088888888888889</v>
      </c>
      <c r="F11" s="81" t="s">
        <v>200</v>
      </c>
      <c r="G11" s="82">
        <v>2.0555555555555554</v>
      </c>
      <c r="H11" s="81" t="s">
        <v>141</v>
      </c>
      <c r="I11" s="83">
        <v>0.33333333333333331</v>
      </c>
      <c r="J11" s="81" t="s">
        <v>301</v>
      </c>
      <c r="K11" s="83">
        <v>0.4</v>
      </c>
      <c r="L11" s="81" t="s">
        <v>161</v>
      </c>
      <c r="M11" s="84">
        <v>0.27341772151898736</v>
      </c>
      <c r="N11" s="81" t="s">
        <v>127</v>
      </c>
      <c r="O11" s="84">
        <v>0.17706237424547283</v>
      </c>
      <c r="P11" s="81" t="s">
        <v>127</v>
      </c>
      <c r="Q11" s="85">
        <v>7886.0813704496786</v>
      </c>
      <c r="R11" s="81" t="s">
        <v>256</v>
      </c>
      <c r="S11" s="85">
        <v>-8000</v>
      </c>
      <c r="T11" s="81" t="s">
        <v>196</v>
      </c>
      <c r="U11" s="83">
        <v>0.15625</v>
      </c>
      <c r="V11" s="81" t="s">
        <v>171</v>
      </c>
      <c r="W11" s="84">
        <v>0.25594294770206022</v>
      </c>
      <c r="X11" s="81" t="s">
        <v>172</v>
      </c>
      <c r="Y11" s="84">
        <v>0.19069239500567536</v>
      </c>
      <c r="Z11" s="81" t="s">
        <v>161</v>
      </c>
      <c r="AA11" s="84">
        <v>0.5357142857142857</v>
      </c>
      <c r="AB11" s="81" t="s">
        <v>127</v>
      </c>
      <c r="AC11" s="84">
        <v>0.39461883408071746</v>
      </c>
      <c r="AD11" s="81" t="s">
        <v>161</v>
      </c>
      <c r="AE11" s="84">
        <v>0.43518518518518517</v>
      </c>
      <c r="AF11" s="81" t="s">
        <v>201</v>
      </c>
      <c r="AG11" s="88">
        <v>70900</v>
      </c>
    </row>
    <row r="12" spans="1:33" x14ac:dyDescent="0.45">
      <c r="A12" s="78">
        <v>10</v>
      </c>
      <c r="B12" s="79" t="s">
        <v>127</v>
      </c>
      <c r="C12" s="80">
        <v>-101.70000000000022</v>
      </c>
      <c r="D12" s="81" t="s">
        <v>161</v>
      </c>
      <c r="E12" s="93">
        <v>-6.5280898876404523</v>
      </c>
      <c r="F12" s="81" t="s">
        <v>232</v>
      </c>
      <c r="G12" s="82">
        <v>2.1428571428571428</v>
      </c>
      <c r="H12" s="81" t="s">
        <v>161</v>
      </c>
      <c r="I12" s="83">
        <v>0.2808988764044944</v>
      </c>
      <c r="J12" s="81" t="s">
        <v>172</v>
      </c>
      <c r="K12" s="83">
        <v>0.40196078431372551</v>
      </c>
      <c r="L12" s="81" t="s">
        <v>172</v>
      </c>
      <c r="M12" s="84">
        <v>0.26560726447219069</v>
      </c>
      <c r="N12" s="81" t="s">
        <v>197</v>
      </c>
      <c r="O12" s="84">
        <v>0.17986798679867988</v>
      </c>
      <c r="P12" s="81" t="s">
        <v>172</v>
      </c>
      <c r="Q12" s="85">
        <v>7844.0170940170938</v>
      </c>
      <c r="R12" s="81" t="s">
        <v>200</v>
      </c>
      <c r="S12" s="85">
        <v>-8220</v>
      </c>
      <c r="T12" s="81" t="s">
        <v>200</v>
      </c>
      <c r="U12" s="83">
        <v>0.16666666666666666</v>
      </c>
      <c r="V12" s="81" t="s">
        <v>141</v>
      </c>
      <c r="W12" s="84">
        <v>0.25112729795352062</v>
      </c>
      <c r="X12" s="81" t="s">
        <v>170</v>
      </c>
      <c r="Y12" s="84">
        <v>0.18669871794871795</v>
      </c>
      <c r="Z12" s="81" t="s">
        <v>232</v>
      </c>
      <c r="AA12" s="84">
        <v>0.53333333333333333</v>
      </c>
      <c r="AB12" s="81" t="s">
        <v>170</v>
      </c>
      <c r="AC12" s="84">
        <v>0.3905579399141631</v>
      </c>
      <c r="AD12" s="81" t="s">
        <v>126</v>
      </c>
      <c r="AE12" s="84">
        <v>0.41962774957698817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232</v>
      </c>
      <c r="C13" s="80">
        <v>-104.80000000000001</v>
      </c>
      <c r="D13" s="81" t="s">
        <v>172</v>
      </c>
      <c r="E13" s="93">
        <v>-7.4431372549019601</v>
      </c>
      <c r="F13" s="81" t="s">
        <v>161</v>
      </c>
      <c r="G13" s="82">
        <v>2.1573033707865168</v>
      </c>
      <c r="H13" s="81" t="s">
        <v>171</v>
      </c>
      <c r="I13" s="83">
        <v>0.25641025641025639</v>
      </c>
      <c r="J13" s="81" t="s">
        <v>161</v>
      </c>
      <c r="K13" s="83">
        <v>0.43820224719101125</v>
      </c>
      <c r="L13" s="81" t="s">
        <v>196</v>
      </c>
      <c r="M13" s="84">
        <v>0.25838926174496646</v>
      </c>
      <c r="N13" s="81" t="s">
        <v>172</v>
      </c>
      <c r="O13" s="84">
        <v>0.18161180476730987</v>
      </c>
      <c r="P13" s="81" t="s">
        <v>232</v>
      </c>
      <c r="Q13" s="85">
        <v>7473.333333333333</v>
      </c>
      <c r="R13" s="81" t="s">
        <v>170</v>
      </c>
      <c r="S13" s="85">
        <v>-8355.8139534883721</v>
      </c>
      <c r="T13" s="81" t="s">
        <v>197</v>
      </c>
      <c r="U13" s="83">
        <v>0.17808219178082191</v>
      </c>
      <c r="V13" s="81" t="s">
        <v>232</v>
      </c>
      <c r="W13" s="84">
        <v>0.24193548387096775</v>
      </c>
      <c r="X13" s="81" t="s">
        <v>201</v>
      </c>
      <c r="Y13" s="84">
        <v>0.16666666666666666</v>
      </c>
      <c r="Z13" s="81" t="s">
        <v>127</v>
      </c>
      <c r="AA13" s="84">
        <v>0.50877192982456143</v>
      </c>
      <c r="AB13" s="81" t="s">
        <v>201</v>
      </c>
      <c r="AC13" s="84">
        <v>0.38461538461538464</v>
      </c>
      <c r="AD13" s="81" t="s">
        <v>127</v>
      </c>
      <c r="AE13" s="84">
        <v>0.41327623126338331</v>
      </c>
      <c r="AF13" s="81" t="s">
        <v>200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-581.00000000000023</v>
      </c>
      <c r="D14" s="81" t="s">
        <v>197</v>
      </c>
      <c r="E14" s="93">
        <v>-11.84383561643836</v>
      </c>
      <c r="F14" s="81" t="s">
        <v>172</v>
      </c>
      <c r="G14" s="82">
        <v>2.1960784313725492</v>
      </c>
      <c r="H14" s="81" t="s">
        <v>172</v>
      </c>
      <c r="I14" s="83">
        <v>0.20588235294117646</v>
      </c>
      <c r="J14" s="81" t="s">
        <v>197</v>
      </c>
      <c r="K14" s="83">
        <v>0.45205479452054792</v>
      </c>
      <c r="L14" s="81" t="s">
        <v>197</v>
      </c>
      <c r="M14" s="84">
        <v>0.24752475247524752</v>
      </c>
      <c r="N14" s="81" t="s">
        <v>232</v>
      </c>
      <c r="O14" s="84">
        <v>0.19354838709677419</v>
      </c>
      <c r="P14" s="81" t="s">
        <v>256</v>
      </c>
      <c r="Q14" s="85">
        <v>7385.7142857142853</v>
      </c>
      <c r="R14" s="81" t="s">
        <v>197</v>
      </c>
      <c r="S14" s="85">
        <v>-8488.9908256880735</v>
      </c>
      <c r="T14" s="81" t="s">
        <v>201</v>
      </c>
      <c r="U14" s="83">
        <v>0.2</v>
      </c>
      <c r="V14" s="81" t="s">
        <v>127</v>
      </c>
      <c r="W14" s="84">
        <v>0.22937625754527163</v>
      </c>
      <c r="X14" s="81" t="s">
        <v>196</v>
      </c>
      <c r="Y14" s="84">
        <v>0.16107382550335569</v>
      </c>
      <c r="Z14" s="81" t="s">
        <v>197</v>
      </c>
      <c r="AA14" s="84">
        <v>0.5078125</v>
      </c>
      <c r="AB14" s="81" t="s">
        <v>301</v>
      </c>
      <c r="AC14" s="84">
        <v>0.33333333333333331</v>
      </c>
      <c r="AD14" s="81" t="s">
        <v>232</v>
      </c>
      <c r="AE14" s="84">
        <v>0.33333333333333331</v>
      </c>
      <c r="AF14" s="81" t="s">
        <v>232</v>
      </c>
      <c r="AG14" s="88">
        <v>59500</v>
      </c>
    </row>
    <row r="15" spans="1:33" x14ac:dyDescent="0.45">
      <c r="A15" s="78">
        <v>13</v>
      </c>
      <c r="B15" s="79" t="s">
        <v>172</v>
      </c>
      <c r="C15" s="80">
        <v>-759.19999999999993</v>
      </c>
      <c r="D15" s="81" t="s">
        <v>232</v>
      </c>
      <c r="E15" s="93">
        <v>-14.971428571428573</v>
      </c>
      <c r="F15" s="81" t="s">
        <v>301</v>
      </c>
      <c r="G15" s="82">
        <v>2.2000000000000002</v>
      </c>
      <c r="H15" s="81" t="s">
        <v>301</v>
      </c>
      <c r="I15" s="83">
        <v>0.2</v>
      </c>
      <c r="J15" s="81" t="s">
        <v>201</v>
      </c>
      <c r="K15" s="83">
        <v>0.5</v>
      </c>
      <c r="L15" s="81" t="s">
        <v>232</v>
      </c>
      <c r="M15" s="84">
        <v>0.24193548387096775</v>
      </c>
      <c r="N15" s="81" t="s">
        <v>301</v>
      </c>
      <c r="O15" s="84">
        <v>0.2</v>
      </c>
      <c r="P15" s="81" t="s">
        <v>161</v>
      </c>
      <c r="Q15" s="85">
        <v>7159.7222222222226</v>
      </c>
      <c r="R15" s="81" t="s">
        <v>232</v>
      </c>
      <c r="S15" s="85">
        <v>-9075</v>
      </c>
      <c r="T15" s="81" t="s">
        <v>301</v>
      </c>
      <c r="U15" s="83">
        <v>0.2</v>
      </c>
      <c r="V15" s="81" t="s">
        <v>197</v>
      </c>
      <c r="W15" s="84">
        <v>0.21122112211221122</v>
      </c>
      <c r="X15" s="81" t="s">
        <v>301</v>
      </c>
      <c r="Y15" s="84">
        <v>0.15</v>
      </c>
      <c r="Z15" s="81" t="s">
        <v>256</v>
      </c>
      <c r="AA15" s="84">
        <v>0.5</v>
      </c>
      <c r="AB15" s="81" t="s">
        <v>196</v>
      </c>
      <c r="AC15" s="84">
        <v>0.3125</v>
      </c>
      <c r="AD15" s="81" t="s">
        <v>256</v>
      </c>
      <c r="AE15" s="84">
        <v>0.2857142857142857</v>
      </c>
      <c r="AF15" s="81" t="s">
        <v>256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-864.60000000000025</v>
      </c>
      <c r="D16" s="81" t="s">
        <v>301</v>
      </c>
      <c r="E16" s="93">
        <v>-16.160000000000004</v>
      </c>
      <c r="F16" s="81" t="s">
        <v>197</v>
      </c>
      <c r="G16" s="82">
        <v>2.3013698630136985</v>
      </c>
      <c r="H16" s="81" t="s">
        <v>197</v>
      </c>
      <c r="I16" s="83">
        <v>0.15068493150684931</v>
      </c>
      <c r="J16" s="81" t="s">
        <v>232</v>
      </c>
      <c r="K16" s="83">
        <v>0.5714285714285714</v>
      </c>
      <c r="L16" s="81" t="s">
        <v>301</v>
      </c>
      <c r="M16" s="84">
        <v>0.2</v>
      </c>
      <c r="N16" s="81" t="s">
        <v>201</v>
      </c>
      <c r="O16" s="84">
        <v>0.24358974358974358</v>
      </c>
      <c r="P16" s="81" t="s">
        <v>200</v>
      </c>
      <c r="Q16" s="85">
        <v>6648.1481481481478</v>
      </c>
      <c r="R16" s="81" t="s">
        <v>201</v>
      </c>
      <c r="S16" s="85">
        <v>-10010.526315789473</v>
      </c>
      <c r="T16" s="81" t="s">
        <v>232</v>
      </c>
      <c r="U16" s="83">
        <v>0.5714285714285714</v>
      </c>
      <c r="V16" s="81" t="s">
        <v>161</v>
      </c>
      <c r="W16" s="84">
        <v>0.14177215189873418</v>
      </c>
      <c r="X16" s="81" t="s">
        <v>200</v>
      </c>
      <c r="Y16" s="84">
        <v>0.12258064516129032</v>
      </c>
      <c r="Z16" s="81" t="s">
        <v>301</v>
      </c>
      <c r="AA16" s="84">
        <v>0.4</v>
      </c>
      <c r="AB16" s="81" t="s">
        <v>232</v>
      </c>
      <c r="AC16" s="84">
        <v>0.27272727272727271</v>
      </c>
      <c r="AD16" s="81" t="s">
        <v>301</v>
      </c>
      <c r="AE16" s="84">
        <v>0.25</v>
      </c>
      <c r="AF16" s="81" t="s">
        <v>301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3CD1-0E0B-4376-B93B-7F5BE675568C}">
  <sheetPr codeName="Sheet4"/>
  <dimension ref="A1:Q103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1035</v>
      </c>
      <c r="C2" s="155"/>
      <c r="E2" s="58" t="s">
        <v>66</v>
      </c>
      <c r="F2" s="55" t="s">
        <v>22</v>
      </c>
      <c r="G2" s="43">
        <v>1894</v>
      </c>
      <c r="H2" s="128">
        <f>IF(B$15=0,0,G2/B$15)</f>
        <v>0.74566929133858273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-29.154518950437318</v>
      </c>
      <c r="P2" s="114">
        <v>1029</v>
      </c>
      <c r="Q2" s="98">
        <v>-30000</v>
      </c>
    </row>
    <row r="3" spans="1:17" x14ac:dyDescent="0.45">
      <c r="A3" s="51" t="s">
        <v>8</v>
      </c>
      <c r="B3" s="156">
        <v>8649</v>
      </c>
      <c r="C3" s="157"/>
      <c r="E3" s="59" t="s">
        <v>72</v>
      </c>
      <c r="F3" s="56" t="s">
        <v>27</v>
      </c>
      <c r="G3" s="44">
        <v>1383</v>
      </c>
      <c r="H3" s="129">
        <f>IF(B$15=0,0,G3/B$15)</f>
        <v>0.54448818897637796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9.8911968348170127</v>
      </c>
      <c r="P3" s="115">
        <v>1011</v>
      </c>
      <c r="Q3" s="99">
        <v>10000</v>
      </c>
    </row>
    <row r="4" spans="1:17" x14ac:dyDescent="0.45">
      <c r="A4" s="51" t="s">
        <v>6</v>
      </c>
      <c r="B4" s="158">
        <v>-7.460698725481052E-14</v>
      </c>
      <c r="C4" s="159"/>
      <c r="E4" s="59" t="s">
        <v>64</v>
      </c>
      <c r="F4" s="56" t="s">
        <v>20</v>
      </c>
      <c r="G4" s="44">
        <v>1149</v>
      </c>
      <c r="H4" s="129">
        <f>IF(B$15=0,0,G4/B$15)</f>
        <v>0.45236220472440947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-1.0515247108307044</v>
      </c>
      <c r="P4" s="115">
        <v>951</v>
      </c>
      <c r="Q4" s="99">
        <v>-1000</v>
      </c>
    </row>
    <row r="5" spans="1:17" x14ac:dyDescent="0.45">
      <c r="A5" s="51" t="s">
        <v>7</v>
      </c>
      <c r="B5" s="160">
        <f>IF(B$2=0,0,B$4/B$2)</f>
        <v>-7.2084045656821753E-17</v>
      </c>
      <c r="C5" s="161"/>
      <c r="E5" s="59" t="s">
        <v>166</v>
      </c>
      <c r="F5" s="56" t="s">
        <v>167</v>
      </c>
      <c r="G5" s="44">
        <v>1002</v>
      </c>
      <c r="H5" s="129">
        <f>IF(B$15=0,0,G5/B$15)</f>
        <v>0.39448818897637794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-1.1261261261261262</v>
      </c>
      <c r="P5" s="115">
        <v>888</v>
      </c>
      <c r="Q5" s="99">
        <v>-1000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797</v>
      </c>
      <c r="H6" s="129">
        <f>IF(B$15=0,0,G6/B$15)</f>
        <v>0.31377952755905514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9.7680097680097688</v>
      </c>
      <c r="P6" s="115">
        <v>819</v>
      </c>
      <c r="Q6" s="99">
        <v>8000</v>
      </c>
    </row>
    <row r="7" spans="1:17" x14ac:dyDescent="0.45">
      <c r="A7" s="51" t="s">
        <v>2</v>
      </c>
      <c r="B7" s="44">
        <v>345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706</v>
      </c>
      <c r="H7" s="129">
        <f>IF(B$15=0,0,G7/B$15)</f>
        <v>0.27795275590551183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19.174041297935105</v>
      </c>
      <c r="P7" s="116">
        <v>678</v>
      </c>
      <c r="Q7" s="100">
        <v>13000</v>
      </c>
    </row>
    <row r="8" spans="1:17" x14ac:dyDescent="0.45">
      <c r="A8" s="51" t="s">
        <v>3</v>
      </c>
      <c r="B8" s="44">
        <v>345</v>
      </c>
      <c r="C8" s="37">
        <f t="shared" si="1"/>
        <v>0.33333333333333331</v>
      </c>
      <c r="E8" s="59" t="s">
        <v>89</v>
      </c>
      <c r="F8" s="56" t="s">
        <v>44</v>
      </c>
      <c r="G8" s="44">
        <v>358</v>
      </c>
      <c r="H8" s="129">
        <f>IF(B$15=0,0,G8/B$15)</f>
        <v>0.14094488188976378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345</v>
      </c>
      <c r="C9" s="38">
        <f t="shared" si="1"/>
        <v>0.33333333333333331</v>
      </c>
      <c r="E9" s="59" t="s">
        <v>69</v>
      </c>
      <c r="F9" s="56" t="s">
        <v>24</v>
      </c>
      <c r="G9" s="44">
        <v>352</v>
      </c>
      <c r="H9" s="129">
        <f>IF(B$15=0,0,G9/B$15)</f>
        <v>0.13858267716535433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103</v>
      </c>
      <c r="C10" s="40">
        <f t="shared" si="1"/>
        <v>9.9516908212560387E-2</v>
      </c>
      <c r="E10" s="59" t="s">
        <v>65</v>
      </c>
      <c r="F10" s="56" t="s">
        <v>21</v>
      </c>
      <c r="G10" s="44">
        <v>259</v>
      </c>
      <c r="H10" s="129">
        <f>IF(B$15=0,0,G10/B$15)</f>
        <v>0.10196850393700788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-4.2602898550724646</v>
      </c>
      <c r="P10" s="114">
        <v>345</v>
      </c>
      <c r="Q10" s="102">
        <v>-1469.8000000000002</v>
      </c>
    </row>
    <row r="11" spans="1:17" x14ac:dyDescent="0.45">
      <c r="A11" s="54" t="s">
        <v>121</v>
      </c>
      <c r="B11" s="47">
        <v>2172</v>
      </c>
      <c r="C11" s="42">
        <f>IF(B$3=0,0,B11/B$3)</f>
        <v>0.25112729795352062</v>
      </c>
      <c r="E11" s="59" t="s">
        <v>70</v>
      </c>
      <c r="F11" s="56" t="s">
        <v>25</v>
      </c>
      <c r="G11" s="44">
        <v>240</v>
      </c>
      <c r="H11" s="129">
        <f>IF(B$15=0,0,G11/B$15)</f>
        <v>9.4488188976377951E-2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1.561449275362319</v>
      </c>
      <c r="P11" s="115">
        <v>345</v>
      </c>
      <c r="Q11" s="103">
        <v>538.70000000000005</v>
      </c>
    </row>
    <row r="12" spans="1:17" x14ac:dyDescent="0.45">
      <c r="A12" s="51" t="s">
        <v>118</v>
      </c>
      <c r="B12" s="44">
        <v>2005</v>
      </c>
      <c r="C12" s="37">
        <f>IF(B$3=0,0,B12/B$3)</f>
        <v>0.23181870736501331</v>
      </c>
      <c r="E12" s="59" t="s">
        <v>71</v>
      </c>
      <c r="F12" s="56" t="s">
        <v>26</v>
      </c>
      <c r="G12" s="44">
        <v>204</v>
      </c>
      <c r="H12" s="129">
        <f>IF(B$15=0,0,G12/B$15)</f>
        <v>8.0314960629921259E-2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2.6988405797101431</v>
      </c>
      <c r="P12" s="116">
        <v>345</v>
      </c>
      <c r="Q12" s="104">
        <v>931.09999999999945</v>
      </c>
    </row>
    <row r="13" spans="1:17" x14ac:dyDescent="0.45">
      <c r="A13" s="50" t="s">
        <v>123</v>
      </c>
      <c r="B13" s="43">
        <f>B19</f>
        <v>1186</v>
      </c>
      <c r="C13" s="35">
        <f>IF(B$11=0,0,B13/B$11)</f>
        <v>0.54604051565377532</v>
      </c>
      <c r="E13" s="59" t="s">
        <v>83</v>
      </c>
      <c r="F13" s="56" t="s">
        <v>38</v>
      </c>
      <c r="G13" s="44">
        <v>126</v>
      </c>
      <c r="H13" s="129">
        <f>IF(B$15=0,0,G13/B$15)</f>
        <v>4.9606299212598425E-2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839</v>
      </c>
      <c r="C14" s="35">
        <f>IF(B$12=0,0,B14/B$12)</f>
        <v>0.41845386533665835</v>
      </c>
      <c r="E14" s="59" t="s">
        <v>86</v>
      </c>
      <c r="F14" s="56" t="s">
        <v>41</v>
      </c>
      <c r="G14" s="44">
        <v>123</v>
      </c>
      <c r="H14" s="129">
        <f>IF(B$15=0,0,G14/B$15)</f>
        <v>4.8425196850393704E-2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2540</v>
      </c>
      <c r="C15" s="35">
        <f>IF(B$3=0,0,B15/B$3)</f>
        <v>0.2936755694299919</v>
      </c>
      <c r="E15" s="59" t="s">
        <v>78</v>
      </c>
      <c r="F15" s="56" t="s">
        <v>33</v>
      </c>
      <c r="G15" s="44">
        <v>70</v>
      </c>
      <c r="H15" s="129">
        <f>IF(B$15=0,0,G15/B$15)</f>
        <v>2.7559055118110236E-2</v>
      </c>
      <c r="I15" s="90">
        <v>6</v>
      </c>
      <c r="K15" s="36">
        <v>13</v>
      </c>
      <c r="L15" s="95">
        <v>-1.7</v>
      </c>
      <c r="N15" s="110" t="s">
        <v>301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1381</v>
      </c>
      <c r="C16" s="37">
        <f>IF(B$3=0,0,B16/B$3)</f>
        <v>0.15967163833969245</v>
      </c>
      <c r="E16" s="59" t="s">
        <v>81</v>
      </c>
      <c r="F16" s="56" t="s">
        <v>36</v>
      </c>
      <c r="G16" s="44">
        <v>58</v>
      </c>
      <c r="H16" s="129">
        <f>IF(B$15=0,0,G16/B$15)</f>
        <v>2.2834645669291338E-2</v>
      </c>
      <c r="I16" s="90">
        <v>5</v>
      </c>
      <c r="K16" s="36">
        <v>14</v>
      </c>
      <c r="L16" s="95">
        <v>24.3</v>
      </c>
      <c r="N16" s="111" t="s">
        <v>232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1147</v>
      </c>
      <c r="C17" s="37">
        <f>IF(B$15=0,0,B17/B$15)</f>
        <v>0.4515748031496063</v>
      </c>
      <c r="E17" s="59" t="s">
        <v>162</v>
      </c>
      <c r="F17" s="56" t="s">
        <v>163</v>
      </c>
      <c r="G17" s="44">
        <v>49</v>
      </c>
      <c r="H17" s="129">
        <f>IF(B$15=0,0,G17/B$15)</f>
        <v>1.9291338582677165E-2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17.765753424657508</v>
      </c>
      <c r="P17" s="115">
        <v>146</v>
      </c>
      <c r="Q17" s="103">
        <v>2593.7999999999961</v>
      </c>
    </row>
    <row r="18" spans="1:17" x14ac:dyDescent="0.45">
      <c r="A18" s="51" t="s">
        <v>11</v>
      </c>
      <c r="B18" s="44">
        <v>1393</v>
      </c>
      <c r="C18" s="37">
        <f>IF(B$15=0,0,B18/B$15)</f>
        <v>0.5484251968503937</v>
      </c>
      <c r="E18" s="59" t="s">
        <v>91</v>
      </c>
      <c r="F18" s="56" t="s">
        <v>46</v>
      </c>
      <c r="G18" s="44">
        <v>41</v>
      </c>
      <c r="H18" s="129">
        <f>IF(B$15=0,0,G18/B$15)</f>
        <v>1.6141732283464567E-2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11.164705882352937</v>
      </c>
      <c r="P18" s="115">
        <v>204</v>
      </c>
      <c r="Q18" s="103">
        <v>2277.599999999999</v>
      </c>
    </row>
    <row r="19" spans="1:17" x14ac:dyDescent="0.45">
      <c r="A19" s="51" t="s">
        <v>195</v>
      </c>
      <c r="B19" s="44">
        <v>1186</v>
      </c>
      <c r="C19" s="37">
        <f>IF(B$15=0,0,B19/B$15)</f>
        <v>0.46692913385826773</v>
      </c>
      <c r="E19" s="59" t="s">
        <v>79</v>
      </c>
      <c r="F19" s="56" t="s">
        <v>34</v>
      </c>
      <c r="G19" s="44">
        <v>36</v>
      </c>
      <c r="H19" s="129">
        <f>IF(B$15=0,0,G19/B$15)</f>
        <v>1.4173228346456693E-2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8.6621212121212068</v>
      </c>
      <c r="P19" s="115">
        <v>198</v>
      </c>
      <c r="Q19" s="103">
        <v>1715.0999999999988</v>
      </c>
    </row>
    <row r="20" spans="1:17" x14ac:dyDescent="0.45">
      <c r="A20" s="51" t="s">
        <v>193</v>
      </c>
      <c r="B20" s="44">
        <v>839</v>
      </c>
      <c r="C20" s="37">
        <f>IF(B$15=0,0,B20/B$15)</f>
        <v>0.33031496062992127</v>
      </c>
      <c r="E20" s="59" t="s">
        <v>75</v>
      </c>
      <c r="F20" s="56" t="s">
        <v>30</v>
      </c>
      <c r="G20" s="44">
        <v>19</v>
      </c>
      <c r="H20" s="129">
        <f>IF(B$15=0,0,G20/B$15)</f>
        <v>7.4803149606299212E-3</v>
      </c>
      <c r="I20" s="90">
        <v>6</v>
      </c>
      <c r="K20" s="36">
        <v>18</v>
      </c>
      <c r="L20" s="95">
        <v>0</v>
      </c>
      <c r="N20" s="111" t="s">
        <v>200</v>
      </c>
      <c r="O20" s="121">
        <f>IF(P20=0,0,Q20/P20)</f>
        <v>4.6333333333333302</v>
      </c>
      <c r="P20" s="115">
        <v>36</v>
      </c>
      <c r="Q20" s="103">
        <v>166.7999999999999</v>
      </c>
    </row>
    <row r="21" spans="1:17" x14ac:dyDescent="0.45">
      <c r="A21" s="51" t="s">
        <v>194</v>
      </c>
      <c r="B21" s="44">
        <v>515</v>
      </c>
      <c r="C21" s="37">
        <f>IF(B$15=0,0,B21/B$15)</f>
        <v>0.20275590551181102</v>
      </c>
      <c r="E21" s="59" t="s">
        <v>92</v>
      </c>
      <c r="F21" s="56" t="s">
        <v>47</v>
      </c>
      <c r="G21" s="44">
        <v>19</v>
      </c>
      <c r="H21" s="129">
        <f>IF(B$15=0,0,G21/B$15)</f>
        <v>7.4803149606299212E-3</v>
      </c>
      <c r="I21" s="90">
        <v>4</v>
      </c>
      <c r="K21" s="36">
        <v>19</v>
      </c>
      <c r="L21" s="95">
        <v>-22.4</v>
      </c>
      <c r="N21" s="111" t="s">
        <v>196</v>
      </c>
      <c r="O21" s="121">
        <f>IF(P21=0,0,Q21/P21)</f>
        <v>4.532812500000003</v>
      </c>
      <c r="P21" s="115">
        <v>64</v>
      </c>
      <c r="Q21" s="103">
        <v>290.10000000000019</v>
      </c>
    </row>
    <row r="22" spans="1:17" x14ac:dyDescent="0.45">
      <c r="A22" s="51" t="s">
        <v>5</v>
      </c>
      <c r="B22" s="48">
        <f>IF(B$15=0,0,C22/B$15)</f>
        <v>8464.9606299212592</v>
      </c>
      <c r="C22" s="39">
        <v>21501000</v>
      </c>
      <c r="E22" s="59" t="s">
        <v>85</v>
      </c>
      <c r="F22" s="56" t="s">
        <v>40</v>
      </c>
      <c r="G22" s="44">
        <v>15</v>
      </c>
      <c r="H22" s="129">
        <f>IF(B$15=0,0,G22/B$15)</f>
        <v>5.905511811023622E-3</v>
      </c>
      <c r="I22" s="90">
        <v>6</v>
      </c>
      <c r="K22" s="36">
        <v>20</v>
      </c>
      <c r="L22" s="95">
        <v>-61.199999999999996</v>
      </c>
      <c r="N22" s="111" t="s">
        <v>127</v>
      </c>
      <c r="O22" s="121">
        <f>IF(P22=0,0,Q22/P22)</f>
        <v>0.85223463687150514</v>
      </c>
      <c r="P22" s="115">
        <v>358</v>
      </c>
      <c r="Q22" s="103">
        <v>305.09999999999883</v>
      </c>
    </row>
    <row r="23" spans="1:17" x14ac:dyDescent="0.45">
      <c r="A23" s="52" t="s">
        <v>177</v>
      </c>
      <c r="B23" s="136">
        <f>IF($B$15-B$14=0,0,C23/($B$15-B$14))</f>
        <v>9152.3809523809523</v>
      </c>
      <c r="C23" s="137">
        <v>15568200</v>
      </c>
      <c r="E23" s="59" t="s">
        <v>73</v>
      </c>
      <c r="F23" s="56" t="s">
        <v>28</v>
      </c>
      <c r="G23" s="44">
        <v>9</v>
      </c>
      <c r="H23" s="129">
        <f>IF(B$15=0,0,G23/B$15)</f>
        <v>3.5433070866141732E-3</v>
      </c>
      <c r="I23" s="90">
        <v>4</v>
      </c>
      <c r="K23" s="36">
        <v>21</v>
      </c>
      <c r="L23" s="95">
        <v>7.1054273576010019E-15</v>
      </c>
      <c r="N23" s="111" t="s">
        <v>171</v>
      </c>
      <c r="O23" s="121">
        <f>IF(P23=0,0,Q23/P23)</f>
        <v>0.78942307692307723</v>
      </c>
      <c r="P23" s="115">
        <v>312</v>
      </c>
      <c r="Q23" s="103">
        <v>246.3000000000001</v>
      </c>
    </row>
    <row r="24" spans="1:17" x14ac:dyDescent="0.45">
      <c r="A24" s="52" t="s">
        <v>178</v>
      </c>
      <c r="B24" s="136">
        <f>IF(B$14=0,0,C24/B$14)</f>
        <v>7071.2753277711563</v>
      </c>
      <c r="C24" s="137">
        <v>5932800</v>
      </c>
      <c r="E24" s="59" t="s">
        <v>74</v>
      </c>
      <c r="F24" s="56" t="s">
        <v>29</v>
      </c>
      <c r="G24" s="44">
        <v>8</v>
      </c>
      <c r="H24" s="129">
        <f>IF(B$15=0,0,G24/B$15)</f>
        <v>3.1496062992125984E-3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-6.9077419354838643</v>
      </c>
      <c r="P24" s="115">
        <v>310</v>
      </c>
      <c r="Q24" s="103">
        <v>-2141.3999999999978</v>
      </c>
    </row>
    <row r="25" spans="1:17" x14ac:dyDescent="0.45">
      <c r="A25" s="52" t="s">
        <v>176</v>
      </c>
      <c r="B25" s="136">
        <f>IF(B$16=0,0,C25/B$16)</f>
        <v>-7875.1629254163654</v>
      </c>
      <c r="C25" s="137">
        <v>-10875600</v>
      </c>
      <c r="E25" s="59" t="s">
        <v>84</v>
      </c>
      <c r="F25" s="56" t="s">
        <v>39</v>
      </c>
      <c r="G25" s="44">
        <v>8</v>
      </c>
      <c r="H25" s="129">
        <f>IF(B$15=0,0,G25/B$15)</f>
        <v>3.1496062992125984E-3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-14.327536231884055</v>
      </c>
      <c r="P25" s="115">
        <v>414</v>
      </c>
      <c r="Q25" s="103">
        <v>-5931.5999999999985</v>
      </c>
    </row>
    <row r="26" spans="1:17" x14ac:dyDescent="0.45">
      <c r="A26" s="51" t="s">
        <v>164</v>
      </c>
      <c r="B26" s="44">
        <v>7</v>
      </c>
      <c r="C26" s="131">
        <v>1</v>
      </c>
      <c r="E26" s="59" t="s">
        <v>77</v>
      </c>
      <c r="F26" s="56" t="s">
        <v>32</v>
      </c>
      <c r="G26" s="44">
        <v>7</v>
      </c>
      <c r="H26" s="129">
        <f>IF(B$15=0,0,G26/B$15)</f>
        <v>2.7559055118110236E-3</v>
      </c>
      <c r="I26" s="90">
        <v>4</v>
      </c>
      <c r="K26" s="36">
        <v>24</v>
      </c>
      <c r="L26" s="95">
        <v>7.1054273576010019E-15</v>
      </c>
      <c r="N26" s="111" t="s">
        <v>256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4</v>
      </c>
      <c r="E27" s="59" t="s">
        <v>88</v>
      </c>
      <c r="F27" s="56" t="s">
        <v>43</v>
      </c>
      <c r="G27" s="44">
        <v>7</v>
      </c>
      <c r="H27" s="129">
        <f>IF(B$15=0,0,G27/B$15)</f>
        <v>2.7559055118110236E-3</v>
      </c>
      <c r="I27" s="90">
        <v>5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1.968503937007874E-3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5</v>
      </c>
      <c r="H29" s="129">
        <f>IF(B$15=0,0,G29/B$15)</f>
        <v>1.968503937007874E-3</v>
      </c>
      <c r="I29" s="90">
        <v>3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24</v>
      </c>
      <c r="C30" s="40">
        <f>IF(B$3=0,0,B30/B$3)</f>
        <v>2.7748872702046479E-3</v>
      </c>
      <c r="E30" s="59" t="s">
        <v>95</v>
      </c>
      <c r="F30" s="56" t="s">
        <v>50</v>
      </c>
      <c r="G30" s="44">
        <v>5</v>
      </c>
      <c r="H30" s="129">
        <f>IF(B$15=0,0,G30/B$15)</f>
        <v>1.968503937007874E-3</v>
      </c>
      <c r="I30" s="90">
        <v>5</v>
      </c>
      <c r="K30" s="36">
        <v>28</v>
      </c>
      <c r="L30" s="95">
        <v>-30.199999999999992</v>
      </c>
    </row>
    <row r="31" spans="1:17" x14ac:dyDescent="0.45">
      <c r="E31" s="59" t="s">
        <v>93</v>
      </c>
      <c r="F31" s="56" t="s">
        <v>48</v>
      </c>
      <c r="G31" s="44">
        <v>4</v>
      </c>
      <c r="H31" s="129">
        <f>IF(B$15=0,0,G31/B$15)</f>
        <v>1.5748031496062992E-3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198</v>
      </c>
      <c r="C32" s="141">
        <f>IF(B$15=0,0,B32/B$15)</f>
        <v>7.7952755905511817E-2</v>
      </c>
      <c r="E32" s="59" t="s">
        <v>97</v>
      </c>
      <c r="F32" s="56" t="s">
        <v>52</v>
      </c>
      <c r="G32" s="44">
        <v>1</v>
      </c>
      <c r="H32" s="129">
        <f>IF(B$15=0,0,G32/B$15)</f>
        <v>3.937007874015748E-4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435</v>
      </c>
      <c r="C33" s="37">
        <f t="shared" ref="C33:C44" si="2">IF(B$15=0,0,B33/B$15)</f>
        <v>0.17125984251968504</v>
      </c>
      <c r="E33" s="59" t="s">
        <v>101</v>
      </c>
      <c r="F33" s="56" t="s">
        <v>56</v>
      </c>
      <c r="G33" s="44">
        <v>1</v>
      </c>
      <c r="H33" s="129">
        <f>IF(B$15=0,0,G33/B$15)</f>
        <v>3.937007874015748E-4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488</v>
      </c>
      <c r="C34" s="37">
        <f>IF(B$15=0,0,B34/B$15)</f>
        <v>0.1921259842519685</v>
      </c>
      <c r="E34" s="59" t="s">
        <v>106</v>
      </c>
      <c r="F34" s="56" t="s">
        <v>113</v>
      </c>
      <c r="G34" s="44">
        <v>1</v>
      </c>
      <c r="H34" s="129">
        <f>IF(B$15=0,0,G34/B$15)</f>
        <v>3.937007874015748E-4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456</v>
      </c>
      <c r="C35" s="37">
        <f t="shared" si="2"/>
        <v>0.17952755905511811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395</v>
      </c>
      <c r="C36" s="37">
        <f t="shared" si="2"/>
        <v>0.15551181102362205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268</v>
      </c>
      <c r="C37" s="37">
        <f t="shared" si="2"/>
        <v>0.10551181102362205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132</v>
      </c>
      <c r="C38" s="37">
        <f t="shared" si="2"/>
        <v>5.1968503937007873E-2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74</v>
      </c>
      <c r="C39" s="37">
        <f t="shared" si="2"/>
        <v>2.9133858267716535E-2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34</v>
      </c>
      <c r="C40" s="37">
        <f t="shared" si="2"/>
        <v>1.3385826771653543E-2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12</v>
      </c>
      <c r="C41" s="37">
        <f t="shared" si="2"/>
        <v>4.7244094488188976E-3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9</v>
      </c>
      <c r="C42" s="37">
        <f t="shared" si="2"/>
        <v>3.5433070866141732E-3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2.3622047244094488E-3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33</v>
      </c>
      <c r="C44" s="40">
        <f t="shared" si="2"/>
        <v>1.2992125984251968E-2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  <row r="963" spans="11:12" x14ac:dyDescent="0.45">
      <c r="K963" s="36">
        <v>961</v>
      </c>
      <c r="L963" s="95">
        <v>31.999999999999936</v>
      </c>
    </row>
    <row r="964" spans="11:12" x14ac:dyDescent="0.45">
      <c r="K964" s="36">
        <v>962</v>
      </c>
      <c r="L964" s="95">
        <v>37.999999999999936</v>
      </c>
    </row>
    <row r="965" spans="11:12" x14ac:dyDescent="0.45">
      <c r="K965" s="36">
        <v>963</v>
      </c>
      <c r="L965" s="95">
        <v>-6.3948846218409017E-14</v>
      </c>
    </row>
    <row r="966" spans="11:12" x14ac:dyDescent="0.45">
      <c r="K966" s="36">
        <v>964</v>
      </c>
      <c r="L966" s="95">
        <v>-53.000000000000064</v>
      </c>
    </row>
    <row r="967" spans="11:12" x14ac:dyDescent="0.45">
      <c r="K967" s="36">
        <v>965</v>
      </c>
      <c r="L967" s="95">
        <v>-11.500000000000064</v>
      </c>
    </row>
    <row r="968" spans="11:12" x14ac:dyDescent="0.45">
      <c r="K968" s="36">
        <v>966</v>
      </c>
      <c r="L968" s="95">
        <v>-6.3948846218409017E-14</v>
      </c>
    </row>
    <row r="969" spans="11:12" x14ac:dyDescent="0.45">
      <c r="K969" s="36">
        <v>967</v>
      </c>
      <c r="L969" s="95">
        <v>-53.200000000000067</v>
      </c>
    </row>
    <row r="970" spans="11:12" x14ac:dyDescent="0.45">
      <c r="K970" s="36">
        <v>968</v>
      </c>
      <c r="L970" s="95">
        <v>-16.600000000000065</v>
      </c>
    </row>
    <row r="971" spans="11:12" x14ac:dyDescent="0.45">
      <c r="K971" s="36">
        <v>969</v>
      </c>
      <c r="L971" s="95">
        <v>-6.3948846218409017E-14</v>
      </c>
    </row>
    <row r="972" spans="11:12" x14ac:dyDescent="0.45">
      <c r="K972" s="36">
        <v>970</v>
      </c>
      <c r="L972" s="95">
        <v>-23.200000000000063</v>
      </c>
    </row>
    <row r="973" spans="11:12" x14ac:dyDescent="0.45">
      <c r="K973" s="36">
        <v>971</v>
      </c>
      <c r="L973" s="95">
        <v>-31.900000000000063</v>
      </c>
    </row>
    <row r="974" spans="11:12" x14ac:dyDescent="0.45">
      <c r="K974" s="36">
        <v>972</v>
      </c>
      <c r="L974" s="95">
        <v>-6.3948846218409017E-14</v>
      </c>
    </row>
    <row r="975" spans="11:12" x14ac:dyDescent="0.45">
      <c r="K975" s="36">
        <v>973</v>
      </c>
      <c r="L975" s="95">
        <v>-47.400000000000063</v>
      </c>
    </row>
    <row r="976" spans="11:12" x14ac:dyDescent="0.45">
      <c r="K976" s="36">
        <v>974</v>
      </c>
      <c r="L976" s="95">
        <v>-41.500000000000064</v>
      </c>
    </row>
    <row r="977" spans="11:12" x14ac:dyDescent="0.45">
      <c r="K977" s="36">
        <v>975</v>
      </c>
      <c r="L977" s="95">
        <v>-6.3948846218409017E-14</v>
      </c>
    </row>
    <row r="978" spans="11:12" x14ac:dyDescent="0.45">
      <c r="K978" s="36">
        <v>976</v>
      </c>
      <c r="L978" s="95">
        <v>-10.900000000000064</v>
      </c>
    </row>
    <row r="979" spans="11:12" x14ac:dyDescent="0.45">
      <c r="K979" s="36">
        <v>977</v>
      </c>
      <c r="L979" s="95">
        <v>-49.600000000000065</v>
      </c>
    </row>
    <row r="980" spans="11:12" x14ac:dyDescent="0.45">
      <c r="K980" s="36">
        <v>978</v>
      </c>
      <c r="L980" s="95">
        <v>-6.3948846218409017E-14</v>
      </c>
    </row>
    <row r="981" spans="11:12" x14ac:dyDescent="0.45">
      <c r="K981" s="36">
        <v>979</v>
      </c>
      <c r="L981" s="95">
        <v>9.1999999999999353</v>
      </c>
    </row>
    <row r="982" spans="11:12" x14ac:dyDescent="0.45">
      <c r="K982" s="36">
        <v>980</v>
      </c>
      <c r="L982" s="95">
        <v>45.499999999999929</v>
      </c>
    </row>
    <row r="983" spans="11:12" x14ac:dyDescent="0.45">
      <c r="K983" s="36">
        <v>981</v>
      </c>
      <c r="L983" s="95">
        <v>-7.1054273576010019E-14</v>
      </c>
    </row>
    <row r="984" spans="11:12" x14ac:dyDescent="0.45">
      <c r="K984" s="36">
        <v>982</v>
      </c>
      <c r="L984" s="95">
        <v>30.29999999999993</v>
      </c>
    </row>
    <row r="985" spans="11:12" x14ac:dyDescent="0.45">
      <c r="K985" s="36">
        <v>983</v>
      </c>
      <c r="L985" s="95">
        <v>46.499999999999929</v>
      </c>
    </row>
    <row r="986" spans="11:12" x14ac:dyDescent="0.45">
      <c r="K986" s="36">
        <v>984</v>
      </c>
      <c r="L986" s="95">
        <v>-7.1054273576010019E-14</v>
      </c>
    </row>
    <row r="987" spans="11:12" x14ac:dyDescent="0.45">
      <c r="K987" s="36">
        <v>985</v>
      </c>
      <c r="L987" s="95">
        <v>30.399999999999928</v>
      </c>
    </row>
    <row r="988" spans="11:12" x14ac:dyDescent="0.45">
      <c r="K988" s="36">
        <v>986</v>
      </c>
      <c r="L988" s="95">
        <v>45.499999999999929</v>
      </c>
    </row>
    <row r="989" spans="11:12" x14ac:dyDescent="0.45">
      <c r="K989" s="36">
        <v>987</v>
      </c>
      <c r="L989" s="95">
        <v>-7.1054273576010019E-14</v>
      </c>
    </row>
    <row r="990" spans="11:12" x14ac:dyDescent="0.45">
      <c r="K990" s="36">
        <v>988</v>
      </c>
      <c r="L990" s="95">
        <v>34.59999999999993</v>
      </c>
    </row>
    <row r="991" spans="11:12" x14ac:dyDescent="0.45">
      <c r="K991" s="36">
        <v>989</v>
      </c>
      <c r="L991" s="95">
        <v>-11.500000000000071</v>
      </c>
    </row>
    <row r="992" spans="11:12" x14ac:dyDescent="0.45">
      <c r="K992" s="36">
        <v>990</v>
      </c>
      <c r="L992" s="95">
        <v>-7.1054273576010019E-14</v>
      </c>
    </row>
    <row r="993" spans="11:12" x14ac:dyDescent="0.45">
      <c r="K993" s="36">
        <v>991</v>
      </c>
      <c r="L993" s="95">
        <v>1.299999999999929</v>
      </c>
    </row>
    <row r="994" spans="11:12" x14ac:dyDescent="0.45">
      <c r="K994" s="36">
        <v>992</v>
      </c>
      <c r="L994" s="95">
        <v>-15.800000000000072</v>
      </c>
    </row>
    <row r="995" spans="11:12" x14ac:dyDescent="0.45">
      <c r="K995" s="36">
        <v>993</v>
      </c>
      <c r="L995" s="95">
        <v>-7.1054273576010019E-14</v>
      </c>
    </row>
    <row r="996" spans="11:12" x14ac:dyDescent="0.45">
      <c r="K996" s="36">
        <v>994</v>
      </c>
      <c r="L996" s="95">
        <v>74.099999999999923</v>
      </c>
    </row>
    <row r="997" spans="11:12" x14ac:dyDescent="0.45">
      <c r="K997" s="36">
        <v>995</v>
      </c>
      <c r="L997" s="95">
        <v>27.499999999999922</v>
      </c>
    </row>
    <row r="998" spans="11:12" x14ac:dyDescent="0.45">
      <c r="K998" s="36">
        <v>996</v>
      </c>
      <c r="L998" s="95">
        <v>-7.815970093361102E-14</v>
      </c>
    </row>
    <row r="999" spans="11:12" x14ac:dyDescent="0.45">
      <c r="K999" s="36">
        <v>997</v>
      </c>
      <c r="L999" s="95">
        <v>62.599999999999923</v>
      </c>
    </row>
    <row r="1000" spans="11:12" x14ac:dyDescent="0.45">
      <c r="K1000" s="36">
        <v>998</v>
      </c>
      <c r="L1000" s="95">
        <v>9.4999999999999218</v>
      </c>
    </row>
    <row r="1001" spans="11:12" x14ac:dyDescent="0.45">
      <c r="K1001" s="36">
        <v>999</v>
      </c>
      <c r="L1001" s="95">
        <v>-7.815970093361102E-14</v>
      </c>
    </row>
    <row r="1002" spans="11:12" x14ac:dyDescent="0.45">
      <c r="K1002" s="36">
        <v>1000</v>
      </c>
      <c r="L1002" s="95">
        <v>-52.000000000000078</v>
      </c>
    </row>
    <row r="1003" spans="11:12" x14ac:dyDescent="0.45">
      <c r="K1003" s="36">
        <v>1001</v>
      </c>
      <c r="L1003" s="95">
        <v>-55.500000000000078</v>
      </c>
    </row>
    <row r="1004" spans="11:12" x14ac:dyDescent="0.45">
      <c r="K1004" s="36">
        <v>1002</v>
      </c>
      <c r="L1004" s="95">
        <v>-7.815970093361102E-14</v>
      </c>
    </row>
    <row r="1005" spans="11:12" x14ac:dyDescent="0.45">
      <c r="K1005" s="36">
        <v>1003</v>
      </c>
      <c r="L1005" s="95">
        <v>-45.200000000000081</v>
      </c>
    </row>
    <row r="1006" spans="11:12" x14ac:dyDescent="0.45">
      <c r="K1006" s="36">
        <v>1004</v>
      </c>
      <c r="L1006" s="95">
        <v>-28.200000000000081</v>
      </c>
    </row>
    <row r="1007" spans="11:12" x14ac:dyDescent="0.45">
      <c r="K1007" s="36">
        <v>1005</v>
      </c>
      <c r="L1007" s="95">
        <v>-8.1712414612411521E-14</v>
      </c>
    </row>
    <row r="1008" spans="11:12" x14ac:dyDescent="0.45">
      <c r="K1008" s="36">
        <v>1006</v>
      </c>
      <c r="L1008" s="95">
        <v>24.09999999999992</v>
      </c>
    </row>
    <row r="1009" spans="11:12" x14ac:dyDescent="0.45">
      <c r="K1009" s="36">
        <v>1007</v>
      </c>
      <c r="L1009" s="95">
        <v>24.89999999999992</v>
      </c>
    </row>
    <row r="1010" spans="11:12" x14ac:dyDescent="0.45">
      <c r="K1010" s="36">
        <v>1008</v>
      </c>
      <c r="L1010" s="95">
        <v>-7.815970093361102E-14</v>
      </c>
    </row>
    <row r="1011" spans="11:12" x14ac:dyDescent="0.45">
      <c r="K1011" s="36">
        <v>1009</v>
      </c>
      <c r="L1011" s="95">
        <v>22.39999999999992</v>
      </c>
    </row>
    <row r="1012" spans="11:12" x14ac:dyDescent="0.45">
      <c r="K1012" s="36">
        <v>1010</v>
      </c>
      <c r="L1012" s="95">
        <v>17.39999999999992</v>
      </c>
    </row>
    <row r="1013" spans="11:12" x14ac:dyDescent="0.45">
      <c r="K1013" s="36">
        <v>1011</v>
      </c>
      <c r="L1013" s="95">
        <v>-7.815970093361102E-14</v>
      </c>
    </row>
    <row r="1014" spans="11:12" x14ac:dyDescent="0.45">
      <c r="K1014" s="36">
        <v>1012</v>
      </c>
      <c r="L1014" s="95">
        <v>-36.000000000000078</v>
      </c>
    </row>
    <row r="1015" spans="11:12" x14ac:dyDescent="0.45">
      <c r="K1015" s="36">
        <v>1013</v>
      </c>
      <c r="L1015" s="95">
        <v>4.6999999999999247</v>
      </c>
    </row>
    <row r="1016" spans="11:12" x14ac:dyDescent="0.45">
      <c r="K1016" s="36">
        <v>1014</v>
      </c>
      <c r="L1016" s="95">
        <v>-7.5495165674510645E-14</v>
      </c>
    </row>
    <row r="1017" spans="11:12" x14ac:dyDescent="0.45">
      <c r="K1017" s="36">
        <v>1015</v>
      </c>
      <c r="L1017" s="95">
        <v>-13.300000000000075</v>
      </c>
    </row>
    <row r="1018" spans="11:12" x14ac:dyDescent="0.45">
      <c r="K1018" s="36">
        <v>1016</v>
      </c>
      <c r="L1018" s="95">
        <v>-14.000000000000075</v>
      </c>
    </row>
    <row r="1019" spans="11:12" x14ac:dyDescent="0.45">
      <c r="K1019" s="36">
        <v>1017</v>
      </c>
      <c r="L1019" s="95">
        <v>-7.460698725481052E-14</v>
      </c>
    </row>
    <row r="1020" spans="11:12" x14ac:dyDescent="0.45">
      <c r="K1020" s="36">
        <v>1018</v>
      </c>
      <c r="L1020" s="95">
        <v>6.7999999999999252</v>
      </c>
    </row>
    <row r="1021" spans="11:12" x14ac:dyDescent="0.45">
      <c r="K1021" s="36">
        <v>1019</v>
      </c>
      <c r="L1021" s="95">
        <v>35.799999999999926</v>
      </c>
    </row>
    <row r="1022" spans="11:12" x14ac:dyDescent="0.45">
      <c r="K1022" s="36">
        <v>1020</v>
      </c>
      <c r="L1022" s="95">
        <v>-7.1054273576010019E-14</v>
      </c>
    </row>
    <row r="1023" spans="11:12" x14ac:dyDescent="0.45">
      <c r="K1023" s="36">
        <v>1021</v>
      </c>
      <c r="L1023" s="95">
        <v>-47.600000000000072</v>
      </c>
    </row>
    <row r="1024" spans="11:12" x14ac:dyDescent="0.45">
      <c r="K1024" s="36">
        <v>1022</v>
      </c>
      <c r="L1024" s="95">
        <v>19.299999999999933</v>
      </c>
    </row>
    <row r="1025" spans="11:12" x14ac:dyDescent="0.45">
      <c r="K1025" s="36">
        <v>1023</v>
      </c>
      <c r="L1025" s="95">
        <v>-6.7501559897209518E-14</v>
      </c>
    </row>
    <row r="1026" spans="11:12" x14ac:dyDescent="0.45">
      <c r="K1026" s="36">
        <v>1024</v>
      </c>
      <c r="L1026" s="95">
        <v>16.699999999999932</v>
      </c>
    </row>
    <row r="1027" spans="11:12" x14ac:dyDescent="0.45">
      <c r="K1027" s="36">
        <v>1025</v>
      </c>
      <c r="L1027" s="95">
        <v>46.699999999999932</v>
      </c>
    </row>
    <row r="1028" spans="11:12" x14ac:dyDescent="0.45">
      <c r="K1028" s="36">
        <v>1026</v>
      </c>
      <c r="L1028" s="95">
        <v>-7.1054273576010019E-14</v>
      </c>
    </row>
    <row r="1029" spans="11:12" x14ac:dyDescent="0.45">
      <c r="K1029" s="36">
        <v>1027</v>
      </c>
      <c r="L1029" s="95">
        <v>-62.200000000000074</v>
      </c>
    </row>
    <row r="1030" spans="11:12" x14ac:dyDescent="0.45">
      <c r="K1030" s="36">
        <v>1028</v>
      </c>
      <c r="L1030" s="95">
        <v>-3.2000000000000739</v>
      </c>
    </row>
    <row r="1031" spans="11:12" x14ac:dyDescent="0.45">
      <c r="K1031" s="36">
        <v>1029</v>
      </c>
      <c r="L1031" s="95">
        <v>-7.3718808835110394E-14</v>
      </c>
    </row>
    <row r="1032" spans="11:12" x14ac:dyDescent="0.45">
      <c r="K1032" s="36">
        <v>1030</v>
      </c>
      <c r="L1032" s="95">
        <v>16.499999999999925</v>
      </c>
    </row>
    <row r="1033" spans="11:12" x14ac:dyDescent="0.45">
      <c r="K1033" s="36">
        <v>1031</v>
      </c>
      <c r="L1033" s="95">
        <v>16.199999999999925</v>
      </c>
    </row>
    <row r="1034" spans="11:12" x14ac:dyDescent="0.45">
      <c r="K1034" s="36">
        <v>1032</v>
      </c>
      <c r="L1034" s="95">
        <v>-7.460698725481052E-14</v>
      </c>
    </row>
    <row r="1035" spans="11:12" x14ac:dyDescent="0.45">
      <c r="K1035" s="36">
        <v>1033</v>
      </c>
      <c r="L1035" s="95">
        <v>-54.700000000000074</v>
      </c>
    </row>
    <row r="1036" spans="11:12" x14ac:dyDescent="0.45">
      <c r="K1036" s="36">
        <v>1034</v>
      </c>
      <c r="L1036" s="95">
        <v>-14.800000000000075</v>
      </c>
    </row>
    <row r="1037" spans="11:12" x14ac:dyDescent="0.45">
      <c r="K1037" s="36">
        <v>1035</v>
      </c>
      <c r="L1037" s="95">
        <v>-7.460698725481052E-14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5295D-2035-443F-B0BC-22B5BF236682}">
  <sheetPr codeName="Sheet7"/>
  <dimension ref="A1:Q9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89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0.67129629629629628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2286.5168539325841</v>
      </c>
      <c r="P2" s="114">
        <v>89</v>
      </c>
      <c r="Q2" s="98">
        <v>203500</v>
      </c>
    </row>
    <row r="3" spans="1:17" x14ac:dyDescent="0.45">
      <c r="A3" s="51" t="s">
        <v>8</v>
      </c>
      <c r="B3" s="156">
        <v>790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0.55092592592592593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-2071.2643678160921</v>
      </c>
      <c r="P3" s="115">
        <v>87</v>
      </c>
      <c r="Q3" s="99">
        <v>-180200</v>
      </c>
    </row>
    <row r="4" spans="1:17" x14ac:dyDescent="0.45">
      <c r="A4" s="51" t="s">
        <v>6</v>
      </c>
      <c r="B4" s="158">
        <v>-581.00000000000023</v>
      </c>
      <c r="C4" s="159"/>
      <c r="E4" s="59" t="s">
        <v>166</v>
      </c>
      <c r="F4" s="56" t="s">
        <v>167</v>
      </c>
      <c r="G4" s="44">
        <v>77</v>
      </c>
      <c r="H4" s="129">
        <f>IF(B$15=0,0,G4/B$15)</f>
        <v>0.35648148148148145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-2372.9411764705883</v>
      </c>
      <c r="P4" s="115">
        <v>85</v>
      </c>
      <c r="Q4" s="99">
        <v>-201700</v>
      </c>
    </row>
    <row r="5" spans="1:17" x14ac:dyDescent="0.45">
      <c r="A5" s="51" t="s">
        <v>7</v>
      </c>
      <c r="B5" s="160">
        <f>IF(B$2=0,0,B$4/B$2)</f>
        <v>-6.5280898876404523</v>
      </c>
      <c r="C5" s="161"/>
      <c r="E5" s="59" t="s">
        <v>68</v>
      </c>
      <c r="F5" s="56" t="s">
        <v>12</v>
      </c>
      <c r="G5" s="44">
        <v>61</v>
      </c>
      <c r="H5" s="129">
        <f>IF(B$15=0,0,G5/B$15)</f>
        <v>0.28240740740740738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-1037.9746835443038</v>
      </c>
      <c r="P5" s="115">
        <v>79</v>
      </c>
      <c r="Q5" s="99">
        <v>-82000</v>
      </c>
    </row>
    <row r="6" spans="1:17" x14ac:dyDescent="0.45">
      <c r="A6" s="51" t="s">
        <v>1</v>
      </c>
      <c r="B6" s="150">
        <f>IF(B$2=0,0,(B$7*1+B$8*2+B$9*3)/B$2)</f>
        <v>2.1573033707865168</v>
      </c>
      <c r="C6" s="151"/>
      <c r="E6" s="59" t="s">
        <v>64</v>
      </c>
      <c r="F6" s="56" t="s">
        <v>20</v>
      </c>
      <c r="G6" s="44">
        <v>59</v>
      </c>
      <c r="H6" s="129">
        <f>IF(B$15=0,0,G6/B$15)</f>
        <v>0.27314814814814814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-93.506493506493513</v>
      </c>
      <c r="P6" s="115">
        <v>77</v>
      </c>
      <c r="Q6" s="99">
        <v>-7200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0.2808988764044944</v>
      </c>
      <c r="E7" s="59" t="s">
        <v>67</v>
      </c>
      <c r="F7" s="56" t="s">
        <v>23</v>
      </c>
      <c r="G7" s="44">
        <v>41</v>
      </c>
      <c r="H7" s="129">
        <f>IF(B$15=0,0,G7/B$15)</f>
        <v>0.18981481481481483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5">
      <c r="A8" s="51" t="s">
        <v>3</v>
      </c>
      <c r="B8" s="44">
        <v>25</v>
      </c>
      <c r="C8" s="37">
        <f t="shared" si="1"/>
        <v>0.2808988764044944</v>
      </c>
      <c r="E8" s="59" t="s">
        <v>69</v>
      </c>
      <c r="F8" s="56" t="s">
        <v>24</v>
      </c>
      <c r="G8" s="44">
        <v>37</v>
      </c>
      <c r="H8" s="129">
        <f>IF(B$15=0,0,G8/B$15)</f>
        <v>0.17129629629629631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0.43820224719101125</v>
      </c>
      <c r="E9" s="59" t="s">
        <v>71</v>
      </c>
      <c r="F9" s="56" t="s">
        <v>26</v>
      </c>
      <c r="G9" s="44">
        <v>29</v>
      </c>
      <c r="H9" s="129">
        <f>IF(B$15=0,0,G9/B$15)</f>
        <v>0.13425925925925927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7.8651685393258425E-2</v>
      </c>
      <c r="E10" s="59" t="s">
        <v>70</v>
      </c>
      <c r="F10" s="56" t="s">
        <v>25</v>
      </c>
      <c r="G10" s="44">
        <v>25</v>
      </c>
      <c r="H10" s="129">
        <f>IF(B$15=0,0,G10/B$15)</f>
        <v>0.11574074074074074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-11.796875</v>
      </c>
      <c r="P10" s="114">
        <v>32</v>
      </c>
      <c r="Q10" s="102">
        <v>-377.5</v>
      </c>
    </row>
    <row r="11" spans="1:17" x14ac:dyDescent="0.45">
      <c r="A11" s="54" t="s">
        <v>121</v>
      </c>
      <c r="B11" s="47">
        <v>112</v>
      </c>
      <c r="C11" s="42">
        <f>IF(B$3=0,0,B11/B$3)</f>
        <v>0.14177215189873418</v>
      </c>
      <c r="E11" s="59" t="s">
        <v>83</v>
      </c>
      <c r="F11" s="56" t="s">
        <v>38</v>
      </c>
      <c r="G11" s="44">
        <v>19</v>
      </c>
      <c r="H11" s="129">
        <f>IF(B$15=0,0,G11/B$15)</f>
        <v>8.7962962962962965E-2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207</v>
      </c>
      <c r="C12" s="37">
        <f>IF(B$3=0,0,B12/B$3)</f>
        <v>0.26202531645569621</v>
      </c>
      <c r="E12" s="59" t="s">
        <v>89</v>
      </c>
      <c r="F12" s="56" t="s">
        <v>44</v>
      </c>
      <c r="G12" s="44">
        <v>15</v>
      </c>
      <c r="H12" s="129">
        <f>IF(B$15=0,0,G12/B$15)</f>
        <v>6.9444444444444448E-2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60</v>
      </c>
      <c r="C13" s="35">
        <f>IF(B$11=0,0,B13/B$11)</f>
        <v>0.5357142857142857</v>
      </c>
      <c r="E13" s="59" t="s">
        <v>65</v>
      </c>
      <c r="F13" s="56" t="s">
        <v>21</v>
      </c>
      <c r="G13" s="44">
        <v>13</v>
      </c>
      <c r="H13" s="129">
        <f>IF(B$15=0,0,G13/B$15)</f>
        <v>6.0185185185185182E-2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82</v>
      </c>
      <c r="C14" s="35">
        <f>IF(B$12=0,0,B14/B$12)</f>
        <v>0.39613526570048307</v>
      </c>
      <c r="E14" s="59" t="s">
        <v>81</v>
      </c>
      <c r="F14" s="56" t="s">
        <v>36</v>
      </c>
      <c r="G14" s="44">
        <v>10</v>
      </c>
      <c r="H14" s="129">
        <f>IF(B$15=0,0,G14/B$15)</f>
        <v>4.6296296296296294E-2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216</v>
      </c>
      <c r="C15" s="35">
        <f>IF(B$3=0,0,B15/B$3)</f>
        <v>0.27341772151898736</v>
      </c>
      <c r="E15" s="59" t="s">
        <v>86</v>
      </c>
      <c r="F15" s="56" t="s">
        <v>41</v>
      </c>
      <c r="G15" s="44">
        <v>7</v>
      </c>
      <c r="H15" s="129">
        <f>IF(B$15=0,0,G15/B$15)</f>
        <v>3.2407407407407406E-2</v>
      </c>
      <c r="I15" s="90">
        <v>10</v>
      </c>
      <c r="K15" s="36">
        <v>13</v>
      </c>
      <c r="L15" s="95">
        <v>-66.2</v>
      </c>
      <c r="N15" s="110" t="s">
        <v>200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128</v>
      </c>
      <c r="C16" s="37">
        <f>IF(B$3=0,0,B16/B$3)</f>
        <v>0.16202531645569621</v>
      </c>
      <c r="E16" s="59" t="s">
        <v>79</v>
      </c>
      <c r="F16" s="56" t="s">
        <v>34</v>
      </c>
      <c r="G16" s="44">
        <v>5</v>
      </c>
      <c r="H16" s="129">
        <f>IF(B$15=0,0,G16/B$15)</f>
        <v>2.3148148148148147E-2</v>
      </c>
      <c r="I16" s="90">
        <v>3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94</v>
      </c>
      <c r="C17" s="37">
        <f>IF(B$15=0,0,B17/B$15)</f>
        <v>0.43518518518518517</v>
      </c>
      <c r="E17" s="59" t="s">
        <v>91</v>
      </c>
      <c r="F17" s="56" t="s">
        <v>46</v>
      </c>
      <c r="G17" s="44">
        <v>4</v>
      </c>
      <c r="H17" s="129">
        <f>IF(B$15=0,0,G17/B$15)</f>
        <v>1.8518518518518517E-2</v>
      </c>
      <c r="I17" s="90">
        <v>5</v>
      </c>
      <c r="K17" s="36">
        <v>15</v>
      </c>
      <c r="L17" s="95">
        <v>-65.2</v>
      </c>
      <c r="N17" s="111" t="s">
        <v>172</v>
      </c>
      <c r="O17" s="121">
        <f t="shared" si="2"/>
        <v>-1.4666666666666697</v>
      </c>
      <c r="P17" s="115">
        <v>18</v>
      </c>
      <c r="Q17" s="103">
        <v>-26.400000000000055</v>
      </c>
    </row>
    <row r="18" spans="1:17" x14ac:dyDescent="0.45">
      <c r="A18" s="51" t="s">
        <v>11</v>
      </c>
      <c r="B18" s="44">
        <v>122</v>
      </c>
      <c r="C18" s="37">
        <f>IF(B$15=0,0,B18/B$15)</f>
        <v>0.56481481481481477</v>
      </c>
      <c r="E18" s="59" t="s">
        <v>74</v>
      </c>
      <c r="F18" s="56" t="s">
        <v>29</v>
      </c>
      <c r="G18" s="44">
        <v>2</v>
      </c>
      <c r="H18" s="129">
        <f>IF(B$15=0,0,G18/B$15)</f>
        <v>9.2592592592592587E-3</v>
      </c>
      <c r="I18" s="90">
        <v>1</v>
      </c>
      <c r="K18" s="36">
        <v>16</v>
      </c>
      <c r="L18" s="95">
        <v>-70.600000000000009</v>
      </c>
      <c r="N18" s="111" t="s">
        <v>171</v>
      </c>
      <c r="O18" s="121">
        <f t="shared" si="2"/>
        <v>-1.6133333333333333</v>
      </c>
      <c r="P18" s="115">
        <v>30</v>
      </c>
      <c r="Q18" s="103">
        <v>-48.4</v>
      </c>
    </row>
    <row r="19" spans="1:17" x14ac:dyDescent="0.45">
      <c r="A19" s="51" t="s">
        <v>195</v>
      </c>
      <c r="B19" s="44">
        <v>60</v>
      </c>
      <c r="C19" s="37">
        <f>IF(B$15=0,0,B19/B$15)</f>
        <v>0.27777777777777779</v>
      </c>
      <c r="E19" s="59" t="s">
        <v>75</v>
      </c>
      <c r="F19" s="56" t="s">
        <v>30</v>
      </c>
      <c r="G19" s="44">
        <v>2</v>
      </c>
      <c r="H19" s="129">
        <f>IF(B$15=0,0,G19/B$15)</f>
        <v>9.2592592592592587E-3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82</v>
      </c>
      <c r="C20" s="37">
        <f>IF(B$15=0,0,B20/B$15)</f>
        <v>0.37962962962962965</v>
      </c>
      <c r="E20" s="59" t="s">
        <v>78</v>
      </c>
      <c r="F20" s="56" t="s">
        <v>33</v>
      </c>
      <c r="G20" s="44">
        <v>2</v>
      </c>
      <c r="H20" s="129">
        <f>IF(B$15=0,0,G20/B$15)</f>
        <v>9.2592592592592587E-3</v>
      </c>
      <c r="I20" s="90">
        <v>10</v>
      </c>
      <c r="K20" s="36">
        <v>18</v>
      </c>
      <c r="L20" s="95">
        <v>-80.2</v>
      </c>
      <c r="N20" s="111" t="s">
        <v>197</v>
      </c>
      <c r="O20" s="121">
        <f t="shared" si="2"/>
        <v>-12.007692307692306</v>
      </c>
      <c r="P20" s="115">
        <v>13</v>
      </c>
      <c r="Q20" s="103">
        <v>-156.09999999999997</v>
      </c>
    </row>
    <row r="21" spans="1:17" x14ac:dyDescent="0.45">
      <c r="A21" s="51" t="s">
        <v>194</v>
      </c>
      <c r="B21" s="44">
        <v>74</v>
      </c>
      <c r="C21" s="37">
        <f>IF(B$15=0,0,B21/B$15)</f>
        <v>0.34259259259259262</v>
      </c>
      <c r="E21" s="59" t="s">
        <v>88</v>
      </c>
      <c r="F21" s="56" t="s">
        <v>43</v>
      </c>
      <c r="G21" s="44">
        <v>2</v>
      </c>
      <c r="H21" s="129">
        <f>IF(B$15=0,0,G21/B$15)</f>
        <v>9.2592592592592587E-3</v>
      </c>
      <c r="I21" s="90">
        <v>1</v>
      </c>
      <c r="K21" s="36">
        <v>19</v>
      </c>
      <c r="L21" s="95">
        <v>-115.1</v>
      </c>
      <c r="N21" s="111" t="s">
        <v>126</v>
      </c>
      <c r="O21" s="121">
        <f t="shared" si="2"/>
        <v>-12.675609756097565</v>
      </c>
      <c r="P21" s="115">
        <v>41</v>
      </c>
      <c r="Q21" s="103">
        <v>-519.70000000000016</v>
      </c>
    </row>
    <row r="22" spans="1:17" x14ac:dyDescent="0.45">
      <c r="A22" s="51" t="s">
        <v>5</v>
      </c>
      <c r="B22" s="48">
        <f>IF(B$15=0,0,C22/B$15)</f>
        <v>7159.7222222222226</v>
      </c>
      <c r="C22" s="39">
        <v>1546500</v>
      </c>
      <c r="E22" s="59" t="s">
        <v>93</v>
      </c>
      <c r="F22" s="56" t="s">
        <v>48</v>
      </c>
      <c r="G22" s="44">
        <v>2</v>
      </c>
      <c r="H22" s="129">
        <f>IF(B$15=0,0,G22/B$15)</f>
        <v>9.2592592592592587E-3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-26.1</v>
      </c>
      <c r="P22" s="115">
        <v>30</v>
      </c>
      <c r="Q22" s="103">
        <v>-783</v>
      </c>
    </row>
    <row r="23" spans="1:17" x14ac:dyDescent="0.45">
      <c r="A23" s="52" t="s">
        <v>177</v>
      </c>
      <c r="B23" s="136">
        <f>IF($B$15-B$14=0,0,C23/($B$15-B$14))</f>
        <v>7719.4029850746265</v>
      </c>
      <c r="C23" s="137">
        <v>1034400</v>
      </c>
      <c r="E23" s="59" t="s">
        <v>77</v>
      </c>
      <c r="F23" s="56" t="s">
        <v>32</v>
      </c>
      <c r="G23" s="44">
        <v>1</v>
      </c>
      <c r="H23" s="129">
        <f>IF(B$15=0,0,G23/B$15)</f>
        <v>4.6296296296296294E-3</v>
      </c>
      <c r="I23" s="90">
        <v>3</v>
      </c>
      <c r="K23" s="36">
        <v>21</v>
      </c>
      <c r="L23" s="95">
        <v>-111.4</v>
      </c>
      <c r="N23" s="111" t="s">
        <v>201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6245.1219512195121</v>
      </c>
      <c r="C24" s="137">
        <v>512100</v>
      </c>
      <c r="E24" s="59" t="s">
        <v>84</v>
      </c>
      <c r="F24" s="56" t="s">
        <v>39</v>
      </c>
      <c r="G24" s="44">
        <v>1</v>
      </c>
      <c r="H24" s="129">
        <f>IF(B$15=0,0,G24/B$15)</f>
        <v>4.6296296296296294E-3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-7497.65625</v>
      </c>
      <c r="C25" s="137">
        <v>-959700</v>
      </c>
      <c r="E25" s="59" t="s">
        <v>87</v>
      </c>
      <c r="F25" s="56" t="s">
        <v>42</v>
      </c>
      <c r="G25" s="44">
        <v>1</v>
      </c>
      <c r="H25" s="129">
        <f>IF(B$15=0,0,G25/B$15)</f>
        <v>4.6296296296296294E-3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2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2.5316455696202532E-3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0.125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45</v>
      </c>
      <c r="C33" s="37">
        <f t="shared" ref="C33:C44" si="3">IF(B$15=0,0,B33/B$15)</f>
        <v>0.20833333333333334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44</v>
      </c>
      <c r="C34" s="37">
        <f>IF(B$15=0,0,B34/B$15)</f>
        <v>0.20370370370370369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40</v>
      </c>
      <c r="C35" s="37">
        <f t="shared" si="3"/>
        <v>0.18518518518518517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0.10185185185185185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18</v>
      </c>
      <c r="C37" s="37">
        <f t="shared" si="3"/>
        <v>8.3333333333333329E-2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5.0925925925925923E-2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2.7777777777777776E-2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4.6296296296296294E-3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9.2592592592592587E-3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  <row r="90" spans="11:12" x14ac:dyDescent="0.45">
      <c r="K90" s="36">
        <v>88</v>
      </c>
      <c r="L90" s="95">
        <v>-597.70000000000027</v>
      </c>
    </row>
    <row r="91" spans="11:12" x14ac:dyDescent="0.45">
      <c r="K91" s="36">
        <v>89</v>
      </c>
      <c r="L91" s="95">
        <v>-581.00000000000023</v>
      </c>
    </row>
  </sheetData>
  <sortState xmlns:xlrd2="http://schemas.microsoft.com/office/spreadsheetml/2017/richdata2" ref="E2:I92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F220-9DEA-473A-BBCB-13343057EA62}">
  <sheetPr codeName="Sheet9"/>
  <dimension ref="A1:Q20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207</v>
      </c>
      <c r="C2" s="155"/>
      <c r="E2" s="58" t="s">
        <v>66</v>
      </c>
      <c r="F2" s="55" t="s">
        <v>22</v>
      </c>
      <c r="G2" s="43">
        <v>404</v>
      </c>
      <c r="H2" s="128">
        <f>IF(B$15=0,0,G2/B$15)</f>
        <v>0.68358714043993229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1366.990291262136</v>
      </c>
      <c r="P2" s="114">
        <v>206</v>
      </c>
      <c r="Q2" s="98">
        <v>281600</v>
      </c>
    </row>
    <row r="3" spans="1:17" x14ac:dyDescent="0.45">
      <c r="A3" s="51" t="s">
        <v>8</v>
      </c>
      <c r="B3" s="156">
        <v>1723</v>
      </c>
      <c r="C3" s="157"/>
      <c r="E3" s="59" t="s">
        <v>72</v>
      </c>
      <c r="F3" s="56" t="s">
        <v>27</v>
      </c>
      <c r="G3" s="44">
        <v>320</v>
      </c>
      <c r="H3" s="129">
        <f>IF(B$15=0,0,G3/B$15)</f>
        <v>0.54145516074450084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1723.6453201970444</v>
      </c>
      <c r="P3" s="115">
        <v>203</v>
      </c>
      <c r="Q3" s="99">
        <v>349900</v>
      </c>
    </row>
    <row r="4" spans="1:17" x14ac:dyDescent="0.45">
      <c r="A4" s="51" t="s">
        <v>6</v>
      </c>
      <c r="B4" s="158">
        <v>1977.1999999999998</v>
      </c>
      <c r="C4" s="159"/>
      <c r="E4" s="59" t="s">
        <v>64</v>
      </c>
      <c r="F4" s="56" t="s">
        <v>20</v>
      </c>
      <c r="G4" s="44">
        <v>254</v>
      </c>
      <c r="H4" s="129">
        <f>IF(B$15=0,0,G4/B$15)</f>
        <v>0.42978003384094754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1193.8461538461538</v>
      </c>
      <c r="P4" s="115">
        <v>195</v>
      </c>
      <c r="Q4" s="99">
        <v>232800</v>
      </c>
    </row>
    <row r="5" spans="1:17" x14ac:dyDescent="0.45">
      <c r="A5" s="51" t="s">
        <v>7</v>
      </c>
      <c r="B5" s="160">
        <f>IF(B$2=0,0,B$4/B$2)</f>
        <v>9.5516908212560381</v>
      </c>
      <c r="C5" s="161"/>
      <c r="E5" s="59" t="s">
        <v>166</v>
      </c>
      <c r="F5" s="56" t="s">
        <v>167</v>
      </c>
      <c r="G5" s="44">
        <v>230</v>
      </c>
      <c r="H5" s="129">
        <f>IF(B$15=0,0,G5/B$15)</f>
        <v>0.38917089678510997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162.08791208791209</v>
      </c>
      <c r="P5" s="115">
        <v>182</v>
      </c>
      <c r="Q5" s="99">
        <v>29500</v>
      </c>
    </row>
    <row r="6" spans="1:17" x14ac:dyDescent="0.45">
      <c r="A6" s="51" t="s">
        <v>1</v>
      </c>
      <c r="B6" s="150">
        <f>IF(B$2=0,0,(B$7*1+B$8*2+B$9*3)/B$2)</f>
        <v>1.7632850241545894</v>
      </c>
      <c r="C6" s="151"/>
      <c r="E6" s="59" t="s">
        <v>68</v>
      </c>
      <c r="F6" s="56" t="s">
        <v>12</v>
      </c>
      <c r="G6" s="44">
        <v>164</v>
      </c>
      <c r="H6" s="129">
        <f>IF(B$15=0,0,G6/B$15)</f>
        <v>0.27749576988155666</v>
      </c>
      <c r="I6" s="90">
        <v>11</v>
      </c>
      <c r="K6" s="36">
        <v>4</v>
      </c>
      <c r="L6" s="95">
        <v>101.60000000000001</v>
      </c>
      <c r="N6" s="111" t="s">
        <v>134</v>
      </c>
      <c r="O6" s="118">
        <f t="shared" si="0"/>
        <v>1643.7869822485206</v>
      </c>
      <c r="P6" s="115">
        <v>169</v>
      </c>
      <c r="Q6" s="99">
        <v>277800</v>
      </c>
    </row>
    <row r="7" spans="1:17" x14ac:dyDescent="0.45">
      <c r="A7" s="51" t="s">
        <v>2</v>
      </c>
      <c r="B7" s="44">
        <v>98</v>
      </c>
      <c r="C7" s="37">
        <f t="shared" ref="C7:C10" si="1">IF(B$2=0,0,B7/B$2)</f>
        <v>0.47342995169082125</v>
      </c>
      <c r="E7" s="59" t="s">
        <v>67</v>
      </c>
      <c r="F7" s="56" t="s">
        <v>23</v>
      </c>
      <c r="G7" s="44">
        <v>141</v>
      </c>
      <c r="H7" s="129">
        <f>IF(B$15=0,0,G7/B$15)</f>
        <v>0.23857868020304568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2038.4057971014493</v>
      </c>
      <c r="P7" s="116">
        <v>138</v>
      </c>
      <c r="Q7" s="100">
        <v>281300</v>
      </c>
    </row>
    <row r="8" spans="1:17" x14ac:dyDescent="0.45">
      <c r="A8" s="51" t="s">
        <v>3</v>
      </c>
      <c r="B8" s="44">
        <v>60</v>
      </c>
      <c r="C8" s="37">
        <f t="shared" si="1"/>
        <v>0.28985507246376813</v>
      </c>
      <c r="E8" s="59" t="s">
        <v>89</v>
      </c>
      <c r="F8" s="56" t="s">
        <v>44</v>
      </c>
      <c r="G8" s="44">
        <v>90</v>
      </c>
      <c r="H8" s="129">
        <f>IF(B$15=0,0,G8/B$15)</f>
        <v>0.15228426395939088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49</v>
      </c>
      <c r="C9" s="38">
        <f t="shared" si="1"/>
        <v>0.23671497584541062</v>
      </c>
      <c r="E9" s="59" t="s">
        <v>69</v>
      </c>
      <c r="F9" s="56" t="s">
        <v>24</v>
      </c>
      <c r="G9" s="44">
        <v>74</v>
      </c>
      <c r="H9" s="129">
        <f>IF(B$15=0,0,G9/B$15)</f>
        <v>0.12521150592216582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4.3478260869565216E-2</v>
      </c>
      <c r="E10" s="59" t="s">
        <v>65</v>
      </c>
      <c r="F10" s="56" t="s">
        <v>21</v>
      </c>
      <c r="G10" s="44">
        <v>64</v>
      </c>
      <c r="H10" s="129">
        <f>IF(B$15=0,0,G10/B$15)</f>
        <v>0.10829103214890017</v>
      </c>
      <c r="I10" s="90">
        <v>8</v>
      </c>
      <c r="K10" s="36">
        <v>8</v>
      </c>
      <c r="L10" s="95">
        <v>148.1</v>
      </c>
      <c r="N10" s="110" t="s">
        <v>157</v>
      </c>
      <c r="O10" s="120">
        <f>IF(P10=0,0,Q10/P10)</f>
        <v>12.044067796610168</v>
      </c>
      <c r="P10" s="114">
        <v>59</v>
      </c>
      <c r="Q10" s="102">
        <v>710.59999999999991</v>
      </c>
    </row>
    <row r="11" spans="1:17" x14ac:dyDescent="0.45">
      <c r="A11" s="54" t="s">
        <v>121</v>
      </c>
      <c r="B11" s="47">
        <v>456</v>
      </c>
      <c r="C11" s="42">
        <f>IF(B$3=0,0,B11/B$3)</f>
        <v>0.26465467208357518</v>
      </c>
      <c r="E11" s="59" t="s">
        <v>71</v>
      </c>
      <c r="F11" s="56" t="s">
        <v>26</v>
      </c>
      <c r="G11" s="44">
        <v>42</v>
      </c>
      <c r="H11" s="129">
        <f>IF(B$15=0,0,G11/B$15)</f>
        <v>7.1065989847715741E-2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6.572222222222222</v>
      </c>
      <c r="P11" s="115">
        <v>72</v>
      </c>
      <c r="Q11" s="103">
        <v>473.2</v>
      </c>
    </row>
    <row r="12" spans="1:17" x14ac:dyDescent="0.45">
      <c r="A12" s="51" t="s">
        <v>118</v>
      </c>
      <c r="B12" s="44">
        <v>413</v>
      </c>
      <c r="C12" s="37">
        <f>IF(B$3=0,0,B12/B$3)</f>
        <v>0.23969820081253626</v>
      </c>
      <c r="E12" s="59" t="s">
        <v>70</v>
      </c>
      <c r="F12" s="56" t="s">
        <v>25</v>
      </c>
      <c r="G12" s="44">
        <v>40</v>
      </c>
      <c r="H12" s="129">
        <f>IF(B$15=0,0,G12/B$15)</f>
        <v>6.7681895093062605E-2</v>
      </c>
      <c r="I12" s="90">
        <v>12</v>
      </c>
      <c r="K12" s="36">
        <v>10</v>
      </c>
      <c r="L12" s="95">
        <v>158.19999999999999</v>
      </c>
      <c r="N12" s="112" t="s">
        <v>159</v>
      </c>
      <c r="O12" s="122">
        <f>IF(P12=0,0,Q12/P12)</f>
        <v>10.439473684210524</v>
      </c>
      <c r="P12" s="116">
        <v>76</v>
      </c>
      <c r="Q12" s="104">
        <v>793.39999999999986</v>
      </c>
    </row>
    <row r="13" spans="1:17" x14ac:dyDescent="0.45">
      <c r="A13" s="50" t="s">
        <v>123</v>
      </c>
      <c r="B13" s="43">
        <f>B19</f>
        <v>266</v>
      </c>
      <c r="C13" s="35">
        <f>IF(B$11=0,0,B13/B$11)</f>
        <v>0.58333333333333337</v>
      </c>
      <c r="E13" s="59" t="s">
        <v>86</v>
      </c>
      <c r="F13" s="56" t="s">
        <v>41</v>
      </c>
      <c r="G13" s="44">
        <v>36</v>
      </c>
      <c r="H13" s="129">
        <f>IF(B$15=0,0,G13/B$15)</f>
        <v>6.0913705583756347E-2</v>
      </c>
      <c r="I13" s="90">
        <v>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200</v>
      </c>
      <c r="C14" s="35">
        <f>IF(B$12=0,0,B14/B$12)</f>
        <v>0.48426150121065376</v>
      </c>
      <c r="E14" s="59" t="s">
        <v>83</v>
      </c>
      <c r="F14" s="56" t="s">
        <v>38</v>
      </c>
      <c r="G14" s="44">
        <v>30</v>
      </c>
      <c r="H14" s="129">
        <f>IF(B$15=0,0,G14/B$15)</f>
        <v>5.0761421319796954E-2</v>
      </c>
      <c r="I14" s="90">
        <v>6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591</v>
      </c>
      <c r="C15" s="35">
        <f>IF(B$3=0,0,B15/B$3)</f>
        <v>0.34300638421358098</v>
      </c>
      <c r="E15" s="59" t="s">
        <v>78</v>
      </c>
      <c r="F15" s="56" t="s">
        <v>33</v>
      </c>
      <c r="G15" s="44">
        <v>21</v>
      </c>
      <c r="H15" s="129">
        <f>IF(B$15=0,0,G15/B$15)</f>
        <v>3.553299492385787E-2</v>
      </c>
      <c r="I15" s="90">
        <v>4</v>
      </c>
      <c r="K15" s="36">
        <v>13</v>
      </c>
      <c r="L15" s="95">
        <v>206.39999999999998</v>
      </c>
      <c r="N15" s="110" t="s">
        <v>200</v>
      </c>
      <c r="O15" s="120">
        <f>IF(P15=0,0,Q15/P15)</f>
        <v>42.716666666666661</v>
      </c>
      <c r="P15" s="114">
        <v>6</v>
      </c>
      <c r="Q15" s="102">
        <v>256.29999999999995</v>
      </c>
    </row>
    <row r="16" spans="1:17" x14ac:dyDescent="0.45">
      <c r="A16" s="51" t="s">
        <v>13</v>
      </c>
      <c r="B16" s="44">
        <v>213</v>
      </c>
      <c r="C16" s="37">
        <f>IF(B$3=0,0,B16/B$3)</f>
        <v>0.12362159024956472</v>
      </c>
      <c r="E16" s="59" t="s">
        <v>162</v>
      </c>
      <c r="F16" s="56" t="s">
        <v>163</v>
      </c>
      <c r="G16" s="44">
        <v>15</v>
      </c>
      <c r="H16" s="129">
        <f>IF(B$15=0,0,G16/B$15)</f>
        <v>2.5380710659898477E-2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31.041666666666682</v>
      </c>
      <c r="P16" s="115">
        <v>12</v>
      </c>
      <c r="Q16" s="103">
        <v>372.50000000000017</v>
      </c>
    </row>
    <row r="17" spans="1:17" x14ac:dyDescent="0.45">
      <c r="A17" s="51" t="s">
        <v>12</v>
      </c>
      <c r="B17" s="44">
        <v>248</v>
      </c>
      <c r="C17" s="37">
        <f>IF(B$15=0,0,B17/B$15)</f>
        <v>0.41962774957698817</v>
      </c>
      <c r="E17" s="59" t="s">
        <v>81</v>
      </c>
      <c r="F17" s="56" t="s">
        <v>36</v>
      </c>
      <c r="G17" s="44">
        <v>9</v>
      </c>
      <c r="H17" s="129">
        <f>IF(B$15=0,0,G17/B$15)</f>
        <v>1.5228426395939087E-2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>IF(P17=0,0,Q17/P17)</f>
        <v>28.71200000000001</v>
      </c>
      <c r="P17" s="115">
        <v>25</v>
      </c>
      <c r="Q17" s="103">
        <v>717.8000000000003</v>
      </c>
    </row>
    <row r="18" spans="1:17" x14ac:dyDescent="0.45">
      <c r="A18" s="51" t="s">
        <v>11</v>
      </c>
      <c r="B18" s="44">
        <v>343</v>
      </c>
      <c r="C18" s="37">
        <f>IF(B$15=0,0,B18/B$15)</f>
        <v>0.58037225042301188</v>
      </c>
      <c r="E18" s="59" t="s">
        <v>91</v>
      </c>
      <c r="F18" s="56" t="s">
        <v>46</v>
      </c>
      <c r="G18" s="44">
        <v>6</v>
      </c>
      <c r="H18" s="129">
        <f>IF(B$15=0,0,G18/B$15)</f>
        <v>1.015228426395939E-2</v>
      </c>
      <c r="I18" s="90">
        <v>8</v>
      </c>
      <c r="K18" s="36">
        <v>16</v>
      </c>
      <c r="L18" s="95">
        <v>323.69999999999993</v>
      </c>
      <c r="N18" s="111" t="s">
        <v>172</v>
      </c>
      <c r="O18" s="121">
        <f>IF(P18=0,0,Q18/P18)</f>
        <v>15.939999999999998</v>
      </c>
      <c r="P18" s="115">
        <v>65</v>
      </c>
      <c r="Q18" s="103">
        <v>1036.0999999999999</v>
      </c>
    </row>
    <row r="19" spans="1:17" x14ac:dyDescent="0.45">
      <c r="A19" s="51" t="s">
        <v>195</v>
      </c>
      <c r="B19" s="44">
        <v>266</v>
      </c>
      <c r="C19" s="37">
        <f>IF(B$15=0,0,B19/B$15)</f>
        <v>0.45008460236886633</v>
      </c>
      <c r="E19" s="59" t="s">
        <v>92</v>
      </c>
      <c r="F19" s="56" t="s">
        <v>47</v>
      </c>
      <c r="G19" s="44">
        <v>6</v>
      </c>
      <c r="H19" s="129">
        <f>IF(B$15=0,0,G19/B$15)</f>
        <v>1.015228426395939E-2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14.178151260504206</v>
      </c>
      <c r="P19" s="115">
        <v>119</v>
      </c>
      <c r="Q19" s="103">
        <v>1687.2000000000005</v>
      </c>
    </row>
    <row r="20" spans="1:17" x14ac:dyDescent="0.45">
      <c r="A20" s="51" t="s">
        <v>193</v>
      </c>
      <c r="B20" s="44">
        <v>200</v>
      </c>
      <c r="C20" s="37">
        <f>IF(B$15=0,0,B20/B$15)</f>
        <v>0.33840947546531303</v>
      </c>
      <c r="E20" s="59" t="s">
        <v>75</v>
      </c>
      <c r="F20" s="56" t="s">
        <v>30</v>
      </c>
      <c r="G20" s="44">
        <v>5</v>
      </c>
      <c r="H20" s="129">
        <f>IF(B$15=0,0,G20/B$15)</f>
        <v>8.4602368866328256E-3</v>
      </c>
      <c r="I20" s="90">
        <v>5</v>
      </c>
      <c r="K20" s="36">
        <v>18</v>
      </c>
      <c r="L20" s="95">
        <v>352.39999999999992</v>
      </c>
      <c r="N20" s="111" t="s">
        <v>161</v>
      </c>
      <c r="O20" s="121">
        <f>IF(P20=0,0,Q20/P20)</f>
        <v>13.116666666666665</v>
      </c>
      <c r="P20" s="115">
        <v>42</v>
      </c>
      <c r="Q20" s="103">
        <v>550.9</v>
      </c>
    </row>
    <row r="21" spans="1:17" x14ac:dyDescent="0.45">
      <c r="A21" s="51" t="s">
        <v>194</v>
      </c>
      <c r="B21" s="44">
        <v>125</v>
      </c>
      <c r="C21" s="37">
        <f>IF(B$15=0,0,B21/B$15)</f>
        <v>0.21150592216582065</v>
      </c>
      <c r="E21" s="59" t="s">
        <v>79</v>
      </c>
      <c r="F21" s="56" t="s">
        <v>34</v>
      </c>
      <c r="G21" s="44">
        <v>4</v>
      </c>
      <c r="H21" s="129">
        <f>IF(B$15=0,0,G21/B$15)</f>
        <v>6.7681895093062603E-3</v>
      </c>
      <c r="I21" s="90">
        <v>9</v>
      </c>
      <c r="K21" s="36">
        <v>19</v>
      </c>
      <c r="L21" s="95">
        <v>383.19999999999993</v>
      </c>
      <c r="N21" s="111" t="s">
        <v>171</v>
      </c>
      <c r="O21" s="121">
        <f>IF(P21=0,0,Q21/P21)</f>
        <v>12.803896103896106</v>
      </c>
      <c r="P21" s="115">
        <v>77</v>
      </c>
      <c r="Q21" s="103">
        <v>985.9000000000002</v>
      </c>
    </row>
    <row r="22" spans="1:17" x14ac:dyDescent="0.45">
      <c r="A22" s="51" t="s">
        <v>5</v>
      </c>
      <c r="B22" s="48">
        <f>IF(B$15=0,0,C22/B$15)</f>
        <v>8277.8341793570216</v>
      </c>
      <c r="C22" s="39">
        <v>4892200</v>
      </c>
      <c r="E22" s="59" t="s">
        <v>85</v>
      </c>
      <c r="F22" s="56" t="s">
        <v>40</v>
      </c>
      <c r="G22" s="44">
        <v>4</v>
      </c>
      <c r="H22" s="129">
        <f>IF(B$15=0,0,G22/B$15)</f>
        <v>6.7681895093062603E-3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>IF(P22=0,0,Q22/P22)</f>
        <v>5.9014925373134313</v>
      </c>
      <c r="P22" s="115">
        <v>67</v>
      </c>
      <c r="Q22" s="103">
        <v>395.39999999999992</v>
      </c>
    </row>
    <row r="23" spans="1:17" x14ac:dyDescent="0.45">
      <c r="A23" s="52" t="s">
        <v>177</v>
      </c>
      <c r="B23" s="136">
        <f>IF($B$15-B$14=0,0,C23/($B$15-B$14))</f>
        <v>8850.3836317135556</v>
      </c>
      <c r="C23" s="137">
        <v>3460500</v>
      </c>
      <c r="E23" s="59" t="s">
        <v>77</v>
      </c>
      <c r="F23" s="56" t="s">
        <v>32</v>
      </c>
      <c r="G23" s="44">
        <v>3</v>
      </c>
      <c r="H23" s="129">
        <f>IF(B$15=0,0,G23/B$15)</f>
        <v>5.076142131979695E-3</v>
      </c>
      <c r="I23" s="90">
        <v>2</v>
      </c>
      <c r="K23" s="36">
        <v>21</v>
      </c>
      <c r="L23" s="95">
        <v>371.39999999999992</v>
      </c>
      <c r="N23" s="111" t="s">
        <v>256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7158.5</v>
      </c>
      <c r="C24" s="137">
        <v>1431700</v>
      </c>
      <c r="E24" s="59" t="s">
        <v>84</v>
      </c>
      <c r="F24" s="56" t="s">
        <v>39</v>
      </c>
      <c r="G24" s="44">
        <v>3</v>
      </c>
      <c r="H24" s="129">
        <f>IF(B$15=0,0,G24/B$15)</f>
        <v>5.076142131979695E-3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-7630.5164319248825</v>
      </c>
      <c r="C25" s="137">
        <v>-1625300</v>
      </c>
      <c r="E25" s="59" t="s">
        <v>74</v>
      </c>
      <c r="F25" s="56" t="s">
        <v>29</v>
      </c>
      <c r="G25" s="44">
        <v>2</v>
      </c>
      <c r="H25" s="129">
        <f>IF(B$15=0,0,G25/B$15)</f>
        <v>3.3840947546531302E-3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3.3840947546531302E-3</v>
      </c>
      <c r="I26" s="90">
        <v>3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5</v>
      </c>
      <c r="E27" s="59" t="s">
        <v>95</v>
      </c>
      <c r="F27" s="56" t="s">
        <v>50</v>
      </c>
      <c r="G27" s="44">
        <v>2</v>
      </c>
      <c r="H27" s="129">
        <f>IF(B$15=0,0,G27/B$15)</f>
        <v>3.3840947546531302E-3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1.6920473773265651E-3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1.6920473773265651E-3</v>
      </c>
      <c r="I29" s="90">
        <v>4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1.1607661056297156E-3</v>
      </c>
      <c r="E30" s="59" t="s">
        <v>106</v>
      </c>
      <c r="F30" s="56" t="s">
        <v>113</v>
      </c>
      <c r="G30" s="44">
        <v>1</v>
      </c>
      <c r="H30" s="129">
        <f>IF(B$15=0,0,G30/B$15)</f>
        <v>1.6920473773265651E-3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55</v>
      </c>
      <c r="C32" s="141">
        <f>IF(B$15=0,0,B32/B$15)</f>
        <v>9.3062605752961089E-2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109</v>
      </c>
      <c r="C33" s="37">
        <f t="shared" ref="C33:C44" si="2">IF(B$15=0,0,B33/B$15)</f>
        <v>0.18443316412859559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116</v>
      </c>
      <c r="C34" s="37">
        <f>IF(B$15=0,0,B34/B$15)</f>
        <v>0.19627749576988154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106</v>
      </c>
      <c r="C35" s="37">
        <f t="shared" si="2"/>
        <v>0.17935702199661591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86</v>
      </c>
      <c r="C36" s="37">
        <f t="shared" si="2"/>
        <v>0.1455160744500846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56</v>
      </c>
      <c r="C37" s="37">
        <f t="shared" si="2"/>
        <v>9.475465313028765E-2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27</v>
      </c>
      <c r="C38" s="37">
        <f t="shared" si="2"/>
        <v>4.5685279187817257E-2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12</v>
      </c>
      <c r="C39" s="37">
        <f t="shared" si="2"/>
        <v>2.030456852791878E-2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11</v>
      </c>
      <c r="C40" s="37">
        <f t="shared" si="2"/>
        <v>1.8612521150592216E-2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3</v>
      </c>
      <c r="C41" s="37">
        <f t="shared" si="2"/>
        <v>5.076142131979695E-3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1.6920473773265651E-3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9</v>
      </c>
      <c r="C44" s="40">
        <f t="shared" si="2"/>
        <v>1.5228426395939087E-2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  <row r="193" spans="11:12" x14ac:dyDescent="0.45">
      <c r="K193" s="36">
        <v>191</v>
      </c>
      <c r="L193" s="95">
        <v>1721.2999999999997</v>
      </c>
    </row>
    <row r="194" spans="11:12" x14ac:dyDescent="0.45">
      <c r="K194" s="36">
        <v>192</v>
      </c>
      <c r="L194" s="95">
        <v>1762.7999999999997</v>
      </c>
    </row>
    <row r="195" spans="11:12" x14ac:dyDescent="0.45">
      <c r="K195" s="36">
        <v>193</v>
      </c>
      <c r="L195" s="95">
        <v>1799.3999999999996</v>
      </c>
    </row>
    <row r="196" spans="11:12" x14ac:dyDescent="0.45">
      <c r="K196" s="36">
        <v>194</v>
      </c>
      <c r="L196" s="95">
        <v>1831.2999999999997</v>
      </c>
    </row>
    <row r="197" spans="11:12" x14ac:dyDescent="0.45">
      <c r="K197" s="36">
        <v>195</v>
      </c>
      <c r="L197" s="95">
        <v>1872.7999999999997</v>
      </c>
    </row>
    <row r="198" spans="11:12" x14ac:dyDescent="0.45">
      <c r="K198" s="36">
        <v>196</v>
      </c>
      <c r="L198" s="95">
        <v>1834.0999999999997</v>
      </c>
    </row>
    <row r="199" spans="11:12" x14ac:dyDescent="0.45">
      <c r="K199" s="36">
        <v>197</v>
      </c>
      <c r="L199" s="95">
        <v>1788.5999999999997</v>
      </c>
    </row>
    <row r="200" spans="11:12" x14ac:dyDescent="0.45">
      <c r="K200" s="36">
        <v>198</v>
      </c>
      <c r="L200" s="95">
        <v>1804.7999999999997</v>
      </c>
    </row>
    <row r="201" spans="11:12" x14ac:dyDescent="0.45">
      <c r="K201" s="36">
        <v>199</v>
      </c>
      <c r="L201" s="95">
        <v>1806.0999999999997</v>
      </c>
    </row>
    <row r="202" spans="11:12" x14ac:dyDescent="0.45">
      <c r="K202" s="36">
        <v>200</v>
      </c>
      <c r="L202" s="95">
        <v>1830.1999999999996</v>
      </c>
    </row>
    <row r="203" spans="11:12" x14ac:dyDescent="0.45">
      <c r="K203" s="36">
        <v>201</v>
      </c>
      <c r="L203" s="95">
        <v>1812.7999999999995</v>
      </c>
    </row>
    <row r="204" spans="11:12" x14ac:dyDescent="0.45">
      <c r="K204" s="36">
        <v>202</v>
      </c>
      <c r="L204" s="95">
        <v>1853.4999999999995</v>
      </c>
    </row>
    <row r="205" spans="11:12" x14ac:dyDescent="0.45">
      <c r="K205" s="36">
        <v>203</v>
      </c>
      <c r="L205" s="95">
        <v>1867.4999999999995</v>
      </c>
    </row>
    <row r="206" spans="11:12" x14ac:dyDescent="0.45">
      <c r="K206" s="36">
        <v>204</v>
      </c>
      <c r="L206" s="95">
        <v>1934.3999999999996</v>
      </c>
    </row>
    <row r="207" spans="11:12" x14ac:dyDescent="0.45">
      <c r="K207" s="36">
        <v>205</v>
      </c>
      <c r="L207" s="95">
        <v>1937.5999999999997</v>
      </c>
    </row>
    <row r="208" spans="11:12" x14ac:dyDescent="0.45">
      <c r="K208" s="36">
        <v>206</v>
      </c>
      <c r="L208" s="95">
        <v>1937.2999999999997</v>
      </c>
    </row>
    <row r="209" spans="11:12" x14ac:dyDescent="0.45">
      <c r="K209" s="36">
        <v>207</v>
      </c>
      <c r="L209" s="95">
        <v>1977.1999999999998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4244-9B1E-49A8-9349-D3DE3A6B45C4}">
  <sheetPr codeName="Sheet11"/>
  <dimension ref="A1:Q18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179</v>
      </c>
      <c r="C2" s="155"/>
      <c r="E2" s="58" t="s">
        <v>66</v>
      </c>
      <c r="F2" s="55" t="s">
        <v>22</v>
      </c>
      <c r="G2" s="43">
        <v>349</v>
      </c>
      <c r="H2" s="128">
        <f>IF(B$15=0,0,G2/B$15)</f>
        <v>0.74732334047109206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-1120.3389830508474</v>
      </c>
      <c r="P2" s="114">
        <v>177</v>
      </c>
      <c r="Q2" s="98">
        <v>-198300</v>
      </c>
    </row>
    <row r="3" spans="1:17" x14ac:dyDescent="0.45">
      <c r="A3" s="51" t="s">
        <v>8</v>
      </c>
      <c r="B3" s="156">
        <v>1491</v>
      </c>
      <c r="C3" s="157"/>
      <c r="E3" s="59" t="s">
        <v>72</v>
      </c>
      <c r="F3" s="56" t="s">
        <v>27</v>
      </c>
      <c r="G3" s="44">
        <v>267</v>
      </c>
      <c r="H3" s="129">
        <f>IF(B$15=0,0,G3/B$15)</f>
        <v>0.57173447537473232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1104.0229885057472</v>
      </c>
      <c r="P3" s="115">
        <v>174</v>
      </c>
      <c r="Q3" s="99">
        <v>192100</v>
      </c>
    </row>
    <row r="4" spans="1:17" x14ac:dyDescent="0.45">
      <c r="A4" s="51" t="s">
        <v>6</v>
      </c>
      <c r="B4" s="158">
        <v>-101.70000000000022</v>
      </c>
      <c r="C4" s="159"/>
      <c r="E4" s="59" t="s">
        <v>166</v>
      </c>
      <c r="F4" s="56" t="s">
        <v>167</v>
      </c>
      <c r="G4" s="44">
        <v>191</v>
      </c>
      <c r="H4" s="129">
        <f>IF(B$15=0,0,G4/B$15)</f>
        <v>0.4089935760171306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-244.44444444444446</v>
      </c>
      <c r="P4" s="115">
        <v>162</v>
      </c>
      <c r="Q4" s="99">
        <v>-39600</v>
      </c>
    </row>
    <row r="5" spans="1:17" x14ac:dyDescent="0.45">
      <c r="A5" s="51" t="s">
        <v>7</v>
      </c>
      <c r="B5" s="160">
        <f>IF(B$2=0,0,B$4/B$2)</f>
        <v>-0.56815642458100679</v>
      </c>
      <c r="C5" s="161"/>
      <c r="E5" s="59" t="s">
        <v>64</v>
      </c>
      <c r="F5" s="56" t="s">
        <v>20</v>
      </c>
      <c r="G5" s="44">
        <v>174</v>
      </c>
      <c r="H5" s="129">
        <f>IF(B$15=0,0,G5/B$15)</f>
        <v>0.37259100642398285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102.59740259740259</v>
      </c>
      <c r="P5" s="115">
        <v>154</v>
      </c>
      <c r="Q5" s="99">
        <v>15800</v>
      </c>
    </row>
    <row r="6" spans="1:17" x14ac:dyDescent="0.45">
      <c r="A6" s="51" t="s">
        <v>1</v>
      </c>
      <c r="B6" s="150">
        <f>IF(B$2=0,0,(B$7*1+B$8*2+B$9*3)/B$2)</f>
        <v>1.988826815642458</v>
      </c>
      <c r="C6" s="151"/>
      <c r="E6" s="59" t="s">
        <v>68</v>
      </c>
      <c r="F6" s="56" t="s">
        <v>12</v>
      </c>
      <c r="G6" s="44">
        <v>127</v>
      </c>
      <c r="H6" s="129">
        <f>IF(B$15=0,0,G6/B$15)</f>
        <v>0.27194860813704497</v>
      </c>
      <c r="I6" s="90">
        <v>12</v>
      </c>
      <c r="K6" s="36">
        <v>4</v>
      </c>
      <c r="L6" s="95">
        <v>-38.099999999999994</v>
      </c>
      <c r="N6" s="111" t="s">
        <v>134</v>
      </c>
      <c r="O6" s="118">
        <f t="shared" si="0"/>
        <v>-1502.127659574468</v>
      </c>
      <c r="P6" s="115">
        <v>141</v>
      </c>
      <c r="Q6" s="99">
        <v>-211800</v>
      </c>
    </row>
    <row r="7" spans="1:17" x14ac:dyDescent="0.45">
      <c r="A7" s="51" t="s">
        <v>2</v>
      </c>
      <c r="B7" s="44">
        <v>60</v>
      </c>
      <c r="C7" s="37">
        <f t="shared" ref="C7:C10" si="1">IF(B$2=0,0,B7/B$2)</f>
        <v>0.33519553072625696</v>
      </c>
      <c r="E7" s="59" t="s">
        <v>67</v>
      </c>
      <c r="F7" s="56" t="s">
        <v>23</v>
      </c>
      <c r="G7" s="44">
        <v>94</v>
      </c>
      <c r="H7" s="129">
        <f>IF(B$15=0,0,G7/B$15)</f>
        <v>0.2012847965738758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1161.3445378151262</v>
      </c>
      <c r="P7" s="116">
        <v>119</v>
      </c>
      <c r="Q7" s="100">
        <v>138200</v>
      </c>
    </row>
    <row r="8" spans="1:17" x14ac:dyDescent="0.45">
      <c r="A8" s="51" t="s">
        <v>3</v>
      </c>
      <c r="B8" s="44">
        <v>61</v>
      </c>
      <c r="C8" s="37">
        <f t="shared" si="1"/>
        <v>0.34078212290502791</v>
      </c>
      <c r="E8" s="59" t="s">
        <v>69</v>
      </c>
      <c r="F8" s="56" t="s">
        <v>24</v>
      </c>
      <c r="G8" s="44">
        <v>51</v>
      </c>
      <c r="H8" s="129">
        <f>IF(B$15=0,0,G8/B$15)</f>
        <v>0.10920770877944326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58</v>
      </c>
      <c r="C9" s="38">
        <f t="shared" si="1"/>
        <v>0.32402234636871508</v>
      </c>
      <c r="E9" s="59" t="s">
        <v>89</v>
      </c>
      <c r="F9" s="56" t="s">
        <v>44</v>
      </c>
      <c r="G9" s="44">
        <v>49</v>
      </c>
      <c r="H9" s="129">
        <f>IF(B$15=0,0,G9/B$15)</f>
        <v>0.10492505353319058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0.10614525139664804</v>
      </c>
      <c r="E10" s="59" t="s">
        <v>70</v>
      </c>
      <c r="F10" s="56" t="s">
        <v>25</v>
      </c>
      <c r="G10" s="44">
        <v>45</v>
      </c>
      <c r="H10" s="129">
        <f>IF(B$15=0,0,G10/B$15)</f>
        <v>9.6359743040685231E-2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-0.99642857142857111</v>
      </c>
      <c r="P10" s="114">
        <v>56</v>
      </c>
      <c r="Q10" s="102">
        <v>-55.799999999999983</v>
      </c>
    </row>
    <row r="11" spans="1:17" x14ac:dyDescent="0.45">
      <c r="A11" s="54" t="s">
        <v>121</v>
      </c>
      <c r="B11" s="47">
        <v>342</v>
      </c>
      <c r="C11" s="42">
        <f>IF(B$3=0,0,B11/B$3)</f>
        <v>0.22937625754527163</v>
      </c>
      <c r="E11" s="59" t="s">
        <v>71</v>
      </c>
      <c r="F11" s="56" t="s">
        <v>26</v>
      </c>
      <c r="G11" s="44">
        <v>42</v>
      </c>
      <c r="H11" s="129">
        <f>IF(B$15=0,0,G11/B$15)</f>
        <v>8.9935760171306209E-2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2.8000000000000016</v>
      </c>
      <c r="P11" s="115">
        <v>56</v>
      </c>
      <c r="Q11" s="103">
        <v>156.8000000000001</v>
      </c>
    </row>
    <row r="12" spans="1:17" x14ac:dyDescent="0.45">
      <c r="A12" s="51" t="s">
        <v>118</v>
      </c>
      <c r="B12" s="44">
        <v>446</v>
      </c>
      <c r="C12" s="37">
        <f>IF(B$3=0,0,B12/B$3)</f>
        <v>0.29912810194500333</v>
      </c>
      <c r="E12" s="59" t="s">
        <v>65</v>
      </c>
      <c r="F12" s="56" t="s">
        <v>21</v>
      </c>
      <c r="G12" s="44">
        <v>35</v>
      </c>
      <c r="H12" s="129">
        <f>IF(B$15=0,0,G12/B$15)</f>
        <v>7.4946466809421838E-2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-3.0253731343283583</v>
      </c>
      <c r="P12" s="116">
        <v>67</v>
      </c>
      <c r="Q12" s="104">
        <v>-202.70000000000002</v>
      </c>
    </row>
    <row r="13" spans="1:17" x14ac:dyDescent="0.45">
      <c r="A13" s="50" t="s">
        <v>123</v>
      </c>
      <c r="B13" s="43">
        <f>B19</f>
        <v>174</v>
      </c>
      <c r="C13" s="35">
        <f>IF(B$11=0,0,B13/B$11)</f>
        <v>0.50877192982456143</v>
      </c>
      <c r="E13" s="59" t="s">
        <v>86</v>
      </c>
      <c r="F13" s="56" t="s">
        <v>41</v>
      </c>
      <c r="G13" s="44">
        <v>26</v>
      </c>
      <c r="H13" s="129">
        <f>IF(B$15=0,0,G13/B$15)</f>
        <v>5.5674518201284794E-2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176</v>
      </c>
      <c r="C14" s="35">
        <f>IF(B$12=0,0,B14/B$12)</f>
        <v>0.39461883408071746</v>
      </c>
      <c r="E14" s="59" t="s">
        <v>83</v>
      </c>
      <c r="F14" s="56" t="s">
        <v>38</v>
      </c>
      <c r="G14" s="44">
        <v>22</v>
      </c>
      <c r="H14" s="129">
        <f>IF(B$15=0,0,G14/B$15)</f>
        <v>4.7109207708779445E-2</v>
      </c>
      <c r="I14" s="90">
        <v>8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467</v>
      </c>
      <c r="C15" s="35">
        <f>IF(B$3=0,0,B15/B$3)</f>
        <v>0.31321260898725689</v>
      </c>
      <c r="E15" s="59" t="s">
        <v>78</v>
      </c>
      <c r="F15" s="56" t="s">
        <v>33</v>
      </c>
      <c r="G15" s="44">
        <v>18</v>
      </c>
      <c r="H15" s="129">
        <f>IF(B$15=0,0,G15/B$15)</f>
        <v>3.8543897216274089E-2</v>
      </c>
      <c r="I15" s="90">
        <v>3</v>
      </c>
      <c r="K15" s="36">
        <v>13</v>
      </c>
      <c r="L15" s="95">
        <v>-86.8</v>
      </c>
      <c r="N15" s="110" t="s">
        <v>232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264</v>
      </c>
      <c r="C16" s="37">
        <f>IF(B$3=0,0,B16/B$3)</f>
        <v>0.17706237424547283</v>
      </c>
      <c r="E16" s="59" t="s">
        <v>91</v>
      </c>
      <c r="F16" s="56" t="s">
        <v>46</v>
      </c>
      <c r="G16" s="44">
        <v>14</v>
      </c>
      <c r="H16" s="129">
        <f>IF(B$15=0,0,G16/B$15)</f>
        <v>2.9978586723768737E-2</v>
      </c>
      <c r="I16" s="90">
        <v>2</v>
      </c>
      <c r="K16" s="36">
        <v>14</v>
      </c>
      <c r="L16" s="95">
        <v>-138.4</v>
      </c>
      <c r="N16" s="111" t="s">
        <v>196</v>
      </c>
      <c r="O16" s="121">
        <f>IF(P16=0,0,Q16/P16)</f>
        <v>21.862499999999997</v>
      </c>
      <c r="P16" s="115">
        <v>8</v>
      </c>
      <c r="Q16" s="103">
        <v>174.89999999999998</v>
      </c>
    </row>
    <row r="17" spans="1:17" x14ac:dyDescent="0.45">
      <c r="A17" s="51" t="s">
        <v>12</v>
      </c>
      <c r="B17" s="44">
        <v>193</v>
      </c>
      <c r="C17" s="37">
        <f>IF(B$15=0,0,B17/B$15)</f>
        <v>0.41327623126338331</v>
      </c>
      <c r="E17" s="59" t="s">
        <v>81</v>
      </c>
      <c r="F17" s="56" t="s">
        <v>36</v>
      </c>
      <c r="G17" s="44">
        <v>11</v>
      </c>
      <c r="H17" s="129">
        <f>IF(B$15=0,0,G17/B$15)</f>
        <v>2.3554603854389723E-2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>IF(P17=0,0,Q17/P17)</f>
        <v>18.434693877551016</v>
      </c>
      <c r="P17" s="115">
        <v>49</v>
      </c>
      <c r="Q17" s="103">
        <v>903.29999999999973</v>
      </c>
    </row>
    <row r="18" spans="1:17" x14ac:dyDescent="0.45">
      <c r="A18" s="51" t="s">
        <v>11</v>
      </c>
      <c r="B18" s="44">
        <v>274</v>
      </c>
      <c r="C18" s="37">
        <f>IF(B$15=0,0,B18/B$15)</f>
        <v>0.58672376873661669</v>
      </c>
      <c r="E18" s="59" t="s">
        <v>79</v>
      </c>
      <c r="F18" s="56" t="s">
        <v>34</v>
      </c>
      <c r="G18" s="44">
        <v>8</v>
      </c>
      <c r="H18" s="129">
        <f>IF(B$15=0,0,G18/B$15)</f>
        <v>1.7130620985010708E-2</v>
      </c>
      <c r="I18" s="90">
        <v>5</v>
      </c>
      <c r="K18" s="36">
        <v>16</v>
      </c>
      <c r="L18" s="95">
        <v>-187.3</v>
      </c>
      <c r="N18" s="111" t="s">
        <v>197</v>
      </c>
      <c r="O18" s="121">
        <f>IF(P18=0,0,Q18/P18)</f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174</v>
      </c>
      <c r="C19" s="37">
        <f>IF(B$15=0,0,B19/B$15)</f>
        <v>0.37259100642398285</v>
      </c>
      <c r="E19" s="59" t="s">
        <v>162</v>
      </c>
      <c r="F19" s="56" t="s">
        <v>163</v>
      </c>
      <c r="G19" s="44">
        <v>5</v>
      </c>
      <c r="H19" s="129">
        <f>IF(B$15=0,0,G19/B$15)</f>
        <v>1.0706638115631691E-2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176</v>
      </c>
      <c r="C20" s="37">
        <f>IF(B$15=0,0,B20/B$15)</f>
        <v>0.37687366167023556</v>
      </c>
      <c r="E20" s="59" t="s">
        <v>92</v>
      </c>
      <c r="F20" s="56" t="s">
        <v>47</v>
      </c>
      <c r="G20" s="44">
        <v>3</v>
      </c>
      <c r="H20" s="129">
        <f>IF(B$15=0,0,G20/B$15)</f>
        <v>6.4239828693790149E-3</v>
      </c>
      <c r="I20" s="90">
        <v>6</v>
      </c>
      <c r="K20" s="36">
        <v>18</v>
      </c>
      <c r="L20" s="95">
        <v>-112.90000000000002</v>
      </c>
      <c r="N20" s="111" t="s">
        <v>171</v>
      </c>
      <c r="O20" s="121">
        <f>IF(P20=0,0,Q20/P20)</f>
        <v>-2.8540983606557364</v>
      </c>
      <c r="P20" s="115">
        <v>61</v>
      </c>
      <c r="Q20" s="103">
        <v>-174.09999999999991</v>
      </c>
    </row>
    <row r="21" spans="1:17" x14ac:dyDescent="0.45">
      <c r="A21" s="51" t="s">
        <v>194</v>
      </c>
      <c r="B21" s="44">
        <v>117</v>
      </c>
      <c r="C21" s="37">
        <f>IF(B$15=0,0,B21/B$15)</f>
        <v>0.25053533190578159</v>
      </c>
      <c r="E21" s="59" t="s">
        <v>74</v>
      </c>
      <c r="F21" s="56" t="s">
        <v>29</v>
      </c>
      <c r="G21" s="44">
        <v>2</v>
      </c>
      <c r="H21" s="129">
        <f>IF(B$15=0,0,G21/B$15)</f>
        <v>4.2826552462526769E-3</v>
      </c>
      <c r="I21" s="90">
        <v>3</v>
      </c>
      <c r="K21" s="36">
        <v>19</v>
      </c>
      <c r="L21" s="95">
        <v>-162.40000000000003</v>
      </c>
      <c r="N21" s="111" t="s">
        <v>200</v>
      </c>
      <c r="O21" s="121">
        <f>IF(P21=0,0,Q21/P21)</f>
        <v>-2.86</v>
      </c>
      <c r="P21" s="115">
        <v>5</v>
      </c>
      <c r="Q21" s="103">
        <v>-14.299999999999999</v>
      </c>
    </row>
    <row r="22" spans="1:17" x14ac:dyDescent="0.45">
      <c r="A22" s="51" t="s">
        <v>5</v>
      </c>
      <c r="B22" s="48">
        <f>IF(B$15=0,0,C22/B$15)</f>
        <v>7886.0813704496786</v>
      </c>
      <c r="C22" s="39">
        <v>3682800</v>
      </c>
      <c r="E22" s="59" t="s">
        <v>75</v>
      </c>
      <c r="F22" s="56" t="s">
        <v>30</v>
      </c>
      <c r="G22" s="44">
        <v>2</v>
      </c>
      <c r="H22" s="129">
        <f>IF(B$15=0,0,G22/B$15)</f>
        <v>4.2826552462526769E-3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>IF(P22=0,0,Q22/P22)</f>
        <v>-4.0983606557377019</v>
      </c>
      <c r="P22" s="115">
        <v>61</v>
      </c>
      <c r="Q22" s="103">
        <v>-249.99999999999983</v>
      </c>
    </row>
    <row r="23" spans="1:17" x14ac:dyDescent="0.45">
      <c r="A23" s="52" t="s">
        <v>177</v>
      </c>
      <c r="B23" s="136">
        <f>IF($B$15-B$14=0,0,C23/($B$15-B$14))</f>
        <v>8494.1580756013755</v>
      </c>
      <c r="C23" s="137">
        <v>2471800</v>
      </c>
      <c r="E23" s="59" t="s">
        <v>90</v>
      </c>
      <c r="F23" s="56" t="s">
        <v>45</v>
      </c>
      <c r="G23" s="44">
        <v>2</v>
      </c>
      <c r="H23" s="129">
        <f>IF(B$15=0,0,G23/B$15)</f>
        <v>4.2826552462526769E-3</v>
      </c>
      <c r="I23" s="90">
        <v>2</v>
      </c>
      <c r="K23" s="36">
        <v>21</v>
      </c>
      <c r="L23" s="95">
        <v>-67.200000000000031</v>
      </c>
      <c r="N23" s="111" t="s">
        <v>126</v>
      </c>
      <c r="O23" s="121">
        <f>IF(P23=0,0,Q23/P23)</f>
        <v>-14.178151260504206</v>
      </c>
      <c r="P23" s="115">
        <v>119</v>
      </c>
      <c r="Q23" s="103">
        <v>-1687.2000000000005</v>
      </c>
    </row>
    <row r="24" spans="1:17" x14ac:dyDescent="0.45">
      <c r="A24" s="52" t="s">
        <v>178</v>
      </c>
      <c r="B24" s="136">
        <f>IF(B$14=0,0,C24/B$14)</f>
        <v>6880.681818181818</v>
      </c>
      <c r="C24" s="137">
        <v>1211000</v>
      </c>
      <c r="E24" s="59" t="s">
        <v>73</v>
      </c>
      <c r="F24" s="56" t="s">
        <v>28</v>
      </c>
      <c r="G24" s="44">
        <v>1</v>
      </c>
      <c r="H24" s="129">
        <f>IF(B$15=0,0,G24/B$15)</f>
        <v>2.1413276231263384E-3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-7989.772727272727</v>
      </c>
      <c r="C25" s="137">
        <v>-2109300</v>
      </c>
      <c r="E25" s="59" t="s">
        <v>77</v>
      </c>
      <c r="F25" s="56" t="s">
        <v>32</v>
      </c>
      <c r="G25" s="44">
        <v>1</v>
      </c>
      <c r="H25" s="129">
        <f>IF(B$15=0,0,G25/B$15)</f>
        <v>2.1413276231263384E-3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84</v>
      </c>
      <c r="F26" s="56" t="s">
        <v>39</v>
      </c>
      <c r="G26" s="44">
        <v>1</v>
      </c>
      <c r="H26" s="129">
        <f>IF(B$15=0,0,G26/B$15)</f>
        <v>2.1413276231263384E-3</v>
      </c>
      <c r="I26" s="90">
        <v>5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36</v>
      </c>
      <c r="C27" s="131">
        <v>0</v>
      </c>
      <c r="E27" s="59" t="s">
        <v>95</v>
      </c>
      <c r="F27" s="56" t="s">
        <v>50</v>
      </c>
      <c r="G27" s="44">
        <v>1</v>
      </c>
      <c r="H27" s="129">
        <f>IF(B$15=0,0,G27/B$15)</f>
        <v>2.1413276231263384E-3</v>
      </c>
      <c r="I27" s="90">
        <v>4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6</v>
      </c>
      <c r="C30" s="40">
        <f>IF(B$3=0,0,B30/B$3)</f>
        <v>4.0241448692152921E-3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37</v>
      </c>
      <c r="C32" s="141">
        <f>IF(B$15=0,0,B32/B$15)</f>
        <v>7.922912205567452E-2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90</v>
      </c>
      <c r="C33" s="37">
        <f t="shared" ref="C33:C44" si="2">IF(B$15=0,0,B33/B$15)</f>
        <v>0.19271948608137046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100</v>
      </c>
      <c r="C34" s="37">
        <f>IF(B$15=0,0,B34/B$15)</f>
        <v>0.21413276231263384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93</v>
      </c>
      <c r="C35" s="37">
        <f t="shared" si="2"/>
        <v>0.19914346895074947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65</v>
      </c>
      <c r="C36" s="37">
        <f t="shared" si="2"/>
        <v>0.13918629550321199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44</v>
      </c>
      <c r="C37" s="37">
        <f t="shared" si="2"/>
        <v>9.421841541755889E-2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2"/>
        <v>3.2119914346895075E-2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1.9271948608137045E-2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1.284796573875803E-2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2.1413276231263384E-3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2"/>
        <v>6.4239828693790149E-3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8.5653104925053538E-3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  <row r="175" spans="11:12" x14ac:dyDescent="0.45">
      <c r="K175" s="36">
        <v>173</v>
      </c>
      <c r="L175" s="95">
        <v>-71.400000000000205</v>
      </c>
    </row>
    <row r="176" spans="11:12" x14ac:dyDescent="0.45">
      <c r="K176" s="36">
        <v>174</v>
      </c>
      <c r="L176" s="95">
        <v>-41.100000000000207</v>
      </c>
    </row>
    <row r="177" spans="11:12" x14ac:dyDescent="0.45">
      <c r="K177" s="36">
        <v>175</v>
      </c>
      <c r="L177" s="95">
        <v>-68.600000000000207</v>
      </c>
    </row>
    <row r="178" spans="11:12" x14ac:dyDescent="0.45">
      <c r="K178" s="36">
        <v>176</v>
      </c>
      <c r="L178" s="95">
        <v>-6.0000000000002061</v>
      </c>
    </row>
    <row r="179" spans="11:12" x14ac:dyDescent="0.45">
      <c r="K179" s="36">
        <v>177</v>
      </c>
      <c r="L179" s="95">
        <v>-11.000000000000206</v>
      </c>
    </row>
    <row r="180" spans="11:12" x14ac:dyDescent="0.45">
      <c r="K180" s="36">
        <v>178</v>
      </c>
      <c r="L180" s="95">
        <v>-47.000000000000206</v>
      </c>
    </row>
    <row r="181" spans="11:12" x14ac:dyDescent="0.45">
      <c r="K181" s="36">
        <v>179</v>
      </c>
      <c r="L181" s="95">
        <v>-101.70000000000022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87FD-D8CB-4D8C-8262-C26FE9BC2246}">
  <sheetPr codeName="Sheet13"/>
  <dimension ref="A1:Q10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102</v>
      </c>
      <c r="C2" s="155"/>
      <c r="E2" s="58" t="s">
        <v>66</v>
      </c>
      <c r="F2" s="55" t="s">
        <v>22</v>
      </c>
      <c r="G2" s="43">
        <v>180</v>
      </c>
      <c r="H2" s="128">
        <f>IF(B$15=0,0,G2/B$15)</f>
        <v>0.76923076923076927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-722.77227722772273</v>
      </c>
      <c r="P2" s="114">
        <v>101</v>
      </c>
      <c r="Q2" s="98">
        <v>-73000</v>
      </c>
    </row>
    <row r="3" spans="1:17" x14ac:dyDescent="0.45">
      <c r="A3" s="51" t="s">
        <v>8</v>
      </c>
      <c r="B3" s="156">
        <v>881</v>
      </c>
      <c r="C3" s="157"/>
      <c r="E3" s="59" t="s">
        <v>64</v>
      </c>
      <c r="F3" s="56" t="s">
        <v>20</v>
      </c>
      <c r="G3" s="44">
        <v>131</v>
      </c>
      <c r="H3" s="129">
        <f>IF(B$15=0,0,G3/B$15)</f>
        <v>0.55982905982905984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-772.2772277227723</v>
      </c>
      <c r="P3" s="115">
        <v>101</v>
      </c>
      <c r="Q3" s="99">
        <v>-78000</v>
      </c>
    </row>
    <row r="4" spans="1:17" x14ac:dyDescent="0.45">
      <c r="A4" s="51" t="s">
        <v>6</v>
      </c>
      <c r="B4" s="158">
        <v>-759.19999999999993</v>
      </c>
      <c r="C4" s="159"/>
      <c r="E4" s="59" t="s">
        <v>72</v>
      </c>
      <c r="F4" s="56" t="s">
        <v>27</v>
      </c>
      <c r="G4" s="44">
        <v>116</v>
      </c>
      <c r="H4" s="129">
        <f>IF(B$15=0,0,G4/B$15)</f>
        <v>0.49572649572649574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412.63157894736844</v>
      </c>
      <c r="P4" s="115">
        <v>95</v>
      </c>
      <c r="Q4" s="99">
        <v>39200</v>
      </c>
    </row>
    <row r="5" spans="1:17" x14ac:dyDescent="0.45">
      <c r="A5" s="51" t="s">
        <v>7</v>
      </c>
      <c r="B5" s="160">
        <f>IF(B$2=0,0,B$4/B$2)</f>
        <v>-7.4431372549019601</v>
      </c>
      <c r="C5" s="161"/>
      <c r="E5" s="59" t="s">
        <v>166</v>
      </c>
      <c r="F5" s="56" t="s">
        <v>167</v>
      </c>
      <c r="G5" s="44">
        <v>98</v>
      </c>
      <c r="H5" s="129">
        <f>IF(B$15=0,0,G5/B$15)</f>
        <v>0.41880341880341881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-763.44086021505382</v>
      </c>
      <c r="P5" s="115">
        <v>93</v>
      </c>
      <c r="Q5" s="99">
        <v>-71000</v>
      </c>
    </row>
    <row r="6" spans="1:17" x14ac:dyDescent="0.45">
      <c r="A6" s="51" t="s">
        <v>1</v>
      </c>
      <c r="B6" s="150">
        <f>IF(B$2=0,0,(B$7*1+B$8*2+B$9*3)/B$2)</f>
        <v>2.1960784313725492</v>
      </c>
      <c r="C6" s="151"/>
      <c r="E6" s="59" t="s">
        <v>68</v>
      </c>
      <c r="F6" s="56" t="s">
        <v>12</v>
      </c>
      <c r="G6" s="44">
        <v>84</v>
      </c>
      <c r="H6" s="129">
        <f>IF(B$15=0,0,G6/B$15)</f>
        <v>0.35897435897435898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-2801.1363636363635</v>
      </c>
      <c r="P6" s="115">
        <v>88</v>
      </c>
      <c r="Q6" s="99">
        <v>-246500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0.20588235294117646</v>
      </c>
      <c r="E7" s="59" t="s">
        <v>67</v>
      </c>
      <c r="F7" s="56" t="s">
        <v>23</v>
      </c>
      <c r="G7" s="44">
        <v>71</v>
      </c>
      <c r="H7" s="129">
        <f>IF(B$15=0,0,G7/B$15)</f>
        <v>0.3034188034188034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-1762.3376623376623</v>
      </c>
      <c r="P7" s="116">
        <v>77</v>
      </c>
      <c r="Q7" s="100">
        <v>-135700</v>
      </c>
    </row>
    <row r="8" spans="1:17" x14ac:dyDescent="0.45">
      <c r="A8" s="51" t="s">
        <v>3</v>
      </c>
      <c r="B8" s="44">
        <v>40</v>
      </c>
      <c r="C8" s="37">
        <f t="shared" si="1"/>
        <v>0.39215686274509803</v>
      </c>
      <c r="E8" s="59" t="s">
        <v>69</v>
      </c>
      <c r="F8" s="56" t="s">
        <v>24</v>
      </c>
      <c r="G8" s="44">
        <v>34</v>
      </c>
      <c r="H8" s="129">
        <f>IF(B$15=0,0,G8/B$15)</f>
        <v>0.14529914529914531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41</v>
      </c>
      <c r="C9" s="38">
        <f t="shared" si="1"/>
        <v>0.40196078431372551</v>
      </c>
      <c r="E9" s="59" t="s">
        <v>70</v>
      </c>
      <c r="F9" s="56" t="s">
        <v>25</v>
      </c>
      <c r="G9" s="44">
        <v>29</v>
      </c>
      <c r="H9" s="129">
        <f>IF(B$15=0,0,G9/B$15)</f>
        <v>0.12393162393162394</v>
      </c>
      <c r="I9" s="90">
        <v>4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7.8431372549019607E-2</v>
      </c>
      <c r="E10" s="59" t="s">
        <v>65</v>
      </c>
      <c r="F10" s="56" t="s">
        <v>21</v>
      </c>
      <c r="G10" s="44">
        <v>28</v>
      </c>
      <c r="H10" s="129">
        <f>IF(B$15=0,0,G10/B$15)</f>
        <v>0.11965811965811966</v>
      </c>
      <c r="I10" s="90">
        <v>6</v>
      </c>
      <c r="K10" s="36">
        <v>8</v>
      </c>
      <c r="L10" s="95">
        <v>-62.999999999999993</v>
      </c>
      <c r="N10" s="110" t="s">
        <v>157</v>
      </c>
      <c r="O10" s="120">
        <f>IF(P10=0,0,Q10/P10)</f>
        <v>-6.7666666666666693</v>
      </c>
      <c r="P10" s="114">
        <v>42</v>
      </c>
      <c r="Q10" s="102">
        <v>-284.2000000000001</v>
      </c>
    </row>
    <row r="11" spans="1:17" x14ac:dyDescent="0.45">
      <c r="A11" s="54" t="s">
        <v>121</v>
      </c>
      <c r="B11" s="47">
        <v>243</v>
      </c>
      <c r="C11" s="42">
        <f>IF(B$3=0,0,B11/B$3)</f>
        <v>0.27582292849035189</v>
      </c>
      <c r="E11" s="59" t="s">
        <v>89</v>
      </c>
      <c r="F11" s="56" t="s">
        <v>44</v>
      </c>
      <c r="G11" s="44">
        <v>26</v>
      </c>
      <c r="H11" s="129">
        <f>IF(B$15=0,0,G11/B$15)</f>
        <v>0.1111111111111111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168</v>
      </c>
      <c r="C12" s="37">
        <f>IF(B$3=0,0,B12/B$3)</f>
        <v>0.19069239500567536</v>
      </c>
      <c r="E12" s="59" t="s">
        <v>83</v>
      </c>
      <c r="F12" s="56" t="s">
        <v>38</v>
      </c>
      <c r="G12" s="44">
        <v>14</v>
      </c>
      <c r="H12" s="129">
        <f>IF(B$15=0,0,G12/B$15)</f>
        <v>5.9829059829059832E-2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131</v>
      </c>
      <c r="C13" s="35">
        <f>IF(B$11=0,0,B13/B$11)</f>
        <v>0.53909465020576131</v>
      </c>
      <c r="E13" s="59" t="s">
        <v>86</v>
      </c>
      <c r="F13" s="56" t="s">
        <v>41</v>
      </c>
      <c r="G13" s="44">
        <v>10</v>
      </c>
      <c r="H13" s="129">
        <f>IF(B$15=0,0,G13/B$15)</f>
        <v>4.2735042735042736E-2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0.39880952380952384</v>
      </c>
      <c r="E14" s="59" t="s">
        <v>71</v>
      </c>
      <c r="F14" s="56" t="s">
        <v>26</v>
      </c>
      <c r="G14" s="44">
        <v>9</v>
      </c>
      <c r="H14" s="129">
        <f>IF(B$15=0,0,G14/B$15)</f>
        <v>3.8461538461538464E-2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234</v>
      </c>
      <c r="C15" s="35">
        <f>IF(B$3=0,0,B15/B$3)</f>
        <v>0.26560726447219069</v>
      </c>
      <c r="E15" s="59" t="s">
        <v>78</v>
      </c>
      <c r="F15" s="56" t="s">
        <v>33</v>
      </c>
      <c r="G15" s="44">
        <v>8</v>
      </c>
      <c r="H15" s="129">
        <f>IF(B$15=0,0,G15/B$15)</f>
        <v>3.4188034188034191E-2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21.183333333333334</v>
      </c>
      <c r="P15" s="114">
        <v>6</v>
      </c>
      <c r="Q15" s="102">
        <v>127.1</v>
      </c>
    </row>
    <row r="16" spans="1:17" x14ac:dyDescent="0.45">
      <c r="A16" s="51" t="s">
        <v>13</v>
      </c>
      <c r="B16" s="44">
        <v>160</v>
      </c>
      <c r="C16" s="37">
        <f>IF(B$3=0,0,B16/B$3)</f>
        <v>0.18161180476730987</v>
      </c>
      <c r="E16" s="59" t="s">
        <v>81</v>
      </c>
      <c r="F16" s="56" t="s">
        <v>36</v>
      </c>
      <c r="G16" s="44">
        <v>5</v>
      </c>
      <c r="H16" s="129">
        <f>IF(B$15=0,0,G16/B$15)</f>
        <v>2.1367521367521368E-2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111</v>
      </c>
      <c r="C17" s="37">
        <f>IF(B$15=0,0,B17/B$15)</f>
        <v>0.47435897435897434</v>
      </c>
      <c r="E17" s="59" t="s">
        <v>79</v>
      </c>
      <c r="F17" s="56" t="s">
        <v>34</v>
      </c>
      <c r="G17" s="44">
        <v>4</v>
      </c>
      <c r="H17" s="129">
        <f>IF(B$15=0,0,G17/B$15)</f>
        <v>1.7094017094017096E-2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123</v>
      </c>
      <c r="C18" s="37">
        <f>IF(B$15=0,0,B18/B$15)</f>
        <v>0.52564102564102566</v>
      </c>
      <c r="E18" s="59" t="s">
        <v>162</v>
      </c>
      <c r="F18" s="56" t="s">
        <v>163</v>
      </c>
      <c r="G18" s="44">
        <v>4</v>
      </c>
      <c r="H18" s="129">
        <f>IF(B$15=0,0,G18/B$15)</f>
        <v>1.7094017094017096E-2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-1.8909090909090898</v>
      </c>
      <c r="P18" s="115">
        <v>11</v>
      </c>
      <c r="Q18" s="103">
        <v>-20.799999999999986</v>
      </c>
    </row>
    <row r="19" spans="1:17" x14ac:dyDescent="0.45">
      <c r="A19" s="51" t="s">
        <v>195</v>
      </c>
      <c r="B19" s="44">
        <v>131</v>
      </c>
      <c r="C19" s="37">
        <f>IF(B$15=0,0,B19/B$15)</f>
        <v>0.55982905982905984</v>
      </c>
      <c r="E19" s="59" t="s">
        <v>75</v>
      </c>
      <c r="F19" s="56" t="s">
        <v>30</v>
      </c>
      <c r="G19" s="44">
        <v>3</v>
      </c>
      <c r="H19" s="129">
        <f>IF(B$15=0,0,G19/B$15)</f>
        <v>1.282051282051282E-2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0.28632478632478631</v>
      </c>
      <c r="E20" s="59" t="s">
        <v>85</v>
      </c>
      <c r="F20" s="56" t="s">
        <v>40</v>
      </c>
      <c r="G20" s="44">
        <v>1</v>
      </c>
      <c r="H20" s="129">
        <f>IF(B$15=0,0,G20/B$15)</f>
        <v>4.2735042735042739E-3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-15.939999999999998</v>
      </c>
      <c r="P20" s="115">
        <v>65</v>
      </c>
      <c r="Q20" s="103">
        <v>-1036.0999999999999</v>
      </c>
    </row>
    <row r="21" spans="1:17" x14ac:dyDescent="0.45">
      <c r="A21" s="51" t="s">
        <v>194</v>
      </c>
      <c r="B21" s="44">
        <v>36</v>
      </c>
      <c r="C21" s="37">
        <f>IF(B$15=0,0,B21/B$15)</f>
        <v>0.15384615384615385</v>
      </c>
      <c r="E21" s="59" t="s">
        <v>91</v>
      </c>
      <c r="F21" s="56" t="s">
        <v>46</v>
      </c>
      <c r="G21" s="44">
        <v>1</v>
      </c>
      <c r="H21" s="129">
        <f>IF(B$15=0,0,G21/B$15)</f>
        <v>4.2735042735042739E-3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7844.0170940170938</v>
      </c>
      <c r="C22" s="39">
        <v>1835500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6</v>
      </c>
      <c r="K22" s="36">
        <v>20</v>
      </c>
      <c r="L22" s="95">
        <v>-177.6</v>
      </c>
      <c r="N22" s="111" t="s">
        <v>200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8441.3173652694604</v>
      </c>
      <c r="C23" s="137">
        <v>1409700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232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-7839.375</v>
      </c>
      <c r="C25" s="137">
        <v>-1254300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3.4052213393870601E-3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18</v>
      </c>
      <c r="C32" s="141">
        <f>IF(B$15=0,0,B32/B$15)</f>
        <v>7.6923076923076927E-2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0.16666666666666666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53</v>
      </c>
      <c r="C34" s="37">
        <f>IF(B$15=0,0,B34/B$15)</f>
        <v>0.2264957264957265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36</v>
      </c>
      <c r="C35" s="37">
        <f t="shared" si="3"/>
        <v>0.15384615384615385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40</v>
      </c>
      <c r="C36" s="37">
        <f t="shared" si="3"/>
        <v>0.17094017094017094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9.8290598290598288E-2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3"/>
        <v>5.9829059829059832E-2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7</v>
      </c>
      <c r="C39" s="37">
        <f t="shared" si="3"/>
        <v>2.9914529914529916E-2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4.2735042735042739E-3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4.2735042735042739E-3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8.5470085470085479E-3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  <row r="103" spans="11:12" x14ac:dyDescent="0.45">
      <c r="K103" s="36">
        <v>101</v>
      </c>
      <c r="L103" s="95">
        <v>-765.99999999999989</v>
      </c>
    </row>
    <row r="104" spans="11:12" x14ac:dyDescent="0.45">
      <c r="K104" s="36">
        <v>102</v>
      </c>
      <c r="L104" s="95">
        <v>-759.19999999999993</v>
      </c>
    </row>
  </sheetData>
  <sortState xmlns:xlrd2="http://schemas.microsoft.com/office/spreadsheetml/2017/richdata2" ref="E2:I10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FB1D-B857-407D-974E-6FD1B46B4F40}">
  <sheetPr codeName="Sheet15"/>
  <dimension ref="A1:Q15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155</v>
      </c>
      <c r="C2" s="155"/>
      <c r="E2" s="58" t="s">
        <v>66</v>
      </c>
      <c r="F2" s="55" t="s">
        <v>22</v>
      </c>
      <c r="G2" s="43">
        <v>317</v>
      </c>
      <c r="H2" s="128">
        <f>IF(B$15=0,0,G2/B$15)</f>
        <v>0.91884057971014488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1777.922077922078</v>
      </c>
      <c r="P2" s="114">
        <v>154</v>
      </c>
      <c r="Q2" s="98">
        <v>273800</v>
      </c>
    </row>
    <row r="3" spans="1:17" x14ac:dyDescent="0.45">
      <c r="A3" s="51" t="s">
        <v>8</v>
      </c>
      <c r="B3" s="156">
        <v>1248</v>
      </c>
      <c r="C3" s="157"/>
      <c r="E3" s="59" t="s">
        <v>72</v>
      </c>
      <c r="F3" s="56" t="s">
        <v>27</v>
      </c>
      <c r="G3" s="44">
        <v>195</v>
      </c>
      <c r="H3" s="129">
        <f>IF(B$15=0,0,G3/B$15)</f>
        <v>0.56521739130434778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-2359.3333333333335</v>
      </c>
      <c r="P3" s="115">
        <v>150</v>
      </c>
      <c r="Q3" s="99">
        <v>-353900</v>
      </c>
    </row>
    <row r="4" spans="1:17" x14ac:dyDescent="0.45">
      <c r="A4" s="51" t="s">
        <v>6</v>
      </c>
      <c r="B4" s="158">
        <v>713.80000000000052</v>
      </c>
      <c r="C4" s="159"/>
      <c r="E4" s="59" t="s">
        <v>64</v>
      </c>
      <c r="F4" s="56" t="s">
        <v>20</v>
      </c>
      <c r="G4" s="44">
        <v>184</v>
      </c>
      <c r="H4" s="129">
        <f>IF(B$15=0,0,G4/B$15)</f>
        <v>0.53333333333333333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191.1764705882353</v>
      </c>
      <c r="P4" s="115">
        <v>136</v>
      </c>
      <c r="Q4" s="99">
        <v>26000</v>
      </c>
    </row>
    <row r="5" spans="1:17" x14ac:dyDescent="0.45">
      <c r="A5" s="51" t="s">
        <v>7</v>
      </c>
      <c r="B5" s="160">
        <f>IF(B$2=0,0,B$4/B$2)</f>
        <v>4.6051612903225836</v>
      </c>
      <c r="C5" s="161"/>
      <c r="E5" s="59" t="s">
        <v>67</v>
      </c>
      <c r="F5" s="56" t="s">
        <v>23</v>
      </c>
      <c r="G5" s="44">
        <v>133</v>
      </c>
      <c r="H5" s="129">
        <f>IF(B$15=0,0,G5/B$15)</f>
        <v>0.38550724637681161</v>
      </c>
      <c r="I5" s="90">
        <v>5</v>
      </c>
      <c r="K5" s="36">
        <v>3</v>
      </c>
      <c r="L5" s="95">
        <v>-113.8</v>
      </c>
      <c r="N5" s="111" t="s">
        <v>133</v>
      </c>
      <c r="O5" s="118">
        <f t="shared" si="0"/>
        <v>2186.4</v>
      </c>
      <c r="P5" s="115">
        <v>125</v>
      </c>
      <c r="Q5" s="99">
        <v>273300</v>
      </c>
    </row>
    <row r="6" spans="1:17" x14ac:dyDescent="0.45">
      <c r="A6" s="51" t="s">
        <v>1</v>
      </c>
      <c r="B6" s="150">
        <f>IF(B$2=0,0,(B$7*1+B$8*2+B$9*3)/B$2)</f>
        <v>1.9096774193548387</v>
      </c>
      <c r="C6" s="151"/>
      <c r="E6" s="59" t="s">
        <v>68</v>
      </c>
      <c r="F6" s="56" t="s">
        <v>12</v>
      </c>
      <c r="G6" s="44">
        <v>133</v>
      </c>
      <c r="H6" s="129">
        <f>IF(B$15=0,0,G6/B$15)</f>
        <v>0.38550724637681161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1555.7522123893805</v>
      </c>
      <c r="P6" s="115">
        <v>113</v>
      </c>
      <c r="Q6" s="99">
        <v>175800</v>
      </c>
    </row>
    <row r="7" spans="1:17" x14ac:dyDescent="0.45">
      <c r="A7" s="51" t="s">
        <v>2</v>
      </c>
      <c r="B7" s="44">
        <v>62</v>
      </c>
      <c r="C7" s="37">
        <f t="shared" ref="C7:C10" si="1">IF(B$2=0,0,B7/B$2)</f>
        <v>0.4</v>
      </c>
      <c r="E7" s="59" t="s">
        <v>166</v>
      </c>
      <c r="F7" s="56" t="s">
        <v>167</v>
      </c>
      <c r="G7" s="44">
        <v>132</v>
      </c>
      <c r="H7" s="129">
        <f>IF(B$15=0,0,G7/B$15)</f>
        <v>0.38260869565217392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514.11764705882354</v>
      </c>
      <c r="P7" s="116">
        <v>85</v>
      </c>
      <c r="Q7" s="100">
        <v>43700</v>
      </c>
    </row>
    <row r="8" spans="1:17" x14ac:dyDescent="0.45">
      <c r="A8" s="51" t="s">
        <v>3</v>
      </c>
      <c r="B8" s="44">
        <v>45</v>
      </c>
      <c r="C8" s="37">
        <f t="shared" si="1"/>
        <v>0.29032258064516131</v>
      </c>
      <c r="E8" s="59" t="s">
        <v>89</v>
      </c>
      <c r="F8" s="56" t="s">
        <v>44</v>
      </c>
      <c r="G8" s="44">
        <v>87</v>
      </c>
      <c r="H8" s="129">
        <f>IF(B$15=0,0,G8/B$15)</f>
        <v>0.25217391304347825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48</v>
      </c>
      <c r="C9" s="38">
        <f t="shared" si="1"/>
        <v>0.30967741935483872</v>
      </c>
      <c r="E9" s="59" t="s">
        <v>69</v>
      </c>
      <c r="F9" s="56" t="s">
        <v>24</v>
      </c>
      <c r="G9" s="44">
        <v>68</v>
      </c>
      <c r="H9" s="129">
        <f>IF(B$15=0,0,G9/B$15)</f>
        <v>0.19710144927536233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0.12258064516129032</v>
      </c>
      <c r="E10" s="59" t="s">
        <v>65</v>
      </c>
      <c r="F10" s="56" t="s">
        <v>21</v>
      </c>
      <c r="G10" s="44">
        <v>48</v>
      </c>
      <c r="H10" s="129">
        <f>IF(B$15=0,0,G10/B$15)</f>
        <v>0.1391304347826087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-8.1488372093023251</v>
      </c>
      <c r="P10" s="114">
        <v>43</v>
      </c>
      <c r="Q10" s="102">
        <v>-350.4</v>
      </c>
    </row>
    <row r="11" spans="1:17" x14ac:dyDescent="0.45">
      <c r="A11" s="54" t="s">
        <v>121</v>
      </c>
      <c r="B11" s="47">
        <v>367</v>
      </c>
      <c r="C11" s="42">
        <f>IF(B$3=0,0,B11/B$3)</f>
        <v>0.29407051282051283</v>
      </c>
      <c r="E11" s="59" t="s">
        <v>70</v>
      </c>
      <c r="F11" s="56" t="s">
        <v>25</v>
      </c>
      <c r="G11" s="44">
        <v>43</v>
      </c>
      <c r="H11" s="129">
        <f>IF(B$15=0,0,G11/B$15)</f>
        <v>0.1246376811594203</v>
      </c>
      <c r="I11" s="90">
        <v>3</v>
      </c>
      <c r="K11" s="36">
        <v>9</v>
      </c>
      <c r="L11" s="95">
        <v>-120.99999999999999</v>
      </c>
      <c r="N11" s="111" t="s">
        <v>158</v>
      </c>
      <c r="O11" s="121">
        <f>IF(P11=0,0,Q11/P11)</f>
        <v>7.5534482758620678</v>
      </c>
      <c r="P11" s="115">
        <v>58</v>
      </c>
      <c r="Q11" s="103">
        <v>438.09999999999991</v>
      </c>
    </row>
    <row r="12" spans="1:17" x14ac:dyDescent="0.45">
      <c r="A12" s="51" t="s">
        <v>118</v>
      </c>
      <c r="B12" s="44">
        <v>233</v>
      </c>
      <c r="C12" s="37">
        <f>IF(B$3=0,0,B12/B$3)</f>
        <v>0.18669871794871795</v>
      </c>
      <c r="E12" s="59" t="s">
        <v>71</v>
      </c>
      <c r="F12" s="56" t="s">
        <v>26</v>
      </c>
      <c r="G12" s="44">
        <v>21</v>
      </c>
      <c r="H12" s="129">
        <f>IF(B$15=0,0,G12/B$15)</f>
        <v>6.0869565217391307E-2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11.594444444444445</v>
      </c>
      <c r="P12" s="116">
        <v>54</v>
      </c>
      <c r="Q12" s="104">
        <v>626.1</v>
      </c>
    </row>
    <row r="13" spans="1:17" x14ac:dyDescent="0.45">
      <c r="A13" s="50" t="s">
        <v>123</v>
      </c>
      <c r="B13" s="43">
        <f>B19</f>
        <v>200</v>
      </c>
      <c r="C13" s="35">
        <f>IF(B$11=0,0,B13/B$11)</f>
        <v>0.54495912806539515</v>
      </c>
      <c r="E13" s="59" t="s">
        <v>162</v>
      </c>
      <c r="F13" s="56" t="s">
        <v>163</v>
      </c>
      <c r="G13" s="44">
        <v>17</v>
      </c>
      <c r="H13" s="129">
        <f>IF(B$15=0,0,G13/B$15)</f>
        <v>4.9275362318840582E-2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91</v>
      </c>
      <c r="C14" s="35">
        <f>IF(B$12=0,0,B14/B$12)</f>
        <v>0.3905579399141631</v>
      </c>
      <c r="E14" s="59" t="s">
        <v>83</v>
      </c>
      <c r="F14" s="56" t="s">
        <v>38</v>
      </c>
      <c r="G14" s="44">
        <v>12</v>
      </c>
      <c r="H14" s="129">
        <f>IF(B$15=0,0,G14/B$15)</f>
        <v>3.4782608695652174E-2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345</v>
      </c>
      <c r="C15" s="35">
        <f>IF(B$3=0,0,B15/B$3)</f>
        <v>0.27644230769230771</v>
      </c>
      <c r="E15" s="59" t="s">
        <v>86</v>
      </c>
      <c r="F15" s="56" t="s">
        <v>41</v>
      </c>
      <c r="G15" s="44">
        <v>12</v>
      </c>
      <c r="H15" s="129">
        <f>IF(B$15=0,0,G15/B$15)</f>
        <v>3.4782608695652174E-2</v>
      </c>
      <c r="I15" s="90">
        <v>9</v>
      </c>
      <c r="K15" s="36">
        <v>13</v>
      </c>
      <c r="L15" s="95">
        <v>-132.39999999999998</v>
      </c>
      <c r="N15" s="110" t="s">
        <v>232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215</v>
      </c>
      <c r="C16" s="37">
        <f>IF(B$3=0,0,B16/B$3)</f>
        <v>0.17227564102564102</v>
      </c>
      <c r="E16" s="59" t="s">
        <v>91</v>
      </c>
      <c r="F16" s="56" t="s">
        <v>46</v>
      </c>
      <c r="G16" s="44">
        <v>8</v>
      </c>
      <c r="H16" s="129">
        <f>IF(B$15=0,0,G16/B$15)</f>
        <v>2.318840579710145E-2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30.121875000000003</v>
      </c>
      <c r="P16" s="115">
        <v>32</v>
      </c>
      <c r="Q16" s="103">
        <v>963.90000000000009</v>
      </c>
    </row>
    <row r="17" spans="1:17" x14ac:dyDescent="0.45">
      <c r="A17" s="51" t="s">
        <v>12</v>
      </c>
      <c r="B17" s="44">
        <v>176</v>
      </c>
      <c r="C17" s="37">
        <f>IF(B$15=0,0,B17/B$15)</f>
        <v>0.51014492753623186</v>
      </c>
      <c r="E17" s="59" t="s">
        <v>81</v>
      </c>
      <c r="F17" s="56" t="s">
        <v>36</v>
      </c>
      <c r="G17" s="44">
        <v>6</v>
      </c>
      <c r="H17" s="129">
        <f>IF(B$15=0,0,G17/B$15)</f>
        <v>1.7391304347826087E-2</v>
      </c>
      <c r="I17" s="90">
        <v>7</v>
      </c>
      <c r="K17" s="36">
        <v>15</v>
      </c>
      <c r="L17" s="95">
        <v>-101.79999999999997</v>
      </c>
      <c r="N17" s="111" t="s">
        <v>197</v>
      </c>
      <c r="O17" s="121">
        <f>IF(P17=0,0,Q17/P17)</f>
        <v>19.176470588235297</v>
      </c>
      <c r="P17" s="115">
        <v>34</v>
      </c>
      <c r="Q17" s="103">
        <v>652.00000000000011</v>
      </c>
    </row>
    <row r="18" spans="1:17" x14ac:dyDescent="0.45">
      <c r="A18" s="51" t="s">
        <v>11</v>
      </c>
      <c r="B18" s="44">
        <v>169</v>
      </c>
      <c r="C18" s="37">
        <f>IF(B$15=0,0,B18/B$15)</f>
        <v>0.48985507246376814</v>
      </c>
      <c r="E18" s="59" t="s">
        <v>92</v>
      </c>
      <c r="F18" s="56" t="s">
        <v>47</v>
      </c>
      <c r="G18" s="44">
        <v>6</v>
      </c>
      <c r="H18" s="129">
        <f>IF(B$15=0,0,G18/B$15)</f>
        <v>1.7391304347826087E-2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8.5328571428571429</v>
      </c>
      <c r="P18" s="115">
        <v>70</v>
      </c>
      <c r="Q18" s="103">
        <v>597.29999999999995</v>
      </c>
    </row>
    <row r="19" spans="1:17" x14ac:dyDescent="0.45">
      <c r="A19" s="51" t="s">
        <v>195</v>
      </c>
      <c r="B19" s="44">
        <v>200</v>
      </c>
      <c r="C19" s="37">
        <f>IF(B$15=0,0,B19/B$15)</f>
        <v>0.57971014492753625</v>
      </c>
      <c r="E19" s="59" t="s">
        <v>78</v>
      </c>
      <c r="F19" s="56" t="s">
        <v>33</v>
      </c>
      <c r="G19" s="44">
        <v>5</v>
      </c>
      <c r="H19" s="129">
        <f>IF(B$15=0,0,G19/B$15)</f>
        <v>1.4492753623188406E-2</v>
      </c>
      <c r="I19" s="90">
        <v>8</v>
      </c>
      <c r="K19" s="36">
        <v>17</v>
      </c>
      <c r="L19" s="95">
        <v>-55.799999999999969</v>
      </c>
      <c r="N19" s="111" t="s">
        <v>196</v>
      </c>
      <c r="O19" s="121">
        <f>IF(P19=0,0,Q19/P19)</f>
        <v>5.1500000000000012</v>
      </c>
      <c r="P19" s="115">
        <v>10</v>
      </c>
      <c r="Q19" s="103">
        <v>51.500000000000014</v>
      </c>
    </row>
    <row r="20" spans="1:17" x14ac:dyDescent="0.45">
      <c r="A20" s="51" t="s">
        <v>193</v>
      </c>
      <c r="B20" s="44">
        <v>91</v>
      </c>
      <c r="C20" s="37">
        <f>IF(B$15=0,0,B20/B$15)</f>
        <v>0.26376811594202898</v>
      </c>
      <c r="E20" s="59" t="s">
        <v>79</v>
      </c>
      <c r="F20" s="56" t="s">
        <v>34</v>
      </c>
      <c r="G20" s="44">
        <v>4</v>
      </c>
      <c r="H20" s="129">
        <f>IF(B$15=0,0,G20/B$15)</f>
        <v>1.1594202898550725E-2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4.0983606557377037</v>
      </c>
      <c r="P20" s="115">
        <v>61</v>
      </c>
      <c r="Q20" s="103">
        <v>249.99999999999994</v>
      </c>
    </row>
    <row r="21" spans="1:17" x14ac:dyDescent="0.45">
      <c r="A21" s="51" t="s">
        <v>194</v>
      </c>
      <c r="B21" s="44">
        <v>54</v>
      </c>
      <c r="C21" s="37">
        <f>IF(B$15=0,0,B21/B$15)</f>
        <v>0.15652173913043479</v>
      </c>
      <c r="E21" s="59" t="s">
        <v>85</v>
      </c>
      <c r="F21" s="56" t="s">
        <v>40</v>
      </c>
      <c r="G21" s="44">
        <v>4</v>
      </c>
      <c r="H21" s="129">
        <f>IF(B$15=0,0,G21/B$15)</f>
        <v>1.1594202898550725E-2</v>
      </c>
      <c r="I21" s="90">
        <v>3</v>
      </c>
      <c r="K21" s="36">
        <v>19</v>
      </c>
      <c r="L21" s="95">
        <v>-27.799999999999969</v>
      </c>
      <c r="N21" s="111" t="s">
        <v>200</v>
      </c>
      <c r="O21" s="121">
        <f>IF(P21=0,0,Q21/P21)</f>
        <v>-2.910000000000001</v>
      </c>
      <c r="P21" s="115">
        <v>10</v>
      </c>
      <c r="Q21" s="103">
        <v>-29.100000000000009</v>
      </c>
    </row>
    <row r="22" spans="1:17" x14ac:dyDescent="0.45">
      <c r="A22" s="51" t="s">
        <v>5</v>
      </c>
      <c r="B22" s="48">
        <f>IF(B$15=0,0,C22/B$15)</f>
        <v>11155.36231884058</v>
      </c>
      <c r="C22" s="39">
        <v>3848600</v>
      </c>
      <c r="E22" s="59" t="s">
        <v>84</v>
      </c>
      <c r="F22" s="56" t="s">
        <v>39</v>
      </c>
      <c r="G22" s="44">
        <v>3</v>
      </c>
      <c r="H22" s="129">
        <f>IF(B$15=0,0,G22/B$15)</f>
        <v>8.6956521739130436E-3</v>
      </c>
      <c r="I22" s="90">
        <v>1</v>
      </c>
      <c r="K22" s="36">
        <v>20</v>
      </c>
      <c r="L22" s="95">
        <v>-50.39999999999997</v>
      </c>
      <c r="N22" s="111" t="s">
        <v>172</v>
      </c>
      <c r="O22" s="121">
        <f>IF(P22=0,0,Q22/P22)</f>
        <v>-2.9208333333333338</v>
      </c>
      <c r="P22" s="115">
        <v>24</v>
      </c>
      <c r="Q22" s="103">
        <v>-70.100000000000009</v>
      </c>
    </row>
    <row r="23" spans="1:17" x14ac:dyDescent="0.45">
      <c r="A23" s="52" t="s">
        <v>177</v>
      </c>
      <c r="B23" s="136">
        <f>IF($B$15-B$14=0,0,C23/($B$15-B$14))</f>
        <v>11805.118110236221</v>
      </c>
      <c r="C23" s="137">
        <v>2998500</v>
      </c>
      <c r="E23" s="59" t="s">
        <v>73</v>
      </c>
      <c r="F23" s="56" t="s">
        <v>28</v>
      </c>
      <c r="G23" s="44">
        <v>2</v>
      </c>
      <c r="H23" s="129">
        <f>IF(B$15=0,0,G23/B$15)</f>
        <v>5.7971014492753624E-3</v>
      </c>
      <c r="I23" s="90">
        <v>3</v>
      </c>
      <c r="K23" s="36">
        <v>21</v>
      </c>
      <c r="L23" s="95">
        <v>-59.89999999999997</v>
      </c>
      <c r="N23" s="111" t="s">
        <v>126</v>
      </c>
      <c r="O23" s="121">
        <f>IF(P23=0,0,Q23/P23)</f>
        <v>-5.901492537313433</v>
      </c>
      <c r="P23" s="115">
        <v>67</v>
      </c>
      <c r="Q23" s="103">
        <v>-395.40000000000003</v>
      </c>
    </row>
    <row r="24" spans="1:17" x14ac:dyDescent="0.45">
      <c r="A24" s="52" t="s">
        <v>178</v>
      </c>
      <c r="B24" s="136">
        <f>IF(B$14=0,0,C24/B$14)</f>
        <v>9341.7582417582416</v>
      </c>
      <c r="C24" s="137">
        <v>850100</v>
      </c>
      <c r="E24" s="59" t="s">
        <v>75</v>
      </c>
      <c r="F24" s="56" t="s">
        <v>30</v>
      </c>
      <c r="G24" s="44">
        <v>2</v>
      </c>
      <c r="H24" s="129">
        <f>IF(B$15=0,0,G24/B$15)</f>
        <v>5.7971014492753624E-3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-8355.8139534883721</v>
      </c>
      <c r="C25" s="137">
        <v>-1796500</v>
      </c>
      <c r="E25" s="59" t="s">
        <v>77</v>
      </c>
      <c r="F25" s="56" t="s">
        <v>32</v>
      </c>
      <c r="G25" s="44">
        <v>2</v>
      </c>
      <c r="H25" s="129">
        <f>IF(B$15=0,0,G25/B$15)</f>
        <v>5.7971014492753624E-3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90</v>
      </c>
      <c r="F26" s="56" t="s">
        <v>45</v>
      </c>
      <c r="G26" s="44">
        <v>2</v>
      </c>
      <c r="H26" s="129">
        <f>IF(B$15=0,0,G26/B$15)</f>
        <v>5.7971014492753624E-3</v>
      </c>
      <c r="I26" s="90">
        <v>1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4</v>
      </c>
      <c r="E27" s="59" t="s">
        <v>88</v>
      </c>
      <c r="F27" s="56" t="s">
        <v>43</v>
      </c>
      <c r="G27" s="44">
        <v>1</v>
      </c>
      <c r="H27" s="129">
        <f>IF(B$15=0,0,G27/B$15)</f>
        <v>2.8985507246376812E-3</v>
      </c>
      <c r="I27" s="90">
        <v>4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2.8985507246376812E-3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95</v>
      </c>
      <c r="F29" s="56" t="s">
        <v>50</v>
      </c>
      <c r="G29" s="44">
        <v>1</v>
      </c>
      <c r="H29" s="129">
        <f>IF(B$15=0,0,G29/B$15)</f>
        <v>2.8985507246376812E-3</v>
      </c>
      <c r="I29" s="90">
        <v>3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1.6025641025641025E-3</v>
      </c>
      <c r="E30" s="59" t="s">
        <v>97</v>
      </c>
      <c r="F30" s="56" t="s">
        <v>52</v>
      </c>
      <c r="G30" s="44">
        <v>1</v>
      </c>
      <c r="H30" s="129">
        <f>IF(B$15=0,0,G30/B$15)</f>
        <v>2.8985507246376812E-3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74</v>
      </c>
      <c r="F31" s="56" t="s">
        <v>29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10</v>
      </c>
      <c r="C32" s="141">
        <f>IF(B$15=0,0,B32/B$15)</f>
        <v>2.8985507246376812E-2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27</v>
      </c>
      <c r="C33" s="37">
        <f t="shared" ref="C33:C44" si="2">IF(B$15=0,0,B33/B$15)</f>
        <v>7.8260869565217397E-2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46</v>
      </c>
      <c r="C34" s="37">
        <f>IF(B$15=0,0,B34/B$15)</f>
        <v>0.13333333333333333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64</v>
      </c>
      <c r="C35" s="37">
        <f t="shared" si="2"/>
        <v>0.1855072463768116</v>
      </c>
      <c r="E35" s="59" t="s">
        <v>87</v>
      </c>
      <c r="F35" s="56" t="s">
        <v>42</v>
      </c>
      <c r="G35" s="44">
        <v>0</v>
      </c>
      <c r="H35" s="129">
        <f>IF(B$15=0,0,G35/B$15)</f>
        <v>0</v>
      </c>
      <c r="I35" s="90">
        <v>7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73</v>
      </c>
      <c r="C36" s="37">
        <f t="shared" si="2"/>
        <v>0.21159420289855072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48</v>
      </c>
      <c r="C37" s="37">
        <f t="shared" si="2"/>
        <v>0.1391304347826087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26</v>
      </c>
      <c r="C38" s="37">
        <f t="shared" si="2"/>
        <v>7.5362318840579715E-2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22</v>
      </c>
      <c r="C39" s="37">
        <f t="shared" si="2"/>
        <v>6.3768115942028983E-2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11</v>
      </c>
      <c r="C40" s="37">
        <f t="shared" si="2"/>
        <v>3.1884057971014491E-2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8.6956521739130436E-3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3</v>
      </c>
      <c r="C42" s="37">
        <f t="shared" si="2"/>
        <v>8.6956521739130436E-3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2.8985507246376812E-3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11</v>
      </c>
      <c r="C44" s="40">
        <f t="shared" si="2"/>
        <v>3.1884057971014491E-2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  <row r="142" spans="11:12" x14ac:dyDescent="0.45">
      <c r="K142" s="36">
        <v>140</v>
      </c>
      <c r="L142" s="95">
        <v>587.90000000000055</v>
      </c>
    </row>
    <row r="143" spans="11:12" x14ac:dyDescent="0.45">
      <c r="K143" s="36">
        <v>141</v>
      </c>
      <c r="L143" s="95">
        <v>534.90000000000055</v>
      </c>
    </row>
    <row r="144" spans="11:12" x14ac:dyDescent="0.45">
      <c r="K144" s="36">
        <v>142</v>
      </c>
      <c r="L144" s="95">
        <v>551.50000000000057</v>
      </c>
    </row>
    <row r="145" spans="11:12" x14ac:dyDescent="0.45">
      <c r="K145" s="36">
        <v>143</v>
      </c>
      <c r="L145" s="95">
        <v>528.30000000000052</v>
      </c>
    </row>
    <row r="146" spans="11:12" x14ac:dyDescent="0.45">
      <c r="K146" s="36">
        <v>144</v>
      </c>
      <c r="L146" s="95">
        <v>480.90000000000055</v>
      </c>
    </row>
    <row r="147" spans="11:12" x14ac:dyDescent="0.45">
      <c r="K147" s="36">
        <v>145</v>
      </c>
      <c r="L147" s="95">
        <v>496.00000000000057</v>
      </c>
    </row>
    <row r="148" spans="11:12" x14ac:dyDescent="0.45">
      <c r="K148" s="36">
        <v>146</v>
      </c>
      <c r="L148" s="95">
        <v>449.90000000000055</v>
      </c>
    </row>
    <row r="149" spans="11:12" x14ac:dyDescent="0.45">
      <c r="K149" s="36">
        <v>147</v>
      </c>
      <c r="L149" s="95">
        <v>524.00000000000057</v>
      </c>
    </row>
    <row r="150" spans="11:12" x14ac:dyDescent="0.45">
      <c r="K150" s="36">
        <v>148</v>
      </c>
      <c r="L150" s="95">
        <v>514.50000000000057</v>
      </c>
    </row>
    <row r="151" spans="11:12" x14ac:dyDescent="0.45">
      <c r="K151" s="36">
        <v>149</v>
      </c>
      <c r="L151" s="95">
        <v>570.00000000000057</v>
      </c>
    </row>
    <row r="152" spans="11:12" x14ac:dyDescent="0.45">
      <c r="K152" s="36">
        <v>150</v>
      </c>
      <c r="L152" s="95">
        <v>598.20000000000061</v>
      </c>
    </row>
    <row r="153" spans="11:12" x14ac:dyDescent="0.45">
      <c r="K153" s="36">
        <v>151</v>
      </c>
      <c r="L153" s="95">
        <v>593.50000000000057</v>
      </c>
    </row>
    <row r="154" spans="11:12" x14ac:dyDescent="0.45">
      <c r="K154" s="36">
        <v>152</v>
      </c>
      <c r="L154" s="95">
        <v>623.50000000000057</v>
      </c>
    </row>
    <row r="155" spans="11:12" x14ac:dyDescent="0.45">
      <c r="K155" s="36">
        <v>153</v>
      </c>
      <c r="L155" s="95">
        <v>682.50000000000057</v>
      </c>
    </row>
    <row r="156" spans="11:12" x14ac:dyDescent="0.45">
      <c r="K156" s="36">
        <v>154</v>
      </c>
      <c r="L156" s="95">
        <v>699.00000000000057</v>
      </c>
    </row>
    <row r="157" spans="11:12" x14ac:dyDescent="0.45">
      <c r="K157" s="36">
        <v>155</v>
      </c>
      <c r="L157" s="95">
        <v>713.80000000000052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A957E-DF58-4023-8538-060820AA4179}">
  <sheetPr codeName="Sheet17"/>
  <dimension ref="A1:Q15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156</v>
      </c>
      <c r="C2" s="155"/>
      <c r="E2" s="58" t="s">
        <v>66</v>
      </c>
      <c r="F2" s="55" t="s">
        <v>22</v>
      </c>
      <c r="G2" s="43">
        <v>254</v>
      </c>
      <c r="H2" s="128">
        <f>IF(B$15=0,0,G2/B$15)</f>
        <v>0.72571428571428576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-417.94871794871796</v>
      </c>
      <c r="P2" s="114">
        <v>156</v>
      </c>
      <c r="Q2" s="98">
        <v>-65200</v>
      </c>
    </row>
    <row r="3" spans="1:17" x14ac:dyDescent="0.45">
      <c r="A3" s="51" t="s">
        <v>8</v>
      </c>
      <c r="B3" s="156">
        <v>1262</v>
      </c>
      <c r="C3" s="157"/>
      <c r="E3" s="59" t="s">
        <v>72</v>
      </c>
      <c r="F3" s="56" t="s">
        <v>27</v>
      </c>
      <c r="G3" s="44">
        <v>193</v>
      </c>
      <c r="H3" s="129">
        <f>IF(B$15=0,0,G3/B$15)</f>
        <v>0.55142857142857138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578.43137254901956</v>
      </c>
      <c r="P3" s="115">
        <v>153</v>
      </c>
      <c r="Q3" s="99">
        <v>88500</v>
      </c>
    </row>
    <row r="4" spans="1:17" x14ac:dyDescent="0.45">
      <c r="A4" s="51" t="s">
        <v>6</v>
      </c>
      <c r="B4" s="158">
        <v>-82.1</v>
      </c>
      <c r="C4" s="159"/>
      <c r="E4" s="59" t="s">
        <v>64</v>
      </c>
      <c r="F4" s="56" t="s">
        <v>20</v>
      </c>
      <c r="G4" s="44">
        <v>171</v>
      </c>
      <c r="H4" s="129">
        <f>IF(B$15=0,0,G4/B$15)</f>
        <v>0.48857142857142855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157.63888888888889</v>
      </c>
      <c r="P4" s="115">
        <v>144</v>
      </c>
      <c r="Q4" s="99">
        <v>22700</v>
      </c>
    </row>
    <row r="5" spans="1:17" x14ac:dyDescent="0.45">
      <c r="A5" s="51" t="s">
        <v>7</v>
      </c>
      <c r="B5" s="160">
        <f>IF(B$2=0,0,B$4/B$2)</f>
        <v>-0.5262820512820513</v>
      </c>
      <c r="C5" s="161"/>
      <c r="E5" s="59" t="s">
        <v>166</v>
      </c>
      <c r="F5" s="56" t="s">
        <v>167</v>
      </c>
      <c r="G5" s="44">
        <v>154</v>
      </c>
      <c r="H5" s="129">
        <f>IF(B$15=0,0,G5/B$15)</f>
        <v>0.44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237.69230769230768</v>
      </c>
      <c r="P5" s="115">
        <v>130</v>
      </c>
      <c r="Q5" s="99">
        <v>30900</v>
      </c>
    </row>
    <row r="6" spans="1:17" x14ac:dyDescent="0.45">
      <c r="A6" s="51" t="s">
        <v>1</v>
      </c>
      <c r="B6" s="150">
        <f>IF(B$2=0,0,(B$7*1+B$8*2+B$9*3)/B$2)</f>
        <v>2.0448717948717947</v>
      </c>
      <c r="C6" s="151"/>
      <c r="E6" s="59" t="s">
        <v>67</v>
      </c>
      <c r="F6" s="56" t="s">
        <v>23</v>
      </c>
      <c r="G6" s="44">
        <v>115</v>
      </c>
      <c r="H6" s="129">
        <f>IF(B$15=0,0,G6/B$15)</f>
        <v>0.32857142857142857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145.76271186440678</v>
      </c>
      <c r="P6" s="115">
        <v>118</v>
      </c>
      <c r="Q6" s="99">
        <v>17200</v>
      </c>
    </row>
    <row r="7" spans="1:17" x14ac:dyDescent="0.45">
      <c r="A7" s="51" t="s">
        <v>2</v>
      </c>
      <c r="B7" s="44">
        <v>40</v>
      </c>
      <c r="C7" s="37">
        <f t="shared" ref="C7:C10" si="1">IF(B$2=0,0,B7/B$2)</f>
        <v>0.25641025641025639</v>
      </c>
      <c r="E7" s="59" t="s">
        <v>68</v>
      </c>
      <c r="F7" s="56" t="s">
        <v>12</v>
      </c>
      <c r="G7" s="44">
        <v>113</v>
      </c>
      <c r="H7" s="129">
        <f>IF(B$15=0,0,G7/B$15)</f>
        <v>0.32285714285714284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-990</v>
      </c>
      <c r="P7" s="116">
        <v>100</v>
      </c>
      <c r="Q7" s="100">
        <v>-99000</v>
      </c>
    </row>
    <row r="8" spans="1:17" x14ac:dyDescent="0.45">
      <c r="A8" s="51" t="s">
        <v>3</v>
      </c>
      <c r="B8" s="44">
        <v>69</v>
      </c>
      <c r="C8" s="37">
        <f t="shared" si="1"/>
        <v>0.44230769230769229</v>
      </c>
      <c r="E8" s="59" t="s">
        <v>89</v>
      </c>
      <c r="F8" s="56" t="s">
        <v>44</v>
      </c>
      <c r="G8" s="44">
        <v>49</v>
      </c>
      <c r="H8" s="129">
        <f>IF(B$15=0,0,G8/B$15)</f>
        <v>0.14000000000000001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47</v>
      </c>
      <c r="C9" s="38">
        <f t="shared" si="1"/>
        <v>0.30128205128205127</v>
      </c>
      <c r="E9" s="59" t="s">
        <v>69</v>
      </c>
      <c r="F9" s="56" t="s">
        <v>24</v>
      </c>
      <c r="G9" s="44">
        <v>47</v>
      </c>
      <c r="H9" s="129">
        <f>IF(B$15=0,0,G9/B$15)</f>
        <v>0.13428571428571429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8.3333333333333329E-2</v>
      </c>
      <c r="E10" s="59" t="s">
        <v>71</v>
      </c>
      <c r="F10" s="56" t="s">
        <v>26</v>
      </c>
      <c r="G10" s="44">
        <v>36</v>
      </c>
      <c r="H10" s="129">
        <f>IF(B$15=0,0,G10/B$15)</f>
        <v>0.10285714285714286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 x14ac:dyDescent="0.45">
      <c r="A11" s="54" t="s">
        <v>121</v>
      </c>
      <c r="B11" s="47">
        <v>323</v>
      </c>
      <c r="C11" s="42">
        <f>IF(B$3=0,0,B11/B$3)</f>
        <v>0.25594294770206022</v>
      </c>
      <c r="E11" s="59" t="s">
        <v>65</v>
      </c>
      <c r="F11" s="56" t="s">
        <v>21</v>
      </c>
      <c r="G11" s="44">
        <v>29</v>
      </c>
      <c r="H11" s="129">
        <f>IF(B$15=0,0,G11/B$15)</f>
        <v>8.2857142857142851E-2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 x14ac:dyDescent="0.45">
      <c r="A12" s="51" t="s">
        <v>118</v>
      </c>
      <c r="B12" s="44">
        <v>287</v>
      </c>
      <c r="C12" s="37">
        <f>IF(B$3=0,0,B12/B$3)</f>
        <v>0.22741679873217116</v>
      </c>
      <c r="E12" s="59" t="s">
        <v>70</v>
      </c>
      <c r="F12" s="56" t="s">
        <v>25</v>
      </c>
      <c r="G12" s="44">
        <v>26</v>
      </c>
      <c r="H12" s="129">
        <f>IF(B$15=0,0,G12/B$15)</f>
        <v>7.4285714285714288E-2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-0.3622222222222225</v>
      </c>
      <c r="P12" s="116">
        <v>45</v>
      </c>
      <c r="Q12" s="104">
        <v>-16.300000000000011</v>
      </c>
    </row>
    <row r="13" spans="1:17" x14ac:dyDescent="0.45">
      <c r="A13" s="50" t="s">
        <v>123</v>
      </c>
      <c r="B13" s="43">
        <f>B19</f>
        <v>177</v>
      </c>
      <c r="C13" s="35">
        <f>IF(B$11=0,0,B13/B$11)</f>
        <v>0.54798761609907121</v>
      </c>
      <c r="E13" s="59" t="s">
        <v>86</v>
      </c>
      <c r="F13" s="56" t="s">
        <v>41</v>
      </c>
      <c r="G13" s="44">
        <v>18</v>
      </c>
      <c r="H13" s="129">
        <f>IF(B$15=0,0,G13/B$15)</f>
        <v>5.1428571428571428E-2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120</v>
      </c>
      <c r="C14" s="35">
        <f>IF(B$12=0,0,B14/B$12)</f>
        <v>0.41811846689895471</v>
      </c>
      <c r="E14" s="59" t="s">
        <v>83</v>
      </c>
      <c r="F14" s="56" t="s">
        <v>38</v>
      </c>
      <c r="G14" s="44">
        <v>13</v>
      </c>
      <c r="H14" s="129">
        <f>IF(B$15=0,0,G14/B$15)</f>
        <v>3.7142857142857144E-2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350</v>
      </c>
      <c r="C15" s="35">
        <f>IF(B$3=0,0,B15/B$3)</f>
        <v>0.27733755942947702</v>
      </c>
      <c r="E15" s="59" t="s">
        <v>79</v>
      </c>
      <c r="F15" s="56" t="s">
        <v>34</v>
      </c>
      <c r="G15" s="44">
        <v>7</v>
      </c>
      <c r="H15" s="129">
        <f>IF(B$15=0,0,G15/B$15)</f>
        <v>0.02</v>
      </c>
      <c r="I15" s="90">
        <v>4</v>
      </c>
      <c r="K15" s="36">
        <v>13</v>
      </c>
      <c r="L15" s="95">
        <v>-68.399999999999991</v>
      </c>
      <c r="N15" s="110" t="s">
        <v>232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177</v>
      </c>
      <c r="C16" s="37">
        <f>IF(B$3=0,0,B16/B$3)</f>
        <v>0.14025356576862125</v>
      </c>
      <c r="E16" s="59" t="s">
        <v>78</v>
      </c>
      <c r="F16" s="56" t="s">
        <v>33</v>
      </c>
      <c r="G16" s="44">
        <v>6</v>
      </c>
      <c r="H16" s="129">
        <f>IF(B$15=0,0,G16/B$15)</f>
        <v>1.7142857142857144E-2</v>
      </c>
      <c r="I16" s="90">
        <v>7</v>
      </c>
      <c r="K16" s="36">
        <v>14</v>
      </c>
      <c r="L16" s="95">
        <v>-25.79999999999999</v>
      </c>
      <c r="N16" s="111" t="s">
        <v>256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161</v>
      </c>
      <c r="C17" s="37">
        <f>IF(B$15=0,0,B17/B$15)</f>
        <v>0.46</v>
      </c>
      <c r="E17" s="59" t="s">
        <v>162</v>
      </c>
      <c r="F17" s="56" t="s">
        <v>163</v>
      </c>
      <c r="G17" s="44">
        <v>6</v>
      </c>
      <c r="H17" s="129">
        <f>IF(B$15=0,0,G17/B$15)</f>
        <v>1.7142857142857144E-2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189</v>
      </c>
      <c r="C18" s="37">
        <f>IF(B$15=0,0,B18/B$15)</f>
        <v>0.54</v>
      </c>
      <c r="E18" s="59" t="s">
        <v>73</v>
      </c>
      <c r="F18" s="56" t="s">
        <v>28</v>
      </c>
      <c r="G18" s="44">
        <v>5</v>
      </c>
      <c r="H18" s="129">
        <f>IF(B$15=0,0,G18/B$15)</f>
        <v>1.4285714285714285E-2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177</v>
      </c>
      <c r="C19" s="37">
        <f>IF(B$15=0,0,B19/B$15)</f>
        <v>0.50571428571428567</v>
      </c>
      <c r="E19" s="59" t="s">
        <v>81</v>
      </c>
      <c r="F19" s="56" t="s">
        <v>36</v>
      </c>
      <c r="G19" s="44">
        <v>5</v>
      </c>
      <c r="H19" s="129">
        <f>IF(B$15=0,0,G19/B$15)</f>
        <v>1.4285714285714285E-2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120</v>
      </c>
      <c r="C20" s="37">
        <f>IF(B$15=0,0,B20/B$15)</f>
        <v>0.34285714285714286</v>
      </c>
      <c r="E20" s="59" t="s">
        <v>91</v>
      </c>
      <c r="F20" s="56" t="s">
        <v>46</v>
      </c>
      <c r="G20" s="44">
        <v>4</v>
      </c>
      <c r="H20" s="129">
        <f>IF(B$15=0,0,G20/B$15)</f>
        <v>1.1428571428571429E-2</v>
      </c>
      <c r="I20" s="90">
        <v>7</v>
      </c>
      <c r="K20" s="36">
        <v>18</v>
      </c>
      <c r="L20" s="95">
        <v>-62.399999999999991</v>
      </c>
      <c r="N20" s="111" t="s">
        <v>301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53</v>
      </c>
      <c r="C21" s="37">
        <f>IF(B$15=0,0,B21/B$15)</f>
        <v>0.15142857142857144</v>
      </c>
      <c r="E21" s="59" t="s">
        <v>85</v>
      </c>
      <c r="F21" s="56" t="s">
        <v>40</v>
      </c>
      <c r="G21" s="44">
        <v>3</v>
      </c>
      <c r="H21" s="129">
        <f>IF(B$15=0,0,G21/B$15)</f>
        <v>8.5714285714285719E-3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2.8540983606557373</v>
      </c>
      <c r="P21" s="115">
        <v>61</v>
      </c>
      <c r="Q21" s="103">
        <v>174.09999999999997</v>
      </c>
    </row>
    <row r="22" spans="1:17" x14ac:dyDescent="0.45">
      <c r="A22" s="51" t="s">
        <v>5</v>
      </c>
      <c r="B22" s="48">
        <f>IF(B$15=0,0,C22/B$15)</f>
        <v>8511.1428571428569</v>
      </c>
      <c r="C22" s="39">
        <v>2978900</v>
      </c>
      <c r="E22" s="59" t="s">
        <v>92</v>
      </c>
      <c r="F22" s="56" t="s">
        <v>47</v>
      </c>
      <c r="G22" s="44">
        <v>3</v>
      </c>
      <c r="H22" s="129">
        <f>IF(B$15=0,0,G22/B$15)</f>
        <v>8.5714285714285719E-3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 t="shared" si="2"/>
        <v>2.4666666666666668</v>
      </c>
      <c r="P22" s="115">
        <v>33</v>
      </c>
      <c r="Q22" s="103">
        <v>81.400000000000006</v>
      </c>
    </row>
    <row r="23" spans="1:17" x14ac:dyDescent="0.45">
      <c r="A23" s="52" t="s">
        <v>177</v>
      </c>
      <c r="B23" s="136">
        <f>IF($B$15-B$14=0,0,C23/($B$15-B$14))</f>
        <v>9563.04347826087</v>
      </c>
      <c r="C23" s="137">
        <v>2199500</v>
      </c>
      <c r="E23" s="59" t="s">
        <v>75</v>
      </c>
      <c r="F23" s="56" t="s">
        <v>30</v>
      </c>
      <c r="G23" s="44">
        <v>2</v>
      </c>
      <c r="H23" s="129">
        <f>IF(B$15=0,0,G23/B$15)</f>
        <v>5.7142857142857143E-3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 t="shared" si="2"/>
        <v>-8.5328571428571429</v>
      </c>
      <c r="P23" s="115">
        <v>70</v>
      </c>
      <c r="Q23" s="103">
        <v>-597.29999999999995</v>
      </c>
    </row>
    <row r="24" spans="1:17" x14ac:dyDescent="0.45">
      <c r="A24" s="52" t="s">
        <v>178</v>
      </c>
      <c r="B24" s="136">
        <f>IF(B$14=0,0,C24/B$14)</f>
        <v>6495</v>
      </c>
      <c r="C24" s="137">
        <v>779400</v>
      </c>
      <c r="E24" s="59" t="s">
        <v>88</v>
      </c>
      <c r="F24" s="56" t="s">
        <v>43</v>
      </c>
      <c r="G24" s="44">
        <v>2</v>
      </c>
      <c r="H24" s="129">
        <f>IF(B$15=0,0,G24/B$15)</f>
        <v>5.7142857142857143E-3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 t="shared" si="2"/>
        <v>-12.803896103896108</v>
      </c>
      <c r="P24" s="115">
        <v>77</v>
      </c>
      <c r="Q24" s="103">
        <v>-985.90000000000032</v>
      </c>
    </row>
    <row r="25" spans="1:17" x14ac:dyDescent="0.45">
      <c r="A25" s="52" t="s">
        <v>176</v>
      </c>
      <c r="B25" s="136">
        <f>IF(B$16=0,0,C25/B$16)</f>
        <v>-7195.4802259887001</v>
      </c>
      <c r="C25" s="137">
        <v>-1273600</v>
      </c>
      <c r="E25" s="59" t="s">
        <v>74</v>
      </c>
      <c r="F25" s="56" t="s">
        <v>29</v>
      </c>
      <c r="G25" s="44">
        <v>1</v>
      </c>
      <c r="H25" s="129">
        <f>IF(B$15=0,0,G25/B$15)</f>
        <v>2.8571428571428571E-3</v>
      </c>
      <c r="I25" s="90">
        <v>6</v>
      </c>
      <c r="K25" s="36">
        <v>23</v>
      </c>
      <c r="L25" s="95">
        <v>-59.599999999999987</v>
      </c>
      <c r="N25" s="111" t="s">
        <v>200</v>
      </c>
      <c r="O25" s="121">
        <f t="shared" si="2"/>
        <v>-32.325000000000003</v>
      </c>
      <c r="P25" s="115">
        <v>4</v>
      </c>
      <c r="Q25" s="103">
        <v>-129.30000000000001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87</v>
      </c>
      <c r="F26" s="56" t="s">
        <v>42</v>
      </c>
      <c r="G26" s="44">
        <v>1</v>
      </c>
      <c r="H26" s="129">
        <f>IF(B$15=0,0,G26/B$15)</f>
        <v>2.8571428571428571E-3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2.8571428571428571E-3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2.8571428571428571E-3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1.5847860538827259E-3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5.7142857142857141E-2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64</v>
      </c>
      <c r="C33" s="37">
        <f t="shared" ref="C33:C44" si="3">IF(B$15=0,0,B33/B$15)</f>
        <v>0.18285714285714286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68</v>
      </c>
      <c r="C34" s="37">
        <f>IF(B$15=0,0,B34/B$15)</f>
        <v>0.19428571428571428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67</v>
      </c>
      <c r="C35" s="37">
        <f t="shared" si="3"/>
        <v>0.19142857142857142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49</v>
      </c>
      <c r="C36" s="37">
        <f t="shared" si="3"/>
        <v>0.14000000000000001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6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41</v>
      </c>
      <c r="C37" s="37">
        <f t="shared" si="3"/>
        <v>0.11714285714285715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19</v>
      </c>
      <c r="C38" s="37">
        <f t="shared" si="3"/>
        <v>5.4285714285714284E-2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9</v>
      </c>
      <c r="C39" s="37">
        <f t="shared" si="3"/>
        <v>2.5714285714285714E-2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8.5714285714285719E-3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5.7142857142857143E-3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2.8571428571428571E-3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5.7142857142857143E-3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5</v>
      </c>
      <c r="C44" s="40">
        <f t="shared" si="3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  <row r="149" spans="11:12" x14ac:dyDescent="0.45">
      <c r="K149" s="36">
        <v>147</v>
      </c>
      <c r="L149" s="95">
        <v>-66.09999999999998</v>
      </c>
    </row>
    <row r="150" spans="11:12" x14ac:dyDescent="0.45">
      <c r="K150" s="36">
        <v>148</v>
      </c>
      <c r="L150" s="95">
        <v>-54.59999999999998</v>
      </c>
    </row>
    <row r="151" spans="11:12" x14ac:dyDescent="0.45">
      <c r="K151" s="36">
        <v>149</v>
      </c>
      <c r="L151" s="95">
        <v>-107.79999999999998</v>
      </c>
    </row>
    <row r="152" spans="11:12" x14ac:dyDescent="0.45">
      <c r="K152" s="36">
        <v>150</v>
      </c>
      <c r="L152" s="95">
        <v>-116.49999999999999</v>
      </c>
    </row>
    <row r="153" spans="11:12" x14ac:dyDescent="0.45">
      <c r="K153" s="36">
        <v>151</v>
      </c>
      <c r="L153" s="95">
        <v>-110.59999999999998</v>
      </c>
    </row>
    <row r="154" spans="11:12" x14ac:dyDescent="0.45">
      <c r="K154" s="36">
        <v>152</v>
      </c>
      <c r="L154" s="95">
        <v>-60.999999999999979</v>
      </c>
    </row>
    <row r="155" spans="11:12" x14ac:dyDescent="0.45">
      <c r="K155" s="36">
        <v>153</v>
      </c>
      <c r="L155" s="95">
        <v>-24.699999999999982</v>
      </c>
    </row>
    <row r="156" spans="11:12" x14ac:dyDescent="0.45">
      <c r="K156" s="36">
        <v>154</v>
      </c>
      <c r="L156" s="95">
        <v>-71.199999999999989</v>
      </c>
    </row>
    <row r="157" spans="11:12" x14ac:dyDescent="0.45">
      <c r="K157" s="36">
        <v>155</v>
      </c>
      <c r="L157" s="95">
        <v>-116.69999999999999</v>
      </c>
    </row>
    <row r="158" spans="11:12" x14ac:dyDescent="0.45">
      <c r="K158" s="36">
        <v>156</v>
      </c>
      <c r="L158" s="95">
        <v>-82.1</v>
      </c>
    </row>
  </sheetData>
  <sortState xmlns:xlrd2="http://schemas.microsoft.com/office/spreadsheetml/2017/richdata2" ref="E2:I15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2E99D-43A3-4724-B803-33133A565841}">
  <sheetPr codeName="Sheet19"/>
  <dimension ref="A1:Q7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73</v>
      </c>
      <c r="C2" s="155"/>
      <c r="E2" s="58" t="s">
        <v>66</v>
      </c>
      <c r="F2" s="55" t="s">
        <v>22</v>
      </c>
      <c r="G2" s="43">
        <v>101</v>
      </c>
      <c r="H2" s="128">
        <f>IF(B$15=0,0,G2/B$15)</f>
        <v>0.67333333333333334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-3816.4383561643835</v>
      </c>
      <c r="P2" s="114">
        <v>73</v>
      </c>
      <c r="Q2" s="98">
        <v>-278600</v>
      </c>
    </row>
    <row r="3" spans="1:17" x14ac:dyDescent="0.45">
      <c r="A3" s="51" t="s">
        <v>8</v>
      </c>
      <c r="B3" s="156">
        <v>606</v>
      </c>
      <c r="C3" s="157"/>
      <c r="E3" s="59" t="s">
        <v>72</v>
      </c>
      <c r="F3" s="56" t="s">
        <v>27</v>
      </c>
      <c r="G3" s="44">
        <v>100</v>
      </c>
      <c r="H3" s="129">
        <f>IF(B$15=0,0,G3/B$15)</f>
        <v>0.66666666666666663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1436.1111111111111</v>
      </c>
      <c r="P3" s="115">
        <v>72</v>
      </c>
      <c r="Q3" s="99">
        <v>103400</v>
      </c>
    </row>
    <row r="4" spans="1:17" x14ac:dyDescent="0.45">
      <c r="A4" s="51" t="s">
        <v>6</v>
      </c>
      <c r="B4" s="158">
        <v>-864.60000000000025</v>
      </c>
      <c r="C4" s="159"/>
      <c r="E4" s="59" t="s">
        <v>64</v>
      </c>
      <c r="F4" s="56" t="s">
        <v>20</v>
      </c>
      <c r="G4" s="44">
        <v>62</v>
      </c>
      <c r="H4" s="129">
        <f>IF(B$15=0,0,G4/B$15)</f>
        <v>0.41333333333333333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-1208.8235294117646</v>
      </c>
      <c r="P4" s="115">
        <v>68</v>
      </c>
      <c r="Q4" s="99">
        <v>-82200</v>
      </c>
    </row>
    <row r="5" spans="1:17" x14ac:dyDescent="0.45">
      <c r="A5" s="51" t="s">
        <v>7</v>
      </c>
      <c r="B5" s="160">
        <f>IF(B$2=0,0,B$4/B$2)</f>
        <v>-11.84383561643836</v>
      </c>
      <c r="C5" s="161"/>
      <c r="E5" s="59" t="s">
        <v>166</v>
      </c>
      <c r="F5" s="56" t="s">
        <v>167</v>
      </c>
      <c r="G5" s="44">
        <v>53</v>
      </c>
      <c r="H5" s="129">
        <f>IF(B$15=0,0,G5/B$15)</f>
        <v>0.35333333333333333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-1706.5573770491803</v>
      </c>
      <c r="P5" s="115">
        <v>61</v>
      </c>
      <c r="Q5" s="99">
        <v>-104100</v>
      </c>
    </row>
    <row r="6" spans="1:17" x14ac:dyDescent="0.45">
      <c r="A6" s="51" t="s">
        <v>1</v>
      </c>
      <c r="B6" s="150">
        <f>IF(B$2=0,0,(B$7*1+B$8*2+B$9*3)/B$2)</f>
        <v>2.3013698630136985</v>
      </c>
      <c r="C6" s="151"/>
      <c r="E6" s="59" t="s">
        <v>68</v>
      </c>
      <c r="F6" s="56" t="s">
        <v>12</v>
      </c>
      <c r="G6" s="44">
        <v>42</v>
      </c>
      <c r="H6" s="129">
        <f>IF(B$15=0,0,G6/B$15)</f>
        <v>0.28000000000000003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-1807.0175438596491</v>
      </c>
      <c r="P6" s="115">
        <v>57</v>
      </c>
      <c r="Q6" s="99">
        <v>-103000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0.15068493150684931</v>
      </c>
      <c r="E7" s="59" t="s">
        <v>67</v>
      </c>
      <c r="F7" s="56" t="s">
        <v>23</v>
      </c>
      <c r="G7" s="44">
        <v>40</v>
      </c>
      <c r="H7" s="129">
        <f>IF(B$15=0,0,G7/B$15)</f>
        <v>0.26666666666666666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-2165.9574468085107</v>
      </c>
      <c r="P7" s="116">
        <v>47</v>
      </c>
      <c r="Q7" s="100">
        <v>-101800</v>
      </c>
    </row>
    <row r="8" spans="1:17" x14ac:dyDescent="0.45">
      <c r="A8" s="51" t="s">
        <v>3</v>
      </c>
      <c r="B8" s="44">
        <v>29</v>
      </c>
      <c r="C8" s="37">
        <f t="shared" si="1"/>
        <v>0.39726027397260272</v>
      </c>
      <c r="E8" s="59" t="s">
        <v>89</v>
      </c>
      <c r="F8" s="56" t="s">
        <v>44</v>
      </c>
      <c r="G8" s="44">
        <v>24</v>
      </c>
      <c r="H8" s="129">
        <f>IF(B$15=0,0,G8/B$15)</f>
        <v>0.16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0.45205479452054792</v>
      </c>
      <c r="E9" s="59" t="s">
        <v>65</v>
      </c>
      <c r="F9" s="56" t="s">
        <v>21</v>
      </c>
      <c r="G9" s="44">
        <v>16</v>
      </c>
      <c r="H9" s="129">
        <f>IF(B$15=0,0,G9/B$15)</f>
        <v>0.10666666666666667</v>
      </c>
      <c r="I9" s="90">
        <v>9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0.17808219178082191</v>
      </c>
      <c r="E10" s="59" t="s">
        <v>71</v>
      </c>
      <c r="F10" s="56" t="s">
        <v>26</v>
      </c>
      <c r="G10" s="44">
        <v>13</v>
      </c>
      <c r="H10" s="129">
        <f>IF(B$15=0,0,G10/B$15)</f>
        <v>8.666666666666667E-2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-21.2</v>
      </c>
      <c r="P10" s="114">
        <v>30</v>
      </c>
      <c r="Q10" s="102">
        <v>-636</v>
      </c>
    </row>
    <row r="11" spans="1:17" x14ac:dyDescent="0.45">
      <c r="A11" s="54" t="s">
        <v>121</v>
      </c>
      <c r="B11" s="47">
        <v>128</v>
      </c>
      <c r="C11" s="42">
        <f>IF(B$3=0,0,B11/B$3)</f>
        <v>0.21122112211221122</v>
      </c>
      <c r="E11" s="59" t="s">
        <v>69</v>
      </c>
      <c r="F11" s="56" t="s">
        <v>24</v>
      </c>
      <c r="G11" s="44">
        <v>12</v>
      </c>
      <c r="H11" s="129">
        <f>IF(B$15=0,0,G11/B$15)</f>
        <v>0.08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-0.1181818181818178</v>
      </c>
      <c r="P11" s="115">
        <v>22</v>
      </c>
      <c r="Q11" s="103">
        <v>-2.5999999999999917</v>
      </c>
    </row>
    <row r="12" spans="1:17" x14ac:dyDescent="0.45">
      <c r="A12" s="51" t="s">
        <v>118</v>
      </c>
      <c r="B12" s="44">
        <v>138</v>
      </c>
      <c r="C12" s="37">
        <f>IF(B$3=0,0,B12/B$3)</f>
        <v>0.22772277227722773</v>
      </c>
      <c r="E12" s="59" t="s">
        <v>70</v>
      </c>
      <c r="F12" s="56" t="s">
        <v>25</v>
      </c>
      <c r="G12" s="44">
        <v>12</v>
      </c>
      <c r="H12" s="129">
        <f>IF(B$15=0,0,G12/B$15)</f>
        <v>0.08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-10.761904761904763</v>
      </c>
      <c r="P12" s="116">
        <v>21</v>
      </c>
      <c r="Q12" s="104">
        <v>-226</v>
      </c>
    </row>
    <row r="13" spans="1:17" x14ac:dyDescent="0.45">
      <c r="A13" s="50" t="s">
        <v>123</v>
      </c>
      <c r="B13" s="43">
        <f>B19</f>
        <v>65</v>
      </c>
      <c r="C13" s="35">
        <f>IF(B$11=0,0,B13/B$11)</f>
        <v>0.5078125</v>
      </c>
      <c r="E13" s="59" t="s">
        <v>81</v>
      </c>
      <c r="F13" s="56" t="s">
        <v>36</v>
      </c>
      <c r="G13" s="44">
        <v>9</v>
      </c>
      <c r="H13" s="129">
        <f>IF(B$15=0,0,G13/B$15)</f>
        <v>0.06</v>
      </c>
      <c r="I13" s="90">
        <v>2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0.41304347826086957</v>
      </c>
      <c r="E14" s="59" t="s">
        <v>83</v>
      </c>
      <c r="F14" s="56" t="s">
        <v>38</v>
      </c>
      <c r="G14" s="44">
        <v>9</v>
      </c>
      <c r="H14" s="129">
        <f>IF(B$15=0,0,G14/B$15)</f>
        <v>0.06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150</v>
      </c>
      <c r="C15" s="35">
        <f>IF(B$3=0,0,B15/B$3)</f>
        <v>0.24752475247524752</v>
      </c>
      <c r="E15" s="59" t="s">
        <v>86</v>
      </c>
      <c r="F15" s="56" t="s">
        <v>41</v>
      </c>
      <c r="G15" s="44">
        <v>8</v>
      </c>
      <c r="H15" s="129">
        <f>IF(B$15=0,0,G15/B$15)</f>
        <v>5.3333333333333337E-2</v>
      </c>
      <c r="I15" s="90">
        <v>4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7.0285714285714267</v>
      </c>
      <c r="P15" s="114">
        <v>21</v>
      </c>
      <c r="Q15" s="102">
        <v>147.59999999999997</v>
      </c>
    </row>
    <row r="16" spans="1:17" x14ac:dyDescent="0.45">
      <c r="A16" s="51" t="s">
        <v>13</v>
      </c>
      <c r="B16" s="44">
        <v>109</v>
      </c>
      <c r="C16" s="37">
        <f>IF(B$3=0,0,B16/B$3)</f>
        <v>0.17986798679867988</v>
      </c>
      <c r="E16" s="59" t="s">
        <v>91</v>
      </c>
      <c r="F16" s="56" t="s">
        <v>46</v>
      </c>
      <c r="G16" s="44">
        <v>3</v>
      </c>
      <c r="H16" s="129">
        <f>IF(B$15=0,0,G16/B$15)</f>
        <v>0.02</v>
      </c>
      <c r="I16" s="90">
        <v>4</v>
      </c>
      <c r="K16" s="36">
        <v>14</v>
      </c>
      <c r="L16" s="95">
        <v>-266.90000000000003</v>
      </c>
      <c r="N16" s="111" t="s">
        <v>301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69</v>
      </c>
      <c r="C17" s="37">
        <f>IF(B$15=0,0,B17/B$15)</f>
        <v>0.46</v>
      </c>
      <c r="E17" s="59" t="s">
        <v>78</v>
      </c>
      <c r="F17" s="56" t="s">
        <v>33</v>
      </c>
      <c r="G17" s="44">
        <v>2</v>
      </c>
      <c r="H17" s="129">
        <f>IF(B$15=0,0,G17/B$15)</f>
        <v>1.3333333333333334E-2</v>
      </c>
      <c r="I17" s="90">
        <v>9</v>
      </c>
      <c r="K17" s="36">
        <v>15</v>
      </c>
      <c r="L17" s="95">
        <v>-272.50000000000006</v>
      </c>
      <c r="N17" s="111" t="s">
        <v>127</v>
      </c>
      <c r="O17" s="121">
        <f t="shared" si="2"/>
        <v>-12.000000000000002</v>
      </c>
      <c r="P17" s="115">
        <v>17</v>
      </c>
      <c r="Q17" s="103">
        <v>-204.00000000000003</v>
      </c>
    </row>
    <row r="18" spans="1:17" x14ac:dyDescent="0.45">
      <c r="A18" s="51" t="s">
        <v>11</v>
      </c>
      <c r="B18" s="44">
        <v>81</v>
      </c>
      <c r="C18" s="37">
        <f>IF(B$15=0,0,B18/B$15)</f>
        <v>0.54</v>
      </c>
      <c r="E18" s="59" t="s">
        <v>73</v>
      </c>
      <c r="F18" s="56" t="s">
        <v>28</v>
      </c>
      <c r="G18" s="44">
        <v>1</v>
      </c>
      <c r="H18" s="129">
        <f>IF(B$15=0,0,G18/B$15)</f>
        <v>6.6666666666666671E-3</v>
      </c>
      <c r="I18" s="90">
        <v>2</v>
      </c>
      <c r="K18" s="36">
        <v>16</v>
      </c>
      <c r="L18" s="95">
        <v>-320.30000000000007</v>
      </c>
      <c r="N18" s="111" t="s">
        <v>200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65</v>
      </c>
      <c r="C19" s="37">
        <f>IF(B$15=0,0,B19/B$15)</f>
        <v>0.43333333333333335</v>
      </c>
      <c r="E19" s="59" t="s">
        <v>74</v>
      </c>
      <c r="F19" s="56" t="s">
        <v>29</v>
      </c>
      <c r="G19" s="44">
        <v>1</v>
      </c>
      <c r="H19" s="129">
        <f>IF(B$15=0,0,G19/B$15)</f>
        <v>6.6666666666666671E-3</v>
      </c>
      <c r="I19" s="90">
        <v>2</v>
      </c>
      <c r="K19" s="36">
        <v>17</v>
      </c>
      <c r="L19" s="95">
        <v>-352.60000000000008</v>
      </c>
      <c r="N19" s="111" t="s">
        <v>171</v>
      </c>
      <c r="O19" s="121">
        <f t="shared" si="2"/>
        <v>-16.860714285714284</v>
      </c>
      <c r="P19" s="115">
        <v>28</v>
      </c>
      <c r="Q19" s="103">
        <v>-472.09999999999997</v>
      </c>
    </row>
    <row r="20" spans="1:17" x14ac:dyDescent="0.45">
      <c r="A20" s="51" t="s">
        <v>193</v>
      </c>
      <c r="B20" s="44">
        <v>57</v>
      </c>
      <c r="C20" s="37">
        <f>IF(B$15=0,0,B20/B$15)</f>
        <v>0.38</v>
      </c>
      <c r="E20" s="59" t="s">
        <v>79</v>
      </c>
      <c r="F20" s="56" t="s">
        <v>34</v>
      </c>
      <c r="G20" s="44">
        <v>1</v>
      </c>
      <c r="H20" s="129">
        <f>IF(B$15=0,0,G20/B$15)</f>
        <v>6.6666666666666671E-3</v>
      </c>
      <c r="I20" s="90">
        <v>10</v>
      </c>
      <c r="K20" s="36">
        <v>18</v>
      </c>
      <c r="L20" s="95">
        <v>-355.50000000000006</v>
      </c>
      <c r="N20" s="111" t="s">
        <v>256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28</v>
      </c>
      <c r="C21" s="37">
        <f>IF(B$15=0,0,B21/B$15)</f>
        <v>0.18666666666666668</v>
      </c>
      <c r="E21" s="59" t="s">
        <v>92</v>
      </c>
      <c r="F21" s="56" t="s">
        <v>47</v>
      </c>
      <c r="G21" s="44">
        <v>1</v>
      </c>
      <c r="H21" s="129">
        <f>IF(B$15=0,0,G21/B$15)</f>
        <v>6.6666666666666671E-3</v>
      </c>
      <c r="I21" s="90">
        <v>5</v>
      </c>
      <c r="K21" s="36">
        <v>19</v>
      </c>
      <c r="L21" s="95">
        <v>-400.60000000000008</v>
      </c>
      <c r="N21" s="111" t="s">
        <v>170</v>
      </c>
      <c r="O21" s="121">
        <f t="shared" si="2"/>
        <v>-19.176470588235293</v>
      </c>
      <c r="P21" s="115">
        <v>34</v>
      </c>
      <c r="Q21" s="103">
        <v>-652</v>
      </c>
    </row>
    <row r="22" spans="1:17" x14ac:dyDescent="0.45">
      <c r="A22" s="51" t="s">
        <v>5</v>
      </c>
      <c r="B22" s="48">
        <f>IF(B$15=0,0,C22/B$15)</f>
        <v>8326.6666666666661</v>
      </c>
      <c r="C22" s="39">
        <v>1249000</v>
      </c>
      <c r="E22" s="59" t="s">
        <v>95</v>
      </c>
      <c r="F22" s="56" t="s">
        <v>50</v>
      </c>
      <c r="G22" s="44">
        <v>1</v>
      </c>
      <c r="H22" s="129">
        <f>IF(B$15=0,0,G22/B$15)</f>
        <v>6.6666666666666671E-3</v>
      </c>
      <c r="I22" s="90">
        <v>1</v>
      </c>
      <c r="K22" s="36">
        <v>20</v>
      </c>
      <c r="L22" s="95">
        <v>-428.10000000000008</v>
      </c>
      <c r="N22" s="111" t="s">
        <v>172</v>
      </c>
      <c r="O22" s="121">
        <f t="shared" si="2"/>
        <v>-21.183333333333334</v>
      </c>
      <c r="P22" s="115">
        <v>6</v>
      </c>
      <c r="Q22" s="103">
        <v>-127.1</v>
      </c>
    </row>
    <row r="23" spans="1:17" x14ac:dyDescent="0.45">
      <c r="A23" s="52" t="s">
        <v>177</v>
      </c>
      <c r="B23" s="136">
        <f>IF($B$15-B$14=0,0,C23/($B$15-B$14))</f>
        <v>8810.7526881720423</v>
      </c>
      <c r="C23" s="137">
        <v>819400</v>
      </c>
      <c r="E23" s="59" t="s">
        <v>162</v>
      </c>
      <c r="F23" s="56" t="s">
        <v>163</v>
      </c>
      <c r="G23" s="44">
        <v>1</v>
      </c>
      <c r="H23" s="129">
        <f>IF(B$15=0,0,G23/B$15)</f>
        <v>6.6666666666666671E-3</v>
      </c>
      <c r="I23" s="90">
        <v>8</v>
      </c>
      <c r="K23" s="36">
        <v>21</v>
      </c>
      <c r="L23" s="95">
        <v>-423.7000000000001</v>
      </c>
      <c r="N23" s="111" t="s">
        <v>126</v>
      </c>
      <c r="O23" s="121">
        <f t="shared" si="2"/>
        <v>-28.712000000000018</v>
      </c>
      <c r="P23" s="115">
        <v>25</v>
      </c>
      <c r="Q23" s="103">
        <v>-717.80000000000041</v>
      </c>
    </row>
    <row r="24" spans="1:17" x14ac:dyDescent="0.45">
      <c r="A24" s="52" t="s">
        <v>178</v>
      </c>
      <c r="B24" s="136">
        <f>IF(B$14=0,0,C24/B$14)</f>
        <v>7536.8421052631575</v>
      </c>
      <c r="C24" s="137">
        <v>429600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 t="shared" si="2"/>
        <v>-56.614285714285721</v>
      </c>
      <c r="P24" s="115">
        <v>7</v>
      </c>
      <c r="Q24" s="103">
        <v>-396.30000000000007</v>
      </c>
    </row>
    <row r="25" spans="1:17" x14ac:dyDescent="0.45">
      <c r="A25" s="52" t="s">
        <v>176</v>
      </c>
      <c r="B25" s="136">
        <f>IF(B$16=0,0,C25/B$16)</f>
        <v>-8488.9908256880735</v>
      </c>
      <c r="C25" s="137">
        <v>-925300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  <c r="N25" s="111" t="s">
        <v>232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3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4.9504950495049506E-3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0.08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27</v>
      </c>
      <c r="C33" s="37">
        <f t="shared" ref="C33:C44" si="3">IF(B$15=0,0,B33/B$15)</f>
        <v>0.18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30</v>
      </c>
      <c r="C34" s="37">
        <f>IF(B$15=0,0,B34/B$15)</f>
        <v>0.2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27</v>
      </c>
      <c r="C35" s="37">
        <f t="shared" si="3"/>
        <v>0.18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22</v>
      </c>
      <c r="C36" s="37">
        <f t="shared" si="3"/>
        <v>0.14666666666666667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12</v>
      </c>
      <c r="C37" s="37">
        <f t="shared" si="3"/>
        <v>0.08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6.6666666666666666E-2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3"/>
        <v>0.04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6.6666666666666671E-3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1</v>
      </c>
      <c r="C42" s="37">
        <f t="shared" si="3"/>
        <v>6.6666666666666671E-3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1.3333333333333334E-2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  <row r="68" spans="11:12" x14ac:dyDescent="0.45">
      <c r="K68" s="36">
        <v>66</v>
      </c>
      <c r="L68" s="95">
        <v>-672.40000000000009</v>
      </c>
    </row>
    <row r="69" spans="11:12" x14ac:dyDescent="0.45">
      <c r="K69" s="36">
        <v>67</v>
      </c>
      <c r="L69" s="95">
        <v>-655.40000000000009</v>
      </c>
    </row>
    <row r="70" spans="11:12" x14ac:dyDescent="0.45">
      <c r="K70" s="36">
        <v>68</v>
      </c>
      <c r="L70" s="95">
        <v>-656.10000000000014</v>
      </c>
    </row>
    <row r="71" spans="11:12" x14ac:dyDescent="0.45">
      <c r="K71" s="36">
        <v>69</v>
      </c>
      <c r="L71" s="95">
        <v>-691.90000000000009</v>
      </c>
    </row>
    <row r="72" spans="11:12" x14ac:dyDescent="0.45">
      <c r="K72" s="36">
        <v>70</v>
      </c>
      <c r="L72" s="95">
        <v>-739.50000000000011</v>
      </c>
    </row>
    <row r="73" spans="11:12" x14ac:dyDescent="0.45">
      <c r="K73" s="36">
        <v>71</v>
      </c>
      <c r="L73" s="95">
        <v>-786.20000000000016</v>
      </c>
    </row>
    <row r="74" spans="11:12" x14ac:dyDescent="0.45">
      <c r="K74" s="36">
        <v>72</v>
      </c>
      <c r="L74" s="95">
        <v>-848.4000000000002</v>
      </c>
    </row>
    <row r="75" spans="11:12" x14ac:dyDescent="0.45">
      <c r="K75" s="36">
        <v>73</v>
      </c>
      <c r="L75" s="95">
        <v>-864.60000000000025</v>
      </c>
    </row>
  </sheetData>
  <sortState xmlns:xlrd2="http://schemas.microsoft.com/office/spreadsheetml/2017/richdata2" ref="E2:I7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6EC94-9A1C-4140-8A05-224BA4C90134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32</v>
      </c>
      <c r="C2" s="155"/>
      <c r="E2" s="58" t="s">
        <v>66</v>
      </c>
      <c r="F2" s="55" t="s">
        <v>22</v>
      </c>
      <c r="G2" s="43">
        <v>67</v>
      </c>
      <c r="H2" s="128">
        <f>IF(B$15=0,0,G2/B$15)</f>
        <v>0.87012987012987009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-2816.1290322580644</v>
      </c>
      <c r="P2" s="114">
        <v>31</v>
      </c>
      <c r="Q2" s="98">
        <v>-87300</v>
      </c>
    </row>
    <row r="3" spans="1:17" x14ac:dyDescent="0.45">
      <c r="A3" s="51" t="s">
        <v>8</v>
      </c>
      <c r="B3" s="156">
        <v>298</v>
      </c>
      <c r="C3" s="157"/>
      <c r="E3" s="59" t="s">
        <v>64</v>
      </c>
      <c r="F3" s="56" t="s">
        <v>20</v>
      </c>
      <c r="G3" s="44">
        <v>47</v>
      </c>
      <c r="H3" s="129">
        <f>IF(B$15=0,0,G3/B$15)</f>
        <v>0.61038961038961037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-1836.6666666666667</v>
      </c>
      <c r="P3" s="115">
        <v>30</v>
      </c>
      <c r="Q3" s="99">
        <v>-55100</v>
      </c>
    </row>
    <row r="4" spans="1:17" x14ac:dyDescent="0.45">
      <c r="A4" s="51" t="s">
        <v>6</v>
      </c>
      <c r="B4" s="158">
        <v>-96.699999999999974</v>
      </c>
      <c r="C4" s="159"/>
      <c r="E4" s="59" t="s">
        <v>68</v>
      </c>
      <c r="F4" s="56" t="s">
        <v>12</v>
      </c>
      <c r="G4" s="44">
        <v>36</v>
      </c>
      <c r="H4" s="129">
        <f>IF(B$15=0,0,G4/B$15)</f>
        <v>0.46753246753246752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1862.0689655172414</v>
      </c>
      <c r="P4" s="115">
        <v>29</v>
      </c>
      <c r="Q4" s="99">
        <v>54000</v>
      </c>
    </row>
    <row r="5" spans="1:17" x14ac:dyDescent="0.45">
      <c r="A5" s="51" t="s">
        <v>7</v>
      </c>
      <c r="B5" s="160">
        <f>IF(B$2=0,0,B$4/B$2)</f>
        <v>-3.0218749999999992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0.40259740259740262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-2503.4482758620688</v>
      </c>
      <c r="P5" s="115">
        <v>29</v>
      </c>
      <c r="Q5" s="99">
        <v>-72600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29</v>
      </c>
      <c r="H6" s="129">
        <f>IF(B$15=0,0,G6/B$15)</f>
        <v>0.37662337662337664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3992.3076923076924</v>
      </c>
      <c r="P6" s="115">
        <v>26</v>
      </c>
      <c r="Q6" s="99">
        <v>103800</v>
      </c>
    </row>
    <row r="7" spans="1:17" x14ac:dyDescent="0.45">
      <c r="A7" s="51" t="s">
        <v>2</v>
      </c>
      <c r="B7" s="44">
        <v>12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17</v>
      </c>
      <c r="H7" s="129">
        <f>IF(B$15=0,0,G7/B$15)</f>
        <v>0.22077922077922077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772.72727272727275</v>
      </c>
      <c r="P7" s="116">
        <v>22</v>
      </c>
      <c r="Q7" s="100">
        <v>17000</v>
      </c>
    </row>
    <row r="8" spans="1:17" x14ac:dyDescent="0.45">
      <c r="A8" s="51" t="s">
        <v>3</v>
      </c>
      <c r="B8" s="44">
        <v>8</v>
      </c>
      <c r="C8" s="37">
        <f t="shared" si="1"/>
        <v>0.25</v>
      </c>
      <c r="E8" s="59" t="s">
        <v>69</v>
      </c>
      <c r="F8" s="56" t="s">
        <v>24</v>
      </c>
      <c r="G8" s="44">
        <v>16</v>
      </c>
      <c r="H8" s="129">
        <f>IF(B$15=0,0,G8/B$15)</f>
        <v>0.20779220779220781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12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0.11688311688311688</v>
      </c>
      <c r="I9" s="90">
        <v>7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0.15625</v>
      </c>
      <c r="E10" s="59" t="s">
        <v>70</v>
      </c>
      <c r="F10" s="56" t="s">
        <v>25</v>
      </c>
      <c r="G10" s="44">
        <v>8</v>
      </c>
      <c r="H10" s="129">
        <f>IF(B$15=0,0,G10/B$15)</f>
        <v>0.1038961038961039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-6.4916666666666671</v>
      </c>
      <c r="P10" s="114">
        <v>12</v>
      </c>
      <c r="Q10" s="102">
        <v>-77.900000000000006</v>
      </c>
    </row>
    <row r="11" spans="1:17" x14ac:dyDescent="0.45">
      <c r="A11" s="54" t="s">
        <v>121</v>
      </c>
      <c r="B11" s="47">
        <v>83</v>
      </c>
      <c r="C11" s="42">
        <f>IF(B$3=0,0,B11/B$3)</f>
        <v>0.27852348993288589</v>
      </c>
      <c r="E11" s="59" t="s">
        <v>89</v>
      </c>
      <c r="F11" s="56" t="s">
        <v>44</v>
      </c>
      <c r="G11" s="44">
        <v>7</v>
      </c>
      <c r="H11" s="129">
        <f>IF(B$15=0,0,G11/B$15)</f>
        <v>9.0909090909090912E-2</v>
      </c>
      <c r="I11" s="90">
        <v>11</v>
      </c>
      <c r="K11" s="36">
        <v>9</v>
      </c>
      <c r="L11" s="95">
        <v>141.5</v>
      </c>
      <c r="N11" s="111" t="s">
        <v>158</v>
      </c>
      <c r="O11" s="121">
        <f>IF(P11=0,0,Q11/P11)</f>
        <v>-7.6800000000000015</v>
      </c>
      <c r="P11" s="115">
        <v>10</v>
      </c>
      <c r="Q11" s="103">
        <v>-76.800000000000011</v>
      </c>
    </row>
    <row r="12" spans="1:17" x14ac:dyDescent="0.45">
      <c r="A12" s="51" t="s">
        <v>118</v>
      </c>
      <c r="B12" s="44">
        <v>48</v>
      </c>
      <c r="C12" s="37">
        <f>IF(B$3=0,0,B12/B$3)</f>
        <v>0.16107382550335569</v>
      </c>
      <c r="E12" s="59" t="s">
        <v>71</v>
      </c>
      <c r="F12" s="56" t="s">
        <v>26</v>
      </c>
      <c r="G12" s="44">
        <v>6</v>
      </c>
      <c r="H12" s="129">
        <f>IF(B$15=0,0,G12/B$15)</f>
        <v>7.792207792207792E-2</v>
      </c>
      <c r="I12" s="90">
        <v>8</v>
      </c>
      <c r="K12" s="36">
        <v>10</v>
      </c>
      <c r="L12" s="95">
        <v>162.80000000000001</v>
      </c>
      <c r="N12" s="112" t="s">
        <v>159</v>
      </c>
      <c r="O12" s="122">
        <f>IF(P12=0,0,Q12/P12)</f>
        <v>5.8</v>
      </c>
      <c r="P12" s="116">
        <v>10</v>
      </c>
      <c r="Q12" s="104">
        <v>58</v>
      </c>
    </row>
    <row r="13" spans="1:17" x14ac:dyDescent="0.45">
      <c r="A13" s="50" t="s">
        <v>123</v>
      </c>
      <c r="B13" s="43">
        <f>B19</f>
        <v>47</v>
      </c>
      <c r="C13" s="35">
        <f>IF(B$11=0,0,B13/B$11)</f>
        <v>0.5662650602409639</v>
      </c>
      <c r="E13" s="59" t="s">
        <v>78</v>
      </c>
      <c r="F13" s="56" t="s">
        <v>33</v>
      </c>
      <c r="G13" s="44">
        <v>5</v>
      </c>
      <c r="H13" s="129">
        <f>IF(B$15=0,0,G13/B$15)</f>
        <v>6.4935064935064929E-2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</v>
      </c>
      <c r="C14" s="35">
        <f>IF(B$12=0,0,B14/B$12)</f>
        <v>0.3125</v>
      </c>
      <c r="E14" s="59" t="s">
        <v>86</v>
      </c>
      <c r="F14" s="56" t="s">
        <v>41</v>
      </c>
      <c r="G14" s="44">
        <v>4</v>
      </c>
      <c r="H14" s="129">
        <f>IF(B$15=0,0,G14/B$15)</f>
        <v>5.1948051948051951E-2</v>
      </c>
      <c r="I14" s="90">
        <v>5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77</v>
      </c>
      <c r="C15" s="35">
        <f>IF(B$3=0,0,B15/B$3)</f>
        <v>0.25838926174496646</v>
      </c>
      <c r="E15" s="59" t="s">
        <v>83</v>
      </c>
      <c r="F15" s="56" t="s">
        <v>38</v>
      </c>
      <c r="G15" s="44">
        <v>2</v>
      </c>
      <c r="H15" s="129">
        <f>IF(B$15=0,0,G15/B$15)</f>
        <v>2.5974025974025976E-2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56.614285714285721</v>
      </c>
      <c r="P15" s="114">
        <v>7</v>
      </c>
      <c r="Q15" s="102">
        <v>396.30000000000007</v>
      </c>
    </row>
    <row r="16" spans="1:17" x14ac:dyDescent="0.45">
      <c r="A16" s="51" t="s">
        <v>13</v>
      </c>
      <c r="B16" s="44">
        <v>50</v>
      </c>
      <c r="C16" s="37">
        <f>IF(B$3=0,0,B16/B$3)</f>
        <v>0.16778523489932887</v>
      </c>
      <c r="E16" s="59" t="s">
        <v>75</v>
      </c>
      <c r="F16" s="56" t="s">
        <v>30</v>
      </c>
      <c r="G16" s="44">
        <v>1</v>
      </c>
      <c r="H16" s="129">
        <f>IF(B$15=0,0,G16/B$15)</f>
        <v>1.2987012987012988E-2</v>
      </c>
      <c r="I16" s="90">
        <v>2</v>
      </c>
      <c r="K16" s="36">
        <v>14</v>
      </c>
      <c r="L16" s="95">
        <v>49.900000000000006</v>
      </c>
      <c r="N16" s="111" t="s">
        <v>172</v>
      </c>
      <c r="O16" s="121">
        <f t="shared" si="2"/>
        <v>1.8909090909090909</v>
      </c>
      <c r="P16" s="115">
        <v>11</v>
      </c>
      <c r="Q16" s="103">
        <v>20.8</v>
      </c>
    </row>
    <row r="17" spans="1:17" x14ac:dyDescent="0.45">
      <c r="A17" s="51" t="s">
        <v>12</v>
      </c>
      <c r="B17" s="44">
        <v>45</v>
      </c>
      <c r="C17" s="37">
        <f>IF(B$15=0,0,B17/B$15)</f>
        <v>0.58441558441558439</v>
      </c>
      <c r="E17" s="59" t="s">
        <v>81</v>
      </c>
      <c r="F17" s="56" t="s">
        <v>36</v>
      </c>
      <c r="G17" s="44">
        <v>1</v>
      </c>
      <c r="H17" s="129">
        <f>IF(B$15=0,0,G17/B$15)</f>
        <v>1.2987012987012988E-2</v>
      </c>
      <c r="I17" s="90">
        <v>10</v>
      </c>
      <c r="K17" s="36">
        <v>15</v>
      </c>
      <c r="L17" s="95">
        <v>73.7</v>
      </c>
      <c r="N17" s="111" t="s">
        <v>200</v>
      </c>
      <c r="O17" s="121">
        <f t="shared" si="2"/>
        <v>0.16666666666666785</v>
      </c>
      <c r="P17" s="115">
        <v>3</v>
      </c>
      <c r="Q17" s="103">
        <v>0.50000000000000355</v>
      </c>
    </row>
    <row r="18" spans="1:17" x14ac:dyDescent="0.45">
      <c r="A18" s="51" t="s">
        <v>11</v>
      </c>
      <c r="B18" s="44">
        <v>32</v>
      </c>
      <c r="C18" s="37">
        <f>IF(B$15=0,0,B18/B$15)</f>
        <v>0.41558441558441561</v>
      </c>
      <c r="E18" s="59" t="s">
        <v>85</v>
      </c>
      <c r="F18" s="56" t="s">
        <v>40</v>
      </c>
      <c r="G18" s="44">
        <v>1</v>
      </c>
      <c r="H18" s="129">
        <f>IF(B$15=0,0,G18/B$15)</f>
        <v>1.2987012987012988E-2</v>
      </c>
      <c r="I18" s="90">
        <v>2</v>
      </c>
      <c r="K18" s="36">
        <v>16</v>
      </c>
      <c r="L18" s="95">
        <v>28.300000000000004</v>
      </c>
      <c r="N18" s="111" t="s">
        <v>170</v>
      </c>
      <c r="O18" s="121">
        <f t="shared" si="2"/>
        <v>-5.15</v>
      </c>
      <c r="P18" s="115">
        <v>10</v>
      </c>
      <c r="Q18" s="103">
        <v>-51.500000000000007</v>
      </c>
    </row>
    <row r="19" spans="1:17" x14ac:dyDescent="0.45">
      <c r="A19" s="51" t="s">
        <v>195</v>
      </c>
      <c r="B19" s="44">
        <v>47</v>
      </c>
      <c r="C19" s="37">
        <f>IF(B$15=0,0,B19/B$15)</f>
        <v>0.61038961038961037</v>
      </c>
      <c r="E19" s="59" t="s">
        <v>87</v>
      </c>
      <c r="F19" s="56" t="s">
        <v>42</v>
      </c>
      <c r="G19" s="44">
        <v>1</v>
      </c>
      <c r="H19" s="129">
        <f>IF(B$15=0,0,G19/B$15)</f>
        <v>1.2987012987012988E-2</v>
      </c>
      <c r="I19" s="90">
        <v>2</v>
      </c>
      <c r="K19" s="36">
        <v>17</v>
      </c>
      <c r="L19" s="95">
        <v>49.800000000000004</v>
      </c>
      <c r="N19" s="111" t="s">
        <v>171</v>
      </c>
      <c r="O19" s="121">
        <f t="shared" si="2"/>
        <v>-5.7000000000000011</v>
      </c>
      <c r="P19" s="115">
        <v>5</v>
      </c>
      <c r="Q19" s="103">
        <v>-28.500000000000004</v>
      </c>
    </row>
    <row r="20" spans="1:17" x14ac:dyDescent="0.45">
      <c r="A20" s="51" t="s">
        <v>193</v>
      </c>
      <c r="B20" s="44">
        <v>15</v>
      </c>
      <c r="C20" s="37">
        <f>IF(B$15=0,0,B20/B$15)</f>
        <v>0.19480519480519481</v>
      </c>
      <c r="E20" s="59" t="s">
        <v>162</v>
      </c>
      <c r="F20" s="56" t="s">
        <v>163</v>
      </c>
      <c r="G20" s="44">
        <v>1</v>
      </c>
      <c r="H20" s="129">
        <f>IF(B$15=0,0,G20/B$15)</f>
        <v>1.2987012987012988E-2</v>
      </c>
      <c r="I20" s="90">
        <v>6</v>
      </c>
      <c r="K20" s="36">
        <v>18</v>
      </c>
      <c r="L20" s="95">
        <v>24.700000000000003</v>
      </c>
      <c r="N20" s="111" t="s">
        <v>161</v>
      </c>
      <c r="O20" s="121">
        <f t="shared" si="2"/>
        <v>-7.4333333333333336</v>
      </c>
      <c r="P20" s="115">
        <v>6</v>
      </c>
      <c r="Q20" s="103">
        <v>-44.6</v>
      </c>
    </row>
    <row r="21" spans="1:17" x14ac:dyDescent="0.45">
      <c r="A21" s="51" t="s">
        <v>194</v>
      </c>
      <c r="B21" s="44">
        <v>15</v>
      </c>
      <c r="C21" s="37">
        <f>IF(B$15=0,0,B21/B$15)</f>
        <v>0.19480519480519481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6</v>
      </c>
      <c r="K21" s="36">
        <v>19</v>
      </c>
      <c r="L21" s="95">
        <v>8.7000000000000028</v>
      </c>
      <c r="N21" s="111" t="s">
        <v>232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8164.9350649350654</v>
      </c>
      <c r="C22" s="39">
        <v>628700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127</v>
      </c>
      <c r="O22" s="121">
        <f t="shared" si="2"/>
        <v>-21.862499999999997</v>
      </c>
      <c r="P22" s="115">
        <v>8</v>
      </c>
      <c r="Q22" s="103">
        <v>-174.89999999999998</v>
      </c>
    </row>
    <row r="23" spans="1:17" x14ac:dyDescent="0.45">
      <c r="A23" s="52" t="s">
        <v>177</v>
      </c>
      <c r="B23" s="136">
        <f>IF($B$15-B$14=0,0,C23/($B$15-B$14))</f>
        <v>8512.9032258064508</v>
      </c>
      <c r="C23" s="137">
        <v>527800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126</v>
      </c>
      <c r="O23" s="121">
        <f t="shared" si="2"/>
        <v>-31.041666666666675</v>
      </c>
      <c r="P23" s="115">
        <v>12</v>
      </c>
      <c r="Q23" s="103">
        <v>-372.50000000000011</v>
      </c>
    </row>
    <row r="24" spans="1:17" x14ac:dyDescent="0.45">
      <c r="A24" s="52" t="s">
        <v>178</v>
      </c>
      <c r="B24" s="136">
        <f>IF(B$14=0,0,C24/B$14)</f>
        <v>6726.666666666667</v>
      </c>
      <c r="C24" s="137">
        <v>100900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-7102</v>
      </c>
      <c r="C25" s="137">
        <v>-355100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-29.900000000000002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-76.5</v>
      </c>
    </row>
    <row r="30" spans="1:17" x14ac:dyDescent="0.45">
      <c r="A30" s="53" t="s">
        <v>139</v>
      </c>
      <c r="B30" s="61">
        <v>1</v>
      </c>
      <c r="C30" s="40">
        <f>IF(B$3=0,0,B30/B$3)</f>
        <v>3.3557046979865771E-3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-129.6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  <c r="K31" s="36">
        <v>29</v>
      </c>
      <c r="L31" s="95">
        <v>-128.79999999999998</v>
      </c>
    </row>
    <row r="32" spans="1:17" x14ac:dyDescent="0.45">
      <c r="A32" s="86" t="s">
        <v>183</v>
      </c>
      <c r="B32" s="144">
        <v>9</v>
      </c>
      <c r="C32" s="141">
        <f>IF(B$15=0,0,B32/B$15)</f>
        <v>0.11688311688311688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-106.39999999999998</v>
      </c>
    </row>
    <row r="33" spans="1:12" x14ac:dyDescent="0.45">
      <c r="A33" s="51" t="s">
        <v>179</v>
      </c>
      <c r="B33" s="44">
        <v>11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-77.399999999999977</v>
      </c>
    </row>
    <row r="34" spans="1:12" x14ac:dyDescent="0.45">
      <c r="A34" s="51" t="s">
        <v>180</v>
      </c>
      <c r="B34" s="145">
        <v>13</v>
      </c>
      <c r="C34" s="37">
        <f>IF(B$15=0,0,B34/B$15)</f>
        <v>0.16883116883116883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-96.699999999999974</v>
      </c>
    </row>
    <row r="35" spans="1:12" x14ac:dyDescent="0.45">
      <c r="A35" s="51" t="s">
        <v>181</v>
      </c>
      <c r="B35" s="145">
        <v>10</v>
      </c>
      <c r="C35" s="37">
        <f t="shared" si="3"/>
        <v>0.12987012987012986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</row>
    <row r="36" spans="1:12" x14ac:dyDescent="0.45">
      <c r="A36" s="51" t="s">
        <v>182</v>
      </c>
      <c r="B36" s="145">
        <v>13</v>
      </c>
      <c r="C36" s="37">
        <f t="shared" si="3"/>
        <v>0.16883116883116883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12" x14ac:dyDescent="0.45">
      <c r="A37" s="51" t="s">
        <v>184</v>
      </c>
      <c r="B37" s="145">
        <v>14</v>
      </c>
      <c r="C37" s="37">
        <f t="shared" si="3"/>
        <v>0.18181818181818182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12" x14ac:dyDescent="0.45">
      <c r="A38" s="51" t="s">
        <v>185</v>
      </c>
      <c r="B38" s="145">
        <v>4</v>
      </c>
      <c r="C38" s="37">
        <f t="shared" si="3"/>
        <v>5.1948051948051951E-2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12" x14ac:dyDescent="0.45">
      <c r="A39" s="51" t="s">
        <v>186</v>
      </c>
      <c r="B39" s="145">
        <v>2</v>
      </c>
      <c r="C39" s="37">
        <f t="shared" si="3"/>
        <v>2.5974025974025976E-2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12" x14ac:dyDescent="0.45">
      <c r="A41" s="51" t="s">
        <v>188</v>
      </c>
      <c r="B41" s="145">
        <v>1</v>
      </c>
      <c r="C41" s="37">
        <f t="shared" si="3"/>
        <v>1.2987012987012988E-2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2E19A-F94F-44BF-AACA-A978A9152EA8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232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6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3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13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6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4CDD4-198D-4FFF-BD0A-1737F269EB6C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256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8BC95-B629-407D-8C84-22877C2E922E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</v>
      </c>
      <c r="C2" s="155"/>
      <c r="E2" s="58" t="s">
        <v>64</v>
      </c>
      <c r="F2" s="55" t="s">
        <v>20</v>
      </c>
      <c r="G2" s="43">
        <v>32</v>
      </c>
      <c r="H2" s="128">
        <f>IF(B$15=0,0,G2/B$15)</f>
        <v>0.59259259259259256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-2194.4444444444443</v>
      </c>
      <c r="P2" s="114">
        <v>18</v>
      </c>
      <c r="Q2" s="98">
        <v>-39500</v>
      </c>
    </row>
    <row r="3" spans="1:17" x14ac:dyDescent="0.45">
      <c r="A3" s="51" t="s">
        <v>8</v>
      </c>
      <c r="B3" s="156">
        <v>155</v>
      </c>
      <c r="C3" s="157"/>
      <c r="E3" s="59" t="s">
        <v>66</v>
      </c>
      <c r="F3" s="56" t="s">
        <v>22</v>
      </c>
      <c r="G3" s="44">
        <v>32</v>
      </c>
      <c r="H3" s="129">
        <f>IF(B$15=0,0,G3/B$15)</f>
        <v>0.59259259259259256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-188.88888888888889</v>
      </c>
      <c r="P3" s="115">
        <v>18</v>
      </c>
      <c r="Q3" s="99">
        <v>-3400</v>
      </c>
    </row>
    <row r="4" spans="1:17" x14ac:dyDescent="0.45">
      <c r="A4" s="51" t="s">
        <v>6</v>
      </c>
      <c r="B4" s="158">
        <v>-55.6</v>
      </c>
      <c r="C4" s="159"/>
      <c r="E4" s="59" t="s">
        <v>67</v>
      </c>
      <c r="F4" s="56" t="s">
        <v>23</v>
      </c>
      <c r="G4" s="44">
        <v>26</v>
      </c>
      <c r="H4" s="129">
        <f>IF(B$15=0,0,G4/B$15)</f>
        <v>0.48148148148148145</v>
      </c>
      <c r="I4" s="90">
        <v>2</v>
      </c>
      <c r="K4" s="36">
        <v>2</v>
      </c>
      <c r="L4" s="95">
        <v>27.8</v>
      </c>
      <c r="N4" s="111" t="s">
        <v>132</v>
      </c>
      <c r="O4" s="118">
        <f t="shared" si="0"/>
        <v>-2300</v>
      </c>
      <c r="P4" s="115">
        <v>18</v>
      </c>
      <c r="Q4" s="99">
        <v>-41400</v>
      </c>
    </row>
    <row r="5" spans="1:17" x14ac:dyDescent="0.45">
      <c r="A5" s="51" t="s">
        <v>7</v>
      </c>
      <c r="B5" s="160">
        <f>IF(B$2=0,0,B$4/B$2)</f>
        <v>-3.088888888888889</v>
      </c>
      <c r="C5" s="161"/>
      <c r="E5" s="59" t="s">
        <v>72</v>
      </c>
      <c r="F5" s="56" t="s">
        <v>27</v>
      </c>
      <c r="G5" s="44">
        <v>23</v>
      </c>
      <c r="H5" s="129">
        <f>IF(B$15=0,0,G5/B$15)</f>
        <v>0.42592592592592593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1650</v>
      </c>
      <c r="P5" s="115">
        <v>16</v>
      </c>
      <c r="Q5" s="99">
        <v>26400</v>
      </c>
    </row>
    <row r="6" spans="1:17" x14ac:dyDescent="0.45">
      <c r="A6" s="51" t="s">
        <v>1</v>
      </c>
      <c r="B6" s="150">
        <f>IF(B$2=0,0,(B$7*1+B$8*2+B$9*3)/B$2)</f>
        <v>2.0555555555555554</v>
      </c>
      <c r="C6" s="151"/>
      <c r="E6" s="59" t="s">
        <v>68</v>
      </c>
      <c r="F6" s="56" t="s">
        <v>12</v>
      </c>
      <c r="G6" s="44">
        <v>22</v>
      </c>
      <c r="H6" s="129">
        <f>IF(B$15=0,0,G6/B$15)</f>
        <v>0.40740740740740738</v>
      </c>
      <c r="I6" s="90">
        <v>2</v>
      </c>
      <c r="K6" s="36">
        <v>4</v>
      </c>
      <c r="L6" s="95">
        <v>53.1</v>
      </c>
      <c r="N6" s="111" t="s">
        <v>134</v>
      </c>
      <c r="O6" s="118">
        <f t="shared" si="0"/>
        <v>-1150</v>
      </c>
      <c r="P6" s="115">
        <v>14</v>
      </c>
      <c r="Q6" s="99">
        <v>-16100</v>
      </c>
    </row>
    <row r="7" spans="1:17" x14ac:dyDescent="0.45">
      <c r="A7" s="51" t="s">
        <v>2</v>
      </c>
      <c r="B7" s="44">
        <v>6</v>
      </c>
      <c r="C7" s="37">
        <f t="shared" ref="C7:C10" si="1">IF(B$2=0,0,B7/B$2)</f>
        <v>0.33333333333333331</v>
      </c>
      <c r="E7" s="59" t="s">
        <v>166</v>
      </c>
      <c r="F7" s="56" t="s">
        <v>167</v>
      </c>
      <c r="G7" s="44">
        <v>14</v>
      </c>
      <c r="H7" s="129">
        <f>IF(B$15=0,0,G7/B$15)</f>
        <v>0.25925925925925924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2558.3333333333335</v>
      </c>
      <c r="P7" s="116">
        <v>12</v>
      </c>
      <c r="Q7" s="100">
        <v>30700</v>
      </c>
    </row>
    <row r="8" spans="1:17" x14ac:dyDescent="0.45">
      <c r="A8" s="51" t="s">
        <v>3</v>
      </c>
      <c r="B8" s="44">
        <v>5</v>
      </c>
      <c r="C8" s="37">
        <f t="shared" si="1"/>
        <v>0.27777777777777779</v>
      </c>
      <c r="E8" s="59" t="s">
        <v>65</v>
      </c>
      <c r="F8" s="56" t="s">
        <v>21</v>
      </c>
      <c r="G8" s="44">
        <v>9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7</v>
      </c>
      <c r="C9" s="38">
        <f t="shared" si="1"/>
        <v>0.3888888888888889</v>
      </c>
      <c r="E9" s="59" t="s">
        <v>70</v>
      </c>
      <c r="F9" s="56" t="s">
        <v>25</v>
      </c>
      <c r="G9" s="44">
        <v>6</v>
      </c>
      <c r="H9" s="129">
        <f>IF(B$15=0,0,G9/B$15)</f>
        <v>0.1111111111111111</v>
      </c>
      <c r="I9" s="90">
        <v>6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0.16666666666666666</v>
      </c>
      <c r="E10" s="59" t="s">
        <v>69</v>
      </c>
      <c r="F10" s="56" t="s">
        <v>24</v>
      </c>
      <c r="G10" s="44">
        <v>5</v>
      </c>
      <c r="H10" s="129">
        <f>IF(B$15=0,0,G10/B$15)</f>
        <v>9.2592592592592587E-2</v>
      </c>
      <c r="I10" s="90">
        <v>11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 x14ac:dyDescent="0.45">
      <c r="A11" s="54" t="s">
        <v>121</v>
      </c>
      <c r="B11" s="47">
        <v>54</v>
      </c>
      <c r="C11" s="42">
        <f>IF(B$3=0,0,B11/B$3)</f>
        <v>0.34838709677419355</v>
      </c>
      <c r="E11" s="59" t="s">
        <v>89</v>
      </c>
      <c r="F11" s="56" t="s">
        <v>44</v>
      </c>
      <c r="G11" s="44">
        <v>3</v>
      </c>
      <c r="H11" s="129">
        <f>IF(B$15=0,0,G11/B$15)</f>
        <v>5.5555555555555552E-2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-1.9124999999999996</v>
      </c>
      <c r="P11" s="115">
        <v>8</v>
      </c>
      <c r="Q11" s="103">
        <v>-15.299999999999997</v>
      </c>
    </row>
    <row r="12" spans="1:17" x14ac:dyDescent="0.45">
      <c r="A12" s="51" t="s">
        <v>118</v>
      </c>
      <c r="B12" s="44">
        <v>19</v>
      </c>
      <c r="C12" s="37">
        <f>IF(B$3=0,0,B12/B$3)</f>
        <v>0.12258064516129032</v>
      </c>
      <c r="E12" s="59" t="s">
        <v>75</v>
      </c>
      <c r="F12" s="56" t="s">
        <v>30</v>
      </c>
      <c r="G12" s="44">
        <v>2</v>
      </c>
      <c r="H12" s="129">
        <f>IF(B$15=0,0,G12/B$15)</f>
        <v>3.7037037037037035E-2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5.6599999999999993</v>
      </c>
      <c r="P12" s="116">
        <v>5</v>
      </c>
      <c r="Q12" s="104">
        <v>28.299999999999997</v>
      </c>
    </row>
    <row r="13" spans="1:17" x14ac:dyDescent="0.45">
      <c r="A13" s="50" t="s">
        <v>123</v>
      </c>
      <c r="B13" s="43">
        <f>B19</f>
        <v>31</v>
      </c>
      <c r="C13" s="35">
        <f>IF(B$11=0,0,B13/B$11)</f>
        <v>0.57407407407407407</v>
      </c>
      <c r="E13" s="59" t="s">
        <v>79</v>
      </c>
      <c r="F13" s="56" t="s">
        <v>34</v>
      </c>
      <c r="G13" s="44">
        <v>2</v>
      </c>
      <c r="H13" s="129">
        <f>IF(B$15=0,0,G13/B$15)</f>
        <v>3.7037037037037035E-2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</v>
      </c>
      <c r="C14" s="35">
        <f>IF(B$12=0,0,B14/B$12)</f>
        <v>0.68421052631578949</v>
      </c>
      <c r="E14" s="59" t="s">
        <v>83</v>
      </c>
      <c r="F14" s="56" t="s">
        <v>38</v>
      </c>
      <c r="G14" s="44">
        <v>2</v>
      </c>
      <c r="H14" s="129">
        <f>IF(B$15=0,0,G14/B$15)</f>
        <v>3.7037037037037035E-2</v>
      </c>
      <c r="I14" s="90">
        <v>10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54</v>
      </c>
      <c r="C15" s="35">
        <f>IF(B$3=0,0,B15/B$3)</f>
        <v>0.34838709677419355</v>
      </c>
      <c r="E15" s="59" t="s">
        <v>85</v>
      </c>
      <c r="F15" s="56" t="s">
        <v>40</v>
      </c>
      <c r="G15" s="44">
        <v>2</v>
      </c>
      <c r="H15" s="129">
        <f>IF(B$15=0,0,G15/B$15)</f>
        <v>3.7037037037037035E-2</v>
      </c>
      <c r="I15" s="90">
        <v>1</v>
      </c>
      <c r="K15" s="36">
        <v>13</v>
      </c>
      <c r="L15" s="95">
        <v>-47.6</v>
      </c>
      <c r="N15" s="110" t="s">
        <v>171</v>
      </c>
      <c r="O15" s="120">
        <f t="shared" ref="O15:O22" si="2">IF(P15=0,0,Q15/P15)</f>
        <v>32.325000000000003</v>
      </c>
      <c r="P15" s="114">
        <v>4</v>
      </c>
      <c r="Q15" s="102">
        <v>129.30000000000001</v>
      </c>
    </row>
    <row r="16" spans="1:17" x14ac:dyDescent="0.45">
      <c r="A16" s="51" t="s">
        <v>13</v>
      </c>
      <c r="B16" s="44">
        <v>25</v>
      </c>
      <c r="C16" s="37">
        <f>IF(B$3=0,0,B16/B$3)</f>
        <v>0.16129032258064516</v>
      </c>
      <c r="E16" s="59" t="s">
        <v>71</v>
      </c>
      <c r="F16" s="56" t="s">
        <v>26</v>
      </c>
      <c r="G16" s="44">
        <v>1</v>
      </c>
      <c r="H16" s="129">
        <f>IF(B$15=0,0,G16/B$15)</f>
        <v>1.8518518518518517E-2</v>
      </c>
      <c r="I16" s="90">
        <v>13</v>
      </c>
      <c r="K16" s="36">
        <v>14</v>
      </c>
      <c r="L16" s="95">
        <v>-55.5</v>
      </c>
      <c r="N16" s="111" t="s">
        <v>172</v>
      </c>
      <c r="O16" s="121">
        <f t="shared" si="2"/>
        <v>19.249999999999996</v>
      </c>
      <c r="P16" s="115">
        <v>4</v>
      </c>
      <c r="Q16" s="103">
        <v>76.999999999999986</v>
      </c>
    </row>
    <row r="17" spans="1:17" x14ac:dyDescent="0.45">
      <c r="A17" s="51" t="s">
        <v>12</v>
      </c>
      <c r="B17" s="44">
        <v>29</v>
      </c>
      <c r="C17" s="37">
        <f>IF(B$15=0,0,B17/B$15)</f>
        <v>0.53703703703703709</v>
      </c>
      <c r="E17" s="59" t="s">
        <v>86</v>
      </c>
      <c r="F17" s="56" t="s">
        <v>41</v>
      </c>
      <c r="G17" s="44">
        <v>1</v>
      </c>
      <c r="H17" s="129">
        <f>IF(B$15=0,0,G17/B$15)</f>
        <v>1.8518518518518517E-2</v>
      </c>
      <c r="I17" s="90">
        <v>11</v>
      </c>
      <c r="K17" s="36">
        <v>15</v>
      </c>
      <c r="L17" s="95">
        <v>-25.1</v>
      </c>
      <c r="N17" s="111" t="s">
        <v>197</v>
      </c>
      <c r="O17" s="121">
        <f t="shared" si="2"/>
        <v>12.000000000000002</v>
      </c>
      <c r="P17" s="115">
        <v>1</v>
      </c>
      <c r="Q17" s="103">
        <v>12.000000000000002</v>
      </c>
    </row>
    <row r="18" spans="1:17" x14ac:dyDescent="0.45">
      <c r="A18" s="51" t="s">
        <v>11</v>
      </c>
      <c r="B18" s="44">
        <v>25</v>
      </c>
      <c r="C18" s="37">
        <f>IF(B$15=0,0,B18/B$15)</f>
        <v>0.46296296296296297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6</v>
      </c>
      <c r="K18" s="36">
        <v>16</v>
      </c>
      <c r="L18" s="95">
        <v>-13.600000000000001</v>
      </c>
      <c r="N18" s="111" t="s">
        <v>170</v>
      </c>
      <c r="O18" s="121">
        <f t="shared" si="2"/>
        <v>2.910000000000001</v>
      </c>
      <c r="P18" s="115">
        <v>10</v>
      </c>
      <c r="Q18" s="103">
        <v>29.100000000000009</v>
      </c>
    </row>
    <row r="19" spans="1:17" x14ac:dyDescent="0.45">
      <c r="A19" s="51" t="s">
        <v>195</v>
      </c>
      <c r="B19" s="44">
        <v>31</v>
      </c>
      <c r="C19" s="37">
        <f>IF(B$15=0,0,B19/B$15)</f>
        <v>0.57407407407407407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K19" s="36">
        <v>17</v>
      </c>
      <c r="L19" s="95">
        <v>-30.700000000000003</v>
      </c>
      <c r="N19" s="111" t="s">
        <v>127</v>
      </c>
      <c r="O19" s="121">
        <f t="shared" si="2"/>
        <v>2.8600000000000012</v>
      </c>
      <c r="P19" s="115">
        <v>5</v>
      </c>
      <c r="Q19" s="103">
        <v>14.300000000000006</v>
      </c>
    </row>
    <row r="20" spans="1:17" x14ac:dyDescent="0.45">
      <c r="A20" s="51" t="s">
        <v>193</v>
      </c>
      <c r="B20" s="44">
        <v>13</v>
      </c>
      <c r="C20" s="37">
        <f>IF(B$15=0,0,B20/B$15)</f>
        <v>0.24074074074074073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K20" s="36">
        <v>18</v>
      </c>
      <c r="L20" s="95">
        <v>-55.6</v>
      </c>
      <c r="N20" s="111" t="s">
        <v>196</v>
      </c>
      <c r="O20" s="121">
        <f t="shared" si="2"/>
        <v>-0.16666666666666882</v>
      </c>
      <c r="P20" s="115">
        <v>3</v>
      </c>
      <c r="Q20" s="103">
        <v>-0.50000000000000644</v>
      </c>
    </row>
    <row r="21" spans="1:17" x14ac:dyDescent="0.45">
      <c r="A21" s="51" t="s">
        <v>194</v>
      </c>
      <c r="B21" s="44">
        <v>10</v>
      </c>
      <c r="C21" s="37">
        <f>IF(B$15=0,0,B21/B$15)</f>
        <v>0.18518518518518517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-42.716666666666669</v>
      </c>
      <c r="P21" s="115">
        <v>6</v>
      </c>
      <c r="Q21" s="103">
        <v>-256.3</v>
      </c>
    </row>
    <row r="22" spans="1:17" x14ac:dyDescent="0.45">
      <c r="A22" s="51" t="s">
        <v>5</v>
      </c>
      <c r="B22" s="48">
        <f>IF(B$15=0,0,C22/B$15)</f>
        <v>6648.1481481481478</v>
      </c>
      <c r="C22" s="39">
        <v>359000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7278.0487804878048</v>
      </c>
      <c r="C23" s="137">
        <v>298400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4661.5384615384619</v>
      </c>
      <c r="C24" s="137">
        <v>60600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-8220</v>
      </c>
      <c r="C25" s="137">
        <v>-205500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7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2</v>
      </c>
      <c r="C30" s="40">
        <f>IF(B$3=0,0,B30/B$3)</f>
        <v>1.2903225806451613E-2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6</v>
      </c>
      <c r="C32" s="141">
        <f>IF(B$15=0,0,B32/B$15)</f>
        <v>0.1111111111111111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15</v>
      </c>
      <c r="C33" s="37">
        <f t="shared" ref="C33:C44" si="3">IF(B$15=0,0,B33/B$15)</f>
        <v>0.27777777777777779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8</v>
      </c>
      <c r="C34" s="37">
        <f>IF(B$15=0,0,B34/B$15)</f>
        <v>0.14814814814814814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9</v>
      </c>
      <c r="C35" s="37">
        <f t="shared" si="3"/>
        <v>0.16666666666666666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9</v>
      </c>
      <c r="C36" s="37">
        <f t="shared" si="3"/>
        <v>0.16666666666666666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3"/>
        <v>3.7037037037037035E-2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3</v>
      </c>
      <c r="C38" s="37">
        <f t="shared" si="3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1.8518518518518517E-2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1</v>
      </c>
      <c r="C41" s="37">
        <f t="shared" si="3"/>
        <v>1.8518518518518517E-2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59E61-8335-4BDF-8082-8516406D7F15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410</v>
      </c>
      <c r="P2" s="114">
        <v>10</v>
      </c>
      <c r="Q2" s="98">
        <v>4100</v>
      </c>
    </row>
    <row r="3" spans="1:17" x14ac:dyDescent="0.45">
      <c r="A3" s="51" t="s">
        <v>8</v>
      </c>
      <c r="B3" s="156">
        <v>78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-2890</v>
      </c>
      <c r="P3" s="115">
        <v>10</v>
      </c>
      <c r="Q3" s="99">
        <v>-28900</v>
      </c>
    </row>
    <row r="4" spans="1:17" x14ac:dyDescent="0.45">
      <c r="A4" s="51" t="s">
        <v>6</v>
      </c>
      <c r="B4" s="158">
        <v>9.2999999999999972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0.92999999999999972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0.2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-37.93333333333333</v>
      </c>
      <c r="P10" s="114">
        <v>3</v>
      </c>
      <c r="Q10" s="102">
        <v>-113.8</v>
      </c>
    </row>
    <row r="11" spans="1:17" x14ac:dyDescent="0.45">
      <c r="A11" s="54" t="s">
        <v>121</v>
      </c>
      <c r="B11" s="47">
        <v>30</v>
      </c>
      <c r="C11" s="42">
        <f>IF(B$3=0,0,B11/B$3)</f>
        <v>0.38461538461538464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K11" s="36">
        <v>9</v>
      </c>
      <c r="L11" s="95">
        <v>54.5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13</v>
      </c>
      <c r="C12" s="37">
        <f>IF(B$3=0,0,B12/B$3)</f>
        <v>0.16666666666666666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K12" s="36">
        <v>10</v>
      </c>
      <c r="L12" s="95">
        <v>9.2999999999999972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0.6333333333333333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0.38461538461538464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0.33333333333333331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301</v>
      </c>
      <c r="O15" s="120">
        <f t="shared" ref="O15:O20" si="2"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19</v>
      </c>
      <c r="C16" s="37">
        <f>IF(B$3=0,0,B16/B$3)</f>
        <v>0.24358974358974358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 t="shared" si="2"/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 t="shared" si="2"/>
        <v>1.0625</v>
      </c>
      <c r="P17" s="115">
        <v>8</v>
      </c>
      <c r="Q17" s="103">
        <v>8.5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 t="shared" si="2"/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 t="shared" si="2"/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  <c r="N20" s="111" t="s">
        <v>170</v>
      </c>
      <c r="O20" s="121">
        <f t="shared" si="2"/>
        <v>-90.449999999999989</v>
      </c>
      <c r="P20" s="115">
        <v>2</v>
      </c>
      <c r="Q20" s="103">
        <v>-180.89999999999998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-10010.526315789473</v>
      </c>
      <c r="C25" s="137">
        <v>-190200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0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1</v>
      </c>
      <c r="C35" s="37">
        <f t="shared" si="3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3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3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3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66263-97E6-44A3-AB84-55DBF23BBD5C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301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5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201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34A60-502A-41D6-86A6-E33635DFCE9B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301</v>
      </c>
      <c r="B1" s="66" t="s">
        <v>301</v>
      </c>
      <c r="C1" s="66" t="s">
        <v>301</v>
      </c>
      <c r="D1" s="67" t="s">
        <v>301</v>
      </c>
      <c r="E1" s="66" t="s">
        <v>301</v>
      </c>
      <c r="F1" s="66" t="s">
        <v>301</v>
      </c>
      <c r="G1" s="66" t="s">
        <v>301</v>
      </c>
      <c r="H1" s="66" t="s">
        <v>301</v>
      </c>
      <c r="I1" s="66" t="s">
        <v>301</v>
      </c>
      <c r="J1" s="66" t="s">
        <v>301</v>
      </c>
      <c r="K1" s="66" t="s">
        <v>301</v>
      </c>
      <c r="L1" s="66" t="s">
        <v>301</v>
      </c>
      <c r="M1" s="66" t="s">
        <v>301</v>
      </c>
      <c r="N1" s="66" t="s">
        <v>301</v>
      </c>
      <c r="O1" s="66" t="s">
        <v>301</v>
      </c>
      <c r="P1" s="66" t="s">
        <v>301</v>
      </c>
      <c r="Q1" s="66" t="s">
        <v>301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C3E7-0217-4EA3-A65A-DF1ED3D8AC7B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  <row r="12" spans="1:17" x14ac:dyDescent="0.45">
      <c r="A12" s="65">
        <v>9</v>
      </c>
      <c r="B12" s="62">
        <v>54.5</v>
      </c>
      <c r="C12" s="62">
        <v>6.0555555555555554</v>
      </c>
      <c r="D12" s="67">
        <v>1.8888888888888888</v>
      </c>
      <c r="E12" s="63">
        <v>0.55555555555555558</v>
      </c>
      <c r="F12" s="63">
        <v>0.44444444444444442</v>
      </c>
      <c r="G12" s="63">
        <v>0.3611111111111111</v>
      </c>
      <c r="H12" s="63">
        <v>0.2361111111111111</v>
      </c>
      <c r="I12" s="64">
        <v>9534.6153846153848</v>
      </c>
      <c r="J12" s="64">
        <v>-9823.5294117647063</v>
      </c>
      <c r="K12" s="63">
        <v>0.1111111111111111</v>
      </c>
      <c r="L12" s="63">
        <v>0.3888888888888889</v>
      </c>
      <c r="M12" s="63">
        <v>0.16666666666666666</v>
      </c>
      <c r="N12" s="63">
        <v>0.6785714285714286</v>
      </c>
      <c r="O12" s="63">
        <v>0.41666666666666669</v>
      </c>
      <c r="P12" s="63">
        <v>0.46153846153846156</v>
      </c>
    </row>
    <row r="13" spans="1:17" x14ac:dyDescent="0.45">
      <c r="A13" s="65">
        <v>10</v>
      </c>
      <c r="B13" s="62">
        <v>9.2999999999999972</v>
      </c>
      <c r="C13" s="62">
        <v>0.92999999999999972</v>
      </c>
      <c r="D13" s="67">
        <v>2</v>
      </c>
      <c r="E13" s="63">
        <v>0.5</v>
      </c>
      <c r="F13" s="63">
        <v>0.5</v>
      </c>
      <c r="G13" s="63">
        <v>0.33333333333333331</v>
      </c>
      <c r="H13" s="63">
        <v>0.24358974358974358</v>
      </c>
      <c r="I13" s="64">
        <v>9534.6153846153848</v>
      </c>
      <c r="J13" s="64">
        <v>-10010.526315789473</v>
      </c>
      <c r="K13" s="63">
        <v>0.2</v>
      </c>
      <c r="L13" s="63">
        <v>0.38461538461538464</v>
      </c>
      <c r="M13" s="63">
        <v>0.16666666666666666</v>
      </c>
      <c r="N13" s="63">
        <v>0.6333333333333333</v>
      </c>
      <c r="O13" s="63">
        <v>0.38461538461538464</v>
      </c>
      <c r="P13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EA943-FE00-4B22-A7DB-9DF5E64CE9AA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200</v>
      </c>
      <c r="B1" s="66" t="s">
        <v>200</v>
      </c>
      <c r="C1" s="66" t="s">
        <v>200</v>
      </c>
      <c r="D1" s="67" t="s">
        <v>200</v>
      </c>
      <c r="E1" s="66" t="s">
        <v>200</v>
      </c>
      <c r="F1" s="66" t="s">
        <v>200</v>
      </c>
      <c r="G1" s="66" t="s">
        <v>200</v>
      </c>
      <c r="H1" s="66" t="s">
        <v>200</v>
      </c>
      <c r="I1" s="66" t="s">
        <v>200</v>
      </c>
      <c r="J1" s="66" t="s">
        <v>200</v>
      </c>
      <c r="K1" s="66" t="s">
        <v>200</v>
      </c>
      <c r="L1" s="66" t="s">
        <v>200</v>
      </c>
      <c r="M1" s="66" t="s">
        <v>200</v>
      </c>
      <c r="N1" s="66" t="s">
        <v>200</v>
      </c>
      <c r="O1" s="66" t="s">
        <v>200</v>
      </c>
      <c r="P1" s="66" t="s">
        <v>200</v>
      </c>
      <c r="Q1" s="66" t="s">
        <v>200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 x14ac:dyDescent="0.45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 x14ac:dyDescent="0.45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  <row r="20" spans="1:16" x14ac:dyDescent="0.45">
      <c r="A20" s="65">
        <v>17</v>
      </c>
      <c r="B20" s="62">
        <v>-30.700000000000003</v>
      </c>
      <c r="C20" s="62">
        <v>-1.8058823529411767</v>
      </c>
      <c r="D20" s="67">
        <v>2</v>
      </c>
      <c r="E20" s="63">
        <v>0.35294117647058826</v>
      </c>
      <c r="F20" s="63">
        <v>0.35294117647058826</v>
      </c>
      <c r="G20" s="63">
        <v>0.35616438356164382</v>
      </c>
      <c r="H20" s="63">
        <v>0.16438356164383561</v>
      </c>
      <c r="I20" s="64">
        <v>6555.7692307692305</v>
      </c>
      <c r="J20" s="64">
        <v>-7895.833333333333</v>
      </c>
      <c r="K20" s="63">
        <v>0.17647058823529413</v>
      </c>
      <c r="L20" s="63">
        <v>0.34931506849315069</v>
      </c>
      <c r="M20" s="63">
        <v>0.11643835616438356</v>
      </c>
      <c r="N20" s="63">
        <v>0.58823529411764708</v>
      </c>
      <c r="O20" s="63">
        <v>0.76470588235294112</v>
      </c>
      <c r="P20" s="63">
        <v>0.51923076923076927</v>
      </c>
    </row>
    <row r="21" spans="1:16" x14ac:dyDescent="0.45">
      <c r="A21" s="65">
        <v>18</v>
      </c>
      <c r="B21" s="62">
        <v>-55.6</v>
      </c>
      <c r="C21" s="62">
        <v>-3.088888888888889</v>
      </c>
      <c r="D21" s="67">
        <v>2.0555555555555554</v>
      </c>
      <c r="E21" s="63">
        <v>0.33333333333333331</v>
      </c>
      <c r="F21" s="63">
        <v>0.3888888888888889</v>
      </c>
      <c r="G21" s="63">
        <v>0.34838709677419355</v>
      </c>
      <c r="H21" s="63">
        <v>0.16129032258064516</v>
      </c>
      <c r="I21" s="64">
        <v>6648.1481481481478</v>
      </c>
      <c r="J21" s="64">
        <v>-8220</v>
      </c>
      <c r="K21" s="63">
        <v>0.16666666666666666</v>
      </c>
      <c r="L21" s="63">
        <v>0.34838709677419355</v>
      </c>
      <c r="M21" s="63">
        <v>0.12258064516129032</v>
      </c>
      <c r="N21" s="63">
        <v>0.57407407407407407</v>
      </c>
      <c r="O21" s="63">
        <v>0.68421052631578949</v>
      </c>
      <c r="P21" s="6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08654-3E43-4362-A693-8843650322EE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256</v>
      </c>
      <c r="B1" s="66" t="s">
        <v>256</v>
      </c>
      <c r="C1" s="66" t="s">
        <v>256</v>
      </c>
      <c r="D1" s="67" t="s">
        <v>256</v>
      </c>
      <c r="E1" s="66" t="s">
        <v>256</v>
      </c>
      <c r="F1" s="66" t="s">
        <v>256</v>
      </c>
      <c r="G1" s="66" t="s">
        <v>256</v>
      </c>
      <c r="H1" s="66" t="s">
        <v>256</v>
      </c>
      <c r="I1" s="66" t="s">
        <v>256</v>
      </c>
      <c r="J1" s="66" t="s">
        <v>256</v>
      </c>
      <c r="K1" s="66" t="s">
        <v>256</v>
      </c>
      <c r="L1" s="66" t="s">
        <v>256</v>
      </c>
      <c r="M1" s="66" t="s">
        <v>256</v>
      </c>
      <c r="N1" s="66" t="s">
        <v>256</v>
      </c>
      <c r="O1" s="66" t="s">
        <v>256</v>
      </c>
      <c r="P1" s="66" t="s">
        <v>256</v>
      </c>
      <c r="Q1" s="66" t="s">
        <v>256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8BF5-546F-473D-91FF-C4D90007158E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232</v>
      </c>
      <c r="B1" s="66" t="s">
        <v>232</v>
      </c>
      <c r="C1" s="66" t="s">
        <v>232</v>
      </c>
      <c r="D1" s="67" t="s">
        <v>232</v>
      </c>
      <c r="E1" s="66" t="s">
        <v>232</v>
      </c>
      <c r="F1" s="66" t="s">
        <v>232</v>
      </c>
      <c r="G1" s="66" t="s">
        <v>232</v>
      </c>
      <c r="H1" s="66" t="s">
        <v>232</v>
      </c>
      <c r="I1" s="66" t="s">
        <v>232</v>
      </c>
      <c r="J1" s="66" t="s">
        <v>232</v>
      </c>
      <c r="K1" s="66" t="s">
        <v>232</v>
      </c>
      <c r="L1" s="66" t="s">
        <v>232</v>
      </c>
      <c r="M1" s="66" t="s">
        <v>232</v>
      </c>
      <c r="N1" s="66" t="s">
        <v>232</v>
      </c>
      <c r="O1" s="66" t="s">
        <v>232</v>
      </c>
      <c r="P1" s="66" t="s">
        <v>232</v>
      </c>
      <c r="Q1" s="66" t="s">
        <v>232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1CB68-EB3D-4937-8295-9899C99E1F0A}">
  <sheetPr codeName="Sheet22"/>
  <dimension ref="A1:Q3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  <row r="29" spans="1:16" x14ac:dyDescent="0.45">
      <c r="A29" s="65">
        <v>26</v>
      </c>
      <c r="B29" s="62">
        <v>-29.900000000000002</v>
      </c>
      <c r="C29" s="62">
        <v>-1.1500000000000001</v>
      </c>
      <c r="D29" s="67">
        <v>2</v>
      </c>
      <c r="E29" s="63">
        <v>0.38461538461538464</v>
      </c>
      <c r="F29" s="63">
        <v>0.38461538461538464</v>
      </c>
      <c r="G29" s="63">
        <v>0.26506024096385544</v>
      </c>
      <c r="H29" s="63">
        <v>0.17269076305220885</v>
      </c>
      <c r="I29" s="64">
        <v>8150</v>
      </c>
      <c r="J29" s="64">
        <v>-6762.7906976744189</v>
      </c>
      <c r="K29" s="63">
        <v>0.11538461538461539</v>
      </c>
      <c r="L29" s="63">
        <v>0.25702811244979917</v>
      </c>
      <c r="M29" s="63">
        <v>0.15662650602409639</v>
      </c>
      <c r="N29" s="63">
        <v>0.59375</v>
      </c>
      <c r="O29" s="63">
        <v>0.35897435897435898</v>
      </c>
      <c r="P29" s="63">
        <v>0.5757575757575758</v>
      </c>
    </row>
    <row r="30" spans="1:16" x14ac:dyDescent="0.45">
      <c r="A30" s="65">
        <v>27</v>
      </c>
      <c r="B30" s="62">
        <v>-76.5</v>
      </c>
      <c r="C30" s="62">
        <v>-2.8333333333333335</v>
      </c>
      <c r="D30" s="67">
        <v>2.0370370370370372</v>
      </c>
      <c r="E30" s="63">
        <v>0.37037037037037035</v>
      </c>
      <c r="F30" s="63">
        <v>0.40740740740740738</v>
      </c>
      <c r="G30" s="63">
        <v>0.25984251968503935</v>
      </c>
      <c r="H30" s="63">
        <v>0.16929133858267717</v>
      </c>
      <c r="I30" s="64">
        <v>8150</v>
      </c>
      <c r="J30" s="64">
        <v>-6762.7906976744189</v>
      </c>
      <c r="K30" s="63">
        <v>0.14814814814814814</v>
      </c>
      <c r="L30" s="63">
        <v>0.25590551181102361</v>
      </c>
      <c r="M30" s="63">
        <v>0.15354330708661418</v>
      </c>
      <c r="N30" s="63">
        <v>0.58461538461538465</v>
      </c>
      <c r="O30" s="63">
        <v>0.35897435897435898</v>
      </c>
      <c r="P30" s="63">
        <v>0.5757575757575758</v>
      </c>
    </row>
    <row r="31" spans="1:16" x14ac:dyDescent="0.45">
      <c r="A31" s="65">
        <v>28</v>
      </c>
      <c r="B31" s="62">
        <v>-129.6</v>
      </c>
      <c r="C31" s="62">
        <v>-4.6285714285714281</v>
      </c>
      <c r="D31" s="67">
        <v>2.0714285714285716</v>
      </c>
      <c r="E31" s="63">
        <v>0.35714285714285715</v>
      </c>
      <c r="F31" s="63">
        <v>0.42857142857142855</v>
      </c>
      <c r="G31" s="63">
        <v>0.25680933852140075</v>
      </c>
      <c r="H31" s="63">
        <v>0.17509727626459143</v>
      </c>
      <c r="I31" s="64">
        <v>8150</v>
      </c>
      <c r="J31" s="64">
        <v>-7120</v>
      </c>
      <c r="K31" s="63">
        <v>0.17857142857142858</v>
      </c>
      <c r="L31" s="63">
        <v>0.26070038910505838</v>
      </c>
      <c r="M31" s="63">
        <v>0.1517509727626459</v>
      </c>
      <c r="N31" s="63">
        <v>0.56716417910447758</v>
      </c>
      <c r="O31" s="63">
        <v>0.35897435897435898</v>
      </c>
      <c r="P31" s="63">
        <v>0.5757575757575758</v>
      </c>
    </row>
    <row r="32" spans="1:16" x14ac:dyDescent="0.45">
      <c r="A32" s="65">
        <v>29</v>
      </c>
      <c r="B32" s="62">
        <v>-128.79999999999998</v>
      </c>
      <c r="C32" s="62">
        <v>-4.4413793103448267</v>
      </c>
      <c r="D32" s="67">
        <v>2.0689655172413794</v>
      </c>
      <c r="E32" s="63">
        <v>0.34482758620689657</v>
      </c>
      <c r="F32" s="63">
        <v>0.41379310344827586</v>
      </c>
      <c r="G32" s="63">
        <v>0.25939849624060152</v>
      </c>
      <c r="H32" s="63">
        <v>0.17293233082706766</v>
      </c>
      <c r="I32" s="64">
        <v>8075.36231884058</v>
      </c>
      <c r="J32" s="64">
        <v>-7078.260869565217</v>
      </c>
      <c r="K32" s="63">
        <v>0.17241379310344829</v>
      </c>
      <c r="L32" s="63">
        <v>0.26691729323308272</v>
      </c>
      <c r="M32" s="63">
        <v>0.15789473684210525</v>
      </c>
      <c r="N32" s="63">
        <v>0.57746478873239437</v>
      </c>
      <c r="O32" s="63">
        <v>0.33333333333333331</v>
      </c>
      <c r="P32" s="63">
        <v>0.57971014492753625</v>
      </c>
    </row>
    <row r="33" spans="1:16" x14ac:dyDescent="0.45">
      <c r="A33" s="65">
        <v>30</v>
      </c>
      <c r="B33" s="62">
        <v>-106.39999999999998</v>
      </c>
      <c r="C33" s="62">
        <v>-3.546666666666666</v>
      </c>
      <c r="D33" s="67">
        <v>2.0333333333333332</v>
      </c>
      <c r="E33" s="63">
        <v>0.36666666666666664</v>
      </c>
      <c r="F33" s="63">
        <v>0.4</v>
      </c>
      <c r="G33" s="63">
        <v>0.25992779783393499</v>
      </c>
      <c r="H33" s="63">
        <v>0.17689530685920576</v>
      </c>
      <c r="I33" s="64">
        <v>8126.3888888888887</v>
      </c>
      <c r="J33" s="64">
        <v>-7002.0408163265311</v>
      </c>
      <c r="K33" s="63">
        <v>0.16666666666666666</v>
      </c>
      <c r="L33" s="63">
        <v>0.27075812274368233</v>
      </c>
      <c r="M33" s="63">
        <v>0.1588447653429603</v>
      </c>
      <c r="N33" s="63">
        <v>0.58666666666666667</v>
      </c>
      <c r="O33" s="63">
        <v>0.31818181818181818</v>
      </c>
      <c r="P33" s="63">
        <v>0.58333333333333337</v>
      </c>
    </row>
    <row r="34" spans="1:16" x14ac:dyDescent="0.45">
      <c r="A34" s="65">
        <v>31</v>
      </c>
      <c r="B34" s="62">
        <v>-77.399999999999977</v>
      </c>
      <c r="C34" s="62">
        <v>-2.4967741935483865</v>
      </c>
      <c r="D34" s="67">
        <v>2</v>
      </c>
      <c r="E34" s="63">
        <v>0.38709677419354838</v>
      </c>
      <c r="F34" s="63">
        <v>0.38709677419354838</v>
      </c>
      <c r="G34" s="63">
        <v>0.2638888888888889</v>
      </c>
      <c r="H34" s="63">
        <v>0.1701388888888889</v>
      </c>
      <c r="I34" s="64">
        <v>8114.4736842105267</v>
      </c>
      <c r="J34" s="64">
        <v>-7002.0408163265311</v>
      </c>
      <c r="K34" s="63">
        <v>0.16129032258064516</v>
      </c>
      <c r="L34" s="63">
        <v>0.27777777777777779</v>
      </c>
      <c r="M34" s="63">
        <v>0.15625</v>
      </c>
      <c r="N34" s="63">
        <v>0.57499999999999996</v>
      </c>
      <c r="O34" s="63">
        <v>0.33333333333333331</v>
      </c>
      <c r="P34" s="63">
        <v>0.57894736842105265</v>
      </c>
    </row>
    <row r="35" spans="1:16" x14ac:dyDescent="0.45">
      <c r="A35" s="65">
        <v>32</v>
      </c>
      <c r="B35" s="62">
        <v>-96.699999999999974</v>
      </c>
      <c r="C35" s="62">
        <v>-3.0218749999999992</v>
      </c>
      <c r="D35" s="67">
        <v>2</v>
      </c>
      <c r="E35" s="63">
        <v>0.375</v>
      </c>
      <c r="F35" s="63">
        <v>0.375</v>
      </c>
      <c r="G35" s="63">
        <v>0.25838926174496646</v>
      </c>
      <c r="H35" s="63">
        <v>0.16778523489932887</v>
      </c>
      <c r="I35" s="64">
        <v>8164.9350649350654</v>
      </c>
      <c r="J35" s="64">
        <v>-7102</v>
      </c>
      <c r="K35" s="63">
        <v>0.15625</v>
      </c>
      <c r="L35" s="63">
        <v>0.27852348993288589</v>
      </c>
      <c r="M35" s="63">
        <v>0.16107382550335569</v>
      </c>
      <c r="N35" s="63">
        <v>0.5662650602409639</v>
      </c>
      <c r="O35" s="63">
        <v>0.3125</v>
      </c>
      <c r="P35" s="6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A4783-0D0A-4144-BD26-DE4F76DBADD5}">
  <sheetPr codeName="Sheet20"/>
  <dimension ref="A1:Q7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  <row r="69" spans="1:16" x14ac:dyDescent="0.45">
      <c r="A69" s="65">
        <v>66</v>
      </c>
      <c r="B69" s="62">
        <v>-672.40000000000009</v>
      </c>
      <c r="C69" s="62">
        <v>-10.187878787878789</v>
      </c>
      <c r="D69" s="67">
        <v>2.2575757575757578</v>
      </c>
      <c r="E69" s="63">
        <v>0.16666666666666666</v>
      </c>
      <c r="F69" s="63">
        <v>0.42424242424242425</v>
      </c>
      <c r="G69" s="63">
        <v>0.25782688766114181</v>
      </c>
      <c r="H69" s="63">
        <v>0.17679558011049723</v>
      </c>
      <c r="I69" s="64">
        <v>8176.4285714285716</v>
      </c>
      <c r="J69" s="64">
        <v>-8397.9166666666661</v>
      </c>
      <c r="K69" s="63">
        <v>0.15151515151515152</v>
      </c>
      <c r="L69" s="63">
        <v>0.21362799263351751</v>
      </c>
      <c r="M69" s="63">
        <v>0.2283609576427256</v>
      </c>
      <c r="N69" s="63">
        <v>0.50862068965517238</v>
      </c>
      <c r="O69" s="63">
        <v>0.43548387096774194</v>
      </c>
      <c r="P69" s="63">
        <v>0.45714285714285713</v>
      </c>
    </row>
    <row r="70" spans="1:16" x14ac:dyDescent="0.45">
      <c r="A70" s="65">
        <v>67</v>
      </c>
      <c r="B70" s="62">
        <v>-655.40000000000009</v>
      </c>
      <c r="C70" s="62">
        <v>-9.7820895522388067</v>
      </c>
      <c r="D70" s="67">
        <v>2.2537313432835822</v>
      </c>
      <c r="E70" s="63">
        <v>0.16417910447761194</v>
      </c>
      <c r="F70" s="63">
        <v>0.41791044776119401</v>
      </c>
      <c r="G70" s="63">
        <v>0.26047358834244078</v>
      </c>
      <c r="H70" s="63">
        <v>0.1766848816029144</v>
      </c>
      <c r="I70" s="64">
        <v>8298.6013986013986</v>
      </c>
      <c r="J70" s="64">
        <v>-8558.7628865979386</v>
      </c>
      <c r="K70" s="63">
        <v>0.14925373134328357</v>
      </c>
      <c r="L70" s="63">
        <v>0.21311475409836064</v>
      </c>
      <c r="M70" s="63">
        <v>0.22950819672131148</v>
      </c>
      <c r="N70" s="63">
        <v>0.51282051282051277</v>
      </c>
      <c r="O70" s="63">
        <v>0.44444444444444442</v>
      </c>
      <c r="P70" s="63">
        <v>0.45454545454545453</v>
      </c>
    </row>
    <row r="71" spans="1:16" x14ac:dyDescent="0.45">
      <c r="A71" s="65">
        <v>68</v>
      </c>
      <c r="B71" s="62">
        <v>-656.10000000000014</v>
      </c>
      <c r="C71" s="62">
        <v>-9.6485294117647076</v>
      </c>
      <c r="D71" s="67">
        <v>2.25</v>
      </c>
      <c r="E71" s="63">
        <v>0.16176470588235295</v>
      </c>
      <c r="F71" s="63">
        <v>0.41176470588235292</v>
      </c>
      <c r="G71" s="63">
        <v>0.26079136690647481</v>
      </c>
      <c r="H71" s="63">
        <v>0.17625899280575538</v>
      </c>
      <c r="I71" s="64">
        <v>8292.4137931034475</v>
      </c>
      <c r="J71" s="64">
        <v>-8511.224489795919</v>
      </c>
      <c r="K71" s="63">
        <v>0.14705882352941177</v>
      </c>
      <c r="L71" s="63">
        <v>0.21582733812949639</v>
      </c>
      <c r="M71" s="63">
        <v>0.23021582733812951</v>
      </c>
      <c r="N71" s="63">
        <v>0.5083333333333333</v>
      </c>
      <c r="O71" s="63">
        <v>0.4453125</v>
      </c>
      <c r="P71" s="63">
        <v>0.45517241379310347</v>
      </c>
    </row>
    <row r="72" spans="1:16" x14ac:dyDescent="0.45">
      <c r="A72" s="65">
        <v>69</v>
      </c>
      <c r="B72" s="62">
        <v>-691.90000000000009</v>
      </c>
      <c r="C72" s="62">
        <v>-10.02753623188406</v>
      </c>
      <c r="D72" s="67">
        <v>2.2608695652173911</v>
      </c>
      <c r="E72" s="63">
        <v>0.15942028985507245</v>
      </c>
      <c r="F72" s="63">
        <v>0.42028985507246375</v>
      </c>
      <c r="G72" s="63">
        <v>0.25749559082892415</v>
      </c>
      <c r="H72" s="63">
        <v>0.17460317460317459</v>
      </c>
      <c r="I72" s="64">
        <v>8263.0136986301368</v>
      </c>
      <c r="J72" s="64">
        <v>-8464.6464646464647</v>
      </c>
      <c r="K72" s="63">
        <v>0.14492753623188406</v>
      </c>
      <c r="L72" s="63">
        <v>0.21340388007054673</v>
      </c>
      <c r="M72" s="63">
        <v>0.23280423280423279</v>
      </c>
      <c r="N72" s="63">
        <v>0.50413223140495866</v>
      </c>
      <c r="O72" s="63">
        <v>0.43181818181818182</v>
      </c>
      <c r="P72" s="63">
        <v>0.4589041095890411</v>
      </c>
    </row>
    <row r="73" spans="1:16" x14ac:dyDescent="0.45">
      <c r="A73" s="65">
        <v>70</v>
      </c>
      <c r="B73" s="62">
        <v>-739.50000000000011</v>
      </c>
      <c r="C73" s="62">
        <v>-10.564285714285717</v>
      </c>
      <c r="D73" s="67">
        <v>2.2714285714285714</v>
      </c>
      <c r="E73" s="63">
        <v>0.15714285714285714</v>
      </c>
      <c r="F73" s="63">
        <v>0.42857142857142855</v>
      </c>
      <c r="G73" s="63">
        <v>0.25476603119584057</v>
      </c>
      <c r="H73" s="63">
        <v>0.17677642980935876</v>
      </c>
      <c r="I73" s="64">
        <v>8261.224489795919</v>
      </c>
      <c r="J73" s="64">
        <v>-8473.5294117647063</v>
      </c>
      <c r="K73" s="63">
        <v>0.15714285714285714</v>
      </c>
      <c r="L73" s="63">
        <v>0.21317157712305027</v>
      </c>
      <c r="M73" s="63">
        <v>0.23223570190641249</v>
      </c>
      <c r="N73" s="63">
        <v>0.50406504065040647</v>
      </c>
      <c r="O73" s="63">
        <v>0.42537313432835822</v>
      </c>
      <c r="P73" s="63">
        <v>0.46258503401360546</v>
      </c>
    </row>
    <row r="74" spans="1:16" x14ac:dyDescent="0.45">
      <c r="A74" s="65">
        <v>71</v>
      </c>
      <c r="B74" s="62">
        <v>-786.20000000000016</v>
      </c>
      <c r="C74" s="62">
        <v>-11.073239436619721</v>
      </c>
      <c r="D74" s="67">
        <v>2.2816901408450705</v>
      </c>
      <c r="E74" s="63">
        <v>0.15492957746478872</v>
      </c>
      <c r="F74" s="63">
        <v>0.43661971830985913</v>
      </c>
      <c r="G74" s="63">
        <v>0.25212947189097101</v>
      </c>
      <c r="H74" s="63">
        <v>0.17717206132879046</v>
      </c>
      <c r="I74" s="64">
        <v>8222.9729729729734</v>
      </c>
      <c r="J74" s="64">
        <v>-8450</v>
      </c>
      <c r="K74" s="63">
        <v>0.16901408450704225</v>
      </c>
      <c r="L74" s="63">
        <v>0.21124361158432708</v>
      </c>
      <c r="M74" s="63">
        <v>0.22998296422487224</v>
      </c>
      <c r="N74" s="63">
        <v>0.50806451612903225</v>
      </c>
      <c r="O74" s="63">
        <v>0.42222222222222222</v>
      </c>
      <c r="P74" s="63">
        <v>0.45945945945945948</v>
      </c>
    </row>
    <row r="75" spans="1:16" x14ac:dyDescent="0.45">
      <c r="A75" s="65">
        <v>72</v>
      </c>
      <c r="B75" s="62">
        <v>-848.4000000000002</v>
      </c>
      <c r="C75" s="62">
        <v>-11.783333333333337</v>
      </c>
      <c r="D75" s="67">
        <v>2.2916666666666665</v>
      </c>
      <c r="E75" s="63">
        <v>0.15277777777777779</v>
      </c>
      <c r="F75" s="63">
        <v>0.44444444444444442</v>
      </c>
      <c r="G75" s="63">
        <v>0.24957841483979765</v>
      </c>
      <c r="H75" s="63">
        <v>0.18043844856661045</v>
      </c>
      <c r="I75" s="64">
        <v>8222.9729729729734</v>
      </c>
      <c r="J75" s="64">
        <v>-8566.3551401869154</v>
      </c>
      <c r="K75" s="63">
        <v>0.18055555555555555</v>
      </c>
      <c r="L75" s="63">
        <v>0.21079258010118043</v>
      </c>
      <c r="M75" s="63">
        <v>0.22765598650927488</v>
      </c>
      <c r="N75" s="63">
        <v>0.504</v>
      </c>
      <c r="O75" s="63">
        <v>0.42222222222222222</v>
      </c>
      <c r="P75" s="63">
        <v>0.45945945945945948</v>
      </c>
    </row>
    <row r="76" spans="1:16" x14ac:dyDescent="0.45">
      <c r="A76" s="65">
        <v>73</v>
      </c>
      <c r="B76" s="62">
        <v>-864.60000000000025</v>
      </c>
      <c r="C76" s="62">
        <v>-11.84383561643836</v>
      </c>
      <c r="D76" s="67">
        <v>2.3013698630136985</v>
      </c>
      <c r="E76" s="63">
        <v>0.15068493150684931</v>
      </c>
      <c r="F76" s="63">
        <v>0.45205479452054792</v>
      </c>
      <c r="G76" s="63">
        <v>0.24752475247524752</v>
      </c>
      <c r="H76" s="63">
        <v>0.17986798679867988</v>
      </c>
      <c r="I76" s="64">
        <v>8326.6666666666661</v>
      </c>
      <c r="J76" s="64">
        <v>-8488.9908256880735</v>
      </c>
      <c r="K76" s="63">
        <v>0.17808219178082191</v>
      </c>
      <c r="L76" s="63">
        <v>0.21122112211221122</v>
      </c>
      <c r="M76" s="63">
        <v>0.22772277227722773</v>
      </c>
      <c r="N76" s="63">
        <v>0.5078125</v>
      </c>
      <c r="O76" s="63">
        <v>0.41304347826086957</v>
      </c>
      <c r="P76" s="63">
        <v>0.46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36AD-EBC4-4024-8886-9D4E027F08E8}">
  <sheetPr codeName="Sheet18"/>
  <dimension ref="A1:Q15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5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5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5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5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5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5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 x14ac:dyDescent="0.45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 x14ac:dyDescent="0.45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 x14ac:dyDescent="0.45">
      <c r="A158" s="65">
        <v>155</v>
      </c>
      <c r="B158" s="62">
        <v>-116.69999999999999</v>
      </c>
      <c r="C158" s="62">
        <v>-0.75290322580645153</v>
      </c>
      <c r="D158" s="67">
        <v>2.0516129032258066</v>
      </c>
      <c r="E158" s="63">
        <v>0.25161290322580643</v>
      </c>
      <c r="F158" s="63">
        <v>0.3032258064516129</v>
      </c>
      <c r="G158" s="63">
        <v>0.27662957074721778</v>
      </c>
      <c r="H158" s="63">
        <v>0.13990461049284578</v>
      </c>
      <c r="I158" s="64">
        <v>8463.7931034482754</v>
      </c>
      <c r="J158" s="64">
        <v>-7214.204545454545</v>
      </c>
      <c r="K158" s="63">
        <v>8.387096774193549E-2</v>
      </c>
      <c r="L158" s="63">
        <v>0.2559618441971383</v>
      </c>
      <c r="M158" s="63">
        <v>0.22813990461049286</v>
      </c>
      <c r="N158" s="63">
        <v>0.5496894409937888</v>
      </c>
      <c r="O158" s="63">
        <v>0.41811846689895471</v>
      </c>
      <c r="P158" s="63">
        <v>0.45977011494252873</v>
      </c>
    </row>
    <row r="159" spans="1:16" x14ac:dyDescent="0.45">
      <c r="A159" s="65">
        <v>156</v>
      </c>
      <c r="B159" s="62">
        <v>-82.1</v>
      </c>
      <c r="C159" s="62">
        <v>-0.5262820512820513</v>
      </c>
      <c r="D159" s="67">
        <v>2.0448717948717947</v>
      </c>
      <c r="E159" s="63">
        <v>0.25641025641025639</v>
      </c>
      <c r="F159" s="63">
        <v>0.30128205128205127</v>
      </c>
      <c r="G159" s="63">
        <v>0.27733755942947702</v>
      </c>
      <c r="H159" s="63">
        <v>0.14025356576862125</v>
      </c>
      <c r="I159" s="64">
        <v>8511.1428571428569</v>
      </c>
      <c r="J159" s="64">
        <v>-7195.4802259887001</v>
      </c>
      <c r="K159" s="63">
        <v>8.3333333333333329E-2</v>
      </c>
      <c r="L159" s="63">
        <v>0.25594294770206022</v>
      </c>
      <c r="M159" s="63">
        <v>0.22741679873217116</v>
      </c>
      <c r="N159" s="63">
        <v>0.54798761609907121</v>
      </c>
      <c r="O159" s="63">
        <v>0.41811846689895471</v>
      </c>
      <c r="P159" s="63">
        <v>0.46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41E9C-05CF-4415-B844-FBE1D9FD5245}">
  <sheetPr codeName="Sheet16"/>
  <dimension ref="A1:Q15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5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5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5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5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5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 x14ac:dyDescent="0.45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 x14ac:dyDescent="0.45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  <row r="150" spans="1:16" x14ac:dyDescent="0.45">
      <c r="A150" s="65">
        <v>147</v>
      </c>
      <c r="B150" s="62">
        <v>524.00000000000057</v>
      </c>
      <c r="C150" s="62">
        <v>3.56462585034014</v>
      </c>
      <c r="D150" s="67">
        <v>1.9387755102040816</v>
      </c>
      <c r="E150" s="63">
        <v>0.38775510204081631</v>
      </c>
      <c r="F150" s="63">
        <v>0.32653061224489793</v>
      </c>
      <c r="G150" s="63">
        <v>0.27387996618765847</v>
      </c>
      <c r="H150" s="63">
        <v>0.17413355874894337</v>
      </c>
      <c r="I150" s="64">
        <v>11087.037037037036</v>
      </c>
      <c r="J150" s="64">
        <v>-8384.9514563106804</v>
      </c>
      <c r="K150" s="63">
        <v>0.12925170068027211</v>
      </c>
      <c r="L150" s="63">
        <v>0.2967032967032967</v>
      </c>
      <c r="M150" s="63">
        <v>0.18427726120033813</v>
      </c>
      <c r="N150" s="63">
        <v>0.54131054131054135</v>
      </c>
      <c r="O150" s="63">
        <v>0.38532110091743121</v>
      </c>
      <c r="P150" s="63">
        <v>0.51543209876543206</v>
      </c>
    </row>
    <row r="151" spans="1:16" x14ac:dyDescent="0.45">
      <c r="A151" s="65">
        <v>148</v>
      </c>
      <c r="B151" s="62">
        <v>514.50000000000057</v>
      </c>
      <c r="C151" s="62">
        <v>3.4763513513513553</v>
      </c>
      <c r="D151" s="67">
        <v>1.9391891891891893</v>
      </c>
      <c r="E151" s="63">
        <v>0.38513513513513514</v>
      </c>
      <c r="F151" s="63">
        <v>0.32432432432432434</v>
      </c>
      <c r="G151" s="63">
        <v>0.27318718381112983</v>
      </c>
      <c r="H151" s="63">
        <v>0.17369308600337269</v>
      </c>
      <c r="I151" s="64">
        <v>11087.037037037036</v>
      </c>
      <c r="J151" s="64">
        <v>-8384.9514563106804</v>
      </c>
      <c r="K151" s="63">
        <v>0.12837837837837837</v>
      </c>
      <c r="L151" s="63">
        <v>0.29595278246205736</v>
      </c>
      <c r="M151" s="63">
        <v>0.18465430016863407</v>
      </c>
      <c r="N151" s="63">
        <v>0.54131054131054135</v>
      </c>
      <c r="O151" s="63">
        <v>0.38356164383561642</v>
      </c>
      <c r="P151" s="63">
        <v>0.51543209876543206</v>
      </c>
    </row>
    <row r="152" spans="1:16" x14ac:dyDescent="0.45">
      <c r="A152" s="65">
        <v>149</v>
      </c>
      <c r="B152" s="62">
        <v>570.00000000000057</v>
      </c>
      <c r="C152" s="62">
        <v>3.825503355704702</v>
      </c>
      <c r="D152" s="67">
        <v>1.9328859060402686</v>
      </c>
      <c r="E152" s="63">
        <v>0.38926174496644295</v>
      </c>
      <c r="F152" s="63">
        <v>0.32214765100671139</v>
      </c>
      <c r="G152" s="63">
        <v>0.27417998317914216</v>
      </c>
      <c r="H152" s="63">
        <v>0.17325483599663583</v>
      </c>
      <c r="I152" s="64">
        <v>11153.98773006135</v>
      </c>
      <c r="J152" s="64">
        <v>-8384.9514563106804</v>
      </c>
      <c r="K152" s="63">
        <v>0.12751677852348994</v>
      </c>
      <c r="L152" s="63">
        <v>0.29604709840201848</v>
      </c>
      <c r="M152" s="63">
        <v>0.18418839360807401</v>
      </c>
      <c r="N152" s="63">
        <v>0.54261363636363635</v>
      </c>
      <c r="O152" s="63">
        <v>0.38356164383561642</v>
      </c>
      <c r="P152" s="63">
        <v>0.51533742331288346</v>
      </c>
    </row>
    <row r="153" spans="1:16" x14ac:dyDescent="0.45">
      <c r="A153" s="65">
        <v>150</v>
      </c>
      <c r="B153" s="62">
        <v>598.20000000000061</v>
      </c>
      <c r="C153" s="62">
        <v>3.988000000000004</v>
      </c>
      <c r="D153" s="67">
        <v>1.9266666666666667</v>
      </c>
      <c r="E153" s="63">
        <v>0.39333333333333331</v>
      </c>
      <c r="F153" s="63">
        <v>0.32</v>
      </c>
      <c r="G153" s="63">
        <v>0.27447698744769872</v>
      </c>
      <c r="H153" s="63">
        <v>0.17322175732217573</v>
      </c>
      <c r="I153" s="64">
        <v>11175</v>
      </c>
      <c r="J153" s="64">
        <v>-8402.4154589371974</v>
      </c>
      <c r="K153" s="63">
        <v>0.12666666666666668</v>
      </c>
      <c r="L153" s="63">
        <v>0.29623430962343095</v>
      </c>
      <c r="M153" s="63">
        <v>0.18326359832635983</v>
      </c>
      <c r="N153" s="63">
        <v>0.5423728813559322</v>
      </c>
      <c r="O153" s="63">
        <v>0.38356164383561642</v>
      </c>
      <c r="P153" s="63">
        <v>0.51219512195121952</v>
      </c>
    </row>
    <row r="154" spans="1:16" x14ac:dyDescent="0.45">
      <c r="A154" s="65">
        <v>151</v>
      </c>
      <c r="B154" s="62">
        <v>593.50000000000057</v>
      </c>
      <c r="C154" s="62">
        <v>3.9304635761589442</v>
      </c>
      <c r="D154" s="67">
        <v>1.9271523178807948</v>
      </c>
      <c r="E154" s="63">
        <v>0.39072847682119205</v>
      </c>
      <c r="F154" s="63">
        <v>0.31788079470198677</v>
      </c>
      <c r="G154" s="63">
        <v>0.27377998345740279</v>
      </c>
      <c r="H154" s="63">
        <v>0.17369727047146402</v>
      </c>
      <c r="I154" s="64">
        <v>11139.2749244713</v>
      </c>
      <c r="J154" s="64">
        <v>-8387.1428571428569</v>
      </c>
      <c r="K154" s="63">
        <v>0.12582781456953643</v>
      </c>
      <c r="L154" s="63">
        <v>0.29528535980148884</v>
      </c>
      <c r="M154" s="63">
        <v>0.18527708850289495</v>
      </c>
      <c r="N154" s="63">
        <v>0.54061624649859941</v>
      </c>
      <c r="O154" s="63">
        <v>0.38392857142857145</v>
      </c>
      <c r="P154" s="63">
        <v>0.51057401812688818</v>
      </c>
    </row>
    <row r="155" spans="1:16" x14ac:dyDescent="0.45">
      <c r="A155" s="65">
        <v>152</v>
      </c>
      <c r="B155" s="62">
        <v>623.50000000000057</v>
      </c>
      <c r="C155" s="62">
        <v>4.1019736842105301</v>
      </c>
      <c r="D155" s="67">
        <v>1.9210526315789473</v>
      </c>
      <c r="E155" s="63">
        <v>0.39473684210526316</v>
      </c>
      <c r="F155" s="63">
        <v>0.31578947368421051</v>
      </c>
      <c r="G155" s="63">
        <v>0.27399507793273176</v>
      </c>
      <c r="H155" s="63">
        <v>0.17309269893355209</v>
      </c>
      <c r="I155" s="64">
        <v>11133.832335329342</v>
      </c>
      <c r="J155" s="64">
        <v>-8359.7156398104271</v>
      </c>
      <c r="K155" s="63">
        <v>0.125</v>
      </c>
      <c r="L155" s="63">
        <v>0.29532403609515995</v>
      </c>
      <c r="M155" s="63">
        <v>0.18457752255947499</v>
      </c>
      <c r="N155" s="63">
        <v>0.54166666666666663</v>
      </c>
      <c r="O155" s="63">
        <v>0.38666666666666666</v>
      </c>
      <c r="P155" s="63">
        <v>0.5119760479041916</v>
      </c>
    </row>
    <row r="156" spans="1:16" x14ac:dyDescent="0.45">
      <c r="A156" s="65">
        <v>153</v>
      </c>
      <c r="B156" s="62">
        <v>682.50000000000057</v>
      </c>
      <c r="C156" s="62">
        <v>4.4607843137254939</v>
      </c>
      <c r="D156" s="67">
        <v>1.9150326797385622</v>
      </c>
      <c r="E156" s="63">
        <v>0.39869281045751637</v>
      </c>
      <c r="F156" s="63">
        <v>0.31372549019607843</v>
      </c>
      <c r="G156" s="63">
        <v>0.27591836734693875</v>
      </c>
      <c r="H156" s="63">
        <v>0.17306122448979591</v>
      </c>
      <c r="I156" s="64">
        <v>11166.863905325445</v>
      </c>
      <c r="J156" s="64">
        <v>-8356.6037735849059</v>
      </c>
      <c r="K156" s="63">
        <v>0.12418300653594772</v>
      </c>
      <c r="L156" s="63">
        <v>0.29551020408163264</v>
      </c>
      <c r="M156" s="63">
        <v>0.18612244897959185</v>
      </c>
      <c r="N156" s="63">
        <v>0.54143646408839774</v>
      </c>
      <c r="O156" s="63">
        <v>0.39035087719298245</v>
      </c>
      <c r="P156" s="63">
        <v>0.51183431952662717</v>
      </c>
    </row>
    <row r="157" spans="1:16" x14ac:dyDescent="0.45">
      <c r="A157" s="65">
        <v>154</v>
      </c>
      <c r="B157" s="62">
        <v>699.00000000000057</v>
      </c>
      <c r="C157" s="62">
        <v>4.5389610389610429</v>
      </c>
      <c r="D157" s="67">
        <v>1.9090909090909092</v>
      </c>
      <c r="E157" s="63">
        <v>0.40259740259740262</v>
      </c>
      <c r="F157" s="63">
        <v>0.31168831168831168</v>
      </c>
      <c r="G157" s="63">
        <v>0.27625201938610661</v>
      </c>
      <c r="H157" s="63">
        <v>0.172859450726979</v>
      </c>
      <c r="I157" s="64">
        <v>11169.883040935672</v>
      </c>
      <c r="J157" s="64">
        <v>-8370.5607476635505</v>
      </c>
      <c r="K157" s="63">
        <v>0.12337662337662338</v>
      </c>
      <c r="L157" s="63">
        <v>0.2940226171243942</v>
      </c>
      <c r="M157" s="63">
        <v>0.18659127625201938</v>
      </c>
      <c r="N157" s="63">
        <v>0.54395604395604391</v>
      </c>
      <c r="O157" s="63">
        <v>0.38961038961038963</v>
      </c>
      <c r="P157" s="63">
        <v>0.51169590643274854</v>
      </c>
    </row>
    <row r="158" spans="1:16" x14ac:dyDescent="0.45">
      <c r="A158" s="65">
        <v>155</v>
      </c>
      <c r="B158" s="62">
        <v>713.80000000000052</v>
      </c>
      <c r="C158" s="62">
        <v>4.6051612903225836</v>
      </c>
      <c r="D158" s="67">
        <v>1.9096774193548387</v>
      </c>
      <c r="E158" s="63">
        <v>0.4</v>
      </c>
      <c r="F158" s="63">
        <v>0.30967741935483872</v>
      </c>
      <c r="G158" s="63">
        <v>0.27644230769230771</v>
      </c>
      <c r="H158" s="63">
        <v>0.17227564102564102</v>
      </c>
      <c r="I158" s="64">
        <v>11155.36231884058</v>
      </c>
      <c r="J158" s="64">
        <v>-8355.8139534883721</v>
      </c>
      <c r="K158" s="63">
        <v>0.12258064516129032</v>
      </c>
      <c r="L158" s="63">
        <v>0.29407051282051283</v>
      </c>
      <c r="M158" s="63">
        <v>0.18669871794871795</v>
      </c>
      <c r="N158" s="63">
        <v>0.54495912806539515</v>
      </c>
      <c r="O158" s="63">
        <v>0.3905579399141631</v>
      </c>
      <c r="P158" s="63">
        <v>0.51014492753623186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33D2-537B-49D8-9312-DA8AD39FE737}">
  <sheetPr codeName="Sheet14"/>
  <dimension ref="A1:Q10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  <row r="104" spans="1:16" x14ac:dyDescent="0.45">
      <c r="A104" s="65">
        <v>101</v>
      </c>
      <c r="B104" s="62">
        <v>-765.99999999999989</v>
      </c>
      <c r="C104" s="62">
        <v>-7.5841584158415829</v>
      </c>
      <c r="D104" s="67">
        <v>2.1980198019801982</v>
      </c>
      <c r="E104" s="63">
        <v>0.20792079207920791</v>
      </c>
      <c r="F104" s="63">
        <v>0.40594059405940597</v>
      </c>
      <c r="G104" s="63">
        <v>0.26551724137931032</v>
      </c>
      <c r="H104" s="63">
        <v>0.18275862068965518</v>
      </c>
      <c r="I104" s="64">
        <v>7819.4805194805194</v>
      </c>
      <c r="J104" s="64">
        <v>-7813.2075471698117</v>
      </c>
      <c r="K104" s="63">
        <v>7.9207920792079209E-2</v>
      </c>
      <c r="L104" s="63">
        <v>0.27471264367816089</v>
      </c>
      <c r="M104" s="63">
        <v>0.19195402298850575</v>
      </c>
      <c r="N104" s="63">
        <v>0.53974895397489542</v>
      </c>
      <c r="O104" s="63">
        <v>0.40119760479041916</v>
      </c>
      <c r="P104" s="63">
        <v>0.46753246753246752</v>
      </c>
    </row>
    <row r="105" spans="1:16" x14ac:dyDescent="0.45">
      <c r="A105" s="65">
        <v>102</v>
      </c>
      <c r="B105" s="62">
        <v>-759.19999999999993</v>
      </c>
      <c r="C105" s="62">
        <v>-7.4431372549019601</v>
      </c>
      <c r="D105" s="67">
        <v>2.1960784313725492</v>
      </c>
      <c r="E105" s="63">
        <v>0.20588235294117646</v>
      </c>
      <c r="F105" s="63">
        <v>0.40196078431372551</v>
      </c>
      <c r="G105" s="63">
        <v>0.26560726447219069</v>
      </c>
      <c r="H105" s="63">
        <v>0.18161180476730987</v>
      </c>
      <c r="I105" s="64">
        <v>7844.0170940170938</v>
      </c>
      <c r="J105" s="64">
        <v>-7839.375</v>
      </c>
      <c r="K105" s="63">
        <v>7.8431372549019607E-2</v>
      </c>
      <c r="L105" s="63">
        <v>0.27582292849035189</v>
      </c>
      <c r="M105" s="63">
        <v>0.19069239500567536</v>
      </c>
      <c r="N105" s="63">
        <v>0.53909465020576131</v>
      </c>
      <c r="O105" s="63">
        <v>0.39880952380952384</v>
      </c>
      <c r="P105" s="63">
        <v>0.47435897435897434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2392-6715-4E25-8D4E-AF79D6B2F398}">
  <sheetPr codeName="Sheet12"/>
  <dimension ref="A1:Q18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5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 x14ac:dyDescent="0.45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 x14ac:dyDescent="0.45">
      <c r="A178" s="65">
        <v>175</v>
      </c>
      <c r="B178" s="62">
        <v>-68.600000000000207</v>
      </c>
      <c r="C178" s="62">
        <v>-0.39200000000000118</v>
      </c>
      <c r="D178" s="67">
        <v>1.9828571428571429</v>
      </c>
      <c r="E178" s="63">
        <v>0.33714285714285713</v>
      </c>
      <c r="F178" s="63">
        <v>0.32</v>
      </c>
      <c r="G178" s="63">
        <v>0.31314521679284241</v>
      </c>
      <c r="H178" s="63">
        <v>0.17618719889883</v>
      </c>
      <c r="I178" s="64">
        <v>7886.3736263736264</v>
      </c>
      <c r="J178" s="64">
        <v>-7970.3125</v>
      </c>
      <c r="K178" s="63">
        <v>0.10285714285714286</v>
      </c>
      <c r="L178" s="63">
        <v>0.2326221610461115</v>
      </c>
      <c r="M178" s="63">
        <v>0.29800412938747417</v>
      </c>
      <c r="N178" s="63">
        <v>0.51183431952662717</v>
      </c>
      <c r="O178" s="63">
        <v>0.39030023094688221</v>
      </c>
      <c r="P178" s="63">
        <v>0.4175824175824176</v>
      </c>
    </row>
    <row r="179" spans="1:16" x14ac:dyDescent="0.45">
      <c r="A179" s="65">
        <v>176</v>
      </c>
      <c r="B179" s="62">
        <v>-6.0000000000002061</v>
      </c>
      <c r="C179" s="62">
        <v>-3.4090909090910261E-2</v>
      </c>
      <c r="D179" s="67">
        <v>1.9772727272727273</v>
      </c>
      <c r="E179" s="63">
        <v>0.34090909090909088</v>
      </c>
      <c r="F179" s="63">
        <v>0.31818181818181818</v>
      </c>
      <c r="G179" s="63">
        <v>0.31456043956043955</v>
      </c>
      <c r="H179" s="63">
        <v>0.17582417582417584</v>
      </c>
      <c r="I179" s="64">
        <v>7938.6462882096066</v>
      </c>
      <c r="J179" s="64">
        <v>-7970.3125</v>
      </c>
      <c r="K179" s="63">
        <v>0.10227272727272728</v>
      </c>
      <c r="L179" s="63">
        <v>0.23282967032967034</v>
      </c>
      <c r="M179" s="63">
        <v>0.29876373626373626</v>
      </c>
      <c r="N179" s="63">
        <v>0.51327433628318586</v>
      </c>
      <c r="O179" s="63">
        <v>0.39310344827586208</v>
      </c>
      <c r="P179" s="63">
        <v>0.41703056768558949</v>
      </c>
    </row>
    <row r="180" spans="1:16" x14ac:dyDescent="0.45">
      <c r="A180" s="65">
        <v>177</v>
      </c>
      <c r="B180" s="62">
        <v>-11.000000000000206</v>
      </c>
      <c r="C180" s="62">
        <v>-6.2146892655368394E-2</v>
      </c>
      <c r="D180" s="67">
        <v>1.9774011299435028</v>
      </c>
      <c r="E180" s="63">
        <v>0.33898305084745761</v>
      </c>
      <c r="F180" s="63">
        <v>0.31638418079096048</v>
      </c>
      <c r="G180" s="63">
        <v>0.31629175187457398</v>
      </c>
      <c r="H180" s="63">
        <v>0.17586912065439672</v>
      </c>
      <c r="I180" s="64">
        <v>7903.6637931034484</v>
      </c>
      <c r="J180" s="64">
        <v>-7970.1550387596899</v>
      </c>
      <c r="K180" s="63">
        <v>0.10169491525423729</v>
      </c>
      <c r="L180" s="63">
        <v>0.23176550783912747</v>
      </c>
      <c r="M180" s="63">
        <v>0.29993183367416498</v>
      </c>
      <c r="N180" s="63">
        <v>0.5117647058823529</v>
      </c>
      <c r="O180" s="63">
        <v>0.39772727272727271</v>
      </c>
      <c r="P180" s="63">
        <v>0.41379310344827586</v>
      </c>
    </row>
    <row r="181" spans="1:16" x14ac:dyDescent="0.45">
      <c r="A181" s="65">
        <v>178</v>
      </c>
      <c r="B181" s="62">
        <v>-47.000000000000206</v>
      </c>
      <c r="C181" s="62">
        <v>-0.26404494382022586</v>
      </c>
      <c r="D181" s="67">
        <v>1.9831460674157304</v>
      </c>
      <c r="E181" s="63">
        <v>0.33707865168539325</v>
      </c>
      <c r="F181" s="63">
        <v>0.3202247191011236</v>
      </c>
      <c r="G181" s="63">
        <v>0.31532748143146522</v>
      </c>
      <c r="H181" s="63">
        <v>0.17690749493585414</v>
      </c>
      <c r="I181" s="64">
        <v>7886.0813704496786</v>
      </c>
      <c r="J181" s="64">
        <v>-7936.259541984733</v>
      </c>
      <c r="K181" s="63">
        <v>0.10112359550561797</v>
      </c>
      <c r="L181" s="63">
        <v>0.22957461174881835</v>
      </c>
      <c r="M181" s="63">
        <v>0.29912221471978395</v>
      </c>
      <c r="N181" s="63">
        <v>0.5117647058823529</v>
      </c>
      <c r="O181" s="63">
        <v>0.39729119638826182</v>
      </c>
      <c r="P181" s="63">
        <v>0.41327623126338331</v>
      </c>
    </row>
    <row r="182" spans="1:16" x14ac:dyDescent="0.45">
      <c r="A182" s="65">
        <v>179</v>
      </c>
      <c r="B182" s="62">
        <v>-101.70000000000022</v>
      </c>
      <c r="C182" s="62">
        <v>-0.56815642458100679</v>
      </c>
      <c r="D182" s="67">
        <v>1.988826815642458</v>
      </c>
      <c r="E182" s="63">
        <v>0.33519553072625696</v>
      </c>
      <c r="F182" s="63">
        <v>0.32402234636871508</v>
      </c>
      <c r="G182" s="63">
        <v>0.31321260898725689</v>
      </c>
      <c r="H182" s="63">
        <v>0.17706237424547283</v>
      </c>
      <c r="I182" s="64">
        <v>7886.0813704496786</v>
      </c>
      <c r="J182" s="64">
        <v>-7989.772727272727</v>
      </c>
      <c r="K182" s="63">
        <v>0.10614525139664804</v>
      </c>
      <c r="L182" s="63">
        <v>0.22937625754527163</v>
      </c>
      <c r="M182" s="63">
        <v>0.29912810194500333</v>
      </c>
      <c r="N182" s="63">
        <v>0.50877192982456143</v>
      </c>
      <c r="O182" s="63">
        <v>0.39461883408071746</v>
      </c>
      <c r="P182" s="63">
        <v>0.41327623126338331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16637-A616-4943-81C4-BA82095FC88E}">
  <sheetPr codeName="Sheet10"/>
  <dimension ref="A1:Q2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5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5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5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5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5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5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 x14ac:dyDescent="0.45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 x14ac:dyDescent="0.45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 x14ac:dyDescent="0.45">
      <c r="A202" s="65">
        <v>199</v>
      </c>
      <c r="B202" s="62">
        <v>1806.0999999999997</v>
      </c>
      <c r="C202" s="62">
        <v>9.0758793969849236</v>
      </c>
      <c r="D202" s="67">
        <v>1.7738693467336684</v>
      </c>
      <c r="E202" s="63">
        <v>0.46733668341708545</v>
      </c>
      <c r="F202" s="63">
        <v>0.24120603015075376</v>
      </c>
      <c r="G202" s="63">
        <v>0.3408399269628728</v>
      </c>
      <c r="H202" s="63">
        <v>0.1241631162507608</v>
      </c>
      <c r="I202" s="64">
        <v>8258.75</v>
      </c>
      <c r="J202" s="64">
        <v>-7767.6470588235297</v>
      </c>
      <c r="K202" s="63">
        <v>4.5226130653266333E-2</v>
      </c>
      <c r="L202" s="63">
        <v>0.26293365794278756</v>
      </c>
      <c r="M202" s="63">
        <v>0.23554473524041389</v>
      </c>
      <c r="N202" s="63">
        <v>0.58101851851851849</v>
      </c>
      <c r="O202" s="63">
        <v>0.48320413436692505</v>
      </c>
      <c r="P202" s="63">
        <v>0.42321428571428571</v>
      </c>
    </row>
    <row r="203" spans="1:16" x14ac:dyDescent="0.45">
      <c r="A203" s="65">
        <v>200</v>
      </c>
      <c r="B203" s="62">
        <v>1830.1999999999996</v>
      </c>
      <c r="C203" s="62">
        <v>9.150999999999998</v>
      </c>
      <c r="D203" s="67">
        <v>1.77</v>
      </c>
      <c r="E203" s="63">
        <v>0.47</v>
      </c>
      <c r="F203" s="63">
        <v>0.24</v>
      </c>
      <c r="G203" s="63">
        <v>0.34079903147699758</v>
      </c>
      <c r="H203" s="63">
        <v>0.12409200968523003</v>
      </c>
      <c r="I203" s="64">
        <v>8273.712255772647</v>
      </c>
      <c r="J203" s="64">
        <v>-7736.0975609756097</v>
      </c>
      <c r="K203" s="63">
        <v>4.4999999999999998E-2</v>
      </c>
      <c r="L203" s="63">
        <v>0.26392251815980627</v>
      </c>
      <c r="M203" s="63">
        <v>0.23547215496368037</v>
      </c>
      <c r="N203" s="63">
        <v>0.58027522935779818</v>
      </c>
      <c r="O203" s="63">
        <v>0.48329048843187661</v>
      </c>
      <c r="P203" s="63">
        <v>0.42273534635879217</v>
      </c>
    </row>
    <row r="204" spans="1:16" x14ac:dyDescent="0.45">
      <c r="A204" s="65">
        <v>201</v>
      </c>
      <c r="B204" s="62">
        <v>1812.7999999999995</v>
      </c>
      <c r="C204" s="62">
        <v>9.0189054726368134</v>
      </c>
      <c r="D204" s="67">
        <v>1.7761194029850746</v>
      </c>
      <c r="E204" s="63">
        <v>0.46766169154228854</v>
      </c>
      <c r="F204" s="63">
        <v>0.24378109452736318</v>
      </c>
      <c r="G204" s="63">
        <v>0.33974744437763077</v>
      </c>
      <c r="H204" s="63">
        <v>0.12507516536380037</v>
      </c>
      <c r="I204" s="64">
        <v>8286.9026548672573</v>
      </c>
      <c r="J204" s="64">
        <v>-7691.3461538461543</v>
      </c>
      <c r="K204" s="63">
        <v>4.4776119402985072E-2</v>
      </c>
      <c r="L204" s="63">
        <v>0.26398075766686713</v>
      </c>
      <c r="M204" s="63">
        <v>0.23571858087793146</v>
      </c>
      <c r="N204" s="63">
        <v>0.5808656036446469</v>
      </c>
      <c r="O204" s="63">
        <v>0.47959183673469385</v>
      </c>
      <c r="P204" s="63">
        <v>0.42123893805309737</v>
      </c>
    </row>
    <row r="205" spans="1:16" x14ac:dyDescent="0.45">
      <c r="A205" s="65">
        <v>202</v>
      </c>
      <c r="B205" s="62">
        <v>1853.4999999999995</v>
      </c>
      <c r="C205" s="62">
        <v>9.1757425742574235</v>
      </c>
      <c r="D205" s="67">
        <v>1.7722772277227723</v>
      </c>
      <c r="E205" s="63">
        <v>0.47029702970297027</v>
      </c>
      <c r="F205" s="63">
        <v>0.24257425742574257</v>
      </c>
      <c r="G205" s="63">
        <v>0.34048896839594511</v>
      </c>
      <c r="H205" s="63">
        <v>0.12522361359570661</v>
      </c>
      <c r="I205" s="64">
        <v>8282.6619964973725</v>
      </c>
      <c r="J205" s="64">
        <v>-7655.2380952380954</v>
      </c>
      <c r="K205" s="63">
        <v>4.4554455445544552E-2</v>
      </c>
      <c r="L205" s="63">
        <v>0.26416219439475253</v>
      </c>
      <c r="M205" s="63">
        <v>0.23673225998807393</v>
      </c>
      <c r="N205" s="63">
        <v>0.58013544018058694</v>
      </c>
      <c r="O205" s="63">
        <v>0.47858942065491183</v>
      </c>
      <c r="P205" s="63">
        <v>0.41856392294220668</v>
      </c>
    </row>
    <row r="206" spans="1:16" x14ac:dyDescent="0.45">
      <c r="A206" s="65">
        <v>203</v>
      </c>
      <c r="B206" s="62">
        <v>1867.4999999999995</v>
      </c>
      <c r="C206" s="62">
        <v>9.1995073891625587</v>
      </c>
      <c r="D206" s="67">
        <v>1.7684729064039408</v>
      </c>
      <c r="E206" s="63">
        <v>0.47290640394088668</v>
      </c>
      <c r="F206" s="63">
        <v>0.2413793103448276</v>
      </c>
      <c r="G206" s="63">
        <v>0.33966745843230406</v>
      </c>
      <c r="H206" s="63">
        <v>0.12470308788598575</v>
      </c>
      <c r="I206" s="64">
        <v>8289.1608391608388</v>
      </c>
      <c r="J206" s="64">
        <v>-7655.2380952380954</v>
      </c>
      <c r="K206" s="63">
        <v>4.4334975369458129E-2</v>
      </c>
      <c r="L206" s="63">
        <v>0.26543942992874109</v>
      </c>
      <c r="M206" s="63">
        <v>0.23634204275534443</v>
      </c>
      <c r="N206" s="63">
        <v>0.57718120805369133</v>
      </c>
      <c r="O206" s="63">
        <v>0.47738693467336685</v>
      </c>
      <c r="P206" s="63">
        <v>0.41958041958041958</v>
      </c>
    </row>
    <row r="207" spans="1:16" x14ac:dyDescent="0.45">
      <c r="A207" s="65">
        <v>204</v>
      </c>
      <c r="B207" s="62">
        <v>1934.3999999999996</v>
      </c>
      <c r="C207" s="62">
        <v>9.4823529411764689</v>
      </c>
      <c r="D207" s="67">
        <v>1.7647058823529411</v>
      </c>
      <c r="E207" s="63">
        <v>0.47549019607843135</v>
      </c>
      <c r="F207" s="63">
        <v>0.24019607843137256</v>
      </c>
      <c r="G207" s="63">
        <v>0.34238488783943327</v>
      </c>
      <c r="H207" s="63">
        <v>0.12396694214876033</v>
      </c>
      <c r="I207" s="64">
        <v>8280.689655172413</v>
      </c>
      <c r="J207" s="64">
        <v>-7655.2380952380954</v>
      </c>
      <c r="K207" s="63">
        <v>4.4117647058823532E-2</v>
      </c>
      <c r="L207" s="63">
        <v>0.26564344746162927</v>
      </c>
      <c r="M207" s="63">
        <v>0.2384887839433294</v>
      </c>
      <c r="N207" s="63">
        <v>0.57999999999999996</v>
      </c>
      <c r="O207" s="63">
        <v>0.48267326732673266</v>
      </c>
      <c r="P207" s="63">
        <v>0.4206896551724138</v>
      </c>
    </row>
    <row r="208" spans="1:16" x14ac:dyDescent="0.45">
      <c r="A208" s="65">
        <v>205</v>
      </c>
      <c r="B208" s="62">
        <v>1937.5999999999997</v>
      </c>
      <c r="C208" s="62">
        <v>9.4517073170731685</v>
      </c>
      <c r="D208" s="67">
        <v>1.7658536585365854</v>
      </c>
      <c r="E208" s="63">
        <v>0.47317073170731705</v>
      </c>
      <c r="F208" s="63">
        <v>0.23902439024390243</v>
      </c>
      <c r="G208" s="63">
        <v>0.34235294117647058</v>
      </c>
      <c r="H208" s="63">
        <v>0.12352941176470589</v>
      </c>
      <c r="I208" s="64">
        <v>8275.4295532646047</v>
      </c>
      <c r="J208" s="64">
        <v>-7655.2380952380954</v>
      </c>
      <c r="K208" s="63">
        <v>4.3902439024390241E-2</v>
      </c>
      <c r="L208" s="63">
        <v>0.26529411764705885</v>
      </c>
      <c r="M208" s="63">
        <v>0.23764705882352941</v>
      </c>
      <c r="N208" s="63">
        <v>0.58093126385809313</v>
      </c>
      <c r="O208" s="63">
        <v>0.48267326732673266</v>
      </c>
      <c r="P208" s="63">
        <v>0.41924398625429554</v>
      </c>
    </row>
    <row r="209" spans="1:16" x14ac:dyDescent="0.45">
      <c r="A209" s="65">
        <v>206</v>
      </c>
      <c r="B209" s="62">
        <v>1937.2999999999997</v>
      </c>
      <c r="C209" s="62">
        <v>9.4043689320388335</v>
      </c>
      <c r="D209" s="67">
        <v>1.766990291262136</v>
      </c>
      <c r="E209" s="63">
        <v>0.470873786407767</v>
      </c>
      <c r="F209" s="63">
        <v>0.23786407766990292</v>
      </c>
      <c r="G209" s="63">
        <v>0.3426736719206071</v>
      </c>
      <c r="H209" s="63">
        <v>0.1237594862813777</v>
      </c>
      <c r="I209" s="64">
        <v>8274.2759795570691</v>
      </c>
      <c r="J209" s="64">
        <v>-7630.1886792452833</v>
      </c>
      <c r="K209" s="63">
        <v>4.3689320388349516E-2</v>
      </c>
      <c r="L209" s="63">
        <v>0.26503210741389377</v>
      </c>
      <c r="M209" s="63">
        <v>0.23934617629889082</v>
      </c>
      <c r="N209" s="63">
        <v>0.58149779735682816</v>
      </c>
      <c r="O209" s="63">
        <v>0.48292682926829267</v>
      </c>
      <c r="P209" s="63">
        <v>0.4190800681431005</v>
      </c>
    </row>
    <row r="210" spans="1:16" x14ac:dyDescent="0.45">
      <c r="A210" s="65">
        <v>207</v>
      </c>
      <c r="B210" s="62">
        <v>1977.1999999999998</v>
      </c>
      <c r="C210" s="62">
        <v>9.5516908212560381</v>
      </c>
      <c r="D210" s="67">
        <v>1.7632850241545894</v>
      </c>
      <c r="E210" s="63">
        <v>0.47342995169082125</v>
      </c>
      <c r="F210" s="63">
        <v>0.23671497584541062</v>
      </c>
      <c r="G210" s="63">
        <v>0.34300638421358098</v>
      </c>
      <c r="H210" s="63">
        <v>0.12362159024956472</v>
      </c>
      <c r="I210" s="64">
        <v>8277.8341793570216</v>
      </c>
      <c r="J210" s="64">
        <v>-7630.5164319248825</v>
      </c>
      <c r="K210" s="63">
        <v>4.3478260869565216E-2</v>
      </c>
      <c r="L210" s="63">
        <v>0.26465467208357518</v>
      </c>
      <c r="M210" s="63">
        <v>0.23969820081253626</v>
      </c>
      <c r="N210" s="63">
        <v>0.58333333333333337</v>
      </c>
      <c r="O210" s="63">
        <v>0.48426150121065376</v>
      </c>
      <c r="P210" s="63">
        <v>0.41962774957698817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78BE9-CB30-4768-B77F-9BC2DBDF8E07}">
  <sheetPr codeName="Sheet8"/>
  <dimension ref="A1:Q9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 x14ac:dyDescent="0.45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  <row r="92" spans="1:16" x14ac:dyDescent="0.45">
      <c r="A92" s="65">
        <v>89</v>
      </c>
      <c r="B92" s="62">
        <v>-581.00000000000023</v>
      </c>
      <c r="C92" s="62">
        <v>-6.5280898876404523</v>
      </c>
      <c r="D92" s="67">
        <v>2.1573033707865168</v>
      </c>
      <c r="E92" s="63">
        <v>0.2808988764044944</v>
      </c>
      <c r="F92" s="63">
        <v>0.43820224719101125</v>
      </c>
      <c r="G92" s="63">
        <v>0.27341772151898736</v>
      </c>
      <c r="H92" s="63">
        <v>0.16202531645569621</v>
      </c>
      <c r="I92" s="64">
        <v>7159.7222222222226</v>
      </c>
      <c r="J92" s="64">
        <v>-7497.65625</v>
      </c>
      <c r="K92" s="63">
        <v>7.8651685393258425E-2</v>
      </c>
      <c r="L92" s="63">
        <v>0.14177215189873418</v>
      </c>
      <c r="M92" s="63">
        <v>0.26202531645569621</v>
      </c>
      <c r="N92" s="63">
        <v>0.5357142857142857</v>
      </c>
      <c r="O92" s="63">
        <v>0.39613526570048307</v>
      </c>
      <c r="P92" s="63">
        <v>0.43518518518518517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6BA59-4BFE-43DD-B559-D7033676116D}">
  <sheetPr codeName="Sheet6"/>
  <dimension ref="A1:Q34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5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5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5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5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5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5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 x14ac:dyDescent="0.45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 x14ac:dyDescent="0.45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 x14ac:dyDescent="0.45">
      <c r="A332" s="65">
        <v>329</v>
      </c>
      <c r="B332" s="62">
        <v>-7.1054273576010019E-14</v>
      </c>
      <c r="C332" s="62">
        <v>-7.1990145467082087E-17</v>
      </c>
      <c r="D332" s="67">
        <v>2</v>
      </c>
      <c r="E332" s="63">
        <v>0.33333333333333331</v>
      </c>
      <c r="F332" s="63">
        <v>0.33333333333333331</v>
      </c>
      <c r="G332" s="63">
        <v>0.29408914728682173</v>
      </c>
      <c r="H332" s="63">
        <v>0.16024709302325582</v>
      </c>
      <c r="I332" s="64">
        <v>8426.6886326194399</v>
      </c>
      <c r="J332" s="64">
        <v>-7843.6885865457298</v>
      </c>
      <c r="K332" s="63">
        <v>9.5238095238095233E-2</v>
      </c>
      <c r="L332" s="63">
        <v>0.2502422480620155</v>
      </c>
      <c r="M332" s="63">
        <v>0.23146802325581395</v>
      </c>
      <c r="N332" s="63">
        <v>0.54791868344627304</v>
      </c>
      <c r="O332" s="63">
        <v>0.41967556253270538</v>
      </c>
      <c r="P332" s="63">
        <v>0.45016474464579903</v>
      </c>
    </row>
    <row r="333" spans="1:16" x14ac:dyDescent="0.45">
      <c r="A333" s="65">
        <v>330</v>
      </c>
      <c r="B333" s="62">
        <v>-7.1054273576010019E-14</v>
      </c>
      <c r="C333" s="62">
        <v>-7.1771993511121237E-17</v>
      </c>
      <c r="D333" s="67">
        <v>2</v>
      </c>
      <c r="E333" s="63">
        <v>0.33333333333333331</v>
      </c>
      <c r="F333" s="63">
        <v>0.33333333333333331</v>
      </c>
      <c r="G333" s="63">
        <v>0.29414610546686021</v>
      </c>
      <c r="H333" s="63">
        <v>0.16025641025641027</v>
      </c>
      <c r="I333" s="64">
        <v>8431.4967105263149</v>
      </c>
      <c r="J333" s="64">
        <v>-7858.9433962264147</v>
      </c>
      <c r="K333" s="63">
        <v>9.5959595959595953E-2</v>
      </c>
      <c r="L333" s="63">
        <v>0.25024189646831158</v>
      </c>
      <c r="M333" s="63">
        <v>0.23113207547169812</v>
      </c>
      <c r="N333" s="63">
        <v>0.54809086515224748</v>
      </c>
      <c r="O333" s="63">
        <v>0.41967556253270538</v>
      </c>
      <c r="P333" s="63">
        <v>0.45024671052631576</v>
      </c>
    </row>
    <row r="334" spans="1:16" x14ac:dyDescent="0.45">
      <c r="A334" s="65">
        <v>331</v>
      </c>
      <c r="B334" s="62">
        <v>-7.1054273576010019E-14</v>
      </c>
      <c r="C334" s="62">
        <v>-7.1555159693867088E-17</v>
      </c>
      <c r="D334" s="67">
        <v>2</v>
      </c>
      <c r="E334" s="63">
        <v>0.33333333333333331</v>
      </c>
      <c r="F334" s="63">
        <v>0.33333333333333331</v>
      </c>
      <c r="G334" s="63">
        <v>0.29415310427968655</v>
      </c>
      <c r="H334" s="63">
        <v>0.16009644364074743</v>
      </c>
      <c r="I334" s="64">
        <v>8415.7786885245896</v>
      </c>
      <c r="J334" s="64">
        <v>-7846.7620481927706</v>
      </c>
      <c r="K334" s="63">
        <v>9.5669687814702919E-2</v>
      </c>
      <c r="L334" s="63">
        <v>0.25051235684147077</v>
      </c>
      <c r="M334" s="63">
        <v>0.23122362869198312</v>
      </c>
      <c r="N334" s="63">
        <v>0.54716073147256983</v>
      </c>
      <c r="O334" s="63">
        <v>0.42022940563086547</v>
      </c>
      <c r="P334" s="63">
        <v>0.45081967213114754</v>
      </c>
    </row>
    <row r="335" spans="1:16" x14ac:dyDescent="0.45">
      <c r="A335" s="65">
        <v>332</v>
      </c>
      <c r="B335" s="62">
        <v>-7.815970093361102E-14</v>
      </c>
      <c r="C335" s="62">
        <v>-7.8473595314870504E-17</v>
      </c>
      <c r="D335" s="67">
        <v>2</v>
      </c>
      <c r="E335" s="63">
        <v>0.33333333333333331</v>
      </c>
      <c r="F335" s="63">
        <v>0.33333333333333331</v>
      </c>
      <c r="G335" s="63">
        <v>0.29422382671480146</v>
      </c>
      <c r="H335" s="63">
        <v>0.15980746089049339</v>
      </c>
      <c r="I335" s="64">
        <v>8423.7218813905929</v>
      </c>
      <c r="J335" s="64">
        <v>-7846.7620481927706</v>
      </c>
      <c r="K335" s="63">
        <v>9.6385542168674704E-2</v>
      </c>
      <c r="L335" s="63">
        <v>0.25054151624548737</v>
      </c>
      <c r="M335" s="63">
        <v>0.23092659446450059</v>
      </c>
      <c r="N335" s="63">
        <v>0.54707012487992313</v>
      </c>
      <c r="O335" s="63">
        <v>0.42053152683689421</v>
      </c>
      <c r="P335" s="63">
        <v>0.45194274028629855</v>
      </c>
    </row>
    <row r="336" spans="1:16" x14ac:dyDescent="0.45">
      <c r="A336" s="65">
        <v>333</v>
      </c>
      <c r="B336" s="62">
        <v>-7.815970093361102E-14</v>
      </c>
      <c r="C336" s="62">
        <v>-7.8237938872483503E-17</v>
      </c>
      <c r="D336" s="67">
        <v>2</v>
      </c>
      <c r="E336" s="63">
        <v>0.33333333333333331</v>
      </c>
      <c r="F336" s="63">
        <v>0.33333333333333331</v>
      </c>
      <c r="G336" s="63">
        <v>0.29426613775694194</v>
      </c>
      <c r="H336" s="63">
        <v>0.15987498497415556</v>
      </c>
      <c r="I336" s="64">
        <v>8432.8431372549021</v>
      </c>
      <c r="J336" s="64">
        <v>-7857.2180451127815</v>
      </c>
      <c r="K336" s="63">
        <v>9.7097097097097101E-2</v>
      </c>
      <c r="L336" s="63">
        <v>0.25063108546700325</v>
      </c>
      <c r="M336" s="63">
        <v>0.23103738430099771</v>
      </c>
      <c r="N336" s="63">
        <v>0.5467625899280576</v>
      </c>
      <c r="O336" s="63">
        <v>0.42091571279916751</v>
      </c>
      <c r="P336" s="63">
        <v>0.45179738562091504</v>
      </c>
    </row>
    <row r="337" spans="1:16" x14ac:dyDescent="0.45">
      <c r="A337" s="65">
        <v>334</v>
      </c>
      <c r="B337" s="62">
        <v>-7.815970093361102E-14</v>
      </c>
      <c r="C337" s="62">
        <v>-7.8003693546517987E-17</v>
      </c>
      <c r="D337" s="67">
        <v>2</v>
      </c>
      <c r="E337" s="63">
        <v>0.33333333333333331</v>
      </c>
      <c r="F337" s="63">
        <v>0.33333333333333331</v>
      </c>
      <c r="G337" s="63">
        <v>0.29418828049951967</v>
      </c>
      <c r="H337" s="63">
        <v>0.15982228626320846</v>
      </c>
      <c r="I337" s="64">
        <v>8443.9183673469379</v>
      </c>
      <c r="J337" s="64">
        <v>-7875.3568745304283</v>
      </c>
      <c r="K337" s="63">
        <v>9.7804391217564873E-2</v>
      </c>
      <c r="L337" s="63">
        <v>0.25072046109510088</v>
      </c>
      <c r="M337" s="63">
        <v>0.23090778097982709</v>
      </c>
      <c r="N337" s="63">
        <v>0.54645593869731801</v>
      </c>
      <c r="O337" s="63">
        <v>0.42069682787311491</v>
      </c>
      <c r="P337" s="63">
        <v>0.45183673469387753</v>
      </c>
    </row>
    <row r="338" spans="1:16" x14ac:dyDescent="0.45">
      <c r="A338" s="65">
        <v>335</v>
      </c>
      <c r="B338" s="62">
        <v>-8.1712414612411521E-14</v>
      </c>
      <c r="C338" s="62">
        <v>-8.1305885186479123E-17</v>
      </c>
      <c r="D338" s="67">
        <v>2</v>
      </c>
      <c r="E338" s="63">
        <v>0.33333333333333331</v>
      </c>
      <c r="F338" s="63">
        <v>0.33333333333333331</v>
      </c>
      <c r="G338" s="63">
        <v>0.29415288761083153</v>
      </c>
      <c r="H338" s="63">
        <v>0.15995686556434219</v>
      </c>
      <c r="I338" s="64">
        <v>8455.7230142566186</v>
      </c>
      <c r="J338" s="64">
        <v>-7896.1048689138579</v>
      </c>
      <c r="K338" s="63">
        <v>9.8507462686567168E-2</v>
      </c>
      <c r="L338" s="63">
        <v>0.25077881619937692</v>
      </c>
      <c r="M338" s="63">
        <v>0.23076923076923078</v>
      </c>
      <c r="N338" s="63">
        <v>0.54610606784519833</v>
      </c>
      <c r="O338" s="63">
        <v>0.42107995846313601</v>
      </c>
      <c r="P338" s="63">
        <v>0.45132382892057027</v>
      </c>
    </row>
    <row r="339" spans="1:16" x14ac:dyDescent="0.45">
      <c r="A339" s="65">
        <v>336</v>
      </c>
      <c r="B339" s="62">
        <v>-7.815970093361102E-14</v>
      </c>
      <c r="C339" s="62">
        <v>-7.7539385846836326E-17</v>
      </c>
      <c r="D339" s="67">
        <v>2</v>
      </c>
      <c r="E339" s="63">
        <v>0.33333333333333331</v>
      </c>
      <c r="F339" s="63">
        <v>0.33333333333333331</v>
      </c>
      <c r="G339" s="63">
        <v>0.29415979935506986</v>
      </c>
      <c r="H339" s="63">
        <v>0.15979935506986742</v>
      </c>
      <c r="I339" s="64">
        <v>8456.9224522939512</v>
      </c>
      <c r="J339" s="64">
        <v>-7895.2167414050818</v>
      </c>
      <c r="K339" s="63">
        <v>9.8214285714285712E-2</v>
      </c>
      <c r="L339" s="63">
        <v>0.25128388868983637</v>
      </c>
      <c r="M339" s="63">
        <v>0.2308611011584856</v>
      </c>
      <c r="N339" s="63">
        <v>0.54610266159695819</v>
      </c>
      <c r="O339" s="63">
        <v>0.42007242628039315</v>
      </c>
      <c r="P339" s="63">
        <v>0.45188794153471379</v>
      </c>
    </row>
    <row r="340" spans="1:16" x14ac:dyDescent="0.45">
      <c r="A340" s="65">
        <v>337</v>
      </c>
      <c r="B340" s="62">
        <v>-7.815970093361102E-14</v>
      </c>
      <c r="C340" s="62">
        <v>-7.7309298648477764E-17</v>
      </c>
      <c r="D340" s="67">
        <v>2</v>
      </c>
      <c r="E340" s="63">
        <v>0.33333333333333331</v>
      </c>
      <c r="F340" s="63">
        <v>0.33333333333333331</v>
      </c>
      <c r="G340" s="63">
        <v>0.29431358553414227</v>
      </c>
      <c r="H340" s="63">
        <v>0.1601237211515584</v>
      </c>
      <c r="I340" s="64">
        <v>8452.9911075181899</v>
      </c>
      <c r="J340" s="64">
        <v>-7883.4323922734029</v>
      </c>
      <c r="K340" s="63">
        <v>9.7922848664688422E-2</v>
      </c>
      <c r="L340" s="63">
        <v>0.25124910778015702</v>
      </c>
      <c r="M340" s="63">
        <v>0.23114442065191529</v>
      </c>
      <c r="N340" s="63">
        <v>0.54640151515151514</v>
      </c>
      <c r="O340" s="63">
        <v>0.41996911991765312</v>
      </c>
      <c r="P340" s="63">
        <v>0.45109135004042039</v>
      </c>
    </row>
    <row r="341" spans="1:16" x14ac:dyDescent="0.45">
      <c r="A341" s="65">
        <v>338</v>
      </c>
      <c r="B341" s="62">
        <v>-7.5495165674510645E-14</v>
      </c>
      <c r="C341" s="62">
        <v>-7.4452826108984855E-17</v>
      </c>
      <c r="D341" s="67">
        <v>2</v>
      </c>
      <c r="E341" s="63">
        <v>0.33333333333333331</v>
      </c>
      <c r="F341" s="63">
        <v>0.33333333333333331</v>
      </c>
      <c r="G341" s="63">
        <v>0.29427083333333331</v>
      </c>
      <c r="H341" s="63">
        <v>0.16039299242424243</v>
      </c>
      <c r="I341" s="64">
        <v>8446.1786001609016</v>
      </c>
      <c r="J341" s="64">
        <v>-7870.0369003690039</v>
      </c>
      <c r="K341" s="63">
        <v>9.7633136094674555E-2</v>
      </c>
      <c r="L341" s="63">
        <v>0.25082859848484851</v>
      </c>
      <c r="M341" s="63">
        <v>0.23153409090909091</v>
      </c>
      <c r="N341" s="63">
        <v>0.54601226993865026</v>
      </c>
      <c r="O341" s="63">
        <v>0.41973415132924335</v>
      </c>
      <c r="P341" s="63">
        <v>0.45012067578439258</v>
      </c>
    </row>
    <row r="342" spans="1:16" x14ac:dyDescent="0.45">
      <c r="A342" s="65">
        <v>339</v>
      </c>
      <c r="B342" s="62">
        <v>-7.460698725481052E-14</v>
      </c>
      <c r="C342" s="62">
        <v>-7.3359869473756655E-17</v>
      </c>
      <c r="D342" s="67">
        <v>2</v>
      </c>
      <c r="E342" s="63">
        <v>0.33333333333333331</v>
      </c>
      <c r="F342" s="63">
        <v>0.33333333333333331</v>
      </c>
      <c r="G342" s="63">
        <v>0.29413153855236746</v>
      </c>
      <c r="H342" s="63">
        <v>0.16023143228244185</v>
      </c>
      <c r="I342" s="64">
        <v>8445.1224407868322</v>
      </c>
      <c r="J342" s="64">
        <v>-7866.985998526161</v>
      </c>
      <c r="K342" s="63">
        <v>9.7345132743362831E-2</v>
      </c>
      <c r="L342" s="63">
        <v>0.25138741291769984</v>
      </c>
      <c r="M342" s="63">
        <v>0.23155036013697011</v>
      </c>
      <c r="N342" s="63">
        <v>0.54532644434006572</v>
      </c>
      <c r="O342" s="63">
        <v>0.41917389087200407</v>
      </c>
      <c r="P342" s="63">
        <v>0.45042151746286629</v>
      </c>
    </row>
    <row r="343" spans="1:16" x14ac:dyDescent="0.45">
      <c r="A343" s="65">
        <v>340</v>
      </c>
      <c r="B343" s="62">
        <v>-7.1054273576010019E-14</v>
      </c>
      <c r="C343" s="62">
        <v>-6.9661052525500017E-17</v>
      </c>
      <c r="D343" s="67">
        <v>2</v>
      </c>
      <c r="E343" s="63">
        <v>0.33333333333333331</v>
      </c>
      <c r="F343" s="63">
        <v>0.33333333333333331</v>
      </c>
      <c r="G343" s="63">
        <v>0.29393083980239942</v>
      </c>
      <c r="H343" s="63">
        <v>0.15984474241354976</v>
      </c>
      <c r="I343" s="64">
        <v>8444.017607042817</v>
      </c>
      <c r="J343" s="64">
        <v>-7867.1081677704196</v>
      </c>
      <c r="K343" s="63">
        <v>9.7058823529411767E-2</v>
      </c>
      <c r="L343" s="63">
        <v>0.25158786167960479</v>
      </c>
      <c r="M343" s="63">
        <v>0.23135732768760292</v>
      </c>
      <c r="N343" s="63">
        <v>0.54464703132304815</v>
      </c>
      <c r="O343" s="63">
        <v>0.41840366039654298</v>
      </c>
      <c r="P343" s="63">
        <v>0.45138055222088835</v>
      </c>
    </row>
    <row r="344" spans="1:16" x14ac:dyDescent="0.45">
      <c r="A344" s="65">
        <v>341</v>
      </c>
      <c r="B344" s="62">
        <v>-6.7501559897209518E-14</v>
      </c>
      <c r="C344" s="62">
        <v>-6.5983929518288877E-17</v>
      </c>
      <c r="D344" s="67">
        <v>2</v>
      </c>
      <c r="E344" s="63">
        <v>0.33333333333333331</v>
      </c>
      <c r="F344" s="63">
        <v>0.33333333333333331</v>
      </c>
      <c r="G344" s="63">
        <v>0.29406938584153774</v>
      </c>
      <c r="H344" s="63">
        <v>0.1597515236755743</v>
      </c>
      <c r="I344" s="64">
        <v>8442.8058987644472</v>
      </c>
      <c r="J344" s="64">
        <v>-7872.1203228173144</v>
      </c>
      <c r="K344" s="63">
        <v>9.7751710654936458E-2</v>
      </c>
      <c r="L344" s="63">
        <v>0.25164088138771684</v>
      </c>
      <c r="M344" s="63">
        <v>0.2318330989217065</v>
      </c>
      <c r="N344" s="63">
        <v>0.54494643688868183</v>
      </c>
      <c r="O344" s="63">
        <v>0.41860465116279072</v>
      </c>
      <c r="P344" s="63">
        <v>0.45197289756875247</v>
      </c>
    </row>
    <row r="345" spans="1:16" x14ac:dyDescent="0.45">
      <c r="A345" s="65">
        <v>342</v>
      </c>
      <c r="B345" s="62">
        <v>-7.1054273576010019E-14</v>
      </c>
      <c r="C345" s="62">
        <v>-6.92536779493275E-17</v>
      </c>
      <c r="D345" s="67">
        <v>2</v>
      </c>
      <c r="E345" s="63">
        <v>0.33333333333333331</v>
      </c>
      <c r="F345" s="63">
        <v>0.33333333333333331</v>
      </c>
      <c r="G345" s="63">
        <v>0.29385657556645645</v>
      </c>
      <c r="H345" s="63">
        <v>0.15965895818733941</v>
      </c>
      <c r="I345" s="64">
        <v>8445.8267090620029</v>
      </c>
      <c r="J345" s="64">
        <v>-7863.0577907827355</v>
      </c>
      <c r="K345" s="63">
        <v>9.8440545808966856E-2</v>
      </c>
      <c r="L345" s="63">
        <v>0.25145993926652649</v>
      </c>
      <c r="M345" s="63">
        <v>0.23148797010044384</v>
      </c>
      <c r="N345" s="63">
        <v>0.54528564793311662</v>
      </c>
      <c r="O345" s="63">
        <v>0.41876892028254287</v>
      </c>
      <c r="P345" s="63">
        <v>0.45190779014308424</v>
      </c>
    </row>
    <row r="346" spans="1:16" x14ac:dyDescent="0.45">
      <c r="A346" s="65">
        <v>343</v>
      </c>
      <c r="B346" s="62">
        <v>-7.3718808835110394E-14</v>
      </c>
      <c r="C346" s="62">
        <v>-7.1641213639563067E-17</v>
      </c>
      <c r="D346" s="67">
        <v>2</v>
      </c>
      <c r="E346" s="63">
        <v>0.33333333333333331</v>
      </c>
      <c r="F346" s="63">
        <v>0.33333333333333331</v>
      </c>
      <c r="G346" s="63">
        <v>0.29393939393939394</v>
      </c>
      <c r="H346" s="63">
        <v>0.1597902097902098</v>
      </c>
      <c r="I346" s="64">
        <v>8453.1720856463126</v>
      </c>
      <c r="J346" s="64">
        <v>-7873.3041575492343</v>
      </c>
      <c r="K346" s="63">
        <v>9.9125364431486881E-2</v>
      </c>
      <c r="L346" s="63">
        <v>0.25139860139860137</v>
      </c>
      <c r="M346" s="63">
        <v>0.23135198135198135</v>
      </c>
      <c r="N346" s="63">
        <v>0.54520166898470102</v>
      </c>
      <c r="O346" s="63">
        <v>0.41914357682619646</v>
      </c>
      <c r="P346" s="63">
        <v>0.45162569389373514</v>
      </c>
    </row>
    <row r="347" spans="1:16" x14ac:dyDescent="0.45">
      <c r="A347" s="65">
        <v>344</v>
      </c>
      <c r="B347" s="62">
        <v>-7.460698725481052E-14</v>
      </c>
      <c r="C347" s="62">
        <v>-7.2293592301172989E-17</v>
      </c>
      <c r="D347" s="67">
        <v>2</v>
      </c>
      <c r="E347" s="63">
        <v>0.33333333333333331</v>
      </c>
      <c r="F347" s="63">
        <v>0.33333333333333331</v>
      </c>
      <c r="G347" s="63">
        <v>0.29388560157790927</v>
      </c>
      <c r="H347" s="63">
        <v>0.15976331360946747</v>
      </c>
      <c r="I347" s="64">
        <v>8463.2056849585479</v>
      </c>
      <c r="J347" s="64">
        <v>-7866.8845315904136</v>
      </c>
      <c r="K347" s="63">
        <v>9.8837209302325577E-2</v>
      </c>
      <c r="L347" s="63">
        <v>0.2511892330896856</v>
      </c>
      <c r="M347" s="63">
        <v>0.23169741269288779</v>
      </c>
      <c r="N347" s="63">
        <v>0.54595842956120089</v>
      </c>
      <c r="O347" s="63">
        <v>0.41862794191286928</v>
      </c>
      <c r="P347" s="63">
        <v>0.45163837347019342</v>
      </c>
    </row>
    <row r="348" spans="1:16" x14ac:dyDescent="0.45">
      <c r="A348" s="65">
        <v>345</v>
      </c>
      <c r="B348" s="62">
        <v>-7.460698725481052E-14</v>
      </c>
      <c r="C348" s="62">
        <v>-7.2084045656821753E-17</v>
      </c>
      <c r="D348" s="67">
        <v>2</v>
      </c>
      <c r="E348" s="63">
        <v>0.33333333333333331</v>
      </c>
      <c r="F348" s="63">
        <v>0.33333333333333331</v>
      </c>
      <c r="G348" s="63">
        <v>0.2936755694299919</v>
      </c>
      <c r="H348" s="63">
        <v>0.15967163833969245</v>
      </c>
      <c r="I348" s="64">
        <v>8464.9606299212592</v>
      </c>
      <c r="J348" s="64">
        <v>-7875.1629254163654</v>
      </c>
      <c r="K348" s="63">
        <v>9.9516908212560387E-2</v>
      </c>
      <c r="L348" s="63">
        <v>0.25112729795352062</v>
      </c>
      <c r="M348" s="63">
        <v>0.23181870736501331</v>
      </c>
      <c r="N348" s="63">
        <v>0.54604051565377532</v>
      </c>
      <c r="O348" s="63">
        <v>0.41845386533665835</v>
      </c>
      <c r="P348" s="63">
        <v>0.4515748031496063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2020-02-05T14:32:15Z</dcterms:modified>
</cp:coreProperties>
</file>