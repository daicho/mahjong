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66ECAC1-AFC5-4E1A-940C-FE64820908B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7" i="5869"/>
  <c r="O15" i="5857" l="1"/>
  <c r="O17" i="5871"/>
  <c r="O19" i="5871"/>
  <c r="O17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0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9" i="5859" l="1"/>
  <c r="O21" i="5867"/>
  <c r="O22" i="5867"/>
  <c r="O18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0" i="5869"/>
  <c r="H39" i="5869"/>
  <c r="B23" i="5869"/>
  <c r="H43" i="5869"/>
  <c r="H47" i="5869"/>
  <c r="H21" i="5869"/>
  <c r="H6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5" i="5869"/>
  <c r="H12" i="5869"/>
  <c r="H20" i="5869"/>
  <c r="H22" i="5869"/>
  <c r="C19" i="5869"/>
  <c r="H13" i="5869"/>
  <c r="B24" i="5869"/>
  <c r="H34" i="5869"/>
  <c r="H37" i="5869"/>
  <c r="H41" i="5869"/>
  <c r="H45" i="5869"/>
  <c r="H49" i="5869"/>
  <c r="H52" i="5869"/>
  <c r="H9" i="5869"/>
  <c r="H7" i="5869"/>
  <c r="H11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8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0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4" i="5859"/>
  <c r="H41" i="5859"/>
  <c r="H2" i="5859"/>
  <c r="H13" i="5859"/>
  <c r="H3" i="5859"/>
  <c r="H26" i="5859"/>
  <c r="H23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5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2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<sst xmlns="http://schemas.openxmlformats.org/spreadsheetml/2006/main" count="2838" uniqueCount="243">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</sst>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全体!$K$2:$K$536</c:f>
              <c:numCache>
                <c:formatCode>General</c:formatCode>
                <c:ptCount val="5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</c:numCache>
            </c:numRef>
          </c:xVal>
          <c:yVal>
            <c:numRef>
              <c:f>全体!$L$2:$L$536</c:f>
              <c:numCache>
                <c:formatCode>\+0.0;\-0.0;\±0</c:formatCode>
                <c:ptCount val="53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-20.715630885122412</c:v>
                </c:pt>
                <c:pt idx="1">
                  <c:v>5.7803468208092488</c:v>
                </c:pt>
                <c:pt idx="2">
                  <c:v>-14.227642276422765</c:v>
                </c:pt>
                <c:pt idx="3">
                  <c:v>12.903225806451612</c:v>
                </c:pt>
                <c:pt idx="4">
                  <c:v>9.3240093240093245</c:v>
                </c:pt>
                <c:pt idx="5">
                  <c:v>13.888888888888889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だいち!$L$2:$L$114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1418.018018018018</c:v>
                </c:pt>
                <c:pt idx="1">
                  <c:v>500.92592592592592</c:v>
                </c:pt>
                <c:pt idx="2">
                  <c:v>698.07692307692309</c:v>
                </c:pt>
                <c:pt idx="3">
                  <c:v>467.36842105263156</c:v>
                </c:pt>
                <c:pt idx="4">
                  <c:v>2054.5454545454545</c:v>
                </c:pt>
                <c:pt idx="5">
                  <c:v>2998.6111111111113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ただ!$L$2:$L$104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-1956.4356435643565</c:v>
                </c:pt>
                <c:pt idx="1">
                  <c:v>1178.7878787878788</c:v>
                </c:pt>
                <c:pt idx="2">
                  <c:v>260.21505376344084</c:v>
                </c:pt>
                <c:pt idx="3">
                  <c:v>666.66666666666663</c:v>
                </c:pt>
                <c:pt idx="4">
                  <c:v>-1180</c:v>
                </c:pt>
                <c:pt idx="5">
                  <c:v>1248.5294117647059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-391.93548387096774</c:v>
                </c:pt>
                <c:pt idx="1">
                  <c:v>-941.93548387096769</c:v>
                </c:pt>
                <c:pt idx="2">
                  <c:v>756.89655172413791</c:v>
                </c:pt>
                <c:pt idx="3">
                  <c:v>-1361.4035087719299</c:v>
                </c:pt>
                <c:pt idx="4">
                  <c:v>-3379.6296296296296</c:v>
                </c:pt>
                <c:pt idx="5">
                  <c:v>-1283.3333333333333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-2180.3571428571427</c:v>
                </c:pt>
                <c:pt idx="2">
                  <c:v>1734.6153846153845</c:v>
                </c:pt>
                <c:pt idx="3">
                  <c:v>3738</c:v>
                </c:pt>
                <c:pt idx="4">
                  <c:v>-810.86956521739125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まっつん!$L$2:$L$89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662.06896551724139</c:v>
                </c:pt>
                <c:pt idx="1">
                  <c:v>851.19047619047615</c:v>
                </c:pt>
                <c:pt idx="2">
                  <c:v>-1026.9230769230769</c:v>
                </c:pt>
                <c:pt idx="3">
                  <c:v>-165.27777777777777</c:v>
                </c:pt>
                <c:pt idx="4">
                  <c:v>-96.825396825396822</c:v>
                </c:pt>
                <c:pt idx="5">
                  <c:v>-1254.5454545454545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-2729.4117647058824</c:v>
                </c:pt>
                <c:pt idx="1">
                  <c:v>220.58823529411765</c:v>
                </c:pt>
                <c:pt idx="2">
                  <c:v>-2411.7647058823532</c:v>
                </c:pt>
                <c:pt idx="3">
                  <c:v>-2556.25</c:v>
                </c:pt>
                <c:pt idx="4">
                  <c:v>-1103.2258064516129</c:v>
                </c:pt>
                <c:pt idx="5">
                  <c:v>-3744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のり2!$B$3:$B$37</c:f>
              <c:numCache>
                <c:formatCode>\+0.0;\-0.0;\±0</c:formatCode>
                <c:ptCount val="3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のり2!$C$3:$C$37</c:f>
              <c:numCache>
                <c:formatCode>\+0.0;\-0.0;\±0</c:formatCode>
                <c:ptCount val="35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4483499266067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のり2!$D$3:$D$37</c:f>
              <c:numCache>
                <c:formatCode>0.00\ "位"</c:formatCode>
                <c:ptCount val="35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のり2!$E$3:$E$37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のり2!$F$3:$F$37</c:f>
              <c:numCache>
                <c:formatCode>0.0%</c:formatCode>
                <c:ptCount val="3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のり2!$G$3:$G$37</c:f>
              <c:numCache>
                <c:formatCode>0.0%</c:formatCode>
                <c:ptCount val="35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8418309539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のり2!$H$3:$H$37</c:f>
              <c:numCache>
                <c:formatCode>0.0%</c:formatCode>
                <c:ptCount val="35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0752322682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のり2!$I$3:$I$37</c:f>
              <c:numCache>
                <c:formatCode>0</c:formatCode>
                <c:ptCount val="35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6.23076923076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のり2!$J$3:$J$37</c:f>
              <c:numCache>
                <c:formatCode>0</c:formatCode>
                <c:ptCount val="35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13.9889196675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のり2!$K$3:$K$37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5056179775280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のり2!$L$3:$L$37</c:f>
              <c:numCache>
                <c:formatCode>0.0%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5056179775280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のり2!$M$3:$M$37</c:f>
              <c:numCache>
                <c:formatCode>0.0%</c:formatCode>
                <c:ptCount val="35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342397462043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のり2!$N$3:$N$37</c:f>
              <c:numCache>
                <c:formatCode>0.0%</c:formatCode>
                <c:ptCount val="35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68207568547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のり2!$O$3:$O$37</c:f>
              <c:numCache>
                <c:formatCode>0.0%</c:formatCode>
                <c:ptCount val="35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92844364937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のり2!$P$3:$P$37</c:f>
              <c:numCache>
                <c:formatCode>0.0%</c:formatCode>
                <c:ptCount val="35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679764243614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のり2!$A$3:$A$37</c:f>
              <c:numCache>
                <c:formatCode>0\ "回"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のり2!$Q$3:$Q$37</c:f>
              <c:numCache>
                <c:formatCode>0.0%</c:formatCode>
                <c:ptCount val="35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230769230769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6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6" x14ac:dyDescent="0.4">
      <c r="A50" s="28" t="s">
        <v>241</v>
      </c>
      <c r="B50" s="29">
        <v>43773.722453703704</v>
      </c>
      <c r="C50" s="28" t="s">
        <v>128</v>
      </c>
    </row>
    <row r="51" spans="1:6" x14ac:dyDescent="0.4">
      <c r="A51" s="28" t="s">
        <v>242</v>
      </c>
      <c r="B51" s="29">
        <v>43774.884467592594</v>
      </c>
      <c r="C51" s="28" t="s">
        <v>128</v>
      </c>
      <c r="D51" s="28" t="s">
        <v>129</v>
      </c>
      <c r="E51" s="28" t="s">
        <v>184</v>
      </c>
      <c r="F51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534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112</v>
      </c>
    </row>
    <row r="4" spans="1:2" x14ac:dyDescent="0.4">
      <c r="A4" t="s">
        <v>127</v>
      </c>
      <c r="B4">
        <v>102</v>
      </c>
    </row>
    <row r="5" spans="1:2" x14ac:dyDescent="0.4">
      <c r="A5" t="s">
        <v>179</v>
      </c>
      <c r="B5">
        <v>63</v>
      </c>
    </row>
    <row r="6" spans="1:2" x14ac:dyDescent="0.4">
      <c r="A6" t="s">
        <v>177</v>
      </c>
      <c r="B6">
        <v>58</v>
      </c>
    </row>
    <row r="7" spans="1:2" x14ac:dyDescent="0.4">
      <c r="A7" t="s">
        <v>178</v>
      </c>
      <c r="B7">
        <v>87</v>
      </c>
    </row>
    <row r="8" spans="1:2" x14ac:dyDescent="0.4">
      <c r="A8" t="s">
        <v>182</v>
      </c>
      <c r="B8">
        <v>34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0.99551688555960305</v>
      </c>
      <c r="G2" s="157"/>
      <c r="H2" s="156">
        <v>0.92159166299459017</v>
      </c>
      <c r="I2" s="157"/>
      <c r="J2" s="156">
        <v>0.91648521756741275</v>
      </c>
      <c r="K2" s="157"/>
      <c r="L2" s="156">
        <v>0.89127918075435741</v>
      </c>
      <c r="M2" s="157"/>
      <c r="N2" s="156">
        <v>0.62684529849990933</v>
      </c>
      <c r="O2" s="157"/>
      <c r="P2" s="156">
        <v>0.46224669406722618</v>
      </c>
      <c r="Q2" s="157"/>
      <c r="R2" s="156">
        <v>-8.5179747428609787E-2</v>
      </c>
      <c r="S2" s="157"/>
      <c r="T2" s="156">
        <v>0.60383795074928759</v>
      </c>
      <c r="U2" s="157"/>
      <c r="V2" s="156">
        <v>0.82280968043512626</v>
      </c>
      <c r="W2" s="157"/>
      <c r="X2" s="156">
        <v>0.50135459800275661</v>
      </c>
      <c r="Y2" s="157"/>
      <c r="Z2" s="156">
        <v>-8.434862526274145E-2</v>
      </c>
      <c r="AA2" s="157"/>
      <c r="AB2" s="156">
        <v>0.21657985931324872</v>
      </c>
      <c r="AC2" s="157"/>
      <c r="AD2" s="156">
        <v>0.66049528106795152</v>
      </c>
      <c r="AE2" s="157"/>
      <c r="AF2" s="156">
        <v>-4.3287730116520547E-2</v>
      </c>
      <c r="AG2" s="157"/>
      <c r="AH2" s="156">
        <v>0.73042042083650816</v>
      </c>
      <c r="AI2" s="157"/>
    </row>
    <row r="3" spans="1:35" x14ac:dyDescent="0.4">
      <c r="A3" s="70">
        <v>1</v>
      </c>
      <c r="B3" s="71" t="s">
        <v>126</v>
      </c>
      <c r="C3" s="72">
        <v>991.49999999999989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10410.144927536232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0.18965517241379309</v>
      </c>
      <c r="X3" s="73" t="s">
        <v>177</v>
      </c>
      <c r="Y3" s="76">
        <v>0.32258064516129031</v>
      </c>
      <c r="Z3" s="73" t="s">
        <v>195</v>
      </c>
      <c r="AA3" s="76">
        <v>0.35483870967741937</v>
      </c>
      <c r="AB3" s="73" t="s">
        <v>126</v>
      </c>
      <c r="AC3" s="76">
        <v>0.60416666666666663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308.80000000000007</v>
      </c>
      <c r="D4" s="81" t="s">
        <v>126</v>
      </c>
      <c r="E4" s="93">
        <v>8.8526785714285712</v>
      </c>
      <c r="F4" s="81" t="s">
        <v>126</v>
      </c>
      <c r="G4" s="82">
        <v>1.7857142857142858</v>
      </c>
      <c r="H4" s="81" t="s">
        <v>126</v>
      </c>
      <c r="I4" s="83">
        <v>0.4642857142857143</v>
      </c>
      <c r="J4" s="81" t="s">
        <v>126</v>
      </c>
      <c r="K4" s="83">
        <v>0.25</v>
      </c>
      <c r="L4" s="81" t="s">
        <v>126</v>
      </c>
      <c r="M4" s="84">
        <v>0.34298440979955458</v>
      </c>
      <c r="N4" s="81" t="s">
        <v>126</v>
      </c>
      <c r="O4" s="84">
        <v>0.12694877505567928</v>
      </c>
      <c r="P4" s="81" t="s">
        <v>127</v>
      </c>
      <c r="Q4" s="85">
        <v>8584.765625</v>
      </c>
      <c r="R4" s="81" t="s">
        <v>181</v>
      </c>
      <c r="S4" s="85">
        <v>-7058.8235294117649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0.29166666666666669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0.48514851485148514</v>
      </c>
      <c r="AF4" s="81" t="s">
        <v>177</v>
      </c>
      <c r="AG4" s="84">
        <v>0.48550724637681159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5.3241379310344836</v>
      </c>
      <c r="F5" s="81" t="s">
        <v>177</v>
      </c>
      <c r="G5" s="82">
        <v>1.8793103448275863</v>
      </c>
      <c r="H5" s="81" t="s">
        <v>177</v>
      </c>
      <c r="I5" s="83">
        <v>0.43103448275862066</v>
      </c>
      <c r="J5" s="81" t="s">
        <v>178</v>
      </c>
      <c r="K5" s="83">
        <v>0.27586206896551724</v>
      </c>
      <c r="L5" s="81" t="s">
        <v>127</v>
      </c>
      <c r="M5" s="84">
        <v>0.29906542056074764</v>
      </c>
      <c r="N5" s="81" t="s">
        <v>178</v>
      </c>
      <c r="O5" s="84">
        <v>0.13333333333333333</v>
      </c>
      <c r="P5" s="81" t="s">
        <v>143</v>
      </c>
      <c r="Q5" s="85">
        <v>8416.2307692307695</v>
      </c>
      <c r="R5" s="81" t="s">
        <v>179</v>
      </c>
      <c r="S5" s="85">
        <v>-7611.818181818182</v>
      </c>
      <c r="T5" s="81" t="s">
        <v>126</v>
      </c>
      <c r="U5" s="83">
        <v>4.4642857142857144E-2</v>
      </c>
      <c r="V5" s="81" t="s">
        <v>126</v>
      </c>
      <c r="W5" s="83">
        <v>0.13392857142857142</v>
      </c>
      <c r="X5" s="81" t="s">
        <v>181</v>
      </c>
      <c r="Y5" s="84">
        <v>0.26940639269406391</v>
      </c>
      <c r="Z5" s="81" t="s">
        <v>127</v>
      </c>
      <c r="AA5" s="84">
        <v>0.30373831775700932</v>
      </c>
      <c r="AB5" s="81" t="s">
        <v>179</v>
      </c>
      <c r="AC5" s="84">
        <v>0.58441558441558439</v>
      </c>
      <c r="AD5" s="81" t="s">
        <v>177</v>
      </c>
      <c r="AE5" s="84">
        <v>0.45121951219512196</v>
      </c>
      <c r="AF5" s="81" t="s">
        <v>182</v>
      </c>
      <c r="AG5" s="84">
        <v>0.47692307692307695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195</v>
      </c>
      <c r="I6" s="83">
        <v>0.42857142857142855</v>
      </c>
      <c r="J6" s="81" t="s">
        <v>177</v>
      </c>
      <c r="K6" s="83">
        <v>0.31034482758620691</v>
      </c>
      <c r="L6" s="81" t="s">
        <v>177</v>
      </c>
      <c r="M6" s="84">
        <v>0.29677419354838708</v>
      </c>
      <c r="N6" s="81" t="s">
        <v>166</v>
      </c>
      <c r="O6" s="84">
        <v>0.14463840399002495</v>
      </c>
      <c r="P6" s="81" t="s">
        <v>181</v>
      </c>
      <c r="Q6" s="85">
        <v>8398.3606557377043</v>
      </c>
      <c r="R6" s="81" t="s">
        <v>126</v>
      </c>
      <c r="S6" s="85">
        <v>-7785.9649122807014</v>
      </c>
      <c r="T6" s="81" t="s">
        <v>178</v>
      </c>
      <c r="U6" s="83">
        <v>8.0459770114942528E-2</v>
      </c>
      <c r="V6" s="81" t="s">
        <v>181</v>
      </c>
      <c r="W6" s="83">
        <v>0.13043478260869565</v>
      </c>
      <c r="X6" s="81" t="s">
        <v>126</v>
      </c>
      <c r="Y6" s="84">
        <v>0.267260579064588</v>
      </c>
      <c r="Z6" s="81" t="s">
        <v>166</v>
      </c>
      <c r="AA6" s="84">
        <v>0.23441396508728179</v>
      </c>
      <c r="AB6" s="81" t="s">
        <v>178</v>
      </c>
      <c r="AC6" s="84">
        <v>0.56111111111111112</v>
      </c>
      <c r="AD6" s="81" t="s">
        <v>178</v>
      </c>
      <c r="AE6" s="84">
        <v>0.41139240506329117</v>
      </c>
      <c r="AF6" s="81" t="s">
        <v>179</v>
      </c>
      <c r="AG6" s="84">
        <v>0.45270270270270269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-5.6843418860808015E-14</v>
      </c>
      <c r="D7" s="81" t="s">
        <v>143</v>
      </c>
      <c r="E7" s="93">
        <v>-1.0644834992660677E-16</v>
      </c>
      <c r="F7" s="81" t="s">
        <v>127</v>
      </c>
      <c r="G7" s="82">
        <v>1.9901960784313726</v>
      </c>
      <c r="H7" s="81" t="s">
        <v>181</v>
      </c>
      <c r="I7" s="83">
        <v>0.39130434782608697</v>
      </c>
      <c r="J7" s="81" t="s">
        <v>127</v>
      </c>
      <c r="K7" s="83">
        <v>0.33333333333333331</v>
      </c>
      <c r="L7" s="81" t="s">
        <v>143</v>
      </c>
      <c r="M7" s="84">
        <v>0.29458418309539997</v>
      </c>
      <c r="N7" s="81" t="s">
        <v>181</v>
      </c>
      <c r="O7" s="84">
        <v>0.15525114155251141</v>
      </c>
      <c r="P7" s="81" t="s">
        <v>178</v>
      </c>
      <c r="Q7" s="85">
        <v>8352.8205128205136</v>
      </c>
      <c r="R7" s="81" t="s">
        <v>143</v>
      </c>
      <c r="S7" s="85">
        <v>-7813.9889196675904</v>
      </c>
      <c r="T7" s="81" t="s">
        <v>177</v>
      </c>
      <c r="U7" s="83">
        <v>8.6206896551724144E-2</v>
      </c>
      <c r="V7" s="81" t="s">
        <v>127</v>
      </c>
      <c r="W7" s="83">
        <v>9.8039215686274508E-2</v>
      </c>
      <c r="X7" s="81" t="s">
        <v>222</v>
      </c>
      <c r="Y7" s="84">
        <v>0.26666666666666666</v>
      </c>
      <c r="Z7" s="81" t="s">
        <v>143</v>
      </c>
      <c r="AA7" s="84">
        <v>0.23068207568547475</v>
      </c>
      <c r="AB7" s="81" t="s">
        <v>143</v>
      </c>
      <c r="AC7" s="84">
        <v>0.55992844364937389</v>
      </c>
      <c r="AD7" s="81" t="s">
        <v>143</v>
      </c>
      <c r="AE7" s="84">
        <v>0.40667976424361491</v>
      </c>
      <c r="AF7" s="81" t="s">
        <v>178</v>
      </c>
      <c r="AG7" s="84">
        <v>0.44615384615384618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127</v>
      </c>
      <c r="C8" s="80">
        <v>-56.500000000000213</v>
      </c>
      <c r="D8" s="81" t="s">
        <v>127</v>
      </c>
      <c r="E8" s="93">
        <v>-0.55392156862745312</v>
      </c>
      <c r="F8" s="81" t="s">
        <v>143</v>
      </c>
      <c r="G8" s="82">
        <v>2</v>
      </c>
      <c r="H8" s="81" t="s">
        <v>166</v>
      </c>
      <c r="I8" s="83">
        <v>0.34782608695652173</v>
      </c>
      <c r="J8" s="81" t="s">
        <v>143</v>
      </c>
      <c r="K8" s="83">
        <v>0.33333333333333331</v>
      </c>
      <c r="L8" s="81" t="s">
        <v>178</v>
      </c>
      <c r="M8" s="84">
        <v>0.28260869565217389</v>
      </c>
      <c r="N8" s="81" t="s">
        <v>143</v>
      </c>
      <c r="O8" s="84">
        <v>0.16360752322682981</v>
      </c>
      <c r="P8" s="81" t="s">
        <v>126</v>
      </c>
      <c r="Q8" s="85">
        <v>8203.5714285714294</v>
      </c>
      <c r="R8" s="81" t="s">
        <v>182</v>
      </c>
      <c r="S8" s="85">
        <v>-7881.4814814814818</v>
      </c>
      <c r="T8" s="81" t="s">
        <v>181</v>
      </c>
      <c r="U8" s="83">
        <v>8.6956521739130432E-2</v>
      </c>
      <c r="V8" s="81" t="s">
        <v>143</v>
      </c>
      <c r="W8" s="83">
        <v>9.5505617977528087E-2</v>
      </c>
      <c r="X8" s="81" t="s">
        <v>178</v>
      </c>
      <c r="Y8" s="84">
        <v>0.2608695652173913</v>
      </c>
      <c r="Z8" s="81" t="s">
        <v>178</v>
      </c>
      <c r="AA8" s="84">
        <v>0.22898550724637681</v>
      </c>
      <c r="AB8" s="81" t="s">
        <v>182</v>
      </c>
      <c r="AC8" s="84">
        <v>0.55555555555555558</v>
      </c>
      <c r="AD8" s="81" t="s">
        <v>179</v>
      </c>
      <c r="AE8" s="84">
        <v>0.38383838383838381</v>
      </c>
      <c r="AF8" s="81" t="s">
        <v>143</v>
      </c>
      <c r="AG8" s="84">
        <v>0.43923076923076926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-57.400000000000013</v>
      </c>
      <c r="D9" s="81" t="s">
        <v>178</v>
      </c>
      <c r="E9" s="93">
        <v>-0.65977011494252891</v>
      </c>
      <c r="F9" s="81" t="s">
        <v>178</v>
      </c>
      <c r="G9" s="82">
        <v>2.0459770114942528</v>
      </c>
      <c r="H9" s="81" t="s">
        <v>127</v>
      </c>
      <c r="I9" s="83">
        <v>0.34313725490196079</v>
      </c>
      <c r="J9" s="81" t="s">
        <v>181</v>
      </c>
      <c r="K9" s="83">
        <v>0.34782608695652173</v>
      </c>
      <c r="L9" s="81" t="s">
        <v>179</v>
      </c>
      <c r="M9" s="84">
        <v>0.28030303030303028</v>
      </c>
      <c r="N9" s="81" t="s">
        <v>177</v>
      </c>
      <c r="O9" s="84">
        <v>0.16559139784946236</v>
      </c>
      <c r="P9" s="81" t="s">
        <v>179</v>
      </c>
      <c r="Q9" s="85">
        <v>8081.0810810810808</v>
      </c>
      <c r="R9" s="81" t="s">
        <v>178</v>
      </c>
      <c r="S9" s="85">
        <v>-7886.95652173913</v>
      </c>
      <c r="T9" s="81" t="s">
        <v>179</v>
      </c>
      <c r="U9" s="83">
        <v>9.5238095238095233E-2</v>
      </c>
      <c r="V9" s="81" t="s">
        <v>178</v>
      </c>
      <c r="W9" s="83">
        <v>6.8965517241379309E-2</v>
      </c>
      <c r="X9" s="81" t="s">
        <v>143</v>
      </c>
      <c r="Y9" s="84">
        <v>0.25334239746204396</v>
      </c>
      <c r="Z9" s="81" t="s">
        <v>126</v>
      </c>
      <c r="AA9" s="84">
        <v>0.22494432071269488</v>
      </c>
      <c r="AB9" s="81" t="s">
        <v>177</v>
      </c>
      <c r="AC9" s="84">
        <v>0.54666666666666663</v>
      </c>
      <c r="AD9" s="81" t="s">
        <v>182</v>
      </c>
      <c r="AE9" s="84">
        <v>0.37096774193548387</v>
      </c>
      <c r="AF9" s="81" t="s">
        <v>166</v>
      </c>
      <c r="AG9" s="84">
        <v>0.42990654205607476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-3.1717391304347839</v>
      </c>
      <c r="F10" s="81" t="s">
        <v>166</v>
      </c>
      <c r="G10" s="82">
        <v>2.0652173913043477</v>
      </c>
      <c r="H10" s="81" t="s">
        <v>143</v>
      </c>
      <c r="I10" s="83">
        <v>0.33333333333333331</v>
      </c>
      <c r="J10" s="81" t="s">
        <v>179</v>
      </c>
      <c r="K10" s="83">
        <v>0.3968253968253968</v>
      </c>
      <c r="L10" s="81" t="s">
        <v>181</v>
      </c>
      <c r="M10" s="84">
        <v>0.27853881278538811</v>
      </c>
      <c r="N10" s="81" t="s">
        <v>182</v>
      </c>
      <c r="O10" s="84">
        <v>0.19354838709677419</v>
      </c>
      <c r="P10" s="81" t="s">
        <v>182</v>
      </c>
      <c r="Q10" s="85">
        <v>7912.3076923076924</v>
      </c>
      <c r="R10" s="81" t="s">
        <v>222</v>
      </c>
      <c r="S10" s="85">
        <v>-8000</v>
      </c>
      <c r="T10" s="81" t="s">
        <v>143</v>
      </c>
      <c r="U10" s="83">
        <v>9.5505617977528087E-2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0.22222222222222221</v>
      </c>
      <c r="AB10" s="81" t="s">
        <v>195</v>
      </c>
      <c r="AC10" s="84">
        <v>0.53333333333333333</v>
      </c>
      <c r="AD10" s="81" t="s">
        <v>127</v>
      </c>
      <c r="AE10" s="84">
        <v>0.36923076923076925</v>
      </c>
      <c r="AF10" s="81" t="s">
        <v>126</v>
      </c>
      <c r="AG10" s="84">
        <v>0.42857142857142855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-7.2587301587301578</v>
      </c>
      <c r="F11" s="81" t="s">
        <v>195</v>
      </c>
      <c r="G11" s="82">
        <v>2.1428571428571428</v>
      </c>
      <c r="H11" s="81" t="s">
        <v>178</v>
      </c>
      <c r="I11" s="83">
        <v>0.22988505747126436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-8136.363636363636</v>
      </c>
      <c r="T11" s="81" t="s">
        <v>127</v>
      </c>
      <c r="U11" s="83">
        <v>0.14705882352941177</v>
      </c>
      <c r="V11" s="81" t="s">
        <v>179</v>
      </c>
      <c r="W11" s="83">
        <v>3.1746031746031744E-2</v>
      </c>
      <c r="X11" s="81" t="s">
        <v>127</v>
      </c>
      <c r="Y11" s="84">
        <v>0.23481308411214954</v>
      </c>
      <c r="Z11" s="81" t="s">
        <v>179</v>
      </c>
      <c r="AA11" s="84">
        <v>0.1875</v>
      </c>
      <c r="AB11" s="81" t="s">
        <v>166</v>
      </c>
      <c r="AC11" s="84">
        <v>0.50819672131147542</v>
      </c>
      <c r="AD11" s="81" t="s">
        <v>166</v>
      </c>
      <c r="AE11" s="84">
        <v>0.36170212765957449</v>
      </c>
      <c r="AF11" s="81" t="s">
        <v>127</v>
      </c>
      <c r="AG11" s="84">
        <v>0.390625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-457.29999999999995</v>
      </c>
      <c r="D12" s="81" t="s">
        <v>195</v>
      </c>
      <c r="E12" s="93">
        <v>-14.971428571428573</v>
      </c>
      <c r="F12" s="81" t="s">
        <v>179</v>
      </c>
      <c r="G12" s="82">
        <v>2.1904761904761907</v>
      </c>
      <c r="H12" s="81" t="s">
        <v>179</v>
      </c>
      <c r="I12" s="83">
        <v>0.20634920634920634</v>
      </c>
      <c r="J12" s="81" t="s">
        <v>182</v>
      </c>
      <c r="K12" s="83">
        <v>0.52941176470588236</v>
      </c>
      <c r="L12" s="81" t="s">
        <v>195</v>
      </c>
      <c r="M12" s="84">
        <v>0.24193548387096775</v>
      </c>
      <c r="N12" s="81" t="s">
        <v>127</v>
      </c>
      <c r="O12" s="84">
        <v>0.19859813084112149</v>
      </c>
      <c r="P12" s="81" t="s">
        <v>222</v>
      </c>
      <c r="Q12" s="85">
        <v>7385.7142857142853</v>
      </c>
      <c r="R12" s="81" t="s">
        <v>127</v>
      </c>
      <c r="S12" s="85">
        <v>-8178.8235294117649</v>
      </c>
      <c r="T12" s="81" t="s">
        <v>182</v>
      </c>
      <c r="U12" s="83">
        <v>0.17647058823529413</v>
      </c>
      <c r="V12" s="81" t="s">
        <v>182</v>
      </c>
      <c r="W12" s="83">
        <v>2.9411764705882353E-2</v>
      </c>
      <c r="X12" s="81" t="s">
        <v>182</v>
      </c>
      <c r="Y12" s="84">
        <v>0.19354838709677419</v>
      </c>
      <c r="Z12" s="81" t="s">
        <v>177</v>
      </c>
      <c r="AA12" s="84">
        <v>0.17634408602150536</v>
      </c>
      <c r="AB12" s="81" t="s">
        <v>127</v>
      </c>
      <c r="AC12" s="84">
        <v>0.5074626865671642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-531.90000000000009</v>
      </c>
      <c r="D13" s="81" t="s">
        <v>182</v>
      </c>
      <c r="E13" s="93">
        <v>-15.644117647058826</v>
      </c>
      <c r="F13" s="81" t="s">
        <v>182</v>
      </c>
      <c r="G13" s="82">
        <v>2.4117647058823528</v>
      </c>
      <c r="H13" s="81" t="s">
        <v>182</v>
      </c>
      <c r="I13" s="83">
        <v>0.11764705882352941</v>
      </c>
      <c r="J13" s="81" t="s">
        <v>195</v>
      </c>
      <c r="K13" s="83">
        <v>0.5714285714285714</v>
      </c>
      <c r="L13" s="81" t="s">
        <v>182</v>
      </c>
      <c r="M13" s="84">
        <v>0.23297491039426524</v>
      </c>
      <c r="N13" s="81" t="s">
        <v>179</v>
      </c>
      <c r="O13" s="84">
        <v>0.20833333333333334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0.15525114155251141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3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534</v>
      </c>
      <c r="C2" s="149"/>
      <c r="E2" s="58" t="s">
        <v>66</v>
      </c>
      <c r="F2" s="55" t="s">
        <v>22</v>
      </c>
      <c r="G2" s="43">
        <v>1008</v>
      </c>
      <c r="H2" s="128">
        <f>IF(B$17=0,0,G2/B$17)</f>
        <v>0.77538461538461534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-20.715630885122412</v>
      </c>
      <c r="P2" s="114">
        <v>531</v>
      </c>
      <c r="Q2" s="98">
        <v>-11000</v>
      </c>
    </row>
    <row r="3" spans="1:17" x14ac:dyDescent="0.4">
      <c r="A3" s="51" t="s">
        <v>8</v>
      </c>
      <c r="B3" s="150">
        <v>4413</v>
      </c>
      <c r="C3" s="151"/>
      <c r="E3" s="59" t="s">
        <v>72</v>
      </c>
      <c r="F3" s="56" t="s">
        <v>27</v>
      </c>
      <c r="G3" s="44">
        <v>689</v>
      </c>
      <c r="H3" s="129">
        <f>IF(B$17=0,0,G3/B$17)</f>
        <v>0.53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5.7803468208092488</v>
      </c>
      <c r="P3" s="115">
        <v>519</v>
      </c>
      <c r="Q3" s="99">
        <v>3000</v>
      </c>
    </row>
    <row r="4" spans="1:17" x14ac:dyDescent="0.4">
      <c r="A4" s="51" t="s">
        <v>6</v>
      </c>
      <c r="B4" s="152">
        <v>-5.6843418860808015E-14</v>
      </c>
      <c r="C4" s="153"/>
      <c r="E4" s="59" t="s">
        <v>64</v>
      </c>
      <c r="F4" s="56" t="s">
        <v>20</v>
      </c>
      <c r="G4" s="44">
        <v>597</v>
      </c>
      <c r="H4" s="129">
        <f>IF(B$17=0,0,G4/B$17)</f>
        <v>0.45923076923076922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-14.227642276422765</v>
      </c>
      <c r="P4" s="115">
        <v>492</v>
      </c>
      <c r="Q4" s="99">
        <v>-7000</v>
      </c>
    </row>
    <row r="5" spans="1:17" x14ac:dyDescent="0.4">
      <c r="A5" s="51" t="s">
        <v>7</v>
      </c>
      <c r="B5" s="154">
        <f>IF(B$2=0,0,B$4/B$2)</f>
        <v>-1.0644834992660677E-16</v>
      </c>
      <c r="C5" s="155"/>
      <c r="E5" s="59" t="s">
        <v>171</v>
      </c>
      <c r="F5" s="56" t="s">
        <v>172</v>
      </c>
      <c r="G5" s="44">
        <v>520</v>
      </c>
      <c r="H5" s="129">
        <f>IF(B$17=0,0,G5/B$17)</f>
        <v>0.4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12.903225806451612</v>
      </c>
      <c r="P5" s="115">
        <v>465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409</v>
      </c>
      <c r="H6" s="129">
        <f>IF(B$17=0,0,G6/B$17)</f>
        <v>0.31461538461538463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9.3240093240093245</v>
      </c>
      <c r="P6" s="115">
        <v>429</v>
      </c>
      <c r="Q6" s="99">
        <v>4000</v>
      </c>
    </row>
    <row r="7" spans="1:17" x14ac:dyDescent="0.4">
      <c r="A7" s="51" t="s">
        <v>2</v>
      </c>
      <c r="B7" s="44">
        <v>178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365</v>
      </c>
      <c r="H7" s="129">
        <f>IF(B$17=0,0,G7/B$17)</f>
        <v>0.28076923076923077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13.888888888888889</v>
      </c>
      <c r="P7" s="116">
        <v>360</v>
      </c>
      <c r="Q7" s="100">
        <v>5000</v>
      </c>
    </row>
    <row r="8" spans="1:17" x14ac:dyDescent="0.4">
      <c r="A8" s="51" t="s">
        <v>3</v>
      </c>
      <c r="B8" s="44">
        <v>178</v>
      </c>
      <c r="C8" s="37">
        <f t="shared" si="1"/>
        <v>0.33333333333333331</v>
      </c>
      <c r="E8" s="59" t="s">
        <v>69</v>
      </c>
      <c r="F8" s="56" t="s">
        <v>24</v>
      </c>
      <c r="G8" s="44">
        <v>200</v>
      </c>
      <c r="H8" s="129">
        <f>IF(B$17=0,0,G8/B$17)</f>
        <v>0.15384615384615385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178</v>
      </c>
      <c r="C9" s="38">
        <f t="shared" si="1"/>
        <v>0.33333333333333331</v>
      </c>
      <c r="E9" s="59" t="s">
        <v>89</v>
      </c>
      <c r="F9" s="56" t="s">
        <v>44</v>
      </c>
      <c r="G9" s="44">
        <v>170</v>
      </c>
      <c r="H9" s="129">
        <f>IF(B$17=0,0,G9/B$17)</f>
        <v>0.13076923076923078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51</v>
      </c>
      <c r="C10" s="38">
        <f t="shared" si="1"/>
        <v>9.5505617977528087E-2</v>
      </c>
      <c r="E10" s="59" t="s">
        <v>65</v>
      </c>
      <c r="F10" s="56" t="s">
        <v>21</v>
      </c>
      <c r="G10" s="44">
        <v>133</v>
      </c>
      <c r="H10" s="129">
        <f>IF(B$17=0,0,G10/B$17)</f>
        <v>0.10230769230769231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-0.50224719101123627</v>
      </c>
      <c r="P10" s="114">
        <v>178</v>
      </c>
      <c r="Q10" s="102">
        <v>-89.400000000000048</v>
      </c>
    </row>
    <row r="11" spans="1:17" x14ac:dyDescent="0.4">
      <c r="A11" s="52" t="s">
        <v>138</v>
      </c>
      <c r="B11" s="45">
        <v>51</v>
      </c>
      <c r="C11" s="38">
        <f t="shared" si="1"/>
        <v>9.5505617977528087E-2</v>
      </c>
      <c r="E11" s="59" t="s">
        <v>70</v>
      </c>
      <c r="F11" s="56" t="s">
        <v>25</v>
      </c>
      <c r="G11" s="44">
        <v>125</v>
      </c>
      <c r="H11" s="129">
        <f>IF(B$17=0,0,G11/B$17)</f>
        <v>9.6153846153846159E-2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1.1578651685393255</v>
      </c>
      <c r="P11" s="115">
        <v>178</v>
      </c>
      <c r="Q11" s="103">
        <v>206.09999999999994</v>
      </c>
    </row>
    <row r="12" spans="1:17" x14ac:dyDescent="0.4">
      <c r="A12" s="53" t="s">
        <v>158</v>
      </c>
      <c r="B12" s="46">
        <v>55</v>
      </c>
      <c r="C12" s="40">
        <f t="shared" si="1"/>
        <v>0.10299625468164794</v>
      </c>
      <c r="E12" s="59" t="s">
        <v>71</v>
      </c>
      <c r="F12" s="56" t="s">
        <v>26</v>
      </c>
      <c r="G12" s="44">
        <v>102</v>
      </c>
      <c r="H12" s="129">
        <f>IF(B$17=0,0,G12/B$17)</f>
        <v>7.8461538461538458E-2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-0.6556179775280907</v>
      </c>
      <c r="P12" s="116">
        <v>178</v>
      </c>
      <c r="Q12" s="104">
        <v>-116.70000000000014</v>
      </c>
    </row>
    <row r="13" spans="1:17" x14ac:dyDescent="0.4">
      <c r="A13" s="54" t="s">
        <v>121</v>
      </c>
      <c r="B13" s="47">
        <v>1118</v>
      </c>
      <c r="C13" s="42">
        <f>IF(B$3=0,0,B13/B$3)</f>
        <v>0.25334239746204396</v>
      </c>
      <c r="E13" s="59" t="s">
        <v>83</v>
      </c>
      <c r="F13" s="56" t="s">
        <v>38</v>
      </c>
      <c r="G13" s="44">
        <v>70</v>
      </c>
      <c r="H13" s="129">
        <f>IF(B$17=0,0,G13/B$17)</f>
        <v>5.3846153846153849E-2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1018</v>
      </c>
      <c r="C14" s="37">
        <f>IF(B$3=0,0,B14/B$3)</f>
        <v>0.23068207568547475</v>
      </c>
      <c r="E14" s="59" t="s">
        <v>86</v>
      </c>
      <c r="F14" s="56" t="s">
        <v>41</v>
      </c>
      <c r="G14" s="44">
        <v>66</v>
      </c>
      <c r="H14" s="129">
        <f>IF(B$17=0,0,G14/B$17)</f>
        <v>5.0769230769230768E-2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626</v>
      </c>
      <c r="C15" s="35">
        <f>IF(B$13=0,0,B15/B$13)</f>
        <v>0.55992844364937389</v>
      </c>
      <c r="E15" s="59" t="s">
        <v>78</v>
      </c>
      <c r="F15" s="56" t="s">
        <v>33</v>
      </c>
      <c r="G15" s="44">
        <v>34</v>
      </c>
      <c r="H15" s="129">
        <f>IF(B$17=0,0,G15/B$17)</f>
        <v>2.6153846153846153E-2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23.46617647058822</v>
      </c>
      <c r="P15" s="114">
        <v>68</v>
      </c>
      <c r="Q15" s="102">
        <v>1595.6999999999989</v>
      </c>
    </row>
    <row r="16" spans="1:17" x14ac:dyDescent="0.4">
      <c r="A16" s="50" t="s">
        <v>124</v>
      </c>
      <c r="B16" s="43">
        <v>414</v>
      </c>
      <c r="C16" s="35">
        <f>IF(B$14=0,0,B16/B$14)</f>
        <v>0.40667976424361491</v>
      </c>
      <c r="E16" s="59" t="s">
        <v>167</v>
      </c>
      <c r="F16" s="56" t="s">
        <v>168</v>
      </c>
      <c r="G16" s="44">
        <v>32</v>
      </c>
      <c r="H16" s="129">
        <f>IF(B$17=0,0,G16/B$17)</f>
        <v>2.4615384615384615E-2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1300</v>
      </c>
      <c r="C17" s="35">
        <f>IF(B$3=0,0,B17/B$3)</f>
        <v>0.29458418309539997</v>
      </c>
      <c r="E17" s="59" t="s">
        <v>81</v>
      </c>
      <c r="F17" s="56" t="s">
        <v>36</v>
      </c>
      <c r="G17" s="44">
        <v>22</v>
      </c>
      <c r="H17" s="129">
        <f>IF(B$17=0,0,G17/B$17)</f>
        <v>1.6923076923076923E-2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10.888095238095239</v>
      </c>
      <c r="P17" s="115">
        <v>126</v>
      </c>
      <c r="Q17" s="103">
        <v>1371.9</v>
      </c>
    </row>
    <row r="18" spans="1:17" x14ac:dyDescent="0.4">
      <c r="A18" s="51" t="s">
        <v>12</v>
      </c>
      <c r="B18" s="44">
        <v>571</v>
      </c>
      <c r="C18" s="37">
        <f>IF(B$17=0,0,B18/B$17)</f>
        <v>0.43923076923076926</v>
      </c>
      <c r="E18" s="59" t="s">
        <v>91</v>
      </c>
      <c r="F18" s="56" t="s">
        <v>46</v>
      </c>
      <c r="G18" s="44">
        <v>17</v>
      </c>
      <c r="H18" s="129">
        <f>IF(B$17=0,0,G18/B$17)</f>
        <v>1.3076923076923076E-2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729</v>
      </c>
      <c r="C19" s="37">
        <f>IF(B$17=0,0,B19/B$17)</f>
        <v>0.5607692307692308</v>
      </c>
      <c r="E19" s="59" t="s">
        <v>79</v>
      </c>
      <c r="F19" s="56" t="s">
        <v>34</v>
      </c>
      <c r="G19" s="44">
        <v>16</v>
      </c>
      <c r="H19" s="129">
        <f>IF(B$17=0,0,G19/B$17)</f>
        <v>1.2307692307692308E-2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0.98965517241379208</v>
      </c>
      <c r="P19" s="115">
        <v>174</v>
      </c>
      <c r="Q19" s="103">
        <v>172.19999999999982</v>
      </c>
    </row>
    <row r="20" spans="1:17" x14ac:dyDescent="0.4">
      <c r="A20" s="51" t="s">
        <v>13</v>
      </c>
      <c r="B20" s="44">
        <v>722</v>
      </c>
      <c r="C20" s="37">
        <f>IF(B$3=0,0,B20/B$3)</f>
        <v>0.16360752322682981</v>
      </c>
      <c r="E20" s="59" t="s">
        <v>75</v>
      </c>
      <c r="F20" s="56" t="s">
        <v>30</v>
      </c>
      <c r="G20" s="44">
        <v>9</v>
      </c>
      <c r="H20" s="129">
        <f>IF(B$17=0,0,G20/B$17)</f>
        <v>6.9230769230769233E-3</v>
      </c>
      <c r="I20" s="90">
        <v>5</v>
      </c>
      <c r="K20" s="36">
        <v>18</v>
      </c>
      <c r="L20" s="95">
        <v>0</v>
      </c>
      <c r="N20" s="111" t="s">
        <v>127</v>
      </c>
      <c r="O20" s="121">
        <f>IF(P20=0,0,Q20/P20)</f>
        <v>0.8308823529411703</v>
      </c>
      <c r="P20" s="115">
        <v>204</v>
      </c>
      <c r="Q20" s="103">
        <v>169.49999999999875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5.3846153846153844E-3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6</v>
      </c>
      <c r="H22" s="129">
        <f>IF(B$17=0,0,G22/B$17)</f>
        <v>4.6153846153846158E-3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-7.9862068965517237</v>
      </c>
      <c r="P22" s="115">
        <v>116</v>
      </c>
      <c r="Q22" s="103">
        <v>-926.4</v>
      </c>
    </row>
    <row r="23" spans="1:17" x14ac:dyDescent="0.4">
      <c r="A23" s="51" t="s">
        <v>5</v>
      </c>
      <c r="B23" s="48">
        <f>IF(B$17=0,0,C23/B$17)</f>
        <v>8416.2307692307695</v>
      </c>
      <c r="C23" s="39">
        <v>10941100</v>
      </c>
      <c r="E23" s="59" t="s">
        <v>77</v>
      </c>
      <c r="F23" s="56" t="s">
        <v>32</v>
      </c>
      <c r="G23" s="44">
        <v>5</v>
      </c>
      <c r="H23" s="129">
        <f>IF(B$17=0,0,G23/B$17)</f>
        <v>3.8461538461538464E-3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-13.279017857142852</v>
      </c>
      <c r="P23" s="115">
        <v>224</v>
      </c>
      <c r="Q23" s="103">
        <v>-2974.4999999999991</v>
      </c>
    </row>
    <row r="24" spans="1:17" x14ac:dyDescent="0.4">
      <c r="A24" s="52" t="s">
        <v>216</v>
      </c>
      <c r="B24" s="136">
        <f>IF($B$17-B$16=0,0,C24/($B$17-B$16))</f>
        <v>8907.1106094808129</v>
      </c>
      <c r="C24" s="137">
        <v>7891700</v>
      </c>
      <c r="E24" s="59" t="s">
        <v>85</v>
      </c>
      <c r="F24" s="56" t="s">
        <v>40</v>
      </c>
      <c r="G24" s="44">
        <v>5</v>
      </c>
      <c r="H24" s="129">
        <f>IF(B$17=0,0,G24/B$17)</f>
        <v>3.8461538461538464E-3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7365.7004830917876</v>
      </c>
      <c r="C25" s="137">
        <v>3049400</v>
      </c>
      <c r="E25" s="59" t="s">
        <v>88</v>
      </c>
      <c r="F25" s="56" t="s">
        <v>43</v>
      </c>
      <c r="G25" s="44">
        <v>5</v>
      </c>
      <c r="H25" s="129">
        <f>IF(B$17=0,0,G25/B$17)</f>
        <v>3.8461538461538464E-3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-7813.9889196675904</v>
      </c>
      <c r="C26" s="137">
        <v>-5641700</v>
      </c>
      <c r="E26" s="59" t="s">
        <v>73</v>
      </c>
      <c r="F26" s="56" t="s">
        <v>28</v>
      </c>
      <c r="G26" s="44">
        <v>4</v>
      </c>
      <c r="H26" s="129">
        <f>IF(B$17=0,0,G26/B$17)</f>
        <v>3.0769230769230769E-3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3.0769230769230769E-3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2.3076923076923079E-3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3.1724450487196918E-3</v>
      </c>
      <c r="E29" s="59" t="s">
        <v>95</v>
      </c>
      <c r="F29" s="56" t="s">
        <v>50</v>
      </c>
      <c r="G29" s="44">
        <v>3</v>
      </c>
      <c r="H29" s="129">
        <f>IF(B$17=0,0,G29/B$17)</f>
        <v>2.3076923076923079E-3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1.5384615384615385E-3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1.5384615384615385E-3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7.6923076923076923E-4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7.6923076923076923E-4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7.6923076923076923E-4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9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112</v>
      </c>
      <c r="C2" s="149"/>
      <c r="E2" s="58" t="s">
        <v>66</v>
      </c>
      <c r="F2" s="55" t="s">
        <v>22</v>
      </c>
      <c r="G2" s="43">
        <v>208</v>
      </c>
      <c r="H2" s="128">
        <f>IF(B$17=0,0,G2/B$17)</f>
        <v>0.67532467532467533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1418.018018018018</v>
      </c>
      <c r="P2" s="114">
        <v>111</v>
      </c>
      <c r="Q2" s="98">
        <v>157400</v>
      </c>
    </row>
    <row r="3" spans="1:17" x14ac:dyDescent="0.4">
      <c r="A3" s="51" t="s">
        <v>8</v>
      </c>
      <c r="B3" s="150">
        <v>898</v>
      </c>
      <c r="C3" s="151"/>
      <c r="E3" s="59" t="s">
        <v>72</v>
      </c>
      <c r="F3" s="56" t="s">
        <v>27</v>
      </c>
      <c r="G3" s="44">
        <v>149</v>
      </c>
      <c r="H3" s="129">
        <f>IF(B$17=0,0,G3/B$17)</f>
        <v>0.48376623376623379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500.92592592592592</v>
      </c>
      <c r="P3" s="115">
        <v>108</v>
      </c>
      <c r="Q3" s="99">
        <v>54100</v>
      </c>
    </row>
    <row r="4" spans="1:17" x14ac:dyDescent="0.4">
      <c r="A4" s="51" t="s">
        <v>6</v>
      </c>
      <c r="B4" s="152">
        <v>991.49999999999989</v>
      </c>
      <c r="C4" s="153"/>
      <c r="E4" s="59" t="s">
        <v>64</v>
      </c>
      <c r="F4" s="56" t="s">
        <v>20</v>
      </c>
      <c r="G4" s="44">
        <v>136</v>
      </c>
      <c r="H4" s="129">
        <f>IF(B$17=0,0,G4/B$17)</f>
        <v>0.44155844155844154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698.07692307692309</v>
      </c>
      <c r="P4" s="115">
        <v>104</v>
      </c>
      <c r="Q4" s="99">
        <v>72600</v>
      </c>
    </row>
    <row r="5" spans="1:17" x14ac:dyDescent="0.4">
      <c r="A5" s="51" t="s">
        <v>7</v>
      </c>
      <c r="B5" s="154">
        <f>IF(B$2=0,0,B$4/B$2)</f>
        <v>8.8526785714285712</v>
      </c>
      <c r="C5" s="155"/>
      <c r="E5" s="59" t="s">
        <v>171</v>
      </c>
      <c r="F5" s="56" t="s">
        <v>172</v>
      </c>
      <c r="G5" s="44">
        <v>120</v>
      </c>
      <c r="H5" s="129">
        <f>IF(B$17=0,0,G5/B$17)</f>
        <v>0.38961038961038963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467.36842105263156</v>
      </c>
      <c r="P5" s="115">
        <v>95</v>
      </c>
      <c r="Q5" s="99">
        <v>44400</v>
      </c>
    </row>
    <row r="6" spans="1:17" x14ac:dyDescent="0.4">
      <c r="A6" s="51" t="s">
        <v>1</v>
      </c>
      <c r="B6" s="144">
        <f>IF(B$2=0,0,(B$7*1+B$8*2+B$9*3)/B$2)</f>
        <v>1.7857142857142858</v>
      </c>
      <c r="C6" s="145"/>
      <c r="E6" s="59" t="s">
        <v>68</v>
      </c>
      <c r="F6" s="56" t="s">
        <v>12</v>
      </c>
      <c r="G6" s="44">
        <v>90</v>
      </c>
      <c r="H6" s="129">
        <f>IF(B$17=0,0,G6/B$17)</f>
        <v>0.29220779220779219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2054.5454545454545</v>
      </c>
      <c r="P6" s="115">
        <v>88</v>
      </c>
      <c r="Q6" s="99">
        <v>180800</v>
      </c>
    </row>
    <row r="7" spans="1:17" x14ac:dyDescent="0.4">
      <c r="A7" s="51" t="s">
        <v>2</v>
      </c>
      <c r="B7" s="44">
        <v>52</v>
      </c>
      <c r="C7" s="37">
        <f t="shared" ref="C7:C12" si="1">IF(B$2=0,0,B7/B$2)</f>
        <v>0.4642857142857143</v>
      </c>
      <c r="E7" s="59" t="s">
        <v>67</v>
      </c>
      <c r="F7" s="56" t="s">
        <v>23</v>
      </c>
      <c r="G7" s="44">
        <v>74</v>
      </c>
      <c r="H7" s="129">
        <f>IF(B$17=0,0,G7/B$17)</f>
        <v>0.24025974025974026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2998.6111111111113</v>
      </c>
      <c r="P7" s="116">
        <v>72</v>
      </c>
      <c r="Q7" s="100">
        <v>215900</v>
      </c>
    </row>
    <row r="8" spans="1:17" x14ac:dyDescent="0.4">
      <c r="A8" s="51" t="s">
        <v>3</v>
      </c>
      <c r="B8" s="44">
        <v>32</v>
      </c>
      <c r="C8" s="37">
        <f t="shared" si="1"/>
        <v>0.2857142857142857</v>
      </c>
      <c r="E8" s="59" t="s">
        <v>69</v>
      </c>
      <c r="F8" s="56" t="s">
        <v>24</v>
      </c>
      <c r="G8" s="44">
        <v>48</v>
      </c>
      <c r="H8" s="129">
        <f>IF(B$17=0,0,G8/B$17)</f>
        <v>0.15584415584415584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0.25</v>
      </c>
      <c r="E9" s="59" t="s">
        <v>89</v>
      </c>
      <c r="F9" s="56" t="s">
        <v>44</v>
      </c>
      <c r="G9" s="44">
        <v>47</v>
      </c>
      <c r="H9" s="129">
        <f>IF(B$17=0,0,G9/B$17)</f>
        <v>0.15259740259740259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4.4642857142857144E-2</v>
      </c>
      <c r="E10" s="59" t="s">
        <v>65</v>
      </c>
      <c r="F10" s="56" t="s">
        <v>21</v>
      </c>
      <c r="G10" s="44">
        <v>34</v>
      </c>
      <c r="H10" s="129">
        <f>IF(B$17=0,0,G10/B$17)</f>
        <v>0.11038961038961038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0.13392857142857142</v>
      </c>
      <c r="E11" s="59" t="s">
        <v>71</v>
      </c>
      <c r="F11" s="56" t="s">
        <v>26</v>
      </c>
      <c r="G11" s="44">
        <v>22</v>
      </c>
      <c r="H11" s="129">
        <f>IF(B$17=0,0,G11/B$17)</f>
        <v>7.1428571428571425E-2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4.3950000000000005</v>
      </c>
      <c r="P11" s="115">
        <v>40</v>
      </c>
      <c r="Q11" s="103">
        <v>175.8</v>
      </c>
    </row>
    <row r="12" spans="1:17" x14ac:dyDescent="0.4">
      <c r="A12" s="53" t="s">
        <v>158</v>
      </c>
      <c r="B12" s="46">
        <v>13</v>
      </c>
      <c r="C12" s="40">
        <f t="shared" si="1"/>
        <v>0.11607142857142858</v>
      </c>
      <c r="E12" s="59" t="s">
        <v>86</v>
      </c>
      <c r="F12" s="56" t="s">
        <v>41</v>
      </c>
      <c r="G12" s="44">
        <v>18</v>
      </c>
      <c r="H12" s="129">
        <f>IF(B$17=0,0,G12/B$17)</f>
        <v>5.844155844155844E-2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11.134210526315787</v>
      </c>
      <c r="P12" s="116">
        <v>38</v>
      </c>
      <c r="Q12" s="104">
        <v>423.09999999999991</v>
      </c>
    </row>
    <row r="13" spans="1:17" x14ac:dyDescent="0.4">
      <c r="A13" s="54" t="s">
        <v>121</v>
      </c>
      <c r="B13" s="47">
        <v>240</v>
      </c>
      <c r="C13" s="42">
        <f>IF(B$3=0,0,B13/B$3)</f>
        <v>0.267260579064588</v>
      </c>
      <c r="E13" s="59" t="s">
        <v>70</v>
      </c>
      <c r="F13" s="56" t="s">
        <v>25</v>
      </c>
      <c r="G13" s="44">
        <v>16</v>
      </c>
      <c r="H13" s="129">
        <f>IF(B$17=0,0,G13/B$17)</f>
        <v>5.1948051948051951E-2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202</v>
      </c>
      <c r="C14" s="37">
        <f>IF(B$3=0,0,B14/B$3)</f>
        <v>0.22494432071269488</v>
      </c>
      <c r="E14" s="59" t="s">
        <v>83</v>
      </c>
      <c r="F14" s="56" t="s">
        <v>38</v>
      </c>
      <c r="G14" s="44">
        <v>13</v>
      </c>
      <c r="H14" s="129">
        <f>IF(B$17=0,0,G14/B$17)</f>
        <v>4.2207792207792208E-2</v>
      </c>
      <c r="I14" s="90">
        <v>9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145</v>
      </c>
      <c r="C15" s="35">
        <f>IF(B$13=0,0,B15/B$13)</f>
        <v>0.60416666666666663</v>
      </c>
      <c r="E15" s="59" t="s">
        <v>78</v>
      </c>
      <c r="F15" s="56" t="s">
        <v>33</v>
      </c>
      <c r="G15" s="44">
        <v>12</v>
      </c>
      <c r="H15" s="129">
        <f>IF(B$17=0,0,G15/B$17)</f>
        <v>3.896103896103896E-2</v>
      </c>
      <c r="I15" s="90">
        <v>3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98</v>
      </c>
      <c r="C16" s="35">
        <f>IF(B$14=0,0,B16/B$14)</f>
        <v>0.48514851485148514</v>
      </c>
      <c r="E16" s="59" t="s">
        <v>167</v>
      </c>
      <c r="F16" s="56" t="s">
        <v>168</v>
      </c>
      <c r="G16" s="44">
        <v>12</v>
      </c>
      <c r="H16" s="129">
        <f>IF(B$17=0,0,G16/B$17)</f>
        <v>3.896103896103896E-2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28.291666666666661</v>
      </c>
      <c r="P16" s="115">
        <v>12</v>
      </c>
      <c r="Q16" s="103">
        <v>339.49999999999994</v>
      </c>
    </row>
    <row r="17" spans="1:17" x14ac:dyDescent="0.4">
      <c r="A17" s="50" t="s">
        <v>10</v>
      </c>
      <c r="B17" s="43">
        <f>B19+B18</f>
        <v>308</v>
      </c>
      <c r="C17" s="35">
        <f>IF(B$3=0,0,B17/B$3)</f>
        <v>0.34298440979955458</v>
      </c>
      <c r="E17" s="59" t="s">
        <v>77</v>
      </c>
      <c r="F17" s="56" t="s">
        <v>32</v>
      </c>
      <c r="G17" s="44">
        <v>3</v>
      </c>
      <c r="H17" s="129">
        <f>IF(B$17=0,0,G17/B$17)</f>
        <v>9.74025974025974E-3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16.932558139534887</v>
      </c>
      <c r="P17" s="115">
        <v>43</v>
      </c>
      <c r="Q17" s="103">
        <v>728.10000000000014</v>
      </c>
    </row>
    <row r="18" spans="1:17" x14ac:dyDescent="0.4">
      <c r="A18" s="51" t="s">
        <v>12</v>
      </c>
      <c r="B18" s="44">
        <v>132</v>
      </c>
      <c r="C18" s="37">
        <f>IF(B$17=0,0,B18/B$17)</f>
        <v>0.42857142857142855</v>
      </c>
      <c r="E18" s="59" t="s">
        <v>84</v>
      </c>
      <c r="F18" s="56" t="s">
        <v>39</v>
      </c>
      <c r="G18" s="44">
        <v>3</v>
      </c>
      <c r="H18" s="129">
        <f>IF(B$17=0,0,G18/B$17)</f>
        <v>9.74025974025974E-3</v>
      </c>
      <c r="I18" s="90">
        <v>1</v>
      </c>
      <c r="K18" s="36">
        <v>16</v>
      </c>
      <c r="L18" s="95">
        <v>323.69999999999993</v>
      </c>
      <c r="N18" s="111" t="s">
        <v>127</v>
      </c>
      <c r="O18" s="121">
        <f>IF(P18=0,0,Q18/P18)</f>
        <v>16.008450704225346</v>
      </c>
      <c r="P18" s="115">
        <v>71</v>
      </c>
      <c r="Q18" s="103">
        <v>1136.5999999999997</v>
      </c>
    </row>
    <row r="19" spans="1:17" x14ac:dyDescent="0.4">
      <c r="A19" s="51" t="s">
        <v>11</v>
      </c>
      <c r="B19" s="44">
        <v>176</v>
      </c>
      <c r="C19" s="37">
        <f>IF(B$17=0,0,B19/B$17)</f>
        <v>0.5714285714285714</v>
      </c>
      <c r="E19" s="59" t="s">
        <v>92</v>
      </c>
      <c r="F19" s="56" t="s">
        <v>47</v>
      </c>
      <c r="G19" s="44">
        <v>3</v>
      </c>
      <c r="H19" s="129">
        <f>IF(B$17=0,0,G19/B$17)</f>
        <v>9.74025974025974E-3</v>
      </c>
      <c r="I19" s="90">
        <v>2</v>
      </c>
      <c r="K19" s="36">
        <v>17</v>
      </c>
      <c r="L19" s="95">
        <v>359.09999999999991</v>
      </c>
      <c r="N19" s="111" t="s">
        <v>178</v>
      </c>
      <c r="O19" s="121">
        <f>IF(P19=0,0,Q19/P19)</f>
        <v>15.723809523809528</v>
      </c>
      <c r="P19" s="115">
        <v>42</v>
      </c>
      <c r="Q19" s="103">
        <v>660.4000000000002</v>
      </c>
    </row>
    <row r="20" spans="1:17" x14ac:dyDescent="0.4">
      <c r="A20" s="51" t="s">
        <v>13</v>
      </c>
      <c r="B20" s="44">
        <v>114</v>
      </c>
      <c r="C20" s="37">
        <f>IF(B$3=0,0,B20/B$3)</f>
        <v>0.12694877505567928</v>
      </c>
      <c r="E20" s="59" t="s">
        <v>75</v>
      </c>
      <c r="F20" s="56" t="s">
        <v>30</v>
      </c>
      <c r="G20" s="44">
        <v>2</v>
      </c>
      <c r="H20" s="129">
        <f>IF(B$17=0,0,G20/B$17)</f>
        <v>6.4935064935064939E-3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6.4935064935064939E-3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-7.2217391304347833</v>
      </c>
      <c r="P21" s="115">
        <v>23</v>
      </c>
      <c r="Q21" s="103">
        <v>-166.10000000000002</v>
      </c>
    </row>
    <row r="22" spans="1:17" x14ac:dyDescent="0.4">
      <c r="A22" s="51" t="s">
        <v>170</v>
      </c>
      <c r="B22" s="44">
        <v>43</v>
      </c>
      <c r="C22" s="131">
        <v>16</v>
      </c>
      <c r="E22" s="59" t="s">
        <v>85</v>
      </c>
      <c r="F22" s="56" t="s">
        <v>40</v>
      </c>
      <c r="G22" s="44">
        <v>2</v>
      </c>
      <c r="H22" s="129">
        <f>IF(B$17=0,0,G22/B$17)</f>
        <v>6.4935064935064939E-3</v>
      </c>
      <c r="I22" s="90">
        <v>3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8203.5714285714294</v>
      </c>
      <c r="C23" s="39">
        <v>2526700</v>
      </c>
      <c r="E23" s="59" t="s">
        <v>88</v>
      </c>
      <c r="F23" s="56" t="s">
        <v>43</v>
      </c>
      <c r="G23" s="44">
        <v>2</v>
      </c>
      <c r="H23" s="129">
        <f>IF(B$17=0,0,G23/B$17)</f>
        <v>6.4935064935064939E-3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8331.4285714285706</v>
      </c>
      <c r="C24" s="137">
        <v>1749600</v>
      </c>
      <c r="E24" s="59" t="s">
        <v>91</v>
      </c>
      <c r="F24" s="56" t="s">
        <v>46</v>
      </c>
      <c r="G24" s="44">
        <v>2</v>
      </c>
      <c r="H24" s="129">
        <f>IF(B$17=0,0,G24/B$17)</f>
        <v>6.4935064935064939E-3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7929.591836734694</v>
      </c>
      <c r="C25" s="137">
        <v>777100</v>
      </c>
      <c r="E25" s="59" t="s">
        <v>74</v>
      </c>
      <c r="F25" s="56" t="s">
        <v>29</v>
      </c>
      <c r="G25" s="44">
        <v>1</v>
      </c>
      <c r="H25" s="129">
        <f>IF(B$17=0,0,G25/B$17)</f>
        <v>3.246753246753247E-3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-7785.9649122807014</v>
      </c>
      <c r="C26" s="137">
        <v>-887600</v>
      </c>
      <c r="E26" s="59" t="s">
        <v>81</v>
      </c>
      <c r="F26" s="56" t="s">
        <v>36</v>
      </c>
      <c r="G26" s="44">
        <v>1</v>
      </c>
      <c r="H26" s="129">
        <f>IF(B$17=0,0,G26/B$17)</f>
        <v>3.246753246753247E-3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3.246753246753247E-3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3.246753246753247E-3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1.1135857461024498E-3</v>
      </c>
      <c r="E29" s="59" t="s">
        <v>106</v>
      </c>
      <c r="F29" s="56" t="s">
        <v>113</v>
      </c>
      <c r="G29" s="44">
        <v>1</v>
      </c>
      <c r="H29" s="129">
        <f>IF(B$17=0,0,G29/B$17)</f>
        <v>3.246753246753247E-3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102</v>
      </c>
      <c r="C2" s="149"/>
      <c r="E2" s="58" t="s">
        <v>66</v>
      </c>
      <c r="F2" s="55" t="s">
        <v>22</v>
      </c>
      <c r="G2" s="43">
        <v>232</v>
      </c>
      <c r="H2" s="128">
        <f>IF(B$17=0,0,G2/B$17)</f>
        <v>0.90625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-1956.4356435643565</v>
      </c>
      <c r="P2" s="114">
        <v>101</v>
      </c>
      <c r="Q2" s="98">
        <v>-197600</v>
      </c>
    </row>
    <row r="3" spans="1:17" x14ac:dyDescent="0.4">
      <c r="A3" s="51" t="s">
        <v>8</v>
      </c>
      <c r="B3" s="150">
        <v>856</v>
      </c>
      <c r="C3" s="151"/>
      <c r="E3" s="59" t="s">
        <v>72</v>
      </c>
      <c r="F3" s="56" t="s">
        <v>27</v>
      </c>
      <c r="G3" s="44">
        <v>149</v>
      </c>
      <c r="H3" s="129">
        <f>IF(B$17=0,0,G3/B$17)</f>
        <v>0.58203125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1178.7878787878788</v>
      </c>
      <c r="P3" s="115">
        <v>99</v>
      </c>
      <c r="Q3" s="99">
        <v>116700</v>
      </c>
    </row>
    <row r="4" spans="1:17" x14ac:dyDescent="0.4">
      <c r="A4" s="51" t="s">
        <v>6</v>
      </c>
      <c r="B4" s="152">
        <v>-56.500000000000213</v>
      </c>
      <c r="C4" s="153"/>
      <c r="E4" s="59" t="s">
        <v>171</v>
      </c>
      <c r="F4" s="56" t="s">
        <v>172</v>
      </c>
      <c r="G4" s="44">
        <v>107</v>
      </c>
      <c r="H4" s="129">
        <f>IF(B$17=0,0,G4/B$17)</f>
        <v>0.41796875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260.21505376344084</v>
      </c>
      <c r="P4" s="115">
        <v>93</v>
      </c>
      <c r="Q4" s="99">
        <v>24200</v>
      </c>
    </row>
    <row r="5" spans="1:17" x14ac:dyDescent="0.4">
      <c r="A5" s="51" t="s">
        <v>7</v>
      </c>
      <c r="B5" s="154">
        <f>IF(B$2=0,0,B$4/B$2)</f>
        <v>-0.55392156862745312</v>
      </c>
      <c r="C5" s="155"/>
      <c r="E5" s="59" t="s">
        <v>64</v>
      </c>
      <c r="F5" s="56" t="s">
        <v>20</v>
      </c>
      <c r="G5" s="44">
        <v>101</v>
      </c>
      <c r="H5" s="129">
        <f>IF(B$17=0,0,G5/B$17)</f>
        <v>0.39453125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666.66666666666663</v>
      </c>
      <c r="P5" s="115">
        <v>87</v>
      </c>
      <c r="Q5" s="99">
        <v>58000</v>
      </c>
    </row>
    <row r="6" spans="1:17" x14ac:dyDescent="0.4">
      <c r="A6" s="51" t="s">
        <v>1</v>
      </c>
      <c r="B6" s="144">
        <f>IF(B$2=0,0,(B$7*1+B$8*2+B$9*3)/B$2)</f>
        <v>1.9901960784313726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0.2734375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-1180</v>
      </c>
      <c r="P6" s="115">
        <v>80</v>
      </c>
      <c r="Q6" s="99">
        <v>-94400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0.34313725490196079</v>
      </c>
      <c r="E7" s="59" t="s">
        <v>67</v>
      </c>
      <c r="F7" s="56" t="s">
        <v>23</v>
      </c>
      <c r="G7" s="44">
        <v>53</v>
      </c>
      <c r="H7" s="129">
        <f>IF(B$17=0,0,G7/B$17)</f>
        <v>0.20703125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1248.5294117647059</v>
      </c>
      <c r="P7" s="116">
        <v>68</v>
      </c>
      <c r="Q7" s="100">
        <v>84900</v>
      </c>
    </row>
    <row r="8" spans="1:17" x14ac:dyDescent="0.4">
      <c r="A8" s="51" t="s">
        <v>3</v>
      </c>
      <c r="B8" s="44">
        <v>33</v>
      </c>
      <c r="C8" s="37">
        <f t="shared" si="1"/>
        <v>0.3235294117647059</v>
      </c>
      <c r="E8" s="59" t="s">
        <v>89</v>
      </c>
      <c r="F8" s="56" t="s">
        <v>44</v>
      </c>
      <c r="G8" s="44">
        <v>32</v>
      </c>
      <c r="H8" s="129">
        <f>IF(B$17=0,0,G8/B$17)</f>
        <v>0.125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0.33333333333333331</v>
      </c>
      <c r="E9" s="59" t="s">
        <v>69</v>
      </c>
      <c r="F9" s="56" t="s">
        <v>24</v>
      </c>
      <c r="G9" s="44">
        <v>30</v>
      </c>
      <c r="H9" s="129">
        <f>IF(B$17=0,0,G9/B$17)</f>
        <v>0.1171875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0.14705882352941177</v>
      </c>
      <c r="E10" s="59" t="s">
        <v>65</v>
      </c>
      <c r="F10" s="56" t="s">
        <v>21</v>
      </c>
      <c r="G10" s="44">
        <v>25</v>
      </c>
      <c r="H10" s="129">
        <f>IF(B$17=0,0,G10/B$17)</f>
        <v>9.765625E-2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9.8039215686274508E-2</v>
      </c>
      <c r="E11" s="59" t="s">
        <v>70</v>
      </c>
      <c r="F11" s="56" t="s">
        <v>25</v>
      </c>
      <c r="G11" s="44">
        <v>22</v>
      </c>
      <c r="H11" s="129">
        <f>IF(B$17=0,0,G11/B$17)</f>
        <v>8.59375E-2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3.8645161290322592</v>
      </c>
      <c r="P11" s="115">
        <v>31</v>
      </c>
      <c r="Q11" s="103">
        <v>119.80000000000004</v>
      </c>
    </row>
    <row r="12" spans="1:17" x14ac:dyDescent="0.4">
      <c r="A12" s="53" t="s">
        <v>158</v>
      </c>
      <c r="B12" s="46">
        <v>17</v>
      </c>
      <c r="C12" s="40">
        <f t="shared" si="1"/>
        <v>0.16666666666666666</v>
      </c>
      <c r="E12" s="59" t="s">
        <v>71</v>
      </c>
      <c r="F12" s="56" t="s">
        <v>26</v>
      </c>
      <c r="G12" s="44">
        <v>22</v>
      </c>
      <c r="H12" s="129">
        <f>IF(B$17=0,0,G12/B$17)</f>
        <v>8.59375E-2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201</v>
      </c>
      <c r="C13" s="42">
        <f>IF(B$3=0,0,B13/B$3)</f>
        <v>0.23481308411214954</v>
      </c>
      <c r="E13" s="59" t="s">
        <v>86</v>
      </c>
      <c r="F13" s="56" t="s">
        <v>41</v>
      </c>
      <c r="G13" s="44">
        <v>18</v>
      </c>
      <c r="H13" s="129">
        <f>IF(B$17=0,0,G13/B$17)</f>
        <v>7.03125E-2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260</v>
      </c>
      <c r="C14" s="37">
        <f>IF(B$3=0,0,B14/B$3)</f>
        <v>0.30373831775700932</v>
      </c>
      <c r="E14" s="59" t="s">
        <v>83</v>
      </c>
      <c r="F14" s="56" t="s">
        <v>38</v>
      </c>
      <c r="G14" s="44">
        <v>15</v>
      </c>
      <c r="H14" s="129">
        <f>IF(B$17=0,0,G14/B$17)</f>
        <v>5.859375E-2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102</v>
      </c>
      <c r="C15" s="35">
        <f>IF(B$13=0,0,B15/B$13)</f>
        <v>0.5074626865671642</v>
      </c>
      <c r="E15" s="59" t="s">
        <v>78</v>
      </c>
      <c r="F15" s="56" t="s">
        <v>33</v>
      </c>
      <c r="G15" s="44">
        <v>8</v>
      </c>
      <c r="H15" s="129">
        <f>IF(B$17=0,0,G15/B$17)</f>
        <v>3.125E-2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96</v>
      </c>
      <c r="C16" s="35">
        <f>IF(B$14=0,0,B16/B$14)</f>
        <v>0.36923076923076925</v>
      </c>
      <c r="E16" s="59" t="s">
        <v>91</v>
      </c>
      <c r="F16" s="56" t="s">
        <v>46</v>
      </c>
      <c r="G16" s="44">
        <v>8</v>
      </c>
      <c r="H16" s="129">
        <f>IF(B$17=0,0,G16/B$17)</f>
        <v>3.125E-2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256</v>
      </c>
      <c r="C17" s="35">
        <f>IF(B$3=0,0,B17/B$3)</f>
        <v>0.29906542056074764</v>
      </c>
      <c r="E17" s="59" t="s">
        <v>81</v>
      </c>
      <c r="F17" s="56" t="s">
        <v>36</v>
      </c>
      <c r="G17" s="44">
        <v>6</v>
      </c>
      <c r="H17" s="129">
        <f>IF(B$17=0,0,G17/B$17)</f>
        <v>2.34375E-2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100</v>
      </c>
      <c r="C18" s="37">
        <f>IF(B$17=0,0,B18/B$17)</f>
        <v>0.390625</v>
      </c>
      <c r="E18" s="59" t="s">
        <v>79</v>
      </c>
      <c r="F18" s="56" t="s">
        <v>34</v>
      </c>
      <c r="G18" s="44">
        <v>5</v>
      </c>
      <c r="H18" s="129">
        <f>IF(B$17=0,0,G18/B$17)</f>
        <v>1.953125E-2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156</v>
      </c>
      <c r="C19" s="37">
        <f>IF(B$17=0,0,B19/B$17)</f>
        <v>0.609375</v>
      </c>
      <c r="E19" s="59" t="s">
        <v>167</v>
      </c>
      <c r="F19" s="56" t="s">
        <v>168</v>
      </c>
      <c r="G19" s="44">
        <v>3</v>
      </c>
      <c r="H19" s="129">
        <f>IF(B$17=0,0,G19/B$17)</f>
        <v>1.171875E-2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170</v>
      </c>
      <c r="C20" s="37">
        <f>IF(B$3=0,0,B20/B$3)</f>
        <v>0.19859813084112149</v>
      </c>
      <c r="E20" s="59" t="s">
        <v>74</v>
      </c>
      <c r="F20" s="56" t="s">
        <v>29</v>
      </c>
      <c r="G20" s="44">
        <v>2</v>
      </c>
      <c r="H20" s="129">
        <f>IF(B$17=0,0,G20/B$17)</f>
        <v>7.8125E-3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3.90625E-3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77</v>
      </c>
      <c r="F22" s="56" t="s">
        <v>32</v>
      </c>
      <c r="G22" s="44">
        <v>1</v>
      </c>
      <c r="H22" s="129">
        <f>IF(B$17=0,0,G22/B$17)</f>
        <v>3.90625E-3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-16.008450704225346</v>
      </c>
      <c r="P22" s="115">
        <v>71</v>
      </c>
      <c r="Q22" s="103">
        <v>-1136.5999999999997</v>
      </c>
    </row>
    <row r="23" spans="1:17" x14ac:dyDescent="0.4">
      <c r="A23" s="51" t="s">
        <v>5</v>
      </c>
      <c r="B23" s="48">
        <f>IF(B$17=0,0,C23/B$17)</f>
        <v>8584.765625</v>
      </c>
      <c r="C23" s="39">
        <v>2197700</v>
      </c>
      <c r="E23" s="59" t="s">
        <v>84</v>
      </c>
      <c r="F23" s="56" t="s">
        <v>39</v>
      </c>
      <c r="G23" s="44">
        <v>1</v>
      </c>
      <c r="H23" s="129">
        <f>IF(B$17=0,0,G23/B$17)</f>
        <v>3.90625E-3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8998.125</v>
      </c>
      <c r="C24" s="137">
        <v>1439700</v>
      </c>
      <c r="E24" s="59" t="s">
        <v>92</v>
      </c>
      <c r="F24" s="56" t="s">
        <v>47</v>
      </c>
      <c r="G24" s="44">
        <v>1</v>
      </c>
      <c r="H24" s="129">
        <f>IF(B$17=0,0,G24/B$17)</f>
        <v>3.90625E-3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7895.833333333333</v>
      </c>
      <c r="C25" s="137">
        <v>758000</v>
      </c>
      <c r="E25" s="59" t="s">
        <v>95</v>
      </c>
      <c r="F25" s="56" t="s">
        <v>50</v>
      </c>
      <c r="G25" s="44">
        <v>1</v>
      </c>
      <c r="H25" s="129">
        <f>IF(B$17=0,0,G25/B$17)</f>
        <v>3.90625E-3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-8178.8235294117649</v>
      </c>
      <c r="C26" s="137">
        <v>-1390400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3.5046728971962616E-3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0.77027027027027029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-391.93548387096774</v>
      </c>
      <c r="P2" s="114">
        <v>62</v>
      </c>
      <c r="Q2" s="98">
        <v>-24300</v>
      </c>
    </row>
    <row r="3" spans="1:17" x14ac:dyDescent="0.4">
      <c r="A3" s="51" t="s">
        <v>8</v>
      </c>
      <c r="B3" s="150">
        <v>528</v>
      </c>
      <c r="C3" s="151"/>
      <c r="E3" s="59" t="s">
        <v>64</v>
      </c>
      <c r="F3" s="56" t="s">
        <v>20</v>
      </c>
      <c r="G3" s="44">
        <v>88</v>
      </c>
      <c r="H3" s="129">
        <f>IF(B$17=0,0,G3/B$17)</f>
        <v>0.59459459459459463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-941.93548387096769</v>
      </c>
      <c r="P3" s="115">
        <v>62</v>
      </c>
      <c r="Q3" s="99">
        <v>-58400</v>
      </c>
    </row>
    <row r="4" spans="1:17" x14ac:dyDescent="0.4">
      <c r="A4" s="51" t="s">
        <v>6</v>
      </c>
      <c r="B4" s="152">
        <v>-457.29999999999995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756.89655172413791</v>
      </c>
      <c r="P4" s="115">
        <v>58</v>
      </c>
      <c r="Q4" s="99">
        <v>43900</v>
      </c>
    </row>
    <row r="5" spans="1:17" x14ac:dyDescent="0.4">
      <c r="A5" s="51" t="s">
        <v>7</v>
      </c>
      <c r="B5" s="154">
        <f>IF(B$2=0,0,B$4/B$2)</f>
        <v>-7.2587301587301578</v>
      </c>
      <c r="C5" s="155"/>
      <c r="E5" s="59" t="s">
        <v>171</v>
      </c>
      <c r="F5" s="56" t="s">
        <v>172</v>
      </c>
      <c r="G5" s="44">
        <v>60</v>
      </c>
      <c r="H5" s="129">
        <f>IF(B$17=0,0,G5/B$17)</f>
        <v>0.40540540540540543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-1361.4035087719299</v>
      </c>
      <c r="P5" s="115">
        <v>57</v>
      </c>
      <c r="Q5" s="99">
        <v>-77600</v>
      </c>
    </row>
    <row r="6" spans="1:17" x14ac:dyDescent="0.4">
      <c r="A6" s="51" t="s">
        <v>1</v>
      </c>
      <c r="B6" s="144">
        <f>IF(B$2=0,0,(B$7*1+B$8*2+B$9*3)/B$2)</f>
        <v>2.1904761904761907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0.35135135135135137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-3379.6296296296296</v>
      </c>
      <c r="P6" s="115">
        <v>54</v>
      </c>
      <c r="Q6" s="99">
        <v>-182500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0.20634920634920634</v>
      </c>
      <c r="E7" s="59" t="s">
        <v>67</v>
      </c>
      <c r="F7" s="56" t="s">
        <v>23</v>
      </c>
      <c r="G7" s="44">
        <v>46</v>
      </c>
      <c r="H7" s="129">
        <f>IF(B$17=0,0,G7/B$17)</f>
        <v>0.3108108108108108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-1283.3333333333333</v>
      </c>
      <c r="P7" s="116">
        <v>48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70</v>
      </c>
      <c r="F8" s="56" t="s">
        <v>25</v>
      </c>
      <c r="G8" s="44">
        <v>24</v>
      </c>
      <c r="H8" s="129">
        <f>IF(B$17=0,0,G8/B$17)</f>
        <v>0.16216216216216217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0.3968253968253968</v>
      </c>
      <c r="E9" s="59" t="s">
        <v>69</v>
      </c>
      <c r="F9" s="56" t="s">
        <v>24</v>
      </c>
      <c r="G9" s="44">
        <v>22</v>
      </c>
      <c r="H9" s="129">
        <f>IF(B$17=0,0,G9/B$17)</f>
        <v>0.14864864864864866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9.5238095238095233E-2</v>
      </c>
      <c r="E10" s="59" t="s">
        <v>65</v>
      </c>
      <c r="F10" s="56" t="s">
        <v>21</v>
      </c>
      <c r="G10" s="44">
        <v>17</v>
      </c>
      <c r="H10" s="129">
        <f>IF(B$17=0,0,G10/B$17)</f>
        <v>0.11486486486486487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3.1746031746031744E-2</v>
      </c>
      <c r="E11" s="59" t="s">
        <v>89</v>
      </c>
      <c r="F11" s="56" t="s">
        <v>44</v>
      </c>
      <c r="G11" s="44">
        <v>14</v>
      </c>
      <c r="H11" s="129">
        <f>IF(B$17=0,0,G11/B$17)</f>
        <v>9.45945945945946E-2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7.9365079365079361E-2</v>
      </c>
      <c r="E12" s="59" t="s">
        <v>83</v>
      </c>
      <c r="F12" s="56" t="s">
        <v>38</v>
      </c>
      <c r="G12" s="44">
        <v>9</v>
      </c>
      <c r="H12" s="129">
        <f>IF(B$17=0,0,G12/B$17)</f>
        <v>6.0810810810810814E-2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154</v>
      </c>
      <c r="C13" s="42">
        <f>IF(B$3=0,0,B13/B$3)</f>
        <v>0.29166666666666669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4.0540540540540543E-2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0.58441558441558439</v>
      </c>
      <c r="E15" s="59" t="s">
        <v>86</v>
      </c>
      <c r="F15" s="56" t="s">
        <v>41</v>
      </c>
      <c r="G15" s="44">
        <v>4</v>
      </c>
      <c r="H15" s="129">
        <f>IF(B$17=0,0,G15/B$17)</f>
        <v>2.7027027027027029E-2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0.38383838383838381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0.28030303030303028</v>
      </c>
      <c r="E17" s="59" t="s">
        <v>167</v>
      </c>
      <c r="F17" s="56" t="s">
        <v>168</v>
      </c>
      <c r="G17" s="44">
        <v>3</v>
      </c>
      <c r="H17" s="129">
        <f>IF(B$17=0,0,G17/B$17)</f>
        <v>2.0270270270270271E-2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67</v>
      </c>
      <c r="C18" s="37">
        <f>IF(B$17=0,0,B18/B$17)</f>
        <v>0.45270270270270269</v>
      </c>
      <c r="E18" s="59" t="s">
        <v>75</v>
      </c>
      <c r="F18" s="56" t="s">
        <v>30</v>
      </c>
      <c r="G18" s="44">
        <v>2</v>
      </c>
      <c r="H18" s="129">
        <f>IF(B$17=0,0,G18/B$17)</f>
        <v>1.3513513513513514E-2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81</v>
      </c>
      <c r="C19" s="37">
        <f>IF(B$17=0,0,B19/B$17)</f>
        <v>0.54729729729729726</v>
      </c>
      <c r="E19" s="59" t="s">
        <v>79</v>
      </c>
      <c r="F19" s="56" t="s">
        <v>34</v>
      </c>
      <c r="G19" s="44">
        <v>2</v>
      </c>
      <c r="H19" s="129">
        <f>IF(B$17=0,0,G19/B$17)</f>
        <v>1.3513513513513514E-2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6.7567567567567571E-3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10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8081.0810810810808</v>
      </c>
      <c r="C23" s="39">
        <v>1196000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8590.9090909090901</v>
      </c>
      <c r="C24" s="137">
        <v>945000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-7611.818181818182</v>
      </c>
      <c r="C26" s="137">
        <v>-837300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5.681818181818182E-3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</sheetData>
  <sortState xmlns:xlrd2="http://schemas.microsoft.com/office/spreadsheetml/2017/richdata2" ref="E2:I6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58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0.8188405797101449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2300</v>
      </c>
      <c r="P2" s="114">
        <v>58</v>
      </c>
      <c r="Q2" s="98">
        <v>133400</v>
      </c>
    </row>
    <row r="3" spans="1:17" x14ac:dyDescent="0.4">
      <c r="A3" s="51" t="s">
        <v>8</v>
      </c>
      <c r="B3" s="150">
        <v>465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0.55797101449275366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-2180.3571428571427</v>
      </c>
      <c r="P3" s="115">
        <v>56</v>
      </c>
      <c r="Q3" s="99">
        <v>-122100</v>
      </c>
    </row>
    <row r="4" spans="1:17" x14ac:dyDescent="0.4">
      <c r="A4" s="51" t="s">
        <v>6</v>
      </c>
      <c r="B4" s="152">
        <v>308.80000000000007</v>
      </c>
      <c r="C4" s="153"/>
      <c r="E4" s="59" t="s">
        <v>64</v>
      </c>
      <c r="F4" s="56" t="s">
        <v>20</v>
      </c>
      <c r="G4" s="44">
        <v>72</v>
      </c>
      <c r="H4" s="129">
        <f>IF(B$17=0,0,G4/B$17)</f>
        <v>0.52173913043478259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1734.6153846153845</v>
      </c>
      <c r="P4" s="115">
        <v>52</v>
      </c>
      <c r="Q4" s="99">
        <v>90200</v>
      </c>
    </row>
    <row r="5" spans="1:17" x14ac:dyDescent="0.4">
      <c r="A5" s="51" t="s">
        <v>7</v>
      </c>
      <c r="B5" s="154">
        <f>IF(B$2=0,0,B$4/B$2)</f>
        <v>5.3241379310344836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0.42753623188405798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3738</v>
      </c>
      <c r="P5" s="115">
        <v>50</v>
      </c>
      <c r="Q5" s="99">
        <v>186900</v>
      </c>
    </row>
    <row r="6" spans="1:17" x14ac:dyDescent="0.4">
      <c r="A6" s="51" t="s">
        <v>1</v>
      </c>
      <c r="B6" s="144">
        <f>IF(B$2=0,0,(B$7*1+B$8*2+B$9*3)/B$2)</f>
        <v>1.8793103448275863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0.37681159420289856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-810.86956521739125</v>
      </c>
      <c r="P6" s="115">
        <v>46</v>
      </c>
      <c r="Q6" s="99">
        <v>-37300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0.43103448275862066</v>
      </c>
      <c r="E7" s="59" t="s">
        <v>171</v>
      </c>
      <c r="F7" s="56" t="s">
        <v>172</v>
      </c>
      <c r="G7" s="44">
        <v>52</v>
      </c>
      <c r="H7" s="129">
        <f>IF(B$17=0,0,G7/B$17)</f>
        <v>0.37681159420289856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0.25862068965517243</v>
      </c>
      <c r="E8" s="59" t="s">
        <v>69</v>
      </c>
      <c r="F8" s="56" t="s">
        <v>24</v>
      </c>
      <c r="G8" s="44">
        <v>31</v>
      </c>
      <c r="H8" s="129">
        <f>IF(B$17=0,0,G8/B$17)</f>
        <v>0.22463768115942029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0.31034482758620691</v>
      </c>
      <c r="E9" s="59" t="s">
        <v>89</v>
      </c>
      <c r="F9" s="56" t="s">
        <v>44</v>
      </c>
      <c r="G9" s="44">
        <v>30</v>
      </c>
      <c r="H9" s="129">
        <f>IF(B$17=0,0,G9/B$17)</f>
        <v>0.21739130434782608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8.6206896551724144E-2</v>
      </c>
      <c r="E10" s="59" t="s">
        <v>65</v>
      </c>
      <c r="F10" s="56" t="s">
        <v>21</v>
      </c>
      <c r="G10" s="44">
        <v>17</v>
      </c>
      <c r="H10" s="129">
        <f>IF(B$17=0,0,G10/B$17)</f>
        <v>0.12318840579710146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0.18965517241379309</v>
      </c>
      <c r="E11" s="59" t="s">
        <v>70</v>
      </c>
      <c r="F11" s="56" t="s">
        <v>25</v>
      </c>
      <c r="G11" s="44">
        <v>15</v>
      </c>
      <c r="H11" s="129">
        <f>IF(B$17=0,0,G11/B$17)</f>
        <v>0.10869565217391304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6</v>
      </c>
      <c r="C12" s="40">
        <f t="shared" si="1"/>
        <v>0.10344827586206896</v>
      </c>
      <c r="E12" s="59" t="s">
        <v>167</v>
      </c>
      <c r="F12" s="56" t="s">
        <v>168</v>
      </c>
      <c r="G12" s="44">
        <v>9</v>
      </c>
      <c r="H12" s="129">
        <f>IF(B$17=0,0,G12/B$17)</f>
        <v>6.5217391304347824E-2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150</v>
      </c>
      <c r="C13" s="42">
        <f>IF(B$3=0,0,B13/B$3)</f>
        <v>0.32258064516129031</v>
      </c>
      <c r="E13" s="59" t="s">
        <v>71</v>
      </c>
      <c r="F13" s="56" t="s">
        <v>26</v>
      </c>
      <c r="G13" s="44">
        <v>7</v>
      </c>
      <c r="H13" s="129">
        <f>IF(B$17=0,0,G13/B$17)</f>
        <v>5.0724637681159424E-2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0.17634408602150536</v>
      </c>
      <c r="E14" s="59" t="s">
        <v>83</v>
      </c>
      <c r="F14" s="56" t="s">
        <v>38</v>
      </c>
      <c r="G14" s="44">
        <v>6</v>
      </c>
      <c r="H14" s="129">
        <f>IF(B$17=0,0,G14/B$17)</f>
        <v>4.3478260869565216E-2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82</v>
      </c>
      <c r="C15" s="35">
        <f>IF(B$13=0,0,B15/B$13)</f>
        <v>0.54666666666666663</v>
      </c>
      <c r="E15" s="59" t="s">
        <v>86</v>
      </c>
      <c r="F15" s="56" t="s">
        <v>41</v>
      </c>
      <c r="G15" s="44">
        <v>4</v>
      </c>
      <c r="H15" s="129">
        <f>IF(B$17=0,0,G15/B$17)</f>
        <v>2.8985507246376812E-2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81</v>
      </c>
      <c r="F16" s="56" t="s">
        <v>36</v>
      </c>
      <c r="G16" s="44">
        <v>3</v>
      </c>
      <c r="H16" s="129">
        <f>IF(B$17=0,0,G16/B$17)</f>
        <v>2.1739130434782608E-2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138</v>
      </c>
      <c r="C17" s="35">
        <f>IF(B$3=0,0,B17/B$3)</f>
        <v>0.29677419354838708</v>
      </c>
      <c r="E17" s="59" t="s">
        <v>92</v>
      </c>
      <c r="F17" s="56" t="s">
        <v>47</v>
      </c>
      <c r="G17" s="44">
        <v>3</v>
      </c>
      <c r="H17" s="129">
        <f>IF(B$17=0,0,G17/B$17)</f>
        <v>2.1739130434782608E-2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67</v>
      </c>
      <c r="C18" s="37">
        <f>IF(B$17=0,0,B18/B$17)</f>
        <v>0.48550724637681159</v>
      </c>
      <c r="E18" s="59" t="s">
        <v>91</v>
      </c>
      <c r="F18" s="56" t="s">
        <v>46</v>
      </c>
      <c r="G18" s="44">
        <v>2</v>
      </c>
      <c r="H18" s="129">
        <f>IF(B$17=0,0,G18/B$17)</f>
        <v>1.4492753623188406E-2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71</v>
      </c>
      <c r="C19" s="37">
        <f>IF(B$17=0,0,B19/B$17)</f>
        <v>0.51449275362318836</v>
      </c>
      <c r="E19" s="59" t="s">
        <v>73</v>
      </c>
      <c r="F19" s="56" t="s">
        <v>28</v>
      </c>
      <c r="G19" s="44">
        <v>1</v>
      </c>
      <c r="H19" s="129">
        <f>IF(B$17=0,0,G19/B$17)</f>
        <v>7.246376811594203E-3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7.2217391304347816</v>
      </c>
      <c r="P19" s="115">
        <v>23</v>
      </c>
      <c r="Q19" s="103">
        <v>166.09999999999997</v>
      </c>
    </row>
    <row r="20" spans="1:17" x14ac:dyDescent="0.4">
      <c r="A20" s="51" t="s">
        <v>13</v>
      </c>
      <c r="B20" s="44">
        <v>77</v>
      </c>
      <c r="C20" s="37">
        <f>IF(B$3=0,0,B20/B$3)</f>
        <v>0.16559139784946236</v>
      </c>
      <c r="E20" s="59" t="s">
        <v>75</v>
      </c>
      <c r="F20" s="56" t="s">
        <v>30</v>
      </c>
      <c r="G20" s="44">
        <v>1</v>
      </c>
      <c r="H20" s="129">
        <f>IF(B$17=0,0,G20/B$17)</f>
        <v>7.246376811594203E-3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7.246376811594203E-3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7.246376811594203E-3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10410.144927536232</v>
      </c>
      <c r="C23" s="39">
        <v>1436600</v>
      </c>
      <c r="E23" s="59" t="s">
        <v>90</v>
      </c>
      <c r="F23" s="56" t="s">
        <v>45</v>
      </c>
      <c r="G23" s="44">
        <v>1</v>
      </c>
      <c r="H23" s="129">
        <f>IF(B$17=0,0,G23/B$17)</f>
        <v>7.246376811594203E-3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11301.980198019803</v>
      </c>
      <c r="C24" s="137">
        <v>1141500</v>
      </c>
      <c r="E24" s="59" t="s">
        <v>93</v>
      </c>
      <c r="F24" s="56" t="s">
        <v>48</v>
      </c>
      <c r="G24" s="44">
        <v>1</v>
      </c>
      <c r="H24" s="129">
        <f>IF(B$17=0,0,G24/B$17)</f>
        <v>7.246376811594203E-3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97</v>
      </c>
      <c r="F25" s="56" t="s">
        <v>52</v>
      </c>
      <c r="G25" s="44">
        <v>1</v>
      </c>
      <c r="H25" s="129">
        <f>IF(B$17=0,0,G25/B$17)</f>
        <v>7.246376811594203E-3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-8136.363636363636</v>
      </c>
      <c r="C26" s="137">
        <v>-626500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</sheetData>
  <sortState xmlns:xlrd2="http://schemas.microsoft.com/office/spreadsheetml/2017/richdata2" ref="E2:I61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87</v>
      </c>
      <c r="C2" s="149"/>
      <c r="E2" s="58" t="s">
        <v>66</v>
      </c>
      <c r="F2" s="55" t="s">
        <v>22</v>
      </c>
      <c r="G2" s="43">
        <v>146</v>
      </c>
      <c r="H2" s="128">
        <f>IF(B$17=0,0,G2/B$17)</f>
        <v>0.74871794871794872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662.06896551724139</v>
      </c>
      <c r="P2" s="114">
        <v>87</v>
      </c>
      <c r="Q2" s="98">
        <v>57600</v>
      </c>
    </row>
    <row r="3" spans="1:17" x14ac:dyDescent="0.4">
      <c r="A3" s="51" t="s">
        <v>8</v>
      </c>
      <c r="B3" s="150">
        <v>690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851.19047619047615</v>
      </c>
      <c r="P3" s="115">
        <v>84</v>
      </c>
      <c r="Q3" s="99">
        <v>71500</v>
      </c>
    </row>
    <row r="4" spans="1:17" x14ac:dyDescent="0.4">
      <c r="A4" s="51" t="s">
        <v>6</v>
      </c>
      <c r="B4" s="152">
        <v>-57.400000000000013</v>
      </c>
      <c r="C4" s="153"/>
      <c r="E4" s="59" t="s">
        <v>64</v>
      </c>
      <c r="F4" s="56" t="s">
        <v>20</v>
      </c>
      <c r="G4" s="44">
        <v>96</v>
      </c>
      <c r="H4" s="129">
        <f>IF(B$17=0,0,G4/B$17)</f>
        <v>0.49230769230769234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-1026.9230769230769</v>
      </c>
      <c r="P4" s="115">
        <v>78</v>
      </c>
      <c r="Q4" s="99">
        <v>-80100</v>
      </c>
    </row>
    <row r="5" spans="1:17" x14ac:dyDescent="0.4">
      <c r="A5" s="51" t="s">
        <v>7</v>
      </c>
      <c r="B5" s="154">
        <f>IF(B$2=0,0,B$4/B$2)</f>
        <v>-0.65977011494252891</v>
      </c>
      <c r="C5" s="155"/>
      <c r="E5" s="59" t="s">
        <v>171</v>
      </c>
      <c r="F5" s="56" t="s">
        <v>172</v>
      </c>
      <c r="G5" s="44">
        <v>90</v>
      </c>
      <c r="H5" s="129">
        <f>IF(B$17=0,0,G5/B$17)</f>
        <v>0.46153846153846156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-165.27777777777777</v>
      </c>
      <c r="P5" s="115">
        <v>72</v>
      </c>
      <c r="Q5" s="99">
        <v>-11900</v>
      </c>
    </row>
    <row r="6" spans="1:17" x14ac:dyDescent="0.4">
      <c r="A6" s="51" t="s">
        <v>1</v>
      </c>
      <c r="B6" s="144">
        <f>IF(B$2=0,0,(B$7*1+B$8*2+B$9*3)/B$2)</f>
        <v>2.0459770114942528</v>
      </c>
      <c r="C6" s="145"/>
      <c r="E6" s="59" t="s">
        <v>67</v>
      </c>
      <c r="F6" s="56" t="s">
        <v>23</v>
      </c>
      <c r="G6" s="44">
        <v>75</v>
      </c>
      <c r="H6" s="129">
        <f>IF(B$17=0,0,G6/B$17)</f>
        <v>0.38461538461538464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-96.825396825396822</v>
      </c>
      <c r="P6" s="115">
        <v>63</v>
      </c>
      <c r="Q6" s="99">
        <v>-6100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0.22988505747126436</v>
      </c>
      <c r="E7" s="59" t="s">
        <v>68</v>
      </c>
      <c r="F7" s="56" t="s">
        <v>12</v>
      </c>
      <c r="G7" s="44">
        <v>63</v>
      </c>
      <c r="H7" s="129">
        <f>IF(B$17=0,0,G7/B$17)</f>
        <v>0.32307692307692309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-1254.5454545454545</v>
      </c>
      <c r="P7" s="116">
        <v>55</v>
      </c>
      <c r="Q7" s="100">
        <v>-69000</v>
      </c>
    </row>
    <row r="8" spans="1:17" x14ac:dyDescent="0.4">
      <c r="A8" s="51" t="s">
        <v>3</v>
      </c>
      <c r="B8" s="44">
        <v>43</v>
      </c>
      <c r="C8" s="37">
        <f t="shared" si="1"/>
        <v>0.4942528735632184</v>
      </c>
      <c r="E8" s="59" t="s">
        <v>69</v>
      </c>
      <c r="F8" s="56" t="s">
        <v>24</v>
      </c>
      <c r="G8" s="44">
        <v>25</v>
      </c>
      <c r="H8" s="129">
        <f>IF(B$17=0,0,G8/B$17)</f>
        <v>0.12820512820512819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0.27586206896551724</v>
      </c>
      <c r="E9" s="59" t="s">
        <v>89</v>
      </c>
      <c r="F9" s="56" t="s">
        <v>44</v>
      </c>
      <c r="G9" s="44">
        <v>20</v>
      </c>
      <c r="H9" s="129">
        <f>IF(B$17=0,0,G9/B$17)</f>
        <v>0.10256410256410256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8.0459770114942528E-2</v>
      </c>
      <c r="E10" s="59" t="s">
        <v>71</v>
      </c>
      <c r="F10" s="56" t="s">
        <v>26</v>
      </c>
      <c r="G10" s="44">
        <v>18</v>
      </c>
      <c r="H10" s="129">
        <f>IF(B$17=0,0,G10/B$17)</f>
        <v>9.2307692307692313E-2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6.8965517241379309E-2</v>
      </c>
      <c r="E11" s="59" t="s">
        <v>70</v>
      </c>
      <c r="F11" s="56" t="s">
        <v>25</v>
      </c>
      <c r="G11" s="44">
        <v>16</v>
      </c>
      <c r="H11" s="129">
        <f>IF(B$17=0,0,G11/B$17)</f>
        <v>8.2051282051282051E-2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5.7471264367816091E-2</v>
      </c>
      <c r="E12" s="59" t="s">
        <v>65</v>
      </c>
      <c r="F12" s="56" t="s">
        <v>21</v>
      </c>
      <c r="G12" s="44">
        <v>14</v>
      </c>
      <c r="H12" s="129">
        <f>IF(B$17=0,0,G12/B$17)</f>
        <v>7.179487179487179E-2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-2.512</v>
      </c>
      <c r="P12" s="116">
        <v>25</v>
      </c>
      <c r="Q12" s="104">
        <v>-62.800000000000004</v>
      </c>
    </row>
    <row r="13" spans="1:17" x14ac:dyDescent="0.4">
      <c r="A13" s="54" t="s">
        <v>121</v>
      </c>
      <c r="B13" s="47">
        <v>180</v>
      </c>
      <c r="C13" s="42">
        <f>IF(B$3=0,0,B13/B$3)</f>
        <v>0.2608695652173913</v>
      </c>
      <c r="E13" s="59" t="s">
        <v>86</v>
      </c>
      <c r="F13" s="56" t="s">
        <v>41</v>
      </c>
      <c r="G13" s="44">
        <v>10</v>
      </c>
      <c r="H13" s="129">
        <f>IF(B$17=0,0,G13/B$17)</f>
        <v>5.128205128205128E-2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158</v>
      </c>
      <c r="C14" s="37">
        <f>IF(B$3=0,0,B14/B$3)</f>
        <v>0.22898550724637681</v>
      </c>
      <c r="E14" s="59" t="s">
        <v>83</v>
      </c>
      <c r="F14" s="56" t="s">
        <v>38</v>
      </c>
      <c r="G14" s="44">
        <v>7</v>
      </c>
      <c r="H14" s="129">
        <f>IF(B$17=0,0,G14/B$17)</f>
        <v>3.5897435897435895E-2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101</v>
      </c>
      <c r="C15" s="35">
        <f>IF(B$13=0,0,B15/B$13)</f>
        <v>0.56111111111111112</v>
      </c>
      <c r="E15" s="59" t="s">
        <v>79</v>
      </c>
      <c r="F15" s="56" t="s">
        <v>34</v>
      </c>
      <c r="G15" s="44">
        <v>6</v>
      </c>
      <c r="H15" s="129">
        <f>IF(B$17=0,0,G15/B$17)</f>
        <v>3.0769230769230771E-2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65</v>
      </c>
      <c r="C16" s="35">
        <f>IF(B$14=0,0,B16/B$14)</f>
        <v>0.41139240506329117</v>
      </c>
      <c r="E16" s="59" t="s">
        <v>167</v>
      </c>
      <c r="F16" s="56" t="s">
        <v>168</v>
      </c>
      <c r="G16" s="44">
        <v>4</v>
      </c>
      <c r="H16" s="129">
        <f>IF(B$17=0,0,G16/B$17)</f>
        <v>2.0512820512820513E-2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195</v>
      </c>
      <c r="C17" s="35">
        <f>IF(B$3=0,0,B17/B$3)</f>
        <v>0.28260869565217389</v>
      </c>
      <c r="E17" s="59" t="s">
        <v>73</v>
      </c>
      <c r="F17" s="56" t="s">
        <v>28</v>
      </c>
      <c r="G17" s="44">
        <v>3</v>
      </c>
      <c r="H17" s="129">
        <f>IF(B$17=0,0,G17/B$17)</f>
        <v>1.5384615384615385E-2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87</v>
      </c>
      <c r="C18" s="37">
        <f>IF(B$17=0,0,B18/B$17)</f>
        <v>0.44615384615384618</v>
      </c>
      <c r="E18" s="59" t="s">
        <v>78</v>
      </c>
      <c r="F18" s="56" t="s">
        <v>33</v>
      </c>
      <c r="G18" s="44">
        <v>3</v>
      </c>
      <c r="H18" s="129">
        <f>IF(B$17=0,0,G18/B$17)</f>
        <v>1.5384615384615385E-2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108</v>
      </c>
      <c r="C19" s="37">
        <f>IF(B$17=0,0,B19/B$17)</f>
        <v>0.55384615384615388</v>
      </c>
      <c r="E19" s="59" t="s">
        <v>81</v>
      </c>
      <c r="F19" s="56" t="s">
        <v>36</v>
      </c>
      <c r="G19" s="44">
        <v>2</v>
      </c>
      <c r="H19" s="129">
        <f>IF(B$17=0,0,G19/B$17)</f>
        <v>1.0256410256410256E-2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92</v>
      </c>
      <c r="C20" s="37">
        <f>IF(B$3=0,0,B20/B$3)</f>
        <v>0.13333333333333333</v>
      </c>
      <c r="E20" s="59" t="s">
        <v>74</v>
      </c>
      <c r="F20" s="56" t="s">
        <v>29</v>
      </c>
      <c r="G20" s="44">
        <v>1</v>
      </c>
      <c r="H20" s="129">
        <f>IF(B$17=0,0,G20/B$17)</f>
        <v>5.1282051282051282E-3</v>
      </c>
      <c r="I20" s="90">
        <v>4</v>
      </c>
      <c r="K20" s="36">
        <v>18</v>
      </c>
      <c r="L20" s="95">
        <v>-62.399999999999991</v>
      </c>
      <c r="N20" s="111" t="s">
        <v>127</v>
      </c>
      <c r="O20" s="121">
        <f t="shared" si="2"/>
        <v>2.8810810810810819</v>
      </c>
      <c r="P20" s="115">
        <v>37</v>
      </c>
      <c r="Q20" s="103">
        <v>106.60000000000002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5.1282051282051282E-3</v>
      </c>
      <c r="I21" s="90">
        <v>7</v>
      </c>
      <c r="K21" s="36">
        <v>19</v>
      </c>
      <c r="L21" s="95">
        <v>-56.399999999999991</v>
      </c>
      <c r="N21" s="111" t="s">
        <v>166</v>
      </c>
      <c r="O21" s="121">
        <f t="shared" si="2"/>
        <v>2.8312499999999998</v>
      </c>
      <c r="P21" s="115">
        <v>16</v>
      </c>
      <c r="Q21" s="103">
        <v>45.3</v>
      </c>
    </row>
    <row r="22" spans="1:17" x14ac:dyDescent="0.4">
      <c r="A22" s="51" t="s">
        <v>170</v>
      </c>
      <c r="B22" s="44">
        <v>44</v>
      </c>
      <c r="C22" s="131">
        <v>19</v>
      </c>
      <c r="E22" s="59" t="s">
        <v>85</v>
      </c>
      <c r="F22" s="56" t="s">
        <v>40</v>
      </c>
      <c r="G22" s="44">
        <v>1</v>
      </c>
      <c r="H22" s="129">
        <f>IF(B$17=0,0,G22/B$17)</f>
        <v>5.1282051282051282E-3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 t="shared" si="2"/>
        <v>-15.723809523809528</v>
      </c>
      <c r="P22" s="115">
        <v>42</v>
      </c>
      <c r="Q22" s="103">
        <v>-660.4000000000002</v>
      </c>
    </row>
    <row r="23" spans="1:17" x14ac:dyDescent="0.4">
      <c r="A23" s="51" t="s">
        <v>5</v>
      </c>
      <c r="B23" s="48">
        <f>IF(B$17=0,0,C23/B$17)</f>
        <v>8352.8205128205136</v>
      </c>
      <c r="C23" s="39">
        <v>1628800</v>
      </c>
      <c r="E23" s="59" t="s">
        <v>87</v>
      </c>
      <c r="F23" s="56" t="s">
        <v>42</v>
      </c>
      <c r="G23" s="44">
        <v>1</v>
      </c>
      <c r="H23" s="129">
        <f>IF(B$17=0,0,G23/B$17)</f>
        <v>5.1282051282051282E-3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 t="shared" si="2"/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9336.1538461538457</v>
      </c>
      <c r="C24" s="137">
        <v>1213700</v>
      </c>
      <c r="E24" s="59" t="s">
        <v>88</v>
      </c>
      <c r="F24" s="56" t="s">
        <v>43</v>
      </c>
      <c r="G24" s="44">
        <v>1</v>
      </c>
      <c r="H24" s="129">
        <f>IF(B$17=0,0,G24/B$17)</f>
        <v>5.1282051282051282E-3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6386.1538461538457</v>
      </c>
      <c r="C25" s="137">
        <v>415100</v>
      </c>
      <c r="E25" s="59" t="s">
        <v>91</v>
      </c>
      <c r="F25" s="56" t="s">
        <v>46</v>
      </c>
      <c r="G25" s="44">
        <v>1</v>
      </c>
      <c r="H25" s="129">
        <f>IF(B$17=0,0,G25/B$17)</f>
        <v>5.1282051282051282E-3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-7886.95652173913</v>
      </c>
      <c r="C26" s="137">
        <v>-725600</v>
      </c>
      <c r="E26" s="59" t="s">
        <v>93</v>
      </c>
      <c r="F26" s="56" t="s">
        <v>48</v>
      </c>
      <c r="G26" s="44">
        <v>1</v>
      </c>
      <c r="H26" s="129">
        <f>IF(B$17=0,0,G26/B$17)</f>
        <v>5.1282051282051282E-3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5.1282051282051282E-3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2.8985507246376812E-3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</sheetData>
  <sortState xmlns:xlrd2="http://schemas.microsoft.com/office/spreadsheetml/2017/richdata2" ref="E2:I9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34</v>
      </c>
      <c r="C2" s="149"/>
      <c r="E2" s="58" t="s">
        <v>66</v>
      </c>
      <c r="F2" s="55" t="s">
        <v>22</v>
      </c>
      <c r="G2" s="43">
        <v>48</v>
      </c>
      <c r="H2" s="128">
        <f>IF(B$17=0,0,G2/B$17)</f>
        <v>0.7384615384615385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-2729.4117647058824</v>
      </c>
      <c r="P2" s="114">
        <v>34</v>
      </c>
      <c r="Q2" s="98">
        <v>-92800</v>
      </c>
    </row>
    <row r="3" spans="1:17" x14ac:dyDescent="0.4">
      <c r="A3" s="51" t="s">
        <v>8</v>
      </c>
      <c r="B3" s="150">
        <v>279</v>
      </c>
      <c r="C3" s="151"/>
      <c r="E3" s="59" t="s">
        <v>72</v>
      </c>
      <c r="F3" s="56" t="s">
        <v>27</v>
      </c>
      <c r="G3" s="44">
        <v>35</v>
      </c>
      <c r="H3" s="129">
        <f>IF(B$17=0,0,G3/B$17)</f>
        <v>0.53846153846153844</v>
      </c>
      <c r="I3" s="90">
        <v>5</v>
      </c>
      <c r="K3" s="36">
        <v>1</v>
      </c>
      <c r="L3" s="95">
        <v>-12</v>
      </c>
      <c r="N3" s="111" t="s">
        <v>131</v>
      </c>
      <c r="O3" s="118">
        <f t="shared" si="0"/>
        <v>220.58823529411765</v>
      </c>
      <c r="P3" s="115">
        <v>34</v>
      </c>
      <c r="Q3" s="99">
        <v>7500</v>
      </c>
    </row>
    <row r="4" spans="1:17" x14ac:dyDescent="0.4">
      <c r="A4" s="51" t="s">
        <v>6</v>
      </c>
      <c r="B4" s="152">
        <v>-531.90000000000009</v>
      </c>
      <c r="C4" s="153"/>
      <c r="E4" s="59" t="s">
        <v>64</v>
      </c>
      <c r="F4" s="56" t="s">
        <v>20</v>
      </c>
      <c r="G4" s="44">
        <v>29</v>
      </c>
      <c r="H4" s="129">
        <f>IF(B$17=0,0,G4/B$17)</f>
        <v>0.44615384615384618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-2411.7647058823532</v>
      </c>
      <c r="P4" s="115">
        <v>34</v>
      </c>
      <c r="Q4" s="99">
        <v>-82000</v>
      </c>
    </row>
    <row r="5" spans="1:17" x14ac:dyDescent="0.4">
      <c r="A5" s="51" t="s">
        <v>7</v>
      </c>
      <c r="B5" s="154">
        <f>IF(B$2=0,0,B$4/B$2)</f>
        <v>-15.644117647058826</v>
      </c>
      <c r="C5" s="155"/>
      <c r="E5" s="59" t="s">
        <v>171</v>
      </c>
      <c r="F5" s="56" t="s">
        <v>172</v>
      </c>
      <c r="G5" s="44">
        <v>20</v>
      </c>
      <c r="H5" s="129">
        <f>IF(B$17=0,0,G5/B$17)</f>
        <v>0.30769230769230771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-2556.25</v>
      </c>
      <c r="P5" s="115">
        <v>32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2.4117647058823528</v>
      </c>
      <c r="C6" s="145"/>
      <c r="E6" s="59" t="s">
        <v>67</v>
      </c>
      <c r="F6" s="56" t="s">
        <v>23</v>
      </c>
      <c r="G6" s="44">
        <v>19</v>
      </c>
      <c r="H6" s="129">
        <f>IF(B$17=0,0,G6/B$17)</f>
        <v>0.29230769230769232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-1103.2258064516129</v>
      </c>
      <c r="P6" s="115">
        <v>31</v>
      </c>
      <c r="Q6" s="99">
        <v>-34200</v>
      </c>
    </row>
    <row r="7" spans="1:17" x14ac:dyDescent="0.4">
      <c r="A7" s="51" t="s">
        <v>2</v>
      </c>
      <c r="B7" s="44">
        <v>4</v>
      </c>
      <c r="C7" s="37">
        <f t="shared" ref="C7:C12" si="1">IF(B$2=0,0,B7/B$2)</f>
        <v>0.11764705882352941</v>
      </c>
      <c r="E7" s="59" t="s">
        <v>68</v>
      </c>
      <c r="F7" s="56" t="s">
        <v>12</v>
      </c>
      <c r="G7" s="44">
        <v>19</v>
      </c>
      <c r="H7" s="129">
        <f>IF(B$17=0,0,G7/B$17)</f>
        <v>0.29230769230769232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-3744</v>
      </c>
      <c r="P7" s="116">
        <v>25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0.35294117647058826</v>
      </c>
      <c r="E8" s="59" t="s">
        <v>89</v>
      </c>
      <c r="F8" s="56" t="s">
        <v>44</v>
      </c>
      <c r="G8" s="44">
        <v>10</v>
      </c>
      <c r="H8" s="129">
        <f>IF(B$17=0,0,G8/B$17)</f>
        <v>0.15384615384615385</v>
      </c>
      <c r="I8" s="90">
        <v>3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0.52941176470588236</v>
      </c>
      <c r="E9" s="59" t="s">
        <v>65</v>
      </c>
      <c r="F9" s="56" t="s">
        <v>21</v>
      </c>
      <c r="G9" s="44">
        <v>7</v>
      </c>
      <c r="H9" s="129">
        <f>IF(B$17=0,0,G9/B$17)</f>
        <v>0.1076923076923077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0.17647058823529413</v>
      </c>
      <c r="E10" s="59" t="s">
        <v>70</v>
      </c>
      <c r="F10" s="56" t="s">
        <v>25</v>
      </c>
      <c r="G10" s="44">
        <v>7</v>
      </c>
      <c r="H10" s="129">
        <f>IF(B$17=0,0,G10/B$17)</f>
        <v>0.1076923076923077</v>
      </c>
      <c r="I10" s="90">
        <v>5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2.9411764705882353E-2</v>
      </c>
      <c r="E11" s="59" t="s">
        <v>71</v>
      </c>
      <c r="F11" s="56" t="s">
        <v>26</v>
      </c>
      <c r="G11" s="44">
        <v>7</v>
      </c>
      <c r="H11" s="129">
        <f>IF(B$17=0,0,G11/B$17)</f>
        <v>0.1076923076923077</v>
      </c>
      <c r="I11" s="90">
        <v>2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2.9411764705882353E-2</v>
      </c>
      <c r="E12" s="59" t="s">
        <v>69</v>
      </c>
      <c r="F12" s="56" t="s">
        <v>24</v>
      </c>
      <c r="G12" s="44">
        <v>6</v>
      </c>
      <c r="H12" s="129">
        <f>IF(B$17=0,0,G12/B$17)</f>
        <v>9.2307692307692313E-2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0.21428571428571455</v>
      </c>
      <c r="P12" s="116">
        <v>7</v>
      </c>
      <c r="Q12" s="104">
        <v>1.5000000000000018</v>
      </c>
    </row>
    <row r="13" spans="1:17" x14ac:dyDescent="0.4">
      <c r="A13" s="54" t="s">
        <v>121</v>
      </c>
      <c r="B13" s="47">
        <v>54</v>
      </c>
      <c r="C13" s="42">
        <f>IF(B$3=0,0,B13/B$3)</f>
        <v>0.19354838709677419</v>
      </c>
      <c r="E13" s="59" t="s">
        <v>83</v>
      </c>
      <c r="F13" s="56" t="s">
        <v>38</v>
      </c>
      <c r="G13" s="44">
        <v>5</v>
      </c>
      <c r="H13" s="129">
        <f>IF(B$17=0,0,G13/B$17)</f>
        <v>7.6923076923076927E-2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0.22222222222222221</v>
      </c>
      <c r="E14" s="59" t="s">
        <v>86</v>
      </c>
      <c r="F14" s="56" t="s">
        <v>41</v>
      </c>
      <c r="G14" s="44">
        <v>5</v>
      </c>
      <c r="H14" s="129">
        <f>IF(B$17=0,0,G14/B$17)</f>
        <v>7.6923076923076927E-2</v>
      </c>
      <c r="I14" s="90">
        <v>1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0.55555555555555558</v>
      </c>
      <c r="E15" s="59" t="s">
        <v>81</v>
      </c>
      <c r="F15" s="56" t="s">
        <v>36</v>
      </c>
      <c r="G15" s="44">
        <v>2</v>
      </c>
      <c r="H15" s="129">
        <f>IF(B$17=0,0,G15/B$17)</f>
        <v>3.0769230769230771E-2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23</v>
      </c>
      <c r="C16" s="35">
        <f>IF(B$14=0,0,B16/B$14)</f>
        <v>0.37096774193548387</v>
      </c>
      <c r="E16" s="59" t="s">
        <v>74</v>
      </c>
      <c r="F16" s="56" t="s">
        <v>29</v>
      </c>
      <c r="G16" s="44">
        <v>1</v>
      </c>
      <c r="H16" s="129">
        <f>IF(B$17=0,0,G16/B$17)</f>
        <v>1.5384615384615385E-2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>IF(P16=0,0,Q16/P16)</f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65</v>
      </c>
      <c r="C17" s="35">
        <f>IF(B$3=0,0,B17/B$3)</f>
        <v>0.23297491039426524</v>
      </c>
      <c r="E17" s="59" t="s">
        <v>78</v>
      </c>
      <c r="F17" s="56" t="s">
        <v>33</v>
      </c>
      <c r="G17" s="44">
        <v>1</v>
      </c>
      <c r="H17" s="129">
        <f>IF(B$17=0,0,G17/B$17)</f>
        <v>1.5384615384615385E-2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>IF(P17=0,0,Q17/P17)</f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31</v>
      </c>
      <c r="C18" s="37">
        <f>IF(B$17=0,0,B18/B$17)</f>
        <v>0.47692307692307695</v>
      </c>
      <c r="E18" s="59" t="s">
        <v>95</v>
      </c>
      <c r="F18" s="56" t="s">
        <v>50</v>
      </c>
      <c r="G18" s="44">
        <v>1</v>
      </c>
      <c r="H18" s="129">
        <f>IF(B$17=0,0,G18/B$17)</f>
        <v>1.5384615384615385E-2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34</v>
      </c>
      <c r="C19" s="37">
        <f>IF(B$17=0,0,B19/B$17)</f>
        <v>0.52307692307692311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54</v>
      </c>
      <c r="C20" s="37">
        <f>IF(B$3=0,0,B20/B$3)</f>
        <v>0.19354838709677419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126</v>
      </c>
      <c r="O21" s="121">
        <f>IF(P21=0,0,Q21/P21)</f>
        <v>-28.291666666666668</v>
      </c>
      <c r="P21" s="115">
        <v>12</v>
      </c>
      <c r="Q21" s="103">
        <v>-339.5</v>
      </c>
    </row>
    <row r="22" spans="1:17" x14ac:dyDescent="0.4">
      <c r="A22" s="51" t="s">
        <v>170</v>
      </c>
      <c r="B22" s="44">
        <v>16</v>
      </c>
      <c r="C22" s="131">
        <v>0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7912.3076923076924</v>
      </c>
      <c r="C23" s="39">
        <v>514300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8142.8571428571431</v>
      </c>
      <c r="C24" s="137">
        <v>342000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7491.304347826087</v>
      </c>
      <c r="C25" s="137">
        <v>172300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-7881.4814814814818</v>
      </c>
      <c r="C26" s="137">
        <v>-425600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3.5842293906810036E-3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8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2019-11-05T12:15:13Z</dcterms:modified>
</cp:coreProperties>
</file>