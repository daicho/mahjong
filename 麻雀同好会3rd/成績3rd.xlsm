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3ECD2901-1CAE-4369-9C88-09710AD6A93C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731" r:id="rId6"/>
    <sheet name="たかの" sheetId="5733" r:id="rId7"/>
    <sheet name="だいち" sheetId="5735" r:id="rId8"/>
    <sheet name="ただ" sheetId="5737" r:id="rId9"/>
    <sheet name="りくと" sheetId="5739" r:id="rId10"/>
    <sheet name="れんたろう" sheetId="5741" r:id="rId11"/>
    <sheet name="まっつん" sheetId="5743" r:id="rId12"/>
    <sheet name="のり" sheetId="5745" r:id="rId13"/>
    <sheet name="ぱぱ" sheetId="5747" r:id="rId14"/>
    <sheet name="ほたに" sheetId="5749" r:id="rId15"/>
    <sheet name="ほたに2" sheetId="5750" state="hidden" r:id="rId16"/>
    <sheet name="ぱぱ2" sheetId="5748" state="hidden" r:id="rId17"/>
    <sheet name="のり2" sheetId="5746" state="hidden" r:id="rId18"/>
    <sheet name="まっつん2" sheetId="5744" state="hidden" r:id="rId19"/>
    <sheet name="れんたろう2" sheetId="5742" state="hidden" r:id="rId20"/>
    <sheet name="りくと2" sheetId="5740" state="hidden" r:id="rId21"/>
    <sheet name="ただ2" sheetId="5738" state="hidden" r:id="rId22"/>
    <sheet name="だいち2" sheetId="5736" state="hidden" r:id="rId23"/>
    <sheet name="たかの2" sheetId="5734" state="hidden" r:id="rId24"/>
    <sheet name="全体2" sheetId="573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741" l="1"/>
  <c r="O19" i="5749"/>
  <c r="O15" i="5739" l="1"/>
  <c r="O18" i="5745"/>
  <c r="O16" i="5749" l="1"/>
  <c r="O22" i="5739"/>
  <c r="O20" i="5733" l="1"/>
  <c r="O16" i="5735"/>
  <c r="O15" i="5745"/>
  <c r="O19" i="5745"/>
  <c r="O20" i="5743" l="1"/>
  <c r="O18" i="5747"/>
  <c r="O16" i="5737" l="1"/>
  <c r="O17" i="5743"/>
  <c r="O20" i="5745"/>
  <c r="O17" i="5745"/>
  <c r="O18" i="5733" l="1"/>
  <c r="O19" i="5747"/>
  <c r="O20" i="5747"/>
  <c r="O18" i="5739"/>
  <c r="O18" i="5737" l="1"/>
  <c r="O20" i="5741"/>
  <c r="O19" i="5741" l="1"/>
  <c r="O20" i="5735"/>
  <c r="O22" i="5745"/>
  <c r="O17" i="5749"/>
  <c r="O15" i="5749"/>
  <c r="O21" i="5747"/>
  <c r="O15" i="5737" l="1"/>
  <c r="O17" i="5737"/>
  <c r="O18" i="5749"/>
  <c r="O20" i="5749"/>
  <c r="C27" i="5749"/>
  <c r="B24" i="5749"/>
  <c r="C20" i="5749"/>
  <c r="B17" i="5749"/>
  <c r="H51" i="5749" s="1"/>
  <c r="C16" i="5749"/>
  <c r="C15" i="5749"/>
  <c r="C14" i="5749"/>
  <c r="C13" i="5749"/>
  <c r="O12" i="5749"/>
  <c r="C12" i="5749"/>
  <c r="O11" i="5749"/>
  <c r="C11" i="5749"/>
  <c r="O10" i="5749"/>
  <c r="C10" i="5749"/>
  <c r="C9" i="5749"/>
  <c r="C8" i="5749"/>
  <c r="O7" i="5749"/>
  <c r="C7" i="5749"/>
  <c r="O6" i="5749"/>
  <c r="B6" i="5749"/>
  <c r="O5" i="5749"/>
  <c r="B5" i="5749"/>
  <c r="O4" i="5749"/>
  <c r="O3" i="5749"/>
  <c r="O2" i="5749"/>
  <c r="O22" i="5743"/>
  <c r="O15" i="5743"/>
  <c r="O16" i="5731"/>
  <c r="H9" i="5749" l="1"/>
  <c r="H19" i="5749"/>
  <c r="C18" i="5749"/>
  <c r="H41" i="5749"/>
  <c r="H3" i="5749"/>
  <c r="C19" i="5749"/>
  <c r="H7" i="5749"/>
  <c r="H31" i="5749"/>
  <c r="H39" i="5749"/>
  <c r="H20" i="5749"/>
  <c r="H25" i="5749"/>
  <c r="H11" i="5749"/>
  <c r="H44" i="5749"/>
  <c r="H12" i="5749"/>
  <c r="H47" i="5749"/>
  <c r="H29" i="5749"/>
  <c r="H23" i="5749"/>
  <c r="H16" i="5749"/>
  <c r="H4" i="5749"/>
  <c r="H17" i="5749"/>
  <c r="H21" i="5749"/>
  <c r="H27" i="5749"/>
  <c r="H45" i="5749"/>
  <c r="H49" i="5749"/>
  <c r="B23" i="5749"/>
  <c r="C17" i="5749"/>
  <c r="H36" i="5749"/>
  <c r="H6" i="5749"/>
  <c r="H8" i="5749"/>
  <c r="H33" i="5749"/>
  <c r="H5" i="5749"/>
  <c r="H2" i="5749"/>
  <c r="H13" i="5749"/>
  <c r="H15" i="5749"/>
  <c r="H37" i="5749"/>
  <c r="H52" i="5749"/>
  <c r="H22" i="5749"/>
  <c r="H26" i="5749"/>
  <c r="H30" i="5749"/>
  <c r="H38" i="5749"/>
  <c r="H46" i="5749"/>
  <c r="H32" i="5749"/>
  <c r="H40" i="5749"/>
  <c r="H48" i="5749"/>
  <c r="H24" i="5749"/>
  <c r="H28" i="5749"/>
  <c r="H34" i="5749"/>
  <c r="H42" i="5749"/>
  <c r="H50" i="5749"/>
  <c r="H10" i="5749"/>
  <c r="H18" i="5749"/>
  <c r="H14" i="5749"/>
  <c r="H35" i="5749"/>
  <c r="H43" i="5749"/>
  <c r="O18" i="5735" l="1"/>
  <c r="O19" i="5739"/>
  <c r="O17" i="5735" l="1"/>
  <c r="O18" i="5743"/>
  <c r="O21" i="5743"/>
  <c r="O15" i="5733"/>
  <c r="O19" i="5737"/>
  <c r="O16" i="5739"/>
  <c r="O17" i="5739"/>
  <c r="O19" i="5733"/>
  <c r="O22" i="5737"/>
  <c r="O15" i="5735"/>
  <c r="O17" i="5747"/>
  <c r="O22" i="5747"/>
  <c r="O21" i="5741" l="1"/>
  <c r="O17" i="5741"/>
  <c r="O16" i="5747"/>
  <c r="O15" i="5747"/>
  <c r="C27" i="5747"/>
  <c r="B24" i="5747"/>
  <c r="C20" i="5747"/>
  <c r="B17" i="5747"/>
  <c r="H51" i="5747" s="1"/>
  <c r="C16" i="5747"/>
  <c r="C15" i="5747"/>
  <c r="C14" i="5747"/>
  <c r="C13" i="5747"/>
  <c r="O12" i="5747"/>
  <c r="C12" i="5747"/>
  <c r="O11" i="5747"/>
  <c r="C11" i="5747"/>
  <c r="O10" i="5747"/>
  <c r="C10" i="5747"/>
  <c r="C9" i="5747"/>
  <c r="C8" i="5747"/>
  <c r="O7" i="5747"/>
  <c r="C7" i="5747"/>
  <c r="O6" i="5747"/>
  <c r="B6" i="5747"/>
  <c r="O5" i="5747"/>
  <c r="B5" i="5747"/>
  <c r="O4" i="5747"/>
  <c r="O3" i="5747"/>
  <c r="O2" i="5747"/>
  <c r="O15" i="5731"/>
  <c r="O16" i="5745"/>
  <c r="O21" i="5745"/>
  <c r="C27" i="5745"/>
  <c r="B24" i="5745"/>
  <c r="C20" i="5745"/>
  <c r="B17" i="5745"/>
  <c r="H6" i="5745" s="1"/>
  <c r="C16" i="5745"/>
  <c r="C15" i="5745"/>
  <c r="C14" i="5745"/>
  <c r="C13" i="5745"/>
  <c r="O12" i="5745"/>
  <c r="C12" i="5745"/>
  <c r="O11" i="5745"/>
  <c r="C11" i="5745"/>
  <c r="O10" i="5745"/>
  <c r="C10" i="5745"/>
  <c r="C9" i="5745"/>
  <c r="C8" i="5745"/>
  <c r="O7" i="5745"/>
  <c r="C7" i="5745"/>
  <c r="O6" i="5745"/>
  <c r="B6" i="5745"/>
  <c r="O5" i="5745"/>
  <c r="B5" i="5745"/>
  <c r="O4" i="5745"/>
  <c r="O3" i="5745"/>
  <c r="O2" i="5745"/>
  <c r="O23" i="5731"/>
  <c r="H37" i="5747" l="1"/>
  <c r="H4" i="5747"/>
  <c r="H12" i="5747"/>
  <c r="H2" i="5747"/>
  <c r="H20" i="5747"/>
  <c r="H45" i="5747"/>
  <c r="C18" i="5747"/>
  <c r="H46" i="5747"/>
  <c r="H11" i="5747"/>
  <c r="H23" i="5747"/>
  <c r="H17" i="5747"/>
  <c r="H18" i="5747"/>
  <c r="H15" i="5747"/>
  <c r="H30" i="5747"/>
  <c r="H21" i="5747"/>
  <c r="H31" i="5747"/>
  <c r="H47" i="5747"/>
  <c r="H41" i="5747"/>
  <c r="B23" i="5747"/>
  <c r="H5" i="5747"/>
  <c r="H6" i="5747"/>
  <c r="H40" i="5747"/>
  <c r="C19" i="5747"/>
  <c r="H7" i="5747"/>
  <c r="H33" i="5747"/>
  <c r="H3" i="5747"/>
  <c r="H10" i="5747"/>
  <c r="H19" i="5747"/>
  <c r="H22" i="5747"/>
  <c r="H16" i="5747"/>
  <c r="H36" i="5747"/>
  <c r="H52" i="5747"/>
  <c r="H9" i="5747"/>
  <c r="H24" i="5747"/>
  <c r="H32" i="5747"/>
  <c r="H44" i="5747"/>
  <c r="H26" i="5747"/>
  <c r="H13" i="5747"/>
  <c r="H38" i="5747"/>
  <c r="H48" i="5747"/>
  <c r="H8" i="5747"/>
  <c r="H14" i="5747"/>
  <c r="C17" i="5747"/>
  <c r="H27" i="5747"/>
  <c r="H29" i="5747"/>
  <c r="H39" i="5747"/>
  <c r="H49" i="5747"/>
  <c r="H25" i="5747"/>
  <c r="H28" i="5747"/>
  <c r="H34" i="5747"/>
  <c r="H42" i="5747"/>
  <c r="H50" i="5747"/>
  <c r="H35" i="5747"/>
  <c r="H43" i="5747"/>
  <c r="H26" i="5745"/>
  <c r="C17" i="5745"/>
  <c r="H37" i="5745"/>
  <c r="H52" i="5745"/>
  <c r="H2" i="5745"/>
  <c r="C18" i="5745"/>
  <c r="H13" i="5745"/>
  <c r="H38" i="5745"/>
  <c r="H8" i="5745"/>
  <c r="H33" i="5745"/>
  <c r="H20" i="5745"/>
  <c r="H39" i="5745"/>
  <c r="H45" i="5745"/>
  <c r="H7" i="5745"/>
  <c r="H49" i="5745"/>
  <c r="H4" i="5745"/>
  <c r="H23" i="5745"/>
  <c r="H27" i="5745"/>
  <c r="H18" i="5745"/>
  <c r="C19" i="5745"/>
  <c r="H41" i="5745"/>
  <c r="H5" i="5745"/>
  <c r="H11" i="5745"/>
  <c r="H21" i="5745"/>
  <c r="H12" i="5745"/>
  <c r="H29" i="5745"/>
  <c r="H3" i="5745"/>
  <c r="H30" i="5745"/>
  <c r="H46" i="5745"/>
  <c r="H9" i="5745"/>
  <c r="H16" i="5745"/>
  <c r="H17" i="5745"/>
  <c r="B23" i="5745"/>
  <c r="H31" i="5745"/>
  <c r="H47" i="5745"/>
  <c r="H32" i="5745"/>
  <c r="H40" i="5745"/>
  <c r="H48" i="5745"/>
  <c r="H24" i="5745"/>
  <c r="H28" i="5745"/>
  <c r="H34" i="5745"/>
  <c r="H42" i="5745"/>
  <c r="H50" i="5745"/>
  <c r="H15" i="5745"/>
  <c r="H19" i="5745"/>
  <c r="H10" i="5745"/>
  <c r="H35" i="5745"/>
  <c r="H43" i="5745"/>
  <c r="H51" i="5745"/>
  <c r="H22" i="5745"/>
  <c r="H25" i="5745"/>
  <c r="H14" i="5745"/>
  <c r="H36" i="5745"/>
  <c r="H44" i="5745"/>
  <c r="O19" i="5743" l="1"/>
  <c r="O16" i="5743"/>
  <c r="C27" i="5743"/>
  <c r="B24" i="5743"/>
  <c r="C20" i="5743"/>
  <c r="B17" i="5743"/>
  <c r="H20" i="5743" s="1"/>
  <c r="C16" i="5743"/>
  <c r="C15" i="5743"/>
  <c r="C14" i="5743"/>
  <c r="C13" i="5743"/>
  <c r="O12" i="5743"/>
  <c r="C12" i="5743"/>
  <c r="O11" i="5743"/>
  <c r="C11" i="5743"/>
  <c r="O10" i="5743"/>
  <c r="C10" i="5743"/>
  <c r="C9" i="5743"/>
  <c r="C8" i="5743"/>
  <c r="O7" i="5743"/>
  <c r="C7" i="5743"/>
  <c r="O6" i="5743"/>
  <c r="B6" i="5743"/>
  <c r="O5" i="5743"/>
  <c r="B5" i="5743"/>
  <c r="O4" i="5743"/>
  <c r="O3" i="5743"/>
  <c r="O2" i="5743"/>
  <c r="O16" i="5741"/>
  <c r="O18" i="5741"/>
  <c r="C27" i="5741"/>
  <c r="B24" i="5741"/>
  <c r="C20" i="5741"/>
  <c r="B17" i="5741"/>
  <c r="H51" i="5741" s="1"/>
  <c r="C16" i="5741"/>
  <c r="C15" i="5741"/>
  <c r="C14" i="5741"/>
  <c r="C13" i="5741"/>
  <c r="O12" i="5741"/>
  <c r="C12" i="5741"/>
  <c r="O11" i="5741"/>
  <c r="C11" i="5741"/>
  <c r="O10" i="5741"/>
  <c r="C10" i="5741"/>
  <c r="C9" i="5741"/>
  <c r="C8" i="5741"/>
  <c r="O7" i="5741"/>
  <c r="C7" i="5741"/>
  <c r="O6" i="5741"/>
  <c r="B6" i="5741"/>
  <c r="O5" i="5741"/>
  <c r="B5" i="5741"/>
  <c r="O4" i="5741"/>
  <c r="O3" i="5741"/>
  <c r="O2" i="5741"/>
  <c r="O17" i="5731"/>
  <c r="O21" i="5739"/>
  <c r="O20" i="5739"/>
  <c r="C27" i="5739"/>
  <c r="B24" i="5739"/>
  <c r="C20" i="5739"/>
  <c r="B17" i="5739"/>
  <c r="H20" i="5739" s="1"/>
  <c r="C16" i="5739"/>
  <c r="C15" i="5739"/>
  <c r="C14" i="5739"/>
  <c r="C13" i="5739"/>
  <c r="O12" i="5739"/>
  <c r="C12" i="5739"/>
  <c r="O11" i="5739"/>
  <c r="C11" i="5739"/>
  <c r="O10" i="5739"/>
  <c r="C10" i="5739"/>
  <c r="C9" i="5739"/>
  <c r="C8" i="5739"/>
  <c r="O7" i="5739"/>
  <c r="C7" i="5739"/>
  <c r="O6" i="5739"/>
  <c r="B6" i="5739"/>
  <c r="O5" i="5739"/>
  <c r="B5" i="5739"/>
  <c r="O4" i="5739"/>
  <c r="O3" i="5739"/>
  <c r="O2" i="5739"/>
  <c r="O19" i="5731"/>
  <c r="O20" i="5731"/>
  <c r="H3" i="5741" l="1"/>
  <c r="B23" i="5739"/>
  <c r="H3" i="5739"/>
  <c r="H9" i="5739"/>
  <c r="H27" i="5739"/>
  <c r="H6" i="5739"/>
  <c r="H37" i="5739"/>
  <c r="H15" i="5739"/>
  <c r="H38" i="5739"/>
  <c r="H5" i="5743"/>
  <c r="H8" i="5743"/>
  <c r="C17" i="5743"/>
  <c r="H35" i="5743"/>
  <c r="H33" i="5743"/>
  <c r="H42" i="5743"/>
  <c r="H6" i="5743"/>
  <c r="H12" i="5743"/>
  <c r="H2" i="5743"/>
  <c r="C19" i="5743"/>
  <c r="H38" i="5743"/>
  <c r="H25" i="5743"/>
  <c r="H29" i="5743"/>
  <c r="H21" i="5743"/>
  <c r="H45" i="5743"/>
  <c r="H3" i="5743"/>
  <c r="H16" i="5743"/>
  <c r="H30" i="5743"/>
  <c r="H50" i="5743"/>
  <c r="H24" i="5743"/>
  <c r="C18" i="5743"/>
  <c r="B23" i="5743"/>
  <c r="H32" i="5743"/>
  <c r="H39" i="5743"/>
  <c r="H46" i="5743"/>
  <c r="H52" i="5743"/>
  <c r="H4" i="5743"/>
  <c r="H11" i="5743"/>
  <c r="H26" i="5743"/>
  <c r="H17" i="5743"/>
  <c r="H18" i="5743"/>
  <c r="H40" i="5743"/>
  <c r="H47" i="5743"/>
  <c r="H41" i="5743"/>
  <c r="H48" i="5743"/>
  <c r="H10" i="5743"/>
  <c r="H7" i="5743"/>
  <c r="H14" i="5743"/>
  <c r="H22" i="5743"/>
  <c r="H27" i="5743"/>
  <c r="H15" i="5743"/>
  <c r="H34" i="5743"/>
  <c r="H19" i="5743"/>
  <c r="H49" i="5743"/>
  <c r="H28" i="5743"/>
  <c r="H31" i="5743"/>
  <c r="H36" i="5743"/>
  <c r="H43" i="5743"/>
  <c r="H51" i="5743"/>
  <c r="H9" i="5743"/>
  <c r="H23" i="5743"/>
  <c r="H13" i="5743"/>
  <c r="H37" i="5743"/>
  <c r="H44" i="5743"/>
  <c r="H2" i="5741"/>
  <c r="H28" i="5741"/>
  <c r="H44" i="5741"/>
  <c r="H49" i="5741"/>
  <c r="H29" i="5741"/>
  <c r="H7" i="5741"/>
  <c r="H20" i="5741"/>
  <c r="H24" i="5741"/>
  <c r="H8" i="5741"/>
  <c r="C17" i="5741"/>
  <c r="H33" i="5741"/>
  <c r="H25" i="5741"/>
  <c r="H36" i="5741"/>
  <c r="H4" i="5741"/>
  <c r="H41" i="5741"/>
  <c r="C18" i="5741"/>
  <c r="B23" i="5741"/>
  <c r="H37" i="5741"/>
  <c r="H52" i="5741"/>
  <c r="H5" i="5741"/>
  <c r="H13" i="5741"/>
  <c r="H26" i="5741"/>
  <c r="H18" i="5741"/>
  <c r="H19" i="5741"/>
  <c r="H38" i="5741"/>
  <c r="H46" i="5741"/>
  <c r="H45" i="5741"/>
  <c r="H23" i="5741"/>
  <c r="C19" i="5741"/>
  <c r="H12" i="5741"/>
  <c r="H39" i="5741"/>
  <c r="H47" i="5741"/>
  <c r="H22" i="5741"/>
  <c r="H31" i="5741"/>
  <c r="H10" i="5741"/>
  <c r="H6" i="5741"/>
  <c r="H16" i="5741"/>
  <c r="H21" i="5741"/>
  <c r="H14" i="5741"/>
  <c r="H15" i="5741"/>
  <c r="H32" i="5741"/>
  <c r="H40" i="5741"/>
  <c r="H48" i="5741"/>
  <c r="H27" i="5741"/>
  <c r="H30" i="5741"/>
  <c r="H34" i="5741"/>
  <c r="H42" i="5741"/>
  <c r="H50" i="5741"/>
  <c r="H9" i="5741"/>
  <c r="H17" i="5741"/>
  <c r="H11" i="5741"/>
  <c r="H35" i="5741"/>
  <c r="H43" i="5741"/>
  <c r="H10" i="5739"/>
  <c r="H45" i="5739"/>
  <c r="H18" i="5739"/>
  <c r="H46" i="5739"/>
  <c r="C18" i="5739"/>
  <c r="H50" i="5739"/>
  <c r="C17" i="5739"/>
  <c r="H5" i="5739"/>
  <c r="H13" i="5739"/>
  <c r="H22" i="5739"/>
  <c r="H42" i="5739"/>
  <c r="H7" i="5739"/>
  <c r="H29" i="5739"/>
  <c r="H4" i="5739"/>
  <c r="H2" i="5739"/>
  <c r="H11" i="5739"/>
  <c r="H23" i="5739"/>
  <c r="H25" i="5739"/>
  <c r="H31" i="5739"/>
  <c r="H21" i="5739"/>
  <c r="H34" i="5739"/>
  <c r="H52" i="5739"/>
  <c r="H28" i="5739"/>
  <c r="H19" i="5739"/>
  <c r="H39" i="5739"/>
  <c r="H47" i="5739"/>
  <c r="H24" i="5739"/>
  <c r="C19" i="5739"/>
  <c r="H32" i="5739"/>
  <c r="H40" i="5739"/>
  <c r="H48" i="5739"/>
  <c r="H16" i="5739"/>
  <c r="H14" i="5739"/>
  <c r="H33" i="5739"/>
  <c r="H41" i="5739"/>
  <c r="H49" i="5739"/>
  <c r="H26" i="5739"/>
  <c r="H30" i="5739"/>
  <c r="H35" i="5739"/>
  <c r="H43" i="5739"/>
  <c r="H51" i="5739"/>
  <c r="H8" i="5739"/>
  <c r="H17" i="5739"/>
  <c r="H12" i="5739"/>
  <c r="H36" i="5739"/>
  <c r="H44" i="5739"/>
  <c r="O21" i="5737" l="1"/>
  <c r="O20" i="5737"/>
  <c r="C27" i="5737"/>
  <c r="B24" i="5737"/>
  <c r="C20" i="5737"/>
  <c r="B17" i="5737"/>
  <c r="H4" i="5737" s="1"/>
  <c r="C16" i="5737"/>
  <c r="C15" i="5737"/>
  <c r="C14" i="5737"/>
  <c r="C13" i="5737"/>
  <c r="O12" i="5737"/>
  <c r="C12" i="5737"/>
  <c r="O11" i="5737"/>
  <c r="C11" i="5737"/>
  <c r="O10" i="5737"/>
  <c r="C10" i="5737"/>
  <c r="C9" i="5737"/>
  <c r="C8" i="5737"/>
  <c r="O7" i="5737"/>
  <c r="C7" i="5737"/>
  <c r="O6" i="5737"/>
  <c r="B6" i="5737"/>
  <c r="O5" i="5737"/>
  <c r="B5" i="5737"/>
  <c r="O4" i="5737"/>
  <c r="O3" i="5737"/>
  <c r="O2" i="5737"/>
  <c r="O21" i="5735"/>
  <c r="O19" i="5735"/>
  <c r="C27" i="5735"/>
  <c r="B24" i="5735"/>
  <c r="C20" i="5735"/>
  <c r="B17" i="5735"/>
  <c r="H16" i="5735" s="1"/>
  <c r="C16" i="5735"/>
  <c r="C15" i="5735"/>
  <c r="C14" i="5735"/>
  <c r="C13" i="5735"/>
  <c r="O12" i="5735"/>
  <c r="C12" i="5735"/>
  <c r="O11" i="5735"/>
  <c r="C11" i="5735"/>
  <c r="O10" i="5735"/>
  <c r="C10" i="5735"/>
  <c r="C9" i="5735"/>
  <c r="C8" i="5735"/>
  <c r="O7" i="5735"/>
  <c r="C7" i="5735"/>
  <c r="O6" i="5735"/>
  <c r="B6" i="5735"/>
  <c r="O5" i="5735"/>
  <c r="B5" i="5735"/>
  <c r="O4" i="5735"/>
  <c r="O3" i="5735"/>
  <c r="O2" i="5735"/>
  <c r="O18" i="5731"/>
  <c r="O16" i="5733"/>
  <c r="O17" i="5733"/>
  <c r="C27" i="5733"/>
  <c r="B24" i="5733"/>
  <c r="C20" i="5733"/>
  <c r="B17" i="5733"/>
  <c r="H51" i="5733" s="1"/>
  <c r="C16" i="5733"/>
  <c r="C15" i="5733"/>
  <c r="C14" i="5733"/>
  <c r="C13" i="5733"/>
  <c r="O12" i="5733"/>
  <c r="C12" i="5733"/>
  <c r="O11" i="5733"/>
  <c r="C11" i="5733"/>
  <c r="O10" i="5733"/>
  <c r="C10" i="5733"/>
  <c r="C9" i="5733"/>
  <c r="C8" i="5733"/>
  <c r="O7" i="5733"/>
  <c r="C7" i="5733"/>
  <c r="O6" i="5733"/>
  <c r="B6" i="5733"/>
  <c r="O5" i="5733"/>
  <c r="B5" i="5733"/>
  <c r="O4" i="5733"/>
  <c r="O3" i="5733"/>
  <c r="O2" i="5733"/>
  <c r="O21" i="5731"/>
  <c r="O22" i="5731"/>
  <c r="C27" i="5731"/>
  <c r="B24" i="5731"/>
  <c r="C20" i="5731"/>
  <c r="B17" i="5731"/>
  <c r="H19" i="5731" s="1"/>
  <c r="C16" i="5731"/>
  <c r="C15" i="5731"/>
  <c r="C14" i="5731"/>
  <c r="C13" i="5731"/>
  <c r="O12" i="5731"/>
  <c r="C12" i="5731"/>
  <c r="O11" i="5731"/>
  <c r="C11" i="5731"/>
  <c r="O10" i="5731"/>
  <c r="C10" i="5731"/>
  <c r="C9" i="5731"/>
  <c r="C8" i="5731"/>
  <c r="O7" i="5731"/>
  <c r="C7" i="5731"/>
  <c r="O6" i="5731"/>
  <c r="B6" i="5731"/>
  <c r="O5" i="5731"/>
  <c r="B5" i="5731"/>
  <c r="O4" i="5731"/>
  <c r="O3" i="5731"/>
  <c r="O2" i="5731"/>
  <c r="H24" i="5733" l="1"/>
  <c r="H16" i="5737"/>
  <c r="H19" i="5737"/>
  <c r="H24" i="5737"/>
  <c r="H31" i="5737"/>
  <c r="H5" i="5737"/>
  <c r="H15" i="5737"/>
  <c r="H27" i="5735"/>
  <c r="H15" i="5731"/>
  <c r="H2" i="5733"/>
  <c r="H30" i="5733"/>
  <c r="H17" i="5733"/>
  <c r="H7" i="5737"/>
  <c r="H41" i="5737"/>
  <c r="H42" i="5737"/>
  <c r="H12" i="5737"/>
  <c r="H32" i="5737"/>
  <c r="H18" i="5737"/>
  <c r="H10" i="5737"/>
  <c r="B23" i="5737"/>
  <c r="H46" i="5737"/>
  <c r="H6" i="5737"/>
  <c r="H28" i="5737"/>
  <c r="H33" i="5737"/>
  <c r="H47" i="5737"/>
  <c r="H34" i="5737"/>
  <c r="C17" i="5737"/>
  <c r="H2" i="5737"/>
  <c r="H13" i="5737"/>
  <c r="H38" i="5737"/>
  <c r="H49" i="5737"/>
  <c r="H9" i="5737"/>
  <c r="H3" i="5737"/>
  <c r="H48" i="5737"/>
  <c r="H23" i="5737"/>
  <c r="H25" i="5737"/>
  <c r="H29" i="5737"/>
  <c r="H39" i="5737"/>
  <c r="H50" i="5737"/>
  <c r="C18" i="5737"/>
  <c r="H21" i="5737"/>
  <c r="C19" i="5737"/>
  <c r="H40" i="5737"/>
  <c r="H52" i="5737"/>
  <c r="H26" i="5737"/>
  <c r="H30" i="5737"/>
  <c r="H35" i="5737"/>
  <c r="H43" i="5737"/>
  <c r="H51" i="5737"/>
  <c r="H11" i="5737"/>
  <c r="H22" i="5737"/>
  <c r="H14" i="5737"/>
  <c r="H36" i="5737"/>
  <c r="H44" i="5737"/>
  <c r="H20" i="5737"/>
  <c r="H17" i="5737"/>
  <c r="H27" i="5737"/>
  <c r="H8" i="5737"/>
  <c r="H37" i="5737"/>
  <c r="H45" i="5737"/>
  <c r="H18" i="5735"/>
  <c r="H15" i="5735"/>
  <c r="H10" i="5735"/>
  <c r="H17" i="5735"/>
  <c r="H34" i="5735"/>
  <c r="H6" i="5735"/>
  <c r="H30" i="5735"/>
  <c r="H37" i="5735"/>
  <c r="H12" i="5735"/>
  <c r="C19" i="5735"/>
  <c r="H41" i="5735"/>
  <c r="H35" i="5735"/>
  <c r="H7" i="5735"/>
  <c r="H3" i="5735"/>
  <c r="H42" i="5735"/>
  <c r="H33" i="5735"/>
  <c r="H49" i="5735"/>
  <c r="H20" i="5735"/>
  <c r="H50" i="5735"/>
  <c r="C17" i="5735"/>
  <c r="H8" i="5735"/>
  <c r="H5" i="5735"/>
  <c r="H14" i="5735"/>
  <c r="H40" i="5735"/>
  <c r="H45" i="5735"/>
  <c r="H2" i="5735"/>
  <c r="H21" i="5735"/>
  <c r="H19" i="5735"/>
  <c r="H48" i="5735"/>
  <c r="H29" i="5735"/>
  <c r="C18" i="5735"/>
  <c r="B23" i="5735"/>
  <c r="H24" i="5735"/>
  <c r="H38" i="5735"/>
  <c r="H46" i="5735"/>
  <c r="H52" i="5735"/>
  <c r="H4" i="5735"/>
  <c r="H11" i="5735"/>
  <c r="H31" i="5735"/>
  <c r="H22" i="5735"/>
  <c r="H25" i="5735"/>
  <c r="H39" i="5735"/>
  <c r="H47" i="5735"/>
  <c r="H32" i="5735"/>
  <c r="H23" i="5735"/>
  <c r="H26" i="5735"/>
  <c r="H43" i="5735"/>
  <c r="H51" i="5735"/>
  <c r="H9" i="5735"/>
  <c r="H28" i="5735"/>
  <c r="H13" i="5735"/>
  <c r="H36" i="5735"/>
  <c r="H44" i="5735"/>
  <c r="H31" i="5733"/>
  <c r="H38" i="5733"/>
  <c r="H21" i="5733"/>
  <c r="H5" i="5733"/>
  <c r="H10" i="5733"/>
  <c r="H37" i="5733"/>
  <c r="H6" i="5733"/>
  <c r="H41" i="5733"/>
  <c r="H8" i="5733"/>
  <c r="H26" i="5733"/>
  <c r="C19" i="5733"/>
  <c r="H14" i="5733"/>
  <c r="H11" i="5733"/>
  <c r="H16" i="5733"/>
  <c r="H44" i="5733"/>
  <c r="C17" i="5733"/>
  <c r="H46" i="5733"/>
  <c r="H45" i="5733"/>
  <c r="B23" i="5733"/>
  <c r="H29" i="5733"/>
  <c r="H48" i="5733"/>
  <c r="H3" i="5733"/>
  <c r="H28" i="5733"/>
  <c r="H18" i="5733"/>
  <c r="H7" i="5733"/>
  <c r="H22" i="5733"/>
  <c r="H19" i="5733"/>
  <c r="H25" i="5733"/>
  <c r="H33" i="5733"/>
  <c r="H9" i="5733"/>
  <c r="H20" i="5733"/>
  <c r="H23" i="5733"/>
  <c r="C18" i="5733"/>
  <c r="H36" i="5733"/>
  <c r="H49" i="5733"/>
  <c r="H4" i="5733"/>
  <c r="H12" i="5733"/>
  <c r="H13" i="5733"/>
  <c r="H40" i="5733"/>
  <c r="H52" i="5733"/>
  <c r="H32" i="5733"/>
  <c r="H39" i="5733"/>
  <c r="H47" i="5733"/>
  <c r="H27" i="5733"/>
  <c r="H15" i="5733"/>
  <c r="H34" i="5733"/>
  <c r="H42" i="5733"/>
  <c r="H50" i="5733"/>
  <c r="H35" i="5733"/>
  <c r="H43" i="5733"/>
  <c r="H10" i="5731"/>
  <c r="H28" i="5731"/>
  <c r="H23" i="5731"/>
  <c r="H12" i="5731"/>
  <c r="H42" i="5731"/>
  <c r="H3" i="5731"/>
  <c r="H2" i="5731"/>
  <c r="H7" i="5731"/>
  <c r="C17" i="5731"/>
  <c r="B23" i="5731"/>
  <c r="H17" i="5731"/>
  <c r="H47" i="5731"/>
  <c r="C18" i="5731"/>
  <c r="H34" i="5731"/>
  <c r="H50" i="5731"/>
  <c r="H18" i="5731"/>
  <c r="H20" i="5731"/>
  <c r="H36" i="5731"/>
  <c r="H33" i="5731"/>
  <c r="H48" i="5731"/>
  <c r="H27" i="5731"/>
  <c r="H6" i="5731"/>
  <c r="H21" i="5731"/>
  <c r="H40" i="5731"/>
  <c r="H5" i="5731"/>
  <c r="H25" i="5731"/>
  <c r="H45" i="5731"/>
  <c r="H46" i="5731"/>
  <c r="H22" i="5731"/>
  <c r="H38" i="5731"/>
  <c r="H32" i="5731"/>
  <c r="H39" i="5731"/>
  <c r="H11" i="5731"/>
  <c r="C19" i="5731"/>
  <c r="H4" i="5731"/>
  <c r="H16" i="5731"/>
  <c r="H8" i="5731"/>
  <c r="H41" i="5731"/>
  <c r="H52" i="5731"/>
  <c r="H14" i="5731"/>
  <c r="H29" i="5731"/>
  <c r="H31" i="5731"/>
  <c r="H49" i="5731"/>
  <c r="H35" i="5731"/>
  <c r="H26" i="5731"/>
  <c r="H30" i="5731"/>
  <c r="H43" i="5731"/>
  <c r="H51" i="5731"/>
  <c r="H9" i="5731"/>
  <c r="H24" i="5731"/>
  <c r="H13" i="5731"/>
  <c r="H37" i="5731"/>
  <c r="H44" i="5731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<sst xmlns="http://schemas.openxmlformats.org/spreadsheetml/2006/main" count="2483" uniqueCount="216">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</sst>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全体!$K$2:$K$272</c:f>
              <c:numCache>
                <c:formatCode>General</c:formatCode>
                <c:ptCount val="2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</c:numCache>
            </c:numRef>
          </c:xVal>
          <c:yVal>
            <c:numRef>
              <c:f>全体!$L$2:$L$272</c:f>
              <c:numCache>
                <c:formatCode>\+0.0;\-0.0;\±0</c:formatCode>
                <c:ptCount val="27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82-4EA1-A6E7-DF6A3D5C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-22.471910112359552</c:v>
                </c:pt>
                <c:pt idx="1">
                  <c:v>15.686274509803921</c:v>
                </c:pt>
                <c:pt idx="2">
                  <c:v>-20.080321285140563</c:v>
                </c:pt>
                <c:pt idx="3">
                  <c:v>17.094017094017094</c:v>
                </c:pt>
                <c:pt idx="4">
                  <c:v>13.888888888888889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F5-4F13-9DF0-C5E88D2A2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6-4319-A143-4763C4394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742.30769230769226</c:v>
                </c:pt>
                <c:pt idx="1">
                  <c:v>-1040</c:v>
                </c:pt>
                <c:pt idx="2">
                  <c:v>1212.5</c:v>
                </c:pt>
                <c:pt idx="3">
                  <c:v>-1525</c:v>
                </c:pt>
                <c:pt idx="4">
                  <c:v>-1200</c:v>
                </c:pt>
                <c:pt idx="5">
                  <c:v>-2750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7B-427E-A4EC-7DA7851F4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だいち!$L$2:$L$60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92-4E2B-8A45-6BDD2CEEF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650.87719298245611</c:v>
                </c:pt>
                <c:pt idx="1">
                  <c:v>235.18518518518519</c:v>
                </c:pt>
                <c:pt idx="2">
                  <c:v>-609.25925925925924</c:v>
                </c:pt>
                <c:pt idx="3">
                  <c:v>191.83673469387756</c:v>
                </c:pt>
                <c:pt idx="4">
                  <c:v>4591.489361702128</c:v>
                </c:pt>
                <c:pt idx="5">
                  <c:v>4516.2162162162158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E8-4476-A0B9-EFED7293E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85-48F6-994A-C2317B1CB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-604</c:v>
                </c:pt>
                <c:pt idx="1">
                  <c:v>1158.3333333333333</c:v>
                </c:pt>
                <c:pt idx="2">
                  <c:v>2157.4468085106382</c:v>
                </c:pt>
                <c:pt idx="3">
                  <c:v>3252.2727272727275</c:v>
                </c:pt>
                <c:pt idx="4">
                  <c:v>-1563.4146341463415</c:v>
                </c:pt>
                <c:pt idx="5">
                  <c:v>865.625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9-4E2A-A2DD-8792B76A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りくと!$L$2:$L$35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EA-41AE-8BC6-FD277EA7B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109.375</c:v>
                </c:pt>
                <c:pt idx="1">
                  <c:v>-1593.75</c:v>
                </c:pt>
                <c:pt idx="2">
                  <c:v>1719.3548387096773</c:v>
                </c:pt>
                <c:pt idx="3">
                  <c:v>-1576.6666666666667</c:v>
                </c:pt>
                <c:pt idx="4">
                  <c:v>-3596.5517241379312</c:v>
                </c:pt>
                <c:pt idx="5">
                  <c:v>-2025.9259259259259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B-4B63-AC66-E7E831F12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れんたろう!$L$2:$L$30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11-498D-932A-E9A87C189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1250</c:v>
                </c:pt>
                <c:pt idx="1">
                  <c:v>-2996.1538461538462</c:v>
                </c:pt>
                <c:pt idx="2">
                  <c:v>1016</c:v>
                </c:pt>
                <c:pt idx="3">
                  <c:v>4086.9565217391305</c:v>
                </c:pt>
                <c:pt idx="4">
                  <c:v>-2160</c:v>
                </c:pt>
                <c:pt idx="5">
                  <c:v>-3620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9-43C7-B821-74ED44C61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F9-4D6A-A649-FD1CAB33C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1216.6666666666667</c:v>
                </c:pt>
                <c:pt idx="1">
                  <c:v>1390.909090909091</c:v>
                </c:pt>
                <c:pt idx="2">
                  <c:v>-3641.9354838709678</c:v>
                </c:pt>
                <c:pt idx="3">
                  <c:v>32.142857142857146</c:v>
                </c:pt>
                <c:pt idx="4">
                  <c:v>-721.73913043478262</c:v>
                </c:pt>
                <c:pt idx="5">
                  <c:v>1119.047619047619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DD-405F-B906-461E7872D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10-4637-8395-66AF140C5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-3570</c:v>
                </c:pt>
                <c:pt idx="1">
                  <c:v>-450</c:v>
                </c:pt>
                <c:pt idx="2">
                  <c:v>-1830</c:v>
                </c:pt>
                <c:pt idx="3">
                  <c:v>-5405.2631578947367</c:v>
                </c:pt>
                <c:pt idx="4">
                  <c:v>-2216.6666666666665</c:v>
                </c:pt>
                <c:pt idx="5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B-46FD-9322-884ED2366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EB-4DB2-90D6-D0812FAF4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4-44F7-B19E-69905D18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71-4026-812A-97F21C6DF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67-4C78-B0F8-BD73ADB44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ほたに2!$C$3:$C$10</c:f>
              <c:numCache>
                <c:formatCode>\+0.0;\-0.0;\±0</c:formatCode>
                <c:ptCount val="8"/>
                <c:pt idx="1">
                  <c:v>-46.5</c:v>
                </c:pt>
                <c:pt idx="2">
                  <c:v>-12.7</c:v>
                </c:pt>
                <c:pt idx="3">
                  <c:v>-23.966666666666669</c:v>
                </c:pt>
                <c:pt idx="4">
                  <c:v>-9.3500000000000014</c:v>
                </c:pt>
                <c:pt idx="5">
                  <c:v>-2.4200000000000008</c:v>
                </c:pt>
                <c:pt idx="6">
                  <c:v>-9.8833333333333346</c:v>
                </c:pt>
                <c:pt idx="7">
                  <c:v>-14.971428571428573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263279524148890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ほたに2!$E$3:$E$10</c:f>
              <c:numCache>
                <c:formatCode>0.0%</c:formatCode>
                <c:ptCount val="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ほたに2!$F$3:$F$10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ほたに2!$G$3:$G$10</c:f>
              <c:numCache>
                <c:formatCode>0.0%</c:formatCode>
                <c:ptCount val="8"/>
                <c:pt idx="1">
                  <c:v>9.0909090909090912E-2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0.25</c:v>
                </c:pt>
                <c:pt idx="5">
                  <c:v>0.29166666666666669</c:v>
                </c:pt>
                <c:pt idx="6">
                  <c:v>0.25454545454545452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170004450378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ほたに2!$H$3:$H$10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0.16666666666666666</c:v>
                </c:pt>
                <c:pt idx="3">
                  <c:v>0.20689655172413793</c:v>
                </c:pt>
                <c:pt idx="4">
                  <c:v>0.17499999999999999</c:v>
                </c:pt>
                <c:pt idx="5">
                  <c:v>0.16666666666666666</c:v>
                </c:pt>
                <c:pt idx="6">
                  <c:v>0.18181818181818182</c:v>
                </c:pt>
                <c:pt idx="7">
                  <c:v>0.19354838709677419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49488206497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ほたに2!$I$3:$I$10</c:f>
              <c:numCache>
                <c:formatCode>0</c:formatCode>
                <c:ptCount val="8"/>
                <c:pt idx="1">
                  <c:v>12000</c:v>
                </c:pt>
                <c:pt idx="2">
                  <c:v>9450</c:v>
                </c:pt>
                <c:pt idx="3">
                  <c:v>9960</c:v>
                </c:pt>
                <c:pt idx="4">
                  <c:v>7780</c:v>
                </c:pt>
                <c:pt idx="5">
                  <c:v>7914.2857142857147</c:v>
                </c:pt>
                <c:pt idx="6">
                  <c:v>7914.2857142857147</c:v>
                </c:pt>
                <c:pt idx="7">
                  <c:v>7473.333333333333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25.71860816943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ほたに2!$J$3:$J$10</c:f>
              <c:numCache>
                <c:formatCode>0</c:formatCode>
                <c:ptCount val="8"/>
                <c:pt idx="1">
                  <c:v>-9333.3333333333339</c:v>
                </c:pt>
                <c:pt idx="2">
                  <c:v>-9333.3333333333339</c:v>
                </c:pt>
                <c:pt idx="3">
                  <c:v>-9333.3333333333339</c:v>
                </c:pt>
                <c:pt idx="4">
                  <c:v>-9142.8571428571431</c:v>
                </c:pt>
                <c:pt idx="5">
                  <c:v>-8962.5</c:v>
                </c:pt>
                <c:pt idx="6">
                  <c:v>-8140</c:v>
                </c:pt>
                <c:pt idx="7">
                  <c:v>-9075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47.2584856396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ほたに2!$K$3:$K$10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ほたに2!$L$3:$L$10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ほたに2!$M$3:$M$10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0.27777777777777779</c:v>
                </c:pt>
                <c:pt idx="3">
                  <c:v>0.27586206896551724</c:v>
                </c:pt>
                <c:pt idx="4">
                  <c:v>0.27500000000000002</c:v>
                </c:pt>
                <c:pt idx="5">
                  <c:v>0.27083333333333331</c:v>
                </c:pt>
                <c:pt idx="6">
                  <c:v>0.23636363636363636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77080551846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ほたに2!$N$3:$N$10</c:f>
              <c:numCache>
                <c:formatCode>0.0%</c:formatCode>
                <c:ptCount val="8"/>
                <c:pt idx="1">
                  <c:v>0.36363636363636365</c:v>
                </c:pt>
                <c:pt idx="2">
                  <c:v>0.33333333333333331</c:v>
                </c:pt>
                <c:pt idx="3">
                  <c:v>0.34482758620689657</c:v>
                </c:pt>
                <c:pt idx="4">
                  <c:v>0.35</c:v>
                </c:pt>
                <c:pt idx="5">
                  <c:v>0.375</c:v>
                </c:pt>
                <c:pt idx="6">
                  <c:v>0.38181818181818183</c:v>
                </c:pt>
                <c:pt idx="7">
                  <c:v>0.35483870967741937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995994659546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ほたに2!$O$3:$O$10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0.4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0.53846153846153844</c:v>
                </c:pt>
                <c:pt idx="6">
                  <c:v>0.53846153846153844</c:v>
                </c:pt>
                <c:pt idx="7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6363636363636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ほたに2!$P$3:$P$10</c:f>
              <c:numCache>
                <c:formatCode>0.0%</c:formatCode>
                <c:ptCount val="8"/>
                <c:pt idx="1">
                  <c:v>0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81981981981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ほたに2!$Q$3:$Q$10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</c:v>
                </c:pt>
                <c:pt idx="4">
                  <c:v>0.4</c:v>
                </c:pt>
                <c:pt idx="5">
                  <c:v>0.35714285714285715</c:v>
                </c:pt>
                <c:pt idx="6">
                  <c:v>0.35714285714285715</c:v>
                </c:pt>
                <c:pt idx="7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549167927382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A860A7-DBE5-42CF-BD4E-549459B38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35CB54-B51A-40C1-8A1F-E6F70DFF16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7DA89A4-2751-40C0-966B-02D7AEF8D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C005D65-C6AF-4C2C-BAA3-A7E91B3B43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1E1F8E1-6C86-49CF-BC53-CA5EC08FBC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843758-C05F-4EB4-8492-2DA43ABD69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3DD680-BE41-4D28-BD98-4BCAC707CA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05409EE-9402-48C8-9135-35FD2C28CA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6D057C-1463-49E9-8F11-2A5E5A4455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748F8EE-BADE-48F1-AD27-6D0019418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E86CD4-E6CF-4EB5-A82B-9B704ED8A5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5886790-CF61-4B8F-98C9-1CB444D4A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185EF22-2BC9-430F-A02F-8ADD7F118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702A10-88DC-4336-B14B-772905066F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EE187C2-DA31-4183-B7DA-5B7A45650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75BC2B5-41EC-4451-A5D5-08CAB91443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D07168-4A90-4043-9754-21479D28C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EFC8F53-2CF5-46E6-B253-C38DEBCBA2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A91959-52AD-42DC-8C99-AC13EAC26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F2C61D-E1A6-46F1-AC21-A87A40134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43737.532500000001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43737.532500000001</v>
      </c>
      <c r="C3" s="30" t="s">
        <v>129</v>
      </c>
    </row>
    <row r="4" spans="1:12" x14ac:dyDescent="0.4">
      <c r="A4" s="30" t="s">
        <v>181</v>
      </c>
      <c r="B4" s="31">
        <v>43737.532500000001</v>
      </c>
      <c r="C4" s="30" t="s">
        <v>129</v>
      </c>
    </row>
    <row r="5" spans="1:12" x14ac:dyDescent="0.4">
      <c r="A5" s="30" t="s">
        <v>184</v>
      </c>
      <c r="B5" s="31">
        <v>43737.532500000001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43737.532500000001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43738.564340277779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198</v>
      </c>
      <c r="B8" s="31">
        <v>43740.96733796296</v>
      </c>
      <c r="C8" s="30" t="s">
        <v>129</v>
      </c>
    </row>
    <row r="9" spans="1:12" x14ac:dyDescent="0.4">
      <c r="A9" s="30" t="s">
        <v>195</v>
      </c>
      <c r="B9" s="31">
        <v>43739.43246527778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197</v>
      </c>
      <c r="B10" s="31">
        <v>43742.036736111113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 x14ac:dyDescent="0.4">
      <c r="A11" s="30" t="s">
        <v>199</v>
      </c>
      <c r="B11" s="31">
        <v>43741.028969907406</v>
      </c>
      <c r="C11" s="30" t="s">
        <v>129</v>
      </c>
    </row>
    <row r="12" spans="1:12" x14ac:dyDescent="0.4">
      <c r="A12" s="30" t="s">
        <v>200</v>
      </c>
      <c r="B12" s="31">
        <v>43742.037129629629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202</v>
      </c>
      <c r="B13" s="31">
        <v>43742.036944444444</v>
      </c>
      <c r="C13" s="30" t="s">
        <v>129</v>
      </c>
      <c r="D13" s="30" t="s">
        <v>130</v>
      </c>
    </row>
    <row r="14" spans="1:12" x14ac:dyDescent="0.4">
      <c r="A14" s="30" t="s">
        <v>201</v>
      </c>
      <c r="B14" s="31">
        <v>43745.536574074074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 x14ac:dyDescent="0.4">
      <c r="A15" s="30" t="s">
        <v>203</v>
      </c>
      <c r="B15" s="31">
        <v>43745.374525462961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43745.536574074074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12" x14ac:dyDescent="0.4">
      <c r="A17" s="30" t="s">
        <v>205</v>
      </c>
      <c r="B17" s="31">
        <v>43745.536574074074</v>
      </c>
      <c r="C17" s="30" t="s">
        <v>129</v>
      </c>
      <c r="D17" s="30" t="s">
        <v>130</v>
      </c>
    </row>
    <row r="18" spans="1:12" x14ac:dyDescent="0.4">
      <c r="A18" s="30" t="s">
        <v>206</v>
      </c>
      <c r="B18" s="31">
        <v>43745.374525462961</v>
      </c>
      <c r="C18" s="30" t="s">
        <v>129</v>
      </c>
    </row>
    <row r="19" spans="1:12" x14ac:dyDescent="0.4">
      <c r="A19" s="30" t="s">
        <v>207</v>
      </c>
      <c r="B19" s="31">
        <v>43750.963090277779</v>
      </c>
      <c r="C19" s="30" t="s">
        <v>129</v>
      </c>
    </row>
    <row r="20" spans="1:12" x14ac:dyDescent="0.4">
      <c r="A20" s="30" t="s">
        <v>208</v>
      </c>
      <c r="B20" s="31">
        <v>43750.963090277779</v>
      </c>
      <c r="C20" s="30" t="s">
        <v>129</v>
      </c>
      <c r="D20" s="30" t="s">
        <v>130</v>
      </c>
    </row>
    <row r="21" spans="1:12" x14ac:dyDescent="0.4">
      <c r="A21" s="30" t="s">
        <v>209</v>
      </c>
      <c r="B21" s="31">
        <v>43750.963090277779</v>
      </c>
      <c r="C21" s="30" t="s">
        <v>129</v>
      </c>
    </row>
    <row r="22" spans="1:12" x14ac:dyDescent="0.4">
      <c r="A22" s="30" t="s">
        <v>210</v>
      </c>
      <c r="B22" s="31">
        <v>43750.963090277779</v>
      </c>
      <c r="C22" s="30" t="s">
        <v>129</v>
      </c>
      <c r="D22" s="30" t="s">
        <v>130</v>
      </c>
      <c r="E22" s="30" t="s">
        <v>185</v>
      </c>
    </row>
    <row r="23" spans="1:12" x14ac:dyDescent="0.4">
      <c r="A23" s="30" t="s">
        <v>211</v>
      </c>
      <c r="B23" s="31">
        <v>43750.963090277779</v>
      </c>
      <c r="C23" s="30" t="s">
        <v>129</v>
      </c>
    </row>
    <row r="24" spans="1:12" x14ac:dyDescent="0.4">
      <c r="A24" s="30" t="s">
        <v>212</v>
      </c>
      <c r="B24" s="31">
        <v>43750.963993055557</v>
      </c>
      <c r="C24" s="30" t="s">
        <v>129</v>
      </c>
      <c r="D24" s="30" t="s">
        <v>130</v>
      </c>
      <c r="E24" s="30" t="s">
        <v>185</v>
      </c>
      <c r="F24" s="30" t="s">
        <v>186</v>
      </c>
      <c r="G24" s="30" t="s">
        <v>187</v>
      </c>
    </row>
    <row r="25" spans="1:12" x14ac:dyDescent="0.4">
      <c r="A25" s="30" t="s">
        <v>213</v>
      </c>
      <c r="B25" s="31">
        <v>43751.106828703705</v>
      </c>
      <c r="C25" s="30" t="s">
        <v>129</v>
      </c>
      <c r="D25" s="30" t="s">
        <v>130</v>
      </c>
      <c r="E25" s="30" t="s">
        <v>185</v>
      </c>
      <c r="F25" s="30" t="s">
        <v>186</v>
      </c>
      <c r="G25" s="30" t="s">
        <v>187</v>
      </c>
      <c r="H25" s="30" t="s">
        <v>188</v>
      </c>
      <c r="I25" s="30" t="s">
        <v>191</v>
      </c>
      <c r="J25" s="30" t="s">
        <v>192</v>
      </c>
      <c r="K25" s="30" t="s">
        <v>193</v>
      </c>
      <c r="L25" s="30" t="s">
        <v>194</v>
      </c>
    </row>
    <row r="26" spans="1:12" x14ac:dyDescent="0.4">
      <c r="A26" s="30" t="s">
        <v>214</v>
      </c>
      <c r="B26" s="31">
        <v>43752.102708333332</v>
      </c>
      <c r="C26" s="30" t="s">
        <v>129</v>
      </c>
      <c r="D26" s="30" t="s">
        <v>130</v>
      </c>
      <c r="E26" s="30" t="s">
        <v>185</v>
      </c>
      <c r="F26" s="30" t="s">
        <v>186</v>
      </c>
      <c r="G26" s="30" t="s">
        <v>187</v>
      </c>
      <c r="H26" s="30" t="s">
        <v>188</v>
      </c>
    </row>
    <row r="27" spans="1:12" x14ac:dyDescent="0.4">
      <c r="A27" s="30" t="s">
        <v>215</v>
      </c>
      <c r="B27" s="31">
        <v>43753.073148148149</v>
      </c>
      <c r="C27" s="30" t="s">
        <v>129</v>
      </c>
      <c r="D27" s="30" t="s">
        <v>130</v>
      </c>
      <c r="E27" s="30" t="s">
        <v>185</v>
      </c>
      <c r="F27" s="30" t="s">
        <v>186</v>
      </c>
      <c r="G27" s="30" t="s">
        <v>187</v>
      </c>
      <c r="H27" s="30" t="s">
        <v>188</v>
      </c>
      <c r="I27" s="30" t="s">
        <v>191</v>
      </c>
      <c r="J27" s="30" t="s">
        <v>192</v>
      </c>
      <c r="K27" s="30" t="s">
        <v>193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270</v>
      </c>
    </row>
    <row r="2" spans="1:2" x14ac:dyDescent="0.4">
      <c r="A2" t="s">
        <v>167</v>
      </c>
      <c r="B2">
        <v>26</v>
      </c>
    </row>
    <row r="3" spans="1:2" x14ac:dyDescent="0.4">
      <c r="A3" t="s">
        <v>127</v>
      </c>
      <c r="B3">
        <v>58</v>
      </c>
    </row>
    <row r="4" spans="1:2" x14ac:dyDescent="0.4">
      <c r="A4" t="s">
        <v>128</v>
      </c>
      <c r="B4">
        <v>51</v>
      </c>
    </row>
    <row r="5" spans="1:2" x14ac:dyDescent="0.4">
      <c r="A5" t="s">
        <v>180</v>
      </c>
      <c r="B5">
        <v>33</v>
      </c>
    </row>
    <row r="6" spans="1:2" x14ac:dyDescent="0.4">
      <c r="A6" t="s">
        <v>178</v>
      </c>
      <c r="B6">
        <v>28</v>
      </c>
    </row>
    <row r="7" spans="1:2" x14ac:dyDescent="0.4">
      <c r="A7" t="s">
        <v>179</v>
      </c>
      <c r="B7">
        <v>36</v>
      </c>
    </row>
    <row r="8" spans="1:2" x14ac:dyDescent="0.4">
      <c r="A8" t="s">
        <v>183</v>
      </c>
      <c r="B8">
        <v>20</v>
      </c>
    </row>
    <row r="9" spans="1:2" x14ac:dyDescent="0.4">
      <c r="A9" t="s">
        <v>182</v>
      </c>
      <c r="B9">
        <v>11</v>
      </c>
    </row>
    <row r="10" spans="1:2" x14ac:dyDescent="0.4">
      <c r="A10" t="s">
        <v>196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 x14ac:dyDescent="0.4">
      <c r="A2" s="72" t="s">
        <v>160</v>
      </c>
      <c r="B2" s="162"/>
      <c r="C2" s="163"/>
      <c r="D2" s="162"/>
      <c r="E2" s="163"/>
      <c r="F2" s="158">
        <v>0.98648217948588379</v>
      </c>
      <c r="G2" s="159"/>
      <c r="H2" s="158">
        <v>0.95917916660339142</v>
      </c>
      <c r="I2" s="159"/>
      <c r="J2" s="158">
        <v>0.99399775755755138</v>
      </c>
      <c r="K2" s="159"/>
      <c r="L2" s="158">
        <v>0.92174259152211069</v>
      </c>
      <c r="M2" s="159"/>
      <c r="N2" s="158">
        <v>0.73499620934078425</v>
      </c>
      <c r="O2" s="159"/>
      <c r="P2" s="158">
        <v>0.24196070355944599</v>
      </c>
      <c r="Q2" s="159"/>
      <c r="R2" s="158">
        <v>0.56656449253690122</v>
      </c>
      <c r="S2" s="159"/>
      <c r="T2" s="158">
        <v>0.59778981340166792</v>
      </c>
      <c r="U2" s="159"/>
      <c r="V2" s="158">
        <v>0.61761687006538779</v>
      </c>
      <c r="W2" s="159"/>
      <c r="X2" s="158">
        <v>0.44545556602210823</v>
      </c>
      <c r="Y2" s="159"/>
      <c r="Z2" s="158">
        <v>6.6661605690397294E-2</v>
      </c>
      <c r="AA2" s="159"/>
      <c r="AB2" s="158">
        <v>0.51497905343160844</v>
      </c>
      <c r="AC2" s="159"/>
      <c r="AD2" s="158">
        <v>0.36043653896161887</v>
      </c>
      <c r="AE2" s="159"/>
      <c r="AF2" s="158">
        <v>0.15326099670019513</v>
      </c>
      <c r="AG2" s="159"/>
      <c r="AH2" s="158">
        <v>0.49195559475064587</v>
      </c>
      <c r="AI2" s="159"/>
    </row>
    <row r="3" spans="1:35" x14ac:dyDescent="0.4">
      <c r="A3" s="74">
        <v>1</v>
      </c>
      <c r="B3" s="75" t="s">
        <v>127</v>
      </c>
      <c r="C3" s="76">
        <v>597.59999999999991</v>
      </c>
      <c r="D3" s="77" t="s">
        <v>182</v>
      </c>
      <c r="E3" s="96">
        <v>11.463636363636365</v>
      </c>
      <c r="F3" s="77" t="s">
        <v>127</v>
      </c>
      <c r="G3" s="78">
        <v>1.7068965517241379</v>
      </c>
      <c r="H3" s="77" t="s">
        <v>127</v>
      </c>
      <c r="I3" s="79">
        <v>0.48275862068965519</v>
      </c>
      <c r="J3" s="77" t="s">
        <v>182</v>
      </c>
      <c r="K3" s="79">
        <v>0.18181818181818182</v>
      </c>
      <c r="L3" s="77" t="s">
        <v>127</v>
      </c>
      <c r="M3" s="80">
        <v>0.34533898305084748</v>
      </c>
      <c r="N3" s="77" t="s">
        <v>182</v>
      </c>
      <c r="O3" s="80">
        <v>0.11650485436893204</v>
      </c>
      <c r="P3" s="77" t="s">
        <v>178</v>
      </c>
      <c r="Q3" s="81">
        <v>10853.571428571429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0.21428571428571427</v>
      </c>
      <c r="X3" s="77" t="s">
        <v>182</v>
      </c>
      <c r="Y3" s="80">
        <v>0.29126213592233008</v>
      </c>
      <c r="Z3" s="77" t="s">
        <v>196</v>
      </c>
      <c r="AA3" s="80">
        <v>0.35483870967741937</v>
      </c>
      <c r="AB3" s="77" t="s">
        <v>182</v>
      </c>
      <c r="AC3" s="80">
        <v>0.66666666666666663</v>
      </c>
      <c r="AD3" s="77" t="s">
        <v>127</v>
      </c>
      <c r="AE3" s="80">
        <v>0.52727272727272723</v>
      </c>
      <c r="AF3" s="77" t="s">
        <v>182</v>
      </c>
      <c r="AG3" s="80">
        <v>0.52941176470588236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128</v>
      </c>
      <c r="C4" s="84">
        <v>269.99999999999983</v>
      </c>
      <c r="D4" s="85" t="s">
        <v>127</v>
      </c>
      <c r="E4" s="97">
        <v>10.303448275862067</v>
      </c>
      <c r="F4" s="85" t="s">
        <v>182</v>
      </c>
      <c r="G4" s="86">
        <v>1.7272727272727273</v>
      </c>
      <c r="H4" s="85" t="s">
        <v>182</v>
      </c>
      <c r="I4" s="87">
        <v>0.45454545454545453</v>
      </c>
      <c r="J4" s="85" t="s">
        <v>127</v>
      </c>
      <c r="K4" s="87">
        <v>0.18965517241379309</v>
      </c>
      <c r="L4" s="85" t="s">
        <v>182</v>
      </c>
      <c r="M4" s="88">
        <v>0.3300970873786408</v>
      </c>
      <c r="N4" s="85" t="s">
        <v>179</v>
      </c>
      <c r="O4" s="88">
        <v>0.1404109589041096</v>
      </c>
      <c r="P4" s="85" t="s">
        <v>128</v>
      </c>
      <c r="Q4" s="89">
        <v>8604.1958041958042</v>
      </c>
      <c r="R4" s="85" t="s">
        <v>167</v>
      </c>
      <c r="S4" s="89">
        <v>-6605.2631578947367</v>
      </c>
      <c r="T4" s="85" t="s">
        <v>182</v>
      </c>
      <c r="U4" s="87">
        <v>0</v>
      </c>
      <c r="V4" s="85" t="s">
        <v>182</v>
      </c>
      <c r="W4" s="87">
        <v>0.18181818181818182</v>
      </c>
      <c r="X4" s="85" t="s">
        <v>180</v>
      </c>
      <c r="Y4" s="88">
        <v>0.28521126760563381</v>
      </c>
      <c r="Z4" s="85" t="s">
        <v>128</v>
      </c>
      <c r="AA4" s="88">
        <v>0.32420091324200911</v>
      </c>
      <c r="AB4" s="85" t="s">
        <v>127</v>
      </c>
      <c r="AC4" s="88">
        <v>0.62184873949579833</v>
      </c>
      <c r="AD4" s="85" t="s">
        <v>178</v>
      </c>
      <c r="AE4" s="88">
        <v>0.48936170212765956</v>
      </c>
      <c r="AF4" s="85" t="s">
        <v>167</v>
      </c>
      <c r="AG4" s="88">
        <v>0.47368421052631576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182</v>
      </c>
      <c r="C5" s="84">
        <v>126.10000000000001</v>
      </c>
      <c r="D5" s="85" t="s">
        <v>128</v>
      </c>
      <c r="E5" s="97">
        <v>5.2941176470588198</v>
      </c>
      <c r="F5" s="85" t="s">
        <v>128</v>
      </c>
      <c r="G5" s="86">
        <v>1.8431372549019607</v>
      </c>
      <c r="H5" s="85" t="s">
        <v>196</v>
      </c>
      <c r="I5" s="87">
        <v>0.42857142857142855</v>
      </c>
      <c r="J5" s="85" t="s">
        <v>128</v>
      </c>
      <c r="K5" s="87">
        <v>0.25490196078431371</v>
      </c>
      <c r="L5" s="85" t="s">
        <v>128</v>
      </c>
      <c r="M5" s="88">
        <v>0.32648401826484019</v>
      </c>
      <c r="N5" s="85" t="s">
        <v>127</v>
      </c>
      <c r="O5" s="88">
        <v>0.14194915254237289</v>
      </c>
      <c r="P5" s="85" t="s">
        <v>144</v>
      </c>
      <c r="Q5" s="89">
        <v>8225.7186081694399</v>
      </c>
      <c r="R5" s="85" t="s">
        <v>127</v>
      </c>
      <c r="S5" s="89">
        <v>-7052.2388059701489</v>
      </c>
      <c r="T5" s="85" t="s">
        <v>127</v>
      </c>
      <c r="U5" s="87">
        <v>5.1724137931034482E-2</v>
      </c>
      <c r="V5" s="85" t="s">
        <v>128</v>
      </c>
      <c r="W5" s="87">
        <v>0.15686274509803921</v>
      </c>
      <c r="X5" s="85" t="s">
        <v>178</v>
      </c>
      <c r="Y5" s="88">
        <v>0.27777777777777779</v>
      </c>
      <c r="Z5" s="85" t="s">
        <v>179</v>
      </c>
      <c r="AA5" s="88">
        <v>0.28767123287671231</v>
      </c>
      <c r="AB5" s="85" t="s">
        <v>180</v>
      </c>
      <c r="AC5" s="88">
        <v>0.58024691358024694</v>
      </c>
      <c r="AD5" s="85" t="s">
        <v>180</v>
      </c>
      <c r="AE5" s="88">
        <v>0.44</v>
      </c>
      <c r="AF5" s="85" t="s">
        <v>178</v>
      </c>
      <c r="AG5" s="88">
        <v>0.4642857142857143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-1.4210854715202004E-14</v>
      </c>
      <c r="D6" s="85" t="s">
        <v>144</v>
      </c>
      <c r="E6" s="97">
        <v>-5.2632795241488905E-17</v>
      </c>
      <c r="F6" s="85" t="s">
        <v>178</v>
      </c>
      <c r="G6" s="86">
        <v>1.9642857142857142</v>
      </c>
      <c r="H6" s="85" t="s">
        <v>128</v>
      </c>
      <c r="I6" s="87">
        <v>0.41176470588235292</v>
      </c>
      <c r="J6" s="85" t="s">
        <v>178</v>
      </c>
      <c r="K6" s="87">
        <v>0.32142857142857145</v>
      </c>
      <c r="L6" s="85" t="s">
        <v>144</v>
      </c>
      <c r="M6" s="88">
        <v>0.29417000445037828</v>
      </c>
      <c r="N6" s="85" t="s">
        <v>178</v>
      </c>
      <c r="O6" s="88">
        <v>0.16666666666666666</v>
      </c>
      <c r="P6" s="85" t="s">
        <v>179</v>
      </c>
      <c r="Q6" s="89">
        <v>8108.75</v>
      </c>
      <c r="R6" s="85" t="s">
        <v>179</v>
      </c>
      <c r="S6" s="89">
        <v>-7207.3170731707314</v>
      </c>
      <c r="T6" s="85" t="s">
        <v>180</v>
      </c>
      <c r="U6" s="87">
        <v>6.0606060606060608E-2</v>
      </c>
      <c r="V6" s="85" t="s">
        <v>196</v>
      </c>
      <c r="W6" s="87">
        <v>0.14285714285714285</v>
      </c>
      <c r="X6" s="85" t="s">
        <v>127</v>
      </c>
      <c r="Y6" s="88">
        <v>0.2521186440677966</v>
      </c>
      <c r="Z6" s="85" t="s">
        <v>144</v>
      </c>
      <c r="AA6" s="88">
        <v>0.24699599465954605</v>
      </c>
      <c r="AB6" s="85" t="s">
        <v>128</v>
      </c>
      <c r="AC6" s="88">
        <v>0.56730769230769229</v>
      </c>
      <c r="AD6" s="85" t="s">
        <v>144</v>
      </c>
      <c r="AE6" s="88">
        <v>0.41981981981981981</v>
      </c>
      <c r="AF6" s="85" t="s">
        <v>183</v>
      </c>
      <c r="AG6" s="88">
        <v>0.4375</v>
      </c>
      <c r="AH6" s="85" t="s">
        <v>167</v>
      </c>
      <c r="AI6" s="92">
        <v>86900</v>
      </c>
    </row>
    <row r="7" spans="1:35" x14ac:dyDescent="0.4">
      <c r="A7" s="82">
        <v>5</v>
      </c>
      <c r="B7" s="83" t="s">
        <v>178</v>
      </c>
      <c r="C7" s="84">
        <v>-10.999999999999972</v>
      </c>
      <c r="D7" s="85" t="s">
        <v>178</v>
      </c>
      <c r="E7" s="97">
        <v>-0.39285714285714185</v>
      </c>
      <c r="F7" s="85" t="s">
        <v>144</v>
      </c>
      <c r="G7" s="86">
        <v>2</v>
      </c>
      <c r="H7" s="85" t="s">
        <v>178</v>
      </c>
      <c r="I7" s="87">
        <v>0.35714285714285715</v>
      </c>
      <c r="J7" s="85" t="s">
        <v>144</v>
      </c>
      <c r="K7" s="87">
        <v>0.33333333333333331</v>
      </c>
      <c r="L7" s="85" t="s">
        <v>180</v>
      </c>
      <c r="M7" s="88">
        <v>0.28521126760563381</v>
      </c>
      <c r="N7" s="85" t="s">
        <v>167</v>
      </c>
      <c r="O7" s="88">
        <v>0.17040358744394618</v>
      </c>
      <c r="P7" s="85" t="s">
        <v>127</v>
      </c>
      <c r="Q7" s="89">
        <v>8076.687116564417</v>
      </c>
      <c r="R7" s="85" t="s">
        <v>180</v>
      </c>
      <c r="S7" s="89">
        <v>-7358.181818181818</v>
      </c>
      <c r="T7" s="85" t="s">
        <v>179</v>
      </c>
      <c r="U7" s="87">
        <v>0.1111111111111111</v>
      </c>
      <c r="V7" s="85" t="s">
        <v>144</v>
      </c>
      <c r="W7" s="87">
        <v>0.1111111111111111</v>
      </c>
      <c r="X7" s="85" t="s">
        <v>144</v>
      </c>
      <c r="Y7" s="88">
        <v>0.24477080551846908</v>
      </c>
      <c r="Z7" s="85" t="s">
        <v>167</v>
      </c>
      <c r="AA7" s="88">
        <v>0.23318385650224216</v>
      </c>
      <c r="AB7" s="85" t="s">
        <v>144</v>
      </c>
      <c r="AC7" s="88">
        <v>0.55636363636363639</v>
      </c>
      <c r="AD7" s="85" t="s">
        <v>179</v>
      </c>
      <c r="AE7" s="88">
        <v>0.40476190476190477</v>
      </c>
      <c r="AF7" s="85" t="s">
        <v>179</v>
      </c>
      <c r="AG7" s="88">
        <v>0.42499999999999999</v>
      </c>
      <c r="AH7" s="85" t="s">
        <v>127</v>
      </c>
      <c r="AI7" s="92">
        <v>86200</v>
      </c>
    </row>
    <row r="8" spans="1:35" x14ac:dyDescent="0.4">
      <c r="A8" s="82">
        <v>6</v>
      </c>
      <c r="B8" s="83" t="s">
        <v>179</v>
      </c>
      <c r="C8" s="84">
        <v>-65.399999999999977</v>
      </c>
      <c r="D8" s="85" t="s">
        <v>179</v>
      </c>
      <c r="E8" s="97">
        <v>-1.816666666666666</v>
      </c>
      <c r="F8" s="85" t="s">
        <v>167</v>
      </c>
      <c r="G8" s="86">
        <v>2.1153846153846154</v>
      </c>
      <c r="H8" s="85" t="s">
        <v>144</v>
      </c>
      <c r="I8" s="87">
        <v>0.33333333333333331</v>
      </c>
      <c r="J8" s="85" t="s">
        <v>179</v>
      </c>
      <c r="K8" s="87">
        <v>0.3611111111111111</v>
      </c>
      <c r="L8" s="85" t="s">
        <v>179</v>
      </c>
      <c r="M8" s="88">
        <v>0.27397260273972601</v>
      </c>
      <c r="N8" s="85" t="s">
        <v>144</v>
      </c>
      <c r="O8" s="88">
        <v>0.17044948820649755</v>
      </c>
      <c r="P8" s="85" t="s">
        <v>182</v>
      </c>
      <c r="Q8" s="89">
        <v>7779.411764705882</v>
      </c>
      <c r="R8" s="85" t="s">
        <v>128</v>
      </c>
      <c r="S8" s="89">
        <v>-7609.090909090909</v>
      </c>
      <c r="T8" s="85" t="s">
        <v>144</v>
      </c>
      <c r="U8" s="87">
        <v>0.1111111111111111</v>
      </c>
      <c r="V8" s="85" t="s">
        <v>127</v>
      </c>
      <c r="W8" s="87">
        <v>0.10344827586206896</v>
      </c>
      <c r="X8" s="85" t="s">
        <v>196</v>
      </c>
      <c r="Y8" s="88">
        <v>0.24193548387096775</v>
      </c>
      <c r="Z8" s="85" t="s">
        <v>127</v>
      </c>
      <c r="AA8" s="88">
        <v>0.23305084745762711</v>
      </c>
      <c r="AB8" s="85" t="s">
        <v>196</v>
      </c>
      <c r="AC8" s="88">
        <v>0.53333333333333333</v>
      </c>
      <c r="AD8" s="85" t="s">
        <v>128</v>
      </c>
      <c r="AE8" s="88">
        <v>0.40140845070422537</v>
      </c>
      <c r="AF8" s="85" t="s">
        <v>144</v>
      </c>
      <c r="AG8" s="88">
        <v>0.41754916792738278</v>
      </c>
      <c r="AH8" s="85" t="s">
        <v>183</v>
      </c>
      <c r="AI8" s="92">
        <v>85100</v>
      </c>
    </row>
    <row r="9" spans="1:35" x14ac:dyDescent="0.4">
      <c r="A9" s="82">
        <v>7</v>
      </c>
      <c r="B9" s="83" t="s">
        <v>196</v>
      </c>
      <c r="C9" s="84">
        <v>-104.80000000000001</v>
      </c>
      <c r="D9" s="85" t="s">
        <v>167</v>
      </c>
      <c r="E9" s="97">
        <v>-4.7346153846153856</v>
      </c>
      <c r="F9" s="85" t="s">
        <v>179</v>
      </c>
      <c r="G9" s="86">
        <v>2.1388888888888888</v>
      </c>
      <c r="H9" s="85" t="s">
        <v>167</v>
      </c>
      <c r="I9" s="87">
        <v>0.30769230769230771</v>
      </c>
      <c r="J9" s="85" t="s">
        <v>167</v>
      </c>
      <c r="K9" s="87">
        <v>0.42307692307692307</v>
      </c>
      <c r="L9" s="85" t="s">
        <v>178</v>
      </c>
      <c r="M9" s="88">
        <v>0.25925925925925924</v>
      </c>
      <c r="N9" s="85" t="s">
        <v>196</v>
      </c>
      <c r="O9" s="88">
        <v>0.19354838709677419</v>
      </c>
      <c r="P9" s="85" t="s">
        <v>183</v>
      </c>
      <c r="Q9" s="89">
        <v>7496.875</v>
      </c>
      <c r="R9" s="85" t="s">
        <v>144</v>
      </c>
      <c r="S9" s="89">
        <v>-7647.258485639687</v>
      </c>
      <c r="T9" s="85" t="s">
        <v>128</v>
      </c>
      <c r="U9" s="87">
        <v>0.13725490196078433</v>
      </c>
      <c r="V9" s="85" t="s">
        <v>179</v>
      </c>
      <c r="W9" s="87">
        <v>8.3333333333333329E-2</v>
      </c>
      <c r="X9" s="85" t="s">
        <v>128</v>
      </c>
      <c r="Y9" s="88">
        <v>0.23744292237442921</v>
      </c>
      <c r="Z9" s="85" t="s">
        <v>178</v>
      </c>
      <c r="AA9" s="88">
        <v>0.21759259259259259</v>
      </c>
      <c r="AB9" s="85" t="s">
        <v>179</v>
      </c>
      <c r="AC9" s="88">
        <v>0.52173913043478259</v>
      </c>
      <c r="AD9" s="85" t="s">
        <v>183</v>
      </c>
      <c r="AE9" s="88">
        <v>0.33333333333333331</v>
      </c>
      <c r="AF9" s="85" t="s">
        <v>127</v>
      </c>
      <c r="AG9" s="88">
        <v>0.3987730061349693</v>
      </c>
      <c r="AH9" s="85" t="s">
        <v>178</v>
      </c>
      <c r="AI9" s="92">
        <v>83000</v>
      </c>
    </row>
    <row r="10" spans="1:35" x14ac:dyDescent="0.4">
      <c r="A10" s="82">
        <v>8</v>
      </c>
      <c r="B10" s="83" t="s">
        <v>167</v>
      </c>
      <c r="C10" s="84">
        <v>-123.10000000000002</v>
      </c>
      <c r="D10" s="85" t="s">
        <v>180</v>
      </c>
      <c r="E10" s="97">
        <v>-7.9181818181818189</v>
      </c>
      <c r="F10" s="85" t="s">
        <v>196</v>
      </c>
      <c r="G10" s="86">
        <v>2.1428571428571428</v>
      </c>
      <c r="H10" s="85" t="s">
        <v>179</v>
      </c>
      <c r="I10" s="87">
        <v>0.22222222222222221</v>
      </c>
      <c r="J10" s="85" t="s">
        <v>180</v>
      </c>
      <c r="K10" s="87">
        <v>0.45454545454545453</v>
      </c>
      <c r="L10" s="85" t="s">
        <v>167</v>
      </c>
      <c r="M10" s="88">
        <v>0.2556053811659193</v>
      </c>
      <c r="N10" s="85" t="s">
        <v>180</v>
      </c>
      <c r="O10" s="88">
        <v>0.19366197183098591</v>
      </c>
      <c r="P10" s="85" t="s">
        <v>196</v>
      </c>
      <c r="Q10" s="89">
        <v>7473.333333333333</v>
      </c>
      <c r="R10" s="85" t="s">
        <v>196</v>
      </c>
      <c r="S10" s="89">
        <v>-9075</v>
      </c>
      <c r="T10" s="85" t="s">
        <v>178</v>
      </c>
      <c r="U10" s="87">
        <v>0.17857142857142858</v>
      </c>
      <c r="V10" s="85" t="s">
        <v>180</v>
      </c>
      <c r="W10" s="87">
        <v>6.0606060606060608E-2</v>
      </c>
      <c r="X10" s="85" t="s">
        <v>179</v>
      </c>
      <c r="Y10" s="88">
        <v>0.2363013698630137</v>
      </c>
      <c r="Z10" s="85" t="s">
        <v>183</v>
      </c>
      <c r="AA10" s="88">
        <v>0.21019108280254778</v>
      </c>
      <c r="AB10" s="85" t="s">
        <v>183</v>
      </c>
      <c r="AC10" s="88">
        <v>0.51515151515151514</v>
      </c>
      <c r="AD10" s="85" t="s">
        <v>182</v>
      </c>
      <c r="AE10" s="88">
        <v>0.33333333333333331</v>
      </c>
      <c r="AF10" s="85" t="s">
        <v>180</v>
      </c>
      <c r="AG10" s="88">
        <v>0.39506172839506171</v>
      </c>
      <c r="AH10" s="85" t="s">
        <v>179</v>
      </c>
      <c r="AI10" s="92">
        <v>81700</v>
      </c>
    </row>
    <row r="11" spans="1:35" x14ac:dyDescent="0.4">
      <c r="A11" s="82">
        <v>9</v>
      </c>
      <c r="B11" s="83" t="s">
        <v>180</v>
      </c>
      <c r="C11" s="84">
        <v>-261.3</v>
      </c>
      <c r="D11" s="85" t="s">
        <v>196</v>
      </c>
      <c r="E11" s="97">
        <v>-14.971428571428573</v>
      </c>
      <c r="F11" s="85" t="s">
        <v>180</v>
      </c>
      <c r="G11" s="86">
        <v>2.2727272727272729</v>
      </c>
      <c r="H11" s="85" t="s">
        <v>180</v>
      </c>
      <c r="I11" s="87">
        <v>0.18181818181818182</v>
      </c>
      <c r="J11" s="85" t="s">
        <v>196</v>
      </c>
      <c r="K11" s="87">
        <v>0.5714285714285714</v>
      </c>
      <c r="L11" s="85" t="s">
        <v>196</v>
      </c>
      <c r="M11" s="88">
        <v>0.24193548387096775</v>
      </c>
      <c r="N11" s="85" t="s">
        <v>128</v>
      </c>
      <c r="O11" s="88">
        <v>0.20091324200913241</v>
      </c>
      <c r="P11" s="85" t="s">
        <v>167</v>
      </c>
      <c r="Q11" s="89">
        <v>7424.5614035087719</v>
      </c>
      <c r="R11" s="85" t="s">
        <v>183</v>
      </c>
      <c r="S11" s="89">
        <v>-9173.5294117647063</v>
      </c>
      <c r="T11" s="85" t="s">
        <v>183</v>
      </c>
      <c r="U11" s="87">
        <v>0.25</v>
      </c>
      <c r="V11" s="85" t="s">
        <v>183</v>
      </c>
      <c r="W11" s="87">
        <v>0.05</v>
      </c>
      <c r="X11" s="85" t="s">
        <v>183</v>
      </c>
      <c r="Y11" s="88">
        <v>0.21019108280254778</v>
      </c>
      <c r="Z11" s="85" t="s">
        <v>180</v>
      </c>
      <c r="AA11" s="88">
        <v>0.176056338028169</v>
      </c>
      <c r="AB11" s="85" t="s">
        <v>167</v>
      </c>
      <c r="AC11" s="88">
        <v>0.51282051282051277</v>
      </c>
      <c r="AD11" s="85" t="s">
        <v>167</v>
      </c>
      <c r="AE11" s="88">
        <v>0.32692307692307693</v>
      </c>
      <c r="AF11" s="85" t="s">
        <v>128</v>
      </c>
      <c r="AG11" s="88">
        <v>0.38461538461538464</v>
      </c>
      <c r="AH11" s="85" t="s">
        <v>180</v>
      </c>
      <c r="AI11" s="92">
        <v>69300</v>
      </c>
    </row>
    <row r="12" spans="1:35" x14ac:dyDescent="0.4">
      <c r="A12" s="82">
        <v>10</v>
      </c>
      <c r="B12" s="83" t="s">
        <v>183</v>
      </c>
      <c r="C12" s="84">
        <v>-428.10000000000008</v>
      </c>
      <c r="D12" s="85" t="s">
        <v>183</v>
      </c>
      <c r="E12" s="97">
        <v>-21.405000000000005</v>
      </c>
      <c r="F12" s="85" t="s">
        <v>183</v>
      </c>
      <c r="G12" s="86">
        <v>2.5499999999999998</v>
      </c>
      <c r="H12" s="85" t="s">
        <v>183</v>
      </c>
      <c r="I12" s="87">
        <v>0.05</v>
      </c>
      <c r="J12" s="85" t="s">
        <v>183</v>
      </c>
      <c r="K12" s="87">
        <v>0.6</v>
      </c>
      <c r="L12" s="85" t="s">
        <v>183</v>
      </c>
      <c r="M12" s="88">
        <v>0.20382165605095542</v>
      </c>
      <c r="N12" s="85" t="s">
        <v>183</v>
      </c>
      <c r="O12" s="88">
        <v>0.21656050955414013</v>
      </c>
      <c r="P12" s="85" t="s">
        <v>180</v>
      </c>
      <c r="Q12" s="89">
        <v>7334.5679012345681</v>
      </c>
      <c r="R12" s="85" t="s">
        <v>178</v>
      </c>
      <c r="S12" s="89">
        <v>-9508.3333333333339</v>
      </c>
      <c r="T12" s="85" t="s">
        <v>196</v>
      </c>
      <c r="U12" s="87">
        <v>0.5714285714285714</v>
      </c>
      <c r="V12" s="85" t="s">
        <v>167</v>
      </c>
      <c r="W12" s="87">
        <v>3.8461538461538464E-2</v>
      </c>
      <c r="X12" s="85" t="s">
        <v>167</v>
      </c>
      <c r="Y12" s="88">
        <v>0.17488789237668162</v>
      </c>
      <c r="Z12" s="85" t="s">
        <v>182</v>
      </c>
      <c r="AA12" s="88">
        <v>0.14563106796116504</v>
      </c>
      <c r="AB12" s="85" t="s">
        <v>178</v>
      </c>
      <c r="AC12" s="88">
        <v>0.41666666666666669</v>
      </c>
      <c r="AD12" s="85" t="s">
        <v>196</v>
      </c>
      <c r="AE12" s="88">
        <v>0.27272727272727271</v>
      </c>
      <c r="AF12" s="85" t="s">
        <v>196</v>
      </c>
      <c r="AG12" s="88">
        <v>0.33333333333333331</v>
      </c>
      <c r="AH12" s="85" t="s">
        <v>196</v>
      </c>
      <c r="AI12" s="92">
        <v>59500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4E34D-8BC5-44B8-A060-A9A4D8314CF6}">
  <sheetPr codeName="Sheet4"/>
  <dimension ref="A1:Q27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270</v>
      </c>
      <c r="C2" s="151"/>
      <c r="E2" s="62" t="s">
        <v>67</v>
      </c>
      <c r="F2" s="59" t="s">
        <v>23</v>
      </c>
      <c r="G2" s="46">
        <v>506</v>
      </c>
      <c r="H2" s="132">
        <f>IF(B$17=0,0,G2/B$17)</f>
        <v>0.76550680786686842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-22.471910112359552</v>
      </c>
      <c r="P2" s="118">
        <v>267</v>
      </c>
      <c r="Q2" s="102">
        <v>-6000</v>
      </c>
    </row>
    <row r="3" spans="1:17" x14ac:dyDescent="0.4">
      <c r="A3" s="55" t="s">
        <v>8</v>
      </c>
      <c r="B3" s="152">
        <v>2247</v>
      </c>
      <c r="C3" s="153"/>
      <c r="E3" s="63" t="s">
        <v>73</v>
      </c>
      <c r="F3" s="60" t="s">
        <v>28</v>
      </c>
      <c r="G3" s="47">
        <v>381</v>
      </c>
      <c r="H3" s="133">
        <f>IF(B$17=0,0,G3/B$17)</f>
        <v>0.57639939485627834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15.686274509803921</v>
      </c>
      <c r="P3" s="119">
        <v>255</v>
      </c>
      <c r="Q3" s="103">
        <v>4000</v>
      </c>
    </row>
    <row r="4" spans="1:17" x14ac:dyDescent="0.4">
      <c r="A4" s="55" t="s">
        <v>6</v>
      </c>
      <c r="B4" s="154">
        <v>-1.4210854715202004E-14</v>
      </c>
      <c r="C4" s="155"/>
      <c r="E4" s="63" t="s">
        <v>65</v>
      </c>
      <c r="F4" s="60" t="s">
        <v>21</v>
      </c>
      <c r="G4" s="47">
        <v>299</v>
      </c>
      <c r="H4" s="133">
        <f>IF(B$17=0,0,G4/B$17)</f>
        <v>0.45234493192133129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-20.080321285140563</v>
      </c>
      <c r="P4" s="119">
        <v>249</v>
      </c>
      <c r="Q4" s="103">
        <v>-5000</v>
      </c>
    </row>
    <row r="5" spans="1:17" x14ac:dyDescent="0.4">
      <c r="A5" s="55" t="s">
        <v>7</v>
      </c>
      <c r="B5" s="156">
        <f>IF(B$2=0,0,B$4/B$2)</f>
        <v>-5.2632795241488905E-17</v>
      </c>
      <c r="C5" s="157"/>
      <c r="E5" s="63" t="s">
        <v>172</v>
      </c>
      <c r="F5" s="60" t="s">
        <v>173</v>
      </c>
      <c r="G5" s="47">
        <v>240</v>
      </c>
      <c r="H5" s="133">
        <f>IF(B$17=0,0,G5/B$17)</f>
        <v>0.36308623298033282</v>
      </c>
      <c r="I5" s="94">
        <v>4</v>
      </c>
      <c r="K5" s="38">
        <v>3</v>
      </c>
      <c r="L5" s="99">
        <v>0</v>
      </c>
      <c r="N5" s="115" t="s">
        <v>134</v>
      </c>
      <c r="O5" s="122">
        <f t="shared" si="0"/>
        <v>17.094017094017094</v>
      </c>
      <c r="P5" s="119">
        <v>234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68</v>
      </c>
      <c r="F6" s="60" t="s">
        <v>24</v>
      </c>
      <c r="G6" s="47">
        <v>197</v>
      </c>
      <c r="H6" s="133">
        <f>IF(B$17=0,0,G6/B$17)</f>
        <v>0.29803328290468989</v>
      </c>
      <c r="I6" s="94">
        <v>6</v>
      </c>
      <c r="K6" s="38">
        <v>4</v>
      </c>
      <c r="L6" s="99">
        <v>24.5</v>
      </c>
      <c r="N6" s="115" t="s">
        <v>135</v>
      </c>
      <c r="O6" s="122">
        <f t="shared" si="0"/>
        <v>13.888888888888889</v>
      </c>
      <c r="P6" s="119">
        <v>216</v>
      </c>
      <c r="Q6" s="103">
        <v>3000</v>
      </c>
    </row>
    <row r="7" spans="1:17" x14ac:dyDescent="0.4">
      <c r="A7" s="55" t="s">
        <v>2</v>
      </c>
      <c r="B7" s="47">
        <v>90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193</v>
      </c>
      <c r="H7" s="133">
        <f>IF(B$17=0,0,G7/B$17)</f>
        <v>0.291981845688351</v>
      </c>
      <c r="I7" s="94">
        <v>6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177</v>
      </c>
      <c r="Q7" s="104">
        <v>0</v>
      </c>
    </row>
    <row r="8" spans="1:17" x14ac:dyDescent="0.4">
      <c r="A8" s="55" t="s">
        <v>3</v>
      </c>
      <c r="B8" s="47">
        <v>90</v>
      </c>
      <c r="C8" s="39">
        <f t="shared" si="1"/>
        <v>0.33333333333333331</v>
      </c>
      <c r="E8" s="63" t="s">
        <v>90</v>
      </c>
      <c r="F8" s="60" t="s">
        <v>45</v>
      </c>
      <c r="G8" s="47">
        <v>91</v>
      </c>
      <c r="H8" s="133">
        <f>IF(B$17=0,0,G8/B$17)</f>
        <v>0.13767019667170954</v>
      </c>
      <c r="I8" s="94">
        <v>3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90</v>
      </c>
      <c r="C9" s="40">
        <f t="shared" si="1"/>
        <v>0.33333333333333331</v>
      </c>
      <c r="E9" s="63" t="s">
        <v>70</v>
      </c>
      <c r="F9" s="60" t="s">
        <v>25</v>
      </c>
      <c r="G9" s="47">
        <v>83</v>
      </c>
      <c r="H9" s="133">
        <f>IF(B$17=0,0,G9/B$17)</f>
        <v>0.12556732223903178</v>
      </c>
      <c r="I9" s="94">
        <v>6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30</v>
      </c>
      <c r="C10" s="40">
        <f t="shared" si="1"/>
        <v>0.1111111111111111</v>
      </c>
      <c r="E10" s="63" t="s">
        <v>66</v>
      </c>
      <c r="F10" s="60" t="s">
        <v>22</v>
      </c>
      <c r="G10" s="47">
        <v>62</v>
      </c>
      <c r="H10" s="133">
        <f>IF(B$17=0,0,G10/B$17)</f>
        <v>9.3797276853252648E-2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1.6722222222222209</v>
      </c>
      <c r="P10" s="118">
        <v>90</v>
      </c>
      <c r="Q10" s="106">
        <v>150.49999999999989</v>
      </c>
    </row>
    <row r="11" spans="1:17" x14ac:dyDescent="0.4">
      <c r="A11" s="56" t="s">
        <v>139</v>
      </c>
      <c r="B11" s="48">
        <v>30</v>
      </c>
      <c r="C11" s="40">
        <f t="shared" si="1"/>
        <v>0.1111111111111111</v>
      </c>
      <c r="E11" s="63" t="s">
        <v>71</v>
      </c>
      <c r="F11" s="60" t="s">
        <v>26</v>
      </c>
      <c r="G11" s="47">
        <v>54</v>
      </c>
      <c r="H11" s="133">
        <f>IF(B$17=0,0,G11/B$17)</f>
        <v>8.169440242057488E-2</v>
      </c>
      <c r="I11" s="94">
        <v>4</v>
      </c>
      <c r="K11" s="38">
        <v>9</v>
      </c>
      <c r="L11" s="99">
        <v>0</v>
      </c>
      <c r="N11" s="115" t="s">
        <v>164</v>
      </c>
      <c r="O11" s="125">
        <f>IF(P11=0,0,Q11/P11)</f>
        <v>-0.24999999999999975</v>
      </c>
      <c r="P11" s="119">
        <v>90</v>
      </c>
      <c r="Q11" s="107">
        <v>-22.499999999999979</v>
      </c>
    </row>
    <row r="12" spans="1:17" x14ac:dyDescent="0.4">
      <c r="A12" s="57" t="s">
        <v>159</v>
      </c>
      <c r="B12" s="49">
        <v>26</v>
      </c>
      <c r="C12" s="42">
        <f t="shared" si="1"/>
        <v>9.6296296296296297E-2</v>
      </c>
      <c r="E12" s="63" t="s">
        <v>72</v>
      </c>
      <c r="F12" s="60" t="s">
        <v>27</v>
      </c>
      <c r="G12" s="47">
        <v>48</v>
      </c>
      <c r="H12" s="133">
        <f>IF(B$17=0,0,G12/B$17)</f>
        <v>7.2617246596066568E-2</v>
      </c>
      <c r="I12" s="94">
        <v>5</v>
      </c>
      <c r="K12" s="38">
        <v>10</v>
      </c>
      <c r="L12" s="99">
        <v>-12</v>
      </c>
      <c r="N12" s="116" t="s">
        <v>165</v>
      </c>
      <c r="O12" s="126">
        <f>IF(P12=0,0,Q12/P12)</f>
        <v>-1.4222222222222225</v>
      </c>
      <c r="P12" s="120">
        <v>90</v>
      </c>
      <c r="Q12" s="108">
        <v>-128.00000000000003</v>
      </c>
    </row>
    <row r="13" spans="1:17" x14ac:dyDescent="0.4">
      <c r="A13" s="58" t="s">
        <v>122</v>
      </c>
      <c r="B13" s="50">
        <v>550</v>
      </c>
      <c r="C13" s="44">
        <f>IF(B$3=0,0,B13/B$3)</f>
        <v>0.24477080551846908</v>
      </c>
      <c r="E13" s="63" t="s">
        <v>84</v>
      </c>
      <c r="F13" s="60" t="s">
        <v>39</v>
      </c>
      <c r="G13" s="47">
        <v>38</v>
      </c>
      <c r="H13" s="133">
        <f>IF(B$17=0,0,G13/B$17)</f>
        <v>5.7488653555219364E-2</v>
      </c>
      <c r="I13" s="94">
        <v>6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555</v>
      </c>
      <c r="C14" s="39">
        <f>IF(B$3=0,0,B14/B$3)</f>
        <v>0.24699599465954605</v>
      </c>
      <c r="E14" s="63" t="s">
        <v>87</v>
      </c>
      <c r="F14" s="60" t="s">
        <v>42</v>
      </c>
      <c r="G14" s="47">
        <v>29</v>
      </c>
      <c r="H14" s="133">
        <f>IF(B$17=0,0,G14/B$17)</f>
        <v>4.3872919818456882E-2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306</v>
      </c>
      <c r="C15" s="37">
        <f>IF(B$13=0,0,B15/B$13)</f>
        <v>0.55636363636363639</v>
      </c>
      <c r="E15" s="63" t="s">
        <v>79</v>
      </c>
      <c r="F15" s="60" t="s">
        <v>34</v>
      </c>
      <c r="G15" s="47">
        <v>15</v>
      </c>
      <c r="H15" s="133">
        <f>IF(B$17=0,0,G15/B$17)</f>
        <v>2.2692889561270801E-2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>IF(P15=0,0,Q15/P15)</f>
        <v>32.107500000000002</v>
      </c>
      <c r="P15" s="118">
        <v>40</v>
      </c>
      <c r="Q15" s="106">
        <v>1284.3</v>
      </c>
    </row>
    <row r="16" spans="1:17" x14ac:dyDescent="0.4">
      <c r="A16" s="54" t="s">
        <v>125</v>
      </c>
      <c r="B16" s="46">
        <v>233</v>
      </c>
      <c r="C16" s="37">
        <f>IF(B$14=0,0,B16/B$14)</f>
        <v>0.41981981981981981</v>
      </c>
      <c r="E16" s="63" t="s">
        <v>82</v>
      </c>
      <c r="F16" s="60" t="s">
        <v>37</v>
      </c>
      <c r="G16" s="47">
        <v>12</v>
      </c>
      <c r="H16" s="133">
        <f>IF(B$17=0,0,G16/B$17)</f>
        <v>1.8154311649016642E-2</v>
      </c>
      <c r="I16" s="94">
        <v>6</v>
      </c>
      <c r="K16" s="38">
        <v>14</v>
      </c>
      <c r="L16" s="99">
        <v>24.3</v>
      </c>
      <c r="N16" s="115" t="s">
        <v>196</v>
      </c>
      <c r="O16" s="125">
        <f>IF(P16=0,0,Q16/P16)</f>
        <v>22.457142857142856</v>
      </c>
      <c r="P16" s="119">
        <v>14</v>
      </c>
      <c r="Q16" s="107">
        <v>314.39999999999998</v>
      </c>
    </row>
    <row r="17" spans="1:17" x14ac:dyDescent="0.4">
      <c r="A17" s="54" t="s">
        <v>10</v>
      </c>
      <c r="B17" s="46">
        <f>B19+B18</f>
        <v>661</v>
      </c>
      <c r="C17" s="37">
        <f>IF(B$3=0,0,B17/B$3)</f>
        <v>0.29417000445037828</v>
      </c>
      <c r="E17" s="63" t="s">
        <v>80</v>
      </c>
      <c r="F17" s="60" t="s">
        <v>35</v>
      </c>
      <c r="G17" s="47">
        <v>10</v>
      </c>
      <c r="H17" s="133">
        <f>IF(B$17=0,0,G17/B$17)</f>
        <v>1.5128593040847202E-2</v>
      </c>
      <c r="I17" s="94">
        <v>4</v>
      </c>
      <c r="K17" s="38">
        <v>15</v>
      </c>
      <c r="L17" s="99">
        <v>0</v>
      </c>
      <c r="N17" s="115" t="s">
        <v>180</v>
      </c>
      <c r="O17" s="125">
        <f>IF(P17=0,0,Q17/P17)</f>
        <v>11.877272727272732</v>
      </c>
      <c r="P17" s="119">
        <v>66</v>
      </c>
      <c r="Q17" s="107">
        <v>783.90000000000032</v>
      </c>
    </row>
    <row r="18" spans="1:17" x14ac:dyDescent="0.4">
      <c r="A18" s="55" t="s">
        <v>12</v>
      </c>
      <c r="B18" s="47">
        <v>276</v>
      </c>
      <c r="C18" s="39">
        <f>IF(B$17=0,0,B18/B$17)</f>
        <v>0.41754916792738278</v>
      </c>
      <c r="E18" s="63" t="s">
        <v>92</v>
      </c>
      <c r="F18" s="60" t="s">
        <v>47</v>
      </c>
      <c r="G18" s="47">
        <v>10</v>
      </c>
      <c r="H18" s="133">
        <f>IF(B$17=0,0,G18/B$17)</f>
        <v>1.5128593040847202E-2</v>
      </c>
      <c r="I18" s="94">
        <v>4</v>
      </c>
      <c r="K18" s="38">
        <v>16</v>
      </c>
      <c r="L18" s="99">
        <v>-28.2</v>
      </c>
      <c r="N18" s="115" t="s">
        <v>167</v>
      </c>
      <c r="O18" s="125">
        <f>IF(P18=0,0,Q18/P18)</f>
        <v>7.1019230769230761</v>
      </c>
      <c r="P18" s="119">
        <v>52</v>
      </c>
      <c r="Q18" s="107">
        <v>369.29999999999995</v>
      </c>
    </row>
    <row r="19" spans="1:17" x14ac:dyDescent="0.4">
      <c r="A19" s="55" t="s">
        <v>11</v>
      </c>
      <c r="B19" s="47">
        <v>385</v>
      </c>
      <c r="C19" s="39">
        <f>IF(B$17=0,0,B19/B$17)</f>
        <v>0.58245083207261727</v>
      </c>
      <c r="E19" s="63" t="s">
        <v>168</v>
      </c>
      <c r="F19" s="60" t="s">
        <v>169</v>
      </c>
      <c r="G19" s="47">
        <v>8</v>
      </c>
      <c r="H19" s="133">
        <f>IF(B$17=0,0,G19/B$17)</f>
        <v>1.2102874432677761E-2</v>
      </c>
      <c r="I19" s="94">
        <v>4</v>
      </c>
      <c r="K19" s="38">
        <v>17</v>
      </c>
      <c r="L19" s="99">
        <v>-20.5</v>
      </c>
      <c r="N19" s="115" t="s">
        <v>179</v>
      </c>
      <c r="O19" s="125">
        <f>IF(P19=0,0,Q19/P19)</f>
        <v>2.7250000000000001</v>
      </c>
      <c r="P19" s="119">
        <v>72</v>
      </c>
      <c r="Q19" s="107">
        <v>196.20000000000002</v>
      </c>
    </row>
    <row r="20" spans="1:17" x14ac:dyDescent="0.4">
      <c r="A20" s="55" t="s">
        <v>13</v>
      </c>
      <c r="B20" s="47">
        <v>383</v>
      </c>
      <c r="C20" s="39">
        <f>IF(B$3=0,0,B20/B$3)</f>
        <v>0.17044948820649755</v>
      </c>
      <c r="E20" s="63" t="s">
        <v>93</v>
      </c>
      <c r="F20" s="60" t="s">
        <v>48</v>
      </c>
      <c r="G20" s="47">
        <v>5</v>
      </c>
      <c r="H20" s="133">
        <f>IF(B$17=0,0,G20/B$17)</f>
        <v>7.5642965204236008E-3</v>
      </c>
      <c r="I20" s="94">
        <v>3</v>
      </c>
      <c r="K20" s="38">
        <v>18</v>
      </c>
      <c r="L20" s="99">
        <v>0</v>
      </c>
      <c r="N20" s="115" t="s">
        <v>178</v>
      </c>
      <c r="O20" s="125">
        <f>IF(P20=0,0,Q20/P20)</f>
        <v>0.5892857142857133</v>
      </c>
      <c r="P20" s="119">
        <v>56</v>
      </c>
      <c r="Q20" s="107">
        <v>32.999999999999943</v>
      </c>
    </row>
    <row r="21" spans="1:17" x14ac:dyDescent="0.4">
      <c r="A21" s="55" t="s">
        <v>170</v>
      </c>
      <c r="B21" s="47">
        <v>7</v>
      </c>
      <c r="C21" s="135">
        <v>3</v>
      </c>
      <c r="E21" s="63" t="s">
        <v>78</v>
      </c>
      <c r="F21" s="60" t="s">
        <v>33</v>
      </c>
      <c r="G21" s="47">
        <v>4</v>
      </c>
      <c r="H21" s="133">
        <f>IF(B$17=0,0,G21/B$17)</f>
        <v>6.0514372163388806E-3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-7.9411764705882399</v>
      </c>
      <c r="P21" s="119">
        <v>102</v>
      </c>
      <c r="Q21" s="107">
        <v>-810.00000000000045</v>
      </c>
    </row>
    <row r="22" spans="1:17" x14ac:dyDescent="0.4">
      <c r="A22" s="55" t="s">
        <v>171</v>
      </c>
      <c r="B22" s="47">
        <v>26</v>
      </c>
      <c r="C22" s="135">
        <v>5</v>
      </c>
      <c r="E22" s="63" t="s">
        <v>86</v>
      </c>
      <c r="F22" s="60" t="s">
        <v>41</v>
      </c>
      <c r="G22" s="47">
        <v>4</v>
      </c>
      <c r="H22" s="133">
        <f>IF(B$17=0,0,G22/B$17)</f>
        <v>6.0514372163388806E-3</v>
      </c>
      <c r="I22" s="94">
        <v>5</v>
      </c>
      <c r="K22" s="38">
        <v>20</v>
      </c>
      <c r="L22" s="99">
        <v>-61.199999999999996</v>
      </c>
      <c r="N22" s="115" t="s">
        <v>127</v>
      </c>
      <c r="O22" s="125">
        <f>IF(P22=0,0,Q22/P22)</f>
        <v>-15.4551724137931</v>
      </c>
      <c r="P22" s="119">
        <v>116</v>
      </c>
      <c r="Q22" s="107">
        <v>-1792.7999999999997</v>
      </c>
    </row>
    <row r="23" spans="1:17" x14ac:dyDescent="0.4">
      <c r="A23" s="55" t="s">
        <v>5</v>
      </c>
      <c r="B23" s="51">
        <f>IF(B$17=0,0,C23/B$17)</f>
        <v>8225.7186081694399</v>
      </c>
      <c r="C23" s="41">
        <v>5437200</v>
      </c>
      <c r="E23" s="63" t="s">
        <v>75</v>
      </c>
      <c r="F23" s="60" t="s">
        <v>30</v>
      </c>
      <c r="G23" s="47">
        <v>3</v>
      </c>
      <c r="H23" s="133">
        <f>IF(B$17=0,0,G23/B$17)</f>
        <v>4.5385779122541605E-3</v>
      </c>
      <c r="I23" s="94">
        <v>4</v>
      </c>
      <c r="K23" s="38">
        <v>21</v>
      </c>
      <c r="L23" s="99">
        <v>7.1054273576010019E-15</v>
      </c>
      <c r="N23" s="115" t="s">
        <v>182</v>
      </c>
      <c r="O23" s="125">
        <f>IF(P23=0,0,Q23/P23)</f>
        <v>-17.195454545454549</v>
      </c>
      <c r="P23" s="119">
        <v>22</v>
      </c>
      <c r="Q23" s="107">
        <v>-378.30000000000007</v>
      </c>
    </row>
    <row r="24" spans="1:17" x14ac:dyDescent="0.4">
      <c r="A24" s="57" t="s">
        <v>14</v>
      </c>
      <c r="B24" s="52">
        <f>IF(B$20=0,0,C24/B$20)</f>
        <v>-7647.258485639687</v>
      </c>
      <c r="C24" s="45">
        <v>-2928900</v>
      </c>
      <c r="E24" s="63" t="s">
        <v>76</v>
      </c>
      <c r="F24" s="60" t="s">
        <v>31</v>
      </c>
      <c r="G24" s="47">
        <v>3</v>
      </c>
      <c r="H24" s="133">
        <f>IF(B$17=0,0,G24/B$17)</f>
        <v>4.5385779122541605E-3</v>
      </c>
      <c r="I24" s="94">
        <v>4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85</v>
      </c>
      <c r="F25" s="60" t="s">
        <v>40</v>
      </c>
      <c r="G25" s="47">
        <v>3</v>
      </c>
      <c r="H25" s="133">
        <f>IF(B$17=0,0,G25/B$17)</f>
        <v>4.5385779122541605E-3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3</v>
      </c>
      <c r="H26" s="133">
        <f>IF(B$17=0,0,G26/B$17)</f>
        <v>4.5385779122541605E-3</v>
      </c>
      <c r="I26" s="94">
        <v>3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8</v>
      </c>
      <c r="C27" s="42">
        <f>IF(B$3=0,0,B27/B$3)</f>
        <v>3.5603026257231864E-3</v>
      </c>
      <c r="E27" s="63" t="s">
        <v>88</v>
      </c>
      <c r="F27" s="60" t="s">
        <v>43</v>
      </c>
      <c r="G27" s="47">
        <v>1</v>
      </c>
      <c r="H27" s="133">
        <f>IF(B$17=0,0,G27/B$17)</f>
        <v>1.5128593040847202E-3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1.5128593040847202E-3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94</v>
      </c>
      <c r="F29" s="60" t="s">
        <v>49</v>
      </c>
      <c r="G29" s="47">
        <v>1</v>
      </c>
      <c r="H29" s="133">
        <f>IF(B$17=0,0,G29/B$17)</f>
        <v>1.5128593040847202E-3</v>
      </c>
      <c r="I29" s="94">
        <v>2</v>
      </c>
      <c r="K29" s="38">
        <v>27</v>
      </c>
      <c r="L29" s="99">
        <v>6.7723604502134549E-15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1.5128593040847202E-3</v>
      </c>
      <c r="I30" s="94">
        <v>2</v>
      </c>
      <c r="K30" s="38">
        <v>28</v>
      </c>
      <c r="L30" s="99">
        <v>-30.199999999999992</v>
      </c>
    </row>
    <row r="31" spans="1:17" x14ac:dyDescent="0.4">
      <c r="E31" s="63" t="s">
        <v>102</v>
      </c>
      <c r="F31" s="60" t="s">
        <v>57</v>
      </c>
      <c r="G31" s="47">
        <v>1</v>
      </c>
      <c r="H31" s="133">
        <f>IF(B$17=0,0,G31/B$17)</f>
        <v>1.5128593040847202E-3</v>
      </c>
      <c r="I31" s="94">
        <v>2</v>
      </c>
      <c r="K31" s="38">
        <v>29</v>
      </c>
      <c r="L31" s="99">
        <v>-2.3999999999999915</v>
      </c>
    </row>
    <row r="32" spans="1:17" x14ac:dyDescent="0.4">
      <c r="E32" s="63" t="s">
        <v>74</v>
      </c>
      <c r="F32" s="60" t="s">
        <v>29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  <row r="168" spans="11:12" x14ac:dyDescent="0.4">
      <c r="K168" s="38">
        <v>166</v>
      </c>
      <c r="L168" s="99">
        <v>-32.600000000000037</v>
      </c>
    </row>
    <row r="169" spans="11:12" x14ac:dyDescent="0.4">
      <c r="K169" s="38">
        <v>167</v>
      </c>
      <c r="L169" s="99">
        <v>-47.900000000000034</v>
      </c>
    </row>
    <row r="170" spans="11:12" x14ac:dyDescent="0.4">
      <c r="K170" s="38">
        <v>168</v>
      </c>
      <c r="L170" s="99">
        <v>-3.5527136788005009E-14</v>
      </c>
    </row>
    <row r="171" spans="11:12" x14ac:dyDescent="0.4">
      <c r="K171" s="38">
        <v>169</v>
      </c>
      <c r="L171" s="99">
        <v>1.9999999999999645</v>
      </c>
    </row>
    <row r="172" spans="11:12" x14ac:dyDescent="0.4">
      <c r="K172" s="38">
        <v>170</v>
      </c>
      <c r="L172" s="99">
        <v>14.999999999999964</v>
      </c>
    </row>
    <row r="173" spans="11:12" x14ac:dyDescent="0.4">
      <c r="K173" s="38">
        <v>171</v>
      </c>
      <c r="L173" s="99">
        <v>-3.5527136788005009E-14</v>
      </c>
    </row>
    <row r="174" spans="11:12" x14ac:dyDescent="0.4">
      <c r="K174" s="38">
        <v>172</v>
      </c>
      <c r="L174" s="99">
        <v>-0.50000000000003553</v>
      </c>
    </row>
    <row r="175" spans="11:12" x14ac:dyDescent="0.4">
      <c r="K175" s="38">
        <v>173</v>
      </c>
      <c r="L175" s="99">
        <v>34.899999999999963</v>
      </c>
    </row>
    <row r="176" spans="11:12" x14ac:dyDescent="0.4">
      <c r="K176" s="38">
        <v>174</v>
      </c>
      <c r="L176" s="99">
        <v>-3.5527136788005009E-14</v>
      </c>
    </row>
    <row r="177" spans="11:12" x14ac:dyDescent="0.4">
      <c r="K177" s="38">
        <v>175</v>
      </c>
      <c r="L177" s="99">
        <v>4.8999999999999648</v>
      </c>
    </row>
    <row r="178" spans="11:12" x14ac:dyDescent="0.4">
      <c r="K178" s="38">
        <v>176</v>
      </c>
      <c r="L178" s="99">
        <v>49.19999999999996</v>
      </c>
    </row>
    <row r="179" spans="11:12" x14ac:dyDescent="0.4">
      <c r="K179" s="38">
        <v>177</v>
      </c>
      <c r="L179" s="99">
        <v>-4.2632564145606011E-14</v>
      </c>
    </row>
    <row r="180" spans="11:12" x14ac:dyDescent="0.4">
      <c r="K180" s="38">
        <v>178</v>
      </c>
      <c r="L180" s="99">
        <v>-31.300000000000043</v>
      </c>
    </row>
    <row r="181" spans="11:12" x14ac:dyDescent="0.4">
      <c r="K181" s="38">
        <v>179</v>
      </c>
      <c r="L181" s="99">
        <v>-25.300000000000043</v>
      </c>
    </row>
    <row r="182" spans="11:12" x14ac:dyDescent="0.4">
      <c r="K182" s="38">
        <v>180</v>
      </c>
      <c r="L182" s="99">
        <v>-4.2632564145606011E-14</v>
      </c>
    </row>
    <row r="183" spans="11:12" x14ac:dyDescent="0.4">
      <c r="K183" s="38">
        <v>181</v>
      </c>
      <c r="L183" s="99">
        <v>-23.900000000000041</v>
      </c>
    </row>
    <row r="184" spans="11:12" x14ac:dyDescent="0.4">
      <c r="K184" s="38">
        <v>182</v>
      </c>
      <c r="L184" s="99">
        <v>-22.000000000000043</v>
      </c>
    </row>
    <row r="185" spans="11:12" x14ac:dyDescent="0.4">
      <c r="K185" s="38">
        <v>183</v>
      </c>
      <c r="L185" s="99">
        <v>-4.2632564145606011E-14</v>
      </c>
    </row>
    <row r="186" spans="11:12" x14ac:dyDescent="0.4">
      <c r="K186" s="38">
        <v>184</v>
      </c>
      <c r="L186" s="99">
        <v>-1.9000000000000425</v>
      </c>
    </row>
    <row r="187" spans="11:12" x14ac:dyDescent="0.4">
      <c r="K187" s="38">
        <v>185</v>
      </c>
      <c r="L187" s="99">
        <v>36.799999999999962</v>
      </c>
    </row>
    <row r="188" spans="11:12" x14ac:dyDescent="0.4">
      <c r="K188" s="38">
        <v>186</v>
      </c>
      <c r="L188" s="99">
        <v>-3.5527136788005009E-14</v>
      </c>
    </row>
    <row r="189" spans="11:12" x14ac:dyDescent="0.4">
      <c r="K189" s="38">
        <v>187</v>
      </c>
      <c r="L189" s="99">
        <v>-40.700000000000038</v>
      </c>
    </row>
    <row r="190" spans="11:12" x14ac:dyDescent="0.4">
      <c r="K190" s="38">
        <v>188</v>
      </c>
      <c r="L190" s="99">
        <v>-33.400000000000041</v>
      </c>
    </row>
    <row r="191" spans="11:12" x14ac:dyDescent="0.4">
      <c r="K191" s="38">
        <v>189</v>
      </c>
      <c r="L191" s="99">
        <v>-4.2632564145606011E-14</v>
      </c>
    </row>
    <row r="192" spans="11:12" x14ac:dyDescent="0.4">
      <c r="K192" s="38">
        <v>190</v>
      </c>
      <c r="L192" s="99">
        <v>-30.500000000000043</v>
      </c>
    </row>
    <row r="193" spans="11:12" x14ac:dyDescent="0.4">
      <c r="K193" s="38">
        <v>191</v>
      </c>
      <c r="L193" s="99">
        <v>0.29999999999995808</v>
      </c>
    </row>
    <row r="194" spans="11:12" x14ac:dyDescent="0.4">
      <c r="K194" s="38">
        <v>192</v>
      </c>
      <c r="L194" s="99">
        <v>-4.1910919179599659E-14</v>
      </c>
    </row>
    <row r="195" spans="11:12" x14ac:dyDescent="0.4">
      <c r="K195" s="38">
        <v>193</v>
      </c>
      <c r="L195" s="99">
        <v>52.099999999999959</v>
      </c>
    </row>
    <row r="196" spans="11:12" x14ac:dyDescent="0.4">
      <c r="K196" s="38">
        <v>194</v>
      </c>
      <c r="L196" s="99">
        <v>49.299999999999962</v>
      </c>
    </row>
    <row r="197" spans="11:12" x14ac:dyDescent="0.4">
      <c r="K197" s="38">
        <v>195</v>
      </c>
      <c r="L197" s="99">
        <v>-3.5527136788005009E-14</v>
      </c>
    </row>
    <row r="198" spans="11:12" x14ac:dyDescent="0.4">
      <c r="K198" s="38">
        <v>196</v>
      </c>
      <c r="L198" s="99">
        <v>-5.6000000000000352</v>
      </c>
    </row>
    <row r="199" spans="11:12" x14ac:dyDescent="0.4">
      <c r="K199" s="38">
        <v>197</v>
      </c>
      <c r="L199" s="99">
        <v>-28.200000000000038</v>
      </c>
    </row>
    <row r="200" spans="11:12" x14ac:dyDescent="0.4">
      <c r="K200" s="38">
        <v>198</v>
      </c>
      <c r="L200" s="99">
        <v>-3.907985046680551E-14</v>
      </c>
    </row>
    <row r="201" spans="11:12" x14ac:dyDescent="0.4">
      <c r="K201" s="38">
        <v>199</v>
      </c>
      <c r="L201" s="99">
        <v>-22.000000000000039</v>
      </c>
    </row>
    <row r="202" spans="11:12" x14ac:dyDescent="0.4">
      <c r="K202" s="38">
        <v>200</v>
      </c>
      <c r="L202" s="99">
        <v>-20.900000000000038</v>
      </c>
    </row>
    <row r="203" spans="11:12" x14ac:dyDescent="0.4">
      <c r="K203" s="38">
        <v>201</v>
      </c>
      <c r="L203" s="99">
        <v>-3.907985046680551E-14</v>
      </c>
    </row>
    <row r="204" spans="11:12" x14ac:dyDescent="0.4">
      <c r="K204" s="38">
        <v>202</v>
      </c>
      <c r="L204" s="99">
        <v>-1.0000000000000391</v>
      </c>
    </row>
    <row r="205" spans="11:12" x14ac:dyDescent="0.4">
      <c r="K205" s="38">
        <v>203</v>
      </c>
      <c r="L205" s="99">
        <v>18.399999999999959</v>
      </c>
    </row>
    <row r="206" spans="11:12" x14ac:dyDescent="0.4">
      <c r="K206" s="38">
        <v>204</v>
      </c>
      <c r="L206" s="99">
        <v>-3.907985046680551E-14</v>
      </c>
    </row>
    <row r="207" spans="11:12" x14ac:dyDescent="0.4">
      <c r="K207" s="38">
        <v>205</v>
      </c>
      <c r="L207" s="99">
        <v>-47.200000000000045</v>
      </c>
    </row>
    <row r="208" spans="11:12" x14ac:dyDescent="0.4">
      <c r="K208" s="38">
        <v>206</v>
      </c>
      <c r="L208" s="99">
        <v>-56.700000000000045</v>
      </c>
    </row>
    <row r="209" spans="11:12" x14ac:dyDescent="0.4">
      <c r="K209" s="38">
        <v>207</v>
      </c>
      <c r="L209" s="99">
        <v>-4.2632564145606011E-14</v>
      </c>
    </row>
    <row r="210" spans="11:12" x14ac:dyDescent="0.4">
      <c r="K210" s="38">
        <v>208</v>
      </c>
      <c r="L210" s="99">
        <v>-45.500000000000043</v>
      </c>
    </row>
    <row r="211" spans="11:12" x14ac:dyDescent="0.4">
      <c r="K211" s="38">
        <v>209</v>
      </c>
      <c r="L211" s="99">
        <v>-7.4000000000000412</v>
      </c>
    </row>
    <row r="212" spans="11:12" x14ac:dyDescent="0.4">
      <c r="K212" s="38">
        <v>210</v>
      </c>
      <c r="L212" s="99">
        <v>-4.0856207306205761E-14</v>
      </c>
    </row>
    <row r="213" spans="11:12" x14ac:dyDescent="0.4">
      <c r="K213" s="38">
        <v>211</v>
      </c>
      <c r="L213" s="99">
        <v>-31.80000000000004</v>
      </c>
    </row>
    <row r="214" spans="11:12" x14ac:dyDescent="0.4">
      <c r="K214" s="38">
        <v>212</v>
      </c>
      <c r="L214" s="99">
        <v>-26.30000000000004</v>
      </c>
    </row>
    <row r="215" spans="11:12" x14ac:dyDescent="0.4">
      <c r="K215" s="38">
        <v>213</v>
      </c>
      <c r="L215" s="99">
        <v>-3.907985046680551E-14</v>
      </c>
    </row>
    <row r="216" spans="11:12" x14ac:dyDescent="0.4">
      <c r="K216" s="38">
        <v>214</v>
      </c>
      <c r="L216" s="99">
        <v>22.999999999999961</v>
      </c>
    </row>
    <row r="217" spans="11:12" x14ac:dyDescent="0.4">
      <c r="K217" s="38">
        <v>215</v>
      </c>
      <c r="L217" s="99">
        <v>22.599999999999962</v>
      </c>
    </row>
    <row r="218" spans="11:12" x14ac:dyDescent="0.4">
      <c r="K218" s="38">
        <v>216</v>
      </c>
      <c r="L218" s="99">
        <v>-3.907985046680551E-14</v>
      </c>
    </row>
    <row r="219" spans="11:12" x14ac:dyDescent="0.4">
      <c r="K219" s="38">
        <v>217</v>
      </c>
      <c r="L219" s="99">
        <v>-18.700000000000038</v>
      </c>
    </row>
    <row r="220" spans="11:12" x14ac:dyDescent="0.4">
      <c r="K220" s="38">
        <v>218</v>
      </c>
      <c r="L220" s="99">
        <v>31.399999999999963</v>
      </c>
    </row>
    <row r="221" spans="11:12" x14ac:dyDescent="0.4">
      <c r="K221" s="38">
        <v>219</v>
      </c>
      <c r="L221" s="99">
        <v>-3.5527136788005009E-14</v>
      </c>
    </row>
    <row r="222" spans="11:12" x14ac:dyDescent="0.4">
      <c r="K222" s="38">
        <v>220</v>
      </c>
      <c r="L222" s="99">
        <v>11.499999999999964</v>
      </c>
    </row>
    <row r="223" spans="11:12" x14ac:dyDescent="0.4">
      <c r="K223" s="38">
        <v>221</v>
      </c>
      <c r="L223" s="99">
        <v>-1.3000000000000362</v>
      </c>
    </row>
    <row r="224" spans="11:12" x14ac:dyDescent="0.4">
      <c r="K224" s="38">
        <v>222</v>
      </c>
      <c r="L224" s="99">
        <v>-3.6193270602780103E-14</v>
      </c>
    </row>
    <row r="225" spans="11:12" x14ac:dyDescent="0.4">
      <c r="K225" s="38">
        <v>223</v>
      </c>
      <c r="L225" s="99">
        <v>-41.100000000000037</v>
      </c>
    </row>
    <row r="226" spans="11:12" x14ac:dyDescent="0.4">
      <c r="K226" s="38">
        <v>224</v>
      </c>
      <c r="L226" s="99">
        <v>-1.0000000000000355</v>
      </c>
    </row>
    <row r="227" spans="11:12" x14ac:dyDescent="0.4">
      <c r="K227" s="38">
        <v>225</v>
      </c>
      <c r="L227" s="99">
        <v>-3.5527136788005009E-14</v>
      </c>
    </row>
    <row r="228" spans="11:12" x14ac:dyDescent="0.4">
      <c r="K228" s="38">
        <v>226</v>
      </c>
      <c r="L228" s="99">
        <v>61.899999999999963</v>
      </c>
    </row>
    <row r="229" spans="11:12" x14ac:dyDescent="0.4">
      <c r="K229" s="38">
        <v>227</v>
      </c>
      <c r="L229" s="99">
        <v>16.099999999999966</v>
      </c>
    </row>
    <row r="230" spans="11:12" x14ac:dyDescent="0.4">
      <c r="K230" s="38">
        <v>228</v>
      </c>
      <c r="L230" s="99">
        <v>-3.5527136788005009E-14</v>
      </c>
    </row>
    <row r="231" spans="11:12" x14ac:dyDescent="0.4">
      <c r="K231" s="38">
        <v>229</v>
      </c>
      <c r="L231" s="99">
        <v>-30.700000000000035</v>
      </c>
    </row>
    <row r="232" spans="11:12" x14ac:dyDescent="0.4">
      <c r="K232" s="38">
        <v>230</v>
      </c>
      <c r="L232" s="99">
        <v>-8.9000000000000341</v>
      </c>
    </row>
    <row r="233" spans="11:12" x14ac:dyDescent="0.4">
      <c r="K233" s="38">
        <v>231</v>
      </c>
      <c r="L233" s="99">
        <v>-3.3750779948604759E-14</v>
      </c>
    </row>
    <row r="234" spans="11:12" x14ac:dyDescent="0.4">
      <c r="K234" s="38">
        <v>232</v>
      </c>
      <c r="L234" s="99">
        <v>4.5999999999999659</v>
      </c>
    </row>
    <row r="235" spans="11:12" x14ac:dyDescent="0.4">
      <c r="K235" s="38">
        <v>233</v>
      </c>
      <c r="L235" s="99">
        <v>-43.800000000000033</v>
      </c>
    </row>
    <row r="236" spans="11:12" x14ac:dyDescent="0.4">
      <c r="K236" s="38">
        <v>234</v>
      </c>
      <c r="L236" s="99">
        <v>-3.5527136788005009E-14</v>
      </c>
    </row>
    <row r="237" spans="11:12" x14ac:dyDescent="0.4">
      <c r="K237" s="38">
        <v>235</v>
      </c>
      <c r="L237" s="99">
        <v>2.7999999999999643</v>
      </c>
    </row>
    <row r="238" spans="11:12" x14ac:dyDescent="0.4">
      <c r="K238" s="38">
        <v>236</v>
      </c>
      <c r="L238" s="99">
        <v>-12.900000000000034</v>
      </c>
    </row>
    <row r="239" spans="11:12" x14ac:dyDescent="0.4">
      <c r="K239" s="38">
        <v>237</v>
      </c>
      <c r="L239" s="99">
        <v>-3.3750779948604759E-14</v>
      </c>
    </row>
    <row r="240" spans="11:12" x14ac:dyDescent="0.4">
      <c r="K240" s="38">
        <v>238</v>
      </c>
      <c r="L240" s="99">
        <v>46.899999999999963</v>
      </c>
    </row>
    <row r="241" spans="11:12" x14ac:dyDescent="0.4">
      <c r="K241" s="38">
        <v>239</v>
      </c>
      <c r="L241" s="99">
        <v>49.299999999999962</v>
      </c>
    </row>
    <row r="242" spans="11:12" x14ac:dyDescent="0.4">
      <c r="K242" s="38">
        <v>240</v>
      </c>
      <c r="L242" s="99">
        <v>-3.5527136788005009E-14</v>
      </c>
    </row>
    <row r="243" spans="11:12" x14ac:dyDescent="0.4">
      <c r="K243" s="38">
        <v>241</v>
      </c>
      <c r="L243" s="99">
        <v>10.499999999999964</v>
      </c>
    </row>
    <row r="244" spans="11:12" x14ac:dyDescent="0.4">
      <c r="K244" s="38">
        <v>242</v>
      </c>
      <c r="L244" s="99">
        <v>36.999999999999964</v>
      </c>
    </row>
    <row r="245" spans="11:12" x14ac:dyDescent="0.4">
      <c r="K245" s="38">
        <v>243</v>
      </c>
      <c r="L245" s="99">
        <v>-3.5527136788005009E-14</v>
      </c>
    </row>
    <row r="246" spans="11:12" x14ac:dyDescent="0.4">
      <c r="K246" s="38">
        <v>244</v>
      </c>
      <c r="L246" s="99">
        <v>34.099999999999966</v>
      </c>
    </row>
    <row r="247" spans="11:12" x14ac:dyDescent="0.4">
      <c r="K247" s="38">
        <v>245</v>
      </c>
      <c r="L247" s="99">
        <v>47.799999999999969</v>
      </c>
    </row>
    <row r="248" spans="11:12" x14ac:dyDescent="0.4">
      <c r="K248" s="38">
        <v>246</v>
      </c>
      <c r="L248" s="99">
        <v>-2.8421709430404007E-14</v>
      </c>
    </row>
    <row r="249" spans="11:12" x14ac:dyDescent="0.4">
      <c r="K249" s="38">
        <v>247</v>
      </c>
      <c r="L249" s="99">
        <v>-47.300000000000026</v>
      </c>
    </row>
    <row r="250" spans="11:12" x14ac:dyDescent="0.4">
      <c r="K250" s="38">
        <v>248</v>
      </c>
      <c r="L250" s="99">
        <v>-42.700000000000024</v>
      </c>
    </row>
    <row r="251" spans="11:12" x14ac:dyDescent="0.4">
      <c r="K251" s="38">
        <v>249</v>
      </c>
      <c r="L251" s="99">
        <v>-2.1316282072803006E-14</v>
      </c>
    </row>
    <row r="252" spans="11:12" x14ac:dyDescent="0.4">
      <c r="K252" s="38">
        <v>250</v>
      </c>
      <c r="L252" s="99">
        <v>-32.300000000000018</v>
      </c>
    </row>
    <row r="253" spans="11:12" x14ac:dyDescent="0.4">
      <c r="K253" s="38">
        <v>251</v>
      </c>
      <c r="L253" s="99">
        <v>-5.2000000000000171</v>
      </c>
    </row>
    <row r="254" spans="11:12" x14ac:dyDescent="0.4">
      <c r="K254" s="38">
        <v>252</v>
      </c>
      <c r="L254" s="99">
        <v>-1.6875389974302379E-14</v>
      </c>
    </row>
    <row r="255" spans="11:12" x14ac:dyDescent="0.4">
      <c r="K255" s="38">
        <v>253</v>
      </c>
      <c r="L255" s="99">
        <v>-2.9000000000000168</v>
      </c>
    </row>
    <row r="256" spans="11:12" x14ac:dyDescent="0.4">
      <c r="K256" s="38">
        <v>254</v>
      </c>
      <c r="L256" s="99">
        <v>15.099999999999984</v>
      </c>
    </row>
    <row r="257" spans="11:12" x14ac:dyDescent="0.4">
      <c r="K257" s="38">
        <v>255</v>
      </c>
      <c r="L257" s="99">
        <v>-1.5987211554602254E-14</v>
      </c>
    </row>
    <row r="258" spans="11:12" x14ac:dyDescent="0.4">
      <c r="K258" s="38">
        <v>256</v>
      </c>
      <c r="L258" s="99">
        <v>-45.100000000000016</v>
      </c>
    </row>
    <row r="259" spans="11:12" x14ac:dyDescent="0.4">
      <c r="K259" s="38">
        <v>257</v>
      </c>
      <c r="L259" s="99">
        <v>8.3999999999999844</v>
      </c>
    </row>
    <row r="260" spans="11:12" x14ac:dyDescent="0.4">
      <c r="K260" s="38">
        <v>258</v>
      </c>
      <c r="L260" s="99">
        <v>-1.5987211554602254E-14</v>
      </c>
    </row>
    <row r="261" spans="11:12" x14ac:dyDescent="0.4">
      <c r="K261" s="38">
        <v>259</v>
      </c>
      <c r="L261" s="99">
        <v>-27.500000000000014</v>
      </c>
    </row>
    <row r="262" spans="11:12" x14ac:dyDescent="0.4">
      <c r="K262" s="38">
        <v>260</v>
      </c>
      <c r="L262" s="99">
        <v>-7.0000000000000142</v>
      </c>
    </row>
    <row r="263" spans="11:12" x14ac:dyDescent="0.4">
      <c r="K263" s="38">
        <v>261</v>
      </c>
      <c r="L263" s="99">
        <v>-1.4210854715202004E-14</v>
      </c>
    </row>
    <row r="264" spans="11:12" x14ac:dyDescent="0.4">
      <c r="K264" s="38">
        <v>262</v>
      </c>
      <c r="L264" s="99">
        <v>6.0999999999999854</v>
      </c>
    </row>
    <row r="265" spans="11:12" x14ac:dyDescent="0.4">
      <c r="K265" s="38">
        <v>263</v>
      </c>
      <c r="L265" s="99">
        <v>-26.100000000000016</v>
      </c>
    </row>
    <row r="266" spans="11:12" x14ac:dyDescent="0.4">
      <c r="K266" s="38">
        <v>264</v>
      </c>
      <c r="L266" s="99">
        <v>-1.4210854715202004E-14</v>
      </c>
    </row>
    <row r="267" spans="11:12" x14ac:dyDescent="0.4">
      <c r="K267" s="38">
        <v>265</v>
      </c>
      <c r="L267" s="99">
        <v>14.099999999999985</v>
      </c>
    </row>
    <row r="268" spans="11:12" x14ac:dyDescent="0.4">
      <c r="K268" s="38">
        <v>266</v>
      </c>
      <c r="L268" s="99">
        <v>16.499999999999986</v>
      </c>
    </row>
    <row r="269" spans="11:12" x14ac:dyDescent="0.4">
      <c r="K269" s="38">
        <v>267</v>
      </c>
      <c r="L269" s="99">
        <v>-1.4210854715202004E-14</v>
      </c>
    </row>
    <row r="270" spans="11:12" x14ac:dyDescent="0.4">
      <c r="K270" s="38">
        <v>268</v>
      </c>
      <c r="L270" s="99">
        <v>4.4999999999999858</v>
      </c>
    </row>
    <row r="271" spans="11:12" x14ac:dyDescent="0.4">
      <c r="K271" s="38">
        <v>269</v>
      </c>
      <c r="L271" s="99">
        <v>-21.100000000000016</v>
      </c>
    </row>
    <row r="272" spans="11:12" x14ac:dyDescent="0.4">
      <c r="K272" s="38">
        <v>270</v>
      </c>
      <c r="L272" s="99">
        <v>-1.4210854715202004E-14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189E4-6259-420C-88C6-A0609186867A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26</v>
      </c>
      <c r="C2" s="151"/>
      <c r="E2" s="62" t="s">
        <v>67</v>
      </c>
      <c r="F2" s="59" t="s">
        <v>23</v>
      </c>
      <c r="G2" s="46">
        <v>34</v>
      </c>
      <c r="H2" s="132">
        <f>IF(B$17=0,0,G2/B$17)</f>
        <v>0.59649122807017541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742.30769230769226</v>
      </c>
      <c r="P2" s="118">
        <v>26</v>
      </c>
      <c r="Q2" s="102">
        <v>19300</v>
      </c>
    </row>
    <row r="3" spans="1:17" x14ac:dyDescent="0.4">
      <c r="A3" s="55" t="s">
        <v>8</v>
      </c>
      <c r="B3" s="152">
        <v>223</v>
      </c>
      <c r="C3" s="153"/>
      <c r="E3" s="63" t="s">
        <v>73</v>
      </c>
      <c r="F3" s="60" t="s">
        <v>28</v>
      </c>
      <c r="G3" s="47">
        <v>27</v>
      </c>
      <c r="H3" s="133">
        <f>IF(B$17=0,0,G3/B$17)</f>
        <v>0.47368421052631576</v>
      </c>
      <c r="I3" s="94">
        <v>8</v>
      </c>
      <c r="K3" s="38">
        <v>1</v>
      </c>
      <c r="L3" s="99">
        <v>-4.5999999999999996</v>
      </c>
      <c r="N3" s="115" t="s">
        <v>132</v>
      </c>
      <c r="O3" s="122">
        <f t="shared" si="0"/>
        <v>-1040</v>
      </c>
      <c r="P3" s="119">
        <v>25</v>
      </c>
      <c r="Q3" s="103">
        <v>-26000</v>
      </c>
    </row>
    <row r="4" spans="1:17" x14ac:dyDescent="0.4">
      <c r="A4" s="55" t="s">
        <v>6</v>
      </c>
      <c r="B4" s="154">
        <v>-123.10000000000002</v>
      </c>
      <c r="C4" s="155"/>
      <c r="E4" s="63" t="s">
        <v>172</v>
      </c>
      <c r="F4" s="60" t="s">
        <v>173</v>
      </c>
      <c r="G4" s="47">
        <v>22</v>
      </c>
      <c r="H4" s="133">
        <f>IF(B$17=0,0,G4/B$17)</f>
        <v>0.38596491228070173</v>
      </c>
      <c r="I4" s="94">
        <v>3</v>
      </c>
      <c r="K4" s="38">
        <v>2</v>
      </c>
      <c r="L4" s="99">
        <v>19.899999999999999</v>
      </c>
      <c r="N4" s="115" t="s">
        <v>133</v>
      </c>
      <c r="O4" s="122">
        <f t="shared" si="0"/>
        <v>1212.5</v>
      </c>
      <c r="P4" s="119">
        <v>24</v>
      </c>
      <c r="Q4" s="103">
        <v>29100</v>
      </c>
    </row>
    <row r="5" spans="1:17" x14ac:dyDescent="0.4">
      <c r="A5" s="55" t="s">
        <v>7</v>
      </c>
      <c r="B5" s="156">
        <f>IF(B$2=0,0,B$4/B$2)</f>
        <v>-4.7346153846153856</v>
      </c>
      <c r="C5" s="157"/>
      <c r="E5" s="63" t="s">
        <v>65</v>
      </c>
      <c r="F5" s="60" t="s">
        <v>21</v>
      </c>
      <c r="G5" s="47">
        <v>18</v>
      </c>
      <c r="H5" s="133">
        <f>IF(B$17=0,0,G5/B$17)</f>
        <v>0.31578947368421051</v>
      </c>
      <c r="I5" s="94">
        <v>10</v>
      </c>
      <c r="K5" s="38">
        <v>3</v>
      </c>
      <c r="L5" s="99">
        <v>-8.3000000000000007</v>
      </c>
      <c r="N5" s="115" t="s">
        <v>134</v>
      </c>
      <c r="O5" s="122">
        <f t="shared" si="0"/>
        <v>-1525</v>
      </c>
      <c r="P5" s="119">
        <v>24</v>
      </c>
      <c r="Q5" s="103">
        <v>-36600</v>
      </c>
    </row>
    <row r="6" spans="1:17" x14ac:dyDescent="0.4">
      <c r="A6" s="55" t="s">
        <v>1</v>
      </c>
      <c r="B6" s="146">
        <f>IF(B$2=0,0,(B$7*1+B$8*2+B$9*3)/B$2)</f>
        <v>2.1153846153846154</v>
      </c>
      <c r="C6" s="147"/>
      <c r="E6" s="63" t="s">
        <v>69</v>
      </c>
      <c r="F6" s="60" t="s">
        <v>12</v>
      </c>
      <c r="G6" s="47">
        <v>18</v>
      </c>
      <c r="H6" s="133">
        <f>IF(B$17=0,0,G6/B$17)</f>
        <v>0.31578947368421051</v>
      </c>
      <c r="I6" s="94">
        <v>3</v>
      </c>
      <c r="K6" s="38">
        <v>4</v>
      </c>
      <c r="L6" s="99">
        <v>-30.7</v>
      </c>
      <c r="N6" s="115" t="s">
        <v>135</v>
      </c>
      <c r="O6" s="122">
        <f t="shared" si="0"/>
        <v>-1200</v>
      </c>
      <c r="P6" s="119">
        <v>24</v>
      </c>
      <c r="Q6" s="103">
        <v>-28800</v>
      </c>
    </row>
    <row r="7" spans="1:17" x14ac:dyDescent="0.4">
      <c r="A7" s="55" t="s">
        <v>2</v>
      </c>
      <c r="B7" s="47">
        <v>8</v>
      </c>
      <c r="C7" s="39">
        <f t="shared" ref="C7:C12" si="1">IF(B$2=0,0,B7/B$2)</f>
        <v>0.30769230769230771</v>
      </c>
      <c r="E7" s="63" t="s">
        <v>70</v>
      </c>
      <c r="F7" s="60" t="s">
        <v>25</v>
      </c>
      <c r="G7" s="47">
        <v>14</v>
      </c>
      <c r="H7" s="133">
        <f>IF(B$17=0,0,G7/B$17)</f>
        <v>0.24561403508771928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-2750</v>
      </c>
      <c r="P7" s="120">
        <v>20</v>
      </c>
      <c r="Q7" s="104">
        <v>-55000</v>
      </c>
    </row>
    <row r="8" spans="1:17" x14ac:dyDescent="0.4">
      <c r="A8" s="55" t="s">
        <v>3</v>
      </c>
      <c r="B8" s="47">
        <v>7</v>
      </c>
      <c r="C8" s="39">
        <f t="shared" si="1"/>
        <v>0.26923076923076922</v>
      </c>
      <c r="E8" s="63" t="s">
        <v>71</v>
      </c>
      <c r="F8" s="60" t="s">
        <v>26</v>
      </c>
      <c r="G8" s="47">
        <v>10</v>
      </c>
      <c r="H8" s="133">
        <f>IF(B$17=0,0,G8/B$17)</f>
        <v>0.17543859649122806</v>
      </c>
      <c r="I8" s="94">
        <v>1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1"/>
        <v>0.42307692307692307</v>
      </c>
      <c r="E9" s="63" t="s">
        <v>68</v>
      </c>
      <c r="F9" s="60" t="s">
        <v>24</v>
      </c>
      <c r="G9" s="47">
        <v>8</v>
      </c>
      <c r="H9" s="133">
        <f>IF(B$17=0,0,G9/B$17)</f>
        <v>0.14035087719298245</v>
      </c>
      <c r="I9" s="94">
        <v>10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7</v>
      </c>
      <c r="H10" s="133">
        <f>IF(B$17=0,0,G10/B$17)</f>
        <v>0.12280701754385964</v>
      </c>
      <c r="I10" s="94">
        <v>1</v>
      </c>
      <c r="K10" s="38">
        <v>8</v>
      </c>
      <c r="L10" s="99">
        <v>-76.900000000000006</v>
      </c>
      <c r="N10" s="114" t="s">
        <v>163</v>
      </c>
      <c r="O10" s="124">
        <f>IF(P10=0,0,Q10/P10)</f>
        <v>0.77777777777777801</v>
      </c>
      <c r="P10" s="118">
        <v>9</v>
      </c>
      <c r="Q10" s="106">
        <v>7.0000000000000018</v>
      </c>
    </row>
    <row r="11" spans="1:17" x14ac:dyDescent="0.4">
      <c r="A11" s="56" t="s">
        <v>139</v>
      </c>
      <c r="B11" s="48">
        <v>1</v>
      </c>
      <c r="C11" s="40">
        <f t="shared" si="1"/>
        <v>3.8461538461538464E-2</v>
      </c>
      <c r="E11" s="63" t="s">
        <v>66</v>
      </c>
      <c r="F11" s="60" t="s">
        <v>22</v>
      </c>
      <c r="G11" s="47">
        <v>6</v>
      </c>
      <c r="H11" s="133">
        <f>IF(B$17=0,0,G11/B$17)</f>
        <v>0.10526315789473684</v>
      </c>
      <c r="I11" s="94">
        <v>4</v>
      </c>
      <c r="K11" s="38">
        <v>9</v>
      </c>
      <c r="L11" s="99">
        <v>-59.500000000000007</v>
      </c>
      <c r="N11" s="115" t="s">
        <v>164</v>
      </c>
      <c r="O11" s="125">
        <f>IF(P11=0,0,Q11/P11)</f>
        <v>-17.25</v>
      </c>
      <c r="P11" s="119">
        <v>6</v>
      </c>
      <c r="Q11" s="107">
        <v>-103.5</v>
      </c>
    </row>
    <row r="12" spans="1:17" x14ac:dyDescent="0.4">
      <c r="A12" s="57" t="s">
        <v>159</v>
      </c>
      <c r="B12" s="49">
        <v>4</v>
      </c>
      <c r="C12" s="42">
        <f t="shared" si="1"/>
        <v>0.15384615384615385</v>
      </c>
      <c r="E12" s="63" t="s">
        <v>84</v>
      </c>
      <c r="F12" s="60" t="s">
        <v>39</v>
      </c>
      <c r="G12" s="47">
        <v>5</v>
      </c>
      <c r="H12" s="133">
        <f>IF(B$17=0,0,G12/B$17)</f>
        <v>8.771929824561403E-2</v>
      </c>
      <c r="I12" s="94">
        <v>2</v>
      </c>
      <c r="K12" s="38">
        <v>10</v>
      </c>
      <c r="L12" s="99">
        <v>-32.700000000000003</v>
      </c>
      <c r="N12" s="116" t="s">
        <v>165</v>
      </c>
      <c r="O12" s="126">
        <f>IF(P12=0,0,Q12/P12)</f>
        <v>-2.418181818181818</v>
      </c>
      <c r="P12" s="120">
        <v>11</v>
      </c>
      <c r="Q12" s="108">
        <v>-26.599999999999998</v>
      </c>
    </row>
    <row r="13" spans="1:17" x14ac:dyDescent="0.4">
      <c r="A13" s="58" t="s">
        <v>122</v>
      </c>
      <c r="B13" s="50">
        <v>39</v>
      </c>
      <c r="C13" s="44">
        <f>IF(B$3=0,0,B13/B$3)</f>
        <v>0.17488789237668162</v>
      </c>
      <c r="E13" s="63" t="s">
        <v>90</v>
      </c>
      <c r="F13" s="60" t="s">
        <v>45</v>
      </c>
      <c r="G13" s="47">
        <v>3</v>
      </c>
      <c r="H13" s="133">
        <f>IF(B$17=0,0,G13/B$17)</f>
        <v>5.2631578947368418E-2</v>
      </c>
      <c r="I13" s="94">
        <v>10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52</v>
      </c>
      <c r="C14" s="39">
        <f>IF(B$3=0,0,B14/B$3)</f>
        <v>0.23318385650224216</v>
      </c>
      <c r="E14" s="63" t="s">
        <v>82</v>
      </c>
      <c r="F14" s="60" t="s">
        <v>37</v>
      </c>
      <c r="G14" s="47">
        <v>2</v>
      </c>
      <c r="H14" s="133">
        <f>IF(B$17=0,0,G14/B$17)</f>
        <v>3.5087719298245612E-2</v>
      </c>
      <c r="I14" s="94">
        <v>3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0.51282051282051277</v>
      </c>
      <c r="E15" s="63" t="s">
        <v>89</v>
      </c>
      <c r="F15" s="60" t="s">
        <v>44</v>
      </c>
      <c r="G15" s="47">
        <v>2</v>
      </c>
      <c r="H15" s="133">
        <f>IF(B$17=0,0,G15/B$17)</f>
        <v>3.5087719298245612E-2</v>
      </c>
      <c r="I15" s="94">
        <v>1</v>
      </c>
      <c r="K15" s="38">
        <v>13</v>
      </c>
      <c r="L15" s="99">
        <v>-66.2</v>
      </c>
      <c r="N15" s="114" t="s">
        <v>179</v>
      </c>
      <c r="O15" s="124">
        <f>IF(P15=0,0,Q15/P15)</f>
        <v>6.2799999999999994</v>
      </c>
      <c r="P15" s="118">
        <v>5</v>
      </c>
      <c r="Q15" s="106">
        <v>31.4</v>
      </c>
    </row>
    <row r="16" spans="1:17" x14ac:dyDescent="0.4">
      <c r="A16" s="54" t="s">
        <v>125</v>
      </c>
      <c r="B16" s="46">
        <v>17</v>
      </c>
      <c r="C16" s="37">
        <f>IF(B$14=0,0,B16/B$14)</f>
        <v>0.32692307692307693</v>
      </c>
      <c r="E16" s="63" t="s">
        <v>78</v>
      </c>
      <c r="F16" s="60" t="s">
        <v>33</v>
      </c>
      <c r="G16" s="47">
        <v>1</v>
      </c>
      <c r="H16" s="133">
        <f>IF(B$17=0,0,G16/B$17)</f>
        <v>1.7543859649122806E-2</v>
      </c>
      <c r="I16" s="94">
        <v>2</v>
      </c>
      <c r="K16" s="38">
        <v>14</v>
      </c>
      <c r="L16" s="99">
        <v>-51.1</v>
      </c>
      <c r="N16" s="115" t="s">
        <v>128</v>
      </c>
      <c r="O16" s="125">
        <f>IF(P16=0,0,Q16/P16)</f>
        <v>-2.6909090909090909</v>
      </c>
      <c r="P16" s="119">
        <v>11</v>
      </c>
      <c r="Q16" s="107">
        <v>-29.6</v>
      </c>
    </row>
    <row r="17" spans="1:17" x14ac:dyDescent="0.4">
      <c r="A17" s="54" t="s">
        <v>10</v>
      </c>
      <c r="B17" s="46">
        <f>B19+B18</f>
        <v>57</v>
      </c>
      <c r="C17" s="37">
        <f>IF(B$3=0,0,B17/B$3)</f>
        <v>0.2556053811659193</v>
      </c>
      <c r="E17" s="63" t="s">
        <v>87</v>
      </c>
      <c r="F17" s="60" t="s">
        <v>42</v>
      </c>
      <c r="G17" s="47">
        <v>1</v>
      </c>
      <c r="H17" s="133">
        <f>IF(B$17=0,0,G17/B$17)</f>
        <v>1.7543859649122806E-2</v>
      </c>
      <c r="I17" s="94">
        <v>10</v>
      </c>
      <c r="K17" s="38">
        <v>15</v>
      </c>
      <c r="L17" s="99">
        <v>-65.2</v>
      </c>
      <c r="N17" s="115" t="s">
        <v>127</v>
      </c>
      <c r="O17" s="125">
        <f>IF(P17=0,0,Q17/P17)</f>
        <v>-4.5950000000000006</v>
      </c>
      <c r="P17" s="119">
        <v>20</v>
      </c>
      <c r="Q17" s="107">
        <v>-91.9</v>
      </c>
    </row>
    <row r="18" spans="1:17" x14ac:dyDescent="0.4">
      <c r="A18" s="55" t="s">
        <v>12</v>
      </c>
      <c r="B18" s="47">
        <v>27</v>
      </c>
      <c r="C18" s="39">
        <f>IF(B$17=0,0,B18/B$17)</f>
        <v>0.47368421052631576</v>
      </c>
      <c r="E18" s="63" t="s">
        <v>92</v>
      </c>
      <c r="F18" s="60" t="s">
        <v>47</v>
      </c>
      <c r="G18" s="47">
        <v>1</v>
      </c>
      <c r="H18" s="133">
        <f>IF(B$17=0,0,G18/B$17)</f>
        <v>1.7543859649122806E-2</v>
      </c>
      <c r="I18" s="94">
        <v>3</v>
      </c>
      <c r="K18" s="38">
        <v>16</v>
      </c>
      <c r="L18" s="99">
        <v>-70.600000000000009</v>
      </c>
      <c r="N18" s="115" t="s">
        <v>182</v>
      </c>
      <c r="O18" s="125">
        <f>IF(P18=0,0,Q18/P18)</f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30</v>
      </c>
      <c r="C19" s="39">
        <f>IF(B$17=0,0,B19/B$17)</f>
        <v>0.52631578947368418</v>
      </c>
      <c r="E19" s="63" t="s">
        <v>94</v>
      </c>
      <c r="F19" s="60" t="s">
        <v>49</v>
      </c>
      <c r="G19" s="47">
        <v>1</v>
      </c>
      <c r="H19" s="133">
        <f>IF(B$17=0,0,G19/B$17)</f>
        <v>1.7543859649122806E-2</v>
      </c>
      <c r="I19" s="94">
        <v>1</v>
      </c>
      <c r="K19" s="38">
        <v>17</v>
      </c>
      <c r="L19" s="99">
        <v>-65.2</v>
      </c>
      <c r="N19" s="115" t="s">
        <v>180</v>
      </c>
      <c r="O19" s="125">
        <f>IF(P19=0,0,Q19/P19)</f>
        <v>-18.450000000000003</v>
      </c>
      <c r="P19" s="119">
        <v>10</v>
      </c>
      <c r="Q19" s="107">
        <v>-184.50000000000003</v>
      </c>
    </row>
    <row r="20" spans="1:17" x14ac:dyDescent="0.4">
      <c r="A20" s="55" t="s">
        <v>13</v>
      </c>
      <c r="B20" s="47">
        <v>38</v>
      </c>
      <c r="C20" s="39">
        <f>IF(B$3=0,0,B20/B$3)</f>
        <v>0.17040358744394618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-80.2</v>
      </c>
      <c r="N20" s="115" t="s">
        <v>183</v>
      </c>
      <c r="O20" s="125">
        <f>IF(P20=0,0,Q20/P20)</f>
        <v>-25.7</v>
      </c>
      <c r="P20" s="119">
        <v>2</v>
      </c>
      <c r="Q20" s="107">
        <v>-51.4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-115.1</v>
      </c>
    </row>
    <row r="22" spans="1:17" x14ac:dyDescent="0.4">
      <c r="A22" s="55" t="s">
        <v>171</v>
      </c>
      <c r="B22" s="47">
        <v>23</v>
      </c>
      <c r="C22" s="135">
        <v>2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-88.8</v>
      </c>
    </row>
    <row r="23" spans="1:17" x14ac:dyDescent="0.4">
      <c r="A23" s="55" t="s">
        <v>5</v>
      </c>
      <c r="B23" s="51">
        <f>IF(B$17=0,0,C23/B$17)</f>
        <v>7424.5614035087719</v>
      </c>
      <c r="C23" s="41">
        <v>423200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-111.4</v>
      </c>
    </row>
    <row r="24" spans="1:17" x14ac:dyDescent="0.4">
      <c r="A24" s="57" t="s">
        <v>14</v>
      </c>
      <c r="B24" s="52">
        <f>IF(B$20=0,0,C24/B$20)</f>
        <v>-6605.2631578947367</v>
      </c>
      <c r="C24" s="45">
        <v>-251000</v>
      </c>
      <c r="E24" s="63" t="s">
        <v>79</v>
      </c>
      <c r="F24" s="60" t="s">
        <v>34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-142.80000000000001</v>
      </c>
    </row>
    <row r="25" spans="1:17" x14ac:dyDescent="0.4">
      <c r="A25" s="90" t="s">
        <v>141</v>
      </c>
      <c r="B25" s="144">
        <v>3</v>
      </c>
      <c r="C25" s="145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-80.900000000000006</v>
      </c>
    </row>
    <row r="26" spans="1:17" x14ac:dyDescent="0.4">
      <c r="A26" s="58" t="s">
        <v>151</v>
      </c>
      <c r="B26" s="142">
        <v>86900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-111.60000000000001</v>
      </c>
    </row>
    <row r="27" spans="1:17" x14ac:dyDescent="0.4">
      <c r="A27" s="57" t="s">
        <v>142</v>
      </c>
      <c r="B27" s="65">
        <v>2</v>
      </c>
      <c r="C27" s="42">
        <f>IF(B$3=0,0,B27/B$3)</f>
        <v>8.9686098654708519E-3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-97.500000000000014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-123.10000000000002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C1CC-80C0-4149-B284-66CBC9A6D16F}">
  <sheetPr codeName="Sheet9"/>
  <dimension ref="A1:Q6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58</v>
      </c>
      <c r="C2" s="151"/>
      <c r="E2" s="62" t="s">
        <v>67</v>
      </c>
      <c r="F2" s="59" t="s">
        <v>23</v>
      </c>
      <c r="G2" s="46">
        <v>112</v>
      </c>
      <c r="H2" s="132">
        <f>IF(B$17=0,0,G2/B$17)</f>
        <v>0.68711656441717794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650.87719298245611</v>
      </c>
      <c r="P2" s="118">
        <v>57</v>
      </c>
      <c r="Q2" s="102">
        <v>37100</v>
      </c>
    </row>
    <row r="3" spans="1:17" x14ac:dyDescent="0.4">
      <c r="A3" s="55" t="s">
        <v>8</v>
      </c>
      <c r="B3" s="152">
        <v>472</v>
      </c>
      <c r="C3" s="153"/>
      <c r="E3" s="63" t="s">
        <v>73</v>
      </c>
      <c r="F3" s="60" t="s">
        <v>28</v>
      </c>
      <c r="G3" s="47">
        <v>84</v>
      </c>
      <c r="H3" s="133">
        <f>IF(B$17=0,0,G3/B$17)</f>
        <v>0.51533742331288346</v>
      </c>
      <c r="I3" s="94">
        <v>6</v>
      </c>
      <c r="K3" s="38">
        <v>1</v>
      </c>
      <c r="L3" s="99">
        <v>50.2</v>
      </c>
      <c r="N3" s="115" t="s">
        <v>132</v>
      </c>
      <c r="O3" s="122">
        <f t="shared" si="0"/>
        <v>235.18518518518519</v>
      </c>
      <c r="P3" s="119">
        <v>54</v>
      </c>
      <c r="Q3" s="103">
        <v>12700</v>
      </c>
    </row>
    <row r="4" spans="1:17" x14ac:dyDescent="0.4">
      <c r="A4" s="55" t="s">
        <v>6</v>
      </c>
      <c r="B4" s="154">
        <v>597.59999999999991</v>
      </c>
      <c r="C4" s="155"/>
      <c r="E4" s="63" t="s">
        <v>65</v>
      </c>
      <c r="F4" s="60" t="s">
        <v>21</v>
      </c>
      <c r="G4" s="47">
        <v>68</v>
      </c>
      <c r="H4" s="133">
        <f>IF(B$17=0,0,G4/B$17)</f>
        <v>0.41717791411042943</v>
      </c>
      <c r="I4" s="94">
        <v>9</v>
      </c>
      <c r="K4" s="38">
        <v>2</v>
      </c>
      <c r="L4" s="99">
        <v>14.400000000000006</v>
      </c>
      <c r="N4" s="115" t="s">
        <v>133</v>
      </c>
      <c r="O4" s="122">
        <f t="shared" si="0"/>
        <v>-609.25925925925924</v>
      </c>
      <c r="P4" s="119">
        <v>54</v>
      </c>
      <c r="Q4" s="103">
        <v>-32900</v>
      </c>
    </row>
    <row r="5" spans="1:17" x14ac:dyDescent="0.4">
      <c r="A5" s="55" t="s">
        <v>7</v>
      </c>
      <c r="B5" s="156">
        <f>IF(B$2=0,0,B$4/B$2)</f>
        <v>10.303448275862067</v>
      </c>
      <c r="C5" s="157"/>
      <c r="E5" s="63" t="s">
        <v>172</v>
      </c>
      <c r="F5" s="60" t="s">
        <v>173</v>
      </c>
      <c r="G5" s="47">
        <v>55</v>
      </c>
      <c r="H5" s="133">
        <f>IF(B$17=0,0,G5/B$17)</f>
        <v>0.33742331288343558</v>
      </c>
      <c r="I5" s="94">
        <v>7</v>
      </c>
      <c r="K5" s="38">
        <v>3</v>
      </c>
      <c r="L5" s="99">
        <v>40.400000000000006</v>
      </c>
      <c r="N5" s="115" t="s">
        <v>134</v>
      </c>
      <c r="O5" s="122">
        <f t="shared" si="0"/>
        <v>191.83673469387756</v>
      </c>
      <c r="P5" s="119">
        <v>49</v>
      </c>
      <c r="Q5" s="103">
        <v>9400</v>
      </c>
    </row>
    <row r="6" spans="1:17" x14ac:dyDescent="0.4">
      <c r="A6" s="55" t="s">
        <v>1</v>
      </c>
      <c r="B6" s="146">
        <f>IF(B$2=0,0,(B$7*1+B$8*2+B$9*3)/B$2)</f>
        <v>1.7068965517241379</v>
      </c>
      <c r="C6" s="147"/>
      <c r="E6" s="63" t="s">
        <v>68</v>
      </c>
      <c r="F6" s="60" t="s">
        <v>24</v>
      </c>
      <c r="G6" s="47">
        <v>47</v>
      </c>
      <c r="H6" s="133">
        <f>IF(B$17=0,0,G6/B$17)</f>
        <v>0.28834355828220859</v>
      </c>
      <c r="I6" s="94">
        <v>7</v>
      </c>
      <c r="K6" s="38">
        <v>4</v>
      </c>
      <c r="L6" s="99">
        <v>101.60000000000001</v>
      </c>
      <c r="N6" s="115" t="s">
        <v>135</v>
      </c>
      <c r="O6" s="122">
        <f t="shared" si="0"/>
        <v>4591.489361702128</v>
      </c>
      <c r="P6" s="119">
        <v>47</v>
      </c>
      <c r="Q6" s="103">
        <v>215800</v>
      </c>
    </row>
    <row r="7" spans="1:17" x14ac:dyDescent="0.4">
      <c r="A7" s="55" t="s">
        <v>2</v>
      </c>
      <c r="B7" s="47">
        <v>28</v>
      </c>
      <c r="C7" s="39">
        <f t="shared" ref="C7:C12" si="1">IF(B$2=0,0,B7/B$2)</f>
        <v>0.48275862068965519</v>
      </c>
      <c r="E7" s="63" t="s">
        <v>69</v>
      </c>
      <c r="F7" s="60" t="s">
        <v>12</v>
      </c>
      <c r="G7" s="47">
        <v>42</v>
      </c>
      <c r="H7" s="133">
        <f>IF(B$17=0,0,G7/B$17)</f>
        <v>0.25766871165644173</v>
      </c>
      <c r="I7" s="94">
        <v>9</v>
      </c>
      <c r="K7" s="38">
        <v>5</v>
      </c>
      <c r="L7" s="99">
        <v>99.9</v>
      </c>
      <c r="N7" s="116" t="s">
        <v>136</v>
      </c>
      <c r="O7" s="123">
        <f t="shared" si="0"/>
        <v>4516.2162162162158</v>
      </c>
      <c r="P7" s="120">
        <v>37</v>
      </c>
      <c r="Q7" s="104">
        <v>167100</v>
      </c>
    </row>
    <row r="8" spans="1:17" x14ac:dyDescent="0.4">
      <c r="A8" s="55" t="s">
        <v>3</v>
      </c>
      <c r="B8" s="47">
        <v>19</v>
      </c>
      <c r="C8" s="39">
        <f t="shared" si="1"/>
        <v>0.32758620689655171</v>
      </c>
      <c r="E8" s="63" t="s">
        <v>90</v>
      </c>
      <c r="F8" s="60" t="s">
        <v>45</v>
      </c>
      <c r="G8" s="47">
        <v>30</v>
      </c>
      <c r="H8" s="133">
        <f>IF(B$17=0,0,G8/B$17)</f>
        <v>0.18404907975460122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1"/>
        <v>0.18965517241379309</v>
      </c>
      <c r="E9" s="63" t="s">
        <v>70</v>
      </c>
      <c r="F9" s="60" t="s">
        <v>25</v>
      </c>
      <c r="G9" s="47">
        <v>22</v>
      </c>
      <c r="H9" s="133">
        <f>IF(B$17=0,0,G9/B$17)</f>
        <v>0.13496932515337423</v>
      </c>
      <c r="I9" s="94">
        <v>5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5.1724137931034482E-2</v>
      </c>
      <c r="E10" s="63" t="s">
        <v>66</v>
      </c>
      <c r="F10" s="60" t="s">
        <v>22</v>
      </c>
      <c r="G10" s="47">
        <v>15</v>
      </c>
      <c r="H10" s="133">
        <f>IF(B$17=0,0,G10/B$17)</f>
        <v>9.202453987730061E-2</v>
      </c>
      <c r="I10" s="94">
        <v>6</v>
      </c>
      <c r="K10" s="38">
        <v>8</v>
      </c>
      <c r="L10" s="99">
        <v>148.1</v>
      </c>
      <c r="N10" s="114" t="s">
        <v>163</v>
      </c>
      <c r="O10" s="124">
        <f>IF(P10=0,0,Q10/P10)</f>
        <v>16.858333333333331</v>
      </c>
      <c r="P10" s="118">
        <v>12</v>
      </c>
      <c r="Q10" s="106">
        <v>202.29999999999998</v>
      </c>
    </row>
    <row r="11" spans="1:17" x14ac:dyDescent="0.4">
      <c r="A11" s="56" t="s">
        <v>139</v>
      </c>
      <c r="B11" s="48">
        <v>6</v>
      </c>
      <c r="C11" s="40">
        <f t="shared" si="1"/>
        <v>0.10344827586206896</v>
      </c>
      <c r="E11" s="63" t="s">
        <v>71</v>
      </c>
      <c r="F11" s="60" t="s">
        <v>26</v>
      </c>
      <c r="G11" s="47">
        <v>11</v>
      </c>
      <c r="H11" s="133">
        <f>IF(B$17=0,0,G11/B$17)</f>
        <v>6.7484662576687116E-2</v>
      </c>
      <c r="I11" s="94">
        <v>5</v>
      </c>
      <c r="K11" s="38">
        <v>9</v>
      </c>
      <c r="L11" s="99">
        <v>180.89999999999998</v>
      </c>
      <c r="N11" s="115" t="s">
        <v>164</v>
      </c>
      <c r="O11" s="125">
        <f>IF(P11=0,0,Q11/P11)</f>
        <v>6.9538461538461558</v>
      </c>
      <c r="P11" s="119">
        <v>26</v>
      </c>
      <c r="Q11" s="107">
        <v>180.80000000000004</v>
      </c>
    </row>
    <row r="12" spans="1:17" x14ac:dyDescent="0.4">
      <c r="A12" s="57" t="s">
        <v>159</v>
      </c>
      <c r="B12" s="49">
        <v>7</v>
      </c>
      <c r="C12" s="42">
        <f t="shared" si="1"/>
        <v>0.1206896551724138</v>
      </c>
      <c r="E12" s="63" t="s">
        <v>72</v>
      </c>
      <c r="F12" s="60" t="s">
        <v>27</v>
      </c>
      <c r="G12" s="47">
        <v>11</v>
      </c>
      <c r="H12" s="133">
        <f>IF(B$17=0,0,G12/B$17)</f>
        <v>6.7484662576687116E-2</v>
      </c>
      <c r="I12" s="94">
        <v>6</v>
      </c>
      <c r="K12" s="38">
        <v>10</v>
      </c>
      <c r="L12" s="99">
        <v>158.19999999999999</v>
      </c>
      <c r="N12" s="116" t="s">
        <v>165</v>
      </c>
      <c r="O12" s="126">
        <f>IF(P12=0,0,Q12/P12)</f>
        <v>10.724999999999998</v>
      </c>
      <c r="P12" s="120">
        <v>20</v>
      </c>
      <c r="Q12" s="108">
        <v>214.49999999999997</v>
      </c>
    </row>
    <row r="13" spans="1:17" x14ac:dyDescent="0.4">
      <c r="A13" s="58" t="s">
        <v>122</v>
      </c>
      <c r="B13" s="50">
        <v>119</v>
      </c>
      <c r="C13" s="44">
        <f>IF(B$3=0,0,B13/B$3)</f>
        <v>0.2521186440677966</v>
      </c>
      <c r="E13" s="63" t="s">
        <v>84</v>
      </c>
      <c r="F13" s="60" t="s">
        <v>39</v>
      </c>
      <c r="G13" s="47">
        <v>8</v>
      </c>
      <c r="H13" s="133">
        <f>IF(B$17=0,0,G13/B$17)</f>
        <v>4.9079754601226995E-2</v>
      </c>
      <c r="I13" s="94">
        <v>8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110</v>
      </c>
      <c r="C14" s="39">
        <f>IF(B$3=0,0,B14/B$3)</f>
        <v>0.23305084745762711</v>
      </c>
      <c r="E14" s="63" t="s">
        <v>87</v>
      </c>
      <c r="F14" s="60" t="s">
        <v>42</v>
      </c>
      <c r="G14" s="47">
        <v>6</v>
      </c>
      <c r="H14" s="133">
        <f>IF(B$17=0,0,G14/B$17)</f>
        <v>3.6809815950920248E-2</v>
      </c>
      <c r="I14" s="94">
        <v>8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74</v>
      </c>
      <c r="C15" s="37">
        <f>IF(B$13=0,0,B15/B$13)</f>
        <v>0.62184873949579833</v>
      </c>
      <c r="E15" s="63" t="s">
        <v>79</v>
      </c>
      <c r="F15" s="60" t="s">
        <v>34</v>
      </c>
      <c r="G15" s="47">
        <v>5</v>
      </c>
      <c r="H15" s="133">
        <f>IF(B$17=0,0,G15/B$17)</f>
        <v>3.0674846625766871E-2</v>
      </c>
      <c r="I15" s="94">
        <v>3</v>
      </c>
      <c r="K15" s="38">
        <v>13</v>
      </c>
      <c r="L15" s="99">
        <v>206.39999999999998</v>
      </c>
      <c r="N15" s="114" t="s">
        <v>182</v>
      </c>
      <c r="O15" s="124">
        <f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125</v>
      </c>
      <c r="B16" s="46">
        <v>58</v>
      </c>
      <c r="C16" s="37">
        <f>IF(B$14=0,0,B16/B$14)</f>
        <v>0.52727272727272723</v>
      </c>
      <c r="E16" s="63" t="s">
        <v>168</v>
      </c>
      <c r="F16" s="60" t="s">
        <v>169</v>
      </c>
      <c r="G16" s="47">
        <v>5</v>
      </c>
      <c r="H16" s="133">
        <f>IF(B$17=0,0,G16/B$17)</f>
        <v>3.0674846625766871E-2</v>
      </c>
      <c r="I16" s="94">
        <v>1</v>
      </c>
      <c r="K16" s="38">
        <v>14</v>
      </c>
      <c r="L16" s="99">
        <v>240.09999999999997</v>
      </c>
      <c r="N16" s="115" t="s">
        <v>183</v>
      </c>
      <c r="O16" s="125">
        <f>IF(P16=0,0,Q16/P16)</f>
        <v>47.199999999999989</v>
      </c>
      <c r="P16" s="119">
        <v>6</v>
      </c>
      <c r="Q16" s="107">
        <v>283.19999999999993</v>
      </c>
    </row>
    <row r="17" spans="1:17" x14ac:dyDescent="0.4">
      <c r="A17" s="54" t="s">
        <v>10</v>
      </c>
      <c r="B17" s="46">
        <f>B19+B18</f>
        <v>163</v>
      </c>
      <c r="C17" s="37">
        <f>IF(B$3=0,0,B17/B$3)</f>
        <v>0.34533898305084748</v>
      </c>
      <c r="E17" s="63" t="s">
        <v>78</v>
      </c>
      <c r="F17" s="60" t="s">
        <v>33</v>
      </c>
      <c r="G17" s="47">
        <v>3</v>
      </c>
      <c r="H17" s="133">
        <f>IF(B$17=0,0,G17/B$17)</f>
        <v>1.8404907975460124E-2</v>
      </c>
      <c r="I17" s="94">
        <v>1</v>
      </c>
      <c r="K17" s="38">
        <v>15</v>
      </c>
      <c r="L17" s="99">
        <v>269.49999999999994</v>
      </c>
      <c r="N17" s="115" t="s">
        <v>179</v>
      </c>
      <c r="O17" s="125">
        <f>IF(P17=0,0,Q17/P17)</f>
        <v>22.126666666666679</v>
      </c>
      <c r="P17" s="119">
        <v>15</v>
      </c>
      <c r="Q17" s="107">
        <v>331.9000000000002</v>
      </c>
    </row>
    <row r="18" spans="1:17" x14ac:dyDescent="0.4">
      <c r="A18" s="55" t="s">
        <v>12</v>
      </c>
      <c r="B18" s="47">
        <v>65</v>
      </c>
      <c r="C18" s="39">
        <f>IF(B$17=0,0,B18/B$17)</f>
        <v>0.3987730061349693</v>
      </c>
      <c r="E18" s="63" t="s">
        <v>85</v>
      </c>
      <c r="F18" s="60" t="s">
        <v>40</v>
      </c>
      <c r="G18" s="47">
        <v>3</v>
      </c>
      <c r="H18" s="133">
        <f>IF(B$17=0,0,G18/B$17)</f>
        <v>1.8404907975460124E-2</v>
      </c>
      <c r="I18" s="94">
        <v>1</v>
      </c>
      <c r="K18" s="38">
        <v>16</v>
      </c>
      <c r="L18" s="99">
        <v>323.69999999999993</v>
      </c>
      <c r="N18" s="115" t="s">
        <v>180</v>
      </c>
      <c r="O18" s="125">
        <f>IF(P18=0,0,Q18/P18)</f>
        <v>19.468181818181819</v>
      </c>
      <c r="P18" s="119">
        <v>22</v>
      </c>
      <c r="Q18" s="107">
        <v>428.3</v>
      </c>
    </row>
    <row r="19" spans="1:17" x14ac:dyDescent="0.4">
      <c r="A19" s="55" t="s">
        <v>11</v>
      </c>
      <c r="B19" s="47">
        <v>98</v>
      </c>
      <c r="C19" s="39">
        <f>IF(B$17=0,0,B19/B$17)</f>
        <v>0.60122699386503065</v>
      </c>
      <c r="E19" s="63" t="s">
        <v>93</v>
      </c>
      <c r="F19" s="60" t="s">
        <v>48</v>
      </c>
      <c r="G19" s="47">
        <v>2</v>
      </c>
      <c r="H19" s="133">
        <f>IF(B$17=0,0,G19/B$17)</f>
        <v>1.2269938650306749E-2</v>
      </c>
      <c r="I19" s="94">
        <v>2</v>
      </c>
      <c r="K19" s="38">
        <v>17</v>
      </c>
      <c r="L19" s="99">
        <v>359.09999999999991</v>
      </c>
      <c r="N19" s="115" t="s">
        <v>128</v>
      </c>
      <c r="O19" s="125">
        <f>IF(P19=0,0,Q19/P19)</f>
        <v>10.815384615384614</v>
      </c>
      <c r="P19" s="119">
        <v>39</v>
      </c>
      <c r="Q19" s="107">
        <v>421.79999999999995</v>
      </c>
    </row>
    <row r="20" spans="1:17" x14ac:dyDescent="0.4">
      <c r="A20" s="55" t="s">
        <v>13</v>
      </c>
      <c r="B20" s="47">
        <v>67</v>
      </c>
      <c r="C20" s="39">
        <f>IF(B$3=0,0,B20/B$3)</f>
        <v>0.14194915254237289</v>
      </c>
      <c r="E20" s="63" t="s">
        <v>75</v>
      </c>
      <c r="F20" s="60" t="s">
        <v>30</v>
      </c>
      <c r="G20" s="47">
        <v>1</v>
      </c>
      <c r="H20" s="133">
        <f>IF(B$17=0,0,G20/B$17)</f>
        <v>6.1349693251533744E-3</v>
      </c>
      <c r="I20" s="94">
        <v>3</v>
      </c>
      <c r="K20" s="38">
        <v>18</v>
      </c>
      <c r="L20" s="99">
        <v>352.39999999999992</v>
      </c>
      <c r="N20" s="115" t="s">
        <v>178</v>
      </c>
      <c r="O20" s="125">
        <f>IF(P20=0,0,Q20/P20)</f>
        <v>7.8636363636363633</v>
      </c>
      <c r="P20" s="119">
        <v>11</v>
      </c>
      <c r="Q20" s="107">
        <v>86.5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82</v>
      </c>
      <c r="F21" s="60" t="s">
        <v>37</v>
      </c>
      <c r="G21" s="47">
        <v>1</v>
      </c>
      <c r="H21" s="133">
        <f>IF(B$17=0,0,G21/B$17)</f>
        <v>6.1349693251533744E-3</v>
      </c>
      <c r="I21" s="94">
        <v>8</v>
      </c>
      <c r="K21" s="38">
        <v>19</v>
      </c>
      <c r="L21" s="99">
        <v>383.19999999999993</v>
      </c>
      <c r="N21" s="115" t="s">
        <v>167</v>
      </c>
      <c r="O21" s="125">
        <f>IF(P21=0,0,Q21/P21)</f>
        <v>4.5949999999999989</v>
      </c>
      <c r="P21" s="119">
        <v>20</v>
      </c>
      <c r="Q21" s="107">
        <v>91.899999999999977</v>
      </c>
    </row>
    <row r="22" spans="1:17" x14ac:dyDescent="0.4">
      <c r="A22" s="55" t="s">
        <v>171</v>
      </c>
      <c r="B22" s="47">
        <v>27</v>
      </c>
      <c r="C22" s="135">
        <v>0</v>
      </c>
      <c r="E22" s="63" t="s">
        <v>86</v>
      </c>
      <c r="F22" s="60" t="s">
        <v>41</v>
      </c>
      <c r="G22" s="47">
        <v>1</v>
      </c>
      <c r="H22" s="133">
        <f>IF(B$17=0,0,G22/B$17)</f>
        <v>6.1349693251533744E-3</v>
      </c>
      <c r="I22" s="94">
        <v>4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8076.687116564417</v>
      </c>
      <c r="C23" s="41">
        <v>1316500</v>
      </c>
      <c r="E23" s="63" t="s">
        <v>89</v>
      </c>
      <c r="F23" s="60" t="s">
        <v>44</v>
      </c>
      <c r="G23" s="47">
        <v>1</v>
      </c>
      <c r="H23" s="133">
        <f>IF(B$17=0,0,G23/B$17)</f>
        <v>6.1349693251533744E-3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-7052.2388059701489</v>
      </c>
      <c r="C24" s="45">
        <v>-472500</v>
      </c>
      <c r="E24" s="63" t="s">
        <v>91</v>
      </c>
      <c r="F24" s="60" t="s">
        <v>46</v>
      </c>
      <c r="G24" s="47">
        <v>1</v>
      </c>
      <c r="H24" s="133">
        <f>IF(B$17=0,0,G24/B$17)</f>
        <v>6.1349693251533744E-3</v>
      </c>
      <c r="I24" s="94">
        <v>1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4">
        <v>7</v>
      </c>
      <c r="C25" s="145"/>
      <c r="E25" s="63" t="s">
        <v>92</v>
      </c>
      <c r="F25" s="60" t="s">
        <v>47</v>
      </c>
      <c r="G25" s="47">
        <v>1</v>
      </c>
      <c r="H25" s="133">
        <f>IF(B$17=0,0,G25/B$17)</f>
        <v>6.1349693251533744E-3</v>
      </c>
      <c r="I25" s="94">
        <v>7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2">
        <v>86200</v>
      </c>
      <c r="C26" s="143"/>
      <c r="E26" s="63" t="s">
        <v>96</v>
      </c>
      <c r="F26" s="60" t="s">
        <v>51</v>
      </c>
      <c r="G26" s="47">
        <v>1</v>
      </c>
      <c r="H26" s="133">
        <f>IF(B$17=0,0,G26/B$17)</f>
        <v>6.1349693251533744E-3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362.4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375.79999999999995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319.49999999999994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349.39999999999992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325.09999999999991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360.49999999999989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365.39999999999986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398.79999999999984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399.89999999999986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419.29999999999984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424.79999999999984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424.39999999999986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425.69999999999987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465.7999999999999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419.99999999999989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424.59999999999991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427.39999999999992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474.2999999999999</v>
      </c>
    </row>
    <row r="53" spans="5:12" x14ac:dyDescent="0.4">
      <c r="K53" s="38">
        <v>51</v>
      </c>
      <c r="L53" s="99">
        <v>500.7999999999999</v>
      </c>
    </row>
    <row r="54" spans="5:12" x14ac:dyDescent="0.4">
      <c r="K54" s="38">
        <v>52</v>
      </c>
      <c r="L54" s="99">
        <v>534.89999999999986</v>
      </c>
    </row>
    <row r="55" spans="5:12" x14ac:dyDescent="0.4">
      <c r="K55" s="38">
        <v>53</v>
      </c>
      <c r="L55" s="99">
        <v>539.49999999999989</v>
      </c>
    </row>
    <row r="56" spans="5:12" x14ac:dyDescent="0.4">
      <c r="K56" s="38">
        <v>54</v>
      </c>
      <c r="L56" s="99">
        <v>566.59999999999991</v>
      </c>
    </row>
    <row r="57" spans="5:12" x14ac:dyDescent="0.4">
      <c r="K57" s="38">
        <v>55</v>
      </c>
      <c r="L57" s="99">
        <v>584.59999999999991</v>
      </c>
    </row>
    <row r="58" spans="5:12" x14ac:dyDescent="0.4">
      <c r="K58" s="38">
        <v>56</v>
      </c>
      <c r="L58" s="99">
        <v>590.69999999999993</v>
      </c>
    </row>
    <row r="59" spans="5:12" x14ac:dyDescent="0.4">
      <c r="K59" s="38">
        <v>57</v>
      </c>
      <c r="L59" s="99">
        <v>593.09999999999991</v>
      </c>
    </row>
    <row r="60" spans="5:12" x14ac:dyDescent="0.4">
      <c r="K60" s="38">
        <v>58</v>
      </c>
      <c r="L60" s="99">
        <v>597.59999999999991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F0F4D-9DDD-4CAF-9E07-CE040F6AEE7F}">
  <sheetPr codeName="Sheet11"/>
  <dimension ref="A1:Q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51</v>
      </c>
      <c r="C2" s="151"/>
      <c r="E2" s="62" t="s">
        <v>67</v>
      </c>
      <c r="F2" s="59" t="s">
        <v>23</v>
      </c>
      <c r="G2" s="46">
        <v>129</v>
      </c>
      <c r="H2" s="132">
        <f>IF(B$17=0,0,G2/B$17)</f>
        <v>0.90209790209790208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-604</v>
      </c>
      <c r="P2" s="118">
        <v>50</v>
      </c>
      <c r="Q2" s="102">
        <v>-30200</v>
      </c>
    </row>
    <row r="3" spans="1:17" x14ac:dyDescent="0.4">
      <c r="A3" s="55" t="s">
        <v>8</v>
      </c>
      <c r="B3" s="152">
        <v>438</v>
      </c>
      <c r="C3" s="153"/>
      <c r="E3" s="63" t="s">
        <v>73</v>
      </c>
      <c r="F3" s="60" t="s">
        <v>28</v>
      </c>
      <c r="G3" s="47">
        <v>87</v>
      </c>
      <c r="H3" s="133">
        <f>IF(B$17=0,0,G3/B$17)</f>
        <v>0.60839160839160844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1158.3333333333333</v>
      </c>
      <c r="P3" s="119">
        <v>48</v>
      </c>
      <c r="Q3" s="103">
        <v>55600</v>
      </c>
    </row>
    <row r="4" spans="1:17" x14ac:dyDescent="0.4">
      <c r="A4" s="55" t="s">
        <v>6</v>
      </c>
      <c r="B4" s="154">
        <v>269.99999999999983</v>
      </c>
      <c r="C4" s="155"/>
      <c r="E4" s="63" t="s">
        <v>172</v>
      </c>
      <c r="F4" s="60" t="s">
        <v>173</v>
      </c>
      <c r="G4" s="47">
        <v>61</v>
      </c>
      <c r="H4" s="133">
        <f>IF(B$17=0,0,G4/B$17)</f>
        <v>0.42657342657342656</v>
      </c>
      <c r="I4" s="94">
        <v>1</v>
      </c>
      <c r="K4" s="38">
        <v>2</v>
      </c>
      <c r="L4" s="99">
        <v>-34.299999999999997</v>
      </c>
      <c r="N4" s="115" t="s">
        <v>133</v>
      </c>
      <c r="O4" s="122">
        <f t="shared" si="0"/>
        <v>2157.4468085106382</v>
      </c>
      <c r="P4" s="119">
        <v>47</v>
      </c>
      <c r="Q4" s="103">
        <v>101400</v>
      </c>
    </row>
    <row r="5" spans="1:17" x14ac:dyDescent="0.4">
      <c r="A5" s="55" t="s">
        <v>7</v>
      </c>
      <c r="B5" s="156">
        <f>IF(B$2=0,0,B$4/B$2)</f>
        <v>5.2941176470588198</v>
      </c>
      <c r="C5" s="157"/>
      <c r="E5" s="63" t="s">
        <v>65</v>
      </c>
      <c r="F5" s="60" t="s">
        <v>21</v>
      </c>
      <c r="G5" s="47">
        <v>60</v>
      </c>
      <c r="H5" s="133">
        <f>IF(B$17=0,0,G5/B$17)</f>
        <v>0.41958041958041958</v>
      </c>
      <c r="I5" s="94">
        <v>8</v>
      </c>
      <c r="K5" s="38">
        <v>3</v>
      </c>
      <c r="L5" s="99">
        <v>-58.599999999999994</v>
      </c>
      <c r="N5" s="115" t="s">
        <v>134</v>
      </c>
      <c r="O5" s="122">
        <f t="shared" si="0"/>
        <v>3252.2727272727275</v>
      </c>
      <c r="P5" s="119">
        <v>44</v>
      </c>
      <c r="Q5" s="103">
        <v>143100</v>
      </c>
    </row>
    <row r="6" spans="1:17" x14ac:dyDescent="0.4">
      <c r="A6" s="55" t="s">
        <v>1</v>
      </c>
      <c r="B6" s="146">
        <f>IF(B$2=0,0,(B$7*1+B$8*2+B$9*3)/B$2)</f>
        <v>1.8431372549019607</v>
      </c>
      <c r="C6" s="147"/>
      <c r="E6" s="63" t="s">
        <v>69</v>
      </c>
      <c r="F6" s="60" t="s">
        <v>12</v>
      </c>
      <c r="G6" s="47">
        <v>42</v>
      </c>
      <c r="H6" s="133">
        <f>IF(B$17=0,0,G6/B$17)</f>
        <v>0.2937062937062937</v>
      </c>
      <c r="I6" s="94">
        <v>5</v>
      </c>
      <c r="K6" s="38">
        <v>4</v>
      </c>
      <c r="L6" s="99">
        <v>-38.099999999999994</v>
      </c>
      <c r="N6" s="115" t="s">
        <v>135</v>
      </c>
      <c r="O6" s="122">
        <f t="shared" si="0"/>
        <v>-1563.4146341463415</v>
      </c>
      <c r="P6" s="119">
        <v>41</v>
      </c>
      <c r="Q6" s="103">
        <v>-64100</v>
      </c>
    </row>
    <row r="7" spans="1:17" x14ac:dyDescent="0.4">
      <c r="A7" s="55" t="s">
        <v>2</v>
      </c>
      <c r="B7" s="47">
        <v>21</v>
      </c>
      <c r="C7" s="39">
        <f t="shared" ref="C7:C12" si="1">IF(B$2=0,0,B7/B$2)</f>
        <v>0.41176470588235292</v>
      </c>
      <c r="E7" s="63" t="s">
        <v>68</v>
      </c>
      <c r="F7" s="60" t="s">
        <v>24</v>
      </c>
      <c r="G7" s="47">
        <v>39</v>
      </c>
      <c r="H7" s="133">
        <f>IF(B$17=0,0,G7/B$17)</f>
        <v>0.27272727272727271</v>
      </c>
      <c r="I7" s="94">
        <v>8</v>
      </c>
      <c r="K7" s="38">
        <v>5</v>
      </c>
      <c r="L7" s="99">
        <v>-11.299999999999994</v>
      </c>
      <c r="N7" s="116" t="s">
        <v>136</v>
      </c>
      <c r="O7" s="123">
        <f t="shared" si="0"/>
        <v>865.625</v>
      </c>
      <c r="P7" s="120">
        <v>32</v>
      </c>
      <c r="Q7" s="104">
        <v>27700</v>
      </c>
    </row>
    <row r="8" spans="1:17" x14ac:dyDescent="0.4">
      <c r="A8" s="55" t="s">
        <v>3</v>
      </c>
      <c r="B8" s="47">
        <v>17</v>
      </c>
      <c r="C8" s="39">
        <f t="shared" si="1"/>
        <v>0.33333333333333331</v>
      </c>
      <c r="E8" s="63" t="s">
        <v>90</v>
      </c>
      <c r="F8" s="60" t="s">
        <v>45</v>
      </c>
      <c r="G8" s="47">
        <v>19</v>
      </c>
      <c r="H8" s="133">
        <f>IF(B$17=0,0,G8/B$17)</f>
        <v>0.13286713286713286</v>
      </c>
      <c r="I8" s="94">
        <v>5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0.25490196078431371</v>
      </c>
      <c r="E9" s="63" t="s">
        <v>66</v>
      </c>
      <c r="F9" s="60" t="s">
        <v>22</v>
      </c>
      <c r="G9" s="47">
        <v>13</v>
      </c>
      <c r="H9" s="133">
        <f>IF(B$17=0,0,G9/B$17)</f>
        <v>9.0909090909090912E-2</v>
      </c>
      <c r="I9" s="94">
        <v>7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7</v>
      </c>
      <c r="C10" s="40">
        <f t="shared" si="1"/>
        <v>0.13725490196078433</v>
      </c>
      <c r="E10" s="63" t="s">
        <v>72</v>
      </c>
      <c r="F10" s="60" t="s">
        <v>27</v>
      </c>
      <c r="G10" s="47">
        <v>13</v>
      </c>
      <c r="H10" s="133">
        <f>IF(B$17=0,0,G10/B$17)</f>
        <v>9.0909090909090912E-2</v>
      </c>
      <c r="I10" s="94">
        <v>4</v>
      </c>
      <c r="K10" s="38">
        <v>8</v>
      </c>
      <c r="L10" s="99">
        <v>-56.79999999999999</v>
      </c>
      <c r="N10" s="114" t="s">
        <v>163</v>
      </c>
      <c r="O10" s="124">
        <f>IF(P10=0,0,Q10/P10)</f>
        <v>8.8133333333333344</v>
      </c>
      <c r="P10" s="118">
        <v>15</v>
      </c>
      <c r="Q10" s="106">
        <v>132.20000000000002</v>
      </c>
    </row>
    <row r="11" spans="1:17" x14ac:dyDescent="0.4">
      <c r="A11" s="56" t="s">
        <v>139</v>
      </c>
      <c r="B11" s="48">
        <v>8</v>
      </c>
      <c r="C11" s="40">
        <f t="shared" si="1"/>
        <v>0.15686274509803921</v>
      </c>
      <c r="E11" s="63" t="s">
        <v>70</v>
      </c>
      <c r="F11" s="60" t="s">
        <v>25</v>
      </c>
      <c r="G11" s="47">
        <v>12</v>
      </c>
      <c r="H11" s="133">
        <f>IF(B$17=0,0,G11/B$17)</f>
        <v>8.3916083916083919E-2</v>
      </c>
      <c r="I11" s="94">
        <v>8</v>
      </c>
      <c r="K11" s="38">
        <v>9</v>
      </c>
      <c r="L11" s="99">
        <v>-83.699999999999989</v>
      </c>
      <c r="N11" s="115" t="s">
        <v>164</v>
      </c>
      <c r="O11" s="125">
        <f>IF(P11=0,0,Q11/P11)</f>
        <v>6.4230769230769234</v>
      </c>
      <c r="P11" s="119">
        <v>13</v>
      </c>
      <c r="Q11" s="107">
        <v>83.5</v>
      </c>
    </row>
    <row r="12" spans="1:17" x14ac:dyDescent="0.4">
      <c r="A12" s="57" t="s">
        <v>159</v>
      </c>
      <c r="B12" s="49">
        <v>12</v>
      </c>
      <c r="C12" s="42">
        <f t="shared" si="1"/>
        <v>0.23529411764705882</v>
      </c>
      <c r="E12" s="63" t="s">
        <v>71</v>
      </c>
      <c r="F12" s="60" t="s">
        <v>26</v>
      </c>
      <c r="G12" s="47">
        <v>9</v>
      </c>
      <c r="H12" s="133">
        <f>IF(B$17=0,0,G12/B$17)</f>
        <v>6.2937062937062943E-2</v>
      </c>
      <c r="I12" s="94">
        <v>7</v>
      </c>
      <c r="K12" s="38">
        <v>10</v>
      </c>
      <c r="L12" s="99">
        <v>-78.399999999999991</v>
      </c>
      <c r="N12" s="116" t="s">
        <v>165</v>
      </c>
      <c r="O12" s="126">
        <f>IF(P12=0,0,Q12/P12)</f>
        <v>2.3608695652173908</v>
      </c>
      <c r="P12" s="120">
        <v>23</v>
      </c>
      <c r="Q12" s="108">
        <v>54.29999999999999</v>
      </c>
    </row>
    <row r="13" spans="1:17" x14ac:dyDescent="0.4">
      <c r="A13" s="58" t="s">
        <v>122</v>
      </c>
      <c r="B13" s="50">
        <v>104</v>
      </c>
      <c r="C13" s="44">
        <f>IF(B$3=0,0,B13/B$3)</f>
        <v>0.23744292237442921</v>
      </c>
      <c r="E13" s="63" t="s">
        <v>87</v>
      </c>
      <c r="F13" s="60" t="s">
        <v>42</v>
      </c>
      <c r="G13" s="47">
        <v>9</v>
      </c>
      <c r="H13" s="133">
        <f>IF(B$17=0,0,G13/B$17)</f>
        <v>6.2937062937062943E-2</v>
      </c>
      <c r="I13" s="94">
        <v>2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142</v>
      </c>
      <c r="C14" s="39">
        <f>IF(B$3=0,0,B14/B$3)</f>
        <v>0.32420091324200911</v>
      </c>
      <c r="E14" s="63" t="s">
        <v>84</v>
      </c>
      <c r="F14" s="60" t="s">
        <v>39</v>
      </c>
      <c r="G14" s="47">
        <v>6</v>
      </c>
      <c r="H14" s="133">
        <f>IF(B$17=0,0,G14/B$17)</f>
        <v>4.195804195804196E-2</v>
      </c>
      <c r="I14" s="94">
        <v>9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59</v>
      </c>
      <c r="C15" s="37">
        <f>IF(B$13=0,0,B15/B$13)</f>
        <v>0.56730769230769229</v>
      </c>
      <c r="E15" s="63" t="s">
        <v>79</v>
      </c>
      <c r="F15" s="60" t="s">
        <v>34</v>
      </c>
      <c r="G15" s="47">
        <v>5</v>
      </c>
      <c r="H15" s="133">
        <f>IF(B$17=0,0,G15/B$17)</f>
        <v>3.4965034965034968E-2</v>
      </c>
      <c r="I15" s="94">
        <v>1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57</v>
      </c>
      <c r="C16" s="37">
        <f>IF(B$14=0,0,B16/B$14)</f>
        <v>0.40140845070422537</v>
      </c>
      <c r="E16" s="63" t="s">
        <v>92</v>
      </c>
      <c r="F16" s="60" t="s">
        <v>47</v>
      </c>
      <c r="G16" s="47">
        <v>5</v>
      </c>
      <c r="H16" s="133">
        <f>IF(B$17=0,0,G16/B$17)</f>
        <v>3.4965034965034968E-2</v>
      </c>
      <c r="I16" s="94">
        <v>1</v>
      </c>
      <c r="K16" s="38">
        <v>14</v>
      </c>
      <c r="L16" s="99">
        <v>-138.4</v>
      </c>
      <c r="N16" s="115" t="s">
        <v>183</v>
      </c>
      <c r="O16" s="125">
        <f>IF(P16=0,0,Q16/P16)</f>
        <v>49.339999999999989</v>
      </c>
      <c r="P16" s="119">
        <v>5</v>
      </c>
      <c r="Q16" s="107">
        <v>246.69999999999996</v>
      </c>
    </row>
    <row r="17" spans="1:17" x14ac:dyDescent="0.4">
      <c r="A17" s="54" t="s">
        <v>10</v>
      </c>
      <c r="B17" s="46">
        <f>B19+B18</f>
        <v>143</v>
      </c>
      <c r="C17" s="37">
        <f>IF(B$3=0,0,B17/B$3)</f>
        <v>0.32648401826484019</v>
      </c>
      <c r="E17" s="63" t="s">
        <v>80</v>
      </c>
      <c r="F17" s="60" t="s">
        <v>35</v>
      </c>
      <c r="G17" s="47">
        <v>4</v>
      </c>
      <c r="H17" s="133">
        <f>IF(B$17=0,0,G17/B$17)</f>
        <v>2.7972027972027972E-2</v>
      </c>
      <c r="I17" s="94">
        <v>3</v>
      </c>
      <c r="K17" s="38">
        <v>15</v>
      </c>
      <c r="L17" s="99">
        <v>-144.30000000000001</v>
      </c>
      <c r="N17" s="115" t="s">
        <v>179</v>
      </c>
      <c r="O17" s="125">
        <f>IF(P17=0,0,Q17/P17)</f>
        <v>26.150000000000006</v>
      </c>
      <c r="P17" s="119">
        <v>14</v>
      </c>
      <c r="Q17" s="107">
        <v>366.10000000000008</v>
      </c>
    </row>
    <row r="18" spans="1:17" x14ac:dyDescent="0.4">
      <c r="A18" s="55" t="s">
        <v>12</v>
      </c>
      <c r="B18" s="47">
        <v>55</v>
      </c>
      <c r="C18" s="39">
        <f>IF(B$17=0,0,B18/B$17)</f>
        <v>0.38461538461538464</v>
      </c>
      <c r="E18" s="63" t="s">
        <v>82</v>
      </c>
      <c r="F18" s="60" t="s">
        <v>37</v>
      </c>
      <c r="G18" s="47">
        <v>2</v>
      </c>
      <c r="H18" s="133">
        <f>IF(B$17=0,0,G18/B$17)</f>
        <v>1.3986013986013986E-2</v>
      </c>
      <c r="I18" s="94">
        <v>7</v>
      </c>
      <c r="K18" s="38">
        <v>16</v>
      </c>
      <c r="L18" s="99">
        <v>-187.3</v>
      </c>
      <c r="N18" s="115" t="s">
        <v>178</v>
      </c>
      <c r="O18" s="125">
        <f>IF(P18=0,0,Q18/P18)</f>
        <v>24.775000000000002</v>
      </c>
      <c r="P18" s="119">
        <v>12</v>
      </c>
      <c r="Q18" s="107">
        <v>297.3</v>
      </c>
    </row>
    <row r="19" spans="1:17" x14ac:dyDescent="0.4">
      <c r="A19" s="55" t="s">
        <v>11</v>
      </c>
      <c r="B19" s="47">
        <v>88</v>
      </c>
      <c r="C19" s="39">
        <f>IF(B$17=0,0,B19/B$17)</f>
        <v>0.61538461538461542</v>
      </c>
      <c r="E19" s="63" t="s">
        <v>75</v>
      </c>
      <c r="F19" s="60" t="s">
        <v>30</v>
      </c>
      <c r="G19" s="47">
        <v>1</v>
      </c>
      <c r="H19" s="133">
        <f>IF(B$17=0,0,G19/B$17)</f>
        <v>6.993006993006993E-3</v>
      </c>
      <c r="I19" s="94">
        <v>2</v>
      </c>
      <c r="K19" s="38">
        <v>17</v>
      </c>
      <c r="L19" s="99">
        <v>-179.70000000000002</v>
      </c>
      <c r="N19" s="115" t="s">
        <v>180</v>
      </c>
      <c r="O19" s="125">
        <f>IF(P19=0,0,Q19/P19)</f>
        <v>9.1166666666666671</v>
      </c>
      <c r="P19" s="119">
        <v>18</v>
      </c>
      <c r="Q19" s="107">
        <v>164.10000000000002</v>
      </c>
    </row>
    <row r="20" spans="1:17" x14ac:dyDescent="0.4">
      <c r="A20" s="55" t="s">
        <v>13</v>
      </c>
      <c r="B20" s="47">
        <v>88</v>
      </c>
      <c r="C20" s="39">
        <f>IF(B$3=0,0,B20/B$3)</f>
        <v>0.20091324200913241</v>
      </c>
      <c r="E20" s="63" t="s">
        <v>168</v>
      </c>
      <c r="F20" s="60" t="s">
        <v>169</v>
      </c>
      <c r="G20" s="47">
        <v>1</v>
      </c>
      <c r="H20" s="133">
        <f>IF(B$17=0,0,G20/B$17)</f>
        <v>6.993006993006993E-3</v>
      </c>
      <c r="I20" s="94">
        <v>5</v>
      </c>
      <c r="K20" s="38">
        <v>18</v>
      </c>
      <c r="L20" s="99">
        <v>-112.90000000000002</v>
      </c>
      <c r="N20" s="115" t="s">
        <v>167</v>
      </c>
      <c r="O20" s="125">
        <f>IF(P20=0,0,Q20/P20)</f>
        <v>2.6909090909090905</v>
      </c>
      <c r="P20" s="119">
        <v>11</v>
      </c>
      <c r="Q20" s="107">
        <v>29.599999999999994</v>
      </c>
    </row>
    <row r="21" spans="1:17" x14ac:dyDescent="0.4">
      <c r="A21" s="55" t="s">
        <v>170</v>
      </c>
      <c r="B21" s="47">
        <v>7</v>
      </c>
      <c r="C21" s="135">
        <v>3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-162.40000000000003</v>
      </c>
      <c r="N21" s="115" t="s">
        <v>127</v>
      </c>
      <c r="O21" s="125">
        <f>IF(P21=0,0,Q21/P21)</f>
        <v>-10.815384615384612</v>
      </c>
      <c r="P21" s="119">
        <v>39</v>
      </c>
      <c r="Q21" s="107">
        <v>-421.7999999999999</v>
      </c>
    </row>
    <row r="22" spans="1:17" x14ac:dyDescent="0.4">
      <c r="A22" s="55" t="s">
        <v>171</v>
      </c>
      <c r="B22" s="47">
        <v>23</v>
      </c>
      <c r="C22" s="135">
        <v>5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-96.000000000000028</v>
      </c>
      <c r="N22" s="115" t="s">
        <v>182</v>
      </c>
      <c r="O22" s="125">
        <f>IF(P22=0,0,Q22/P22)</f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8604.1958041958042</v>
      </c>
      <c r="C23" s="41">
        <v>1230400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-7609.090909090909</v>
      </c>
      <c r="C24" s="45">
        <v>-669600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-38.400000000000034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-37.600000000000037</v>
      </c>
    </row>
    <row r="26" spans="1:17" x14ac:dyDescent="0.4">
      <c r="A26" s="58" t="s">
        <v>151</v>
      </c>
      <c r="B26" s="142">
        <v>91800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-37.600000000000037</v>
      </c>
    </row>
    <row r="27" spans="1:17" x14ac:dyDescent="0.4">
      <c r="A27" s="57" t="s">
        <v>142</v>
      </c>
      <c r="B27" s="65">
        <v>1</v>
      </c>
      <c r="C27" s="42">
        <f>IF(B$3=0,0,B27/B$3)</f>
        <v>2.2831050228310501E-3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-10.700000000000038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-2.6000000000000387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-34.100000000000037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40.799999999999962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63.499999999999957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94.299999999999955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153.39999999999995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158.79999999999993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109.59999999999992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131.59999999999991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183.6999999999999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211.89999999999989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232.7999999999999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214.39999999999989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215.39999999999989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259.19999999999987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272.09999999999985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222.79999999999984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248.89999999999984</v>
      </c>
    </row>
    <row r="53" spans="5:12" x14ac:dyDescent="0.4">
      <c r="K53" s="38">
        <v>51</v>
      </c>
      <c r="L53" s="99">
        <v>269.99999999999983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AD3CF-BD46-4F6A-9B7A-934BF49722A8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33</v>
      </c>
      <c r="C2" s="151"/>
      <c r="E2" s="62" t="s">
        <v>67</v>
      </c>
      <c r="F2" s="59" t="s">
        <v>23</v>
      </c>
      <c r="G2" s="46">
        <v>55</v>
      </c>
      <c r="H2" s="132">
        <f>IF(B$17=0,0,G2/B$17)</f>
        <v>0.67901234567901236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109.375</v>
      </c>
      <c r="P2" s="118">
        <v>32</v>
      </c>
      <c r="Q2" s="102">
        <v>3500</v>
      </c>
    </row>
    <row r="3" spans="1:17" x14ac:dyDescent="0.4">
      <c r="A3" s="55" t="s">
        <v>8</v>
      </c>
      <c r="B3" s="152">
        <v>284</v>
      </c>
      <c r="C3" s="153"/>
      <c r="E3" s="63" t="s">
        <v>65</v>
      </c>
      <c r="F3" s="60" t="s">
        <v>21</v>
      </c>
      <c r="G3" s="47">
        <v>47</v>
      </c>
      <c r="H3" s="133">
        <f>IF(B$17=0,0,G3/B$17)</f>
        <v>0.58024691358024694</v>
      </c>
      <c r="I3" s="94">
        <v>2</v>
      </c>
      <c r="K3" s="38">
        <v>1</v>
      </c>
      <c r="L3" s="99">
        <v>-37.799999999999997</v>
      </c>
      <c r="N3" s="115" t="s">
        <v>132</v>
      </c>
      <c r="O3" s="122">
        <f t="shared" si="0"/>
        <v>-1593.75</v>
      </c>
      <c r="P3" s="119">
        <v>32</v>
      </c>
      <c r="Q3" s="103">
        <v>-51000</v>
      </c>
    </row>
    <row r="4" spans="1:17" x14ac:dyDescent="0.4">
      <c r="A4" s="55" t="s">
        <v>6</v>
      </c>
      <c r="B4" s="154">
        <v>-261.3</v>
      </c>
      <c r="C4" s="155"/>
      <c r="E4" s="63" t="s">
        <v>73</v>
      </c>
      <c r="F4" s="60" t="s">
        <v>28</v>
      </c>
      <c r="G4" s="47">
        <v>43</v>
      </c>
      <c r="H4" s="133">
        <f>IF(B$17=0,0,G4/B$17)</f>
        <v>0.53086419753086422</v>
      </c>
      <c r="I4" s="94">
        <v>5</v>
      </c>
      <c r="K4" s="38">
        <v>2</v>
      </c>
      <c r="L4" s="99">
        <v>-30.099999999999998</v>
      </c>
      <c r="N4" s="115" t="s">
        <v>133</v>
      </c>
      <c r="O4" s="122">
        <f t="shared" si="0"/>
        <v>1719.3548387096773</v>
      </c>
      <c r="P4" s="119">
        <v>31</v>
      </c>
      <c r="Q4" s="103">
        <v>53300</v>
      </c>
    </row>
    <row r="5" spans="1:17" x14ac:dyDescent="0.4">
      <c r="A5" s="55" t="s">
        <v>7</v>
      </c>
      <c r="B5" s="156">
        <f>IF(B$2=0,0,B$4/B$2)</f>
        <v>-7.9181818181818189</v>
      </c>
      <c r="C5" s="157"/>
      <c r="E5" s="63" t="s">
        <v>172</v>
      </c>
      <c r="F5" s="60" t="s">
        <v>173</v>
      </c>
      <c r="G5" s="47">
        <v>27</v>
      </c>
      <c r="H5" s="133">
        <f>IF(B$17=0,0,G5/B$17)</f>
        <v>0.33333333333333331</v>
      </c>
      <c r="I5" s="94">
        <v>8</v>
      </c>
      <c r="K5" s="38">
        <v>3</v>
      </c>
      <c r="L5" s="99">
        <v>-17.599999999999998</v>
      </c>
      <c r="N5" s="115" t="s">
        <v>134</v>
      </c>
      <c r="O5" s="122">
        <f t="shared" si="0"/>
        <v>-1576.6666666666667</v>
      </c>
      <c r="P5" s="119">
        <v>30</v>
      </c>
      <c r="Q5" s="103">
        <v>-47300</v>
      </c>
    </row>
    <row r="6" spans="1:17" x14ac:dyDescent="0.4">
      <c r="A6" s="55" t="s">
        <v>1</v>
      </c>
      <c r="B6" s="146">
        <f>IF(B$2=0,0,(B$7*1+B$8*2+B$9*3)/B$2)</f>
        <v>2.2727272727272729</v>
      </c>
      <c r="C6" s="147"/>
      <c r="E6" s="63" t="s">
        <v>68</v>
      </c>
      <c r="F6" s="60" t="s">
        <v>24</v>
      </c>
      <c r="G6" s="47">
        <v>25</v>
      </c>
      <c r="H6" s="133">
        <f>IF(B$17=0,0,G6/B$17)</f>
        <v>0.30864197530864196</v>
      </c>
      <c r="I6" s="94">
        <v>4</v>
      </c>
      <c r="K6" s="38">
        <v>4</v>
      </c>
      <c r="L6" s="99">
        <v>-54.899999999999991</v>
      </c>
      <c r="N6" s="115" t="s">
        <v>135</v>
      </c>
      <c r="O6" s="122">
        <f t="shared" si="0"/>
        <v>-3596.5517241379312</v>
      </c>
      <c r="P6" s="119">
        <v>29</v>
      </c>
      <c r="Q6" s="103">
        <v>-104300</v>
      </c>
    </row>
    <row r="7" spans="1:17" x14ac:dyDescent="0.4">
      <c r="A7" s="55" t="s">
        <v>2</v>
      </c>
      <c r="B7" s="47">
        <v>6</v>
      </c>
      <c r="C7" s="39">
        <f t="shared" ref="C7:C12" si="1">IF(B$2=0,0,B7/B$2)</f>
        <v>0.18181818181818182</v>
      </c>
      <c r="E7" s="63" t="s">
        <v>69</v>
      </c>
      <c r="F7" s="60" t="s">
        <v>12</v>
      </c>
      <c r="G7" s="47">
        <v>21</v>
      </c>
      <c r="H7" s="133">
        <f>IF(B$17=0,0,G7/B$17)</f>
        <v>0.25925925925925924</v>
      </c>
      <c r="I7" s="94">
        <v>8</v>
      </c>
      <c r="K7" s="38">
        <v>5</v>
      </c>
      <c r="L7" s="99">
        <v>-33.699999999999989</v>
      </c>
      <c r="N7" s="116" t="s">
        <v>136</v>
      </c>
      <c r="O7" s="123">
        <f t="shared" si="0"/>
        <v>-2025.9259259259259</v>
      </c>
      <c r="P7" s="120">
        <v>27</v>
      </c>
      <c r="Q7" s="104">
        <v>-54700</v>
      </c>
    </row>
    <row r="8" spans="1:17" x14ac:dyDescent="0.4">
      <c r="A8" s="55" t="s">
        <v>3</v>
      </c>
      <c r="B8" s="47">
        <v>12</v>
      </c>
      <c r="C8" s="39">
        <f t="shared" si="1"/>
        <v>0.36363636363636365</v>
      </c>
      <c r="E8" s="63" t="s">
        <v>70</v>
      </c>
      <c r="F8" s="60" t="s">
        <v>25</v>
      </c>
      <c r="G8" s="47">
        <v>11</v>
      </c>
      <c r="H8" s="133">
        <f>IF(B$17=0,0,G8/B$17)</f>
        <v>0.13580246913580246</v>
      </c>
      <c r="I8" s="94">
        <v>4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si="1"/>
        <v>0.45454545454545453</v>
      </c>
      <c r="E9" s="63" t="s">
        <v>71</v>
      </c>
      <c r="F9" s="60" t="s">
        <v>26</v>
      </c>
      <c r="G9" s="47">
        <v>10</v>
      </c>
      <c r="H9" s="133">
        <f>IF(B$17=0,0,G9/B$17)</f>
        <v>0.12345679012345678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6.0606060606060608E-2</v>
      </c>
      <c r="E10" s="63" t="s">
        <v>66</v>
      </c>
      <c r="F10" s="60" t="s">
        <v>22</v>
      </c>
      <c r="G10" s="47">
        <v>9</v>
      </c>
      <c r="H10" s="133">
        <f>IF(B$17=0,0,G10/B$17)</f>
        <v>0.1111111111111111</v>
      </c>
      <c r="I10" s="94">
        <v>3</v>
      </c>
      <c r="K10" s="38">
        <v>8</v>
      </c>
      <c r="L10" s="99">
        <v>-62.999999999999993</v>
      </c>
      <c r="N10" s="114" t="s">
        <v>163</v>
      </c>
      <c r="O10" s="124">
        <f>IF(P10=0,0,Q10/P10)</f>
        <v>2.899999999999999</v>
      </c>
      <c r="P10" s="118">
        <v>13</v>
      </c>
      <c r="Q10" s="106">
        <v>37.699999999999989</v>
      </c>
    </row>
    <row r="11" spans="1:17" x14ac:dyDescent="0.4">
      <c r="A11" s="56" t="s">
        <v>139</v>
      </c>
      <c r="B11" s="48">
        <v>2</v>
      </c>
      <c r="C11" s="40">
        <f t="shared" si="1"/>
        <v>6.0606060606060608E-2</v>
      </c>
      <c r="E11" s="63" t="s">
        <v>90</v>
      </c>
      <c r="F11" s="60" t="s">
        <v>45</v>
      </c>
      <c r="G11" s="47">
        <v>8</v>
      </c>
      <c r="H11" s="133">
        <f>IF(B$17=0,0,G11/B$17)</f>
        <v>9.8765432098765427E-2</v>
      </c>
      <c r="I11" s="94">
        <v>7</v>
      </c>
      <c r="K11" s="38">
        <v>9</v>
      </c>
      <c r="L11" s="99">
        <v>-74.199999999999989</v>
      </c>
      <c r="N11" s="115" t="s">
        <v>164</v>
      </c>
      <c r="O11" s="125">
        <f>IF(P11=0,0,Q11/P11)</f>
        <v>-11.68</v>
      </c>
      <c r="P11" s="119">
        <v>10</v>
      </c>
      <c r="Q11" s="107">
        <v>-116.8</v>
      </c>
    </row>
    <row r="12" spans="1:17" x14ac:dyDescent="0.4">
      <c r="A12" s="57" t="s">
        <v>159</v>
      </c>
      <c r="B12" s="49">
        <v>2</v>
      </c>
      <c r="C12" s="42">
        <f t="shared" si="1"/>
        <v>6.0606060606060608E-2</v>
      </c>
      <c r="E12" s="63" t="s">
        <v>84</v>
      </c>
      <c r="F12" s="60" t="s">
        <v>39</v>
      </c>
      <c r="G12" s="47">
        <v>7</v>
      </c>
      <c r="H12" s="133">
        <f>IF(B$17=0,0,G12/B$17)</f>
        <v>8.6419753086419748E-2</v>
      </c>
      <c r="I12" s="94">
        <v>3</v>
      </c>
      <c r="K12" s="38">
        <v>10</v>
      </c>
      <c r="L12" s="99">
        <v>-117.19999999999999</v>
      </c>
      <c r="N12" s="116" t="s">
        <v>165</v>
      </c>
      <c r="O12" s="126">
        <f>IF(P12=0,0,Q12/P12)</f>
        <v>-18.22</v>
      </c>
      <c r="P12" s="120">
        <v>10</v>
      </c>
      <c r="Q12" s="108">
        <v>-182.2</v>
      </c>
    </row>
    <row r="13" spans="1:17" x14ac:dyDescent="0.4">
      <c r="A13" s="58" t="s">
        <v>122</v>
      </c>
      <c r="B13" s="50">
        <v>81</v>
      </c>
      <c r="C13" s="44">
        <f>IF(B$3=0,0,B13/B$3)</f>
        <v>0.28521126760563381</v>
      </c>
      <c r="E13" s="63" t="s">
        <v>72</v>
      </c>
      <c r="F13" s="60" t="s">
        <v>27</v>
      </c>
      <c r="G13" s="47">
        <v>5</v>
      </c>
      <c r="H13" s="133">
        <f>IF(B$17=0,0,G13/B$17)</f>
        <v>6.1728395061728392E-2</v>
      </c>
      <c r="I13" s="94">
        <v>8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50</v>
      </c>
      <c r="C14" s="39">
        <f>IF(B$3=0,0,B14/B$3)</f>
        <v>0.176056338028169</v>
      </c>
      <c r="E14" s="63" t="s">
        <v>87</v>
      </c>
      <c r="F14" s="60" t="s">
        <v>42</v>
      </c>
      <c r="G14" s="47">
        <v>3</v>
      </c>
      <c r="H14" s="133">
        <f>IF(B$17=0,0,G14/B$17)</f>
        <v>3.7037037037037035E-2</v>
      </c>
      <c r="I14" s="94">
        <v>7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47</v>
      </c>
      <c r="C15" s="37">
        <f>IF(B$13=0,0,B15/B$13)</f>
        <v>0.58024691358024694</v>
      </c>
      <c r="E15" s="63" t="s">
        <v>79</v>
      </c>
      <c r="F15" s="60" t="s">
        <v>34</v>
      </c>
      <c r="G15" s="47">
        <v>2</v>
      </c>
      <c r="H15" s="133">
        <f>IF(B$17=0,0,G15/B$17)</f>
        <v>2.4691358024691357E-2</v>
      </c>
      <c r="I15" s="94">
        <v>5</v>
      </c>
      <c r="K15" s="38">
        <v>13</v>
      </c>
      <c r="L15" s="99">
        <v>-207.3</v>
      </c>
      <c r="N15" s="114" t="s">
        <v>183</v>
      </c>
      <c r="O15" s="124">
        <f>IF(P15=0,0,Q15/P15)</f>
        <v>25.799999999999997</v>
      </c>
      <c r="P15" s="118">
        <v>1</v>
      </c>
      <c r="Q15" s="106">
        <v>25.799999999999997</v>
      </c>
    </row>
    <row r="16" spans="1:17" x14ac:dyDescent="0.4">
      <c r="A16" s="54" t="s">
        <v>125</v>
      </c>
      <c r="B16" s="46">
        <v>22</v>
      </c>
      <c r="C16" s="37">
        <f>IF(B$14=0,0,B16/B$14)</f>
        <v>0.44</v>
      </c>
      <c r="E16" s="63" t="s">
        <v>82</v>
      </c>
      <c r="F16" s="60" t="s">
        <v>37</v>
      </c>
      <c r="G16" s="47">
        <v>2</v>
      </c>
      <c r="H16" s="133">
        <f>IF(B$17=0,0,G16/B$17)</f>
        <v>2.4691358024691357E-2</v>
      </c>
      <c r="I16" s="94">
        <v>5</v>
      </c>
      <c r="K16" s="38">
        <v>14</v>
      </c>
      <c r="L16" s="99">
        <v>-204.8</v>
      </c>
      <c r="N16" s="115" t="s">
        <v>167</v>
      </c>
      <c r="O16" s="125">
        <f>IF(P16=0,0,Q16/P16)</f>
        <v>18.45</v>
      </c>
      <c r="P16" s="119">
        <v>10</v>
      </c>
      <c r="Q16" s="107">
        <v>184.5</v>
      </c>
    </row>
    <row r="17" spans="1:17" x14ac:dyDescent="0.4">
      <c r="A17" s="54" t="s">
        <v>10</v>
      </c>
      <c r="B17" s="46">
        <f>B19+B18</f>
        <v>81</v>
      </c>
      <c r="C17" s="37">
        <f>IF(B$3=0,0,B17/B$3)</f>
        <v>0.28521126760563381</v>
      </c>
      <c r="E17" s="63" t="s">
        <v>76</v>
      </c>
      <c r="F17" s="60" t="s">
        <v>31</v>
      </c>
      <c r="G17" s="47">
        <v>1</v>
      </c>
      <c r="H17" s="133">
        <f>IF(B$17=0,0,G17/B$17)</f>
        <v>1.2345679012345678E-2</v>
      </c>
      <c r="I17" s="94">
        <v>3</v>
      </c>
      <c r="K17" s="38">
        <v>15</v>
      </c>
      <c r="L17" s="99">
        <v>-221.5</v>
      </c>
      <c r="N17" s="115" t="s">
        <v>128</v>
      </c>
      <c r="O17" s="125">
        <f>IF(P17=0,0,Q17/P17)</f>
        <v>-9.1166666666666671</v>
      </c>
      <c r="P17" s="119">
        <v>18</v>
      </c>
      <c r="Q17" s="107">
        <v>-164.10000000000002</v>
      </c>
    </row>
    <row r="18" spans="1:17" x14ac:dyDescent="0.4">
      <c r="A18" s="55" t="s">
        <v>12</v>
      </c>
      <c r="B18" s="47">
        <v>32</v>
      </c>
      <c r="C18" s="39">
        <f>IF(B$17=0,0,B18/B$17)</f>
        <v>0.39506172839506171</v>
      </c>
      <c r="E18" s="63" t="s">
        <v>80</v>
      </c>
      <c r="F18" s="60" t="s">
        <v>35</v>
      </c>
      <c r="G18" s="47">
        <v>1</v>
      </c>
      <c r="H18" s="133">
        <f>IF(B$17=0,0,G18/B$17)</f>
        <v>1.2345679012345678E-2</v>
      </c>
      <c r="I18" s="94">
        <v>5</v>
      </c>
      <c r="K18" s="38">
        <v>16</v>
      </c>
      <c r="L18" s="99">
        <v>-224.3</v>
      </c>
      <c r="N18" s="115" t="s">
        <v>182</v>
      </c>
      <c r="O18" s="125">
        <f>IF(P18=0,0,Q18/P18)</f>
        <v>-11.459999999999997</v>
      </c>
      <c r="P18" s="119">
        <v>5</v>
      </c>
      <c r="Q18" s="107">
        <v>-57.299999999999983</v>
      </c>
    </row>
    <row r="19" spans="1:17" x14ac:dyDescent="0.4">
      <c r="A19" s="55" t="s">
        <v>11</v>
      </c>
      <c r="B19" s="47">
        <v>49</v>
      </c>
      <c r="C19" s="39">
        <f>IF(B$17=0,0,B19/B$17)</f>
        <v>0.60493827160493829</v>
      </c>
      <c r="E19" s="63" t="s">
        <v>92</v>
      </c>
      <c r="F19" s="60" t="s">
        <v>47</v>
      </c>
      <c r="G19" s="47">
        <v>1</v>
      </c>
      <c r="H19" s="133">
        <f>IF(B$17=0,0,G19/B$17)</f>
        <v>1.2345679012345678E-2</v>
      </c>
      <c r="I19" s="94">
        <v>6</v>
      </c>
      <c r="K19" s="38">
        <v>17</v>
      </c>
      <c r="L19" s="99">
        <v>-251.4</v>
      </c>
      <c r="N19" s="115" t="s">
        <v>127</v>
      </c>
      <c r="O19" s="125">
        <f>IF(P19=0,0,Q19/P19)</f>
        <v>-19.468181818181822</v>
      </c>
      <c r="P19" s="119">
        <v>22</v>
      </c>
      <c r="Q19" s="107">
        <v>-428.30000000000007</v>
      </c>
    </row>
    <row r="20" spans="1:17" x14ac:dyDescent="0.4">
      <c r="A20" s="55" t="s">
        <v>13</v>
      </c>
      <c r="B20" s="47">
        <v>55</v>
      </c>
      <c r="C20" s="39">
        <f>IF(B$3=0,0,B20/B$3)</f>
        <v>0.19366197183098591</v>
      </c>
      <c r="E20" s="63" t="s">
        <v>168</v>
      </c>
      <c r="F20" s="60" t="s">
        <v>169</v>
      </c>
      <c r="G20" s="47">
        <v>1</v>
      </c>
      <c r="H20" s="133">
        <f>IF(B$17=0,0,G20/B$17)</f>
        <v>1.2345679012345678E-2</v>
      </c>
      <c r="I20" s="94">
        <v>3</v>
      </c>
      <c r="K20" s="38">
        <v>18</v>
      </c>
      <c r="L20" s="99">
        <v>-240</v>
      </c>
      <c r="N20" s="115" t="s">
        <v>178</v>
      </c>
      <c r="O20" s="125">
        <f>IF(P20=0,0,Q20/P20)</f>
        <v>-29.9</v>
      </c>
      <c r="P20" s="119">
        <v>2</v>
      </c>
      <c r="Q20" s="107">
        <v>-59.8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-218</v>
      </c>
      <c r="N21" s="115" t="s">
        <v>179</v>
      </c>
      <c r="O21" s="125">
        <f>IF(P21=0,0,Q21/P21)</f>
        <v>-32.585714285714282</v>
      </c>
      <c r="P21" s="119">
        <v>7</v>
      </c>
      <c r="Q21" s="107">
        <v>-228.09999999999997</v>
      </c>
    </row>
    <row r="22" spans="1:17" x14ac:dyDescent="0.4">
      <c r="A22" s="55" t="s">
        <v>171</v>
      </c>
      <c r="B22" s="47">
        <v>21</v>
      </c>
      <c r="C22" s="135">
        <v>3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-177.6</v>
      </c>
      <c r="N22" s="115" t="s">
        <v>196</v>
      </c>
      <c r="O22" s="125">
        <f>IF(P22=0,0,Q22/P22)</f>
        <v>-56.6</v>
      </c>
      <c r="P22" s="119">
        <v>1</v>
      </c>
      <c r="Q22" s="107">
        <v>-56.6</v>
      </c>
    </row>
    <row r="23" spans="1:17" x14ac:dyDescent="0.4">
      <c r="A23" s="55" t="s">
        <v>5</v>
      </c>
      <c r="B23" s="51">
        <f>IF(B$17=0,0,C23/B$17)</f>
        <v>7334.5679012345681</v>
      </c>
      <c r="C23" s="41">
        <v>594100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-133.30000000000001</v>
      </c>
    </row>
    <row r="24" spans="1:17" x14ac:dyDescent="0.4">
      <c r="A24" s="57" t="s">
        <v>14</v>
      </c>
      <c r="B24" s="52">
        <f>IF(B$20=0,0,C24/B$20)</f>
        <v>-7358.181818181818</v>
      </c>
      <c r="C24" s="45">
        <v>-404700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-164.60000000000002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-162.70000000000002</v>
      </c>
    </row>
    <row r="26" spans="1:17" x14ac:dyDescent="0.4">
      <c r="A26" s="58" t="s">
        <v>151</v>
      </c>
      <c r="B26" s="142">
        <v>69300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-163.00000000000003</v>
      </c>
    </row>
    <row r="27" spans="1:17" x14ac:dyDescent="0.4">
      <c r="A27" s="57" t="s">
        <v>142</v>
      </c>
      <c r="B27" s="65">
        <v>2</v>
      </c>
      <c r="C27" s="42">
        <f>IF(B$3=0,0,B27/B$3)</f>
        <v>7.0422535211267607E-3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-185.00000000000003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-186.00000000000003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-163.00000000000003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-181.70000000000002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-159.9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-175.6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-212.6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-244.8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-261.3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4A803-5A45-482A-AA9E-1B8558135E03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28</v>
      </c>
      <c r="C2" s="151"/>
      <c r="E2" s="62" t="s">
        <v>67</v>
      </c>
      <c r="F2" s="59" t="s">
        <v>23</v>
      </c>
      <c r="G2" s="46">
        <v>47</v>
      </c>
      <c r="H2" s="132">
        <f>IF(B$17=0,0,G2/B$17)</f>
        <v>0.8392857142857143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1250</v>
      </c>
      <c r="P2" s="118">
        <v>28</v>
      </c>
      <c r="Q2" s="102">
        <v>35000</v>
      </c>
    </row>
    <row r="3" spans="1:17" x14ac:dyDescent="0.4">
      <c r="A3" s="55" t="s">
        <v>8</v>
      </c>
      <c r="B3" s="152">
        <v>216</v>
      </c>
      <c r="C3" s="153"/>
      <c r="E3" s="63" t="s">
        <v>73</v>
      </c>
      <c r="F3" s="60" t="s">
        <v>28</v>
      </c>
      <c r="G3" s="47">
        <v>42</v>
      </c>
      <c r="H3" s="133">
        <f>IF(B$17=0,0,G3/B$17)</f>
        <v>0.75</v>
      </c>
      <c r="I3" s="94">
        <v>2</v>
      </c>
      <c r="K3" s="38">
        <v>1</v>
      </c>
      <c r="L3" s="99">
        <v>-9.1</v>
      </c>
      <c r="N3" s="115" t="s">
        <v>132</v>
      </c>
      <c r="O3" s="122">
        <f t="shared" si="0"/>
        <v>-2996.1538461538462</v>
      </c>
      <c r="P3" s="119">
        <v>26</v>
      </c>
      <c r="Q3" s="103">
        <v>-77900</v>
      </c>
    </row>
    <row r="4" spans="1:17" x14ac:dyDescent="0.4">
      <c r="A4" s="55" t="s">
        <v>6</v>
      </c>
      <c r="B4" s="154">
        <v>-10.999999999999972</v>
      </c>
      <c r="C4" s="155"/>
      <c r="E4" s="63" t="s">
        <v>68</v>
      </c>
      <c r="F4" s="60" t="s">
        <v>24</v>
      </c>
      <c r="G4" s="47">
        <v>26</v>
      </c>
      <c r="H4" s="133">
        <f>IF(B$17=0,0,G4/B$17)</f>
        <v>0.4642857142857143</v>
      </c>
      <c r="I4" s="94">
        <v>2</v>
      </c>
      <c r="K4" s="38">
        <v>2</v>
      </c>
      <c r="L4" s="99">
        <v>-67.3</v>
      </c>
      <c r="N4" s="115" t="s">
        <v>133</v>
      </c>
      <c r="O4" s="122">
        <f t="shared" si="0"/>
        <v>1016</v>
      </c>
      <c r="P4" s="119">
        <v>25</v>
      </c>
      <c r="Q4" s="103">
        <v>25400</v>
      </c>
    </row>
    <row r="5" spans="1:17" x14ac:dyDescent="0.4">
      <c r="A5" s="55" t="s">
        <v>7</v>
      </c>
      <c r="B5" s="156">
        <f>IF(B$2=0,0,B$4/B$2)</f>
        <v>-0.39285714285714185</v>
      </c>
      <c r="C5" s="157"/>
      <c r="E5" s="63" t="s">
        <v>65</v>
      </c>
      <c r="F5" s="60" t="s">
        <v>21</v>
      </c>
      <c r="G5" s="47">
        <v>25</v>
      </c>
      <c r="H5" s="133">
        <f>IF(B$17=0,0,G5/B$17)</f>
        <v>0.44642857142857145</v>
      </c>
      <c r="I5" s="94">
        <v>6</v>
      </c>
      <c r="K5" s="38">
        <v>3</v>
      </c>
      <c r="L5" s="99">
        <v>-113.8</v>
      </c>
      <c r="N5" s="115" t="s">
        <v>134</v>
      </c>
      <c r="O5" s="122">
        <f t="shared" si="0"/>
        <v>4086.9565217391305</v>
      </c>
      <c r="P5" s="119">
        <v>23</v>
      </c>
      <c r="Q5" s="103">
        <v>94000</v>
      </c>
    </row>
    <row r="6" spans="1:17" x14ac:dyDescent="0.4">
      <c r="A6" s="55" t="s">
        <v>1</v>
      </c>
      <c r="B6" s="146">
        <f>IF(B$2=0,0,(B$7*1+B$8*2+B$9*3)/B$2)</f>
        <v>1.9642857142857142</v>
      </c>
      <c r="C6" s="147"/>
      <c r="E6" s="63" t="s">
        <v>69</v>
      </c>
      <c r="F6" s="60" t="s">
        <v>12</v>
      </c>
      <c r="G6" s="47">
        <v>20</v>
      </c>
      <c r="H6" s="133">
        <f>IF(B$17=0,0,G6/B$17)</f>
        <v>0.35714285714285715</v>
      </c>
      <c r="I6" s="94">
        <v>2</v>
      </c>
      <c r="K6" s="38">
        <v>4</v>
      </c>
      <c r="L6" s="99">
        <v>-74.599999999999994</v>
      </c>
      <c r="N6" s="115" t="s">
        <v>135</v>
      </c>
      <c r="O6" s="122">
        <f t="shared" si="0"/>
        <v>-2160</v>
      </c>
      <c r="P6" s="119">
        <v>20</v>
      </c>
      <c r="Q6" s="103">
        <v>-43200</v>
      </c>
    </row>
    <row r="7" spans="1:17" x14ac:dyDescent="0.4">
      <c r="A7" s="55" t="s">
        <v>2</v>
      </c>
      <c r="B7" s="47">
        <v>10</v>
      </c>
      <c r="C7" s="39">
        <f t="shared" ref="C7:C12" si="1">IF(B$2=0,0,B7/B$2)</f>
        <v>0.35714285714285715</v>
      </c>
      <c r="E7" s="63" t="s">
        <v>172</v>
      </c>
      <c r="F7" s="60" t="s">
        <v>173</v>
      </c>
      <c r="G7" s="47">
        <v>18</v>
      </c>
      <c r="H7" s="133">
        <f>IF(B$17=0,0,G7/B$17)</f>
        <v>0.32142857142857145</v>
      </c>
      <c r="I7" s="94">
        <v>10</v>
      </c>
      <c r="K7" s="38">
        <v>5</v>
      </c>
      <c r="L7" s="99">
        <v>-118.3</v>
      </c>
      <c r="N7" s="116" t="s">
        <v>136</v>
      </c>
      <c r="O7" s="123">
        <f t="shared" si="0"/>
        <v>-3620</v>
      </c>
      <c r="P7" s="120">
        <v>15</v>
      </c>
      <c r="Q7" s="104">
        <v>-54300</v>
      </c>
    </row>
    <row r="8" spans="1:17" x14ac:dyDescent="0.4">
      <c r="A8" s="55" t="s">
        <v>3</v>
      </c>
      <c r="B8" s="47">
        <v>9</v>
      </c>
      <c r="C8" s="39">
        <f t="shared" si="1"/>
        <v>0.32142857142857145</v>
      </c>
      <c r="E8" s="63" t="s">
        <v>90</v>
      </c>
      <c r="F8" s="60" t="s">
        <v>45</v>
      </c>
      <c r="G8" s="47">
        <v>16</v>
      </c>
      <c r="H8" s="133">
        <f>IF(B$17=0,0,G8/B$17)</f>
        <v>0.2857142857142857</v>
      </c>
      <c r="I8" s="94">
        <v>1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1"/>
        <v>0.32142857142857145</v>
      </c>
      <c r="E9" s="63" t="s">
        <v>70</v>
      </c>
      <c r="F9" s="60" t="s">
        <v>25</v>
      </c>
      <c r="G9" s="47">
        <v>8</v>
      </c>
      <c r="H9" s="133">
        <f>IF(B$17=0,0,G9/B$17)</f>
        <v>0.14285714285714285</v>
      </c>
      <c r="I9" s="94">
        <v>3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5</v>
      </c>
      <c r="C10" s="40">
        <f t="shared" si="1"/>
        <v>0.17857142857142858</v>
      </c>
      <c r="E10" s="63" t="s">
        <v>66</v>
      </c>
      <c r="F10" s="60" t="s">
        <v>22</v>
      </c>
      <c r="G10" s="47">
        <v>5</v>
      </c>
      <c r="H10" s="133">
        <f>IF(B$17=0,0,G10/B$17)</f>
        <v>8.9285714285714288E-2</v>
      </c>
      <c r="I10" s="94">
        <v>8</v>
      </c>
      <c r="K10" s="38">
        <v>8</v>
      </c>
      <c r="L10" s="99">
        <v>-110.19999999999999</v>
      </c>
      <c r="N10" s="114" t="s">
        <v>163</v>
      </c>
      <c r="O10" s="124">
        <f>IF(P10=0,0,Q10/P10)</f>
        <v>6.0888888888888903</v>
      </c>
      <c r="P10" s="118">
        <v>9</v>
      </c>
      <c r="Q10" s="106">
        <v>54.800000000000011</v>
      </c>
    </row>
    <row r="11" spans="1:17" x14ac:dyDescent="0.4">
      <c r="A11" s="56" t="s">
        <v>139</v>
      </c>
      <c r="B11" s="48">
        <v>6</v>
      </c>
      <c r="C11" s="40">
        <f t="shared" si="1"/>
        <v>0.21428571428571427</v>
      </c>
      <c r="E11" s="63" t="s">
        <v>84</v>
      </c>
      <c r="F11" s="60" t="s">
        <v>39</v>
      </c>
      <c r="G11" s="47">
        <v>4</v>
      </c>
      <c r="H11" s="133">
        <f>IF(B$17=0,0,G11/B$17)</f>
        <v>7.1428571428571425E-2</v>
      </c>
      <c r="I11" s="94">
        <v>4</v>
      </c>
      <c r="K11" s="38">
        <v>9</v>
      </c>
      <c r="L11" s="99">
        <v>-120.99999999999999</v>
      </c>
      <c r="N11" s="115" t="s">
        <v>164</v>
      </c>
      <c r="O11" s="125">
        <f>IF(P11=0,0,Q11/P11)</f>
        <v>-1.025000000000001</v>
      </c>
      <c r="P11" s="119">
        <v>12</v>
      </c>
      <c r="Q11" s="107">
        <v>-12.300000000000011</v>
      </c>
    </row>
    <row r="12" spans="1:17" x14ac:dyDescent="0.4">
      <c r="A12" s="57" t="s">
        <v>159</v>
      </c>
      <c r="B12" s="49">
        <v>1</v>
      </c>
      <c r="C12" s="42">
        <f t="shared" si="1"/>
        <v>3.5714285714285712E-2</v>
      </c>
      <c r="E12" s="63" t="s">
        <v>93</v>
      </c>
      <c r="F12" s="60" t="s">
        <v>48</v>
      </c>
      <c r="G12" s="47">
        <v>3</v>
      </c>
      <c r="H12" s="133">
        <f>IF(B$17=0,0,G12/B$17)</f>
        <v>5.3571428571428568E-2</v>
      </c>
      <c r="I12" s="94">
        <v>1</v>
      </c>
      <c r="K12" s="38">
        <v>10</v>
      </c>
      <c r="L12" s="99">
        <v>-113.29999999999998</v>
      </c>
      <c r="N12" s="116" t="s">
        <v>165</v>
      </c>
      <c r="O12" s="126">
        <f>IF(P12=0,0,Q12/P12)</f>
        <v>-7.6428571428571406</v>
      </c>
      <c r="P12" s="120">
        <v>7</v>
      </c>
      <c r="Q12" s="108">
        <v>-53.499999999999986</v>
      </c>
    </row>
    <row r="13" spans="1:17" x14ac:dyDescent="0.4">
      <c r="A13" s="58" t="s">
        <v>122</v>
      </c>
      <c r="B13" s="50">
        <v>60</v>
      </c>
      <c r="C13" s="44">
        <f>IF(B$3=0,0,B13/B$3)</f>
        <v>0.27777777777777779</v>
      </c>
      <c r="E13" s="63" t="s">
        <v>71</v>
      </c>
      <c r="F13" s="60" t="s">
        <v>26</v>
      </c>
      <c r="G13" s="47">
        <v>2</v>
      </c>
      <c r="H13" s="133">
        <f>IF(B$17=0,0,G13/B$17)</f>
        <v>3.5714285714285712E-2</v>
      </c>
      <c r="I13" s="94">
        <v>10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47</v>
      </c>
      <c r="C14" s="39">
        <f>IF(B$3=0,0,B14/B$3)</f>
        <v>0.21759259259259259</v>
      </c>
      <c r="E14" s="63" t="s">
        <v>82</v>
      </c>
      <c r="F14" s="60" t="s">
        <v>37</v>
      </c>
      <c r="G14" s="47">
        <v>2</v>
      </c>
      <c r="H14" s="133">
        <f>IF(B$17=0,0,G14/B$17)</f>
        <v>3.5714285714285712E-2</v>
      </c>
      <c r="I14" s="94">
        <v>2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25</v>
      </c>
      <c r="C15" s="37">
        <f>IF(B$13=0,0,B15/B$13)</f>
        <v>0.41666666666666669</v>
      </c>
      <c r="E15" s="63" t="s">
        <v>87</v>
      </c>
      <c r="F15" s="60" t="s">
        <v>42</v>
      </c>
      <c r="G15" s="47">
        <v>2</v>
      </c>
      <c r="H15" s="133">
        <f>IF(B$17=0,0,G15/B$17)</f>
        <v>3.5714285714285712E-2</v>
      </c>
      <c r="I15" s="94">
        <v>9</v>
      </c>
      <c r="K15" s="38">
        <v>13</v>
      </c>
      <c r="L15" s="99">
        <v>-132.39999999999998</v>
      </c>
      <c r="N15" s="114" t="s">
        <v>196</v>
      </c>
      <c r="O15" s="124">
        <f>IF(P15=0,0,Q15/P15)</f>
        <v>60.650000000000006</v>
      </c>
      <c r="P15" s="118">
        <v>2</v>
      </c>
      <c r="Q15" s="106">
        <v>121.30000000000001</v>
      </c>
    </row>
    <row r="16" spans="1:17" x14ac:dyDescent="0.4">
      <c r="A16" s="54" t="s">
        <v>125</v>
      </c>
      <c r="B16" s="46">
        <v>23</v>
      </c>
      <c r="C16" s="37">
        <f>IF(B$14=0,0,B16/B$14)</f>
        <v>0.48936170212765956</v>
      </c>
      <c r="E16" s="63" t="s">
        <v>72</v>
      </c>
      <c r="F16" s="60" t="s">
        <v>27</v>
      </c>
      <c r="G16" s="47">
        <v>1</v>
      </c>
      <c r="H16" s="133">
        <f>IF(B$17=0,0,G16/B$17)</f>
        <v>1.7857142857142856E-2</v>
      </c>
      <c r="I16" s="94">
        <v>10</v>
      </c>
      <c r="K16" s="38">
        <v>14</v>
      </c>
      <c r="L16" s="99">
        <v>-86.499999999999972</v>
      </c>
      <c r="N16" s="115" t="s">
        <v>180</v>
      </c>
      <c r="O16" s="125">
        <f>IF(P16=0,0,Q16/P16)</f>
        <v>29.9</v>
      </c>
      <c r="P16" s="119">
        <v>2</v>
      </c>
      <c r="Q16" s="107">
        <v>59.8</v>
      </c>
    </row>
    <row r="17" spans="1:17" x14ac:dyDescent="0.4">
      <c r="A17" s="54" t="s">
        <v>10</v>
      </c>
      <c r="B17" s="46">
        <f>B19+B18</f>
        <v>56</v>
      </c>
      <c r="C17" s="37">
        <f>IF(B$3=0,0,B17/B$3)</f>
        <v>0.25925925925925924</v>
      </c>
      <c r="E17" s="63" t="s">
        <v>76</v>
      </c>
      <c r="F17" s="60" t="s">
        <v>31</v>
      </c>
      <c r="G17" s="47">
        <v>1</v>
      </c>
      <c r="H17" s="133">
        <f>IF(B$17=0,0,G17/B$17)</f>
        <v>1.7857142857142856E-2</v>
      </c>
      <c r="I17" s="94">
        <v>2</v>
      </c>
      <c r="K17" s="38">
        <v>15</v>
      </c>
      <c r="L17" s="99">
        <v>-101.79999999999997</v>
      </c>
      <c r="N17" s="115" t="s">
        <v>183</v>
      </c>
      <c r="O17" s="125">
        <f>IF(P17=0,0,Q17/P17)</f>
        <v>20.209090909090907</v>
      </c>
      <c r="P17" s="119">
        <v>11</v>
      </c>
      <c r="Q17" s="107">
        <v>222.29999999999998</v>
      </c>
    </row>
    <row r="18" spans="1:17" x14ac:dyDescent="0.4">
      <c r="A18" s="55" t="s">
        <v>12</v>
      </c>
      <c r="B18" s="47">
        <v>26</v>
      </c>
      <c r="C18" s="39">
        <f>IF(B$17=0,0,B18/B$17)</f>
        <v>0.4642857142857143</v>
      </c>
      <c r="E18" s="63" t="s">
        <v>86</v>
      </c>
      <c r="F18" s="60" t="s">
        <v>41</v>
      </c>
      <c r="G18" s="47">
        <v>1</v>
      </c>
      <c r="H18" s="133">
        <f>IF(B$17=0,0,G18/B$17)</f>
        <v>1.7857142857142856E-2</v>
      </c>
      <c r="I18" s="94">
        <v>2</v>
      </c>
      <c r="K18" s="38">
        <v>16</v>
      </c>
      <c r="L18" s="99">
        <v>-63.099999999999966</v>
      </c>
      <c r="N18" s="115" t="s">
        <v>179</v>
      </c>
      <c r="O18" s="125">
        <f>IF(P18=0,0,Q18/P18)</f>
        <v>10.112500000000002</v>
      </c>
      <c r="P18" s="119">
        <v>16</v>
      </c>
      <c r="Q18" s="107">
        <v>161.80000000000004</v>
      </c>
    </row>
    <row r="19" spans="1:17" x14ac:dyDescent="0.4">
      <c r="A19" s="55" t="s">
        <v>11</v>
      </c>
      <c r="B19" s="47">
        <v>30</v>
      </c>
      <c r="C19" s="39">
        <f>IF(B$17=0,0,B19/B$17)</f>
        <v>0.5357142857142857</v>
      </c>
      <c r="E19" s="63" t="s">
        <v>92</v>
      </c>
      <c r="F19" s="60" t="s">
        <v>47</v>
      </c>
      <c r="G19" s="47">
        <v>1</v>
      </c>
      <c r="H19" s="133">
        <f>IF(B$17=0,0,G19/B$17)</f>
        <v>1.7857142857142856E-2</v>
      </c>
      <c r="I19" s="94">
        <v>2</v>
      </c>
      <c r="K19" s="38">
        <v>17</v>
      </c>
      <c r="L19" s="99">
        <v>-55.799999999999969</v>
      </c>
      <c r="N19" s="115" t="s">
        <v>127</v>
      </c>
      <c r="O19" s="125">
        <f>IF(P19=0,0,Q19/P19)</f>
        <v>-7.8636363636363651</v>
      </c>
      <c r="P19" s="119">
        <v>11</v>
      </c>
      <c r="Q19" s="107">
        <v>-86.500000000000014</v>
      </c>
    </row>
    <row r="20" spans="1:17" x14ac:dyDescent="0.4">
      <c r="A20" s="55" t="s">
        <v>13</v>
      </c>
      <c r="B20" s="47">
        <v>36</v>
      </c>
      <c r="C20" s="39">
        <f>IF(B$3=0,0,B20/B$3)</f>
        <v>0.16666666666666666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-24.999999999999968</v>
      </c>
      <c r="N20" s="115" t="s">
        <v>128</v>
      </c>
      <c r="O20" s="125">
        <f>IF(P20=0,0,Q20/P20)</f>
        <v>-24.775000000000002</v>
      </c>
      <c r="P20" s="119">
        <v>12</v>
      </c>
      <c r="Q20" s="107">
        <v>-297.3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-27.799999999999969</v>
      </c>
      <c r="N21" s="115" t="s">
        <v>182</v>
      </c>
      <c r="O21" s="125">
        <f>IF(P21=0,0,Q21/P21)</f>
        <v>-107.2</v>
      </c>
      <c r="P21" s="119">
        <v>2</v>
      </c>
      <c r="Q21" s="107">
        <v>-214.4</v>
      </c>
    </row>
    <row r="22" spans="1:17" x14ac:dyDescent="0.4">
      <c r="A22" s="55" t="s">
        <v>171</v>
      </c>
      <c r="B22" s="47">
        <v>25</v>
      </c>
      <c r="C22" s="135">
        <v>4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-50.39999999999997</v>
      </c>
    </row>
    <row r="23" spans="1:17" x14ac:dyDescent="0.4">
      <c r="A23" s="55" t="s">
        <v>5</v>
      </c>
      <c r="B23" s="51">
        <f>IF(B$17=0,0,C23/B$17)</f>
        <v>10853.571428571429</v>
      </c>
      <c r="C23" s="41">
        <v>607800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-59.89999999999997</v>
      </c>
    </row>
    <row r="24" spans="1:17" x14ac:dyDescent="0.4">
      <c r="A24" s="57" t="s">
        <v>14</v>
      </c>
      <c r="B24" s="52">
        <f>IF(B$20=0,0,C24/B$20)</f>
        <v>-9508.3333333333339</v>
      </c>
      <c r="C24" s="45">
        <v>-342300</v>
      </c>
      <c r="E24" s="63" t="s">
        <v>79</v>
      </c>
      <c r="F24" s="60" t="s">
        <v>34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-21.799999999999969</v>
      </c>
    </row>
    <row r="25" spans="1:17" x14ac:dyDescent="0.4">
      <c r="A25" s="90" t="s">
        <v>141</v>
      </c>
      <c r="B25" s="144">
        <v>8</v>
      </c>
      <c r="C25" s="145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-10.299999999999969</v>
      </c>
    </row>
    <row r="26" spans="1:17" x14ac:dyDescent="0.4">
      <c r="A26" s="58" t="s">
        <v>151</v>
      </c>
      <c r="B26" s="142">
        <v>83000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-51.39999999999997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-37.699999999999974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-84.999999999999972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-31.499999999999972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-10.999999999999972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9DC2-A06D-4A87-A46A-7DA0FD9B0663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36</v>
      </c>
      <c r="C2" s="151"/>
      <c r="E2" s="62" t="s">
        <v>73</v>
      </c>
      <c r="F2" s="59" t="s">
        <v>28</v>
      </c>
      <c r="G2" s="46">
        <v>65</v>
      </c>
      <c r="H2" s="132">
        <f>IF(B$17=0,0,G2/B$17)</f>
        <v>0.8125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1216.6666666666667</v>
      </c>
      <c r="P2" s="118">
        <v>36</v>
      </c>
      <c r="Q2" s="102">
        <v>43800</v>
      </c>
    </row>
    <row r="3" spans="1:17" x14ac:dyDescent="0.4">
      <c r="A3" s="55" t="s">
        <v>8</v>
      </c>
      <c r="B3" s="152">
        <v>292</v>
      </c>
      <c r="C3" s="153"/>
      <c r="E3" s="63" t="s">
        <v>67</v>
      </c>
      <c r="F3" s="60" t="s">
        <v>23</v>
      </c>
      <c r="G3" s="47">
        <v>58</v>
      </c>
      <c r="H3" s="133">
        <f>IF(B$17=0,0,G3/B$17)</f>
        <v>0.72499999999999998</v>
      </c>
      <c r="I3" s="94">
        <v>6</v>
      </c>
      <c r="K3" s="38">
        <v>1</v>
      </c>
      <c r="L3" s="99">
        <v>46.9</v>
      </c>
      <c r="N3" s="115" t="s">
        <v>132</v>
      </c>
      <c r="O3" s="122">
        <f t="shared" si="0"/>
        <v>1390.909090909091</v>
      </c>
      <c r="P3" s="119">
        <v>33</v>
      </c>
      <c r="Q3" s="103">
        <v>45900</v>
      </c>
    </row>
    <row r="4" spans="1:17" x14ac:dyDescent="0.4">
      <c r="A4" s="55" t="s">
        <v>6</v>
      </c>
      <c r="B4" s="154">
        <v>-65.399999999999977</v>
      </c>
      <c r="C4" s="155"/>
      <c r="E4" s="63" t="s">
        <v>65</v>
      </c>
      <c r="F4" s="60" t="s">
        <v>21</v>
      </c>
      <c r="G4" s="47">
        <v>35</v>
      </c>
      <c r="H4" s="133">
        <f>IF(B$17=0,0,G4/B$17)</f>
        <v>0.4375</v>
      </c>
      <c r="I4" s="94">
        <v>7</v>
      </c>
      <c r="K4" s="38">
        <v>2</v>
      </c>
      <c r="L4" s="99">
        <v>8.1000000000000014</v>
      </c>
      <c r="N4" s="115" t="s">
        <v>133</v>
      </c>
      <c r="O4" s="122">
        <f t="shared" si="0"/>
        <v>-3641.9354838709678</v>
      </c>
      <c r="P4" s="119">
        <v>31</v>
      </c>
      <c r="Q4" s="103">
        <v>-112900</v>
      </c>
    </row>
    <row r="5" spans="1:17" x14ac:dyDescent="0.4">
      <c r="A5" s="55" t="s">
        <v>7</v>
      </c>
      <c r="B5" s="156">
        <f>IF(B$2=0,0,B$4/B$2)</f>
        <v>-1.816666666666666</v>
      </c>
      <c r="C5" s="157"/>
      <c r="E5" s="63" t="s">
        <v>172</v>
      </c>
      <c r="F5" s="60" t="s">
        <v>173</v>
      </c>
      <c r="G5" s="47">
        <v>27</v>
      </c>
      <c r="H5" s="133">
        <f>IF(B$17=0,0,G5/B$17)</f>
        <v>0.33750000000000002</v>
      </c>
      <c r="I5" s="94">
        <v>6</v>
      </c>
      <c r="K5" s="38">
        <v>3</v>
      </c>
      <c r="L5" s="99">
        <v>25.8</v>
      </c>
      <c r="N5" s="115" t="s">
        <v>134</v>
      </c>
      <c r="O5" s="122">
        <f t="shared" si="0"/>
        <v>32.142857142857146</v>
      </c>
      <c r="P5" s="119">
        <v>28</v>
      </c>
      <c r="Q5" s="103">
        <v>900</v>
      </c>
    </row>
    <row r="6" spans="1:17" x14ac:dyDescent="0.4">
      <c r="A6" s="55" t="s">
        <v>1</v>
      </c>
      <c r="B6" s="146">
        <f>IF(B$2=0,0,(B$7*1+B$8*2+B$9*3)/B$2)</f>
        <v>2.1388888888888888</v>
      </c>
      <c r="C6" s="147"/>
      <c r="E6" s="63" t="s">
        <v>68</v>
      </c>
      <c r="F6" s="60" t="s">
        <v>24</v>
      </c>
      <c r="G6" s="47">
        <v>24</v>
      </c>
      <c r="H6" s="133">
        <f>IF(B$17=0,0,G6/B$17)</f>
        <v>0.3</v>
      </c>
      <c r="I6" s="94">
        <v>5</v>
      </c>
      <c r="K6" s="38">
        <v>4</v>
      </c>
      <c r="L6" s="99">
        <v>-19.3</v>
      </c>
      <c r="N6" s="115" t="s">
        <v>135</v>
      </c>
      <c r="O6" s="122">
        <f t="shared" si="0"/>
        <v>-721.73913043478262</v>
      </c>
      <c r="P6" s="119">
        <v>23</v>
      </c>
      <c r="Q6" s="103">
        <v>-16600</v>
      </c>
    </row>
    <row r="7" spans="1:17" x14ac:dyDescent="0.4">
      <c r="A7" s="55" t="s">
        <v>2</v>
      </c>
      <c r="B7" s="47">
        <v>8</v>
      </c>
      <c r="C7" s="39">
        <f t="shared" ref="C7:C12" si="1">IF(B$2=0,0,B7/B$2)</f>
        <v>0.22222222222222221</v>
      </c>
      <c r="E7" s="63" t="s">
        <v>69</v>
      </c>
      <c r="F7" s="60" t="s">
        <v>12</v>
      </c>
      <c r="G7" s="47">
        <v>24</v>
      </c>
      <c r="H7" s="133">
        <f>IF(B$17=0,0,G7/B$17)</f>
        <v>0.3</v>
      </c>
      <c r="I7" s="94">
        <v>4</v>
      </c>
      <c r="K7" s="38">
        <v>5</v>
      </c>
      <c r="L7" s="99">
        <v>-1.6000000000000014</v>
      </c>
      <c r="N7" s="116" t="s">
        <v>136</v>
      </c>
      <c r="O7" s="123">
        <f t="shared" si="0"/>
        <v>1119.047619047619</v>
      </c>
      <c r="P7" s="120">
        <v>21</v>
      </c>
      <c r="Q7" s="104">
        <v>23500</v>
      </c>
    </row>
    <row r="8" spans="1:17" x14ac:dyDescent="0.4">
      <c r="A8" s="55" t="s">
        <v>3</v>
      </c>
      <c r="B8" s="47">
        <v>15</v>
      </c>
      <c r="C8" s="39">
        <f t="shared" si="1"/>
        <v>0.41666666666666669</v>
      </c>
      <c r="E8" s="63" t="s">
        <v>90</v>
      </c>
      <c r="F8" s="60" t="s">
        <v>45</v>
      </c>
      <c r="G8" s="47">
        <v>9</v>
      </c>
      <c r="H8" s="133">
        <f>IF(B$17=0,0,G8/B$17)</f>
        <v>0.1125</v>
      </c>
      <c r="I8" s="94">
        <v>6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0.3611111111111111</v>
      </c>
      <c r="E9" s="63" t="s">
        <v>70</v>
      </c>
      <c r="F9" s="60" t="s">
        <v>25</v>
      </c>
      <c r="G9" s="47">
        <v>7</v>
      </c>
      <c r="H9" s="133">
        <f>IF(B$17=0,0,G9/B$17)</f>
        <v>8.7499999999999994E-2</v>
      </c>
      <c r="I9" s="94">
        <v>7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0.1111111111111111</v>
      </c>
      <c r="E10" s="63" t="s">
        <v>66</v>
      </c>
      <c r="F10" s="60" t="s">
        <v>22</v>
      </c>
      <c r="G10" s="47">
        <v>4</v>
      </c>
      <c r="H10" s="133">
        <f>IF(B$17=0,0,G10/B$17)</f>
        <v>0.05</v>
      </c>
      <c r="I10" s="94">
        <v>10</v>
      </c>
      <c r="K10" s="38">
        <v>8</v>
      </c>
      <c r="L10" s="99">
        <v>-46.7</v>
      </c>
      <c r="N10" s="114" t="s">
        <v>163</v>
      </c>
      <c r="O10" s="124">
        <f>IF(P10=0,0,Q10/P10)</f>
        <v>3.3285714285714287</v>
      </c>
      <c r="P10" s="118">
        <v>14</v>
      </c>
      <c r="Q10" s="106">
        <v>46.6</v>
      </c>
    </row>
    <row r="11" spans="1:17" x14ac:dyDescent="0.4">
      <c r="A11" s="56" t="s">
        <v>139</v>
      </c>
      <c r="B11" s="48">
        <v>3</v>
      </c>
      <c r="C11" s="40">
        <f t="shared" si="1"/>
        <v>8.3333333333333329E-2</v>
      </c>
      <c r="E11" s="63" t="s">
        <v>71</v>
      </c>
      <c r="F11" s="60" t="s">
        <v>26</v>
      </c>
      <c r="G11" s="47">
        <v>4</v>
      </c>
      <c r="H11" s="133">
        <f>IF(B$17=0,0,G11/B$17)</f>
        <v>0.05</v>
      </c>
      <c r="I11" s="94">
        <v>9</v>
      </c>
      <c r="K11" s="38">
        <v>9</v>
      </c>
      <c r="L11" s="99">
        <v>-90.9</v>
      </c>
      <c r="N11" s="115" t="s">
        <v>164</v>
      </c>
      <c r="O11" s="125">
        <f>IF(P11=0,0,Q11/P11)</f>
        <v>-2.9555555555555557</v>
      </c>
      <c r="P11" s="119">
        <v>9</v>
      </c>
      <c r="Q11" s="107">
        <v>-26.6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80</v>
      </c>
      <c r="F12" s="60" t="s">
        <v>35</v>
      </c>
      <c r="G12" s="47">
        <v>4</v>
      </c>
      <c r="H12" s="133">
        <f>IF(B$17=0,0,G12/B$17)</f>
        <v>0.05</v>
      </c>
      <c r="I12" s="94">
        <v>2</v>
      </c>
      <c r="K12" s="38">
        <v>10</v>
      </c>
      <c r="L12" s="99">
        <v>-146.69999999999999</v>
      </c>
      <c r="N12" s="116" t="s">
        <v>165</v>
      </c>
      <c r="O12" s="126">
        <f>IF(P12=0,0,Q12/P12)</f>
        <v>-6.5692307692307699</v>
      </c>
      <c r="P12" s="120">
        <v>13</v>
      </c>
      <c r="Q12" s="108">
        <v>-85.4</v>
      </c>
    </row>
    <row r="13" spans="1:17" x14ac:dyDescent="0.4">
      <c r="A13" s="58" t="s">
        <v>122</v>
      </c>
      <c r="B13" s="50">
        <v>69</v>
      </c>
      <c r="C13" s="44">
        <f>IF(B$3=0,0,B13/B$3)</f>
        <v>0.2363013698630137</v>
      </c>
      <c r="E13" s="63" t="s">
        <v>84</v>
      </c>
      <c r="F13" s="60" t="s">
        <v>39</v>
      </c>
      <c r="G13" s="47">
        <v>4</v>
      </c>
      <c r="H13" s="133">
        <f>IF(B$17=0,0,G13/B$17)</f>
        <v>0.05</v>
      </c>
      <c r="I13" s="94">
        <v>7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84</v>
      </c>
      <c r="C14" s="39">
        <f>IF(B$3=0,0,B14/B$3)</f>
        <v>0.28767123287671231</v>
      </c>
      <c r="E14" s="63" t="s">
        <v>72</v>
      </c>
      <c r="F14" s="60" t="s">
        <v>27</v>
      </c>
      <c r="G14" s="47">
        <v>3</v>
      </c>
      <c r="H14" s="133">
        <f>IF(B$17=0,0,G14/B$17)</f>
        <v>3.7499999999999999E-2</v>
      </c>
      <c r="I14" s="94">
        <v>9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36</v>
      </c>
      <c r="C15" s="37">
        <f>IF(B$13=0,0,B15/B$13)</f>
        <v>0.52173913043478259</v>
      </c>
      <c r="E15" s="63" t="s">
        <v>87</v>
      </c>
      <c r="F15" s="60" t="s">
        <v>42</v>
      </c>
      <c r="G15" s="47">
        <v>3</v>
      </c>
      <c r="H15" s="133">
        <f>IF(B$17=0,0,G15/B$17)</f>
        <v>3.7499999999999999E-2</v>
      </c>
      <c r="I15" s="94">
        <v>6</v>
      </c>
      <c r="K15" s="38">
        <v>13</v>
      </c>
      <c r="L15" s="99">
        <v>-68.399999999999991</v>
      </c>
      <c r="N15" s="114" t="s">
        <v>196</v>
      </c>
      <c r="O15" s="124">
        <f>IF(P15=0,0,Q15/P15)</f>
        <v>53.179999999999993</v>
      </c>
      <c r="P15" s="118">
        <v>5</v>
      </c>
      <c r="Q15" s="106">
        <v>265.89999999999998</v>
      </c>
    </row>
    <row r="16" spans="1:17" x14ac:dyDescent="0.4">
      <c r="A16" s="54" t="s">
        <v>125</v>
      </c>
      <c r="B16" s="46">
        <v>34</v>
      </c>
      <c r="C16" s="37">
        <f>IF(B$14=0,0,B16/B$14)</f>
        <v>0.40476190476190477</v>
      </c>
      <c r="E16" s="63" t="s">
        <v>79</v>
      </c>
      <c r="F16" s="60" t="s">
        <v>34</v>
      </c>
      <c r="G16" s="47">
        <v>2</v>
      </c>
      <c r="H16" s="133">
        <f>IF(B$17=0,0,G16/B$17)</f>
        <v>2.5000000000000001E-2</v>
      </c>
      <c r="I16" s="94">
        <v>4</v>
      </c>
      <c r="K16" s="38">
        <v>14</v>
      </c>
      <c r="L16" s="99">
        <v>-25.79999999999999</v>
      </c>
      <c r="N16" s="115" t="s">
        <v>180</v>
      </c>
      <c r="O16" s="125">
        <f>IF(P16=0,0,Q16/P16)</f>
        <v>32.585714285714282</v>
      </c>
      <c r="P16" s="119">
        <v>7</v>
      </c>
      <c r="Q16" s="107">
        <v>228.1</v>
      </c>
    </row>
    <row r="17" spans="1:17" x14ac:dyDescent="0.4">
      <c r="A17" s="54" t="s">
        <v>10</v>
      </c>
      <c r="B17" s="46">
        <f>B19+B18</f>
        <v>80</v>
      </c>
      <c r="C17" s="37">
        <f>IF(B$3=0,0,B17/B$3)</f>
        <v>0.27397260273972601</v>
      </c>
      <c r="E17" s="63" t="s">
        <v>86</v>
      </c>
      <c r="F17" s="60" t="s">
        <v>41</v>
      </c>
      <c r="G17" s="47">
        <v>1</v>
      </c>
      <c r="H17" s="133">
        <f>IF(B$17=0,0,G17/B$17)</f>
        <v>1.2500000000000001E-2</v>
      </c>
      <c r="I17" s="94">
        <v>3</v>
      </c>
      <c r="K17" s="38">
        <v>15</v>
      </c>
      <c r="L17" s="99">
        <v>-35.499999999999986</v>
      </c>
      <c r="N17" s="115" t="s">
        <v>183</v>
      </c>
      <c r="O17" s="125">
        <f>IF(P17=0,0,Q17/P17)</f>
        <v>24.055555555555557</v>
      </c>
      <c r="P17" s="119">
        <v>9</v>
      </c>
      <c r="Q17" s="107">
        <v>216.5</v>
      </c>
    </row>
    <row r="18" spans="1:17" x14ac:dyDescent="0.4">
      <c r="A18" s="55" t="s">
        <v>12</v>
      </c>
      <c r="B18" s="47">
        <v>34</v>
      </c>
      <c r="C18" s="39">
        <f>IF(B$17=0,0,B18/B$17)</f>
        <v>0.42499999999999999</v>
      </c>
      <c r="E18" s="63" t="s">
        <v>92</v>
      </c>
      <c r="F18" s="60" t="s">
        <v>47</v>
      </c>
      <c r="G18" s="47">
        <v>1</v>
      </c>
      <c r="H18" s="133">
        <f>IF(B$17=0,0,G18/B$17)</f>
        <v>1.2500000000000001E-2</v>
      </c>
      <c r="I18" s="94">
        <v>5</v>
      </c>
      <c r="K18" s="38">
        <v>16</v>
      </c>
      <c r="L18" s="99">
        <v>-35.599999999999987</v>
      </c>
      <c r="N18" s="115" t="s">
        <v>167</v>
      </c>
      <c r="O18" s="125">
        <f>IF(P18=0,0,Q18/P18)</f>
        <v>-6.28</v>
      </c>
      <c r="P18" s="119">
        <v>5</v>
      </c>
      <c r="Q18" s="107">
        <v>-31.400000000000002</v>
      </c>
    </row>
    <row r="19" spans="1:17" x14ac:dyDescent="0.4">
      <c r="A19" s="55" t="s">
        <v>11</v>
      </c>
      <c r="B19" s="47">
        <v>46</v>
      </c>
      <c r="C19" s="39">
        <f>IF(B$17=0,0,B19/B$17)</f>
        <v>0.57499999999999996</v>
      </c>
      <c r="E19" s="63" t="s">
        <v>102</v>
      </c>
      <c r="F19" s="60" t="s">
        <v>57</v>
      </c>
      <c r="G19" s="47">
        <v>1</v>
      </c>
      <c r="H19" s="133">
        <f>IF(B$17=0,0,G19/B$17)</f>
        <v>1.2500000000000001E-2</v>
      </c>
      <c r="I19" s="94">
        <v>1</v>
      </c>
      <c r="K19" s="38">
        <v>17</v>
      </c>
      <c r="L19" s="99">
        <v>-29.799999999999986</v>
      </c>
      <c r="N19" s="115" t="s">
        <v>178</v>
      </c>
      <c r="O19" s="125">
        <f>IF(P19=0,0,Q19/P19)</f>
        <v>-10.112500000000004</v>
      </c>
      <c r="P19" s="119">
        <v>16</v>
      </c>
      <c r="Q19" s="107">
        <v>-161.80000000000007</v>
      </c>
    </row>
    <row r="20" spans="1:17" x14ac:dyDescent="0.4">
      <c r="A20" s="55" t="s">
        <v>13</v>
      </c>
      <c r="B20" s="47">
        <v>41</v>
      </c>
      <c r="C20" s="39">
        <f>IF(B$3=0,0,B20/B$3)</f>
        <v>0.1404109589041096</v>
      </c>
      <c r="E20" s="63" t="s">
        <v>168</v>
      </c>
      <c r="F20" s="60" t="s">
        <v>169</v>
      </c>
      <c r="G20" s="47">
        <v>1</v>
      </c>
      <c r="H20" s="133">
        <f>IF(B$17=0,0,G20/B$17)</f>
        <v>1.2500000000000001E-2</v>
      </c>
      <c r="I20" s="94">
        <v>2</v>
      </c>
      <c r="K20" s="38">
        <v>18</v>
      </c>
      <c r="L20" s="99">
        <v>-62.399999999999991</v>
      </c>
      <c r="N20" s="115" t="s">
        <v>182</v>
      </c>
      <c r="O20" s="125">
        <f>IF(P20=0,0,Q20/P20)</f>
        <v>-15.5</v>
      </c>
      <c r="P20" s="119">
        <v>1</v>
      </c>
      <c r="Q20" s="107">
        <v>-15.5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-56.399999999999991</v>
      </c>
      <c r="N21" s="115" t="s">
        <v>127</v>
      </c>
      <c r="O21" s="125">
        <f>IF(P21=0,0,Q21/P21)</f>
        <v>-22.126666666666672</v>
      </c>
      <c r="P21" s="119">
        <v>15</v>
      </c>
      <c r="Q21" s="107">
        <v>-331.90000000000009</v>
      </c>
    </row>
    <row r="22" spans="1:17" x14ac:dyDescent="0.4">
      <c r="A22" s="55" t="s">
        <v>171</v>
      </c>
      <c r="B22" s="47">
        <v>44</v>
      </c>
      <c r="C22" s="135">
        <v>3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-93.199999999999989</v>
      </c>
      <c r="N22" s="115" t="s">
        <v>128</v>
      </c>
      <c r="O22" s="125">
        <f>IF(P22=0,0,Q22/P22)</f>
        <v>-26.150000000000002</v>
      </c>
      <c r="P22" s="119">
        <v>14</v>
      </c>
      <c r="Q22" s="107">
        <v>-366.1</v>
      </c>
    </row>
    <row r="23" spans="1:17" x14ac:dyDescent="0.4">
      <c r="A23" s="55" t="s">
        <v>5</v>
      </c>
      <c r="B23" s="51">
        <f>IF(B$17=0,0,C23/B$17)</f>
        <v>8108.75</v>
      </c>
      <c r="C23" s="41">
        <v>648700</v>
      </c>
      <c r="E23" s="63" t="s">
        <v>76</v>
      </c>
      <c r="F23" s="60" t="s">
        <v>31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-123.69999999999999</v>
      </c>
    </row>
    <row r="24" spans="1:17" x14ac:dyDescent="0.4">
      <c r="A24" s="57" t="s">
        <v>14</v>
      </c>
      <c r="B24" s="52">
        <f>IF(B$20=0,0,C24/B$20)</f>
        <v>-7207.3170731707314</v>
      </c>
      <c r="C24" s="45">
        <v>-295500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-66.999999999999986</v>
      </c>
    </row>
    <row r="25" spans="1:17" x14ac:dyDescent="0.4">
      <c r="A25" s="90" t="s">
        <v>141</v>
      </c>
      <c r="B25" s="144">
        <v>6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4</v>
      </c>
      <c r="K25" s="38">
        <v>23</v>
      </c>
      <c r="L25" s="99">
        <v>-59.599999999999987</v>
      </c>
    </row>
    <row r="26" spans="1:17" x14ac:dyDescent="0.4">
      <c r="A26" s="58" t="s">
        <v>151</v>
      </c>
      <c r="B26" s="142">
        <v>81700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-91.399999999999991</v>
      </c>
    </row>
    <row r="27" spans="1:17" x14ac:dyDescent="0.4">
      <c r="A27" s="57" t="s">
        <v>142</v>
      </c>
      <c r="B27" s="65">
        <v>2</v>
      </c>
      <c r="C27" s="42">
        <f>IF(B$3=0,0,B27/B$3)</f>
        <v>6.8493150684931503E-3</v>
      </c>
      <c r="E27" s="63" t="s">
        <v>82</v>
      </c>
      <c r="F27" s="60" t="s">
        <v>37</v>
      </c>
      <c r="G27" s="47">
        <v>0</v>
      </c>
      <c r="H27" s="133">
        <f>IF(B$17=0,0,G27/B$17)</f>
        <v>0</v>
      </c>
      <c r="I27" s="94">
        <v>9</v>
      </c>
      <c r="K27" s="38">
        <v>25</v>
      </c>
      <c r="L27" s="99">
        <v>-41.29999999999999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-54.099999999999994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-70.199999999999989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-61.29999999999999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-109.69999999999999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-107.29999999999998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-96.799999999999983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-54.09999999999998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-48.899999999999977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-63.999999999999979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-72.399999999999977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-65.399999999999977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F5DC9-E5FC-44A6-8230-40EF7483AC8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20</v>
      </c>
      <c r="C2" s="151"/>
      <c r="E2" s="62" t="s">
        <v>67</v>
      </c>
      <c r="F2" s="59" t="s">
        <v>23</v>
      </c>
      <c r="G2" s="46">
        <v>23</v>
      </c>
      <c r="H2" s="132">
        <f>IF(B$17=0,0,G2/B$17)</f>
        <v>0.71875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-3570</v>
      </c>
      <c r="P2" s="118">
        <v>20</v>
      </c>
      <c r="Q2" s="102">
        <v>-71400</v>
      </c>
    </row>
    <row r="3" spans="1:17" x14ac:dyDescent="0.4">
      <c r="A3" s="55" t="s">
        <v>8</v>
      </c>
      <c r="B3" s="152">
        <v>157</v>
      </c>
      <c r="C3" s="153"/>
      <c r="E3" s="63" t="s">
        <v>65</v>
      </c>
      <c r="F3" s="60" t="s">
        <v>21</v>
      </c>
      <c r="G3" s="47">
        <v>17</v>
      </c>
      <c r="H3" s="133">
        <f>IF(B$17=0,0,G3/B$17)</f>
        <v>0.53125</v>
      </c>
      <c r="I3" s="94">
        <v>4</v>
      </c>
      <c r="K3" s="38">
        <v>1</v>
      </c>
      <c r="L3" s="99">
        <v>-12</v>
      </c>
      <c r="N3" s="115" t="s">
        <v>132</v>
      </c>
      <c r="O3" s="122">
        <f t="shared" si="0"/>
        <v>-450</v>
      </c>
      <c r="P3" s="119">
        <v>20</v>
      </c>
      <c r="Q3" s="103">
        <v>-9000</v>
      </c>
    </row>
    <row r="4" spans="1:17" x14ac:dyDescent="0.4">
      <c r="A4" s="55" t="s">
        <v>6</v>
      </c>
      <c r="B4" s="154">
        <v>-428.10000000000008</v>
      </c>
      <c r="C4" s="155"/>
      <c r="E4" s="63" t="s">
        <v>73</v>
      </c>
      <c r="F4" s="60" t="s">
        <v>28</v>
      </c>
      <c r="G4" s="47">
        <v>16</v>
      </c>
      <c r="H4" s="133">
        <f>IF(B$17=0,0,G4/B$17)</f>
        <v>0.5</v>
      </c>
      <c r="I4" s="94">
        <v>7</v>
      </c>
      <c r="K4" s="38">
        <v>2</v>
      </c>
      <c r="L4" s="99">
        <v>-40.6</v>
      </c>
      <c r="N4" s="115" t="s">
        <v>133</v>
      </c>
      <c r="O4" s="122">
        <f t="shared" si="0"/>
        <v>-1830</v>
      </c>
      <c r="P4" s="119">
        <v>20</v>
      </c>
      <c r="Q4" s="103">
        <v>-36600</v>
      </c>
    </row>
    <row r="5" spans="1:17" x14ac:dyDescent="0.4">
      <c r="A5" s="55" t="s">
        <v>7</v>
      </c>
      <c r="B5" s="156">
        <f>IF(B$2=0,0,B$4/B$2)</f>
        <v>-21.405000000000005</v>
      </c>
      <c r="C5" s="157"/>
      <c r="E5" s="63" t="s">
        <v>68</v>
      </c>
      <c r="F5" s="60" t="s">
        <v>24</v>
      </c>
      <c r="G5" s="47">
        <v>14</v>
      </c>
      <c r="H5" s="133">
        <f>IF(B$17=0,0,G5/B$17)</f>
        <v>0.4375</v>
      </c>
      <c r="I5" s="94">
        <v>3</v>
      </c>
      <c r="K5" s="38">
        <v>3</v>
      </c>
      <c r="L5" s="99">
        <v>-33.6</v>
      </c>
      <c r="N5" s="115" t="s">
        <v>134</v>
      </c>
      <c r="O5" s="122">
        <f t="shared" si="0"/>
        <v>-5405.2631578947367</v>
      </c>
      <c r="P5" s="119">
        <v>19</v>
      </c>
      <c r="Q5" s="103">
        <v>-102700</v>
      </c>
    </row>
    <row r="6" spans="1:17" x14ac:dyDescent="0.4">
      <c r="A6" s="55" t="s">
        <v>1</v>
      </c>
      <c r="B6" s="146">
        <f>IF(B$2=0,0,(B$7*1+B$8*2+B$9*3)/B$2)</f>
        <v>2.5499999999999998</v>
      </c>
      <c r="C6" s="147"/>
      <c r="E6" s="63" t="s">
        <v>172</v>
      </c>
      <c r="F6" s="60" t="s">
        <v>173</v>
      </c>
      <c r="G6" s="47">
        <v>11</v>
      </c>
      <c r="H6" s="133">
        <f>IF(B$17=0,0,G6/B$17)</f>
        <v>0.34375</v>
      </c>
      <c r="I6" s="94">
        <v>5</v>
      </c>
      <c r="K6" s="38">
        <v>4</v>
      </c>
      <c r="L6" s="99">
        <v>-80.5</v>
      </c>
      <c r="N6" s="115" t="s">
        <v>135</v>
      </c>
      <c r="O6" s="122">
        <f t="shared" si="0"/>
        <v>-2216.6666666666665</v>
      </c>
      <c r="P6" s="119">
        <v>18</v>
      </c>
      <c r="Q6" s="103">
        <v>-39900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0.05</v>
      </c>
      <c r="E7" s="63" t="s">
        <v>69</v>
      </c>
      <c r="F7" s="60" t="s">
        <v>12</v>
      </c>
      <c r="G7" s="47">
        <v>9</v>
      </c>
      <c r="H7" s="133">
        <f>IF(B$17=0,0,G7/B$17)</f>
        <v>0.28125</v>
      </c>
      <c r="I7" s="94">
        <v>7</v>
      </c>
      <c r="K7" s="38">
        <v>5</v>
      </c>
      <c r="L7" s="99">
        <v>-124.3</v>
      </c>
      <c r="N7" s="116" t="s">
        <v>136</v>
      </c>
      <c r="O7" s="123">
        <f t="shared" si="0"/>
        <v>-3900</v>
      </c>
      <c r="P7" s="120">
        <v>15</v>
      </c>
      <c r="Q7" s="104">
        <v>-58500</v>
      </c>
    </row>
    <row r="8" spans="1:17" x14ac:dyDescent="0.4">
      <c r="A8" s="55" t="s">
        <v>3</v>
      </c>
      <c r="B8" s="47">
        <v>7</v>
      </c>
      <c r="C8" s="39">
        <f t="shared" si="1"/>
        <v>0.35</v>
      </c>
      <c r="E8" s="63" t="s">
        <v>66</v>
      </c>
      <c r="F8" s="60" t="s">
        <v>22</v>
      </c>
      <c r="G8" s="47">
        <v>4</v>
      </c>
      <c r="H8" s="133">
        <f>IF(B$17=0,0,G8/B$17)</f>
        <v>0.125</v>
      </c>
      <c r="I8" s="94">
        <v>2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si="1"/>
        <v>0.6</v>
      </c>
      <c r="E9" s="63" t="s">
        <v>72</v>
      </c>
      <c r="F9" s="60" t="s">
        <v>27</v>
      </c>
      <c r="G9" s="47">
        <v>3</v>
      </c>
      <c r="H9" s="133">
        <f>IF(B$17=0,0,G9/B$17)</f>
        <v>9.375E-2</v>
      </c>
      <c r="I9" s="94">
        <v>3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5</v>
      </c>
      <c r="C10" s="40">
        <f t="shared" si="1"/>
        <v>0.25</v>
      </c>
      <c r="E10" s="63" t="s">
        <v>84</v>
      </c>
      <c r="F10" s="60" t="s">
        <v>39</v>
      </c>
      <c r="G10" s="47">
        <v>3</v>
      </c>
      <c r="H10" s="133">
        <f>IF(B$17=0,0,G10/B$17)</f>
        <v>9.375E-2</v>
      </c>
      <c r="I10" s="94">
        <v>1</v>
      </c>
      <c r="K10" s="38">
        <v>8</v>
      </c>
      <c r="L10" s="99">
        <v>-152.6</v>
      </c>
      <c r="N10" s="114" t="s">
        <v>163</v>
      </c>
      <c r="O10" s="124">
        <f>IF(P10=0,0,Q10/P10)</f>
        <v>-27.1</v>
      </c>
      <c r="P10" s="118">
        <v>13</v>
      </c>
      <c r="Q10" s="106">
        <v>-352.3</v>
      </c>
    </row>
    <row r="11" spans="1:17" x14ac:dyDescent="0.4">
      <c r="A11" s="56" t="s">
        <v>139</v>
      </c>
      <c r="B11" s="48">
        <v>1</v>
      </c>
      <c r="C11" s="40">
        <f t="shared" si="1"/>
        <v>0.05</v>
      </c>
      <c r="E11" s="63" t="s">
        <v>71</v>
      </c>
      <c r="F11" s="60" t="s">
        <v>26</v>
      </c>
      <c r="G11" s="47">
        <v>2</v>
      </c>
      <c r="H11" s="133">
        <f>IF(B$17=0,0,G11/B$17)</f>
        <v>6.25E-2</v>
      </c>
      <c r="I11" s="94">
        <v>8</v>
      </c>
      <c r="K11" s="38">
        <v>9</v>
      </c>
      <c r="L11" s="99">
        <v>-150.6</v>
      </c>
      <c r="N11" s="115" t="s">
        <v>164</v>
      </c>
      <c r="O11" s="125">
        <f>IF(P11=0,0,Q11/P11)</f>
        <v>-0.67999999999999861</v>
      </c>
      <c r="P11" s="119">
        <v>5</v>
      </c>
      <c r="Q11" s="107">
        <v>-3.3999999999999928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82</v>
      </c>
      <c r="F12" s="60" t="s">
        <v>37</v>
      </c>
      <c r="G12" s="47">
        <v>2</v>
      </c>
      <c r="H12" s="133">
        <f>IF(B$17=0,0,G12/B$17)</f>
        <v>6.25E-2</v>
      </c>
      <c r="I12" s="94">
        <v>1</v>
      </c>
      <c r="K12" s="38">
        <v>10</v>
      </c>
      <c r="L12" s="99">
        <v>-151.1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33</v>
      </c>
      <c r="C13" s="44">
        <f>IF(B$3=0,0,B13/B$3)</f>
        <v>0.21019108280254778</v>
      </c>
      <c r="E13" s="63" t="s">
        <v>87</v>
      </c>
      <c r="F13" s="60" t="s">
        <v>42</v>
      </c>
      <c r="G13" s="47">
        <v>2</v>
      </c>
      <c r="H13" s="133">
        <f>IF(B$17=0,0,G13/B$17)</f>
        <v>6.25E-2</v>
      </c>
      <c r="I13" s="94">
        <v>3</v>
      </c>
      <c r="K13" s="38">
        <v>11</v>
      </c>
      <c r="L13" s="99">
        <v>-175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0.21019108280254778</v>
      </c>
      <c r="E14" s="63" t="s">
        <v>90</v>
      </c>
      <c r="F14" s="60" t="s">
        <v>45</v>
      </c>
      <c r="G14" s="47">
        <v>2</v>
      </c>
      <c r="H14" s="133">
        <f>IF(B$17=0,0,G14/B$17)</f>
        <v>6.25E-2</v>
      </c>
      <c r="I14" s="94">
        <v>8</v>
      </c>
      <c r="K14" s="38">
        <v>12</v>
      </c>
      <c r="L14" s="99">
        <v>-176.9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17</v>
      </c>
      <c r="C15" s="37">
        <f>IF(B$13=0,0,B15/B$13)</f>
        <v>0.51515151515151514</v>
      </c>
      <c r="E15" s="63" t="s">
        <v>70</v>
      </c>
      <c r="F15" s="60" t="s">
        <v>25</v>
      </c>
      <c r="G15" s="47">
        <v>1</v>
      </c>
      <c r="H15" s="133">
        <f>IF(B$17=0,0,G15/B$17)</f>
        <v>3.125E-2</v>
      </c>
      <c r="I15" s="94">
        <v>10</v>
      </c>
      <c r="K15" s="38">
        <v>13</v>
      </c>
      <c r="L15" s="99">
        <v>-217.60000000000002</v>
      </c>
      <c r="N15" s="114" t="s">
        <v>167</v>
      </c>
      <c r="O15" s="124">
        <f>IF(P15=0,0,Q15/P15)</f>
        <v>25.7</v>
      </c>
      <c r="P15" s="118">
        <v>2</v>
      </c>
      <c r="Q15" s="106">
        <v>51.4</v>
      </c>
    </row>
    <row r="16" spans="1:17" x14ac:dyDescent="0.4">
      <c r="A16" s="54" t="s">
        <v>125</v>
      </c>
      <c r="B16" s="46">
        <v>11</v>
      </c>
      <c r="C16" s="37">
        <f>IF(B$14=0,0,B16/B$14)</f>
        <v>0.33333333333333331</v>
      </c>
      <c r="E16" s="63" t="s">
        <v>75</v>
      </c>
      <c r="F16" s="60" t="s">
        <v>30</v>
      </c>
      <c r="G16" s="47">
        <v>1</v>
      </c>
      <c r="H16" s="133">
        <f>IF(B$17=0,0,G16/B$17)</f>
        <v>3.125E-2</v>
      </c>
      <c r="I16" s="94">
        <v>1</v>
      </c>
      <c r="K16" s="38">
        <v>14</v>
      </c>
      <c r="L16" s="99">
        <v>-266.90000000000003</v>
      </c>
      <c r="N16" s="115" t="s">
        <v>178</v>
      </c>
      <c r="O16" s="125">
        <f>IF(P16=0,0,Q16/P16)</f>
        <v>-20.209090909090907</v>
      </c>
      <c r="P16" s="119">
        <v>11</v>
      </c>
      <c r="Q16" s="107">
        <v>-222.29999999999998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0.20382165605095542</v>
      </c>
      <c r="E17" s="63" t="s">
        <v>79</v>
      </c>
      <c r="F17" s="60" t="s">
        <v>34</v>
      </c>
      <c r="G17" s="47">
        <v>1</v>
      </c>
      <c r="H17" s="133">
        <f>IF(B$17=0,0,G17/B$17)</f>
        <v>3.125E-2</v>
      </c>
      <c r="I17" s="94">
        <v>2</v>
      </c>
      <c r="K17" s="38">
        <v>15</v>
      </c>
      <c r="L17" s="99">
        <v>-272.50000000000006</v>
      </c>
      <c r="N17" s="115" t="s">
        <v>179</v>
      </c>
      <c r="O17" s="125">
        <f>IF(P17=0,0,Q17/P17)</f>
        <v>-24.055555555555557</v>
      </c>
      <c r="P17" s="119">
        <v>9</v>
      </c>
      <c r="Q17" s="107">
        <v>-216.5</v>
      </c>
    </row>
    <row r="18" spans="1:17" x14ac:dyDescent="0.4">
      <c r="A18" s="55" t="s">
        <v>12</v>
      </c>
      <c r="B18" s="47">
        <v>14</v>
      </c>
      <c r="C18" s="39">
        <f>IF(B$17=0,0,B18/B$17)</f>
        <v>0.4375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-320.30000000000007</v>
      </c>
      <c r="N18" s="115" t="s">
        <v>180</v>
      </c>
      <c r="O18" s="125">
        <f>IF(P18=0,0,Q18/P18)</f>
        <v>-25.799999999999997</v>
      </c>
      <c r="P18" s="119">
        <v>1</v>
      </c>
      <c r="Q18" s="107">
        <v>-25.799999999999997</v>
      </c>
    </row>
    <row r="19" spans="1:17" x14ac:dyDescent="0.4">
      <c r="A19" s="55" t="s">
        <v>11</v>
      </c>
      <c r="B19" s="47">
        <v>18</v>
      </c>
      <c r="C19" s="39">
        <f>IF(B$17=0,0,B19/B$17)</f>
        <v>0.5625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5</v>
      </c>
      <c r="K19" s="38">
        <v>17</v>
      </c>
      <c r="L19" s="99">
        <v>-352.60000000000008</v>
      </c>
      <c r="N19" s="115" t="s">
        <v>127</v>
      </c>
      <c r="O19" s="125">
        <f>IF(P19=0,0,Q19/P19)</f>
        <v>-47.199999999999996</v>
      </c>
      <c r="P19" s="119">
        <v>6</v>
      </c>
      <c r="Q19" s="107">
        <v>-283.2</v>
      </c>
    </row>
    <row r="20" spans="1:17" x14ac:dyDescent="0.4">
      <c r="A20" s="55" t="s">
        <v>13</v>
      </c>
      <c r="B20" s="47">
        <v>34</v>
      </c>
      <c r="C20" s="39">
        <f>IF(B$3=0,0,B20/B$3)</f>
        <v>0.21656050955414013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-355.50000000000006</v>
      </c>
      <c r="N20" s="115" t="s">
        <v>128</v>
      </c>
      <c r="O20" s="125">
        <f>IF(P20=0,0,Q20/P20)</f>
        <v>-49.339999999999996</v>
      </c>
      <c r="P20" s="119">
        <v>5</v>
      </c>
      <c r="Q20" s="107">
        <v>-246.7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-400.60000000000008</v>
      </c>
      <c r="N21" s="115" t="s">
        <v>182</v>
      </c>
      <c r="O21" s="125">
        <f>IF(P21=0,0,Q21/P21)</f>
        <v>-52.525000000000006</v>
      </c>
      <c r="P21" s="119">
        <v>4</v>
      </c>
      <c r="Q21" s="107">
        <v>-210.10000000000002</v>
      </c>
    </row>
    <row r="22" spans="1:17" x14ac:dyDescent="0.4">
      <c r="A22" s="55" t="s">
        <v>171</v>
      </c>
      <c r="B22" s="47">
        <v>16</v>
      </c>
      <c r="C22" s="135">
        <v>8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-428.10000000000008</v>
      </c>
      <c r="N22" s="115" t="s">
        <v>196</v>
      </c>
      <c r="O22" s="125">
        <f>IF(P22=0,0,Q22/P22)</f>
        <v>-65.55</v>
      </c>
      <c r="P22" s="119">
        <v>2</v>
      </c>
      <c r="Q22" s="107">
        <v>-131.1</v>
      </c>
    </row>
    <row r="23" spans="1:17" x14ac:dyDescent="0.4">
      <c r="A23" s="55" t="s">
        <v>5</v>
      </c>
      <c r="B23" s="51">
        <f>IF(B$17=0,0,C23/B$17)</f>
        <v>7496.875</v>
      </c>
      <c r="C23" s="41">
        <v>239900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-9173.5294117647063</v>
      </c>
      <c r="C24" s="45">
        <v>-311900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85100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6</v>
      </c>
    </row>
    <row r="27" spans="1:17" x14ac:dyDescent="0.4">
      <c r="A27" s="57" t="s">
        <v>142</v>
      </c>
      <c r="B27" s="65">
        <v>1</v>
      </c>
      <c r="C27" s="42">
        <f>IF(B$3=0,0,B27/B$3)</f>
        <v>6.369426751592357E-3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17951-A2ED-46C5-B9FB-86C04A926793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11</v>
      </c>
      <c r="C2" s="151"/>
      <c r="E2" s="62" t="s">
        <v>67</v>
      </c>
      <c r="F2" s="59" t="s">
        <v>23</v>
      </c>
      <c r="G2" s="46">
        <v>37</v>
      </c>
      <c r="H2" s="132">
        <f>IF(B$17=0,0,G2/B$17)</f>
        <v>1.088235294117647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2">
        <v>103</v>
      </c>
      <c r="C3" s="153"/>
      <c r="E3" s="63" t="s">
        <v>65</v>
      </c>
      <c r="F3" s="60" t="s">
        <v>21</v>
      </c>
      <c r="G3" s="47">
        <v>21</v>
      </c>
      <c r="H3" s="133">
        <f>IF(B$17=0,0,G3/B$17)</f>
        <v>0.61764705882352944</v>
      </c>
      <c r="I3" s="94">
        <v>1</v>
      </c>
      <c r="K3" s="38">
        <v>1</v>
      </c>
      <c r="L3" s="99">
        <v>70.2</v>
      </c>
      <c r="N3" s="115" t="s">
        <v>132</v>
      </c>
      <c r="O3" s="122">
        <f t="shared" si="0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4">
        <v>126.10000000000001</v>
      </c>
      <c r="C4" s="155"/>
      <c r="E4" s="63" t="s">
        <v>69</v>
      </c>
      <c r="F4" s="60" t="s">
        <v>12</v>
      </c>
      <c r="G4" s="47">
        <v>14</v>
      </c>
      <c r="H4" s="133">
        <f>IF(B$17=0,0,G4/B$17)</f>
        <v>0.41176470588235292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6">
        <f>IF(B$2=0,0,B$4/B$2)</f>
        <v>11.463636363636365</v>
      </c>
      <c r="C5" s="157"/>
      <c r="E5" s="63" t="s">
        <v>172</v>
      </c>
      <c r="F5" s="60" t="s">
        <v>173</v>
      </c>
      <c r="G5" s="47">
        <v>14</v>
      </c>
      <c r="H5" s="133">
        <f>IF(B$17=0,0,G5/B$17)</f>
        <v>0.41176470588235292</v>
      </c>
      <c r="I5" s="94">
        <v>2</v>
      </c>
      <c r="K5" s="38">
        <v>3</v>
      </c>
      <c r="L5" s="99">
        <v>76</v>
      </c>
      <c r="N5" s="115" t="s">
        <v>134</v>
      </c>
      <c r="O5" s="122">
        <f t="shared" si="0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6">
        <f>IF(B$2=0,0,(B$7*1+B$8*2+B$9*3)/B$2)</f>
        <v>1.7272727272727273</v>
      </c>
      <c r="C6" s="147"/>
      <c r="E6" s="63" t="s">
        <v>73</v>
      </c>
      <c r="F6" s="60" t="s">
        <v>28</v>
      </c>
      <c r="G6" s="47">
        <v>10</v>
      </c>
      <c r="H6" s="133">
        <f>IF(B$17=0,0,G6/B$17)</f>
        <v>0.29411764705882354</v>
      </c>
      <c r="I6" s="94">
        <v>10</v>
      </c>
      <c r="K6" s="38">
        <v>4</v>
      </c>
      <c r="L6" s="99">
        <v>115.5</v>
      </c>
      <c r="N6" s="115" t="s">
        <v>135</v>
      </c>
      <c r="O6" s="122">
        <f t="shared" si="0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0.45454545454545453</v>
      </c>
      <c r="E7" s="63" t="s">
        <v>68</v>
      </c>
      <c r="F7" s="60" t="s">
        <v>24</v>
      </c>
      <c r="G7" s="47">
        <v>7</v>
      </c>
      <c r="H7" s="133">
        <f>IF(B$17=0,0,G7/B$17)</f>
        <v>0.20588235294117646</v>
      </c>
      <c r="I7" s="94">
        <v>9</v>
      </c>
      <c r="K7" s="38">
        <v>5</v>
      </c>
      <c r="L7" s="99">
        <v>127.9</v>
      </c>
      <c r="N7" s="116" t="s">
        <v>136</v>
      </c>
      <c r="O7" s="123">
        <f t="shared" si="0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1"/>
        <v>0.36363636363636365</v>
      </c>
      <c r="E8" s="63" t="s">
        <v>70</v>
      </c>
      <c r="F8" s="60" t="s">
        <v>25</v>
      </c>
      <c r="G8" s="47">
        <v>7</v>
      </c>
      <c r="H8" s="133">
        <f>IF(B$17=0,0,G8/B$17)</f>
        <v>0.20588235294117646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0.18181818181818182</v>
      </c>
      <c r="E9" s="63" t="s">
        <v>71</v>
      </c>
      <c r="F9" s="60" t="s">
        <v>26</v>
      </c>
      <c r="G9" s="47">
        <v>5</v>
      </c>
      <c r="H9" s="133">
        <f>IF(B$17=0,0,G9/B$17)</f>
        <v>0.14705882352941177</v>
      </c>
      <c r="I9" s="94">
        <v>2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4</v>
      </c>
      <c r="H10" s="133">
        <f>IF(B$17=0,0,G10/B$17)</f>
        <v>0.11764705882352941</v>
      </c>
      <c r="I10" s="94">
        <v>2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1"/>
        <v>0.18181818181818182</v>
      </c>
      <c r="E11" s="63" t="s">
        <v>66</v>
      </c>
      <c r="F11" s="60" t="s">
        <v>22</v>
      </c>
      <c r="G11" s="47">
        <v>3</v>
      </c>
      <c r="H11" s="133">
        <f>IF(B$17=0,0,G11/B$17)</f>
        <v>8.8235294117647065E-2</v>
      </c>
      <c r="I11" s="94">
        <v>9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2</v>
      </c>
      <c r="H12" s="133">
        <f>IF(B$17=0,0,G12/B$17)</f>
        <v>5.8823529411764705E-2</v>
      </c>
      <c r="I12" s="94">
        <v>4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30</v>
      </c>
      <c r="C13" s="44">
        <f>IF(B$3=0,0,B13/B$3)</f>
        <v>0.29126213592233008</v>
      </c>
      <c r="E13" s="63" t="s">
        <v>90</v>
      </c>
      <c r="F13" s="60" t="s">
        <v>45</v>
      </c>
      <c r="G13" s="47">
        <v>2</v>
      </c>
      <c r="H13" s="133">
        <f>IF(B$17=0,0,G13/B$17)</f>
        <v>5.8823529411764705E-2</v>
      </c>
      <c r="I13" s="94">
        <v>9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0.14563106796116504</v>
      </c>
      <c r="E14" s="63" t="s">
        <v>76</v>
      </c>
      <c r="F14" s="60" t="s">
        <v>31</v>
      </c>
      <c r="G14" s="47">
        <v>1</v>
      </c>
      <c r="H14" s="133">
        <f>IF(B$17=0,0,G14/B$17)</f>
        <v>2.9411764705882353E-2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>IF(B$17=0,0,G15/B$17)</f>
        <v>2.9411764705882353E-2</v>
      </c>
      <c r="I15" s="94">
        <v>4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86</v>
      </c>
      <c r="F16" s="60" t="s">
        <v>41</v>
      </c>
      <c r="G16" s="47">
        <v>1</v>
      </c>
      <c r="H16" s="133">
        <f>IF(B$17=0,0,G16/B$17)</f>
        <v>2.9411764705882353E-2</v>
      </c>
      <c r="I16" s="94">
        <v>1</v>
      </c>
      <c r="N16" s="115" t="s">
        <v>183</v>
      </c>
      <c r="O16" s="125">
        <f>IF(P16=0,0,Q16/P16)</f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88</v>
      </c>
      <c r="F17" s="60" t="s">
        <v>43</v>
      </c>
      <c r="G17" s="47">
        <v>1</v>
      </c>
      <c r="H17" s="133">
        <f>IF(B$17=0,0,G17/B$17)</f>
        <v>2.9411764705882353E-2</v>
      </c>
      <c r="I17" s="94">
        <v>1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>IF(P18=0,0,Q18/P18)</f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5</v>
      </c>
      <c r="N19" s="115" t="s">
        <v>180</v>
      </c>
      <c r="O19" s="125">
        <f>IF(P19=0,0,Q19/P19)</f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>IF(P20=0,0,Q20/P20)</f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N21" s="115" t="s">
        <v>196</v>
      </c>
      <c r="O21" s="125">
        <f>IF(P21=0,0,Q21/P21)</f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  <c r="N22" s="115" t="s">
        <v>127</v>
      </c>
      <c r="O22" s="125">
        <f>IF(P22=0,0,Q22/P22)</f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6</v>
      </c>
    </row>
    <row r="24" spans="1:17" x14ac:dyDescent="0.4">
      <c r="A24" s="57" t="s">
        <v>14</v>
      </c>
      <c r="B24" s="52">
        <f>IF(B$20=0,0,C24/B$20)</f>
        <v>-6041.666666666667</v>
      </c>
      <c r="C24" s="45">
        <v>-72500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7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95200</v>
      </c>
      <c r="C26" s="143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050F5-D0B3-40E9-888E-B46823EBDEE5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7</v>
      </c>
      <c r="C2" s="151"/>
      <c r="E2" s="62" t="s">
        <v>67</v>
      </c>
      <c r="F2" s="59" t="s">
        <v>23</v>
      </c>
      <c r="G2" s="46">
        <v>11</v>
      </c>
      <c r="H2" s="132">
        <f>IF(B$17=0,0,G2/B$17)</f>
        <v>0.73333333333333328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-6085.7142857142853</v>
      </c>
      <c r="P2" s="118">
        <v>7</v>
      </c>
      <c r="Q2" s="102">
        <v>-42600</v>
      </c>
    </row>
    <row r="3" spans="1:17" x14ac:dyDescent="0.4">
      <c r="A3" s="55" t="s">
        <v>8</v>
      </c>
      <c r="B3" s="152">
        <v>62</v>
      </c>
      <c r="C3" s="153"/>
      <c r="E3" s="63" t="s">
        <v>65</v>
      </c>
      <c r="F3" s="60" t="s">
        <v>21</v>
      </c>
      <c r="G3" s="47">
        <v>8</v>
      </c>
      <c r="H3" s="133">
        <f>IF(B$17=0,0,G3/B$17)</f>
        <v>0.53333333333333333</v>
      </c>
      <c r="I3" s="94">
        <v>3</v>
      </c>
      <c r="K3" s="38">
        <v>1</v>
      </c>
      <c r="L3" s="99">
        <v>-46.5</v>
      </c>
      <c r="N3" s="115" t="s">
        <v>132</v>
      </c>
      <c r="O3" s="122">
        <f t="shared" si="0"/>
        <v>166.66666666666666</v>
      </c>
      <c r="P3" s="119">
        <v>6</v>
      </c>
      <c r="Q3" s="103">
        <v>1000</v>
      </c>
    </row>
    <row r="4" spans="1:17" x14ac:dyDescent="0.4">
      <c r="A4" s="55" t="s">
        <v>6</v>
      </c>
      <c r="B4" s="154">
        <v>-104.80000000000001</v>
      </c>
      <c r="C4" s="155"/>
      <c r="E4" s="63" t="s">
        <v>68</v>
      </c>
      <c r="F4" s="60" t="s">
        <v>24</v>
      </c>
      <c r="G4" s="47">
        <v>7</v>
      </c>
      <c r="H4" s="133">
        <f>IF(B$17=0,0,G4/B$17)</f>
        <v>0.46666666666666667</v>
      </c>
      <c r="I4" s="94">
        <v>1</v>
      </c>
      <c r="K4" s="38">
        <v>2</v>
      </c>
      <c r="L4" s="99">
        <v>-25.4</v>
      </c>
      <c r="N4" s="115" t="s">
        <v>133</v>
      </c>
      <c r="O4" s="122">
        <f t="shared" si="0"/>
        <v>-6066.666666666667</v>
      </c>
      <c r="P4" s="119">
        <v>6</v>
      </c>
      <c r="Q4" s="103">
        <v>-36400</v>
      </c>
    </row>
    <row r="5" spans="1:17" x14ac:dyDescent="0.4">
      <c r="A5" s="55" t="s">
        <v>7</v>
      </c>
      <c r="B5" s="156">
        <f>IF(B$2=0,0,B$4/B$2)</f>
        <v>-14.971428571428573</v>
      </c>
      <c r="C5" s="157"/>
      <c r="E5" s="63" t="s">
        <v>73</v>
      </c>
      <c r="F5" s="60" t="s">
        <v>28</v>
      </c>
      <c r="G5" s="47">
        <v>7</v>
      </c>
      <c r="H5" s="133">
        <f>IF(B$17=0,0,G5/B$17)</f>
        <v>0.46666666666666667</v>
      </c>
      <c r="I5" s="94">
        <v>9</v>
      </c>
      <c r="K5" s="38">
        <v>3</v>
      </c>
      <c r="L5" s="99">
        <v>-71.900000000000006</v>
      </c>
      <c r="N5" s="115" t="s">
        <v>134</v>
      </c>
      <c r="O5" s="122">
        <f t="shared" si="0"/>
        <v>-3333.3333333333335</v>
      </c>
      <c r="P5" s="119">
        <v>6</v>
      </c>
      <c r="Q5" s="103">
        <v>-20000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172</v>
      </c>
      <c r="F6" s="60" t="s">
        <v>173</v>
      </c>
      <c r="G6" s="47">
        <v>5</v>
      </c>
      <c r="H6" s="133">
        <f>IF(B$17=0,0,G6/B$17)</f>
        <v>0.33333333333333331</v>
      </c>
      <c r="I6" s="94">
        <v>8</v>
      </c>
      <c r="K6" s="38">
        <v>4</v>
      </c>
      <c r="L6" s="99">
        <v>-37.400000000000006</v>
      </c>
      <c r="N6" s="115" t="s">
        <v>135</v>
      </c>
      <c r="O6" s="122">
        <f t="shared" si="0"/>
        <v>4566.666666666667</v>
      </c>
      <c r="P6" s="119">
        <v>3</v>
      </c>
      <c r="Q6" s="103">
        <v>13700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0.42857142857142855</v>
      </c>
      <c r="E7" s="63" t="s">
        <v>66</v>
      </c>
      <c r="F7" s="60" t="s">
        <v>22</v>
      </c>
      <c r="G7" s="47">
        <v>3</v>
      </c>
      <c r="H7" s="133">
        <f>IF(B$17=0,0,G7/B$17)</f>
        <v>0.2</v>
      </c>
      <c r="I7" s="94">
        <v>1</v>
      </c>
      <c r="K7" s="38">
        <v>5</v>
      </c>
      <c r="L7" s="99">
        <v>-12.100000000000005</v>
      </c>
      <c r="N7" s="116" t="s">
        <v>136</v>
      </c>
      <c r="O7" s="123">
        <f t="shared" si="0"/>
        <v>-5250</v>
      </c>
      <c r="P7" s="120">
        <v>2</v>
      </c>
      <c r="Q7" s="104">
        <v>-10500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69</v>
      </c>
      <c r="F8" s="60" t="s">
        <v>12</v>
      </c>
      <c r="G8" s="47">
        <v>3</v>
      </c>
      <c r="H8" s="133">
        <f>IF(B$17=0,0,G8/B$17)</f>
        <v>0.2</v>
      </c>
      <c r="I8" s="94">
        <v>10</v>
      </c>
      <c r="K8" s="38">
        <v>6</v>
      </c>
      <c r="L8" s="99">
        <v>-59.300000000000011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0.5714285714285714</v>
      </c>
      <c r="E9" s="63" t="s">
        <v>90</v>
      </c>
      <c r="F9" s="60" t="s">
        <v>45</v>
      </c>
      <c r="G9" s="47">
        <v>2</v>
      </c>
      <c r="H9" s="133">
        <f>IF(B$17=0,0,G9/B$17)</f>
        <v>0.13333333333333333</v>
      </c>
      <c r="I9" s="94">
        <v>4</v>
      </c>
      <c r="K9" s="38">
        <v>7</v>
      </c>
      <c r="L9" s="99">
        <v>-104.80000000000001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0.5714285714285714</v>
      </c>
      <c r="E10" s="63" t="s">
        <v>70</v>
      </c>
      <c r="F10" s="60" t="s">
        <v>25</v>
      </c>
      <c r="G10" s="47">
        <v>1</v>
      </c>
      <c r="H10" s="133">
        <f>IF(B$17=0,0,G10/B$17)</f>
        <v>6.6666666666666666E-2</v>
      </c>
      <c r="I10" s="94">
        <v>9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0.14285714285714285</v>
      </c>
      <c r="E11" s="63" t="s">
        <v>71</v>
      </c>
      <c r="F11" s="60" t="s">
        <v>26</v>
      </c>
      <c r="G11" s="47">
        <v>1</v>
      </c>
      <c r="H11" s="133">
        <f>IF(B$17=0,0,G11/B$17)</f>
        <v>6.6666666666666666E-2</v>
      </c>
      <c r="I11" s="94">
        <v>6</v>
      </c>
      <c r="N11" s="115" t="s">
        <v>164</v>
      </c>
      <c r="O11" s="125">
        <f>IF(P11=0,0,Q11/P11)</f>
        <v>-9.8833333333333346</v>
      </c>
      <c r="P11" s="119">
        <v>6</v>
      </c>
      <c r="Q11" s="107">
        <v>-59.300000000000011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1</v>
      </c>
      <c r="H12" s="133">
        <f>IF(B$17=0,0,G12/B$17)</f>
        <v>6.6666666666666666E-2</v>
      </c>
      <c r="I12" s="94">
        <v>7</v>
      </c>
      <c r="N12" s="116" t="s">
        <v>165</v>
      </c>
      <c r="O12" s="126">
        <f>IF(P12=0,0,Q12/P12)</f>
        <v>-45.5</v>
      </c>
      <c r="P12" s="120">
        <v>1</v>
      </c>
      <c r="Q12" s="108">
        <v>-45.5</v>
      </c>
    </row>
    <row r="13" spans="1:17" x14ac:dyDescent="0.4">
      <c r="A13" s="58" t="s">
        <v>122</v>
      </c>
      <c r="B13" s="50">
        <v>15</v>
      </c>
      <c r="C13" s="44">
        <f>IF(B$3=0,0,B13/B$3)</f>
        <v>0.24193548387096775</v>
      </c>
      <c r="E13" s="63" t="s">
        <v>80</v>
      </c>
      <c r="F13" s="60" t="s">
        <v>35</v>
      </c>
      <c r="G13" s="47">
        <v>1</v>
      </c>
      <c r="H13" s="133">
        <f>IF(B$17=0,0,G13/B$17)</f>
        <v>6.6666666666666666E-2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</v>
      </c>
      <c r="C14" s="39">
        <f>IF(B$3=0,0,B14/B$3)</f>
        <v>0.35483870967741937</v>
      </c>
      <c r="E14" s="63" t="s">
        <v>84</v>
      </c>
      <c r="F14" s="60" t="s">
        <v>39</v>
      </c>
      <c r="G14" s="47">
        <v>1</v>
      </c>
      <c r="H14" s="133">
        <f>IF(B$17=0,0,G14/B$17)</f>
        <v>6.6666666666666666E-2</v>
      </c>
      <c r="I14" s="94">
        <v>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8</v>
      </c>
      <c r="C15" s="37">
        <f>IF(B$13=0,0,B15/B$13)</f>
        <v>0.53333333333333333</v>
      </c>
      <c r="E15" s="63" t="s">
        <v>87</v>
      </c>
      <c r="F15" s="60" t="s">
        <v>42</v>
      </c>
      <c r="G15" s="47">
        <v>1</v>
      </c>
      <c r="H15" s="133">
        <f>IF(B$17=0,0,G15/B$17)</f>
        <v>6.6666666666666666E-2</v>
      </c>
      <c r="I15" s="94">
        <v>1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6</v>
      </c>
      <c r="C16" s="37">
        <f>IF(B$14=0,0,B16/B$14)</f>
        <v>0.27272727272727271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1</v>
      </c>
      <c r="N16" s="115" t="s">
        <v>180</v>
      </c>
      <c r="O16" s="125">
        <f>IF(P16=0,0,Q16/P16)</f>
        <v>56.6</v>
      </c>
      <c r="P16" s="119">
        <v>1</v>
      </c>
      <c r="Q16" s="107">
        <v>56.6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0.24193548387096775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5</v>
      </c>
      <c r="N17" s="115" t="s">
        <v>182</v>
      </c>
      <c r="O17" s="125">
        <f>IF(P17=0,0,Q17/P17)</f>
        <v>17.850000000000001</v>
      </c>
      <c r="P17" s="119">
        <v>2</v>
      </c>
      <c r="Q17" s="107">
        <v>35.700000000000003</v>
      </c>
    </row>
    <row r="18" spans="1:17" x14ac:dyDescent="0.4">
      <c r="A18" s="55" t="s">
        <v>12</v>
      </c>
      <c r="B18" s="47">
        <v>5</v>
      </c>
      <c r="C18" s="39">
        <f>IF(B$17=0,0,B18/B$17)</f>
        <v>0.33333333333333331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5</v>
      </c>
      <c r="N18" s="115" t="s">
        <v>179</v>
      </c>
      <c r="O18" s="125">
        <f>IF(P18=0,0,Q18/P18)</f>
        <v>-53.179999999999993</v>
      </c>
      <c r="P18" s="119">
        <v>5</v>
      </c>
      <c r="Q18" s="107">
        <v>-265.89999999999998</v>
      </c>
    </row>
    <row r="19" spans="1:17" x14ac:dyDescent="0.4">
      <c r="A19" s="55" t="s">
        <v>11</v>
      </c>
      <c r="B19" s="47">
        <v>10</v>
      </c>
      <c r="C19" s="39">
        <f>IF(B$17=0,0,B19/B$17)</f>
        <v>0.66666666666666663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178</v>
      </c>
      <c r="O19" s="125">
        <f>IF(P19=0,0,Q19/P19)</f>
        <v>-60.650000000000006</v>
      </c>
      <c r="P19" s="119">
        <v>2</v>
      </c>
      <c r="Q19" s="107">
        <v>-121.30000000000001</v>
      </c>
    </row>
    <row r="20" spans="1:17" x14ac:dyDescent="0.4">
      <c r="A20" s="55" t="s">
        <v>13</v>
      </c>
      <c r="B20" s="47">
        <v>12</v>
      </c>
      <c r="C20" s="39">
        <f>IF(B$3=0,0,B20/B$3)</f>
        <v>0.19354838709677419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128</v>
      </c>
      <c r="O20" s="125">
        <f>IF(P20=0,0,Q20/P20)</f>
        <v>-75.3</v>
      </c>
      <c r="P20" s="119">
        <v>2</v>
      </c>
      <c r="Q20" s="107">
        <v>-150.6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171</v>
      </c>
      <c r="B22" s="47">
        <v>13</v>
      </c>
      <c r="C22" s="135">
        <v>0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7473.333333333333</v>
      </c>
      <c r="C23" s="41">
        <v>112100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9</v>
      </c>
    </row>
    <row r="24" spans="1:17" x14ac:dyDescent="0.4">
      <c r="A24" s="57" t="s">
        <v>14</v>
      </c>
      <c r="B24" s="52">
        <f>IF(B$20=0,0,C24/B$20)</f>
        <v>-9075</v>
      </c>
      <c r="C24" s="45">
        <v>-108900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6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B9306-888B-40BF-99CA-5E9A6A767D04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  <row r="8" spans="1:17" x14ac:dyDescent="0.4">
      <c r="A8" s="69">
        <v>5</v>
      </c>
      <c r="B8" s="66">
        <v>-12.100000000000005</v>
      </c>
      <c r="C8" s="66">
        <v>-2.4200000000000008</v>
      </c>
      <c r="D8" s="71">
        <v>1.8</v>
      </c>
      <c r="E8" s="67">
        <v>0.6</v>
      </c>
      <c r="F8" s="67">
        <v>0.4</v>
      </c>
      <c r="G8" s="67">
        <v>0.29166666666666669</v>
      </c>
      <c r="H8" s="67">
        <v>0.16666666666666666</v>
      </c>
      <c r="I8" s="68">
        <v>7914.2857142857147</v>
      </c>
      <c r="J8" s="68">
        <v>-8962.5</v>
      </c>
      <c r="K8" s="67">
        <v>0.4</v>
      </c>
      <c r="L8" s="67">
        <v>0.2</v>
      </c>
      <c r="M8" s="67">
        <v>0.27083333333333331</v>
      </c>
      <c r="N8" s="67">
        <v>0.375</v>
      </c>
      <c r="O8" s="67">
        <v>0.53846153846153844</v>
      </c>
      <c r="P8" s="67">
        <v>0.33333333333333331</v>
      </c>
      <c r="Q8" s="67">
        <v>0.35714285714285715</v>
      </c>
    </row>
    <row r="9" spans="1:17" x14ac:dyDescent="0.4">
      <c r="A9" s="69">
        <v>6</v>
      </c>
      <c r="B9" s="66">
        <v>-59.300000000000011</v>
      </c>
      <c r="C9" s="66">
        <v>-9.8833333333333346</v>
      </c>
      <c r="D9" s="71">
        <v>2</v>
      </c>
      <c r="E9" s="67">
        <v>0.5</v>
      </c>
      <c r="F9" s="67">
        <v>0.5</v>
      </c>
      <c r="G9" s="67">
        <v>0.25454545454545452</v>
      </c>
      <c r="H9" s="67">
        <v>0.18181818181818182</v>
      </c>
      <c r="I9" s="68">
        <v>7914.2857142857147</v>
      </c>
      <c r="J9" s="68">
        <v>-8140</v>
      </c>
      <c r="K9" s="67">
        <v>0.5</v>
      </c>
      <c r="L9" s="67">
        <v>0.16666666666666666</v>
      </c>
      <c r="M9" s="67">
        <v>0.23636363636363636</v>
      </c>
      <c r="N9" s="67">
        <v>0.38181818181818183</v>
      </c>
      <c r="O9" s="67">
        <v>0.53846153846153844</v>
      </c>
      <c r="P9" s="67">
        <v>0.2857142857142857</v>
      </c>
      <c r="Q9" s="67">
        <v>0.35714285714285715</v>
      </c>
    </row>
    <row r="10" spans="1:17" x14ac:dyDescent="0.4">
      <c r="A10" s="69">
        <v>7</v>
      </c>
      <c r="B10" s="66">
        <v>-104.80000000000001</v>
      </c>
      <c r="C10" s="66">
        <v>-14.971428571428573</v>
      </c>
      <c r="D10" s="71">
        <v>2.1428571428571428</v>
      </c>
      <c r="E10" s="67">
        <v>0.42857142857142855</v>
      </c>
      <c r="F10" s="67">
        <v>0.5714285714285714</v>
      </c>
      <c r="G10" s="67">
        <v>0.24193548387096775</v>
      </c>
      <c r="H10" s="67">
        <v>0.19354838709677419</v>
      </c>
      <c r="I10" s="68">
        <v>7473.333333333333</v>
      </c>
      <c r="J10" s="68">
        <v>-9075</v>
      </c>
      <c r="K10" s="67">
        <v>0.5714285714285714</v>
      </c>
      <c r="L10" s="67">
        <v>0.14285714285714285</v>
      </c>
      <c r="M10" s="67">
        <v>0.24193548387096775</v>
      </c>
      <c r="N10" s="67">
        <v>0.35483870967741937</v>
      </c>
      <c r="O10" s="67">
        <v>0.53333333333333333</v>
      </c>
      <c r="P10" s="67">
        <v>0.27272727272727271</v>
      </c>
      <c r="Q10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8AD5A-9B37-4BB1-B221-F1123A4BE99E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938B0-9E22-4BBA-93CC-34392BA1D81D}">
  <sheetPr codeName="Sheet20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  <row r="12" spans="1:17" x14ac:dyDescent="0.4">
      <c r="A12" s="69">
        <v>9</v>
      </c>
      <c r="B12" s="66">
        <v>-150.6</v>
      </c>
      <c r="C12" s="66">
        <v>-16.733333333333334</v>
      </c>
      <c r="D12" s="71">
        <v>2.4444444444444446</v>
      </c>
      <c r="E12" s="67">
        <v>0.1111111111111111</v>
      </c>
      <c r="F12" s="67">
        <v>0.55555555555555558</v>
      </c>
      <c r="G12" s="67">
        <v>0.21333333333333335</v>
      </c>
      <c r="H12" s="67">
        <v>0.25333333333333335</v>
      </c>
      <c r="I12" s="68">
        <v>9350</v>
      </c>
      <c r="J12" s="68">
        <v>-9452.6315789473683</v>
      </c>
      <c r="K12" s="67">
        <v>0.22222222222222221</v>
      </c>
      <c r="L12" s="67">
        <v>0.1111111111111111</v>
      </c>
      <c r="M12" s="67">
        <v>0.26666666666666666</v>
      </c>
      <c r="N12" s="67">
        <v>0.21333333333333335</v>
      </c>
      <c r="O12" s="67">
        <v>0.5</v>
      </c>
      <c r="P12" s="67">
        <v>0.375</v>
      </c>
      <c r="Q12" s="67">
        <v>0.5625</v>
      </c>
    </row>
    <row r="13" spans="1:17" x14ac:dyDescent="0.4">
      <c r="A13" s="69">
        <v>10</v>
      </c>
      <c r="B13" s="66">
        <v>-151.1</v>
      </c>
      <c r="C13" s="66">
        <v>-15.11</v>
      </c>
      <c r="D13" s="71">
        <v>2.4</v>
      </c>
      <c r="E13" s="67">
        <v>0.1</v>
      </c>
      <c r="F13" s="67">
        <v>0.5</v>
      </c>
      <c r="G13" s="67">
        <v>0.2289156626506024</v>
      </c>
      <c r="H13" s="67">
        <v>0.2289156626506024</v>
      </c>
      <c r="I13" s="68">
        <v>8273.6842105263149</v>
      </c>
      <c r="J13" s="68">
        <v>-9452.6315789473683</v>
      </c>
      <c r="K13" s="67">
        <v>0.2</v>
      </c>
      <c r="L13" s="67">
        <v>0.1</v>
      </c>
      <c r="M13" s="67">
        <v>0.25301204819277107</v>
      </c>
      <c r="N13" s="67">
        <v>0.2289156626506024</v>
      </c>
      <c r="O13" s="67">
        <v>0.52380952380952384</v>
      </c>
      <c r="P13" s="67">
        <v>0.42105263157894735</v>
      </c>
      <c r="Q13" s="67">
        <v>0.52631578947368418</v>
      </c>
    </row>
    <row r="14" spans="1:17" x14ac:dyDescent="0.4">
      <c r="A14" s="69">
        <v>11</v>
      </c>
      <c r="B14" s="66">
        <v>-175</v>
      </c>
      <c r="C14" s="66">
        <v>-15.909090909090908</v>
      </c>
      <c r="D14" s="71">
        <v>2.4545454545454546</v>
      </c>
      <c r="E14" s="67">
        <v>9.0909090909090912E-2</v>
      </c>
      <c r="F14" s="67">
        <v>0.54545454545454541</v>
      </c>
      <c r="G14" s="67">
        <v>0.22222222222222221</v>
      </c>
      <c r="H14" s="67">
        <v>0.22222222222222221</v>
      </c>
      <c r="I14" s="68">
        <v>8760</v>
      </c>
      <c r="J14" s="68">
        <v>-10180</v>
      </c>
      <c r="K14" s="67">
        <v>0.18181818181818182</v>
      </c>
      <c r="L14" s="67">
        <v>9.0909090909090912E-2</v>
      </c>
      <c r="M14" s="67">
        <v>0.24444444444444444</v>
      </c>
      <c r="N14" s="67">
        <v>0.23333333333333334</v>
      </c>
      <c r="O14" s="67">
        <v>0.54545454545454541</v>
      </c>
      <c r="P14" s="67">
        <v>0.38095238095238093</v>
      </c>
      <c r="Q14" s="67">
        <v>0.5</v>
      </c>
    </row>
    <row r="15" spans="1:17" x14ac:dyDescent="0.4">
      <c r="A15" s="69">
        <v>12</v>
      </c>
      <c r="B15" s="66">
        <v>-176.9</v>
      </c>
      <c r="C15" s="66">
        <v>-14.741666666666667</v>
      </c>
      <c r="D15" s="71">
        <v>2.4166666666666665</v>
      </c>
      <c r="E15" s="67">
        <v>8.3333333333333329E-2</v>
      </c>
      <c r="F15" s="67">
        <v>0.5</v>
      </c>
      <c r="G15" s="67">
        <v>0.23711340206185566</v>
      </c>
      <c r="H15" s="67">
        <v>0.21649484536082475</v>
      </c>
      <c r="I15" s="68">
        <v>8543.4782608695659</v>
      </c>
      <c r="J15" s="68">
        <v>-10061.904761904761</v>
      </c>
      <c r="K15" s="67">
        <v>0.16666666666666666</v>
      </c>
      <c r="L15" s="67">
        <v>8.3333333333333329E-2</v>
      </c>
      <c r="M15" s="67">
        <v>0.24742268041237114</v>
      </c>
      <c r="N15" s="67">
        <v>0.22680412371134021</v>
      </c>
      <c r="O15" s="67">
        <v>0.58333333333333337</v>
      </c>
      <c r="P15" s="67">
        <v>0.36363636363636365</v>
      </c>
      <c r="Q15" s="67">
        <v>0.47826086956521741</v>
      </c>
    </row>
    <row r="16" spans="1:17" x14ac:dyDescent="0.4">
      <c r="A16" s="69">
        <v>13</v>
      </c>
      <c r="B16" s="66">
        <v>-217.60000000000002</v>
      </c>
      <c r="C16" s="66">
        <v>-16.738461538461539</v>
      </c>
      <c r="D16" s="71">
        <v>2.4615384615384617</v>
      </c>
      <c r="E16" s="67">
        <v>7.6923076923076927E-2</v>
      </c>
      <c r="F16" s="67">
        <v>0.53846153846153844</v>
      </c>
      <c r="G16" s="67">
        <v>0.22857142857142856</v>
      </c>
      <c r="H16" s="67">
        <v>0.21904761904761905</v>
      </c>
      <c r="I16" s="68">
        <v>8354.1666666666661</v>
      </c>
      <c r="J16" s="68">
        <v>-9747.826086956522</v>
      </c>
      <c r="K16" s="67">
        <v>0.15384615384615385</v>
      </c>
      <c r="L16" s="67">
        <v>7.6923076923076927E-2</v>
      </c>
      <c r="M16" s="67">
        <v>0.24761904761904763</v>
      </c>
      <c r="N16" s="67">
        <v>0.22857142857142856</v>
      </c>
      <c r="O16" s="67">
        <v>0.57692307692307687</v>
      </c>
      <c r="P16" s="67">
        <v>0.33333333333333331</v>
      </c>
      <c r="Q16" s="67">
        <v>0.5</v>
      </c>
    </row>
    <row r="17" spans="1:17" x14ac:dyDescent="0.4">
      <c r="A17" s="69">
        <v>14</v>
      </c>
      <c r="B17" s="66">
        <v>-266.90000000000003</v>
      </c>
      <c r="C17" s="66">
        <v>-19.064285714285717</v>
      </c>
      <c r="D17" s="71">
        <v>2.5</v>
      </c>
      <c r="E17" s="67">
        <v>7.1428571428571425E-2</v>
      </c>
      <c r="F17" s="67">
        <v>0.5714285714285714</v>
      </c>
      <c r="G17" s="67">
        <v>0.22413793103448276</v>
      </c>
      <c r="H17" s="67">
        <v>0.21551724137931033</v>
      </c>
      <c r="I17" s="68">
        <v>8296.1538461538457</v>
      </c>
      <c r="J17" s="68">
        <v>-9804</v>
      </c>
      <c r="K17" s="67">
        <v>0.21428571428571427</v>
      </c>
      <c r="L17" s="67">
        <v>7.1428571428571425E-2</v>
      </c>
      <c r="M17" s="67">
        <v>0.26724137931034481</v>
      </c>
      <c r="N17" s="67">
        <v>0.21551724137931033</v>
      </c>
      <c r="O17" s="67">
        <v>0.5161290322580645</v>
      </c>
      <c r="P17" s="67">
        <v>0.36</v>
      </c>
      <c r="Q17" s="67">
        <v>0.5</v>
      </c>
    </row>
    <row r="18" spans="1:17" x14ac:dyDescent="0.4">
      <c r="A18" s="69">
        <v>15</v>
      </c>
      <c r="B18" s="66">
        <v>-272.50000000000006</v>
      </c>
      <c r="C18" s="66">
        <v>-18.166666666666671</v>
      </c>
      <c r="D18" s="71">
        <v>2.4666666666666668</v>
      </c>
      <c r="E18" s="67">
        <v>6.6666666666666666E-2</v>
      </c>
      <c r="F18" s="67">
        <v>0.53333333333333333</v>
      </c>
      <c r="G18" s="67">
        <v>0.22131147540983606</v>
      </c>
      <c r="H18" s="67">
        <v>0.20491803278688525</v>
      </c>
      <c r="I18" s="68">
        <v>8133.333333333333</v>
      </c>
      <c r="J18" s="68">
        <v>-9804</v>
      </c>
      <c r="K18" s="67">
        <v>0.2</v>
      </c>
      <c r="L18" s="67">
        <v>6.6666666666666666E-2</v>
      </c>
      <c r="M18" s="67">
        <v>0.25409836065573771</v>
      </c>
      <c r="N18" s="67">
        <v>0.22950819672131148</v>
      </c>
      <c r="O18" s="67">
        <v>0.5161290322580645</v>
      </c>
      <c r="P18" s="67">
        <v>0.35714285714285715</v>
      </c>
      <c r="Q18" s="67">
        <v>0.48148148148148145</v>
      </c>
    </row>
    <row r="19" spans="1:17" x14ac:dyDescent="0.4">
      <c r="A19" s="69">
        <v>16</v>
      </c>
      <c r="B19" s="66">
        <v>-320.30000000000007</v>
      </c>
      <c r="C19" s="66">
        <v>-20.018750000000004</v>
      </c>
      <c r="D19" s="71">
        <v>2.5</v>
      </c>
      <c r="E19" s="67">
        <v>6.25E-2</v>
      </c>
      <c r="F19" s="67">
        <v>0.5625</v>
      </c>
      <c r="G19" s="67">
        <v>0.21875</v>
      </c>
      <c r="H19" s="67">
        <v>0.21875</v>
      </c>
      <c r="I19" s="68">
        <v>7917.8571428571431</v>
      </c>
      <c r="J19" s="68">
        <v>-9821.4285714285706</v>
      </c>
      <c r="K19" s="67">
        <v>0.25</v>
      </c>
      <c r="L19" s="67">
        <v>6.25E-2</v>
      </c>
      <c r="M19" s="67">
        <v>0.2421875</v>
      </c>
      <c r="N19" s="67">
        <v>0.234375</v>
      </c>
      <c r="O19" s="67">
        <v>0.5161290322580645</v>
      </c>
      <c r="P19" s="67">
        <v>0.33333333333333331</v>
      </c>
      <c r="Q19" s="67">
        <v>0.5</v>
      </c>
    </row>
    <row r="20" spans="1:17" x14ac:dyDescent="0.4">
      <c r="A20" s="69">
        <v>17</v>
      </c>
      <c r="B20" s="66">
        <v>-352.60000000000008</v>
      </c>
      <c r="C20" s="66">
        <v>-20.74117647058824</v>
      </c>
      <c r="D20" s="71">
        <v>2.5294117647058822</v>
      </c>
      <c r="E20" s="67">
        <v>5.8823529411764705E-2</v>
      </c>
      <c r="F20" s="67">
        <v>0.58823529411764708</v>
      </c>
      <c r="G20" s="67">
        <v>0.22058823529411764</v>
      </c>
      <c r="H20" s="67">
        <v>0.22794117647058823</v>
      </c>
      <c r="I20" s="68">
        <v>7876.666666666667</v>
      </c>
      <c r="J20" s="68">
        <v>-9593.5483870967746</v>
      </c>
      <c r="K20" s="67">
        <v>0.23529411764705882</v>
      </c>
      <c r="L20" s="67">
        <v>5.8823529411764705E-2</v>
      </c>
      <c r="M20" s="67">
        <v>0.23529411764705882</v>
      </c>
      <c r="N20" s="67">
        <v>0.22794117647058823</v>
      </c>
      <c r="O20" s="67">
        <v>0.53125</v>
      </c>
      <c r="P20" s="67">
        <v>0.32258064516129031</v>
      </c>
      <c r="Q20" s="67">
        <v>0.46666666666666667</v>
      </c>
    </row>
    <row r="21" spans="1:17" x14ac:dyDescent="0.4">
      <c r="A21" s="69">
        <v>18</v>
      </c>
      <c r="B21" s="66">
        <v>-355.50000000000006</v>
      </c>
      <c r="C21" s="66">
        <v>-19.750000000000004</v>
      </c>
      <c r="D21" s="71">
        <v>2.5</v>
      </c>
      <c r="E21" s="67">
        <v>5.5555555555555552E-2</v>
      </c>
      <c r="F21" s="67">
        <v>0.55555555555555558</v>
      </c>
      <c r="G21" s="67">
        <v>0.22377622377622378</v>
      </c>
      <c r="H21" s="67">
        <v>0.21678321678321677</v>
      </c>
      <c r="I21" s="68">
        <v>7496.875</v>
      </c>
      <c r="J21" s="68">
        <v>-9593.5483870967746</v>
      </c>
      <c r="K21" s="67">
        <v>0.22222222222222221</v>
      </c>
      <c r="L21" s="67">
        <v>5.5555555555555552E-2</v>
      </c>
      <c r="M21" s="67">
        <v>0.23076923076923078</v>
      </c>
      <c r="N21" s="67">
        <v>0.23076923076923078</v>
      </c>
      <c r="O21" s="67">
        <v>0.51515151515151514</v>
      </c>
      <c r="P21" s="67">
        <v>0.33333333333333331</v>
      </c>
      <c r="Q21" s="67">
        <v>0.4375</v>
      </c>
    </row>
    <row r="22" spans="1:17" x14ac:dyDescent="0.4">
      <c r="A22" s="69">
        <v>19</v>
      </c>
      <c r="B22" s="66">
        <v>-400.60000000000008</v>
      </c>
      <c r="C22" s="66">
        <v>-21.084210526315793</v>
      </c>
      <c r="D22" s="71">
        <v>2.5263157894736841</v>
      </c>
      <c r="E22" s="67">
        <v>5.2631578947368418E-2</v>
      </c>
      <c r="F22" s="67">
        <v>0.57894736842105265</v>
      </c>
      <c r="G22" s="67">
        <v>0.2119205298013245</v>
      </c>
      <c r="H22" s="67">
        <v>0.2251655629139073</v>
      </c>
      <c r="I22" s="68">
        <v>7496.875</v>
      </c>
      <c r="J22" s="68">
        <v>-9173.5294117647063</v>
      </c>
      <c r="K22" s="67">
        <v>0.26315789473684209</v>
      </c>
      <c r="L22" s="67">
        <v>5.2631578947368418E-2</v>
      </c>
      <c r="M22" s="67">
        <v>0.2185430463576159</v>
      </c>
      <c r="N22" s="67">
        <v>0.2185430463576159</v>
      </c>
      <c r="O22" s="67">
        <v>0.51515151515151514</v>
      </c>
      <c r="P22" s="67">
        <v>0.33333333333333331</v>
      </c>
      <c r="Q22" s="67">
        <v>0.4375</v>
      </c>
    </row>
    <row r="23" spans="1:17" x14ac:dyDescent="0.4">
      <c r="A23" s="69">
        <v>20</v>
      </c>
      <c r="B23" s="66">
        <v>-428.10000000000008</v>
      </c>
      <c r="C23" s="66">
        <v>-21.405000000000005</v>
      </c>
      <c r="D23" s="71">
        <v>2.5499999999999998</v>
      </c>
      <c r="E23" s="67">
        <v>0.05</v>
      </c>
      <c r="F23" s="67">
        <v>0.6</v>
      </c>
      <c r="G23" s="67">
        <v>0.20382165605095542</v>
      </c>
      <c r="H23" s="67">
        <v>0.21656050955414013</v>
      </c>
      <c r="I23" s="68">
        <v>7496.875</v>
      </c>
      <c r="J23" s="68">
        <v>-9173.5294117647063</v>
      </c>
      <c r="K23" s="67">
        <v>0.25</v>
      </c>
      <c r="L23" s="67">
        <v>0.05</v>
      </c>
      <c r="M23" s="67">
        <v>0.21019108280254778</v>
      </c>
      <c r="N23" s="67">
        <v>0.21019108280254778</v>
      </c>
      <c r="O23" s="67">
        <v>0.51515151515151514</v>
      </c>
      <c r="P23" s="67">
        <v>0.33333333333333331</v>
      </c>
      <c r="Q23" s="67">
        <v>0.4375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3CB1E-BA07-4634-AB98-24460B6FD043}">
  <sheetPr codeName="Sheet18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  <row r="21" spans="1:17" x14ac:dyDescent="0.4">
      <c r="A21" s="69">
        <v>18</v>
      </c>
      <c r="B21" s="66">
        <v>-62.399999999999991</v>
      </c>
      <c r="C21" s="66">
        <v>-3.4666666666666663</v>
      </c>
      <c r="D21" s="71">
        <v>2.1111111111111112</v>
      </c>
      <c r="E21" s="67">
        <v>0.27777777777777779</v>
      </c>
      <c r="F21" s="67">
        <v>0.3888888888888889</v>
      </c>
      <c r="G21" s="67">
        <v>0.27380952380952384</v>
      </c>
      <c r="H21" s="67">
        <v>0.13095238095238096</v>
      </c>
      <c r="I21" s="68">
        <v>7491.304347826087</v>
      </c>
      <c r="J21" s="68">
        <v>-7331.818181818182</v>
      </c>
      <c r="K21" s="67">
        <v>0.16666666666666666</v>
      </c>
      <c r="L21" s="67">
        <v>5.5555555555555552E-2</v>
      </c>
      <c r="M21" s="67">
        <v>0.25</v>
      </c>
      <c r="N21" s="67">
        <v>0.25</v>
      </c>
      <c r="O21" s="67">
        <v>0.47619047619047616</v>
      </c>
      <c r="P21" s="67">
        <v>0.52380952380952384</v>
      </c>
      <c r="Q21" s="67">
        <v>0.36956521739130432</v>
      </c>
    </row>
    <row r="22" spans="1:17" x14ac:dyDescent="0.4">
      <c r="A22" s="69">
        <v>19</v>
      </c>
      <c r="B22" s="66">
        <v>-56.399999999999991</v>
      </c>
      <c r="C22" s="66">
        <v>-2.9684210526315784</v>
      </c>
      <c r="D22" s="71">
        <v>2.1052631578947367</v>
      </c>
      <c r="E22" s="67">
        <v>0.26315789473684209</v>
      </c>
      <c r="F22" s="67">
        <v>0.36842105263157893</v>
      </c>
      <c r="G22" s="67">
        <v>0.27840909090909088</v>
      </c>
      <c r="H22" s="67">
        <v>0.13636363636363635</v>
      </c>
      <c r="I22" s="68">
        <v>7540.8163265306121</v>
      </c>
      <c r="J22" s="68">
        <v>-7095.833333333333</v>
      </c>
      <c r="K22" s="67">
        <v>0.15789473684210525</v>
      </c>
      <c r="L22" s="67">
        <v>5.2631578947368418E-2</v>
      </c>
      <c r="M22" s="67">
        <v>0.25568181818181818</v>
      </c>
      <c r="N22" s="67">
        <v>0.26136363636363635</v>
      </c>
      <c r="O22" s="67">
        <v>0.48888888888888887</v>
      </c>
      <c r="P22" s="67">
        <v>0.5</v>
      </c>
      <c r="Q22" s="67">
        <v>0.38775510204081631</v>
      </c>
    </row>
    <row r="23" spans="1:17" x14ac:dyDescent="0.4">
      <c r="A23" s="69">
        <v>20</v>
      </c>
      <c r="B23" s="66">
        <v>-93.199999999999989</v>
      </c>
      <c r="C23" s="66">
        <v>-4.6599999999999993</v>
      </c>
      <c r="D23" s="71">
        <v>2.15</v>
      </c>
      <c r="E23" s="67">
        <v>0.25</v>
      </c>
      <c r="F23" s="67">
        <v>0.4</v>
      </c>
      <c r="G23" s="67">
        <v>0.27322404371584702</v>
      </c>
      <c r="H23" s="67">
        <v>0.13661202185792351</v>
      </c>
      <c r="I23" s="68">
        <v>7544</v>
      </c>
      <c r="J23" s="68">
        <v>-7292</v>
      </c>
      <c r="K23" s="67">
        <v>0.15</v>
      </c>
      <c r="L23" s="67">
        <v>0.05</v>
      </c>
      <c r="M23" s="67">
        <v>0.26229508196721313</v>
      </c>
      <c r="N23" s="67">
        <v>0.25683060109289618</v>
      </c>
      <c r="O23" s="67">
        <v>0.47916666666666669</v>
      </c>
      <c r="P23" s="67">
        <v>0.48936170212765956</v>
      </c>
      <c r="Q23" s="67">
        <v>0.38</v>
      </c>
    </row>
    <row r="24" spans="1:17" x14ac:dyDescent="0.4">
      <c r="A24" s="69">
        <v>21</v>
      </c>
      <c r="B24" s="66">
        <v>-123.69999999999999</v>
      </c>
      <c r="C24" s="66">
        <v>-5.89047619047619</v>
      </c>
      <c r="D24" s="71">
        <v>2.1904761904761907</v>
      </c>
      <c r="E24" s="67">
        <v>0.23809523809523808</v>
      </c>
      <c r="F24" s="67">
        <v>0.42857142857142855</v>
      </c>
      <c r="G24" s="67">
        <v>0.26178010471204188</v>
      </c>
      <c r="H24" s="67">
        <v>0.14659685863874344</v>
      </c>
      <c r="I24" s="68">
        <v>7544</v>
      </c>
      <c r="J24" s="68">
        <v>-6960.7142857142853</v>
      </c>
      <c r="K24" s="67">
        <v>0.14285714285714285</v>
      </c>
      <c r="L24" s="67">
        <v>4.7619047619047616E-2</v>
      </c>
      <c r="M24" s="67">
        <v>0.25654450261780104</v>
      </c>
      <c r="N24" s="67">
        <v>0.25654450261780104</v>
      </c>
      <c r="O24" s="67">
        <v>0.46938775510204084</v>
      </c>
      <c r="P24" s="67">
        <v>0.46938775510204084</v>
      </c>
      <c r="Q24" s="67">
        <v>0.38</v>
      </c>
    </row>
    <row r="25" spans="1:17" x14ac:dyDescent="0.4">
      <c r="A25" s="69">
        <v>22</v>
      </c>
      <c r="B25" s="66">
        <v>-66.999999999999986</v>
      </c>
      <c r="C25" s="66">
        <v>-3.045454545454545</v>
      </c>
      <c r="D25" s="71">
        <v>2.1363636363636362</v>
      </c>
      <c r="E25" s="67">
        <v>0.27272727272727271</v>
      </c>
      <c r="F25" s="67">
        <v>0.40909090909090912</v>
      </c>
      <c r="G25" s="67">
        <v>0.26767676767676768</v>
      </c>
      <c r="H25" s="67">
        <v>0.14141414141414141</v>
      </c>
      <c r="I25" s="68">
        <v>7658.4905660377362</v>
      </c>
      <c r="J25" s="68">
        <v>-6960.7142857142853</v>
      </c>
      <c r="K25" s="67">
        <v>0.13636363636363635</v>
      </c>
      <c r="L25" s="67">
        <v>9.0909090909090912E-2</v>
      </c>
      <c r="M25" s="67">
        <v>0.26262626262626265</v>
      </c>
      <c r="N25" s="67">
        <v>0.25757575757575757</v>
      </c>
      <c r="O25" s="67">
        <v>0.46153846153846156</v>
      </c>
      <c r="P25" s="67">
        <v>0.47058823529411764</v>
      </c>
      <c r="Q25" s="67">
        <v>0.39622641509433965</v>
      </c>
    </row>
    <row r="26" spans="1:17" x14ac:dyDescent="0.4">
      <c r="A26" s="69">
        <v>23</v>
      </c>
      <c r="B26" s="66">
        <v>-59.599999999999987</v>
      </c>
      <c r="C26" s="66">
        <v>-2.5913043478260862</v>
      </c>
      <c r="D26" s="71">
        <v>2.1304347826086958</v>
      </c>
      <c r="E26" s="67">
        <v>0.2608695652173913</v>
      </c>
      <c r="F26" s="67">
        <v>0.39130434782608697</v>
      </c>
      <c r="G26" s="67">
        <v>0.26829268292682928</v>
      </c>
      <c r="H26" s="67">
        <v>0.14146341463414633</v>
      </c>
      <c r="I26" s="68">
        <v>7809.090909090909</v>
      </c>
      <c r="J26" s="68">
        <v>-6820.6896551724139</v>
      </c>
      <c r="K26" s="67">
        <v>0.13043478260869565</v>
      </c>
      <c r="L26" s="67">
        <v>8.6956521739130432E-2</v>
      </c>
      <c r="M26" s="67">
        <v>0.26829268292682928</v>
      </c>
      <c r="N26" s="67">
        <v>0.25853658536585367</v>
      </c>
      <c r="O26" s="67">
        <v>0.45454545454545453</v>
      </c>
      <c r="P26" s="67">
        <v>0.47169811320754718</v>
      </c>
      <c r="Q26" s="67">
        <v>0.38181818181818183</v>
      </c>
    </row>
    <row r="27" spans="1:17" x14ac:dyDescent="0.4">
      <c r="A27" s="69">
        <v>24</v>
      </c>
      <c r="B27" s="66">
        <v>-91.399999999999991</v>
      </c>
      <c r="C27" s="66">
        <v>-3.8083333333333331</v>
      </c>
      <c r="D27" s="71">
        <v>2.1666666666666665</v>
      </c>
      <c r="E27" s="67">
        <v>0.25</v>
      </c>
      <c r="F27" s="67">
        <v>0.41666666666666669</v>
      </c>
      <c r="G27" s="67">
        <v>0.26291079812206575</v>
      </c>
      <c r="H27" s="67">
        <v>0.15023474178403756</v>
      </c>
      <c r="I27" s="68">
        <v>7807.1428571428569</v>
      </c>
      <c r="J27" s="68">
        <v>-6946.875</v>
      </c>
      <c r="K27" s="67">
        <v>0.125</v>
      </c>
      <c r="L27" s="67">
        <v>8.3333333333333329E-2</v>
      </c>
      <c r="M27" s="67">
        <v>0.25821596244131456</v>
      </c>
      <c r="N27" s="67">
        <v>0.26291079812206575</v>
      </c>
      <c r="O27" s="67">
        <v>0.45454545454545453</v>
      </c>
      <c r="P27" s="67">
        <v>0.4642857142857143</v>
      </c>
      <c r="Q27" s="67">
        <v>0.375</v>
      </c>
    </row>
    <row r="28" spans="1:17" x14ac:dyDescent="0.4">
      <c r="A28" s="69">
        <v>25</v>
      </c>
      <c r="B28" s="66">
        <v>-41.29999999999999</v>
      </c>
      <c r="C28" s="66">
        <v>-1.6519999999999997</v>
      </c>
      <c r="D28" s="71">
        <v>2.12</v>
      </c>
      <c r="E28" s="67">
        <v>0.28000000000000003</v>
      </c>
      <c r="F28" s="67">
        <v>0.4</v>
      </c>
      <c r="G28" s="67">
        <v>0.26244343891402716</v>
      </c>
      <c r="H28" s="67">
        <v>0.15384615384615385</v>
      </c>
      <c r="I28" s="68">
        <v>8455.1724137931033</v>
      </c>
      <c r="J28" s="68">
        <v>-6832.3529411764703</v>
      </c>
      <c r="K28" s="67">
        <v>0.12</v>
      </c>
      <c r="L28" s="67">
        <v>0.08</v>
      </c>
      <c r="M28" s="67">
        <v>0.25339366515837103</v>
      </c>
      <c r="N28" s="67">
        <v>0.26244343891402716</v>
      </c>
      <c r="O28" s="67">
        <v>0.4642857142857143</v>
      </c>
      <c r="P28" s="67">
        <v>0.44827586206896552</v>
      </c>
      <c r="Q28" s="67">
        <v>0.37931034482758619</v>
      </c>
    </row>
    <row r="29" spans="1:17" x14ac:dyDescent="0.4">
      <c r="A29" s="69">
        <v>26</v>
      </c>
      <c r="B29" s="66">
        <v>-54.099999999999994</v>
      </c>
      <c r="C29" s="66">
        <v>-2.0807692307692305</v>
      </c>
      <c r="D29" s="71">
        <v>2.1538461538461537</v>
      </c>
      <c r="E29" s="67">
        <v>0.26923076923076922</v>
      </c>
      <c r="F29" s="67">
        <v>0.42307692307692307</v>
      </c>
      <c r="G29" s="67">
        <v>0.26315789473684209</v>
      </c>
      <c r="H29" s="67">
        <v>0.15350877192982457</v>
      </c>
      <c r="I29" s="68">
        <v>8395</v>
      </c>
      <c r="J29" s="68">
        <v>-6711.4285714285716</v>
      </c>
      <c r="K29" s="67">
        <v>0.11538461538461539</v>
      </c>
      <c r="L29" s="67">
        <v>7.6923076923076927E-2</v>
      </c>
      <c r="M29" s="67">
        <v>0.25438596491228072</v>
      </c>
      <c r="N29" s="67">
        <v>0.25877192982456143</v>
      </c>
      <c r="O29" s="67">
        <v>0.48275862068965519</v>
      </c>
      <c r="P29" s="67">
        <v>0.44067796610169491</v>
      </c>
      <c r="Q29" s="67">
        <v>0.4</v>
      </c>
    </row>
    <row r="30" spans="1:17" x14ac:dyDescent="0.4">
      <c r="A30" s="69">
        <v>27</v>
      </c>
      <c r="B30" s="66">
        <v>-70.199999999999989</v>
      </c>
      <c r="C30" s="66">
        <v>-2.5999999999999996</v>
      </c>
      <c r="D30" s="71">
        <v>2.1481481481481484</v>
      </c>
      <c r="E30" s="67">
        <v>0.25925925925925924</v>
      </c>
      <c r="F30" s="67">
        <v>0.40740740740740738</v>
      </c>
      <c r="G30" s="67">
        <v>0.26406926406926406</v>
      </c>
      <c r="H30" s="67">
        <v>0.15151515151515152</v>
      </c>
      <c r="I30" s="68">
        <v>8362.2950819672133</v>
      </c>
      <c r="J30" s="68">
        <v>-6711.4285714285716</v>
      </c>
      <c r="K30" s="67">
        <v>0.1111111111111111</v>
      </c>
      <c r="L30" s="67">
        <v>7.407407407407407E-2</v>
      </c>
      <c r="M30" s="67">
        <v>0.25108225108225107</v>
      </c>
      <c r="N30" s="67">
        <v>0.25974025974025972</v>
      </c>
      <c r="O30" s="67">
        <v>0.48275862068965519</v>
      </c>
      <c r="P30" s="67">
        <v>0.43333333333333335</v>
      </c>
      <c r="Q30" s="67">
        <v>0.39344262295081966</v>
      </c>
    </row>
    <row r="31" spans="1:17" x14ac:dyDescent="0.4">
      <c r="A31" s="69">
        <v>28</v>
      </c>
      <c r="B31" s="66">
        <v>-61.29999999999999</v>
      </c>
      <c r="C31" s="66">
        <v>-2.1892857142857141</v>
      </c>
      <c r="D31" s="71">
        <v>2.1428571428571428</v>
      </c>
      <c r="E31" s="67">
        <v>0.25</v>
      </c>
      <c r="F31" s="67">
        <v>0.39285714285714285</v>
      </c>
      <c r="G31" s="67">
        <v>0.26890756302521007</v>
      </c>
      <c r="H31" s="67">
        <v>0.14705882352941177</v>
      </c>
      <c r="I31" s="68">
        <v>8460.9375</v>
      </c>
      <c r="J31" s="68">
        <v>-6711.4285714285716</v>
      </c>
      <c r="K31" s="67">
        <v>0.10714285714285714</v>
      </c>
      <c r="L31" s="67">
        <v>7.1428571428571425E-2</v>
      </c>
      <c r="M31" s="67">
        <v>0.26050420168067229</v>
      </c>
      <c r="N31" s="67">
        <v>0.25630252100840334</v>
      </c>
      <c r="O31" s="67">
        <v>0.5</v>
      </c>
      <c r="P31" s="67">
        <v>0.42622950819672129</v>
      </c>
      <c r="Q31" s="67">
        <v>0.421875</v>
      </c>
    </row>
    <row r="32" spans="1:17" x14ac:dyDescent="0.4">
      <c r="A32" s="69">
        <v>29</v>
      </c>
      <c r="B32" s="66">
        <v>-109.69999999999999</v>
      </c>
      <c r="C32" s="66">
        <v>-3.7827586206896546</v>
      </c>
      <c r="D32" s="71">
        <v>2.1724137931034484</v>
      </c>
      <c r="E32" s="67">
        <v>0.2413793103448276</v>
      </c>
      <c r="F32" s="67">
        <v>0.41379310344827586</v>
      </c>
      <c r="G32" s="67">
        <v>0.26337448559670784</v>
      </c>
      <c r="H32" s="67">
        <v>0.15226337448559671</v>
      </c>
      <c r="I32" s="68">
        <v>8460.9375</v>
      </c>
      <c r="J32" s="68">
        <v>-7159.4594594594591</v>
      </c>
      <c r="K32" s="67">
        <v>0.13793103448275862</v>
      </c>
      <c r="L32" s="67">
        <v>6.8965517241379309E-2</v>
      </c>
      <c r="M32" s="67">
        <v>0.25925925925925924</v>
      </c>
      <c r="N32" s="67">
        <v>0.25925925925925924</v>
      </c>
      <c r="O32" s="67">
        <v>0.49206349206349204</v>
      </c>
      <c r="P32" s="67">
        <v>0.41269841269841268</v>
      </c>
      <c r="Q32" s="67">
        <v>0.421875</v>
      </c>
    </row>
    <row r="33" spans="1:17" x14ac:dyDescent="0.4">
      <c r="A33" s="69">
        <v>30</v>
      </c>
      <c r="B33" s="66">
        <v>-107.29999999999998</v>
      </c>
      <c r="C33" s="66">
        <v>-3.5766666666666662</v>
      </c>
      <c r="D33" s="71">
        <v>2.1666666666666665</v>
      </c>
      <c r="E33" s="67">
        <v>0.23333333333333334</v>
      </c>
      <c r="F33" s="67">
        <v>0.4</v>
      </c>
      <c r="G33" s="67">
        <v>0.26315789473684209</v>
      </c>
      <c r="H33" s="67">
        <v>0.14979757085020243</v>
      </c>
      <c r="I33" s="68">
        <v>8429.2307692307695</v>
      </c>
      <c r="J33" s="68">
        <v>-7159.4594594594591</v>
      </c>
      <c r="K33" s="67">
        <v>0.13333333333333333</v>
      </c>
      <c r="L33" s="67">
        <v>6.6666666666666666E-2</v>
      </c>
      <c r="M33" s="67">
        <v>0.25506072874493929</v>
      </c>
      <c r="N33" s="67">
        <v>0.25910931174089069</v>
      </c>
      <c r="O33" s="67">
        <v>0.49206349206349204</v>
      </c>
      <c r="P33" s="67">
        <v>0.40625</v>
      </c>
      <c r="Q33" s="67">
        <v>0.41538461538461541</v>
      </c>
    </row>
    <row r="34" spans="1:17" x14ac:dyDescent="0.4">
      <c r="A34" s="69">
        <v>31</v>
      </c>
      <c r="B34" s="66">
        <v>-96.799999999999983</v>
      </c>
      <c r="C34" s="66">
        <v>-3.1225806451612899</v>
      </c>
      <c r="D34" s="71">
        <v>2.161290322580645</v>
      </c>
      <c r="E34" s="67">
        <v>0.22580645161290322</v>
      </c>
      <c r="F34" s="67">
        <v>0.38709677419354838</v>
      </c>
      <c r="G34" s="67">
        <v>0.26744186046511625</v>
      </c>
      <c r="H34" s="67">
        <v>0.15116279069767441</v>
      </c>
      <c r="I34" s="68">
        <v>8295.652173913044</v>
      </c>
      <c r="J34" s="68">
        <v>-7305.1282051282051</v>
      </c>
      <c r="K34" s="67">
        <v>0.12903225806451613</v>
      </c>
      <c r="L34" s="67">
        <v>6.4516129032258063E-2</v>
      </c>
      <c r="M34" s="67">
        <v>0.25193798449612403</v>
      </c>
      <c r="N34" s="67">
        <v>0.27131782945736432</v>
      </c>
      <c r="O34" s="67">
        <v>0.50769230769230766</v>
      </c>
      <c r="P34" s="67">
        <v>0.4</v>
      </c>
      <c r="Q34" s="67">
        <v>0.40579710144927539</v>
      </c>
    </row>
    <row r="35" spans="1:17" x14ac:dyDescent="0.4">
      <c r="A35" s="69">
        <v>32</v>
      </c>
      <c r="B35" s="66">
        <v>-54.09999999999998</v>
      </c>
      <c r="C35" s="66">
        <v>-1.6906249999999994</v>
      </c>
      <c r="D35" s="71">
        <v>2.125</v>
      </c>
      <c r="E35" s="67">
        <v>0.25</v>
      </c>
      <c r="F35" s="67">
        <v>0.375</v>
      </c>
      <c r="G35" s="67">
        <v>0.27376425855513309</v>
      </c>
      <c r="H35" s="67">
        <v>0.14828897338403041</v>
      </c>
      <c r="I35" s="68">
        <v>8494.4444444444453</v>
      </c>
      <c r="J35" s="68">
        <v>-7305.1282051282051</v>
      </c>
      <c r="K35" s="67">
        <v>0.125</v>
      </c>
      <c r="L35" s="67">
        <v>9.375E-2</v>
      </c>
      <c r="M35" s="67">
        <v>0.2509505703422053</v>
      </c>
      <c r="N35" s="67">
        <v>0.28136882129277568</v>
      </c>
      <c r="O35" s="67">
        <v>0.51515151515151514</v>
      </c>
      <c r="P35" s="67">
        <v>0.40540540540540543</v>
      </c>
      <c r="Q35" s="67">
        <v>0.40277777777777779</v>
      </c>
    </row>
    <row r="36" spans="1:17" x14ac:dyDescent="0.4">
      <c r="A36" s="69">
        <v>33</v>
      </c>
      <c r="B36" s="66">
        <v>-48.899999999999977</v>
      </c>
      <c r="C36" s="66">
        <v>-1.481818181818181</v>
      </c>
      <c r="D36" s="71">
        <v>2.1212121212121211</v>
      </c>
      <c r="E36" s="67">
        <v>0.24242424242424243</v>
      </c>
      <c r="F36" s="67">
        <v>0.36363636363636365</v>
      </c>
      <c r="G36" s="67">
        <v>0.26568265682656828</v>
      </c>
      <c r="H36" s="67">
        <v>0.14391143911439114</v>
      </c>
      <c r="I36" s="68">
        <v>8494.4444444444453</v>
      </c>
      <c r="J36" s="68">
        <v>-7305.1282051282051</v>
      </c>
      <c r="K36" s="67">
        <v>0.12121212121212122</v>
      </c>
      <c r="L36" s="67">
        <v>9.0909090909090912E-2</v>
      </c>
      <c r="M36" s="67">
        <v>0.24723247232472326</v>
      </c>
      <c r="N36" s="67">
        <v>0.28413284132841327</v>
      </c>
      <c r="O36" s="67">
        <v>0.5074626865671642</v>
      </c>
      <c r="P36" s="67">
        <v>0.38961038961038963</v>
      </c>
      <c r="Q36" s="67">
        <v>0.40277777777777779</v>
      </c>
    </row>
    <row r="37" spans="1:17" x14ac:dyDescent="0.4">
      <c r="A37" s="69">
        <v>34</v>
      </c>
      <c r="B37" s="66">
        <v>-63.999999999999979</v>
      </c>
      <c r="C37" s="66">
        <v>-1.8823529411764699</v>
      </c>
      <c r="D37" s="71">
        <v>2.1470588235294117</v>
      </c>
      <c r="E37" s="67">
        <v>0.23529411764705882</v>
      </c>
      <c r="F37" s="67">
        <v>0.38235294117647056</v>
      </c>
      <c r="G37" s="67">
        <v>0.26618705035971224</v>
      </c>
      <c r="H37" s="67">
        <v>0.14388489208633093</v>
      </c>
      <c r="I37" s="68">
        <v>8339.1891891891901</v>
      </c>
      <c r="J37" s="68">
        <v>-7187.5</v>
      </c>
      <c r="K37" s="67">
        <v>0.11764705882352941</v>
      </c>
      <c r="L37" s="67">
        <v>8.8235294117647065E-2</v>
      </c>
      <c r="M37" s="67">
        <v>0.24100719424460432</v>
      </c>
      <c r="N37" s="67">
        <v>0.29136690647482016</v>
      </c>
      <c r="O37" s="67">
        <v>0.5074626865671642</v>
      </c>
      <c r="P37" s="67">
        <v>0.39506172839506171</v>
      </c>
      <c r="Q37" s="67">
        <v>0.40540540540540543</v>
      </c>
    </row>
    <row r="38" spans="1:17" x14ac:dyDescent="0.4">
      <c r="A38" s="69">
        <v>35</v>
      </c>
      <c r="B38" s="66">
        <v>-72.399999999999977</v>
      </c>
      <c r="C38" s="66">
        <v>-2.0685714285714281</v>
      </c>
      <c r="D38" s="71">
        <v>2.1428571428571428</v>
      </c>
      <c r="E38" s="67">
        <v>0.22857142857142856</v>
      </c>
      <c r="F38" s="67">
        <v>0.37142857142857144</v>
      </c>
      <c r="G38" s="67">
        <v>0.26923076923076922</v>
      </c>
      <c r="H38" s="67">
        <v>0.13986013986013987</v>
      </c>
      <c r="I38" s="68">
        <v>8112.9870129870133</v>
      </c>
      <c r="J38" s="68">
        <v>-7187.5</v>
      </c>
      <c r="K38" s="67">
        <v>0.11428571428571428</v>
      </c>
      <c r="L38" s="67">
        <v>8.5714285714285715E-2</v>
      </c>
      <c r="M38" s="67">
        <v>0.23426573426573427</v>
      </c>
      <c r="N38" s="67">
        <v>0.2937062937062937</v>
      </c>
      <c r="O38" s="67">
        <v>0.5074626865671642</v>
      </c>
      <c r="P38" s="67">
        <v>0.40476190476190477</v>
      </c>
      <c r="Q38" s="67">
        <v>0.41558441558441561</v>
      </c>
    </row>
    <row r="39" spans="1:17" x14ac:dyDescent="0.4">
      <c r="A39" s="69">
        <v>36</v>
      </c>
      <c r="B39" s="66">
        <v>-65.399999999999977</v>
      </c>
      <c r="C39" s="66">
        <v>-1.816666666666666</v>
      </c>
      <c r="D39" s="71">
        <v>2.1388888888888888</v>
      </c>
      <c r="E39" s="67">
        <v>0.22222222222222221</v>
      </c>
      <c r="F39" s="67">
        <v>0.3611111111111111</v>
      </c>
      <c r="G39" s="67">
        <v>0.27397260273972601</v>
      </c>
      <c r="H39" s="67">
        <v>0.1404109589041096</v>
      </c>
      <c r="I39" s="68">
        <v>8108.75</v>
      </c>
      <c r="J39" s="68">
        <v>-7207.3170731707314</v>
      </c>
      <c r="K39" s="67">
        <v>0.1111111111111111</v>
      </c>
      <c r="L39" s="67">
        <v>8.3333333333333329E-2</v>
      </c>
      <c r="M39" s="67">
        <v>0.2363013698630137</v>
      </c>
      <c r="N39" s="67">
        <v>0.28767123287671231</v>
      </c>
      <c r="O39" s="67">
        <v>0.52173913043478259</v>
      </c>
      <c r="P39" s="67">
        <v>0.40476190476190477</v>
      </c>
      <c r="Q39" s="67">
        <v>0.42499999999999999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8E3DC-5C38-4BE1-B32E-E60E09616EDE}">
  <sheetPr codeName="Sheet16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  <row r="18" spans="1:17" x14ac:dyDescent="0.4">
      <c r="A18" s="69">
        <v>15</v>
      </c>
      <c r="B18" s="66">
        <v>-101.79999999999997</v>
      </c>
      <c r="C18" s="66">
        <v>-6.7866666666666644</v>
      </c>
      <c r="D18" s="71">
        <v>2.1333333333333333</v>
      </c>
      <c r="E18" s="67">
        <v>0.26666666666666666</v>
      </c>
      <c r="F18" s="67">
        <v>0.4</v>
      </c>
      <c r="G18" s="67">
        <v>0.22131147540983606</v>
      </c>
      <c r="H18" s="67">
        <v>0.19672131147540983</v>
      </c>
      <c r="I18" s="68">
        <v>12474.074074074075</v>
      </c>
      <c r="J18" s="68">
        <v>-10254.166666666666</v>
      </c>
      <c r="K18" s="67">
        <v>0.26666666666666666</v>
      </c>
      <c r="L18" s="67">
        <v>0.26666666666666666</v>
      </c>
      <c r="M18" s="67">
        <v>0.22950819672131148</v>
      </c>
      <c r="N18" s="67">
        <v>0.23770491803278687</v>
      </c>
      <c r="O18" s="67">
        <v>0.25</v>
      </c>
      <c r="P18" s="67">
        <v>0.44827586206896552</v>
      </c>
      <c r="Q18" s="67">
        <v>0.29629629629629628</v>
      </c>
    </row>
    <row r="19" spans="1:17" x14ac:dyDescent="0.4">
      <c r="A19" s="69">
        <v>16</v>
      </c>
      <c r="B19" s="66">
        <v>-63.099999999999966</v>
      </c>
      <c r="C19" s="66">
        <v>-3.9437499999999979</v>
      </c>
      <c r="D19" s="71">
        <v>2.0625</v>
      </c>
      <c r="E19" s="67">
        <v>0.3125</v>
      </c>
      <c r="F19" s="67">
        <v>0.375</v>
      </c>
      <c r="G19" s="67">
        <v>0.23255813953488372</v>
      </c>
      <c r="H19" s="67">
        <v>0.19379844961240311</v>
      </c>
      <c r="I19" s="68">
        <v>12426.666666666666</v>
      </c>
      <c r="J19" s="68">
        <v>-9896</v>
      </c>
      <c r="K19" s="67">
        <v>0.25</v>
      </c>
      <c r="L19" s="67">
        <v>0.25</v>
      </c>
      <c r="M19" s="67">
        <v>0.24031007751937986</v>
      </c>
      <c r="N19" s="67">
        <v>0.23255813953488372</v>
      </c>
      <c r="O19" s="67">
        <v>0.29032258064516131</v>
      </c>
      <c r="P19" s="67">
        <v>0.46666666666666667</v>
      </c>
      <c r="Q19" s="67">
        <v>0.36666666666666664</v>
      </c>
    </row>
    <row r="20" spans="1:17" x14ac:dyDescent="0.4">
      <c r="A20" s="69">
        <v>17</v>
      </c>
      <c r="B20" s="66">
        <v>-55.799999999999969</v>
      </c>
      <c r="C20" s="66">
        <v>-3.2823529411764687</v>
      </c>
      <c r="D20" s="71">
        <v>2.0588235294117645</v>
      </c>
      <c r="E20" s="67">
        <v>0.29411764705882354</v>
      </c>
      <c r="F20" s="67">
        <v>0.35294117647058826</v>
      </c>
      <c r="G20" s="67">
        <v>0.24087591240875914</v>
      </c>
      <c r="H20" s="67">
        <v>0.18248175182481752</v>
      </c>
      <c r="I20" s="68">
        <v>12124.242424242424</v>
      </c>
      <c r="J20" s="68">
        <v>-9896</v>
      </c>
      <c r="K20" s="67">
        <v>0.23529411764705882</v>
      </c>
      <c r="L20" s="67">
        <v>0.23529411764705882</v>
      </c>
      <c r="M20" s="67">
        <v>0.24817518248175183</v>
      </c>
      <c r="N20" s="67">
        <v>0.22627737226277372</v>
      </c>
      <c r="O20" s="67">
        <v>0.3235294117647059</v>
      </c>
      <c r="P20" s="67">
        <v>0.4838709677419355</v>
      </c>
      <c r="Q20" s="67">
        <v>0.39393939393939392</v>
      </c>
    </row>
    <row r="21" spans="1:17" x14ac:dyDescent="0.4">
      <c r="A21" s="69">
        <v>18</v>
      </c>
      <c r="B21" s="66">
        <v>-24.999999999999968</v>
      </c>
      <c r="C21" s="66">
        <v>-1.3888888888888871</v>
      </c>
      <c r="D21" s="71">
        <v>2</v>
      </c>
      <c r="E21" s="67">
        <v>0.33333333333333331</v>
      </c>
      <c r="F21" s="67">
        <v>0.33333333333333331</v>
      </c>
      <c r="G21" s="67">
        <v>0.24827586206896551</v>
      </c>
      <c r="H21" s="67">
        <v>0.17241379310344829</v>
      </c>
      <c r="I21" s="68">
        <v>11561.111111111111</v>
      </c>
      <c r="J21" s="68">
        <v>-9896</v>
      </c>
      <c r="K21" s="67">
        <v>0.22222222222222221</v>
      </c>
      <c r="L21" s="67">
        <v>0.22222222222222221</v>
      </c>
      <c r="M21" s="67">
        <v>0.25517241379310346</v>
      </c>
      <c r="N21" s="67">
        <v>0.23448275862068965</v>
      </c>
      <c r="O21" s="67">
        <v>0.32432432432432434</v>
      </c>
      <c r="P21" s="67">
        <v>0.47058823529411764</v>
      </c>
      <c r="Q21" s="67">
        <v>0.41666666666666669</v>
      </c>
    </row>
    <row r="22" spans="1:17" x14ac:dyDescent="0.4">
      <c r="A22" s="69">
        <v>19</v>
      </c>
      <c r="B22" s="66">
        <v>-27.799999999999969</v>
      </c>
      <c r="C22" s="66">
        <v>-1.4631578947368404</v>
      </c>
      <c r="D22" s="71">
        <v>2</v>
      </c>
      <c r="E22" s="67">
        <v>0.31578947368421051</v>
      </c>
      <c r="F22" s="67">
        <v>0.31578947368421051</v>
      </c>
      <c r="G22" s="67">
        <v>0.25</v>
      </c>
      <c r="H22" s="67">
        <v>0.17307692307692307</v>
      </c>
      <c r="I22" s="68">
        <v>11823.076923076924</v>
      </c>
      <c r="J22" s="68">
        <v>-9903.7037037037044</v>
      </c>
      <c r="K22" s="67">
        <v>0.21052631578947367</v>
      </c>
      <c r="L22" s="67">
        <v>0.21052631578947367</v>
      </c>
      <c r="M22" s="67">
        <v>0.25641025641025639</v>
      </c>
      <c r="N22" s="67">
        <v>0.22435897435897437</v>
      </c>
      <c r="O22" s="67">
        <v>0.35</v>
      </c>
      <c r="P22" s="67">
        <v>0.48571428571428571</v>
      </c>
      <c r="Q22" s="67">
        <v>0.41025641025641024</v>
      </c>
    </row>
    <row r="23" spans="1:17" x14ac:dyDescent="0.4">
      <c r="A23" s="69">
        <v>20</v>
      </c>
      <c r="B23" s="66">
        <v>-50.39999999999997</v>
      </c>
      <c r="C23" s="66">
        <v>-2.5199999999999987</v>
      </c>
      <c r="D23" s="71">
        <v>2.0499999999999998</v>
      </c>
      <c r="E23" s="67">
        <v>0.3</v>
      </c>
      <c r="F23" s="67">
        <v>0.35</v>
      </c>
      <c r="G23" s="67">
        <v>0.24691358024691357</v>
      </c>
      <c r="H23" s="67">
        <v>0.16666666666666666</v>
      </c>
      <c r="I23" s="68">
        <v>11657.5</v>
      </c>
      <c r="J23" s="68">
        <v>-9903.7037037037044</v>
      </c>
      <c r="K23" s="67">
        <v>0.2</v>
      </c>
      <c r="L23" s="67">
        <v>0.2</v>
      </c>
      <c r="M23" s="67">
        <v>0.26543209876543211</v>
      </c>
      <c r="N23" s="67">
        <v>0.22222222222222221</v>
      </c>
      <c r="O23" s="67">
        <v>0.34883720930232559</v>
      </c>
      <c r="P23" s="67">
        <v>0.47222222222222221</v>
      </c>
      <c r="Q23" s="67">
        <v>0.4</v>
      </c>
    </row>
    <row r="24" spans="1:17" x14ac:dyDescent="0.4">
      <c r="A24" s="69">
        <v>21</v>
      </c>
      <c r="B24" s="66">
        <v>-59.89999999999997</v>
      </c>
      <c r="C24" s="66">
        <v>-2.8523809523809511</v>
      </c>
      <c r="D24" s="71">
        <v>2.0476190476190474</v>
      </c>
      <c r="E24" s="67">
        <v>0.2857142857142857</v>
      </c>
      <c r="F24" s="67">
        <v>0.33333333333333331</v>
      </c>
      <c r="G24" s="67">
        <v>0.24260355029585798</v>
      </c>
      <c r="H24" s="67">
        <v>0.15976331360946747</v>
      </c>
      <c r="I24" s="68">
        <v>11421.951219512195</v>
      </c>
      <c r="J24" s="68">
        <v>-9903.7037037037044</v>
      </c>
      <c r="K24" s="67">
        <v>0.19047619047619047</v>
      </c>
      <c r="L24" s="67">
        <v>0.19047619047619047</v>
      </c>
      <c r="M24" s="67">
        <v>0.26035502958579881</v>
      </c>
      <c r="N24" s="67">
        <v>0.21893491124260356</v>
      </c>
      <c r="O24" s="67">
        <v>0.34090909090909088</v>
      </c>
      <c r="P24" s="67">
        <v>0.48648648648648651</v>
      </c>
      <c r="Q24" s="67">
        <v>0.3902439024390244</v>
      </c>
    </row>
    <row r="25" spans="1:17" x14ac:dyDescent="0.4">
      <c r="A25" s="69">
        <v>22</v>
      </c>
      <c r="B25" s="66">
        <v>-21.799999999999969</v>
      </c>
      <c r="C25" s="66">
        <v>-0.99090909090908952</v>
      </c>
      <c r="D25" s="71">
        <v>2</v>
      </c>
      <c r="E25" s="67">
        <v>0.31818181818181818</v>
      </c>
      <c r="F25" s="67">
        <v>0.31818181818181818</v>
      </c>
      <c r="G25" s="67">
        <v>0.25568181818181818</v>
      </c>
      <c r="H25" s="67">
        <v>0.15909090909090909</v>
      </c>
      <c r="I25" s="68">
        <v>10960</v>
      </c>
      <c r="J25" s="68">
        <v>-9596.4285714285706</v>
      </c>
      <c r="K25" s="67">
        <v>0.18181818181818182</v>
      </c>
      <c r="L25" s="67">
        <v>0.22727272727272727</v>
      </c>
      <c r="M25" s="67">
        <v>0.25568181818181818</v>
      </c>
      <c r="N25" s="67">
        <v>0.23295454545454544</v>
      </c>
      <c r="O25" s="67">
        <v>0.35555555555555557</v>
      </c>
      <c r="P25" s="67">
        <v>0.51219512195121952</v>
      </c>
      <c r="Q25" s="67">
        <v>0.4</v>
      </c>
    </row>
    <row r="26" spans="1:17" x14ac:dyDescent="0.4">
      <c r="A26" s="69">
        <v>23</v>
      </c>
      <c r="B26" s="66">
        <v>-10.299999999999969</v>
      </c>
      <c r="C26" s="66">
        <v>-0.44782608695652038</v>
      </c>
      <c r="D26" s="71">
        <v>1.9565217391304348</v>
      </c>
      <c r="E26" s="67">
        <v>0.34782608695652173</v>
      </c>
      <c r="F26" s="67">
        <v>0.30434782608695654</v>
      </c>
      <c r="G26" s="67">
        <v>0.25683060109289618</v>
      </c>
      <c r="H26" s="67">
        <v>0.15300546448087432</v>
      </c>
      <c r="I26" s="68">
        <v>10834.04255319149</v>
      </c>
      <c r="J26" s="68">
        <v>-9596.4285714285706</v>
      </c>
      <c r="K26" s="67">
        <v>0.17391304347826086</v>
      </c>
      <c r="L26" s="67">
        <v>0.21739130434782608</v>
      </c>
      <c r="M26" s="67">
        <v>0.25683060109289618</v>
      </c>
      <c r="N26" s="67">
        <v>0.22950819672131148</v>
      </c>
      <c r="O26" s="67">
        <v>0.36170212765957449</v>
      </c>
      <c r="P26" s="67">
        <v>0.52380952380952384</v>
      </c>
      <c r="Q26" s="67">
        <v>0.42553191489361702</v>
      </c>
    </row>
    <row r="27" spans="1:17" x14ac:dyDescent="0.4">
      <c r="A27" s="69">
        <v>24</v>
      </c>
      <c r="B27" s="66">
        <v>-51.39999999999997</v>
      </c>
      <c r="C27" s="66">
        <v>-2.1416666666666653</v>
      </c>
      <c r="D27" s="71">
        <v>2</v>
      </c>
      <c r="E27" s="67">
        <v>0.33333333333333331</v>
      </c>
      <c r="F27" s="67">
        <v>0.33333333333333331</v>
      </c>
      <c r="G27" s="67">
        <v>0.2513089005235602</v>
      </c>
      <c r="H27" s="67">
        <v>0.17277486910994763</v>
      </c>
      <c r="I27" s="68">
        <v>10858.333333333334</v>
      </c>
      <c r="J27" s="68">
        <v>-9403.0303030303039</v>
      </c>
      <c r="K27" s="67">
        <v>0.16666666666666666</v>
      </c>
      <c r="L27" s="67">
        <v>0.20833333333333334</v>
      </c>
      <c r="M27" s="67">
        <v>0.26178010471204188</v>
      </c>
      <c r="N27" s="67">
        <v>0.2356020942408377</v>
      </c>
      <c r="O27" s="67">
        <v>0.36</v>
      </c>
      <c r="P27" s="67">
        <v>0.48888888888888887</v>
      </c>
      <c r="Q27" s="67">
        <v>0.4375</v>
      </c>
    </row>
    <row r="28" spans="1:17" x14ac:dyDescent="0.4">
      <c r="A28" s="69">
        <v>25</v>
      </c>
      <c r="B28" s="66">
        <v>-37.699999999999974</v>
      </c>
      <c r="C28" s="66">
        <v>-1.5079999999999989</v>
      </c>
      <c r="D28" s="71">
        <v>2</v>
      </c>
      <c r="E28" s="67">
        <v>0.32</v>
      </c>
      <c r="F28" s="67">
        <v>0.32</v>
      </c>
      <c r="G28" s="67">
        <v>0.25380710659898476</v>
      </c>
      <c r="H28" s="67">
        <v>0.16751269035532995</v>
      </c>
      <c r="I28" s="68">
        <v>10744</v>
      </c>
      <c r="J28" s="68">
        <v>-9403.0303030303039</v>
      </c>
      <c r="K28" s="67">
        <v>0.16</v>
      </c>
      <c r="L28" s="67">
        <v>0.2</v>
      </c>
      <c r="M28" s="67">
        <v>0.26903553299492383</v>
      </c>
      <c r="N28" s="67">
        <v>0.22842639593908629</v>
      </c>
      <c r="O28" s="67">
        <v>0.37735849056603776</v>
      </c>
      <c r="P28" s="67">
        <v>0.48888888888888887</v>
      </c>
      <c r="Q28" s="67">
        <v>0.46</v>
      </c>
    </row>
    <row r="29" spans="1:17" x14ac:dyDescent="0.4">
      <c r="A29" s="69">
        <v>26</v>
      </c>
      <c r="B29" s="66">
        <v>-84.999999999999972</v>
      </c>
      <c r="C29" s="66">
        <v>-3.2692307692307683</v>
      </c>
      <c r="D29" s="71">
        <v>2.0384615384615383</v>
      </c>
      <c r="E29" s="67">
        <v>0.30769230769230771</v>
      </c>
      <c r="F29" s="67">
        <v>0.34615384615384615</v>
      </c>
      <c r="G29" s="67">
        <v>0.24752475247524752</v>
      </c>
      <c r="H29" s="67">
        <v>0.17326732673267325</v>
      </c>
      <c r="I29" s="68">
        <v>10744</v>
      </c>
      <c r="J29" s="68">
        <v>-9551.4285714285706</v>
      </c>
      <c r="K29" s="67">
        <v>0.19230769230769232</v>
      </c>
      <c r="L29" s="67">
        <v>0.19230769230769232</v>
      </c>
      <c r="M29" s="67">
        <v>0.2722772277227723</v>
      </c>
      <c r="N29" s="67">
        <v>0.22277227722772278</v>
      </c>
      <c r="O29" s="67">
        <v>0.36363636363636365</v>
      </c>
      <c r="P29" s="67">
        <v>0.48888888888888887</v>
      </c>
      <c r="Q29" s="67">
        <v>0.46</v>
      </c>
    </row>
    <row r="30" spans="1:17" x14ac:dyDescent="0.4">
      <c r="A30" s="69">
        <v>27</v>
      </c>
      <c r="B30" s="66">
        <v>-31.499999999999972</v>
      </c>
      <c r="C30" s="66">
        <v>-1.1666666666666656</v>
      </c>
      <c r="D30" s="71">
        <v>2</v>
      </c>
      <c r="E30" s="67">
        <v>0.33333333333333331</v>
      </c>
      <c r="F30" s="67">
        <v>0.33333333333333331</v>
      </c>
      <c r="G30" s="67">
        <v>0.25714285714285712</v>
      </c>
      <c r="H30" s="67">
        <v>0.16666666666666666</v>
      </c>
      <c r="I30" s="68">
        <v>10811.111111111111</v>
      </c>
      <c r="J30" s="68">
        <v>-9551.4285714285706</v>
      </c>
      <c r="K30" s="67">
        <v>0.18518518518518517</v>
      </c>
      <c r="L30" s="67">
        <v>0.22222222222222221</v>
      </c>
      <c r="M30" s="67">
        <v>0.27619047619047621</v>
      </c>
      <c r="N30" s="67">
        <v>0.21904761904761905</v>
      </c>
      <c r="O30" s="67">
        <v>0.39655172413793105</v>
      </c>
      <c r="P30" s="67">
        <v>0.5</v>
      </c>
      <c r="Q30" s="67">
        <v>0.46296296296296297</v>
      </c>
    </row>
    <row r="31" spans="1:17" x14ac:dyDescent="0.4">
      <c r="A31" s="69">
        <v>28</v>
      </c>
      <c r="B31" s="66">
        <v>-10.999999999999972</v>
      </c>
      <c r="C31" s="66">
        <v>-0.39285714285714185</v>
      </c>
      <c r="D31" s="71">
        <v>1.9642857142857142</v>
      </c>
      <c r="E31" s="67">
        <v>0.35714285714285715</v>
      </c>
      <c r="F31" s="67">
        <v>0.32142857142857145</v>
      </c>
      <c r="G31" s="67">
        <v>0.25925925925925924</v>
      </c>
      <c r="H31" s="67">
        <v>0.16666666666666666</v>
      </c>
      <c r="I31" s="68">
        <v>10853.571428571429</v>
      </c>
      <c r="J31" s="68">
        <v>-9508.3333333333339</v>
      </c>
      <c r="K31" s="67">
        <v>0.17857142857142858</v>
      </c>
      <c r="L31" s="67">
        <v>0.21428571428571427</v>
      </c>
      <c r="M31" s="67">
        <v>0.27777777777777779</v>
      </c>
      <c r="N31" s="67">
        <v>0.21759259259259259</v>
      </c>
      <c r="O31" s="67">
        <v>0.41666666666666669</v>
      </c>
      <c r="P31" s="67">
        <v>0.48936170212765956</v>
      </c>
      <c r="Q31" s="67">
        <v>0.4642857142857143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44593-9AAA-4CAE-B3BD-F5838899E412}">
  <sheetPr codeName="Sheet14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-7933.333333333333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-7933.333333333333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  <row r="24" spans="1:17" x14ac:dyDescent="0.4">
      <c r="A24" s="69">
        <v>21</v>
      </c>
      <c r="B24" s="66">
        <v>-133.30000000000001</v>
      </c>
      <c r="C24" s="66">
        <v>-6.3476190476190482</v>
      </c>
      <c r="D24" s="71">
        <v>2.2380952380952381</v>
      </c>
      <c r="E24" s="67">
        <v>0.19047619047619047</v>
      </c>
      <c r="F24" s="67">
        <v>0.42857142857142855</v>
      </c>
      <c r="G24" s="67">
        <v>0.29411764705882354</v>
      </c>
      <c r="H24" s="67">
        <v>0.21390374331550802</v>
      </c>
      <c r="I24" s="68">
        <v>7780</v>
      </c>
      <c r="J24" s="68">
        <v>-7832.5</v>
      </c>
      <c r="K24" s="67">
        <v>9.5238095238095233E-2</v>
      </c>
      <c r="L24" s="67">
        <v>9.5238095238095233E-2</v>
      </c>
      <c r="M24" s="67">
        <v>0.25133689839572193</v>
      </c>
      <c r="N24" s="67">
        <v>0.20855614973262032</v>
      </c>
      <c r="O24" s="67">
        <v>0.61702127659574468</v>
      </c>
      <c r="P24" s="67">
        <v>0.4358974358974359</v>
      </c>
      <c r="Q24" s="67">
        <v>0.34545454545454546</v>
      </c>
    </row>
    <row r="25" spans="1:17" x14ac:dyDescent="0.4">
      <c r="A25" s="69">
        <v>22</v>
      </c>
      <c r="B25" s="66">
        <v>-164.60000000000002</v>
      </c>
      <c r="C25" s="66">
        <v>-7.4818181818181833</v>
      </c>
      <c r="D25" s="71">
        <v>2.2727272727272729</v>
      </c>
      <c r="E25" s="67">
        <v>0.18181818181818182</v>
      </c>
      <c r="F25" s="67">
        <v>0.45454545454545453</v>
      </c>
      <c r="G25" s="67">
        <v>0.28717948717948716</v>
      </c>
      <c r="H25" s="67">
        <v>0.21025641025641026</v>
      </c>
      <c r="I25" s="68">
        <v>7778.5714285714284</v>
      </c>
      <c r="J25" s="68">
        <v>-7934.1463414634145</v>
      </c>
      <c r="K25" s="67">
        <v>9.0909090909090912E-2</v>
      </c>
      <c r="L25" s="67">
        <v>9.0909090909090912E-2</v>
      </c>
      <c r="M25" s="67">
        <v>0.24615384615384617</v>
      </c>
      <c r="N25" s="67">
        <v>0.2</v>
      </c>
      <c r="O25" s="67">
        <v>0.625</v>
      </c>
      <c r="P25" s="67">
        <v>0.4358974358974359</v>
      </c>
      <c r="Q25" s="67">
        <v>0.35714285714285715</v>
      </c>
    </row>
    <row r="26" spans="1:17" x14ac:dyDescent="0.4">
      <c r="A26" s="69">
        <v>23</v>
      </c>
      <c r="B26" s="66">
        <v>-162.70000000000002</v>
      </c>
      <c r="C26" s="66">
        <v>-7.073913043478262</v>
      </c>
      <c r="D26" s="71">
        <v>2.2608695652173911</v>
      </c>
      <c r="E26" s="67">
        <v>0.17391304347826086</v>
      </c>
      <c r="F26" s="67">
        <v>0.43478260869565216</v>
      </c>
      <c r="G26" s="67">
        <v>0.29207920792079206</v>
      </c>
      <c r="H26" s="67">
        <v>0.20297029702970298</v>
      </c>
      <c r="I26" s="68">
        <v>7488.1355932203387</v>
      </c>
      <c r="J26" s="68">
        <v>-7934.1463414634145</v>
      </c>
      <c r="K26" s="67">
        <v>8.6956521739130432E-2</v>
      </c>
      <c r="L26" s="67">
        <v>8.6956521739130432E-2</v>
      </c>
      <c r="M26" s="67">
        <v>0.25247524752475248</v>
      </c>
      <c r="N26" s="67">
        <v>0.19801980198019803</v>
      </c>
      <c r="O26" s="67">
        <v>0.6470588235294118</v>
      </c>
      <c r="P26" s="67">
        <v>0.42499999999999999</v>
      </c>
      <c r="Q26" s="67">
        <v>0.3728813559322034</v>
      </c>
    </row>
    <row r="27" spans="1:17" x14ac:dyDescent="0.4">
      <c r="A27" s="69">
        <v>24</v>
      </c>
      <c r="B27" s="66">
        <v>-163.00000000000003</v>
      </c>
      <c r="C27" s="66">
        <v>-6.7916666666666679</v>
      </c>
      <c r="D27" s="71">
        <v>2.25</v>
      </c>
      <c r="E27" s="67">
        <v>0.16666666666666666</v>
      </c>
      <c r="F27" s="67">
        <v>0.41666666666666669</v>
      </c>
      <c r="G27" s="67">
        <v>0.29523809523809524</v>
      </c>
      <c r="H27" s="67">
        <v>0.19523809523809524</v>
      </c>
      <c r="I27" s="68">
        <v>7233.8709677419356</v>
      </c>
      <c r="J27" s="68">
        <v>-7934.1463414634145</v>
      </c>
      <c r="K27" s="67">
        <v>8.3333333333333329E-2</v>
      </c>
      <c r="L27" s="67">
        <v>8.3333333333333329E-2</v>
      </c>
      <c r="M27" s="67">
        <v>0.26666666666666666</v>
      </c>
      <c r="N27" s="67">
        <v>0.19047619047619047</v>
      </c>
      <c r="O27" s="67">
        <v>0.6071428571428571</v>
      </c>
      <c r="P27" s="67">
        <v>0.42499999999999999</v>
      </c>
      <c r="Q27" s="67">
        <v>0.37096774193548387</v>
      </c>
    </row>
    <row r="28" spans="1:17" x14ac:dyDescent="0.4">
      <c r="A28" s="69">
        <v>25</v>
      </c>
      <c r="B28" s="66">
        <v>-185.00000000000003</v>
      </c>
      <c r="C28" s="66">
        <v>-7.4000000000000012</v>
      </c>
      <c r="D28" s="71">
        <v>2.2799999999999998</v>
      </c>
      <c r="E28" s="67">
        <v>0.16</v>
      </c>
      <c r="F28" s="67">
        <v>0.44</v>
      </c>
      <c r="G28" s="67">
        <v>0.29357798165137616</v>
      </c>
      <c r="H28" s="67">
        <v>0.20183486238532111</v>
      </c>
      <c r="I28" s="68">
        <v>7193.75</v>
      </c>
      <c r="J28" s="68">
        <v>-7665.909090909091</v>
      </c>
      <c r="K28" s="67">
        <v>0.08</v>
      </c>
      <c r="L28" s="67">
        <v>0.08</v>
      </c>
      <c r="M28" s="67">
        <v>0.28440366972477066</v>
      </c>
      <c r="N28" s="67">
        <v>0.18807339449541285</v>
      </c>
      <c r="O28" s="67">
        <v>0.58064516129032262</v>
      </c>
      <c r="P28" s="67">
        <v>0.41463414634146339</v>
      </c>
      <c r="Q28" s="67">
        <v>0.375</v>
      </c>
    </row>
    <row r="29" spans="1:17" x14ac:dyDescent="0.4">
      <c r="A29" s="69">
        <v>26</v>
      </c>
      <c r="B29" s="66">
        <v>-186.00000000000003</v>
      </c>
      <c r="C29" s="66">
        <v>-7.1538461538461551</v>
      </c>
      <c r="D29" s="71">
        <v>2.2692307692307692</v>
      </c>
      <c r="E29" s="67">
        <v>0.15384615384615385</v>
      </c>
      <c r="F29" s="67">
        <v>0.42307692307692307</v>
      </c>
      <c r="G29" s="67">
        <v>0.28444444444444444</v>
      </c>
      <c r="H29" s="67">
        <v>0.19555555555555557</v>
      </c>
      <c r="I29" s="68">
        <v>7193.75</v>
      </c>
      <c r="J29" s="68">
        <v>-7665.909090909091</v>
      </c>
      <c r="K29" s="67">
        <v>7.6923076923076927E-2</v>
      </c>
      <c r="L29" s="67">
        <v>7.6923076923076927E-2</v>
      </c>
      <c r="M29" s="67">
        <v>0.28000000000000003</v>
      </c>
      <c r="N29" s="67">
        <v>0.18666666666666668</v>
      </c>
      <c r="O29" s="67">
        <v>0.5714285714285714</v>
      </c>
      <c r="P29" s="67">
        <v>0.40476190476190477</v>
      </c>
      <c r="Q29" s="67">
        <v>0.375</v>
      </c>
    </row>
    <row r="30" spans="1:17" x14ac:dyDescent="0.4">
      <c r="A30" s="69">
        <v>27</v>
      </c>
      <c r="B30" s="66">
        <v>-163.00000000000003</v>
      </c>
      <c r="C30" s="66">
        <v>-6.0370370370370381</v>
      </c>
      <c r="D30" s="71">
        <v>2.2222222222222223</v>
      </c>
      <c r="E30" s="67">
        <v>0.18518518518518517</v>
      </c>
      <c r="F30" s="67">
        <v>0.40740740740740738</v>
      </c>
      <c r="G30" s="67">
        <v>0.28755364806866951</v>
      </c>
      <c r="H30" s="67">
        <v>0.19313304721030042</v>
      </c>
      <c r="I30" s="68">
        <v>7349.253731343284</v>
      </c>
      <c r="J30" s="68">
        <v>-7762.2222222222226</v>
      </c>
      <c r="K30" s="67">
        <v>7.407407407407407E-2</v>
      </c>
      <c r="L30" s="67">
        <v>7.407407407407407E-2</v>
      </c>
      <c r="M30" s="67">
        <v>0.27896995708154504</v>
      </c>
      <c r="N30" s="67">
        <v>0.19313304721030042</v>
      </c>
      <c r="O30" s="67">
        <v>0.56923076923076921</v>
      </c>
      <c r="P30" s="67">
        <v>0.42222222222222222</v>
      </c>
      <c r="Q30" s="67">
        <v>0.38805970149253732</v>
      </c>
    </row>
    <row r="31" spans="1:17" x14ac:dyDescent="0.4">
      <c r="A31" s="69">
        <v>28</v>
      </c>
      <c r="B31" s="66">
        <v>-181.70000000000002</v>
      </c>
      <c r="C31" s="66">
        <v>-6.4892857142857148</v>
      </c>
      <c r="D31" s="71">
        <v>2.2142857142857144</v>
      </c>
      <c r="E31" s="67">
        <v>0.17857142857142858</v>
      </c>
      <c r="F31" s="67">
        <v>0.39285714285714285</v>
      </c>
      <c r="G31" s="67">
        <v>0.2863070539419087</v>
      </c>
      <c r="H31" s="67">
        <v>0.1908713692946058</v>
      </c>
      <c r="I31" s="68">
        <v>7308.695652173913</v>
      </c>
      <c r="J31" s="68">
        <v>-7678.260869565217</v>
      </c>
      <c r="K31" s="67">
        <v>7.1428571428571425E-2</v>
      </c>
      <c r="L31" s="67">
        <v>7.1428571428571425E-2</v>
      </c>
      <c r="M31" s="67">
        <v>0.27800829875518673</v>
      </c>
      <c r="N31" s="67">
        <v>0.18672199170124482</v>
      </c>
      <c r="O31" s="67">
        <v>0.58208955223880599</v>
      </c>
      <c r="P31" s="67">
        <v>0.42222222222222222</v>
      </c>
      <c r="Q31" s="67">
        <v>0.37681159420289856</v>
      </c>
    </row>
    <row r="32" spans="1:17" x14ac:dyDescent="0.4">
      <c r="A32" s="69">
        <v>29</v>
      </c>
      <c r="B32" s="66">
        <v>-159.9</v>
      </c>
      <c r="C32" s="66">
        <v>-5.5137931034482763</v>
      </c>
      <c r="D32" s="71">
        <v>2.1724137931034484</v>
      </c>
      <c r="E32" s="67">
        <v>0.20689655172413793</v>
      </c>
      <c r="F32" s="67">
        <v>0.37931034482758619</v>
      </c>
      <c r="G32" s="67">
        <v>0.28629032258064518</v>
      </c>
      <c r="H32" s="67">
        <v>0.18951612903225806</v>
      </c>
      <c r="I32" s="68">
        <v>7497.1830985915494</v>
      </c>
      <c r="J32" s="68">
        <v>-7557.4468085106382</v>
      </c>
      <c r="K32" s="67">
        <v>6.8965517241379309E-2</v>
      </c>
      <c r="L32" s="67">
        <v>6.8965517241379309E-2</v>
      </c>
      <c r="M32" s="67">
        <v>0.27822580645161288</v>
      </c>
      <c r="N32" s="67">
        <v>0.18145161290322581</v>
      </c>
      <c r="O32" s="67">
        <v>0.59420289855072461</v>
      </c>
      <c r="P32" s="67">
        <v>0.42222222222222222</v>
      </c>
      <c r="Q32" s="67">
        <v>0.39436619718309857</v>
      </c>
    </row>
    <row r="33" spans="1:17" x14ac:dyDescent="0.4">
      <c r="A33" s="69">
        <v>30</v>
      </c>
      <c r="B33" s="66">
        <v>-175.6</v>
      </c>
      <c r="C33" s="66">
        <v>-5.8533333333333335</v>
      </c>
      <c r="D33" s="71">
        <v>2.2000000000000002</v>
      </c>
      <c r="E33" s="67">
        <v>0.2</v>
      </c>
      <c r="F33" s="67">
        <v>0.4</v>
      </c>
      <c r="G33" s="67">
        <v>0.28515625</v>
      </c>
      <c r="H33" s="67">
        <v>0.19140625</v>
      </c>
      <c r="I33" s="68">
        <v>7424.6575342465758</v>
      </c>
      <c r="J33" s="68">
        <v>-7348.9795918367345</v>
      </c>
      <c r="K33" s="67">
        <v>6.6666666666666666E-2</v>
      </c>
      <c r="L33" s="67">
        <v>6.6666666666666666E-2</v>
      </c>
      <c r="M33" s="67">
        <v>0.28125</v>
      </c>
      <c r="N33" s="67">
        <v>0.1796875</v>
      </c>
      <c r="O33" s="67">
        <v>0.58333333333333337</v>
      </c>
      <c r="P33" s="67">
        <v>0.43478260869565216</v>
      </c>
      <c r="Q33" s="67">
        <v>0.38356164383561642</v>
      </c>
    </row>
    <row r="34" spans="1:17" x14ac:dyDescent="0.4">
      <c r="A34" s="69">
        <v>31</v>
      </c>
      <c r="B34" s="66">
        <v>-212.6</v>
      </c>
      <c r="C34" s="66">
        <v>-6.8580645161290317</v>
      </c>
      <c r="D34" s="71">
        <v>2.225806451612903</v>
      </c>
      <c r="E34" s="67">
        <v>0.19354838709677419</v>
      </c>
      <c r="F34" s="67">
        <v>0.41935483870967744</v>
      </c>
      <c r="G34" s="67">
        <v>0.28464419475655428</v>
      </c>
      <c r="H34" s="67">
        <v>0.19850187265917604</v>
      </c>
      <c r="I34" s="68">
        <v>7410.5263157894733</v>
      </c>
      <c r="J34" s="68">
        <v>-7345.2830188679245</v>
      </c>
      <c r="K34" s="67">
        <v>6.4516129032258063E-2</v>
      </c>
      <c r="L34" s="67">
        <v>6.4516129032258063E-2</v>
      </c>
      <c r="M34" s="67">
        <v>0.2808988764044944</v>
      </c>
      <c r="N34" s="67">
        <v>0.1797752808988764</v>
      </c>
      <c r="O34" s="67">
        <v>0.58666666666666667</v>
      </c>
      <c r="P34" s="67">
        <v>0.4375</v>
      </c>
      <c r="Q34" s="67">
        <v>0.38157894736842107</v>
      </c>
    </row>
    <row r="35" spans="1:17" x14ac:dyDescent="0.4">
      <c r="A35" s="69">
        <v>32</v>
      </c>
      <c r="B35" s="66">
        <v>-244.8</v>
      </c>
      <c r="C35" s="66">
        <v>-7.65</v>
      </c>
      <c r="D35" s="71">
        <v>2.25</v>
      </c>
      <c r="E35" s="67">
        <v>0.1875</v>
      </c>
      <c r="F35" s="67">
        <v>0.4375</v>
      </c>
      <c r="G35" s="67">
        <v>0.28260869565217389</v>
      </c>
      <c r="H35" s="67">
        <v>0.19565217391304349</v>
      </c>
      <c r="I35" s="68">
        <v>7312.8205128205127</v>
      </c>
      <c r="J35" s="68">
        <v>-7351.8518518518522</v>
      </c>
      <c r="K35" s="67">
        <v>6.25E-2</v>
      </c>
      <c r="L35" s="67">
        <v>6.25E-2</v>
      </c>
      <c r="M35" s="67">
        <v>0.27536231884057971</v>
      </c>
      <c r="N35" s="67">
        <v>0.18115942028985507</v>
      </c>
      <c r="O35" s="67">
        <v>0.57894736842105265</v>
      </c>
      <c r="P35" s="67">
        <v>0.44</v>
      </c>
      <c r="Q35" s="67">
        <v>0.38461538461538464</v>
      </c>
    </row>
    <row r="36" spans="1:17" x14ac:dyDescent="0.4">
      <c r="A36" s="69">
        <v>33</v>
      </c>
      <c r="B36" s="66">
        <v>-261.3</v>
      </c>
      <c r="C36" s="66">
        <v>-7.9181818181818189</v>
      </c>
      <c r="D36" s="71">
        <v>2.2727272727272729</v>
      </c>
      <c r="E36" s="67">
        <v>0.18181818181818182</v>
      </c>
      <c r="F36" s="67">
        <v>0.45454545454545453</v>
      </c>
      <c r="G36" s="67">
        <v>0.28521126760563381</v>
      </c>
      <c r="H36" s="67">
        <v>0.19366197183098591</v>
      </c>
      <c r="I36" s="68">
        <v>7334.5679012345681</v>
      </c>
      <c r="J36" s="68">
        <v>-7358.181818181818</v>
      </c>
      <c r="K36" s="67">
        <v>6.0606060606060608E-2</v>
      </c>
      <c r="L36" s="67">
        <v>6.0606060606060608E-2</v>
      </c>
      <c r="M36" s="67">
        <v>0.28521126760563381</v>
      </c>
      <c r="N36" s="67">
        <v>0.176056338028169</v>
      </c>
      <c r="O36" s="67">
        <v>0.58024691358024694</v>
      </c>
      <c r="P36" s="67">
        <v>0.44</v>
      </c>
      <c r="Q36" s="67">
        <v>0.39506172839506171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48710-517C-4653-A60C-E1F95084204F}">
  <sheetPr codeName="Sheet12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  <row r="42" spans="1:17" x14ac:dyDescent="0.4">
      <c r="A42" s="69">
        <v>39</v>
      </c>
      <c r="B42" s="66">
        <v>158.79999999999993</v>
      </c>
      <c r="C42" s="66">
        <v>4.0717948717948698</v>
      </c>
      <c r="D42" s="71">
        <v>1.9230769230769231</v>
      </c>
      <c r="E42" s="67">
        <v>0.33333333333333331</v>
      </c>
      <c r="F42" s="67">
        <v>0.25641025641025639</v>
      </c>
      <c r="G42" s="67">
        <v>0.31428571428571428</v>
      </c>
      <c r="H42" s="67">
        <v>0.19142857142857142</v>
      </c>
      <c r="I42" s="68">
        <v>8688.181818181818</v>
      </c>
      <c r="J42" s="68">
        <v>-7482.0895522388064</v>
      </c>
      <c r="K42" s="67">
        <v>0.12820512820512819</v>
      </c>
      <c r="L42" s="67">
        <v>0.15384615384615385</v>
      </c>
      <c r="M42" s="67">
        <v>0.22</v>
      </c>
      <c r="N42" s="67">
        <v>0.3342857142857143</v>
      </c>
      <c r="O42" s="67">
        <v>0.55844155844155841</v>
      </c>
      <c r="P42" s="67">
        <v>0.40170940170940173</v>
      </c>
      <c r="Q42" s="67">
        <v>0.36363636363636365</v>
      </c>
    </row>
    <row r="43" spans="1:17" x14ac:dyDescent="0.4">
      <c r="A43" s="69">
        <v>40</v>
      </c>
      <c r="B43" s="66">
        <v>109.59999999999992</v>
      </c>
      <c r="C43" s="66">
        <v>2.739999999999998</v>
      </c>
      <c r="D43" s="71">
        <v>1.95</v>
      </c>
      <c r="E43" s="67">
        <v>0.32500000000000001</v>
      </c>
      <c r="F43" s="67">
        <v>0.27500000000000002</v>
      </c>
      <c r="G43" s="67">
        <v>0.31179775280898875</v>
      </c>
      <c r="H43" s="67">
        <v>0.199438202247191</v>
      </c>
      <c r="I43" s="68">
        <v>8645.0450450450444</v>
      </c>
      <c r="J43" s="68">
        <v>-7635.211267605634</v>
      </c>
      <c r="K43" s="67">
        <v>0.15</v>
      </c>
      <c r="L43" s="67">
        <v>0.15</v>
      </c>
      <c r="M43" s="67">
        <v>0.21629213483146068</v>
      </c>
      <c r="N43" s="67">
        <v>0.3342696629213483</v>
      </c>
      <c r="O43" s="67">
        <v>0.55844155844155841</v>
      </c>
      <c r="P43" s="67">
        <v>0.3949579831932773</v>
      </c>
      <c r="Q43" s="67">
        <v>0.36036036036036034</v>
      </c>
    </row>
    <row r="44" spans="1:17" x14ac:dyDescent="0.4">
      <c r="A44" s="69">
        <v>41</v>
      </c>
      <c r="B44" s="66">
        <v>131.59999999999991</v>
      </c>
      <c r="C44" s="66">
        <v>3.2097560975609736</v>
      </c>
      <c r="D44" s="71">
        <v>1.9268292682926829</v>
      </c>
      <c r="E44" s="67">
        <v>0.34146341463414637</v>
      </c>
      <c r="F44" s="67">
        <v>0.26829268292682928</v>
      </c>
      <c r="G44" s="67">
        <v>0.31129476584022037</v>
      </c>
      <c r="H44" s="67">
        <v>0.20110192837465565</v>
      </c>
      <c r="I44" s="68">
        <v>8772.5663716814161</v>
      </c>
      <c r="J44" s="68">
        <v>-7690.41095890411</v>
      </c>
      <c r="K44" s="67">
        <v>0.14634146341463414</v>
      </c>
      <c r="L44" s="67">
        <v>0.14634146341463414</v>
      </c>
      <c r="M44" s="67">
        <v>0.21487603305785125</v>
      </c>
      <c r="N44" s="67">
        <v>0.33608815426997246</v>
      </c>
      <c r="O44" s="67">
        <v>0.5641025641025641</v>
      </c>
      <c r="P44" s="67">
        <v>0.39344262295081966</v>
      </c>
      <c r="Q44" s="67">
        <v>0.36283185840707965</v>
      </c>
    </row>
    <row r="45" spans="1:17" x14ac:dyDescent="0.4">
      <c r="A45" s="69">
        <v>42</v>
      </c>
      <c r="B45" s="66">
        <v>183.6999999999999</v>
      </c>
      <c r="C45" s="66">
        <v>4.3738095238095216</v>
      </c>
      <c r="D45" s="71">
        <v>1.9047619047619047</v>
      </c>
      <c r="E45" s="67">
        <v>0.35714285714285715</v>
      </c>
      <c r="F45" s="67">
        <v>0.26190476190476192</v>
      </c>
      <c r="G45" s="67">
        <v>0.31818181818181818</v>
      </c>
      <c r="H45" s="67">
        <v>0.19786096256684493</v>
      </c>
      <c r="I45" s="68">
        <v>8828.5714285714294</v>
      </c>
      <c r="J45" s="68">
        <v>-7629.72972972973</v>
      </c>
      <c r="K45" s="67">
        <v>0.14285714285714285</v>
      </c>
      <c r="L45" s="67">
        <v>0.16666666666666666</v>
      </c>
      <c r="M45" s="67">
        <v>0.22192513368983957</v>
      </c>
      <c r="N45" s="67">
        <v>0.33155080213903743</v>
      </c>
      <c r="O45" s="67">
        <v>0.57831325301204817</v>
      </c>
      <c r="P45" s="67">
        <v>0.40322580645161288</v>
      </c>
      <c r="Q45" s="67">
        <v>0.37815126050420167</v>
      </c>
    </row>
    <row r="46" spans="1:17" x14ac:dyDescent="0.4">
      <c r="A46" s="69">
        <v>43</v>
      </c>
      <c r="B46" s="66">
        <v>211.89999999999989</v>
      </c>
      <c r="C46" s="66">
        <v>4.9279069767441834</v>
      </c>
      <c r="D46" s="71">
        <v>1.8837209302325582</v>
      </c>
      <c r="E46" s="67">
        <v>0.37209302325581395</v>
      </c>
      <c r="F46" s="67">
        <v>0.2558139534883721</v>
      </c>
      <c r="G46" s="67">
        <v>0.32105263157894737</v>
      </c>
      <c r="H46" s="67">
        <v>0.2</v>
      </c>
      <c r="I46" s="68">
        <v>8802.4590163934427</v>
      </c>
      <c r="J46" s="68">
        <v>-7548.6842105263158</v>
      </c>
      <c r="K46" s="67">
        <v>0.13953488372093023</v>
      </c>
      <c r="L46" s="67">
        <v>0.16279069767441862</v>
      </c>
      <c r="M46" s="67">
        <v>0.22894736842105262</v>
      </c>
      <c r="N46" s="67">
        <v>0.32894736842105265</v>
      </c>
      <c r="O46" s="67">
        <v>0.57471264367816088</v>
      </c>
      <c r="P46" s="67">
        <v>0.4</v>
      </c>
      <c r="Q46" s="67">
        <v>0.39344262295081966</v>
      </c>
    </row>
    <row r="47" spans="1:17" x14ac:dyDescent="0.4">
      <c r="A47" s="69">
        <v>44</v>
      </c>
      <c r="B47" s="66">
        <v>232.7999999999999</v>
      </c>
      <c r="C47" s="66">
        <v>5.2909090909090883</v>
      </c>
      <c r="D47" s="71">
        <v>1.8636363636363635</v>
      </c>
      <c r="E47" s="67">
        <v>0.38636363636363635</v>
      </c>
      <c r="F47" s="67">
        <v>0.25</v>
      </c>
      <c r="G47" s="67">
        <v>0.32474226804123713</v>
      </c>
      <c r="H47" s="67">
        <v>0.19587628865979381</v>
      </c>
      <c r="I47" s="68">
        <v>8659.5238095238092</v>
      </c>
      <c r="J47" s="68">
        <v>-7548.6842105263158</v>
      </c>
      <c r="K47" s="67">
        <v>0.13636363636363635</v>
      </c>
      <c r="L47" s="67">
        <v>0.15909090909090909</v>
      </c>
      <c r="M47" s="67">
        <v>0.23195876288659795</v>
      </c>
      <c r="N47" s="67">
        <v>0.32731958762886598</v>
      </c>
      <c r="O47" s="67">
        <v>0.57777777777777772</v>
      </c>
      <c r="P47" s="67">
        <v>0.40157480314960631</v>
      </c>
      <c r="Q47" s="67">
        <v>0.38095238095238093</v>
      </c>
    </row>
    <row r="48" spans="1:17" x14ac:dyDescent="0.4">
      <c r="A48" s="69">
        <v>45</v>
      </c>
      <c r="B48" s="66">
        <v>214.39999999999989</v>
      </c>
      <c r="C48" s="66">
        <v>4.7644444444444423</v>
      </c>
      <c r="D48" s="71">
        <v>1.8888888888888888</v>
      </c>
      <c r="E48" s="67">
        <v>0.37777777777777777</v>
      </c>
      <c r="F48" s="67">
        <v>0.26666666666666666</v>
      </c>
      <c r="G48" s="67">
        <v>0.32151898734177214</v>
      </c>
      <c r="H48" s="67">
        <v>0.20253164556962025</v>
      </c>
      <c r="I48" s="68">
        <v>8654.3307086614168</v>
      </c>
      <c r="J48" s="68">
        <v>-7338.75</v>
      </c>
      <c r="K48" s="67">
        <v>0.13333333333333333</v>
      </c>
      <c r="L48" s="67">
        <v>0.15555555555555556</v>
      </c>
      <c r="M48" s="67">
        <v>0.23291139240506328</v>
      </c>
      <c r="N48" s="67">
        <v>0.32658227848101268</v>
      </c>
      <c r="O48" s="67">
        <v>0.56521739130434778</v>
      </c>
      <c r="P48" s="67">
        <v>0.40310077519379844</v>
      </c>
      <c r="Q48" s="67">
        <v>0.37795275590551181</v>
      </c>
    </row>
    <row r="49" spans="1:17" x14ac:dyDescent="0.4">
      <c r="A49" s="69">
        <v>46</v>
      </c>
      <c r="B49" s="66">
        <v>215.39999999999989</v>
      </c>
      <c r="C49" s="66">
        <v>4.6826086956521715</v>
      </c>
      <c r="D49" s="71">
        <v>1.8913043478260869</v>
      </c>
      <c r="E49" s="67">
        <v>0.36956521739130432</v>
      </c>
      <c r="F49" s="67">
        <v>0.2608695652173913</v>
      </c>
      <c r="G49" s="67">
        <v>0.31761786600496278</v>
      </c>
      <c r="H49" s="67">
        <v>0.20099255583126552</v>
      </c>
      <c r="I49" s="68">
        <v>8727.34375</v>
      </c>
      <c r="J49" s="68">
        <v>-7396.2962962962965</v>
      </c>
      <c r="K49" s="67">
        <v>0.13043478260869565</v>
      </c>
      <c r="L49" s="67">
        <v>0.15217391304347827</v>
      </c>
      <c r="M49" s="67">
        <v>0.23325062034739455</v>
      </c>
      <c r="N49" s="67">
        <v>0.32754342431761785</v>
      </c>
      <c r="O49" s="67">
        <v>0.55319148936170215</v>
      </c>
      <c r="P49" s="67">
        <v>0.40151515151515149</v>
      </c>
      <c r="Q49" s="67">
        <v>0.375</v>
      </c>
    </row>
    <row r="50" spans="1:17" x14ac:dyDescent="0.4">
      <c r="A50" s="69">
        <v>47</v>
      </c>
      <c r="B50" s="66">
        <v>259.19999999999987</v>
      </c>
      <c r="C50" s="66">
        <v>5.5148936170212739</v>
      </c>
      <c r="D50" s="71">
        <v>1.8723404255319149</v>
      </c>
      <c r="E50" s="67">
        <v>0.38297872340425532</v>
      </c>
      <c r="F50" s="67">
        <v>0.25531914893617019</v>
      </c>
      <c r="G50" s="67">
        <v>0.3235294117647059</v>
      </c>
      <c r="H50" s="67">
        <v>0.20098039215686275</v>
      </c>
      <c r="I50" s="68">
        <v>8787.121212121212</v>
      </c>
      <c r="J50" s="68">
        <v>-7452.4390243902435</v>
      </c>
      <c r="K50" s="67">
        <v>0.1276595744680851</v>
      </c>
      <c r="L50" s="67">
        <v>0.1702127659574468</v>
      </c>
      <c r="M50" s="67">
        <v>0.23774509803921567</v>
      </c>
      <c r="N50" s="67">
        <v>0.3235294117647059</v>
      </c>
      <c r="O50" s="67">
        <v>0.55670103092783507</v>
      </c>
      <c r="P50" s="67">
        <v>0.40151515151515149</v>
      </c>
      <c r="Q50" s="67">
        <v>0.37878787878787878</v>
      </c>
    </row>
    <row r="51" spans="1:17" x14ac:dyDescent="0.4">
      <c r="A51" s="69">
        <v>48</v>
      </c>
      <c r="B51" s="66">
        <v>272.09999999999985</v>
      </c>
      <c r="C51" s="66">
        <v>5.6687499999999966</v>
      </c>
      <c r="D51" s="71">
        <v>1.8541666666666667</v>
      </c>
      <c r="E51" s="67">
        <v>0.39583333333333331</v>
      </c>
      <c r="F51" s="67">
        <v>0.25</v>
      </c>
      <c r="G51" s="67">
        <v>0.32451923076923078</v>
      </c>
      <c r="H51" s="67">
        <v>0.19951923076923078</v>
      </c>
      <c r="I51" s="68">
        <v>8746.6666666666661</v>
      </c>
      <c r="J51" s="68">
        <v>-7555.4216867469877</v>
      </c>
      <c r="K51" s="67">
        <v>0.125</v>
      </c>
      <c r="L51" s="67">
        <v>0.16666666666666666</v>
      </c>
      <c r="M51" s="67">
        <v>0.23798076923076922</v>
      </c>
      <c r="N51" s="67">
        <v>0.31971153846153844</v>
      </c>
      <c r="O51" s="67">
        <v>0.55555555555555558</v>
      </c>
      <c r="P51" s="67">
        <v>0.40601503759398494</v>
      </c>
      <c r="Q51" s="67">
        <v>0.37777777777777777</v>
      </c>
    </row>
    <row r="52" spans="1:17" x14ac:dyDescent="0.4">
      <c r="A52" s="69">
        <v>49</v>
      </c>
      <c r="B52" s="66">
        <v>222.79999999999984</v>
      </c>
      <c r="C52" s="66">
        <v>4.5469387755102009</v>
      </c>
      <c r="D52" s="71">
        <v>1.8775510204081634</v>
      </c>
      <c r="E52" s="67">
        <v>0.38775510204081631</v>
      </c>
      <c r="F52" s="67">
        <v>0.26530612244897961</v>
      </c>
      <c r="G52" s="67">
        <v>0.32142857142857145</v>
      </c>
      <c r="H52" s="67">
        <v>0.20476190476190476</v>
      </c>
      <c r="I52" s="68">
        <v>8746.6666666666661</v>
      </c>
      <c r="J52" s="68">
        <v>-7620.9302325581393</v>
      </c>
      <c r="K52" s="67">
        <v>0.14285714285714285</v>
      </c>
      <c r="L52" s="67">
        <v>0.16326530612244897</v>
      </c>
      <c r="M52" s="67">
        <v>0.23571428571428571</v>
      </c>
      <c r="N52" s="67">
        <v>0.31904761904761902</v>
      </c>
      <c r="O52" s="67">
        <v>0.55555555555555558</v>
      </c>
      <c r="P52" s="67">
        <v>0.40298507462686567</v>
      </c>
      <c r="Q52" s="67">
        <v>0.37777777777777777</v>
      </c>
    </row>
    <row r="53" spans="1:17" x14ac:dyDescent="0.4">
      <c r="A53" s="69">
        <v>50</v>
      </c>
      <c r="B53" s="66">
        <v>248.89999999999984</v>
      </c>
      <c r="C53" s="66">
        <v>4.9779999999999971</v>
      </c>
      <c r="D53" s="71">
        <v>1.86</v>
      </c>
      <c r="E53" s="67">
        <v>0.4</v>
      </c>
      <c r="F53" s="67">
        <v>0.26</v>
      </c>
      <c r="G53" s="67">
        <v>0.32400932400932403</v>
      </c>
      <c r="H53" s="67">
        <v>0.20046620046620048</v>
      </c>
      <c r="I53" s="68">
        <v>8680.5755395683445</v>
      </c>
      <c r="J53" s="68">
        <v>-7620.9302325581393</v>
      </c>
      <c r="K53" s="67">
        <v>0.14000000000000001</v>
      </c>
      <c r="L53" s="67">
        <v>0.16</v>
      </c>
      <c r="M53" s="67">
        <v>0.23543123543123542</v>
      </c>
      <c r="N53" s="67">
        <v>0.32167832167832167</v>
      </c>
      <c r="O53" s="67">
        <v>0.5643564356435643</v>
      </c>
      <c r="P53" s="67">
        <v>0.40579710144927539</v>
      </c>
      <c r="Q53" s="67">
        <v>0.38848920863309355</v>
      </c>
    </row>
    <row r="54" spans="1:17" x14ac:dyDescent="0.4">
      <c r="A54" s="69">
        <v>51</v>
      </c>
      <c r="B54" s="66">
        <v>269.99999999999983</v>
      </c>
      <c r="C54" s="66">
        <v>5.2941176470588198</v>
      </c>
      <c r="D54" s="71">
        <v>1.8431372549019607</v>
      </c>
      <c r="E54" s="67">
        <v>0.41176470588235292</v>
      </c>
      <c r="F54" s="67">
        <v>0.25490196078431371</v>
      </c>
      <c r="G54" s="67">
        <v>0.32648401826484019</v>
      </c>
      <c r="H54" s="67">
        <v>0.20091324200913241</v>
      </c>
      <c r="I54" s="68">
        <v>8604.1958041958042</v>
      </c>
      <c r="J54" s="68">
        <v>-7609.090909090909</v>
      </c>
      <c r="K54" s="67">
        <v>0.13725490196078433</v>
      </c>
      <c r="L54" s="67">
        <v>0.15686274509803921</v>
      </c>
      <c r="M54" s="67">
        <v>0.23744292237442921</v>
      </c>
      <c r="N54" s="67">
        <v>0.32420091324200911</v>
      </c>
      <c r="O54" s="67">
        <v>0.56730769230769229</v>
      </c>
      <c r="P54" s="67">
        <v>0.40140845070422537</v>
      </c>
      <c r="Q54" s="67">
        <v>0.38461538461538464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30D83-D7A6-456D-A451-E0CD145D36D1}">
  <sheetPr codeName="Sheet10"/>
  <dimension ref="A1:Q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-7536.5853658536589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-7722.727272727273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  <row r="40" spans="1:17" x14ac:dyDescent="0.4">
      <c r="A40" s="69">
        <v>37</v>
      </c>
      <c r="B40" s="66">
        <v>325.09999999999991</v>
      </c>
      <c r="C40" s="66">
        <v>8.7864864864864849</v>
      </c>
      <c r="D40" s="71">
        <v>1.7567567567567568</v>
      </c>
      <c r="E40" s="67">
        <v>0.51351351351351349</v>
      </c>
      <c r="F40" s="67">
        <v>0.27027027027027029</v>
      </c>
      <c r="G40" s="67">
        <v>0.3364485981308411</v>
      </c>
      <c r="H40" s="67">
        <v>0.13707165109034267</v>
      </c>
      <c r="I40" s="68">
        <v>8024.0740740740739</v>
      </c>
      <c r="J40" s="68">
        <v>-7722.727272727273</v>
      </c>
      <c r="K40" s="67">
        <v>5.4054054054054057E-2</v>
      </c>
      <c r="L40" s="67">
        <v>0.10810810810810811</v>
      </c>
      <c r="M40" s="67">
        <v>0.24610591900311526</v>
      </c>
      <c r="N40" s="67">
        <v>0.22118380062305296</v>
      </c>
      <c r="O40" s="67">
        <v>0.60759493670886078</v>
      </c>
      <c r="P40" s="67">
        <v>0.53521126760563376</v>
      </c>
      <c r="Q40" s="67">
        <v>0.42592592592592593</v>
      </c>
    </row>
    <row r="41" spans="1:17" x14ac:dyDescent="0.4">
      <c r="A41" s="69">
        <v>38</v>
      </c>
      <c r="B41" s="66">
        <v>360.49999999999989</v>
      </c>
      <c r="C41" s="66">
        <v>9.4868421052631557</v>
      </c>
      <c r="D41" s="71">
        <v>1.736842105263158</v>
      </c>
      <c r="E41" s="67">
        <v>0.52631578947368418</v>
      </c>
      <c r="F41" s="67">
        <v>0.26315789473684209</v>
      </c>
      <c r="G41" s="67">
        <v>0.34042553191489361</v>
      </c>
      <c r="H41" s="67">
        <v>0.13677811550151975</v>
      </c>
      <c r="I41" s="68">
        <v>7992.8571428571431</v>
      </c>
      <c r="J41" s="68">
        <v>-7595.5555555555557</v>
      </c>
      <c r="K41" s="67">
        <v>5.2631578947368418E-2</v>
      </c>
      <c r="L41" s="67">
        <v>0.10526315789473684</v>
      </c>
      <c r="M41" s="67">
        <v>0.24316109422492402</v>
      </c>
      <c r="N41" s="67">
        <v>0.22492401215805471</v>
      </c>
      <c r="O41" s="67">
        <v>0.61250000000000004</v>
      </c>
      <c r="P41" s="67">
        <v>0.54054054054054057</v>
      </c>
      <c r="Q41" s="67">
        <v>0.42857142857142855</v>
      </c>
    </row>
    <row r="42" spans="1:17" x14ac:dyDescent="0.4">
      <c r="A42" s="69">
        <v>39</v>
      </c>
      <c r="B42" s="66">
        <v>365.39999999999986</v>
      </c>
      <c r="C42" s="66">
        <v>9.3692307692307661</v>
      </c>
      <c r="D42" s="71">
        <v>1.7435897435897436</v>
      </c>
      <c r="E42" s="67">
        <v>0.51282051282051277</v>
      </c>
      <c r="F42" s="67">
        <v>0.25641025641025639</v>
      </c>
      <c r="G42" s="67">
        <v>0.33731343283582088</v>
      </c>
      <c r="H42" s="67">
        <v>0.13432835820895522</v>
      </c>
      <c r="I42" s="68">
        <v>7968.141592920354</v>
      </c>
      <c r="J42" s="68">
        <v>-7595.5555555555557</v>
      </c>
      <c r="K42" s="67">
        <v>5.128205128205128E-2</v>
      </c>
      <c r="L42" s="67">
        <v>0.10256410256410256</v>
      </c>
      <c r="M42" s="67">
        <v>0.24477611940298508</v>
      </c>
      <c r="N42" s="67">
        <v>0.22388059701492538</v>
      </c>
      <c r="O42" s="67">
        <v>0.6097560975609756</v>
      </c>
      <c r="P42" s="67">
        <v>0.53333333333333333</v>
      </c>
      <c r="Q42" s="67">
        <v>0.4247787610619469</v>
      </c>
    </row>
    <row r="43" spans="1:17" x14ac:dyDescent="0.4">
      <c r="A43" s="69">
        <v>40</v>
      </c>
      <c r="B43" s="66">
        <v>398.79999999999984</v>
      </c>
      <c r="C43" s="66">
        <v>9.9699999999999953</v>
      </c>
      <c r="D43" s="71">
        <v>1.7250000000000001</v>
      </c>
      <c r="E43" s="67">
        <v>0.52500000000000002</v>
      </c>
      <c r="F43" s="67">
        <v>0.25</v>
      </c>
      <c r="G43" s="67">
        <v>0.33819241982507287</v>
      </c>
      <c r="H43" s="67">
        <v>0.13119533527696792</v>
      </c>
      <c r="I43" s="68">
        <v>8048.2758620689656</v>
      </c>
      <c r="J43" s="68">
        <v>-7595.5555555555557</v>
      </c>
      <c r="K43" s="67">
        <v>0.05</v>
      </c>
      <c r="L43" s="67">
        <v>0.1</v>
      </c>
      <c r="M43" s="67">
        <v>0.24489795918367346</v>
      </c>
      <c r="N43" s="67">
        <v>0.22157434402332363</v>
      </c>
      <c r="O43" s="67">
        <v>0.61904761904761907</v>
      </c>
      <c r="P43" s="67">
        <v>0.52631578947368418</v>
      </c>
      <c r="Q43" s="67">
        <v>0.43103448275862066</v>
      </c>
    </row>
    <row r="44" spans="1:17" x14ac:dyDescent="0.4">
      <c r="A44" s="69">
        <v>41</v>
      </c>
      <c r="B44" s="66">
        <v>399.89999999999986</v>
      </c>
      <c r="C44" s="66">
        <v>9.7536585365853625</v>
      </c>
      <c r="D44" s="71">
        <v>1.7317073170731707</v>
      </c>
      <c r="E44" s="67">
        <v>0.51219512195121952</v>
      </c>
      <c r="F44" s="67">
        <v>0.24390243902439024</v>
      </c>
      <c r="G44" s="67">
        <v>0.33618233618233617</v>
      </c>
      <c r="H44" s="67">
        <v>0.13390313390313391</v>
      </c>
      <c r="I44" s="68">
        <v>8032.2033898305081</v>
      </c>
      <c r="J44" s="68">
        <v>-7465.9574468085102</v>
      </c>
      <c r="K44" s="67">
        <v>4.878048780487805E-2</v>
      </c>
      <c r="L44" s="67">
        <v>9.7560975609756101E-2</v>
      </c>
      <c r="M44" s="67">
        <v>0.24501424501424501</v>
      </c>
      <c r="N44" s="67">
        <v>0.21652421652421652</v>
      </c>
      <c r="O44" s="67">
        <v>0.61627906976744184</v>
      </c>
      <c r="P44" s="67">
        <v>0.52631578947368418</v>
      </c>
      <c r="Q44" s="67">
        <v>0.44067796610169491</v>
      </c>
    </row>
    <row r="45" spans="1:17" x14ac:dyDescent="0.4">
      <c r="A45" s="69">
        <v>42</v>
      </c>
      <c r="B45" s="66">
        <v>419.29999999999984</v>
      </c>
      <c r="C45" s="66">
        <v>9.983333333333329</v>
      </c>
      <c r="D45" s="71">
        <v>1.7142857142857142</v>
      </c>
      <c r="E45" s="67">
        <v>0.52380952380952384</v>
      </c>
      <c r="F45" s="67">
        <v>0.23809523809523808</v>
      </c>
      <c r="G45" s="67">
        <v>0.34078212290502791</v>
      </c>
      <c r="H45" s="67">
        <v>0.13407821229050279</v>
      </c>
      <c r="I45" s="68">
        <v>7878.688524590164</v>
      </c>
      <c r="J45" s="68">
        <v>-7477.083333333333</v>
      </c>
      <c r="K45" s="67">
        <v>4.7619047619047616E-2</v>
      </c>
      <c r="L45" s="67">
        <v>9.5238095238095233E-2</v>
      </c>
      <c r="M45" s="67">
        <v>0.25139664804469275</v>
      </c>
      <c r="N45" s="67">
        <v>0.21508379888268156</v>
      </c>
      <c r="O45" s="67">
        <v>0.61111111111111116</v>
      </c>
      <c r="P45" s="67">
        <v>0.53246753246753242</v>
      </c>
      <c r="Q45" s="67">
        <v>0.42622950819672129</v>
      </c>
    </row>
    <row r="46" spans="1:17" x14ac:dyDescent="0.4">
      <c r="A46" s="69">
        <v>43</v>
      </c>
      <c r="B46" s="66">
        <v>424.79999999999984</v>
      </c>
      <c r="C46" s="66">
        <v>9.8790697674418571</v>
      </c>
      <c r="D46" s="71">
        <v>1.7209302325581395</v>
      </c>
      <c r="E46" s="67">
        <v>0.51162790697674421</v>
      </c>
      <c r="F46" s="67">
        <v>0.23255813953488372</v>
      </c>
      <c r="G46" s="67">
        <v>0.34426229508196721</v>
      </c>
      <c r="H46" s="67">
        <v>0.13387978142076504</v>
      </c>
      <c r="I46" s="68">
        <v>7830.9523809523807</v>
      </c>
      <c r="J46" s="68">
        <v>-7651.0204081632655</v>
      </c>
      <c r="K46" s="67">
        <v>4.6511627906976744E-2</v>
      </c>
      <c r="L46" s="67">
        <v>9.3023255813953487E-2</v>
      </c>
      <c r="M46" s="67">
        <v>0.25136612021857924</v>
      </c>
      <c r="N46" s="67">
        <v>0.22131147540983606</v>
      </c>
      <c r="O46" s="67">
        <v>0.60869565217391308</v>
      </c>
      <c r="P46" s="67">
        <v>0.54320987654320985</v>
      </c>
      <c r="Q46" s="67">
        <v>0.41269841269841268</v>
      </c>
    </row>
    <row r="47" spans="1:17" x14ac:dyDescent="0.4">
      <c r="A47" s="69">
        <v>44</v>
      </c>
      <c r="B47" s="66">
        <v>424.39999999999986</v>
      </c>
      <c r="C47" s="66">
        <v>9.6454545454545428</v>
      </c>
      <c r="D47" s="71">
        <v>1.7272727272727273</v>
      </c>
      <c r="E47" s="67">
        <v>0.5</v>
      </c>
      <c r="F47" s="67">
        <v>0.22727272727272727</v>
      </c>
      <c r="G47" s="67">
        <v>0.34491978609625668</v>
      </c>
      <c r="H47" s="67">
        <v>0.13368983957219252</v>
      </c>
      <c r="I47" s="68">
        <v>7813.1782945736431</v>
      </c>
      <c r="J47" s="68">
        <v>-7730</v>
      </c>
      <c r="K47" s="67">
        <v>4.5454545454545456E-2</v>
      </c>
      <c r="L47" s="67">
        <v>9.0909090909090912E-2</v>
      </c>
      <c r="M47" s="67">
        <v>0.25133689839572193</v>
      </c>
      <c r="N47" s="67">
        <v>0.22459893048128343</v>
      </c>
      <c r="O47" s="67">
        <v>0.6063829787234043</v>
      </c>
      <c r="P47" s="67">
        <v>0.54761904761904767</v>
      </c>
      <c r="Q47" s="67">
        <v>0.41860465116279072</v>
      </c>
    </row>
    <row r="48" spans="1:17" x14ac:dyDescent="0.4">
      <c r="A48" s="69">
        <v>45</v>
      </c>
      <c r="B48" s="66">
        <v>425.69999999999987</v>
      </c>
      <c r="C48" s="66">
        <v>9.4599999999999973</v>
      </c>
      <c r="D48" s="71">
        <v>1.7333333333333334</v>
      </c>
      <c r="E48" s="67">
        <v>0.48888888888888887</v>
      </c>
      <c r="F48" s="67">
        <v>0.22222222222222221</v>
      </c>
      <c r="G48" s="67">
        <v>0.34383202099737531</v>
      </c>
      <c r="H48" s="67">
        <v>0.13123359580052493</v>
      </c>
      <c r="I48" s="68">
        <v>7805.3435114503818</v>
      </c>
      <c r="J48" s="68">
        <v>-7730</v>
      </c>
      <c r="K48" s="67">
        <v>4.4444444444444446E-2</v>
      </c>
      <c r="L48" s="67">
        <v>8.8888888888888892E-2</v>
      </c>
      <c r="M48" s="67">
        <v>0.24934383202099739</v>
      </c>
      <c r="N48" s="67">
        <v>0.22572178477690288</v>
      </c>
      <c r="O48" s="67">
        <v>0.61052631578947369</v>
      </c>
      <c r="P48" s="67">
        <v>0.54651162790697672</v>
      </c>
      <c r="Q48" s="67">
        <v>0.41984732824427479</v>
      </c>
    </row>
    <row r="49" spans="1:17" x14ac:dyDescent="0.4">
      <c r="A49" s="69">
        <v>46</v>
      </c>
      <c r="B49" s="66">
        <v>465.7999999999999</v>
      </c>
      <c r="C49" s="66">
        <v>10.126086956521737</v>
      </c>
      <c r="D49" s="71">
        <v>1.7173913043478262</v>
      </c>
      <c r="E49" s="67">
        <v>0.5</v>
      </c>
      <c r="F49" s="67">
        <v>0.21739130434782608</v>
      </c>
      <c r="G49" s="67">
        <v>0.34961439588688947</v>
      </c>
      <c r="H49" s="67">
        <v>0.12853470437017994</v>
      </c>
      <c r="I49" s="68">
        <v>7780.1470588235297</v>
      </c>
      <c r="J49" s="68">
        <v>-7730</v>
      </c>
      <c r="K49" s="67">
        <v>4.3478260869565216E-2</v>
      </c>
      <c r="L49" s="67">
        <v>8.6956521739130432E-2</v>
      </c>
      <c r="M49" s="67">
        <v>0.25192802056555269</v>
      </c>
      <c r="N49" s="67">
        <v>0.2262210796915167</v>
      </c>
      <c r="O49" s="67">
        <v>0.61224489795918369</v>
      </c>
      <c r="P49" s="67">
        <v>0.55681818181818177</v>
      </c>
      <c r="Q49" s="67">
        <v>0.40441176470588236</v>
      </c>
    </row>
    <row r="50" spans="1:17" x14ac:dyDescent="0.4">
      <c r="A50" s="69">
        <v>47</v>
      </c>
      <c r="B50" s="66">
        <v>419.99999999999989</v>
      </c>
      <c r="C50" s="66">
        <v>8.9361702127659548</v>
      </c>
      <c r="D50" s="71">
        <v>1.7446808510638299</v>
      </c>
      <c r="E50" s="67">
        <v>0.48936170212765956</v>
      </c>
      <c r="F50" s="67">
        <v>0.23404255319148937</v>
      </c>
      <c r="G50" s="67">
        <v>0.34693877551020408</v>
      </c>
      <c r="H50" s="67">
        <v>0.1326530612244898</v>
      </c>
      <c r="I50" s="68">
        <v>7780.1470588235297</v>
      </c>
      <c r="J50" s="68">
        <v>-7611.5384615384619</v>
      </c>
      <c r="K50" s="67">
        <v>6.3829787234042548E-2</v>
      </c>
      <c r="L50" s="67">
        <v>8.5106382978723402E-2</v>
      </c>
      <c r="M50" s="67">
        <v>0.25</v>
      </c>
      <c r="N50" s="67">
        <v>0.22448979591836735</v>
      </c>
      <c r="O50" s="67">
        <v>0.61224489795918369</v>
      </c>
      <c r="P50" s="67">
        <v>0.55681818181818177</v>
      </c>
      <c r="Q50" s="67">
        <v>0.40441176470588236</v>
      </c>
    </row>
    <row r="51" spans="1:17" x14ac:dyDescent="0.4">
      <c r="A51" s="69">
        <v>48</v>
      </c>
      <c r="B51" s="66">
        <v>424.59999999999991</v>
      </c>
      <c r="C51" s="66">
        <v>8.8458333333333314</v>
      </c>
      <c r="D51" s="71">
        <v>1.75</v>
      </c>
      <c r="E51" s="67">
        <v>0.47916666666666669</v>
      </c>
      <c r="F51" s="67">
        <v>0.22916666666666666</v>
      </c>
      <c r="G51" s="67">
        <v>0.34508816120906799</v>
      </c>
      <c r="H51" s="67">
        <v>0.13098236775818639</v>
      </c>
      <c r="I51" s="68">
        <v>7810.9489051094888</v>
      </c>
      <c r="J51" s="68">
        <v>-7611.5384615384619</v>
      </c>
      <c r="K51" s="67">
        <v>6.25E-2</v>
      </c>
      <c r="L51" s="67">
        <v>8.3333333333333329E-2</v>
      </c>
      <c r="M51" s="67">
        <v>0.24685138539042822</v>
      </c>
      <c r="N51" s="67">
        <v>0.22418136020151133</v>
      </c>
      <c r="O51" s="67">
        <v>0.61224489795918369</v>
      </c>
      <c r="P51" s="67">
        <v>0.5617977528089888</v>
      </c>
      <c r="Q51" s="67">
        <v>0.40145985401459855</v>
      </c>
    </row>
    <row r="52" spans="1:17" x14ac:dyDescent="0.4">
      <c r="A52" s="69">
        <v>49</v>
      </c>
      <c r="B52" s="66">
        <v>427.39999999999992</v>
      </c>
      <c r="C52" s="66">
        <v>8.7224489795918352</v>
      </c>
      <c r="D52" s="71">
        <v>1.7551020408163265</v>
      </c>
      <c r="E52" s="67">
        <v>0.46938775510204084</v>
      </c>
      <c r="F52" s="67">
        <v>0.22448979591836735</v>
      </c>
      <c r="G52" s="67">
        <v>0.34320987654320989</v>
      </c>
      <c r="H52" s="67">
        <v>0.13333333333333333</v>
      </c>
      <c r="I52" s="68">
        <v>7871.223021582734</v>
      </c>
      <c r="J52" s="68">
        <v>-7509.2592592592591</v>
      </c>
      <c r="K52" s="67">
        <v>6.1224489795918366E-2</v>
      </c>
      <c r="L52" s="67">
        <v>8.1632653061224483E-2</v>
      </c>
      <c r="M52" s="67">
        <v>0.24444444444444444</v>
      </c>
      <c r="N52" s="67">
        <v>0.2271604938271605</v>
      </c>
      <c r="O52" s="67">
        <v>0.60606060606060608</v>
      </c>
      <c r="P52" s="67">
        <v>0.56521739130434778</v>
      </c>
      <c r="Q52" s="67">
        <v>0.40287769784172661</v>
      </c>
    </row>
    <row r="53" spans="1:17" x14ac:dyDescent="0.4">
      <c r="A53" s="69">
        <v>50</v>
      </c>
      <c r="B53" s="66">
        <v>474.2999999999999</v>
      </c>
      <c r="C53" s="66">
        <v>9.4859999999999971</v>
      </c>
      <c r="D53" s="71">
        <v>1.74</v>
      </c>
      <c r="E53" s="67">
        <v>0.48</v>
      </c>
      <c r="F53" s="67">
        <v>0.22</v>
      </c>
      <c r="G53" s="67">
        <v>0.3471882640586797</v>
      </c>
      <c r="H53" s="67">
        <v>0.13202933985330073</v>
      </c>
      <c r="I53" s="68">
        <v>7943.6619718309857</v>
      </c>
      <c r="J53" s="68">
        <v>-7509.2592592592591</v>
      </c>
      <c r="K53" s="67">
        <v>0.06</v>
      </c>
      <c r="L53" s="67">
        <v>0.1</v>
      </c>
      <c r="M53" s="67">
        <v>0.24938875305623473</v>
      </c>
      <c r="N53" s="67">
        <v>0.22493887530562348</v>
      </c>
      <c r="O53" s="67">
        <v>0.61764705882352944</v>
      </c>
      <c r="P53" s="67">
        <v>0.56521739130434778</v>
      </c>
      <c r="Q53" s="67">
        <v>0.40140845070422537</v>
      </c>
    </row>
    <row r="54" spans="1:17" x14ac:dyDescent="0.4">
      <c r="A54" s="69">
        <v>51</v>
      </c>
      <c r="B54" s="66">
        <v>500.7999999999999</v>
      </c>
      <c r="C54" s="66">
        <v>9.8196078431372538</v>
      </c>
      <c r="D54" s="71">
        <v>1.7254901960784315</v>
      </c>
      <c r="E54" s="67">
        <v>0.49019607843137253</v>
      </c>
      <c r="F54" s="67">
        <v>0.21568627450980393</v>
      </c>
      <c r="G54" s="67">
        <v>0.34523809523809523</v>
      </c>
      <c r="H54" s="67">
        <v>0.13333333333333333</v>
      </c>
      <c r="I54" s="68">
        <v>7962.7586206896549</v>
      </c>
      <c r="J54" s="68">
        <v>-7310.7142857142853</v>
      </c>
      <c r="K54" s="67">
        <v>5.8823529411764705E-2</v>
      </c>
      <c r="L54" s="67">
        <v>9.8039215686274508E-2</v>
      </c>
      <c r="M54" s="67">
        <v>0.24761904761904763</v>
      </c>
      <c r="N54" s="67">
        <v>0.22619047619047619</v>
      </c>
      <c r="O54" s="67">
        <v>0.61538461538461542</v>
      </c>
      <c r="P54" s="67">
        <v>0.55789473684210522</v>
      </c>
      <c r="Q54" s="67">
        <v>0.39310344827586208</v>
      </c>
    </row>
    <row r="55" spans="1:17" x14ac:dyDescent="0.4">
      <c r="A55" s="69">
        <v>52</v>
      </c>
      <c r="B55" s="66">
        <v>534.89999999999986</v>
      </c>
      <c r="C55" s="66">
        <v>10.286538461538459</v>
      </c>
      <c r="D55" s="71">
        <v>1.7115384615384615</v>
      </c>
      <c r="E55" s="67">
        <v>0.5</v>
      </c>
      <c r="F55" s="67">
        <v>0.21153846153846154</v>
      </c>
      <c r="G55" s="67">
        <v>0.34741784037558687</v>
      </c>
      <c r="H55" s="67">
        <v>0.13145539906103287</v>
      </c>
      <c r="I55" s="68">
        <v>8003.3783783783783</v>
      </c>
      <c r="J55" s="68">
        <v>-7310.7142857142853</v>
      </c>
      <c r="K55" s="67">
        <v>5.7692307692307696E-2</v>
      </c>
      <c r="L55" s="67">
        <v>0.11538461538461539</v>
      </c>
      <c r="M55" s="67">
        <v>0.25117370892018781</v>
      </c>
      <c r="N55" s="67">
        <v>0.22300469483568075</v>
      </c>
      <c r="O55" s="67">
        <v>0.62616822429906538</v>
      </c>
      <c r="P55" s="67">
        <v>0.55789473684210522</v>
      </c>
      <c r="Q55" s="67">
        <v>0.38513513513513514</v>
      </c>
    </row>
    <row r="56" spans="1:17" x14ac:dyDescent="0.4">
      <c r="A56" s="69">
        <v>53</v>
      </c>
      <c r="B56" s="66">
        <v>539.49999999999989</v>
      </c>
      <c r="C56" s="66">
        <v>10.179245283018865</v>
      </c>
      <c r="D56" s="71">
        <v>1.7169811320754718</v>
      </c>
      <c r="E56" s="67">
        <v>0.49056603773584906</v>
      </c>
      <c r="F56" s="67">
        <v>0.20754716981132076</v>
      </c>
      <c r="G56" s="67">
        <v>0.3480278422273782</v>
      </c>
      <c r="H56" s="67">
        <v>0.13225058004640372</v>
      </c>
      <c r="I56" s="68">
        <v>8030</v>
      </c>
      <c r="J56" s="68">
        <v>-7385.9649122807014</v>
      </c>
      <c r="K56" s="67">
        <v>5.6603773584905662E-2</v>
      </c>
      <c r="L56" s="67">
        <v>0.11320754716981132</v>
      </c>
      <c r="M56" s="67">
        <v>0.25058004640371229</v>
      </c>
      <c r="N56" s="67">
        <v>0.22273781902552203</v>
      </c>
      <c r="O56" s="67">
        <v>0.62962962962962965</v>
      </c>
      <c r="P56" s="67">
        <v>0.55208333333333337</v>
      </c>
      <c r="Q56" s="67">
        <v>0.38666666666666666</v>
      </c>
    </row>
    <row r="57" spans="1:17" x14ac:dyDescent="0.4">
      <c r="A57" s="69">
        <v>54</v>
      </c>
      <c r="B57" s="66">
        <v>566.59999999999991</v>
      </c>
      <c r="C57" s="66">
        <v>10.49259259259259</v>
      </c>
      <c r="D57" s="71">
        <v>1.7037037037037037</v>
      </c>
      <c r="E57" s="67">
        <v>0.5</v>
      </c>
      <c r="F57" s="67">
        <v>0.20370370370370369</v>
      </c>
      <c r="G57" s="67">
        <v>0.35079726651480636</v>
      </c>
      <c r="H57" s="67">
        <v>0.13439635535307518</v>
      </c>
      <c r="I57" s="68">
        <v>8001.2987012987014</v>
      </c>
      <c r="J57" s="68">
        <v>-7383.0508474576272</v>
      </c>
      <c r="K57" s="67">
        <v>5.5555555555555552E-2</v>
      </c>
      <c r="L57" s="67">
        <v>0.1111111111111111</v>
      </c>
      <c r="M57" s="67">
        <v>0.24829157175398633</v>
      </c>
      <c r="N57" s="67">
        <v>0.2255125284738041</v>
      </c>
      <c r="O57" s="67">
        <v>0.6330275229357798</v>
      </c>
      <c r="P57" s="67">
        <v>0.55555555555555558</v>
      </c>
      <c r="Q57" s="67">
        <v>0.38311688311688313</v>
      </c>
    </row>
    <row r="58" spans="1:17" x14ac:dyDescent="0.4">
      <c r="A58" s="69">
        <v>55</v>
      </c>
      <c r="B58" s="66">
        <v>584.59999999999991</v>
      </c>
      <c r="C58" s="66">
        <v>10.629090909090907</v>
      </c>
      <c r="D58" s="71">
        <v>1.6909090909090909</v>
      </c>
      <c r="E58" s="67">
        <v>0.50909090909090904</v>
      </c>
      <c r="F58" s="67">
        <v>0.2</v>
      </c>
      <c r="G58" s="67">
        <v>0.34977578475336324</v>
      </c>
      <c r="H58" s="67">
        <v>0.1367713004484305</v>
      </c>
      <c r="I58" s="68">
        <v>7975.6410256410254</v>
      </c>
      <c r="J58" s="68">
        <v>-7181.9672131147545</v>
      </c>
      <c r="K58" s="67">
        <v>5.4545454545454543E-2</v>
      </c>
      <c r="L58" s="67">
        <v>0.10909090909090909</v>
      </c>
      <c r="M58" s="67">
        <v>0.25112107623318386</v>
      </c>
      <c r="N58" s="67">
        <v>0.22421524663677131</v>
      </c>
      <c r="O58" s="67">
        <v>0.6339285714285714</v>
      </c>
      <c r="P58" s="67">
        <v>0.55000000000000004</v>
      </c>
      <c r="Q58" s="67">
        <v>0.39102564102564102</v>
      </c>
    </row>
    <row r="59" spans="1:17" x14ac:dyDescent="0.4">
      <c r="A59" s="69">
        <v>56</v>
      </c>
      <c r="B59" s="66">
        <v>590.69999999999993</v>
      </c>
      <c r="C59" s="66">
        <v>10.548214285714284</v>
      </c>
      <c r="D59" s="71">
        <v>1.6964285714285714</v>
      </c>
      <c r="E59" s="67">
        <v>0.5</v>
      </c>
      <c r="F59" s="67">
        <v>0.19642857142857142</v>
      </c>
      <c r="G59" s="67">
        <v>0.34945054945054943</v>
      </c>
      <c r="H59" s="67">
        <v>0.13626373626373625</v>
      </c>
      <c r="I59" s="68">
        <v>7983.0188679245284</v>
      </c>
      <c r="J59" s="68">
        <v>-7117.7419354838712</v>
      </c>
      <c r="K59" s="67">
        <v>5.3571428571428568E-2</v>
      </c>
      <c r="L59" s="67">
        <v>0.10714285714285714</v>
      </c>
      <c r="M59" s="67">
        <v>0.25274725274725274</v>
      </c>
      <c r="N59" s="67">
        <v>0.22857142857142856</v>
      </c>
      <c r="O59" s="67">
        <v>0.62608695652173918</v>
      </c>
      <c r="P59" s="67">
        <v>0.53846153846153844</v>
      </c>
      <c r="Q59" s="67">
        <v>0.40251572327044027</v>
      </c>
    </row>
    <row r="60" spans="1:17" x14ac:dyDescent="0.4">
      <c r="A60" s="69">
        <v>57</v>
      </c>
      <c r="B60" s="66">
        <v>593.09999999999991</v>
      </c>
      <c r="C60" s="66">
        <v>10.405263157894735</v>
      </c>
      <c r="D60" s="71">
        <v>1.7017543859649122</v>
      </c>
      <c r="E60" s="67">
        <v>0.49122807017543857</v>
      </c>
      <c r="F60" s="67">
        <v>0.19298245614035087</v>
      </c>
      <c r="G60" s="67">
        <v>0.34773218142548595</v>
      </c>
      <c r="H60" s="67">
        <v>0.14038876889848811</v>
      </c>
      <c r="I60" s="68">
        <v>8080.7453416149065</v>
      </c>
      <c r="J60" s="68">
        <v>-7120</v>
      </c>
      <c r="K60" s="67">
        <v>5.2631578947368418E-2</v>
      </c>
      <c r="L60" s="67">
        <v>0.10526315789473684</v>
      </c>
      <c r="M60" s="67">
        <v>0.25269978401727861</v>
      </c>
      <c r="N60" s="67">
        <v>0.23110151187904968</v>
      </c>
      <c r="O60" s="67">
        <v>0.62393162393162394</v>
      </c>
      <c r="P60" s="67">
        <v>0.53271028037383172</v>
      </c>
      <c r="Q60" s="67">
        <v>0.40372670807453415</v>
      </c>
    </row>
    <row r="61" spans="1:17" x14ac:dyDescent="0.4">
      <c r="A61" s="69">
        <v>58</v>
      </c>
      <c r="B61" s="66">
        <v>597.59999999999991</v>
      </c>
      <c r="C61" s="66">
        <v>10.303448275862067</v>
      </c>
      <c r="D61" s="71">
        <v>1.7068965517241379</v>
      </c>
      <c r="E61" s="67">
        <v>0.48275862068965519</v>
      </c>
      <c r="F61" s="67">
        <v>0.18965517241379309</v>
      </c>
      <c r="G61" s="67">
        <v>0.34533898305084748</v>
      </c>
      <c r="H61" s="67">
        <v>0.14194915254237289</v>
      </c>
      <c r="I61" s="68">
        <v>8076.687116564417</v>
      </c>
      <c r="J61" s="68">
        <v>-7052.2388059701489</v>
      </c>
      <c r="K61" s="67">
        <v>5.1724137931034482E-2</v>
      </c>
      <c r="L61" s="67">
        <v>0.10344827586206896</v>
      </c>
      <c r="M61" s="67">
        <v>0.2521186440677966</v>
      </c>
      <c r="N61" s="67">
        <v>0.23305084745762711</v>
      </c>
      <c r="O61" s="67">
        <v>0.62184873949579833</v>
      </c>
      <c r="P61" s="67">
        <v>0.52727272727272723</v>
      </c>
      <c r="Q61" s="67">
        <v>0.3987730061349693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4CD7D-AE7D-4047-9DC7-02A8AA40F694}">
  <sheetPr codeName="Sheet8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-6911.5384615384619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-6911.5384615384619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  <row r="21" spans="1:17" x14ac:dyDescent="0.4">
      <c r="A21" s="69">
        <v>18</v>
      </c>
      <c r="B21" s="66">
        <v>-80.2</v>
      </c>
      <c r="C21" s="66">
        <v>-4.4555555555555557</v>
      </c>
      <c r="D21" s="71">
        <v>2.0555555555555554</v>
      </c>
      <c r="E21" s="67">
        <v>0.27777777777777779</v>
      </c>
      <c r="F21" s="67">
        <v>0.33333333333333331</v>
      </c>
      <c r="G21" s="67">
        <v>0.24390243902439024</v>
      </c>
      <c r="H21" s="67">
        <v>0.16463414634146342</v>
      </c>
      <c r="I21" s="68">
        <v>7202.5</v>
      </c>
      <c r="J21" s="68">
        <v>-6848.1481481481478</v>
      </c>
      <c r="K21" s="67">
        <v>0</v>
      </c>
      <c r="L21" s="67">
        <v>0</v>
      </c>
      <c r="M21" s="67">
        <v>0.18902439024390244</v>
      </c>
      <c r="N21" s="67">
        <v>0.22560975609756098</v>
      </c>
      <c r="O21" s="67">
        <v>0.58064516129032262</v>
      </c>
      <c r="P21" s="67">
        <v>0.27027027027027029</v>
      </c>
      <c r="Q21" s="67">
        <v>0.5</v>
      </c>
    </row>
    <row r="22" spans="1:17" x14ac:dyDescent="0.4">
      <c r="A22" s="69">
        <v>19</v>
      </c>
      <c r="B22" s="66">
        <v>-115.1</v>
      </c>
      <c r="C22" s="66">
        <v>-6.0578947368421048</v>
      </c>
      <c r="D22" s="71">
        <v>2.1052631578947367</v>
      </c>
      <c r="E22" s="67">
        <v>0.26315789473684209</v>
      </c>
      <c r="F22" s="67">
        <v>0.36842105263157893</v>
      </c>
      <c r="G22" s="67">
        <v>0.23837209302325582</v>
      </c>
      <c r="H22" s="67">
        <v>0.1744186046511628</v>
      </c>
      <c r="I22" s="68">
        <v>7095.1219512195121</v>
      </c>
      <c r="J22" s="68">
        <v>-6670</v>
      </c>
      <c r="K22" s="67">
        <v>0</v>
      </c>
      <c r="L22" s="67">
        <v>0</v>
      </c>
      <c r="M22" s="67">
        <v>0.19186046511627908</v>
      </c>
      <c r="N22" s="67">
        <v>0.22674418604651161</v>
      </c>
      <c r="O22" s="67">
        <v>0.54545454545454541</v>
      </c>
      <c r="P22" s="67">
        <v>0.28205128205128205</v>
      </c>
      <c r="Q22" s="67">
        <v>0.51219512195121952</v>
      </c>
    </row>
    <row r="23" spans="1:17" x14ac:dyDescent="0.4">
      <c r="A23" s="69">
        <v>20</v>
      </c>
      <c r="B23" s="66">
        <v>-88.8</v>
      </c>
      <c r="C23" s="66">
        <v>-4.4399999999999995</v>
      </c>
      <c r="D23" s="71">
        <v>2.0499999999999998</v>
      </c>
      <c r="E23" s="67">
        <v>0.3</v>
      </c>
      <c r="F23" s="67">
        <v>0.35</v>
      </c>
      <c r="G23" s="67">
        <v>0.24444444444444444</v>
      </c>
      <c r="H23" s="67">
        <v>0.17777777777777778</v>
      </c>
      <c r="I23" s="68">
        <v>7134.090909090909</v>
      </c>
      <c r="J23" s="68">
        <v>-6525</v>
      </c>
      <c r="K23" s="67">
        <v>0</v>
      </c>
      <c r="L23" s="67">
        <v>0</v>
      </c>
      <c r="M23" s="67">
        <v>0.18333333333333332</v>
      </c>
      <c r="N23" s="67">
        <v>0.23333333333333334</v>
      </c>
      <c r="O23" s="67">
        <v>0.54545454545454541</v>
      </c>
      <c r="P23" s="67">
        <v>0.2857142857142857</v>
      </c>
      <c r="Q23" s="67">
        <v>0.52272727272727271</v>
      </c>
    </row>
    <row r="24" spans="1:17" x14ac:dyDescent="0.4">
      <c r="A24" s="69">
        <v>21</v>
      </c>
      <c r="B24" s="66">
        <v>-111.4</v>
      </c>
      <c r="C24" s="66">
        <v>-5.3047619047619055</v>
      </c>
      <c r="D24" s="71">
        <v>2.0952380952380953</v>
      </c>
      <c r="E24" s="67">
        <v>0.2857142857142857</v>
      </c>
      <c r="F24" s="67">
        <v>0.38095238095238093</v>
      </c>
      <c r="G24" s="67">
        <v>0.24468085106382978</v>
      </c>
      <c r="H24" s="67">
        <v>0.18085106382978725</v>
      </c>
      <c r="I24" s="68">
        <v>7336.95652173913</v>
      </c>
      <c r="J24" s="68">
        <v>-6647.0588235294117</v>
      </c>
      <c r="K24" s="67">
        <v>0</v>
      </c>
      <c r="L24" s="67">
        <v>0</v>
      </c>
      <c r="M24" s="67">
        <v>0.18617021276595744</v>
      </c>
      <c r="N24" s="67">
        <v>0.23404255319148937</v>
      </c>
      <c r="O24" s="67">
        <v>0.54285714285714282</v>
      </c>
      <c r="P24" s="67">
        <v>0.29545454545454547</v>
      </c>
      <c r="Q24" s="67">
        <v>0.5</v>
      </c>
    </row>
    <row r="25" spans="1:17" x14ac:dyDescent="0.4">
      <c r="A25" s="69">
        <v>22</v>
      </c>
      <c r="B25" s="66">
        <v>-142.80000000000001</v>
      </c>
      <c r="C25" s="66">
        <v>-6.4909090909090912</v>
      </c>
      <c r="D25" s="71">
        <v>2.1363636363636362</v>
      </c>
      <c r="E25" s="67">
        <v>0.27272727272727271</v>
      </c>
      <c r="F25" s="67">
        <v>0.40909090909090912</v>
      </c>
      <c r="G25" s="67">
        <v>0.25510204081632654</v>
      </c>
      <c r="H25" s="67">
        <v>0.18367346938775511</v>
      </c>
      <c r="I25" s="68">
        <v>7004</v>
      </c>
      <c r="J25" s="68">
        <v>-6530.5555555555557</v>
      </c>
      <c r="K25" s="67">
        <v>0</v>
      </c>
      <c r="L25" s="67">
        <v>0</v>
      </c>
      <c r="M25" s="67">
        <v>0.18367346938775511</v>
      </c>
      <c r="N25" s="67">
        <v>0.22448979591836735</v>
      </c>
      <c r="O25" s="67">
        <v>0.52777777777777779</v>
      </c>
      <c r="P25" s="67">
        <v>0.29545454545454547</v>
      </c>
      <c r="Q25" s="67">
        <v>0.5</v>
      </c>
    </row>
    <row r="26" spans="1:17" x14ac:dyDescent="0.4">
      <c r="A26" s="69">
        <v>23</v>
      </c>
      <c r="B26" s="66">
        <v>-80.900000000000006</v>
      </c>
      <c r="C26" s="66">
        <v>-3.5173913043478264</v>
      </c>
      <c r="D26" s="71">
        <v>2.0869565217391304</v>
      </c>
      <c r="E26" s="67">
        <v>0.30434782608695654</v>
      </c>
      <c r="F26" s="67">
        <v>0.39130434782608697</v>
      </c>
      <c r="G26" s="67">
        <v>0.2613065326633166</v>
      </c>
      <c r="H26" s="67">
        <v>0.18090452261306533</v>
      </c>
      <c r="I26" s="68">
        <v>7713.4615384615381</v>
      </c>
      <c r="J26" s="68">
        <v>-6530.5555555555557</v>
      </c>
      <c r="K26" s="67">
        <v>0</v>
      </c>
      <c r="L26" s="67">
        <v>4.3478260869565216E-2</v>
      </c>
      <c r="M26" s="67">
        <v>0.18090452261306533</v>
      </c>
      <c r="N26" s="67">
        <v>0.23115577889447236</v>
      </c>
      <c r="O26" s="67">
        <v>0.52777777777777779</v>
      </c>
      <c r="P26" s="67">
        <v>0.30434782608695654</v>
      </c>
      <c r="Q26" s="67">
        <v>0.5</v>
      </c>
    </row>
    <row r="27" spans="1:17" x14ac:dyDescent="0.4">
      <c r="A27" s="69">
        <v>24</v>
      </c>
      <c r="B27" s="66">
        <v>-111.60000000000001</v>
      </c>
      <c r="C27" s="66">
        <v>-4.6500000000000004</v>
      </c>
      <c r="D27" s="71">
        <v>2.125</v>
      </c>
      <c r="E27" s="67">
        <v>0.29166666666666669</v>
      </c>
      <c r="F27" s="67">
        <v>0.41666666666666669</v>
      </c>
      <c r="G27" s="67">
        <v>0.25728155339805825</v>
      </c>
      <c r="H27" s="67">
        <v>0.17475728155339806</v>
      </c>
      <c r="I27" s="68">
        <v>7605.6603773584902</v>
      </c>
      <c r="J27" s="68">
        <v>-6530.5555555555557</v>
      </c>
      <c r="K27" s="67">
        <v>0</v>
      </c>
      <c r="L27" s="67">
        <v>4.1666666666666664E-2</v>
      </c>
      <c r="M27" s="67">
        <v>0.18446601941747573</v>
      </c>
      <c r="N27" s="67">
        <v>0.22815533980582525</v>
      </c>
      <c r="O27" s="67">
        <v>0.52631578947368418</v>
      </c>
      <c r="P27" s="67">
        <v>0.2978723404255319</v>
      </c>
      <c r="Q27" s="67">
        <v>0.49056603773584906</v>
      </c>
    </row>
    <row r="28" spans="1:17" x14ac:dyDescent="0.4">
      <c r="A28" s="69">
        <v>25</v>
      </c>
      <c r="B28" s="66">
        <v>-97.500000000000014</v>
      </c>
      <c r="C28" s="66">
        <v>-3.9000000000000004</v>
      </c>
      <c r="D28" s="71">
        <v>2.08</v>
      </c>
      <c r="E28" s="67">
        <v>0.32</v>
      </c>
      <c r="F28" s="67">
        <v>0.4</v>
      </c>
      <c r="G28" s="67">
        <v>0.2570093457943925</v>
      </c>
      <c r="H28" s="67">
        <v>0.16822429906542055</v>
      </c>
      <c r="I28" s="68">
        <v>7574.545454545455</v>
      </c>
      <c r="J28" s="68">
        <v>-6530.5555555555557</v>
      </c>
      <c r="K28" s="67">
        <v>0</v>
      </c>
      <c r="L28" s="67">
        <v>0.04</v>
      </c>
      <c r="M28" s="67">
        <v>0.1822429906542056</v>
      </c>
      <c r="N28" s="67">
        <v>0.23364485981308411</v>
      </c>
      <c r="O28" s="67">
        <v>0.51282051282051277</v>
      </c>
      <c r="P28" s="67">
        <v>0.32</v>
      </c>
      <c r="Q28" s="67">
        <v>0.47272727272727272</v>
      </c>
    </row>
    <row r="29" spans="1:17" x14ac:dyDescent="0.4">
      <c r="A29" s="69">
        <v>26</v>
      </c>
      <c r="B29" s="66">
        <v>-123.10000000000002</v>
      </c>
      <c r="C29" s="66">
        <v>-4.7346153846153856</v>
      </c>
      <c r="D29" s="71">
        <v>2.1153846153846154</v>
      </c>
      <c r="E29" s="67">
        <v>0.30769230769230771</v>
      </c>
      <c r="F29" s="67">
        <v>0.42307692307692307</v>
      </c>
      <c r="G29" s="67">
        <v>0.2556053811659193</v>
      </c>
      <c r="H29" s="67">
        <v>0.17040358744394618</v>
      </c>
      <c r="I29" s="68">
        <v>7424.5614035087719</v>
      </c>
      <c r="J29" s="68">
        <v>-6605.2631578947367</v>
      </c>
      <c r="K29" s="67">
        <v>0</v>
      </c>
      <c r="L29" s="67">
        <v>3.8461538461538464E-2</v>
      </c>
      <c r="M29" s="67">
        <v>0.17488789237668162</v>
      </c>
      <c r="N29" s="67">
        <v>0.23318385650224216</v>
      </c>
      <c r="O29" s="67">
        <v>0.51282051282051277</v>
      </c>
      <c r="P29" s="67">
        <v>0.32692307692307693</v>
      </c>
      <c r="Q29" s="67">
        <v>0.47368421052631576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E2485-7E37-4930-B09E-1F024B3648E1}">
  <sheetPr codeName="Sheet6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-7944.1295546558704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-7972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  <row r="59" spans="1:17" x14ac:dyDescent="0.4">
      <c r="A59" s="69">
        <v>56</v>
      </c>
      <c r="B59" s="66">
        <v>-3.5527136788005009E-14</v>
      </c>
      <c r="C59" s="66">
        <v>-2.1147105230955362E-16</v>
      </c>
      <c r="D59" s="71">
        <v>2</v>
      </c>
      <c r="E59" s="67">
        <v>0.33333333333333331</v>
      </c>
      <c r="F59" s="67">
        <v>0.33333333333333331</v>
      </c>
      <c r="G59" s="67">
        <v>0.28950863213811423</v>
      </c>
      <c r="H59" s="67">
        <v>0.17131474103585656</v>
      </c>
      <c r="I59" s="68">
        <v>8341.7431192660551</v>
      </c>
      <c r="J59" s="68">
        <v>-7925.1937984496126</v>
      </c>
      <c r="K59" s="67">
        <v>0.11904761904761904</v>
      </c>
      <c r="L59" s="67">
        <v>0.11904761904761904</v>
      </c>
      <c r="M59" s="67">
        <v>0.23904382470119523</v>
      </c>
      <c r="N59" s="67">
        <v>0.24966799468791501</v>
      </c>
      <c r="O59" s="67">
        <v>0.54166666666666663</v>
      </c>
      <c r="P59" s="67">
        <v>0.42021276595744683</v>
      </c>
      <c r="Q59" s="67">
        <v>0.40596330275229359</v>
      </c>
    </row>
    <row r="60" spans="1:17" x14ac:dyDescent="0.4">
      <c r="A60" s="69">
        <v>57</v>
      </c>
      <c r="B60" s="66">
        <v>-3.5527136788005009E-14</v>
      </c>
      <c r="C60" s="66">
        <v>-2.077610338479825E-16</v>
      </c>
      <c r="D60" s="71">
        <v>2</v>
      </c>
      <c r="E60" s="67">
        <v>0.33333333333333331</v>
      </c>
      <c r="F60" s="67">
        <v>0.33333333333333331</v>
      </c>
      <c r="G60" s="67">
        <v>0.29002624671916011</v>
      </c>
      <c r="H60" s="67">
        <v>0.17125984251968504</v>
      </c>
      <c r="I60" s="68">
        <v>8290.4977375565613</v>
      </c>
      <c r="J60" s="68">
        <v>-7888.5057471264372</v>
      </c>
      <c r="K60" s="67">
        <v>0.11695906432748537</v>
      </c>
      <c r="L60" s="67">
        <v>0.11695906432748537</v>
      </c>
      <c r="M60" s="67">
        <v>0.23818897637795275</v>
      </c>
      <c r="N60" s="67">
        <v>0.24803149606299213</v>
      </c>
      <c r="O60" s="67">
        <v>0.54545454545454541</v>
      </c>
      <c r="P60" s="67">
        <v>0.42328042328042326</v>
      </c>
      <c r="Q60" s="67">
        <v>0.40723981900452488</v>
      </c>
    </row>
    <row r="61" spans="1:17" x14ac:dyDescent="0.4">
      <c r="A61" s="69">
        <v>58</v>
      </c>
      <c r="B61" s="66">
        <v>-3.5527136788005009E-14</v>
      </c>
      <c r="C61" s="66">
        <v>-2.0417894705750005E-16</v>
      </c>
      <c r="D61" s="71">
        <v>2</v>
      </c>
      <c r="E61" s="67">
        <v>0.33333333333333331</v>
      </c>
      <c r="F61" s="67">
        <v>0.33333333333333331</v>
      </c>
      <c r="G61" s="67">
        <v>0.29069767441860467</v>
      </c>
      <c r="H61" s="67">
        <v>0.17118863049095606</v>
      </c>
      <c r="I61" s="68">
        <v>8229.7777777777774</v>
      </c>
      <c r="J61" s="68">
        <v>-7834.3396226415098</v>
      </c>
      <c r="K61" s="67">
        <v>0.11494252873563218</v>
      </c>
      <c r="L61" s="67">
        <v>0.11494252873563218</v>
      </c>
      <c r="M61" s="67">
        <v>0.23708010335917312</v>
      </c>
      <c r="N61" s="67">
        <v>0.24935400516795866</v>
      </c>
      <c r="O61" s="67">
        <v>0.54495912806539515</v>
      </c>
      <c r="P61" s="67">
        <v>0.42746113989637308</v>
      </c>
      <c r="Q61" s="67">
        <v>0.40888888888888891</v>
      </c>
    </row>
    <row r="62" spans="1:17" x14ac:dyDescent="0.4">
      <c r="A62" s="69">
        <v>59</v>
      </c>
      <c r="B62" s="66">
        <v>-4.2632564145606011E-14</v>
      </c>
      <c r="C62" s="66">
        <v>-2.4086194432545769E-16</v>
      </c>
      <c r="D62" s="71">
        <v>2</v>
      </c>
      <c r="E62" s="67">
        <v>0.33333333333333331</v>
      </c>
      <c r="F62" s="67">
        <v>0.33333333333333331</v>
      </c>
      <c r="G62" s="67">
        <v>0.29118773946360155</v>
      </c>
      <c r="H62" s="67">
        <v>0.17241379310344829</v>
      </c>
      <c r="I62" s="68">
        <v>8244.9561403508778</v>
      </c>
      <c r="J62" s="68">
        <v>-7854.8148148148148</v>
      </c>
      <c r="K62" s="67">
        <v>0.11864406779661017</v>
      </c>
      <c r="L62" s="67">
        <v>0.11864406779661017</v>
      </c>
      <c r="M62" s="67">
        <v>0.23690932311621968</v>
      </c>
      <c r="N62" s="67">
        <v>0.24968071519795657</v>
      </c>
      <c r="O62" s="67">
        <v>0.54716981132075471</v>
      </c>
      <c r="P62" s="67">
        <v>0.42710997442455245</v>
      </c>
      <c r="Q62" s="67">
        <v>0.4057017543859649</v>
      </c>
    </row>
    <row r="63" spans="1:17" x14ac:dyDescent="0.4">
      <c r="A63" s="69">
        <v>60</v>
      </c>
      <c r="B63" s="66">
        <v>-4.2632564145606011E-14</v>
      </c>
      <c r="C63" s="66">
        <v>-2.3684757858670006E-16</v>
      </c>
      <c r="D63" s="71">
        <v>2</v>
      </c>
      <c r="E63" s="67">
        <v>0.33333333333333331</v>
      </c>
      <c r="F63" s="67">
        <v>0.33333333333333331</v>
      </c>
      <c r="G63" s="67">
        <v>0.29182389937106917</v>
      </c>
      <c r="H63" s="67">
        <v>0.17232704402515722</v>
      </c>
      <c r="I63" s="68">
        <v>8244.1810344827591</v>
      </c>
      <c r="J63" s="68">
        <v>-7844.8905109489051</v>
      </c>
      <c r="K63" s="67">
        <v>0.11666666666666667</v>
      </c>
      <c r="L63" s="67">
        <v>0.11666666666666667</v>
      </c>
      <c r="M63" s="67">
        <v>0.23710691823899371</v>
      </c>
      <c r="N63" s="67">
        <v>0.25094339622641509</v>
      </c>
      <c r="O63" s="67">
        <v>0.55172413793103448</v>
      </c>
      <c r="P63" s="67">
        <v>0.42606516290726815</v>
      </c>
      <c r="Q63" s="67">
        <v>0.40732758620689657</v>
      </c>
    </row>
    <row r="64" spans="1:17" x14ac:dyDescent="0.4">
      <c r="A64" s="69">
        <v>61</v>
      </c>
      <c r="B64" s="66">
        <v>-4.2632564145606011E-14</v>
      </c>
      <c r="C64" s="66">
        <v>-2.3296483139675417E-16</v>
      </c>
      <c r="D64" s="71">
        <v>2</v>
      </c>
      <c r="E64" s="67">
        <v>0.33333333333333331</v>
      </c>
      <c r="F64" s="67">
        <v>0.33333333333333331</v>
      </c>
      <c r="G64" s="67">
        <v>0.29174425822470518</v>
      </c>
      <c r="H64" s="67">
        <v>0.17194289261328369</v>
      </c>
      <c r="I64" s="68">
        <v>8257.8723404255325</v>
      </c>
      <c r="J64" s="68">
        <v>-7916.2454873646211</v>
      </c>
      <c r="K64" s="67">
        <v>0.11475409836065574</v>
      </c>
      <c r="L64" s="67">
        <v>0.11475409836065574</v>
      </c>
      <c r="M64" s="67">
        <v>0.23711980136561142</v>
      </c>
      <c r="N64" s="67">
        <v>0.25139664804469275</v>
      </c>
      <c r="O64" s="67">
        <v>0.55759162303664922</v>
      </c>
      <c r="P64" s="67">
        <v>0.42222222222222222</v>
      </c>
      <c r="Q64" s="67">
        <v>0.40851063829787232</v>
      </c>
    </row>
    <row r="65" spans="1:17" x14ac:dyDescent="0.4">
      <c r="A65" s="69">
        <v>62</v>
      </c>
      <c r="B65" s="66">
        <v>-3.5527136788005009E-14</v>
      </c>
      <c r="C65" s="66">
        <v>-1.9100611176346779E-16</v>
      </c>
      <c r="D65" s="71">
        <v>2</v>
      </c>
      <c r="E65" s="67">
        <v>0.33333333333333331</v>
      </c>
      <c r="F65" s="67">
        <v>0.33333333333333331</v>
      </c>
      <c r="G65" s="67">
        <v>0.2922794117647059</v>
      </c>
      <c r="H65" s="67">
        <v>0.17156862745098039</v>
      </c>
      <c r="I65" s="68">
        <v>8272.9559748427673</v>
      </c>
      <c r="J65" s="68">
        <v>-7906.4285714285716</v>
      </c>
      <c r="K65" s="67">
        <v>0.11290322580645161</v>
      </c>
      <c r="L65" s="67">
        <v>0.11290322580645161</v>
      </c>
      <c r="M65" s="67">
        <v>0.23897058823529413</v>
      </c>
      <c r="N65" s="67">
        <v>0.25</v>
      </c>
      <c r="O65" s="67">
        <v>0.55897435897435899</v>
      </c>
      <c r="P65" s="67">
        <v>0.42156862745098039</v>
      </c>
      <c r="Q65" s="67">
        <v>0.41090146750524109</v>
      </c>
    </row>
    <row r="66" spans="1:17" x14ac:dyDescent="0.4">
      <c r="A66" s="69">
        <v>63</v>
      </c>
      <c r="B66" s="66">
        <v>-4.2632564145606011E-14</v>
      </c>
      <c r="C66" s="66">
        <v>-2.2556912246352386E-16</v>
      </c>
      <c r="D66" s="71">
        <v>2</v>
      </c>
      <c r="E66" s="67">
        <v>0.33333333333333331</v>
      </c>
      <c r="F66" s="67">
        <v>0.33333333333333331</v>
      </c>
      <c r="G66" s="67">
        <v>0.2922705314009662</v>
      </c>
      <c r="H66" s="67">
        <v>0.17028985507246377</v>
      </c>
      <c r="I66" s="68">
        <v>8286.5702479338852</v>
      </c>
      <c r="J66" s="68">
        <v>-7896.0992907801419</v>
      </c>
      <c r="K66" s="67">
        <v>0.1111111111111111</v>
      </c>
      <c r="L66" s="67">
        <v>0.1111111111111111</v>
      </c>
      <c r="M66" s="67">
        <v>0.23973429951690822</v>
      </c>
      <c r="N66" s="67">
        <v>0.24879227053140096</v>
      </c>
      <c r="O66" s="67">
        <v>0.5617128463476071</v>
      </c>
      <c r="P66" s="67">
        <v>0.4199029126213592</v>
      </c>
      <c r="Q66" s="67">
        <v>0.41528925619834711</v>
      </c>
    </row>
    <row r="67" spans="1:17" x14ac:dyDescent="0.4">
      <c r="A67" s="69">
        <v>64</v>
      </c>
      <c r="B67" s="66">
        <v>-4.1910919179599659E-14</v>
      </c>
      <c r="C67" s="66">
        <v>-2.1828603739374822E-16</v>
      </c>
      <c r="D67" s="71">
        <v>2</v>
      </c>
      <c r="E67" s="67">
        <v>0.33333333333333331</v>
      </c>
      <c r="F67" s="67">
        <v>0.33333333333333331</v>
      </c>
      <c r="G67" s="67">
        <v>0.29166666666666669</v>
      </c>
      <c r="H67" s="67">
        <v>0.16964285714285715</v>
      </c>
      <c r="I67" s="68">
        <v>8231.6326530612241</v>
      </c>
      <c r="J67" s="68">
        <v>-7857.1929824561403</v>
      </c>
      <c r="K67" s="67">
        <v>0.109375</v>
      </c>
      <c r="L67" s="67">
        <v>0.109375</v>
      </c>
      <c r="M67" s="67">
        <v>0.24166666666666667</v>
      </c>
      <c r="N67" s="67">
        <v>0.24821428571428572</v>
      </c>
      <c r="O67" s="67">
        <v>0.55418719211822665</v>
      </c>
      <c r="P67" s="67">
        <v>0.41726618705035973</v>
      </c>
      <c r="Q67" s="67">
        <v>0.41632653061224489</v>
      </c>
    </row>
    <row r="68" spans="1:17" x14ac:dyDescent="0.4">
      <c r="A68" s="69">
        <v>65</v>
      </c>
      <c r="B68" s="66">
        <v>-3.5527136788005009E-14</v>
      </c>
      <c r="C68" s="66">
        <v>-1.8219044506669235E-16</v>
      </c>
      <c r="D68" s="71">
        <v>2</v>
      </c>
      <c r="E68" s="67">
        <v>0.33333333333333331</v>
      </c>
      <c r="F68" s="67">
        <v>0.33333333333333331</v>
      </c>
      <c r="G68" s="67">
        <v>0.29246935201401053</v>
      </c>
      <c r="H68" s="67">
        <v>0.16929363689433741</v>
      </c>
      <c r="I68" s="68">
        <v>8289.2215568862284</v>
      </c>
      <c r="J68" s="68">
        <v>-7873.7931034482763</v>
      </c>
      <c r="K68" s="67">
        <v>0.11282051282051282</v>
      </c>
      <c r="L68" s="67">
        <v>0.11282051282051282</v>
      </c>
      <c r="M68" s="67">
        <v>0.24460011675423235</v>
      </c>
      <c r="N68" s="67">
        <v>0.24576765907764156</v>
      </c>
      <c r="O68" s="67">
        <v>0.55369928400954649</v>
      </c>
      <c r="P68" s="67">
        <v>0.42280285035629456</v>
      </c>
      <c r="Q68" s="67">
        <v>0.41916167664670656</v>
      </c>
    </row>
    <row r="69" spans="1:17" x14ac:dyDescent="0.4">
      <c r="A69" s="69">
        <v>66</v>
      </c>
      <c r="B69" s="66">
        <v>-3.907985046680551E-14</v>
      </c>
      <c r="C69" s="66">
        <v>-1.9737298215558337E-16</v>
      </c>
      <c r="D69" s="71">
        <v>2</v>
      </c>
      <c r="E69" s="67">
        <v>0.33333333333333331</v>
      </c>
      <c r="F69" s="67">
        <v>0.33333333333333331</v>
      </c>
      <c r="G69" s="67">
        <v>0.29231658001155403</v>
      </c>
      <c r="H69" s="67">
        <v>0.16868861929520509</v>
      </c>
      <c r="I69" s="68">
        <v>8271.3438735177861</v>
      </c>
      <c r="J69" s="68">
        <v>-7851.0273972602736</v>
      </c>
      <c r="K69" s="67">
        <v>0.1111111111111111</v>
      </c>
      <c r="L69" s="67">
        <v>0.1111111111111111</v>
      </c>
      <c r="M69" s="67">
        <v>0.24610051993067592</v>
      </c>
      <c r="N69" s="67">
        <v>0.24610051993067592</v>
      </c>
      <c r="O69" s="67">
        <v>0.55164319248826288</v>
      </c>
      <c r="P69" s="67">
        <v>0.42018779342723006</v>
      </c>
      <c r="Q69" s="67">
        <v>0.42094861660079053</v>
      </c>
    </row>
    <row r="70" spans="1:17" x14ac:dyDescent="0.4">
      <c r="A70" s="69">
        <v>67</v>
      </c>
      <c r="B70" s="66">
        <v>-3.907985046680551E-14</v>
      </c>
      <c r="C70" s="66">
        <v>-1.9442711675027617E-16</v>
      </c>
      <c r="D70" s="71">
        <v>2</v>
      </c>
      <c r="E70" s="67">
        <v>0.33333333333333331</v>
      </c>
      <c r="F70" s="67">
        <v>0.33333333333333331</v>
      </c>
      <c r="G70" s="67">
        <v>0.29287749287749287</v>
      </c>
      <c r="H70" s="67">
        <v>0.16923076923076924</v>
      </c>
      <c r="I70" s="68">
        <v>8226.8482490272381</v>
      </c>
      <c r="J70" s="68">
        <v>-7789.8989898989903</v>
      </c>
      <c r="K70" s="67">
        <v>0.10945273631840796</v>
      </c>
      <c r="L70" s="67">
        <v>0.10945273631840796</v>
      </c>
      <c r="M70" s="67">
        <v>0.249002849002849</v>
      </c>
      <c r="N70" s="67">
        <v>0.24444444444444444</v>
      </c>
      <c r="O70" s="67">
        <v>0.54919908466819223</v>
      </c>
      <c r="P70" s="67">
        <v>0.41958041958041958</v>
      </c>
      <c r="Q70" s="67">
        <v>0.42023346303501946</v>
      </c>
    </row>
    <row r="71" spans="1:17" x14ac:dyDescent="0.4">
      <c r="A71" s="69">
        <v>68</v>
      </c>
      <c r="B71" s="66">
        <v>-3.907985046680551E-14</v>
      </c>
      <c r="C71" s="66">
        <v>-1.9156789444512506E-16</v>
      </c>
      <c r="D71" s="71">
        <v>2</v>
      </c>
      <c r="E71" s="67">
        <v>0.33333333333333331</v>
      </c>
      <c r="F71" s="67">
        <v>0.33333333333333331</v>
      </c>
      <c r="G71" s="67">
        <v>0.29222972972972971</v>
      </c>
      <c r="H71" s="67">
        <v>0.17004504504504506</v>
      </c>
      <c r="I71" s="68">
        <v>8188.8246628131019</v>
      </c>
      <c r="J71" s="68">
        <v>-7731.7880794701987</v>
      </c>
      <c r="K71" s="67">
        <v>0.10784313725490197</v>
      </c>
      <c r="L71" s="67">
        <v>0.10784313725490197</v>
      </c>
      <c r="M71" s="67">
        <v>0.25</v>
      </c>
      <c r="N71" s="67">
        <v>0.24380630630630631</v>
      </c>
      <c r="O71" s="67">
        <v>0.54504504504504503</v>
      </c>
      <c r="P71" s="67">
        <v>0.42032332563510394</v>
      </c>
      <c r="Q71" s="67">
        <v>0.41618497109826591</v>
      </c>
    </row>
    <row r="72" spans="1:17" x14ac:dyDescent="0.4">
      <c r="A72" s="69">
        <v>69</v>
      </c>
      <c r="B72" s="66">
        <v>-4.2632564145606011E-14</v>
      </c>
      <c r="C72" s="66">
        <v>-2.0595441616234788E-16</v>
      </c>
      <c r="D72" s="71">
        <v>2</v>
      </c>
      <c r="E72" s="67">
        <v>0.33333333333333331</v>
      </c>
      <c r="F72" s="67">
        <v>0.33333333333333331</v>
      </c>
      <c r="G72" s="67">
        <v>0.29104062326099056</v>
      </c>
      <c r="H72" s="67">
        <v>0.16917084028937118</v>
      </c>
      <c r="I72" s="68">
        <v>8184.8948374760994</v>
      </c>
      <c r="J72" s="68">
        <v>-7712.8289473684208</v>
      </c>
      <c r="K72" s="67">
        <v>0.1111111111111111</v>
      </c>
      <c r="L72" s="67">
        <v>0.1111111111111111</v>
      </c>
      <c r="M72" s="67">
        <v>0.24930439621591541</v>
      </c>
      <c r="N72" s="67">
        <v>0.24429604897050641</v>
      </c>
      <c r="O72" s="67">
        <v>0.5424107142857143</v>
      </c>
      <c r="P72" s="67">
        <v>0.4191343963553531</v>
      </c>
      <c r="Q72" s="67">
        <v>0.4168260038240918</v>
      </c>
    </row>
    <row r="73" spans="1:17" x14ac:dyDescent="0.4">
      <c r="A73" s="69">
        <v>70</v>
      </c>
      <c r="B73" s="66">
        <v>-4.0856207306205761E-14</v>
      </c>
      <c r="C73" s="66">
        <v>-1.9455336812478934E-16</v>
      </c>
      <c r="D73" s="71">
        <v>2</v>
      </c>
      <c r="E73" s="67">
        <v>0.33333333333333331</v>
      </c>
      <c r="F73" s="67">
        <v>0.33333333333333331</v>
      </c>
      <c r="G73" s="67">
        <v>0.29152915291529152</v>
      </c>
      <c r="H73" s="67">
        <v>0.1694169416941694</v>
      </c>
      <c r="I73" s="68">
        <v>8170.7547169811323</v>
      </c>
      <c r="J73" s="68">
        <v>-7715.5844155844152</v>
      </c>
      <c r="K73" s="67">
        <v>0.11428571428571428</v>
      </c>
      <c r="L73" s="67">
        <v>0.11428571428571428</v>
      </c>
      <c r="M73" s="67">
        <v>0.24972497249724973</v>
      </c>
      <c r="N73" s="67">
        <v>0.24532453245324531</v>
      </c>
      <c r="O73" s="67">
        <v>0.54185022026431717</v>
      </c>
      <c r="P73" s="67">
        <v>0.42152466367713004</v>
      </c>
      <c r="Q73" s="67">
        <v>0.41509433962264153</v>
      </c>
    </row>
    <row r="74" spans="1:17" x14ac:dyDescent="0.4">
      <c r="A74" s="69">
        <v>71</v>
      </c>
      <c r="B74" s="66">
        <v>-3.907985046680551E-14</v>
      </c>
      <c r="C74" s="66">
        <v>-1.8347347636997893E-16</v>
      </c>
      <c r="D74" s="71">
        <v>2</v>
      </c>
      <c r="E74" s="67">
        <v>0.33333333333333331</v>
      </c>
      <c r="F74" s="67">
        <v>0.33333333333333331</v>
      </c>
      <c r="G74" s="67">
        <v>0.29207383279044519</v>
      </c>
      <c r="H74" s="67">
        <v>0.17046688382193267</v>
      </c>
      <c r="I74" s="68">
        <v>8153.7174721189594</v>
      </c>
      <c r="J74" s="68">
        <v>-7724.8407643312103</v>
      </c>
      <c r="K74" s="67">
        <v>0.11267605633802817</v>
      </c>
      <c r="L74" s="67">
        <v>0.11267605633802817</v>
      </c>
      <c r="M74" s="67">
        <v>0.24755700325732899</v>
      </c>
      <c r="N74" s="67">
        <v>0.24755700325732899</v>
      </c>
      <c r="O74" s="67">
        <v>0.54166666666666663</v>
      </c>
      <c r="P74" s="67">
        <v>0.4232456140350877</v>
      </c>
      <c r="Q74" s="67">
        <v>0.41263940520446096</v>
      </c>
    </row>
    <row r="75" spans="1:17" x14ac:dyDescent="0.4">
      <c r="A75" s="69">
        <v>72</v>
      </c>
      <c r="B75" s="66">
        <v>-3.907985046680551E-14</v>
      </c>
      <c r="C75" s="66">
        <v>-1.8092523364261809E-16</v>
      </c>
      <c r="D75" s="71">
        <v>2</v>
      </c>
      <c r="E75" s="67">
        <v>0.33333333333333331</v>
      </c>
      <c r="F75" s="67">
        <v>0.33333333333333331</v>
      </c>
      <c r="G75" s="67">
        <v>0.29260450160771706</v>
      </c>
      <c r="H75" s="67">
        <v>0.17041800643086816</v>
      </c>
      <c r="I75" s="68">
        <v>8174.9084249084253</v>
      </c>
      <c r="J75" s="68">
        <v>-7755.9748427672957</v>
      </c>
      <c r="K75" s="67">
        <v>0.1111111111111111</v>
      </c>
      <c r="L75" s="67">
        <v>0.1111111111111111</v>
      </c>
      <c r="M75" s="67">
        <v>0.24758842443729903</v>
      </c>
      <c r="N75" s="67">
        <v>0.24866023579849947</v>
      </c>
      <c r="O75" s="67">
        <v>0.54112554112554112</v>
      </c>
      <c r="P75" s="67">
        <v>0.42672413793103448</v>
      </c>
      <c r="Q75" s="67">
        <v>0.41391941391941389</v>
      </c>
    </row>
    <row r="76" spans="1:17" x14ac:dyDescent="0.4">
      <c r="A76" s="69">
        <v>73</v>
      </c>
      <c r="B76" s="66">
        <v>-3.5527136788005009E-14</v>
      </c>
      <c r="C76" s="66">
        <v>-1.6222436889500003E-16</v>
      </c>
      <c r="D76" s="71">
        <v>2</v>
      </c>
      <c r="E76" s="67">
        <v>0.33333333333333331</v>
      </c>
      <c r="F76" s="67">
        <v>0.33333333333333331</v>
      </c>
      <c r="G76" s="67">
        <v>0.29312169312169312</v>
      </c>
      <c r="H76" s="67">
        <v>0.17089947089947091</v>
      </c>
      <c r="I76" s="68">
        <v>8197.2924187725639</v>
      </c>
      <c r="J76" s="68">
        <v>-7707.1207430340555</v>
      </c>
      <c r="K76" s="67">
        <v>0.1095890410958904</v>
      </c>
      <c r="L76" s="67">
        <v>0.1095890410958904</v>
      </c>
      <c r="M76" s="67">
        <v>0.24656084656084656</v>
      </c>
      <c r="N76" s="67">
        <v>0.24656084656084656</v>
      </c>
      <c r="O76" s="67">
        <v>0.5429184549356223</v>
      </c>
      <c r="P76" s="67">
        <v>0.42489270386266093</v>
      </c>
      <c r="Q76" s="67">
        <v>0.41335740072202165</v>
      </c>
    </row>
    <row r="77" spans="1:17" x14ac:dyDescent="0.4">
      <c r="A77" s="69">
        <v>74</v>
      </c>
      <c r="B77" s="66">
        <v>-3.6193270602780103E-14</v>
      </c>
      <c r="C77" s="66">
        <v>-1.6303275046297345E-16</v>
      </c>
      <c r="D77" s="71">
        <v>2</v>
      </c>
      <c r="E77" s="67">
        <v>0.33333333333333331</v>
      </c>
      <c r="F77" s="67">
        <v>0.33333333333333331</v>
      </c>
      <c r="G77" s="67">
        <v>0.29304029304029305</v>
      </c>
      <c r="H77" s="67">
        <v>0.1695447409733124</v>
      </c>
      <c r="I77" s="68">
        <v>8187.8571428571431</v>
      </c>
      <c r="J77" s="68">
        <v>-7691.358024691358</v>
      </c>
      <c r="K77" s="67">
        <v>0.10810810810810811</v>
      </c>
      <c r="L77" s="67">
        <v>0.10810810810810811</v>
      </c>
      <c r="M77" s="67">
        <v>0.24646781789638933</v>
      </c>
      <c r="N77" s="67">
        <v>0.24594453165881738</v>
      </c>
      <c r="O77" s="67">
        <v>0.54564755838641188</v>
      </c>
      <c r="P77" s="67">
        <v>0.42553191489361702</v>
      </c>
      <c r="Q77" s="67">
        <v>0.41785714285714287</v>
      </c>
    </row>
    <row r="78" spans="1:17" x14ac:dyDescent="0.4">
      <c r="A78" s="69">
        <v>75</v>
      </c>
      <c r="B78" s="66">
        <v>-3.5527136788005009E-14</v>
      </c>
      <c r="C78" s="66">
        <v>-1.5789838572446671E-16</v>
      </c>
      <c r="D78" s="71">
        <v>2</v>
      </c>
      <c r="E78" s="67">
        <v>0.33333333333333331</v>
      </c>
      <c r="F78" s="67">
        <v>0.33333333333333331</v>
      </c>
      <c r="G78" s="67">
        <v>0.2930232558139535</v>
      </c>
      <c r="H78" s="67">
        <v>0.17054263565891473</v>
      </c>
      <c r="I78" s="68">
        <v>8202.4691358024684</v>
      </c>
      <c r="J78" s="68">
        <v>-7713.939393939394</v>
      </c>
      <c r="K78" s="67">
        <v>0.10666666666666667</v>
      </c>
      <c r="L78" s="67">
        <v>0.10666666666666667</v>
      </c>
      <c r="M78" s="67">
        <v>0.24754521963824289</v>
      </c>
      <c r="N78" s="67">
        <v>0.24702842377260981</v>
      </c>
      <c r="O78" s="67">
        <v>0.54279749478079331</v>
      </c>
      <c r="P78" s="67">
        <v>0.42468619246861927</v>
      </c>
      <c r="Q78" s="67">
        <v>0.41446208112874777</v>
      </c>
    </row>
    <row r="79" spans="1:17" x14ac:dyDescent="0.4">
      <c r="A79" s="69">
        <v>76</v>
      </c>
      <c r="B79" s="66">
        <v>-3.5527136788005009E-14</v>
      </c>
      <c r="C79" s="66">
        <v>-1.5582077538598687E-16</v>
      </c>
      <c r="D79" s="71">
        <v>2</v>
      </c>
      <c r="E79" s="67">
        <v>0.33333333333333331</v>
      </c>
      <c r="F79" s="67">
        <v>0.33333333333333331</v>
      </c>
      <c r="G79" s="67">
        <v>0.2932098765432099</v>
      </c>
      <c r="H79" s="67">
        <v>0.17078189300411523</v>
      </c>
      <c r="I79" s="68">
        <v>8259.8245614035095</v>
      </c>
      <c r="J79" s="68">
        <v>-7695.4819277108436</v>
      </c>
      <c r="K79" s="67">
        <v>0.10964912280701754</v>
      </c>
      <c r="L79" s="67">
        <v>0.10964912280701754</v>
      </c>
      <c r="M79" s="67">
        <v>0.24639917695473251</v>
      </c>
      <c r="N79" s="67">
        <v>0.24742798353909465</v>
      </c>
      <c r="O79" s="67">
        <v>0.54279749478079331</v>
      </c>
      <c r="P79" s="67">
        <v>0.42411642411642414</v>
      </c>
      <c r="Q79" s="67">
        <v>0.41403508771929826</v>
      </c>
    </row>
    <row r="80" spans="1:17" x14ac:dyDescent="0.4">
      <c r="A80" s="69">
        <v>77</v>
      </c>
      <c r="B80" s="66">
        <v>-3.3750779948604759E-14</v>
      </c>
      <c r="C80" s="66">
        <v>-1.4610727250478251E-16</v>
      </c>
      <c r="D80" s="71">
        <v>2</v>
      </c>
      <c r="E80" s="67">
        <v>0.33333333333333331</v>
      </c>
      <c r="F80" s="67">
        <v>0.33333333333333331</v>
      </c>
      <c r="G80" s="67">
        <v>0.29312977099236642</v>
      </c>
      <c r="H80" s="67">
        <v>0.16946564885496182</v>
      </c>
      <c r="I80" s="68">
        <v>8280.3819444444453</v>
      </c>
      <c r="J80" s="68">
        <v>-7678.3783783783783</v>
      </c>
      <c r="K80" s="67">
        <v>0.10822510822510822</v>
      </c>
      <c r="L80" s="67">
        <v>0.10822510822510822</v>
      </c>
      <c r="M80" s="67">
        <v>0.24783715012722646</v>
      </c>
      <c r="N80" s="67">
        <v>0.24580152671755726</v>
      </c>
      <c r="O80" s="67">
        <v>0.5462012320328542</v>
      </c>
      <c r="P80" s="67">
        <v>0.42236024844720499</v>
      </c>
      <c r="Q80" s="67">
        <v>0.41840277777777779</v>
      </c>
    </row>
    <row r="81" spans="1:17" x14ac:dyDescent="0.4">
      <c r="A81" s="69">
        <v>78</v>
      </c>
      <c r="B81" s="66">
        <v>-3.5527136788005009E-14</v>
      </c>
      <c r="C81" s="66">
        <v>-1.518253708889103E-16</v>
      </c>
      <c r="D81" s="71">
        <v>2</v>
      </c>
      <c r="E81" s="67">
        <v>0.33333333333333331</v>
      </c>
      <c r="F81" s="67">
        <v>0.33333333333333331</v>
      </c>
      <c r="G81" s="67">
        <v>0.29343434343434344</v>
      </c>
      <c r="H81" s="67">
        <v>0.16969696969696971</v>
      </c>
      <c r="I81" s="68">
        <v>8303.4423407917384</v>
      </c>
      <c r="J81" s="68">
        <v>-7734.8214285714284</v>
      </c>
      <c r="K81" s="67">
        <v>0.1111111111111111</v>
      </c>
      <c r="L81" s="67">
        <v>0.1111111111111111</v>
      </c>
      <c r="M81" s="67">
        <v>0.24797979797979797</v>
      </c>
      <c r="N81" s="67">
        <v>0.24545454545454545</v>
      </c>
      <c r="O81" s="67">
        <v>0.54582484725050917</v>
      </c>
      <c r="P81" s="67">
        <v>0.42181069958847739</v>
      </c>
      <c r="Q81" s="67">
        <v>0.41824440619621345</v>
      </c>
    </row>
    <row r="82" spans="1:17" x14ac:dyDescent="0.4">
      <c r="A82" s="69">
        <v>79</v>
      </c>
      <c r="B82" s="66">
        <v>-3.3750779948604759E-14</v>
      </c>
      <c r="C82" s="66">
        <v>-1.424083542135222E-16</v>
      </c>
      <c r="D82" s="71">
        <v>2</v>
      </c>
      <c r="E82" s="67">
        <v>0.33333333333333331</v>
      </c>
      <c r="F82" s="67">
        <v>0.33333333333333331</v>
      </c>
      <c r="G82" s="67">
        <v>0.29341317365269459</v>
      </c>
      <c r="H82" s="67">
        <v>0.17015968063872255</v>
      </c>
      <c r="I82" s="68">
        <v>8297.4489795918362</v>
      </c>
      <c r="J82" s="68">
        <v>-7711.1436950146626</v>
      </c>
      <c r="K82" s="67">
        <v>0.10970464135021098</v>
      </c>
      <c r="L82" s="67">
        <v>0.10970464135021098</v>
      </c>
      <c r="M82" s="67">
        <v>0.24800399201596807</v>
      </c>
      <c r="N82" s="67">
        <v>0.24500998003992017</v>
      </c>
      <c r="O82" s="67">
        <v>0.54325955734406439</v>
      </c>
      <c r="P82" s="67">
        <v>0.42566191446028512</v>
      </c>
      <c r="Q82" s="67">
        <v>0.41666666666666669</v>
      </c>
    </row>
    <row r="83" spans="1:17" x14ac:dyDescent="0.4">
      <c r="A83" s="69">
        <v>80</v>
      </c>
      <c r="B83" s="66">
        <v>-3.5527136788005009E-14</v>
      </c>
      <c r="C83" s="66">
        <v>-1.4802973661668753E-16</v>
      </c>
      <c r="D83" s="71">
        <v>2</v>
      </c>
      <c r="E83" s="67">
        <v>0.33333333333333331</v>
      </c>
      <c r="F83" s="67">
        <v>0.33333333333333331</v>
      </c>
      <c r="G83" s="67">
        <v>0.29365079365079366</v>
      </c>
      <c r="H83" s="67">
        <v>0.17063492063492064</v>
      </c>
      <c r="I83" s="68">
        <v>8309.45945945946</v>
      </c>
      <c r="J83" s="68">
        <v>-7726.1627906976746</v>
      </c>
      <c r="K83" s="67">
        <v>0.1125</v>
      </c>
      <c r="L83" s="67">
        <v>0.1125</v>
      </c>
      <c r="M83" s="67">
        <v>0.24801587301587302</v>
      </c>
      <c r="N83" s="67">
        <v>0.24454365079365079</v>
      </c>
      <c r="O83" s="67">
        <v>0.54600000000000004</v>
      </c>
      <c r="P83" s="67">
        <v>0.42393509127789047</v>
      </c>
      <c r="Q83" s="67">
        <v>0.41554054054054052</v>
      </c>
    </row>
    <row r="84" spans="1:17" x14ac:dyDescent="0.4">
      <c r="A84" s="69">
        <v>81</v>
      </c>
      <c r="B84" s="66">
        <v>-3.5527136788005009E-14</v>
      </c>
      <c r="C84" s="66">
        <v>-1.4620220900413584E-16</v>
      </c>
      <c r="D84" s="71">
        <v>2</v>
      </c>
      <c r="E84" s="67">
        <v>0.33333333333333331</v>
      </c>
      <c r="F84" s="67">
        <v>0.33333333333333331</v>
      </c>
      <c r="G84" s="67">
        <v>0.29380185456320157</v>
      </c>
      <c r="H84" s="67">
        <v>0.17179111761835042</v>
      </c>
      <c r="I84" s="68">
        <v>8291.5282392026584</v>
      </c>
      <c r="J84" s="68">
        <v>-7701.420454545455</v>
      </c>
      <c r="K84" s="67">
        <v>0.1111111111111111</v>
      </c>
      <c r="L84" s="67">
        <v>0.1111111111111111</v>
      </c>
      <c r="M84" s="67">
        <v>0.24743777452415813</v>
      </c>
      <c r="N84" s="67">
        <v>0.24597364568081992</v>
      </c>
      <c r="O84" s="67">
        <v>0.5483234714003945</v>
      </c>
      <c r="P84" s="67">
        <v>0.42261904761904762</v>
      </c>
      <c r="Q84" s="67">
        <v>0.41196013289036543</v>
      </c>
    </row>
    <row r="85" spans="1:17" x14ac:dyDescent="0.4">
      <c r="A85" s="69">
        <v>82</v>
      </c>
      <c r="B85" s="66">
        <v>-2.8421709430404007E-14</v>
      </c>
      <c r="C85" s="66">
        <v>-1.1553540418863419E-16</v>
      </c>
      <c r="D85" s="71">
        <v>2</v>
      </c>
      <c r="E85" s="67">
        <v>0.33333333333333331</v>
      </c>
      <c r="F85" s="67">
        <v>0.33333333333333331</v>
      </c>
      <c r="G85" s="67">
        <v>0.29414610546686021</v>
      </c>
      <c r="H85" s="67">
        <v>0.17174649250120949</v>
      </c>
      <c r="I85" s="68">
        <v>8288.6513157894733</v>
      </c>
      <c r="J85" s="68">
        <v>-7720.5633802816901</v>
      </c>
      <c r="K85" s="67">
        <v>0.11382113821138211</v>
      </c>
      <c r="L85" s="67">
        <v>0.11382113821138211</v>
      </c>
      <c r="M85" s="67">
        <v>0.24818577648766327</v>
      </c>
      <c r="N85" s="67">
        <v>0.24479922593130141</v>
      </c>
      <c r="O85" s="67">
        <v>0.55165692007797273</v>
      </c>
      <c r="P85" s="67">
        <v>0.42094861660079053</v>
      </c>
      <c r="Q85" s="67">
        <v>0.41282894736842107</v>
      </c>
    </row>
    <row r="86" spans="1:17" x14ac:dyDescent="0.4">
      <c r="A86" s="69">
        <v>83</v>
      </c>
      <c r="B86" s="66">
        <v>-2.1316282072803006E-14</v>
      </c>
      <c r="C86" s="66">
        <v>-8.560755852531328E-17</v>
      </c>
      <c r="D86" s="71">
        <v>2</v>
      </c>
      <c r="E86" s="67">
        <v>0.33333333333333331</v>
      </c>
      <c r="F86" s="67">
        <v>0.33333333333333331</v>
      </c>
      <c r="G86" s="67">
        <v>0.29442843419788667</v>
      </c>
      <c r="H86" s="67">
        <v>0.17195004803073968</v>
      </c>
      <c r="I86" s="68">
        <v>8317.6182707993466</v>
      </c>
      <c r="J86" s="68">
        <v>-7755.3072625698323</v>
      </c>
      <c r="K86" s="67">
        <v>0.11646586345381527</v>
      </c>
      <c r="L86" s="67">
        <v>0.11646586345381527</v>
      </c>
      <c r="M86" s="67">
        <v>0.24831892411143131</v>
      </c>
      <c r="N86" s="67">
        <v>0.24543707973102785</v>
      </c>
      <c r="O86" s="67">
        <v>0.55125725338491294</v>
      </c>
      <c r="P86" s="67">
        <v>0.42074363992172209</v>
      </c>
      <c r="Q86" s="67">
        <v>0.41272430668841764</v>
      </c>
    </row>
    <row r="87" spans="1:17" x14ac:dyDescent="0.4">
      <c r="A87" s="69">
        <v>84</v>
      </c>
      <c r="B87" s="66">
        <v>-1.6875389974302379E-14</v>
      </c>
      <c r="C87" s="66">
        <v>-6.6965833231358645E-17</v>
      </c>
      <c r="D87" s="71">
        <v>2</v>
      </c>
      <c r="E87" s="67">
        <v>0.33333333333333331</v>
      </c>
      <c r="F87" s="67">
        <v>0.33333333333333331</v>
      </c>
      <c r="G87" s="67">
        <v>0.29392212725546057</v>
      </c>
      <c r="H87" s="67">
        <v>0.17236467236467237</v>
      </c>
      <c r="I87" s="68">
        <v>8305.3311793214871</v>
      </c>
      <c r="J87" s="68">
        <v>-7750.4132231404956</v>
      </c>
      <c r="K87" s="67">
        <v>0.11507936507936507</v>
      </c>
      <c r="L87" s="67">
        <v>0.11507936507936507</v>
      </c>
      <c r="M87" s="67">
        <v>0.24691358024691357</v>
      </c>
      <c r="N87" s="67">
        <v>0.24596391263057929</v>
      </c>
      <c r="O87" s="67">
        <v>0.55192307692307696</v>
      </c>
      <c r="P87" s="67">
        <v>0.41891891891891891</v>
      </c>
      <c r="Q87" s="67">
        <v>0.41033925686591277</v>
      </c>
    </row>
    <row r="88" spans="1:17" x14ac:dyDescent="0.4">
      <c r="A88" s="69">
        <v>85</v>
      </c>
      <c r="B88" s="66">
        <v>-1.5987211554602254E-14</v>
      </c>
      <c r="C88" s="66">
        <v>-6.2694947272950016E-17</v>
      </c>
      <c r="D88" s="71">
        <v>2</v>
      </c>
      <c r="E88" s="67">
        <v>0.33333333333333331</v>
      </c>
      <c r="F88" s="67">
        <v>0.33333333333333331</v>
      </c>
      <c r="G88" s="67">
        <v>0.29384109073812881</v>
      </c>
      <c r="H88" s="67">
        <v>0.17207334273624825</v>
      </c>
      <c r="I88" s="68">
        <v>8259.36</v>
      </c>
      <c r="J88" s="68">
        <v>-7700.8196721311479</v>
      </c>
      <c r="K88" s="67">
        <v>0.11372549019607843</v>
      </c>
      <c r="L88" s="67">
        <v>0.11372549019607843</v>
      </c>
      <c r="M88" s="67">
        <v>0.24635637047484721</v>
      </c>
      <c r="N88" s="67">
        <v>0.24682651622002821</v>
      </c>
      <c r="O88" s="67">
        <v>0.55152671755725191</v>
      </c>
      <c r="P88" s="67">
        <v>0.41904761904761906</v>
      </c>
      <c r="Q88" s="67">
        <v>0.41120000000000001</v>
      </c>
    </row>
    <row r="89" spans="1:17" x14ac:dyDescent="0.4">
      <c r="A89" s="69">
        <v>86</v>
      </c>
      <c r="B89" s="66">
        <v>-1.5987211554602254E-14</v>
      </c>
      <c r="C89" s="66">
        <v>-6.1965936258148271E-17</v>
      </c>
      <c r="D89" s="71">
        <v>2</v>
      </c>
      <c r="E89" s="67">
        <v>0.33333333333333331</v>
      </c>
      <c r="F89" s="67">
        <v>0.33333333333333331</v>
      </c>
      <c r="G89" s="67">
        <v>0.29381682938168296</v>
      </c>
      <c r="H89" s="67">
        <v>0.17154811715481172</v>
      </c>
      <c r="I89" s="68">
        <v>8253.6392405063289</v>
      </c>
      <c r="J89" s="68">
        <v>-7677.5067750677508</v>
      </c>
      <c r="K89" s="67">
        <v>0.11627906976744186</v>
      </c>
      <c r="L89" s="67">
        <v>0.11627906976744186</v>
      </c>
      <c r="M89" s="67">
        <v>0.24500232450023246</v>
      </c>
      <c r="N89" s="67">
        <v>0.24593212459321245</v>
      </c>
      <c r="O89" s="67">
        <v>0.5540796963946869</v>
      </c>
      <c r="P89" s="67">
        <v>0.42155009451795838</v>
      </c>
      <c r="Q89" s="67">
        <v>0.41297468354430378</v>
      </c>
    </row>
    <row r="90" spans="1:17" x14ac:dyDescent="0.4">
      <c r="A90" s="69">
        <v>87</v>
      </c>
      <c r="B90" s="66">
        <v>-1.4210854715202004E-14</v>
      </c>
      <c r="C90" s="66">
        <v>-5.4447719215333345E-17</v>
      </c>
      <c r="D90" s="71">
        <v>2</v>
      </c>
      <c r="E90" s="67">
        <v>0.33333333333333331</v>
      </c>
      <c r="F90" s="67">
        <v>0.33333333333333331</v>
      </c>
      <c r="G90" s="67">
        <v>0.29368372521899494</v>
      </c>
      <c r="H90" s="67">
        <v>0.17104656523743661</v>
      </c>
      <c r="I90" s="68">
        <v>8264.2072213500778</v>
      </c>
      <c r="J90" s="68">
        <v>-7679.2452830188677</v>
      </c>
      <c r="K90" s="67">
        <v>0.11494252873563218</v>
      </c>
      <c r="L90" s="67">
        <v>0.11494252873563218</v>
      </c>
      <c r="M90" s="67">
        <v>0.24481327800829875</v>
      </c>
      <c r="N90" s="67">
        <v>0.24435223605348086</v>
      </c>
      <c r="O90" s="67">
        <v>0.55743879472693036</v>
      </c>
      <c r="P90" s="67">
        <v>0.42075471698113209</v>
      </c>
      <c r="Q90" s="67">
        <v>0.41444270015698587</v>
      </c>
    </row>
    <row r="91" spans="1:17" x14ac:dyDescent="0.4">
      <c r="A91" s="69">
        <v>88</v>
      </c>
      <c r="B91" s="66">
        <v>-1.4210854715202004E-14</v>
      </c>
      <c r="C91" s="66">
        <v>-5.3828995133340925E-17</v>
      </c>
      <c r="D91" s="71">
        <v>2</v>
      </c>
      <c r="E91" s="67">
        <v>0.33333333333333331</v>
      </c>
      <c r="F91" s="67">
        <v>0.33333333333333331</v>
      </c>
      <c r="G91" s="67">
        <v>0.29417122040072857</v>
      </c>
      <c r="H91" s="67">
        <v>0.16985428051001822</v>
      </c>
      <c r="I91" s="68">
        <v>8239.0092879256972</v>
      </c>
      <c r="J91" s="68">
        <v>-7667.2922252010721</v>
      </c>
      <c r="K91" s="67">
        <v>0.11363636363636363</v>
      </c>
      <c r="L91" s="67">
        <v>0.11363636363636363</v>
      </c>
      <c r="M91" s="67">
        <v>0.24453551912568305</v>
      </c>
      <c r="N91" s="67">
        <v>0.24590163934426229</v>
      </c>
      <c r="O91" s="67">
        <v>0.55679702048417135</v>
      </c>
      <c r="P91" s="67">
        <v>0.42037037037037039</v>
      </c>
      <c r="Q91" s="67">
        <v>0.41950464396284831</v>
      </c>
    </row>
    <row r="92" spans="1:17" x14ac:dyDescent="0.4">
      <c r="A92" s="69">
        <v>89</v>
      </c>
      <c r="B92" s="66">
        <v>-1.4210854715202004E-14</v>
      </c>
      <c r="C92" s="66">
        <v>-5.3224174963303385E-17</v>
      </c>
      <c r="D92" s="71">
        <v>2</v>
      </c>
      <c r="E92" s="67">
        <v>0.33333333333333331</v>
      </c>
      <c r="F92" s="67">
        <v>0.33333333333333331</v>
      </c>
      <c r="G92" s="67">
        <v>0.29414414414414414</v>
      </c>
      <c r="H92" s="67">
        <v>0.16981981981981981</v>
      </c>
      <c r="I92" s="68">
        <v>8256.2021439509954</v>
      </c>
      <c r="J92" s="68">
        <v>-7663.3952254641908</v>
      </c>
      <c r="K92" s="67">
        <v>0.11235955056179775</v>
      </c>
      <c r="L92" s="67">
        <v>0.11235955056179775</v>
      </c>
      <c r="M92" s="67">
        <v>0.24549549549549549</v>
      </c>
      <c r="N92" s="67">
        <v>0.24594594594594596</v>
      </c>
      <c r="O92" s="67">
        <v>0.55596330275229355</v>
      </c>
      <c r="P92" s="67">
        <v>0.42124542124542125</v>
      </c>
      <c r="Q92" s="67">
        <v>0.41960183767228176</v>
      </c>
    </row>
    <row r="93" spans="1:17" x14ac:dyDescent="0.4">
      <c r="A93" s="69">
        <v>90</v>
      </c>
      <c r="B93" s="66">
        <v>-1.4210854715202004E-14</v>
      </c>
      <c r="C93" s="66">
        <v>-5.2632795241488905E-17</v>
      </c>
      <c r="D93" s="71">
        <v>2</v>
      </c>
      <c r="E93" s="67">
        <v>0.33333333333333331</v>
      </c>
      <c r="F93" s="67">
        <v>0.33333333333333331</v>
      </c>
      <c r="G93" s="67">
        <v>0.29417000445037828</v>
      </c>
      <c r="H93" s="67">
        <v>0.17044948820649755</v>
      </c>
      <c r="I93" s="68">
        <v>8225.7186081694399</v>
      </c>
      <c r="J93" s="68">
        <v>-7647.258485639687</v>
      </c>
      <c r="K93" s="67">
        <v>0.1111111111111111</v>
      </c>
      <c r="L93" s="67">
        <v>0.1111111111111111</v>
      </c>
      <c r="M93" s="67">
        <v>0.24477080551846908</v>
      </c>
      <c r="N93" s="67">
        <v>0.24699599465954605</v>
      </c>
      <c r="O93" s="67">
        <v>0.55636363636363639</v>
      </c>
      <c r="P93" s="67">
        <v>0.41981981981981981</v>
      </c>
      <c r="Q93" s="67">
        <v>0.41754916792738278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2019-10-14T16:46:18Z</dcterms:modified>
</cp:coreProperties>
</file>