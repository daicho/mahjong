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18FBAD8-8676-42BF-A3BB-945B05D067E6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6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19" i="5869"/>
  <c r="O19" i="5867" l="1"/>
  <c r="O18" i="5871"/>
  <c r="O16" i="5861" l="1"/>
  <c r="O17" i="5867"/>
  <c r="O21" i="5869"/>
  <c r="O17" i="5869"/>
  <c r="O15" i="5857" l="1"/>
  <c r="O17" i="5871"/>
  <c r="O19" i="5871"/>
  <c r="O17" i="5863"/>
  <c r="O19" i="5861" l="1"/>
  <c r="O21" i="5865"/>
  <c r="O20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2" i="5867"/>
  <c r="O18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6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8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0" i="5855"/>
  <c r="H4" i="5869" l="1"/>
  <c r="H5" i="5871"/>
  <c r="H10" i="5871"/>
  <c r="H17" i="5869"/>
  <c r="H8" i="5871"/>
  <c r="H2" i="5871"/>
  <c r="H32" i="5871"/>
  <c r="H40" i="5871"/>
  <c r="H48" i="5871"/>
  <c r="C17" i="5871"/>
  <c r="H14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5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13" i="5869"/>
  <c r="H39" i="5869"/>
  <c r="B23" i="5869"/>
  <c r="H43" i="5869"/>
  <c r="H47" i="5869"/>
  <c r="H21" i="5869"/>
  <c r="H5" i="5869"/>
  <c r="C17" i="5869"/>
  <c r="H32" i="5869"/>
  <c r="H2" i="5869"/>
  <c r="H19" i="5869"/>
  <c r="C18" i="5869"/>
  <c r="H35" i="5869"/>
  <c r="H51" i="5869"/>
  <c r="H24" i="5869"/>
  <c r="H25" i="5869"/>
  <c r="H27" i="5869"/>
  <c r="H28" i="5869"/>
  <c r="H30" i="5869"/>
  <c r="H33" i="5869"/>
  <c r="H36" i="5869"/>
  <c r="H40" i="5869"/>
  <c r="H44" i="5869"/>
  <c r="H48" i="5869"/>
  <c r="H6" i="5869"/>
  <c r="H12" i="5869"/>
  <c r="H20" i="5869"/>
  <c r="H22" i="5869"/>
  <c r="C19" i="5869"/>
  <c r="H11" i="5869"/>
  <c r="B24" i="5869"/>
  <c r="H34" i="5869"/>
  <c r="H37" i="5869"/>
  <c r="H41" i="5869"/>
  <c r="H45" i="5869"/>
  <c r="H49" i="5869"/>
  <c r="H52" i="5869"/>
  <c r="H9" i="5869"/>
  <c r="H7" i="5869"/>
  <c r="H10" i="5869"/>
  <c r="H16" i="5869"/>
  <c r="H23" i="5869"/>
  <c r="H15" i="5869"/>
  <c r="H26" i="5869"/>
  <c r="H14" i="5869"/>
  <c r="H29" i="5869"/>
  <c r="H31" i="5869"/>
  <c r="H18" i="5869"/>
  <c r="H38" i="5869"/>
  <c r="H42" i="5869"/>
  <c r="H46" i="5869"/>
  <c r="O23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19" i="5865"/>
  <c r="O18" i="5865"/>
  <c r="C29" i="5865"/>
  <c r="B26" i="5865"/>
  <c r="B25" i="5865"/>
  <c r="C20" i="5865"/>
  <c r="B17" i="5865"/>
  <c r="H7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19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9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10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6" i="5865"/>
  <c r="H25" i="5865"/>
  <c r="C18" i="5865"/>
  <c r="B23" i="5865"/>
  <c r="H46" i="5865"/>
  <c r="H52" i="5865"/>
  <c r="H27" i="5865"/>
  <c r="H10" i="5865"/>
  <c r="H13" i="5865"/>
  <c r="H5" i="5865"/>
  <c r="H19" i="5865"/>
  <c r="H26" i="5865"/>
  <c r="H21" i="5865"/>
  <c r="C19" i="5865"/>
  <c r="B24" i="5865"/>
  <c r="H34" i="5865"/>
  <c r="H50" i="5865"/>
  <c r="H28" i="5865"/>
  <c r="H15" i="5865"/>
  <c r="H31" i="5865"/>
  <c r="H16" i="5865"/>
  <c r="H33" i="5865"/>
  <c r="H18" i="5865"/>
  <c r="H35" i="5865"/>
  <c r="H39" i="5865"/>
  <c r="H43" i="5865"/>
  <c r="H47" i="5865"/>
  <c r="H51" i="5865"/>
  <c r="H9" i="5865"/>
  <c r="H17" i="5865"/>
  <c r="H36" i="5865"/>
  <c r="H40" i="5865"/>
  <c r="H44" i="5865"/>
  <c r="H48" i="5865"/>
  <c r="H12" i="5865"/>
  <c r="H29" i="5865"/>
  <c r="H30" i="5865"/>
  <c r="H22" i="5865"/>
  <c r="H32" i="5865"/>
  <c r="H23" i="5865"/>
  <c r="H24" i="5865"/>
  <c r="H37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20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6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19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6" i="5859"/>
  <c r="C18" i="5859"/>
  <c r="B23" i="5859"/>
  <c r="H24" i="5859"/>
  <c r="H41" i="5859"/>
  <c r="H2" i="5859"/>
  <c r="H12" i="5859"/>
  <c r="H3" i="5859"/>
  <c r="H26" i="5859"/>
  <c r="H23" i="5859"/>
  <c r="H19" i="5859"/>
  <c r="H20" i="5859"/>
  <c r="C17" i="5859"/>
  <c r="H13" i="5859"/>
  <c r="H9" i="5859"/>
  <c r="H28" i="5859"/>
  <c r="H47" i="5859"/>
  <c r="B24" i="5859"/>
  <c r="H44" i="5859"/>
  <c r="H8" i="5859"/>
  <c r="H17" i="5859"/>
  <c r="H10" i="5859"/>
  <c r="H6" i="5859"/>
  <c r="H11" i="5859"/>
  <c r="H25" i="5859"/>
  <c r="H21" i="5859"/>
  <c r="H14" i="5859"/>
  <c r="H40" i="5859"/>
  <c r="H51" i="5859"/>
  <c r="H48" i="5859"/>
  <c r="C19" i="5859"/>
  <c r="H18" i="5859"/>
  <c r="H37" i="5859"/>
  <c r="H45" i="5859"/>
  <c r="H15" i="5859"/>
  <c r="H32" i="5859"/>
  <c r="H33" i="5859"/>
  <c r="H22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8" i="5857"/>
  <c r="H9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5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4" i="5855"/>
  <c r="B23" i="5855"/>
  <c r="C17" i="5855"/>
  <c r="H2" i="5855"/>
  <c r="H26" i="5855"/>
  <c r="C18" i="5855"/>
  <c r="H38" i="5855"/>
  <c r="H16" i="5855"/>
  <c r="H35" i="5855"/>
  <c r="H36" i="5855"/>
  <c r="H24" i="5855"/>
  <c r="H30" i="5855"/>
  <c r="H31" i="5855"/>
  <c r="H28" i="5855"/>
  <c r="H39" i="5855"/>
  <c r="H32" i="5855"/>
  <c r="H46" i="5855"/>
  <c r="H49" i="5855"/>
  <c r="H5" i="5855"/>
  <c r="H8" i="5855"/>
  <c r="H20" i="5855"/>
  <c r="H23" i="5855"/>
  <c r="C19" i="5855"/>
  <c r="H13" i="5855"/>
  <c r="B24" i="5855"/>
  <c r="H37" i="5855"/>
  <c r="H40" i="5855"/>
  <c r="H43" i="5855"/>
  <c r="H33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<sst xmlns="http://schemas.openxmlformats.org/spreadsheetml/2006/main" count="2831" uniqueCount="241">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</sst>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全体!$K$2:$K$521</c:f>
              <c:numCache>
                <c:formatCode>General</c:formatCode>
                <c:ptCount val="5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</c:numCache>
            </c:numRef>
          </c:xVal>
          <c:yVal>
            <c:numRef>
              <c:f>全体!$L$2:$L$521</c:f>
              <c:numCache>
                <c:formatCode>\+0.0;\-0.0;\±0</c:formatCode>
                <c:ptCount val="52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-19.379844961240309</c:v>
                </c:pt>
                <c:pt idx="1">
                  <c:v>3.9682539682539684</c:v>
                </c:pt>
                <c:pt idx="2">
                  <c:v>-14.675052410901468</c:v>
                </c:pt>
                <c:pt idx="3">
                  <c:v>13.245033112582782</c:v>
                </c:pt>
                <c:pt idx="4">
                  <c:v>9.5923261390887298</c:v>
                </c:pt>
                <c:pt idx="5">
                  <c:v>14.124293785310735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1384.7826086956522</c:v>
                </c:pt>
                <c:pt idx="1">
                  <c:v>-1100</c:v>
                </c:pt>
                <c:pt idx="2">
                  <c:v>-1309.3023255813953</c:v>
                </c:pt>
                <c:pt idx="3">
                  <c:v>-1354.7619047619048</c:v>
                </c:pt>
                <c:pt idx="4">
                  <c:v>785.71428571428567</c:v>
                </c:pt>
                <c:pt idx="5">
                  <c:v>-1438.8888888888889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だいち!$L$2:$L$109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1174.5283018867924</c:v>
                </c:pt>
                <c:pt idx="1">
                  <c:v>400</c:v>
                </c:pt>
                <c:pt idx="2">
                  <c:v>158.58585858585857</c:v>
                </c:pt>
                <c:pt idx="3">
                  <c:v>809.8901098901099</c:v>
                </c:pt>
                <c:pt idx="4">
                  <c:v>2258.3333333333335</c:v>
                </c:pt>
                <c:pt idx="5">
                  <c:v>2912.8571428571427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ただ!$L$2:$L$100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-1981.4432989690722</c:v>
                </c:pt>
                <c:pt idx="1">
                  <c:v>1205.2631578947369</c:v>
                </c:pt>
                <c:pt idx="2">
                  <c:v>615.7303370786517</c:v>
                </c:pt>
                <c:pt idx="3">
                  <c:v>736.90476190476193</c:v>
                </c:pt>
                <c:pt idx="4">
                  <c:v>-1049.3506493506493</c:v>
                </c:pt>
                <c:pt idx="5">
                  <c:v>1389.3939393939395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りくと!$L$2:$L$65</c:f>
              <c:numCache>
                <c:formatCode>\+0.0;\-0.0;\±0</c:formatCode>
                <c:ptCount val="6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-391.93548387096774</c:v>
                </c:pt>
                <c:pt idx="1">
                  <c:v>-941.93548387096769</c:v>
                </c:pt>
                <c:pt idx="2">
                  <c:v>756.89655172413791</c:v>
                </c:pt>
                <c:pt idx="3">
                  <c:v>-1361.4035087719299</c:v>
                </c:pt>
                <c:pt idx="4">
                  <c:v>-3379.6296296296296</c:v>
                </c:pt>
                <c:pt idx="5">
                  <c:v>-1283.3333333333333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れんたろう!$L$2:$L$59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2366.6666666666665</c:v>
                </c:pt>
                <c:pt idx="1">
                  <c:v>-1832.7272727272727</c:v>
                </c:pt>
                <c:pt idx="2">
                  <c:v>1925.4901960784314</c:v>
                </c:pt>
                <c:pt idx="3">
                  <c:v>3140.8163265306121</c:v>
                </c:pt>
                <c:pt idx="4">
                  <c:v>-828.88888888888891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まっつん!$L$2:$L$88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669.76744186046517</c:v>
                </c:pt>
                <c:pt idx="1">
                  <c:v>861.4457831325301</c:v>
                </c:pt>
                <c:pt idx="2">
                  <c:v>-1151.9480519480519</c:v>
                </c:pt>
                <c:pt idx="3">
                  <c:v>-240.8450704225352</c:v>
                </c:pt>
                <c:pt idx="4">
                  <c:v>-140.32258064516128</c:v>
                </c:pt>
                <c:pt idx="5">
                  <c:v>-1277.7777777777778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ぱぱ!$L$2:$L$24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-2504.5454545454545</c:v>
                </c:pt>
                <c:pt idx="1">
                  <c:v>-354.54545454545456</c:v>
                </c:pt>
                <c:pt idx="2">
                  <c:v>-385.71428571428572</c:v>
                </c:pt>
                <c:pt idx="3">
                  <c:v>-2123.8095238095239</c:v>
                </c:pt>
                <c:pt idx="4">
                  <c:v>5752.6315789473683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りくと2!$B$3:$B$66</c:f>
              <c:numCache>
                <c:formatCode>\+0.0;\-0.0;\±0</c:formatCode>
                <c:ptCount val="6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りくと2!$C$3:$C$66</c:f>
              <c:numCache>
                <c:formatCode>\+0.0;\-0.0;\±0</c:formatCode>
                <c:ptCount val="64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952489183200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りくと2!$D$3:$D$66</c:f>
              <c:numCache>
                <c:formatCode>0.00\ "位"</c:formatCode>
                <c:ptCount val="64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りくと2!$E$3:$E$66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りくと2!$F$3:$F$66</c:f>
              <c:numCache>
                <c:formatCode>0.0%</c:formatCode>
                <c:ptCount val="6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りくと2!$G$3:$G$66</c:f>
              <c:numCache>
                <c:formatCode>0.0%</c:formatCode>
                <c:ptCount val="64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32375613174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りくと2!$H$3:$H$66</c:f>
              <c:numCache>
                <c:formatCode>0.0%</c:formatCode>
                <c:ptCount val="64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279607568325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りくと2!$I$3:$I$66</c:f>
              <c:numCache>
                <c:formatCode>0</c:formatCode>
                <c:ptCount val="64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13.57142857142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りくと2!$J$3:$J$66</c:f>
              <c:numCache>
                <c:formatCode>0</c:formatCode>
                <c:ptCount val="64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8.3977110157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りくと2!$K$3:$K$66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41233140655105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りくと2!$L$3:$L$66</c:f>
              <c:numCache>
                <c:formatCode>0.0%</c:formatCode>
                <c:ptCount val="6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4.0816326530612242E-2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3.5714285714285712E-2</c:v>
                </c:pt>
                <c:pt idx="57">
                  <c:v>3.5087719298245612E-2</c:v>
                </c:pt>
                <c:pt idx="58">
                  <c:v>3.4482758620689655E-2</c:v>
                </c:pt>
                <c:pt idx="59">
                  <c:v>3.3898305084745763E-2</c:v>
                </c:pt>
                <c:pt idx="60">
                  <c:v>3.3333333333333333E-2</c:v>
                </c:pt>
                <c:pt idx="61">
                  <c:v>3.2786885245901641E-2</c:v>
                </c:pt>
                <c:pt idx="62">
                  <c:v>3.2258064516129031E-2</c:v>
                </c:pt>
                <c:pt idx="63">
                  <c:v>3.1746031746031744E-2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412331406551059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りくと2!$M$3:$M$66</c:f>
              <c:numCache>
                <c:formatCode>0.0%</c:formatCode>
                <c:ptCount val="64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6790469516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りくと2!$N$3:$N$66</c:f>
              <c:numCache>
                <c:formatCode>0.0%</c:formatCode>
                <c:ptCount val="64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254379817799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りくと2!$O$3:$O$66</c:f>
              <c:numCache>
                <c:formatCode>0.0%</c:formatCode>
                <c:ptCount val="64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011049723756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りくと2!$P$3:$P$66</c:f>
              <c:numCache>
                <c:formatCode>0.0%</c:formatCode>
                <c:ptCount val="64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090909090909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りくと2!$Q$1:$Q$2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りくと2!$A$3:$A$66</c:f>
              <c:numCache>
                <c:formatCode>0\ "回"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りくと2!$Q$3:$Q$66</c:f>
              <c:numCache>
                <c:formatCode>0.0%</c:formatCode>
                <c:ptCount val="64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682539682539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9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4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519</v>
      </c>
    </row>
    <row r="2" spans="1:2" x14ac:dyDescent="0.4">
      <c r="A2" t="s">
        <v>166</v>
      </c>
      <c r="B2">
        <v>46</v>
      </c>
    </row>
    <row r="3" spans="1:2" x14ac:dyDescent="0.4">
      <c r="A3" t="s">
        <v>126</v>
      </c>
      <c r="B3">
        <v>107</v>
      </c>
    </row>
    <row r="4" spans="1:2" x14ac:dyDescent="0.4">
      <c r="A4" t="s">
        <v>127</v>
      </c>
      <c r="B4">
        <v>98</v>
      </c>
    </row>
    <row r="5" spans="1:2" x14ac:dyDescent="0.4">
      <c r="A5" t="s">
        <v>179</v>
      </c>
      <c r="B5">
        <v>63</v>
      </c>
    </row>
    <row r="6" spans="1:2" x14ac:dyDescent="0.4">
      <c r="A6" t="s">
        <v>177</v>
      </c>
      <c r="B6">
        <v>57</v>
      </c>
    </row>
    <row r="7" spans="1:2" x14ac:dyDescent="0.4">
      <c r="A7" t="s">
        <v>178</v>
      </c>
      <c r="B7">
        <v>86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22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0.99123840492801507</v>
      </c>
      <c r="G2" s="161"/>
      <c r="H2" s="160">
        <v>0.92669005632095858</v>
      </c>
      <c r="I2" s="161"/>
      <c r="J2" s="160">
        <v>0.91283654859817376</v>
      </c>
      <c r="K2" s="161"/>
      <c r="L2" s="160">
        <v>0.91583571730431312</v>
      </c>
      <c r="M2" s="161"/>
      <c r="N2" s="160">
        <v>0.57527740848681097</v>
      </c>
      <c r="O2" s="161"/>
      <c r="P2" s="160">
        <v>0.47748940043845983</v>
      </c>
      <c r="Q2" s="161"/>
      <c r="R2" s="160">
        <v>-0.10627196391276886</v>
      </c>
      <c r="S2" s="161"/>
      <c r="T2" s="160">
        <v>0.53690033495858402</v>
      </c>
      <c r="U2" s="161"/>
      <c r="V2" s="160">
        <v>0.81044982159242696</v>
      </c>
      <c r="W2" s="161"/>
      <c r="X2" s="160">
        <v>0.50281830333530242</v>
      </c>
      <c r="Y2" s="161"/>
      <c r="Z2" s="160">
        <v>2.5131620761816124E-2</v>
      </c>
      <c r="AA2" s="161"/>
      <c r="AB2" s="160">
        <v>0.21350652490441518</v>
      </c>
      <c r="AC2" s="161"/>
      <c r="AD2" s="160">
        <v>0.58382685290930325</v>
      </c>
      <c r="AE2" s="161"/>
      <c r="AF2" s="160">
        <v>-0.15388827771415159</v>
      </c>
      <c r="AG2" s="161"/>
      <c r="AH2" s="160">
        <v>0.73790428251625984</v>
      </c>
      <c r="AI2" s="161"/>
    </row>
    <row r="3" spans="1:35" x14ac:dyDescent="0.4">
      <c r="A3" s="70">
        <v>1</v>
      </c>
      <c r="B3" s="71" t="s">
        <v>126</v>
      </c>
      <c r="C3" s="72">
        <v>923.99999999999989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10292.64705882353</v>
      </c>
      <c r="R3" s="73" t="s">
        <v>166</v>
      </c>
      <c r="S3" s="77">
        <v>-6755.1724137931033</v>
      </c>
      <c r="T3" s="73" t="s">
        <v>222</v>
      </c>
      <c r="U3" s="75">
        <v>0</v>
      </c>
      <c r="V3" s="73" t="s">
        <v>177</v>
      </c>
      <c r="W3" s="75">
        <v>0.19298245614035087</v>
      </c>
      <c r="X3" s="73" t="s">
        <v>177</v>
      </c>
      <c r="Y3" s="76">
        <v>0.32385120350109409</v>
      </c>
      <c r="Z3" s="73" t="s">
        <v>195</v>
      </c>
      <c r="AA3" s="76">
        <v>0.35483870967741937</v>
      </c>
      <c r="AB3" s="73" t="s">
        <v>181</v>
      </c>
      <c r="AC3" s="76">
        <v>0.61111111111111116</v>
      </c>
      <c r="AD3" s="73" t="s">
        <v>222</v>
      </c>
      <c r="AE3" s="76">
        <v>1</v>
      </c>
      <c r="AF3" s="73" t="s">
        <v>181</v>
      </c>
      <c r="AG3" s="76">
        <v>0.54385964912280704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291.80000000000007</v>
      </c>
      <c r="D4" s="81" t="s">
        <v>126</v>
      </c>
      <c r="E4" s="93">
        <v>8.6355140186915875</v>
      </c>
      <c r="F4" s="81" t="s">
        <v>126</v>
      </c>
      <c r="G4" s="82">
        <v>1.7757009345794392</v>
      </c>
      <c r="H4" s="81" t="s">
        <v>126</v>
      </c>
      <c r="I4" s="83">
        <v>0.47663551401869159</v>
      </c>
      <c r="J4" s="81" t="s">
        <v>126</v>
      </c>
      <c r="K4" s="83">
        <v>0.25233644859813081</v>
      </c>
      <c r="L4" s="81" t="s">
        <v>126</v>
      </c>
      <c r="M4" s="84">
        <v>0.33840749414519905</v>
      </c>
      <c r="N4" s="81" t="s">
        <v>126</v>
      </c>
      <c r="O4" s="84">
        <v>0.13114754098360656</v>
      </c>
      <c r="P4" s="81" t="s">
        <v>127</v>
      </c>
      <c r="Q4" s="85">
        <v>8601.9920318725108</v>
      </c>
      <c r="R4" s="81" t="s">
        <v>181</v>
      </c>
      <c r="S4" s="85">
        <v>-7151.6129032258068</v>
      </c>
      <c r="T4" s="81" t="s">
        <v>166</v>
      </c>
      <c r="U4" s="83">
        <v>2.1739130434782608E-2</v>
      </c>
      <c r="V4" s="81" t="s">
        <v>195</v>
      </c>
      <c r="W4" s="83">
        <v>0.14285714285714285</v>
      </c>
      <c r="X4" s="81" t="s">
        <v>179</v>
      </c>
      <c r="Y4" s="84">
        <v>0.29166666666666669</v>
      </c>
      <c r="Z4" s="81" t="s">
        <v>222</v>
      </c>
      <c r="AA4" s="84">
        <v>0.33333333333333331</v>
      </c>
      <c r="AB4" s="81" t="s">
        <v>126</v>
      </c>
      <c r="AC4" s="84">
        <v>0.59482758620689657</v>
      </c>
      <c r="AD4" s="81" t="s">
        <v>126</v>
      </c>
      <c r="AE4" s="84">
        <v>0.47668393782383417</v>
      </c>
      <c r="AF4" s="81" t="s">
        <v>177</v>
      </c>
      <c r="AG4" s="84">
        <v>0.48529411764705882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36.399999999999785</v>
      </c>
      <c r="D5" s="81" t="s">
        <v>177</v>
      </c>
      <c r="E5" s="93">
        <v>5.1192982456140363</v>
      </c>
      <c r="F5" s="81" t="s">
        <v>177</v>
      </c>
      <c r="G5" s="82">
        <v>1.8947368421052631</v>
      </c>
      <c r="H5" s="81" t="s">
        <v>195</v>
      </c>
      <c r="I5" s="83">
        <v>0.42857142857142855</v>
      </c>
      <c r="J5" s="81" t="s">
        <v>178</v>
      </c>
      <c r="K5" s="83">
        <v>0.27906976744186046</v>
      </c>
      <c r="L5" s="81" t="s">
        <v>127</v>
      </c>
      <c r="M5" s="84">
        <v>0.30350665054413545</v>
      </c>
      <c r="N5" s="81" t="s">
        <v>178</v>
      </c>
      <c r="O5" s="84">
        <v>0.13469985358711567</v>
      </c>
      <c r="P5" s="81" t="s">
        <v>143</v>
      </c>
      <c r="Q5" s="85">
        <v>8413.5714285714294</v>
      </c>
      <c r="R5" s="81" t="s">
        <v>179</v>
      </c>
      <c r="S5" s="85">
        <v>-7611.818181818182</v>
      </c>
      <c r="T5" s="81" t="s">
        <v>126</v>
      </c>
      <c r="U5" s="83">
        <v>4.6728971962616821E-2</v>
      </c>
      <c r="V5" s="81" t="s">
        <v>126</v>
      </c>
      <c r="W5" s="83">
        <v>0.13084112149532709</v>
      </c>
      <c r="X5" s="81" t="s">
        <v>126</v>
      </c>
      <c r="Y5" s="84">
        <v>0.27166276346604218</v>
      </c>
      <c r="Z5" s="81" t="s">
        <v>127</v>
      </c>
      <c r="AA5" s="84">
        <v>0.30350665054413545</v>
      </c>
      <c r="AB5" s="81" t="s">
        <v>179</v>
      </c>
      <c r="AC5" s="84">
        <v>0.58441558441558439</v>
      </c>
      <c r="AD5" s="81" t="s">
        <v>177</v>
      </c>
      <c r="AE5" s="84">
        <v>0.45121951219512196</v>
      </c>
      <c r="AF5" s="81" t="s">
        <v>182</v>
      </c>
      <c r="AG5" s="84">
        <v>0.48275862068965519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127</v>
      </c>
      <c r="E6" s="93">
        <v>0.37142857142856922</v>
      </c>
      <c r="F6" s="81" t="s">
        <v>127</v>
      </c>
      <c r="G6" s="82">
        <v>1.9591836734693877</v>
      </c>
      <c r="H6" s="81" t="s">
        <v>177</v>
      </c>
      <c r="I6" s="83">
        <v>0.42105263157894735</v>
      </c>
      <c r="J6" s="81" t="s">
        <v>177</v>
      </c>
      <c r="K6" s="83">
        <v>0.31578947368421051</v>
      </c>
      <c r="L6" s="81" t="s">
        <v>177</v>
      </c>
      <c r="M6" s="84">
        <v>0.2975929978118162</v>
      </c>
      <c r="N6" s="81" t="s">
        <v>166</v>
      </c>
      <c r="O6" s="84">
        <v>0.14463840399002495</v>
      </c>
      <c r="P6" s="81" t="s">
        <v>178</v>
      </c>
      <c r="Q6" s="85">
        <v>8382.2916666666661</v>
      </c>
      <c r="R6" s="81" t="s">
        <v>126</v>
      </c>
      <c r="S6" s="85">
        <v>-7843.75</v>
      </c>
      <c r="T6" s="81" t="s">
        <v>178</v>
      </c>
      <c r="U6" s="83">
        <v>8.1395348837209308E-2</v>
      </c>
      <c r="V6" s="81" t="s">
        <v>127</v>
      </c>
      <c r="W6" s="83">
        <v>0.10204081632653061</v>
      </c>
      <c r="X6" s="81" t="s">
        <v>222</v>
      </c>
      <c r="Y6" s="84">
        <v>0.26666666666666666</v>
      </c>
      <c r="Z6" s="81" t="s">
        <v>166</v>
      </c>
      <c r="AA6" s="84">
        <v>0.23441396508728179</v>
      </c>
      <c r="AB6" s="81" t="s">
        <v>143</v>
      </c>
      <c r="AC6" s="84">
        <v>0.55801104972375692</v>
      </c>
      <c r="AD6" s="81" t="s">
        <v>178</v>
      </c>
      <c r="AE6" s="84">
        <v>0.4140127388535032</v>
      </c>
      <c r="AF6" s="81" t="s">
        <v>179</v>
      </c>
      <c r="AG6" s="84">
        <v>0.45270270270270269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-5.6843418860808015E-14</v>
      </c>
      <c r="D7" s="81" t="s">
        <v>143</v>
      </c>
      <c r="E7" s="93">
        <v>-1.0952489183200003E-16</v>
      </c>
      <c r="F7" s="81" t="s">
        <v>181</v>
      </c>
      <c r="G7" s="82">
        <v>2</v>
      </c>
      <c r="H7" s="81" t="s">
        <v>181</v>
      </c>
      <c r="I7" s="83">
        <v>0.36363636363636365</v>
      </c>
      <c r="J7" s="81" t="s">
        <v>127</v>
      </c>
      <c r="K7" s="83">
        <v>0.31632653061224492</v>
      </c>
      <c r="L7" s="81" t="s">
        <v>143</v>
      </c>
      <c r="M7" s="84">
        <v>0.29432375613174494</v>
      </c>
      <c r="N7" s="81" t="s">
        <v>181</v>
      </c>
      <c r="O7" s="84">
        <v>0.15196078431372548</v>
      </c>
      <c r="P7" s="81" t="s">
        <v>126</v>
      </c>
      <c r="Q7" s="85">
        <v>8260.2076124567466</v>
      </c>
      <c r="R7" s="81" t="s">
        <v>143</v>
      </c>
      <c r="S7" s="85">
        <v>-7878.3977110157366</v>
      </c>
      <c r="T7" s="81" t="s">
        <v>177</v>
      </c>
      <c r="U7" s="83">
        <v>8.771929824561403E-2</v>
      </c>
      <c r="V7" s="81" t="s">
        <v>143</v>
      </c>
      <c r="W7" s="83">
        <v>9.4412331406551059E-2</v>
      </c>
      <c r="X7" s="81" t="s">
        <v>181</v>
      </c>
      <c r="Y7" s="84">
        <v>0.26470588235294118</v>
      </c>
      <c r="Z7" s="81" t="s">
        <v>143</v>
      </c>
      <c r="AA7" s="84">
        <v>0.23125437981779959</v>
      </c>
      <c r="AB7" s="81" t="s">
        <v>178</v>
      </c>
      <c r="AC7" s="84">
        <v>0.55681818181818177</v>
      </c>
      <c r="AD7" s="81" t="s">
        <v>143</v>
      </c>
      <c r="AE7" s="84">
        <v>0.40909090909090912</v>
      </c>
      <c r="AF7" s="81" t="s">
        <v>178</v>
      </c>
      <c r="AG7" s="84">
        <v>0.44791666666666669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-13.5</v>
      </c>
      <c r="D8" s="81" t="s">
        <v>181</v>
      </c>
      <c r="E8" s="93">
        <v>-0.61363636363636365</v>
      </c>
      <c r="F8" s="81" t="s">
        <v>143</v>
      </c>
      <c r="G8" s="82">
        <v>2</v>
      </c>
      <c r="H8" s="81" t="s">
        <v>127</v>
      </c>
      <c r="I8" s="83">
        <v>0.35714285714285715</v>
      </c>
      <c r="J8" s="81" t="s">
        <v>143</v>
      </c>
      <c r="K8" s="83">
        <v>0.33333333333333331</v>
      </c>
      <c r="L8" s="81" t="s">
        <v>178</v>
      </c>
      <c r="M8" s="84">
        <v>0.28111273792093705</v>
      </c>
      <c r="N8" s="81" t="s">
        <v>177</v>
      </c>
      <c r="O8" s="84">
        <v>0.16192560175054704</v>
      </c>
      <c r="P8" s="81" t="s">
        <v>181</v>
      </c>
      <c r="Q8" s="85">
        <v>8115.7894736842109</v>
      </c>
      <c r="R8" s="81" t="s">
        <v>178</v>
      </c>
      <c r="S8" s="85">
        <v>-7886.95652173913</v>
      </c>
      <c r="T8" s="81" t="s">
        <v>181</v>
      </c>
      <c r="U8" s="83">
        <v>9.0909090909090912E-2</v>
      </c>
      <c r="V8" s="81" t="s">
        <v>181</v>
      </c>
      <c r="W8" s="83">
        <v>9.0909090909090912E-2</v>
      </c>
      <c r="X8" s="81" t="s">
        <v>178</v>
      </c>
      <c r="Y8" s="84">
        <v>0.25768667642752563</v>
      </c>
      <c r="Z8" s="81" t="s">
        <v>178</v>
      </c>
      <c r="AA8" s="84">
        <v>0.22986822840409957</v>
      </c>
      <c r="AB8" s="81" t="s">
        <v>177</v>
      </c>
      <c r="AC8" s="84">
        <v>0.54729729729729726</v>
      </c>
      <c r="AD8" s="81" t="s">
        <v>182</v>
      </c>
      <c r="AE8" s="84">
        <v>0.4</v>
      </c>
      <c r="AF8" s="81" t="s">
        <v>143</v>
      </c>
      <c r="AG8" s="84">
        <v>0.43968253968253967</v>
      </c>
      <c r="AH8" s="81" t="s">
        <v>166</v>
      </c>
      <c r="AI8" s="88">
        <v>86900</v>
      </c>
    </row>
    <row r="9" spans="1:35" x14ac:dyDescent="0.4">
      <c r="A9" s="78">
        <v>7</v>
      </c>
      <c r="B9" s="79" t="s">
        <v>178</v>
      </c>
      <c r="C9" s="80">
        <v>-83.800000000000011</v>
      </c>
      <c r="D9" s="81" t="s">
        <v>178</v>
      </c>
      <c r="E9" s="93">
        <v>-0.97441860465116292</v>
      </c>
      <c r="F9" s="81" t="s">
        <v>178</v>
      </c>
      <c r="G9" s="82">
        <v>2.058139534883721</v>
      </c>
      <c r="H9" s="81" t="s">
        <v>166</v>
      </c>
      <c r="I9" s="83">
        <v>0.34782608695652173</v>
      </c>
      <c r="J9" s="81" t="s">
        <v>181</v>
      </c>
      <c r="K9" s="83">
        <v>0.36363636363636365</v>
      </c>
      <c r="L9" s="81" t="s">
        <v>179</v>
      </c>
      <c r="M9" s="84">
        <v>0.28030303030303028</v>
      </c>
      <c r="N9" s="81" t="s">
        <v>143</v>
      </c>
      <c r="O9" s="84">
        <v>0.16327960756832516</v>
      </c>
      <c r="P9" s="81" t="s">
        <v>179</v>
      </c>
      <c r="Q9" s="85">
        <v>8081.0810810810808</v>
      </c>
      <c r="R9" s="81" t="s">
        <v>222</v>
      </c>
      <c r="S9" s="85">
        <v>-8000</v>
      </c>
      <c r="T9" s="81" t="s">
        <v>143</v>
      </c>
      <c r="U9" s="83">
        <v>9.4412331406551059E-2</v>
      </c>
      <c r="V9" s="81" t="s">
        <v>178</v>
      </c>
      <c r="W9" s="83">
        <v>6.9767441860465115E-2</v>
      </c>
      <c r="X9" s="81" t="s">
        <v>143</v>
      </c>
      <c r="Y9" s="84">
        <v>0.25367904695164684</v>
      </c>
      <c r="Z9" s="81" t="s">
        <v>126</v>
      </c>
      <c r="AA9" s="84">
        <v>0.22599531615925059</v>
      </c>
      <c r="AB9" s="81" t="s">
        <v>182</v>
      </c>
      <c r="AC9" s="84">
        <v>0.54166666666666663</v>
      </c>
      <c r="AD9" s="81" t="s">
        <v>179</v>
      </c>
      <c r="AE9" s="84">
        <v>0.38383838383838381</v>
      </c>
      <c r="AF9" s="81" t="s">
        <v>126</v>
      </c>
      <c r="AG9" s="84">
        <v>0.43598615916955019</v>
      </c>
      <c r="AH9" s="81" t="s">
        <v>178</v>
      </c>
      <c r="AI9" s="88">
        <v>86500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-3.1717391304347839</v>
      </c>
      <c r="F10" s="81" t="s">
        <v>166</v>
      </c>
      <c r="G10" s="82">
        <v>2.0652173913043477</v>
      </c>
      <c r="H10" s="81" t="s">
        <v>143</v>
      </c>
      <c r="I10" s="83">
        <v>0.33333333333333331</v>
      </c>
      <c r="J10" s="81" t="s">
        <v>179</v>
      </c>
      <c r="K10" s="83">
        <v>0.3968253968253968</v>
      </c>
      <c r="L10" s="81" t="s">
        <v>181</v>
      </c>
      <c r="M10" s="84">
        <v>0.27941176470588236</v>
      </c>
      <c r="N10" s="81" t="s">
        <v>182</v>
      </c>
      <c r="O10" s="84">
        <v>0.188</v>
      </c>
      <c r="P10" s="81" t="s">
        <v>182</v>
      </c>
      <c r="Q10" s="85">
        <v>7901.7241379310344</v>
      </c>
      <c r="R10" s="81" t="s">
        <v>182</v>
      </c>
      <c r="S10" s="85">
        <v>-8059.5744680851067</v>
      </c>
      <c r="T10" s="81" t="s">
        <v>179</v>
      </c>
      <c r="U10" s="83">
        <v>9.5238095238095233E-2</v>
      </c>
      <c r="V10" s="81" t="s">
        <v>166</v>
      </c>
      <c r="W10" s="83">
        <v>4.3478260869565216E-2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181</v>
      </c>
      <c r="AE10" s="84">
        <v>0.375</v>
      </c>
      <c r="AF10" s="81" t="s">
        <v>166</v>
      </c>
      <c r="AG10" s="84">
        <v>0.42990654205607476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-145.90000000000006</v>
      </c>
      <c r="D11" s="81" t="s">
        <v>179</v>
      </c>
      <c r="E11" s="93">
        <v>-7.2587301587301578</v>
      </c>
      <c r="F11" s="81" t="s">
        <v>195</v>
      </c>
      <c r="G11" s="82">
        <v>2.1428571428571428</v>
      </c>
      <c r="H11" s="81" t="s">
        <v>178</v>
      </c>
      <c r="I11" s="83">
        <v>0.22093023255813954</v>
      </c>
      <c r="J11" s="81" t="s">
        <v>166</v>
      </c>
      <c r="K11" s="83">
        <v>0.41304347826086957</v>
      </c>
      <c r="L11" s="81" t="s">
        <v>166</v>
      </c>
      <c r="M11" s="84">
        <v>0.26683291770573564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-8236.4864864864867</v>
      </c>
      <c r="T11" s="81" t="s">
        <v>127</v>
      </c>
      <c r="U11" s="83">
        <v>0.14285714285714285</v>
      </c>
      <c r="V11" s="81" t="s">
        <v>182</v>
      </c>
      <c r="W11" s="83">
        <v>3.2258064516129031E-2</v>
      </c>
      <c r="X11" s="81" t="s">
        <v>127</v>
      </c>
      <c r="Y11" s="84">
        <v>0.23458282950423218</v>
      </c>
      <c r="Z11" s="81" t="s">
        <v>179</v>
      </c>
      <c r="AA11" s="84">
        <v>0.1875</v>
      </c>
      <c r="AB11" s="81" t="s">
        <v>127</v>
      </c>
      <c r="AC11" s="84">
        <v>0.51030927835051543</v>
      </c>
      <c r="AD11" s="81" t="s">
        <v>127</v>
      </c>
      <c r="AE11" s="84">
        <v>0.37450199203187251</v>
      </c>
      <c r="AF11" s="81" t="s">
        <v>127</v>
      </c>
      <c r="AG11" s="84">
        <v>0.38645418326693226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-457.29999999999995</v>
      </c>
      <c r="D12" s="81" t="s">
        <v>195</v>
      </c>
      <c r="E12" s="93">
        <v>-14.971428571428573</v>
      </c>
      <c r="F12" s="81" t="s">
        <v>179</v>
      </c>
      <c r="G12" s="82">
        <v>2.1904761904761907</v>
      </c>
      <c r="H12" s="81" t="s">
        <v>179</v>
      </c>
      <c r="I12" s="83">
        <v>0.20634920634920634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0.19588875453446192</v>
      </c>
      <c r="P12" s="81" t="s">
        <v>222</v>
      </c>
      <c r="Q12" s="85">
        <v>7385.7142857142853</v>
      </c>
      <c r="R12" s="81" t="s">
        <v>127</v>
      </c>
      <c r="S12" s="85">
        <v>-8314.1975308641977</v>
      </c>
      <c r="T12" s="81" t="s">
        <v>182</v>
      </c>
      <c r="U12" s="83">
        <v>0.16129032258064516</v>
      </c>
      <c r="V12" s="81" t="s">
        <v>179</v>
      </c>
      <c r="W12" s="83">
        <v>3.1746031746031744E-2</v>
      </c>
      <c r="X12" s="81" t="s">
        <v>182</v>
      </c>
      <c r="Y12" s="84">
        <v>0.192</v>
      </c>
      <c r="Z12" s="81" t="s">
        <v>177</v>
      </c>
      <c r="AA12" s="84">
        <v>0.17943107221006566</v>
      </c>
      <c r="AB12" s="81" t="s">
        <v>166</v>
      </c>
      <c r="AC12" s="84">
        <v>0.50819672131147542</v>
      </c>
      <c r="AD12" s="81" t="s">
        <v>166</v>
      </c>
      <c r="AE12" s="84">
        <v>0.36170212765957449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166</v>
      </c>
      <c r="Q13" s="85">
        <v>7148.5981308411219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0.15211970074812967</v>
      </c>
      <c r="Z13" s="81" t="s">
        <v>181</v>
      </c>
      <c r="AA13" s="84">
        <v>0.15686274509803921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2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519</v>
      </c>
      <c r="C2" s="149"/>
      <c r="E2" s="58" t="s">
        <v>66</v>
      </c>
      <c r="F2" s="55" t="s">
        <v>22</v>
      </c>
      <c r="G2" s="43">
        <v>976</v>
      </c>
      <c r="H2" s="128">
        <f>IF(B$17=0,0,G2/B$17)</f>
        <v>0.77460317460317463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-19.379844961240309</v>
      </c>
      <c r="P2" s="114">
        <v>516</v>
      </c>
      <c r="Q2" s="98">
        <v>-10000</v>
      </c>
    </row>
    <row r="3" spans="1:17" x14ac:dyDescent="0.4">
      <c r="A3" s="51" t="s">
        <v>8</v>
      </c>
      <c r="B3" s="150">
        <v>4281</v>
      </c>
      <c r="C3" s="151"/>
      <c r="E3" s="59" t="s">
        <v>72</v>
      </c>
      <c r="F3" s="56" t="s">
        <v>27</v>
      </c>
      <c r="G3" s="44">
        <v>675</v>
      </c>
      <c r="H3" s="129">
        <f>IF(B$17=0,0,G3/B$17)</f>
        <v>0.5357142857142857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3.9682539682539684</v>
      </c>
      <c r="P3" s="115">
        <v>504</v>
      </c>
      <c r="Q3" s="99">
        <v>2000</v>
      </c>
    </row>
    <row r="4" spans="1:17" x14ac:dyDescent="0.4">
      <c r="A4" s="51" t="s">
        <v>6</v>
      </c>
      <c r="B4" s="152">
        <v>-5.6843418860808015E-14</v>
      </c>
      <c r="C4" s="153"/>
      <c r="E4" s="59" t="s">
        <v>64</v>
      </c>
      <c r="F4" s="56" t="s">
        <v>20</v>
      </c>
      <c r="G4" s="44">
        <v>578</v>
      </c>
      <c r="H4" s="129">
        <f>IF(B$17=0,0,G4/B$17)</f>
        <v>0.45873015873015871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-14.675052410901468</v>
      </c>
      <c r="P4" s="115">
        <v>477</v>
      </c>
      <c r="Q4" s="99">
        <v>-7000</v>
      </c>
    </row>
    <row r="5" spans="1:17" x14ac:dyDescent="0.4">
      <c r="A5" s="51" t="s">
        <v>7</v>
      </c>
      <c r="B5" s="154">
        <f>IF(B$2=0,0,B$4/B$2)</f>
        <v>-1.0952489183200003E-16</v>
      </c>
      <c r="C5" s="155"/>
      <c r="E5" s="59" t="s">
        <v>171</v>
      </c>
      <c r="F5" s="56" t="s">
        <v>172</v>
      </c>
      <c r="G5" s="44">
        <v>500</v>
      </c>
      <c r="H5" s="129">
        <f>IF(B$17=0,0,G5/B$17)</f>
        <v>0.3968253968253968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13.245033112582782</v>
      </c>
      <c r="P5" s="115">
        <v>453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396</v>
      </c>
      <c r="H6" s="129">
        <f>IF(B$17=0,0,G6/B$17)</f>
        <v>0.31428571428571428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9.5923261390887298</v>
      </c>
      <c r="P6" s="115">
        <v>417</v>
      </c>
      <c r="Q6" s="99">
        <v>4000</v>
      </c>
    </row>
    <row r="7" spans="1:17" x14ac:dyDescent="0.4">
      <c r="A7" s="51" t="s">
        <v>2</v>
      </c>
      <c r="B7" s="44">
        <v>173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360</v>
      </c>
      <c r="H7" s="129">
        <f>IF(B$17=0,0,G7/B$17)</f>
        <v>0.2857142857142857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14.124293785310735</v>
      </c>
      <c r="P7" s="116">
        <v>354</v>
      </c>
      <c r="Q7" s="100">
        <v>5000</v>
      </c>
    </row>
    <row r="8" spans="1:17" x14ac:dyDescent="0.4">
      <c r="A8" s="51" t="s">
        <v>3</v>
      </c>
      <c r="B8" s="44">
        <v>173</v>
      </c>
      <c r="C8" s="37">
        <f t="shared" si="1"/>
        <v>0.33333333333333331</v>
      </c>
      <c r="E8" s="59" t="s">
        <v>69</v>
      </c>
      <c r="F8" s="56" t="s">
        <v>24</v>
      </c>
      <c r="G8" s="44">
        <v>193</v>
      </c>
      <c r="H8" s="129">
        <f>IF(B$17=0,0,G8/B$17)</f>
        <v>0.15317460317460319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173</v>
      </c>
      <c r="C9" s="38">
        <f t="shared" si="1"/>
        <v>0.33333333333333331</v>
      </c>
      <c r="E9" s="59" t="s">
        <v>89</v>
      </c>
      <c r="F9" s="56" t="s">
        <v>44</v>
      </c>
      <c r="G9" s="44">
        <v>165</v>
      </c>
      <c r="H9" s="129">
        <f>IF(B$17=0,0,G9/B$17)</f>
        <v>0.13095238095238096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49</v>
      </c>
      <c r="C10" s="38">
        <f t="shared" si="1"/>
        <v>9.4412331406551059E-2</v>
      </c>
      <c r="E10" s="59" t="s">
        <v>65</v>
      </c>
      <c r="F10" s="56" t="s">
        <v>21</v>
      </c>
      <c r="G10" s="44">
        <v>131</v>
      </c>
      <c r="H10" s="129">
        <f>IF(B$17=0,0,G10/B$17)</f>
        <v>0.10396825396825397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-0.36705202312138757</v>
      </c>
      <c r="P10" s="114">
        <v>173</v>
      </c>
      <c r="Q10" s="102">
        <v>-63.50000000000005</v>
      </c>
    </row>
    <row r="11" spans="1:17" x14ac:dyDescent="0.4">
      <c r="A11" s="52" t="s">
        <v>138</v>
      </c>
      <c r="B11" s="45">
        <v>49</v>
      </c>
      <c r="C11" s="38">
        <f t="shared" si="1"/>
        <v>9.4412331406551059E-2</v>
      </c>
      <c r="E11" s="59" t="s">
        <v>70</v>
      </c>
      <c r="F11" s="56" t="s">
        <v>25</v>
      </c>
      <c r="G11" s="44">
        <v>120</v>
      </c>
      <c r="H11" s="129">
        <f>IF(B$17=0,0,G11/B$17)</f>
        <v>9.5238095238095233E-2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2.0306358381502889</v>
      </c>
      <c r="P11" s="115">
        <v>173</v>
      </c>
      <c r="Q11" s="103">
        <v>351.29999999999995</v>
      </c>
    </row>
    <row r="12" spans="1:17" x14ac:dyDescent="0.4">
      <c r="A12" s="53" t="s">
        <v>158</v>
      </c>
      <c r="B12" s="46">
        <v>52</v>
      </c>
      <c r="C12" s="40">
        <f t="shared" si="1"/>
        <v>0.1001926782273603</v>
      </c>
      <c r="E12" s="59" t="s">
        <v>71</v>
      </c>
      <c r="F12" s="56" t="s">
        <v>26</v>
      </c>
      <c r="G12" s="44">
        <v>98</v>
      </c>
      <c r="H12" s="129">
        <f>IF(B$17=0,0,G12/B$17)</f>
        <v>7.7777777777777779E-2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-1.6635838150289024</v>
      </c>
      <c r="P12" s="116">
        <v>173</v>
      </c>
      <c r="Q12" s="104">
        <v>-287.80000000000013</v>
      </c>
    </row>
    <row r="13" spans="1:17" x14ac:dyDescent="0.4">
      <c r="A13" s="54" t="s">
        <v>121</v>
      </c>
      <c r="B13" s="47">
        <v>1086</v>
      </c>
      <c r="C13" s="42">
        <f>IF(B$3=0,0,B13/B$3)</f>
        <v>0.25367904695164684</v>
      </c>
      <c r="E13" s="59" t="s">
        <v>83</v>
      </c>
      <c r="F13" s="56" t="s">
        <v>38</v>
      </c>
      <c r="G13" s="44">
        <v>69</v>
      </c>
      <c r="H13" s="129">
        <f>IF(B$17=0,0,G13/B$17)</f>
        <v>5.4761904761904762E-2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990</v>
      </c>
      <c r="C14" s="37">
        <f>IF(B$3=0,0,B14/B$3)</f>
        <v>0.23125437981779959</v>
      </c>
      <c r="E14" s="59" t="s">
        <v>86</v>
      </c>
      <c r="F14" s="56" t="s">
        <v>41</v>
      </c>
      <c r="G14" s="44">
        <v>61</v>
      </c>
      <c r="H14" s="129">
        <f>IF(B$17=0,0,G14/B$17)</f>
        <v>4.8412698412698414E-2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606</v>
      </c>
      <c r="C15" s="35">
        <f>IF(B$13=0,0,B15/B$13)</f>
        <v>0.55801104972375692</v>
      </c>
      <c r="E15" s="59" t="s">
        <v>78</v>
      </c>
      <c r="F15" s="56" t="s">
        <v>33</v>
      </c>
      <c r="G15" s="44">
        <v>33</v>
      </c>
      <c r="H15" s="129">
        <f>IF(B$17=0,0,G15/B$17)</f>
        <v>2.6190476190476191E-2</v>
      </c>
      <c r="I15" s="90">
        <v>5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405</v>
      </c>
      <c r="C16" s="35">
        <f>IF(B$14=0,0,B16/B$14)</f>
        <v>0.40909090909090912</v>
      </c>
      <c r="E16" s="59" t="s">
        <v>167</v>
      </c>
      <c r="F16" s="56" t="s">
        <v>168</v>
      </c>
      <c r="G16" s="44">
        <v>31</v>
      </c>
      <c r="H16" s="129">
        <f>IF(B$17=0,0,G16/B$17)</f>
        <v>2.4603174603174603E-2</v>
      </c>
      <c r="I16" s="90">
        <v>3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1260</v>
      </c>
      <c r="C17" s="35">
        <f>IF(B$3=0,0,B17/B$3)</f>
        <v>0.29432375613174494</v>
      </c>
      <c r="E17" s="59" t="s">
        <v>81</v>
      </c>
      <c r="F17" s="56" t="s">
        <v>36</v>
      </c>
      <c r="G17" s="44">
        <v>22</v>
      </c>
      <c r="H17" s="129">
        <f>IF(B$17=0,0,G17/B$17)</f>
        <v>1.7460317460317461E-2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10.888095238095239</v>
      </c>
      <c r="P17" s="115">
        <v>126</v>
      </c>
      <c r="Q17" s="103">
        <v>1371.9</v>
      </c>
    </row>
    <row r="18" spans="1:17" x14ac:dyDescent="0.4">
      <c r="A18" s="51" t="s">
        <v>12</v>
      </c>
      <c r="B18" s="44">
        <v>554</v>
      </c>
      <c r="C18" s="37">
        <f>IF(B$17=0,0,B18/B$17)</f>
        <v>0.43968253968253967</v>
      </c>
      <c r="E18" s="59" t="s">
        <v>91</v>
      </c>
      <c r="F18" s="56" t="s">
        <v>46</v>
      </c>
      <c r="G18" s="44">
        <v>17</v>
      </c>
      <c r="H18" s="129">
        <f>IF(B$17=0,0,G18/B$17)</f>
        <v>1.3492063492063493E-2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4.7576086956521717</v>
      </c>
      <c r="P18" s="115">
        <v>92</v>
      </c>
      <c r="Q18" s="103">
        <v>437.69999999999976</v>
      </c>
    </row>
    <row r="19" spans="1:17" x14ac:dyDescent="0.4">
      <c r="A19" s="51" t="s">
        <v>11</v>
      </c>
      <c r="B19" s="44">
        <v>706</v>
      </c>
      <c r="C19" s="37">
        <f>IF(B$17=0,0,B19/B$17)</f>
        <v>0.56031746031746033</v>
      </c>
      <c r="E19" s="59" t="s">
        <v>79</v>
      </c>
      <c r="F19" s="56" t="s">
        <v>34</v>
      </c>
      <c r="G19" s="44">
        <v>16</v>
      </c>
      <c r="H19" s="129">
        <f>IF(B$17=0,0,G19/B$17)</f>
        <v>1.2698412698412698E-2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1.4616279069767433</v>
      </c>
      <c r="P19" s="115">
        <v>172</v>
      </c>
      <c r="Q19" s="103">
        <v>251.39999999999984</v>
      </c>
    </row>
    <row r="20" spans="1:17" x14ac:dyDescent="0.4">
      <c r="A20" s="51" t="s">
        <v>13</v>
      </c>
      <c r="B20" s="44">
        <v>699</v>
      </c>
      <c r="C20" s="37">
        <f>IF(B$3=0,0,B20/B$3)</f>
        <v>0.16327960756832516</v>
      </c>
      <c r="E20" s="59" t="s">
        <v>75</v>
      </c>
      <c r="F20" s="56" t="s">
        <v>30</v>
      </c>
      <c r="G20" s="44">
        <v>9</v>
      </c>
      <c r="H20" s="129">
        <f>IF(B$17=0,0,G20/B$17)</f>
        <v>7.1428571428571426E-3</v>
      </c>
      <c r="I20" s="90">
        <v>5</v>
      </c>
      <c r="K20" s="36">
        <v>18</v>
      </c>
      <c r="L20" s="95">
        <v>0</v>
      </c>
      <c r="N20" s="111" t="s">
        <v>181</v>
      </c>
      <c r="O20" s="121">
        <f>IF(P20=0,0,Q20/P20)</f>
        <v>0.9204545454545453</v>
      </c>
      <c r="P20" s="115">
        <v>44</v>
      </c>
      <c r="Q20" s="103">
        <v>40.499999999999993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5.5555555555555558E-3</v>
      </c>
      <c r="I21" s="90">
        <v>3</v>
      </c>
      <c r="K21" s="36">
        <v>19</v>
      </c>
      <c r="L21" s="95">
        <v>-22.4</v>
      </c>
      <c r="N21" s="111" t="s">
        <v>127</v>
      </c>
      <c r="O21" s="121">
        <f>IF(P21=0,0,Q21/P21)</f>
        <v>-0.5571428571428636</v>
      </c>
      <c r="P21" s="115">
        <v>196</v>
      </c>
      <c r="Q21" s="103">
        <v>-109.20000000000127</v>
      </c>
    </row>
    <row r="22" spans="1:17" x14ac:dyDescent="0.4">
      <c r="A22" s="51" t="s">
        <v>170</v>
      </c>
      <c r="B22" s="44">
        <v>31</v>
      </c>
      <c r="C22" s="131">
        <v>0</v>
      </c>
      <c r="E22" s="59" t="s">
        <v>74</v>
      </c>
      <c r="F22" s="56" t="s">
        <v>29</v>
      </c>
      <c r="G22" s="44">
        <v>6</v>
      </c>
      <c r="H22" s="129">
        <f>IF(B$17=0,0,G22/B$17)</f>
        <v>4.7619047619047623E-3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-7.6789473684210527</v>
      </c>
      <c r="P22" s="115">
        <v>114</v>
      </c>
      <c r="Q22" s="103">
        <v>-875.4</v>
      </c>
    </row>
    <row r="23" spans="1:17" x14ac:dyDescent="0.4">
      <c r="A23" s="51" t="s">
        <v>5</v>
      </c>
      <c r="B23" s="48">
        <f>IF(B$17=0,0,C23/B$17)</f>
        <v>8413.5714285714294</v>
      </c>
      <c r="C23" s="39">
        <v>10601100</v>
      </c>
      <c r="E23" s="59" t="s">
        <v>77</v>
      </c>
      <c r="F23" s="56" t="s">
        <v>32</v>
      </c>
      <c r="G23" s="44">
        <v>5</v>
      </c>
      <c r="H23" s="129">
        <f>IF(B$17=0,0,G23/B$17)</f>
        <v>3.968253968253968E-3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-12.95327102803738</v>
      </c>
      <c r="P23" s="115">
        <v>214</v>
      </c>
      <c r="Q23" s="103">
        <v>-2771.9999999999991</v>
      </c>
    </row>
    <row r="24" spans="1:17" x14ac:dyDescent="0.4">
      <c r="A24" s="52" t="s">
        <v>216</v>
      </c>
      <c r="B24" s="136">
        <f>IF($B$17-B$16=0,0,C24/($B$17-B$16))</f>
        <v>8910.1754385964905</v>
      </c>
      <c r="C24" s="137">
        <v>7618200</v>
      </c>
      <c r="E24" s="59" t="s">
        <v>85</v>
      </c>
      <c r="F24" s="56" t="s">
        <v>40</v>
      </c>
      <c r="G24" s="44">
        <v>5</v>
      </c>
      <c r="H24" s="129">
        <f>IF(B$17=0,0,G24/B$17)</f>
        <v>3.968253968253968E-3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7365.1851851851852</v>
      </c>
      <c r="C25" s="137">
        <v>2982900</v>
      </c>
      <c r="E25" s="59" t="s">
        <v>88</v>
      </c>
      <c r="F25" s="56" t="s">
        <v>43</v>
      </c>
      <c r="G25" s="44">
        <v>5</v>
      </c>
      <c r="H25" s="129">
        <f>IF(B$17=0,0,G25/B$17)</f>
        <v>3.968253968253968E-3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-7878.3977110157366</v>
      </c>
      <c r="C26" s="137">
        <v>-5507000</v>
      </c>
      <c r="E26" s="59" t="s">
        <v>73</v>
      </c>
      <c r="F26" s="56" t="s">
        <v>28</v>
      </c>
      <c r="G26" s="44">
        <v>4</v>
      </c>
      <c r="H26" s="129">
        <f>IF(B$17=0,0,G26/B$17)</f>
        <v>3.1746031746031746E-3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3.1746031746031746E-3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2.3809523809523812E-3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3.270263957019388E-3</v>
      </c>
      <c r="E29" s="59" t="s">
        <v>95</v>
      </c>
      <c r="F29" s="56" t="s">
        <v>50</v>
      </c>
      <c r="G29" s="44">
        <v>3</v>
      </c>
      <c r="H29" s="129">
        <f>IF(B$17=0,0,G29/B$17)</f>
        <v>2.3809523809523812E-3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1.5873015873015873E-3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1.5873015873015873E-3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7.9365079365079365E-4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106</v>
      </c>
      <c r="F33" s="56" t="s">
        <v>113</v>
      </c>
      <c r="G33" s="44">
        <v>1</v>
      </c>
      <c r="H33" s="129">
        <f>IF(B$17=0,0,G33/B$17)</f>
        <v>7.9365079365079365E-4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76</v>
      </c>
      <c r="F34" s="56" t="s">
        <v>31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80</v>
      </c>
      <c r="F35" s="56" t="s">
        <v>35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82</v>
      </c>
      <c r="F36" s="56" t="s">
        <v>37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94</v>
      </c>
      <c r="F37" s="56" t="s">
        <v>49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96</v>
      </c>
      <c r="F38" s="56" t="s">
        <v>51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97</v>
      </c>
      <c r="F39" s="56" t="s">
        <v>52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71</v>
      </c>
      <c r="H2" s="128">
        <f>IF(B$17=0,0,G2/B$17)</f>
        <v>0.66355140186915884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1384.7826086956522</v>
      </c>
      <c r="P2" s="114">
        <v>46</v>
      </c>
      <c r="Q2" s="98">
        <v>63700</v>
      </c>
    </row>
    <row r="3" spans="1:17" x14ac:dyDescent="0.4">
      <c r="A3" s="51" t="s">
        <v>8</v>
      </c>
      <c r="B3" s="150">
        <v>401</v>
      </c>
      <c r="C3" s="151"/>
      <c r="E3" s="59" t="s">
        <v>72</v>
      </c>
      <c r="F3" s="56" t="s">
        <v>27</v>
      </c>
      <c r="G3" s="44">
        <v>53</v>
      </c>
      <c r="H3" s="129">
        <f>IF(B$17=0,0,G3/B$17)</f>
        <v>0.49532710280373832</v>
      </c>
      <c r="I3" s="90">
        <v>8</v>
      </c>
      <c r="K3" s="36">
        <v>1</v>
      </c>
      <c r="L3" s="95">
        <v>-4.5999999999999996</v>
      </c>
      <c r="N3" s="111" t="s">
        <v>131</v>
      </c>
      <c r="O3" s="118">
        <f t="shared" si="0"/>
        <v>-1100</v>
      </c>
      <c r="P3" s="115">
        <v>45</v>
      </c>
      <c r="Q3" s="99">
        <v>-49500</v>
      </c>
    </row>
    <row r="4" spans="1:17" x14ac:dyDescent="0.4">
      <c r="A4" s="51" t="s">
        <v>6</v>
      </c>
      <c r="B4" s="152">
        <v>-145.90000000000006</v>
      </c>
      <c r="C4" s="153"/>
      <c r="E4" s="59" t="s">
        <v>171</v>
      </c>
      <c r="F4" s="56" t="s">
        <v>172</v>
      </c>
      <c r="G4" s="44">
        <v>41</v>
      </c>
      <c r="H4" s="129">
        <f>IF(B$17=0,0,G4/B$17)</f>
        <v>0.38317757009345793</v>
      </c>
      <c r="I4" s="90">
        <v>5</v>
      </c>
      <c r="K4" s="36">
        <v>2</v>
      </c>
      <c r="L4" s="95">
        <v>19.899999999999999</v>
      </c>
      <c r="N4" s="111" t="s">
        <v>132</v>
      </c>
      <c r="O4" s="118">
        <f t="shared" si="0"/>
        <v>-1309.3023255813953</v>
      </c>
      <c r="P4" s="115">
        <v>43</v>
      </c>
      <c r="Q4" s="99">
        <v>-56300</v>
      </c>
    </row>
    <row r="5" spans="1:17" x14ac:dyDescent="0.4">
      <c r="A5" s="51" t="s">
        <v>7</v>
      </c>
      <c r="B5" s="154">
        <f>IF(B$2=0,0,B$4/B$2)</f>
        <v>-3.1717391304347839</v>
      </c>
      <c r="C5" s="155"/>
      <c r="E5" s="59" t="s">
        <v>68</v>
      </c>
      <c r="F5" s="56" t="s">
        <v>12</v>
      </c>
      <c r="G5" s="44">
        <v>32</v>
      </c>
      <c r="H5" s="129">
        <f>IF(B$17=0,0,G5/B$17)</f>
        <v>0.29906542056074764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-1354.7619047619048</v>
      </c>
      <c r="P5" s="115">
        <v>42</v>
      </c>
      <c r="Q5" s="99">
        <v>-56900</v>
      </c>
    </row>
    <row r="6" spans="1:17" x14ac:dyDescent="0.4">
      <c r="A6" s="51" t="s">
        <v>1</v>
      </c>
      <c r="B6" s="144">
        <f>IF(B$2=0,0,(B$7*1+B$8*2+B$9*3)/B$2)</f>
        <v>2.0652173913043477</v>
      </c>
      <c r="C6" s="145"/>
      <c r="E6" s="59" t="s">
        <v>64</v>
      </c>
      <c r="F6" s="56" t="s">
        <v>20</v>
      </c>
      <c r="G6" s="44">
        <v>30</v>
      </c>
      <c r="H6" s="129">
        <f>IF(B$17=0,0,G6/B$17)</f>
        <v>0.28037383177570091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785.71428571428567</v>
      </c>
      <c r="P6" s="115">
        <v>42</v>
      </c>
      <c r="Q6" s="99">
        <v>33000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0.34782608695652173</v>
      </c>
      <c r="E7" s="59" t="s">
        <v>69</v>
      </c>
      <c r="F7" s="56" t="s">
        <v>24</v>
      </c>
      <c r="G7" s="44">
        <v>24</v>
      </c>
      <c r="H7" s="129">
        <f>IF(B$17=0,0,G7/B$17)</f>
        <v>0.22429906542056074</v>
      </c>
      <c r="I7" s="90">
        <v>2</v>
      </c>
      <c r="K7" s="36">
        <v>5</v>
      </c>
      <c r="L7" s="95">
        <v>-55.8</v>
      </c>
      <c r="N7" s="112" t="s">
        <v>135</v>
      </c>
      <c r="O7" s="119">
        <f t="shared" si="0"/>
        <v>-1438.8888888888889</v>
      </c>
      <c r="P7" s="116">
        <v>36</v>
      </c>
      <c r="Q7" s="100">
        <v>-51800</v>
      </c>
    </row>
    <row r="8" spans="1:17" x14ac:dyDescent="0.4">
      <c r="A8" s="51" t="s">
        <v>3</v>
      </c>
      <c r="B8" s="44">
        <v>11</v>
      </c>
      <c r="C8" s="37">
        <f t="shared" si="1"/>
        <v>0.2391304347826087</v>
      </c>
      <c r="E8" s="59" t="s">
        <v>70</v>
      </c>
      <c r="F8" s="56" t="s">
        <v>25</v>
      </c>
      <c r="G8" s="44">
        <v>17</v>
      </c>
      <c r="H8" s="129">
        <f>IF(B$17=0,0,G8/B$17)</f>
        <v>0.15887850467289719</v>
      </c>
      <c r="I8" s="90">
        <v>2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19</v>
      </c>
      <c r="C9" s="38">
        <f t="shared" si="1"/>
        <v>0.41304347826086957</v>
      </c>
      <c r="E9" s="59" t="s">
        <v>67</v>
      </c>
      <c r="F9" s="56" t="s">
        <v>23</v>
      </c>
      <c r="G9" s="44">
        <v>15</v>
      </c>
      <c r="H9" s="129">
        <f>IF(B$17=0,0,G9/B$17)</f>
        <v>0.14018691588785046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2.1739130434782608E-2</v>
      </c>
      <c r="E10" s="59" t="s">
        <v>71</v>
      </c>
      <c r="F10" s="56" t="s">
        <v>26</v>
      </c>
      <c r="G10" s="44">
        <v>11</v>
      </c>
      <c r="H10" s="129">
        <f>IF(B$17=0,0,G10/B$17)</f>
        <v>0.10280373831775701</v>
      </c>
      <c r="I10" s="90">
        <v>4</v>
      </c>
      <c r="K10" s="36">
        <v>8</v>
      </c>
      <c r="L10" s="95">
        <v>-76.900000000000006</v>
      </c>
      <c r="N10" s="110" t="s">
        <v>162</v>
      </c>
      <c r="O10" s="120">
        <f>IF(P10=0,0,Q10/P10)</f>
        <v>-4.6466666666666656</v>
      </c>
      <c r="P10" s="114">
        <v>15</v>
      </c>
      <c r="Q10" s="102">
        <v>-69.699999999999989</v>
      </c>
    </row>
    <row r="11" spans="1:17" x14ac:dyDescent="0.4">
      <c r="A11" s="52" t="s">
        <v>138</v>
      </c>
      <c r="B11" s="45">
        <v>2</v>
      </c>
      <c r="C11" s="38">
        <f t="shared" si="1"/>
        <v>4.3478260869565216E-2</v>
      </c>
      <c r="E11" s="59" t="s">
        <v>83</v>
      </c>
      <c r="F11" s="56" t="s">
        <v>38</v>
      </c>
      <c r="G11" s="44">
        <v>10</v>
      </c>
      <c r="H11" s="129">
        <f>IF(B$17=0,0,G11/B$17)</f>
        <v>9.3457943925233641E-2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-1.7142857142857133</v>
      </c>
      <c r="P11" s="115">
        <v>14</v>
      </c>
      <c r="Q11" s="103">
        <v>-23.999999999999986</v>
      </c>
    </row>
    <row r="12" spans="1:17" x14ac:dyDescent="0.4">
      <c r="A12" s="53" t="s">
        <v>158</v>
      </c>
      <c r="B12" s="46">
        <v>7</v>
      </c>
      <c r="C12" s="40">
        <f t="shared" si="1"/>
        <v>0.15217391304347827</v>
      </c>
      <c r="E12" s="59" t="s">
        <v>65</v>
      </c>
      <c r="F12" s="56" t="s">
        <v>21</v>
      </c>
      <c r="G12" s="44">
        <v>8</v>
      </c>
      <c r="H12" s="129">
        <f>IF(B$17=0,0,G12/B$17)</f>
        <v>7.476635514018691E-2</v>
      </c>
      <c r="I12" s="90">
        <v>9</v>
      </c>
      <c r="K12" s="36">
        <v>10</v>
      </c>
      <c r="L12" s="95">
        <v>-32.700000000000003</v>
      </c>
      <c r="N12" s="112" t="s">
        <v>164</v>
      </c>
      <c r="O12" s="122">
        <f>IF(P12=0,0,Q12/P12)</f>
        <v>-3.070588235294117</v>
      </c>
      <c r="P12" s="116">
        <v>17</v>
      </c>
      <c r="Q12" s="104">
        <v>-52.199999999999989</v>
      </c>
    </row>
    <row r="13" spans="1:17" x14ac:dyDescent="0.4">
      <c r="A13" s="54" t="s">
        <v>121</v>
      </c>
      <c r="B13" s="47">
        <v>61</v>
      </c>
      <c r="C13" s="42">
        <f>IF(B$3=0,0,B13/B$3)</f>
        <v>0.15211970074812967</v>
      </c>
      <c r="E13" s="59" t="s">
        <v>89</v>
      </c>
      <c r="F13" s="56" t="s">
        <v>44</v>
      </c>
      <c r="G13" s="44">
        <v>7</v>
      </c>
      <c r="H13" s="129">
        <f>IF(B$17=0,0,G13/B$17)</f>
        <v>6.5420560747663545E-2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94</v>
      </c>
      <c r="C14" s="37">
        <f>IF(B$3=0,0,B14/B$3)</f>
        <v>0.23441396508728179</v>
      </c>
      <c r="E14" s="59" t="s">
        <v>81</v>
      </c>
      <c r="F14" s="56" t="s">
        <v>36</v>
      </c>
      <c r="G14" s="44">
        <v>4</v>
      </c>
      <c r="H14" s="129">
        <f>IF(B$17=0,0,G14/B$17)</f>
        <v>3.7383177570093455E-2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31</v>
      </c>
      <c r="C15" s="35">
        <f>IF(B$13=0,0,B15/B$13)</f>
        <v>0.50819672131147542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34</v>
      </c>
      <c r="C16" s="35">
        <f>IF(B$14=0,0,B16/B$14)</f>
        <v>0.36170212765957449</v>
      </c>
      <c r="E16" s="59" t="s">
        <v>91</v>
      </c>
      <c r="F16" s="56" t="s">
        <v>46</v>
      </c>
      <c r="G16" s="44">
        <v>3</v>
      </c>
      <c r="H16" s="129">
        <f>IF(B$17=0,0,G16/B$17)</f>
        <v>2.8037383177570093E-2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-0.24285714285714377</v>
      </c>
      <c r="P16" s="115">
        <v>21</v>
      </c>
      <c r="Q16" s="103">
        <v>-5.1000000000000192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0.26683291770573564</v>
      </c>
      <c r="E17" s="59" t="s">
        <v>88</v>
      </c>
      <c r="F17" s="56" t="s">
        <v>43</v>
      </c>
      <c r="G17" s="44">
        <v>2</v>
      </c>
      <c r="H17" s="129">
        <f>IF(B$17=0,0,G17/B$17)</f>
        <v>1.8691588785046728E-2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2"/>
        <v>-2.2160000000000002</v>
      </c>
      <c r="P17" s="115">
        <v>25</v>
      </c>
      <c r="Q17" s="103">
        <v>-55.400000000000006</v>
      </c>
    </row>
    <row r="18" spans="1:17" x14ac:dyDescent="0.4">
      <c r="A18" s="51" t="s">
        <v>12</v>
      </c>
      <c r="B18" s="44">
        <v>46</v>
      </c>
      <c r="C18" s="37">
        <f>IF(B$17=0,0,B18/B$17)</f>
        <v>0.42990654205607476</v>
      </c>
      <c r="E18" s="59" t="s">
        <v>74</v>
      </c>
      <c r="F18" s="56" t="s">
        <v>29</v>
      </c>
      <c r="G18" s="44">
        <v>1</v>
      </c>
      <c r="H18" s="129">
        <f>IF(B$17=0,0,G18/B$17)</f>
        <v>9.3457943925233638E-3</v>
      </c>
      <c r="I18" s="90">
        <v>2</v>
      </c>
      <c r="K18" s="36">
        <v>16</v>
      </c>
      <c r="L18" s="95">
        <v>-70.600000000000009</v>
      </c>
      <c r="N18" s="111" t="s">
        <v>178</v>
      </c>
      <c r="O18" s="121">
        <f t="shared" si="2"/>
        <v>-2.8312499999999998</v>
      </c>
      <c r="P18" s="115">
        <v>16</v>
      </c>
      <c r="Q18" s="103">
        <v>-45.3</v>
      </c>
    </row>
    <row r="19" spans="1:17" x14ac:dyDescent="0.4">
      <c r="A19" s="51" t="s">
        <v>11</v>
      </c>
      <c r="B19" s="44">
        <v>61</v>
      </c>
      <c r="C19" s="37">
        <f>IF(B$17=0,0,B19/B$17)</f>
        <v>0.57009345794392519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58</v>
      </c>
      <c r="C20" s="37">
        <f>IF(B$3=0,0,B20/B$3)</f>
        <v>0.14463840399002495</v>
      </c>
      <c r="E20" s="59" t="s">
        <v>77</v>
      </c>
      <c r="F20" s="56" t="s">
        <v>32</v>
      </c>
      <c r="G20" s="44">
        <v>1</v>
      </c>
      <c r="H20" s="129">
        <f>IF(B$17=0,0,G20/B$17)</f>
        <v>9.3457943925233638E-3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-24.4</v>
      </c>
      <c r="P20" s="115">
        <v>7</v>
      </c>
      <c r="Q20" s="103">
        <v>-170.79999999999998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9.3457943925233638E-3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-28.449999999999996</v>
      </c>
      <c r="P21" s="115">
        <v>4</v>
      </c>
      <c r="Q21" s="103">
        <v>-113.79999999999998</v>
      </c>
    </row>
    <row r="22" spans="1:17" x14ac:dyDescent="0.4">
      <c r="A22" s="51" t="s">
        <v>170</v>
      </c>
      <c r="B22" s="44">
        <v>32</v>
      </c>
      <c r="C22" s="131">
        <v>1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7148.5981308411219</v>
      </c>
      <c r="C23" s="39">
        <v>764900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7486.3013698630139</v>
      </c>
      <c r="C24" s="137">
        <v>546500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6423.5294117647063</v>
      </c>
      <c r="C25" s="137">
        <v>218400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-6755.1724137931033</v>
      </c>
      <c r="C26" s="137">
        <v>-391800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4.9875311720698253E-3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0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107</v>
      </c>
      <c r="C2" s="149"/>
      <c r="E2" s="58" t="s">
        <v>66</v>
      </c>
      <c r="F2" s="55" t="s">
        <v>22</v>
      </c>
      <c r="G2" s="43">
        <v>194</v>
      </c>
      <c r="H2" s="128">
        <f>IF(B$17=0,0,G2/B$17)</f>
        <v>0.67128027681660896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1174.5283018867924</v>
      </c>
      <c r="P2" s="114">
        <v>106</v>
      </c>
      <c r="Q2" s="98">
        <v>124500</v>
      </c>
    </row>
    <row r="3" spans="1:17" x14ac:dyDescent="0.4">
      <c r="A3" s="51" t="s">
        <v>8</v>
      </c>
      <c r="B3" s="150">
        <v>854</v>
      </c>
      <c r="C3" s="151"/>
      <c r="E3" s="59" t="s">
        <v>72</v>
      </c>
      <c r="F3" s="56" t="s">
        <v>27</v>
      </c>
      <c r="G3" s="44">
        <v>139</v>
      </c>
      <c r="H3" s="129">
        <f>IF(B$17=0,0,G3/B$17)</f>
        <v>0.48096885813148788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400</v>
      </c>
      <c r="P3" s="115">
        <v>103</v>
      </c>
      <c r="Q3" s="99">
        <v>41200</v>
      </c>
    </row>
    <row r="4" spans="1:17" x14ac:dyDescent="0.4">
      <c r="A4" s="51" t="s">
        <v>6</v>
      </c>
      <c r="B4" s="152">
        <v>923.99999999999989</v>
      </c>
      <c r="C4" s="153"/>
      <c r="E4" s="59" t="s">
        <v>64</v>
      </c>
      <c r="F4" s="56" t="s">
        <v>20</v>
      </c>
      <c r="G4" s="44">
        <v>129</v>
      </c>
      <c r="H4" s="129">
        <f>IF(B$17=0,0,G4/B$17)</f>
        <v>0.44636678200692043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158.58585858585857</v>
      </c>
      <c r="P4" s="115">
        <v>99</v>
      </c>
      <c r="Q4" s="99">
        <v>15700</v>
      </c>
    </row>
    <row r="5" spans="1:17" x14ac:dyDescent="0.4">
      <c r="A5" s="51" t="s">
        <v>7</v>
      </c>
      <c r="B5" s="154">
        <f>IF(B$2=0,0,B$4/B$2)</f>
        <v>8.6355140186915875</v>
      </c>
      <c r="C5" s="155"/>
      <c r="E5" s="59" t="s">
        <v>171</v>
      </c>
      <c r="F5" s="56" t="s">
        <v>172</v>
      </c>
      <c r="G5" s="44">
        <v>110</v>
      </c>
      <c r="H5" s="129">
        <f>IF(B$17=0,0,G5/B$17)</f>
        <v>0.38062283737024222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809.8901098901099</v>
      </c>
      <c r="P5" s="115">
        <v>91</v>
      </c>
      <c r="Q5" s="99">
        <v>73700</v>
      </c>
    </row>
    <row r="6" spans="1:17" x14ac:dyDescent="0.4">
      <c r="A6" s="51" t="s">
        <v>1</v>
      </c>
      <c r="B6" s="144">
        <f>IF(B$2=0,0,(B$7*1+B$8*2+B$9*3)/B$2)</f>
        <v>1.7757009345794392</v>
      </c>
      <c r="C6" s="145"/>
      <c r="E6" s="59" t="s">
        <v>68</v>
      </c>
      <c r="F6" s="56" t="s">
        <v>12</v>
      </c>
      <c r="G6" s="44">
        <v>86</v>
      </c>
      <c r="H6" s="129">
        <f>IF(B$17=0,0,G6/B$17)</f>
        <v>0.29757785467128028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0"/>
        <v>2258.3333333333335</v>
      </c>
      <c r="P6" s="115">
        <v>84</v>
      </c>
      <c r="Q6" s="99">
        <v>189700</v>
      </c>
    </row>
    <row r="7" spans="1:17" x14ac:dyDescent="0.4">
      <c r="A7" s="51" t="s">
        <v>2</v>
      </c>
      <c r="B7" s="44">
        <v>51</v>
      </c>
      <c r="C7" s="37">
        <f t="shared" ref="C7:C12" si="1">IF(B$2=0,0,B7/B$2)</f>
        <v>0.47663551401869159</v>
      </c>
      <c r="E7" s="59" t="s">
        <v>67</v>
      </c>
      <c r="F7" s="56" t="s">
        <v>23</v>
      </c>
      <c r="G7" s="44">
        <v>71</v>
      </c>
      <c r="H7" s="129">
        <f>IF(B$17=0,0,G7/B$17)</f>
        <v>0.24567474048442905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2912.8571428571427</v>
      </c>
      <c r="P7" s="116">
        <v>70</v>
      </c>
      <c r="Q7" s="100">
        <v>203900</v>
      </c>
    </row>
    <row r="8" spans="1:17" x14ac:dyDescent="0.4">
      <c r="A8" s="51" t="s">
        <v>3</v>
      </c>
      <c r="B8" s="44">
        <v>29</v>
      </c>
      <c r="C8" s="37">
        <f t="shared" si="1"/>
        <v>0.27102803738317754</v>
      </c>
      <c r="E8" s="59" t="s">
        <v>69</v>
      </c>
      <c r="F8" s="56" t="s">
        <v>24</v>
      </c>
      <c r="G8" s="44">
        <v>45</v>
      </c>
      <c r="H8" s="129">
        <f>IF(B$17=0,0,G8/B$17)</f>
        <v>0.15570934256055363</v>
      </c>
      <c r="I8" s="90">
        <v>4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0.25233644859813081</v>
      </c>
      <c r="E9" s="59" t="s">
        <v>89</v>
      </c>
      <c r="F9" s="56" t="s">
        <v>44</v>
      </c>
      <c r="G9" s="44">
        <v>44</v>
      </c>
      <c r="H9" s="129">
        <f>IF(B$17=0,0,G9/B$17)</f>
        <v>0.15224913494809689</v>
      </c>
      <c r="I9" s="90">
        <v>3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4.6728971962616821E-2</v>
      </c>
      <c r="E10" s="59" t="s">
        <v>65</v>
      </c>
      <c r="F10" s="56" t="s">
        <v>21</v>
      </c>
      <c r="G10" s="44">
        <v>33</v>
      </c>
      <c r="H10" s="129">
        <f>IF(B$17=0,0,G10/B$17)</f>
        <v>0.11418685121107267</v>
      </c>
      <c r="I10" s="90">
        <v>6</v>
      </c>
      <c r="K10" s="36">
        <v>8</v>
      </c>
      <c r="L10" s="95">
        <v>148.1</v>
      </c>
      <c r="N10" s="110" t="s">
        <v>162</v>
      </c>
      <c r="O10" s="120">
        <f>IF(P10=0,0,Q10/P10)</f>
        <v>13.189999999999998</v>
      </c>
      <c r="P10" s="114">
        <v>30</v>
      </c>
      <c r="Q10" s="102">
        <v>395.69999999999993</v>
      </c>
    </row>
    <row r="11" spans="1:17" x14ac:dyDescent="0.4">
      <c r="A11" s="52" t="s">
        <v>138</v>
      </c>
      <c r="B11" s="45">
        <v>14</v>
      </c>
      <c r="C11" s="38">
        <f t="shared" si="1"/>
        <v>0.13084112149532709</v>
      </c>
      <c r="E11" s="59" t="s">
        <v>71</v>
      </c>
      <c r="F11" s="56" t="s">
        <v>26</v>
      </c>
      <c r="G11" s="44">
        <v>20</v>
      </c>
      <c r="H11" s="129">
        <f>IF(B$17=0,0,G11/B$17)</f>
        <v>6.9204152249134954E-2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4.3950000000000005</v>
      </c>
      <c r="P11" s="115">
        <v>40</v>
      </c>
      <c r="Q11" s="103">
        <v>175.8</v>
      </c>
    </row>
    <row r="12" spans="1:17" x14ac:dyDescent="0.4">
      <c r="A12" s="53" t="s">
        <v>158</v>
      </c>
      <c r="B12" s="46">
        <v>12</v>
      </c>
      <c r="C12" s="40">
        <f t="shared" si="1"/>
        <v>0.11214953271028037</v>
      </c>
      <c r="E12" s="59" t="s">
        <v>70</v>
      </c>
      <c r="F12" s="56" t="s">
        <v>25</v>
      </c>
      <c r="G12" s="44">
        <v>16</v>
      </c>
      <c r="H12" s="129">
        <f>IF(B$17=0,0,G12/B$17)</f>
        <v>5.536332179930796E-2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9.5270270270270263</v>
      </c>
      <c r="P12" s="116">
        <v>37</v>
      </c>
      <c r="Q12" s="104">
        <v>352.49999999999994</v>
      </c>
    </row>
    <row r="13" spans="1:17" x14ac:dyDescent="0.4">
      <c r="A13" s="54" t="s">
        <v>121</v>
      </c>
      <c r="B13" s="47">
        <v>232</v>
      </c>
      <c r="C13" s="42">
        <f>IF(B$3=0,0,B13/B$3)</f>
        <v>0.27166276346604218</v>
      </c>
      <c r="E13" s="59" t="s">
        <v>86</v>
      </c>
      <c r="F13" s="56" t="s">
        <v>41</v>
      </c>
      <c r="G13" s="44">
        <v>16</v>
      </c>
      <c r="H13" s="129">
        <f>IF(B$17=0,0,G13/B$17)</f>
        <v>5.536332179930796E-2</v>
      </c>
      <c r="I13" s="90">
        <v>4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193</v>
      </c>
      <c r="C14" s="37">
        <f>IF(B$3=0,0,B14/B$3)</f>
        <v>0.22599531615925059</v>
      </c>
      <c r="E14" s="59" t="s">
        <v>83</v>
      </c>
      <c r="F14" s="56" t="s">
        <v>38</v>
      </c>
      <c r="G14" s="44">
        <v>13</v>
      </c>
      <c r="H14" s="129">
        <f>IF(B$17=0,0,G14/B$17)</f>
        <v>4.4982698961937718E-2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138</v>
      </c>
      <c r="C15" s="35">
        <f>IF(B$13=0,0,B15/B$13)</f>
        <v>0.59482758620689657</v>
      </c>
      <c r="E15" s="59" t="s">
        <v>167</v>
      </c>
      <c r="F15" s="56" t="s">
        <v>168</v>
      </c>
      <c r="G15" s="44">
        <v>12</v>
      </c>
      <c r="H15" s="129">
        <f>IF(B$17=0,0,G15/B$17)</f>
        <v>4.1522491349480967E-2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53.400000000000006</v>
      </c>
      <c r="P15" s="114">
        <v>6</v>
      </c>
      <c r="Q15" s="102">
        <v>320.40000000000003</v>
      </c>
    </row>
    <row r="16" spans="1:17" x14ac:dyDescent="0.4">
      <c r="A16" s="50" t="s">
        <v>124</v>
      </c>
      <c r="B16" s="43">
        <v>92</v>
      </c>
      <c r="C16" s="35">
        <f>IF(B$14=0,0,B16/B$14)</f>
        <v>0.47668393782383417</v>
      </c>
      <c r="E16" s="59" t="s">
        <v>78</v>
      </c>
      <c r="F16" s="56" t="s">
        <v>33</v>
      </c>
      <c r="G16" s="44">
        <v>11</v>
      </c>
      <c r="H16" s="129">
        <f>IF(B$17=0,0,G16/B$17)</f>
        <v>3.8062283737024222E-2</v>
      </c>
      <c r="I16" s="90">
        <v>3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289</v>
      </c>
      <c r="C17" s="35">
        <f>IF(B$3=0,0,B17/B$3)</f>
        <v>0.33840749414519905</v>
      </c>
      <c r="E17" s="59" t="s">
        <v>77</v>
      </c>
      <c r="F17" s="56" t="s">
        <v>32</v>
      </c>
      <c r="G17" s="44">
        <v>3</v>
      </c>
      <c r="H17" s="129">
        <f>IF(B$17=0,0,G17/B$17)</f>
        <v>1.0380622837370242E-2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16.932558139534887</v>
      </c>
      <c r="P17" s="115">
        <v>43</v>
      </c>
      <c r="Q17" s="103">
        <v>728.10000000000014</v>
      </c>
    </row>
    <row r="18" spans="1:17" x14ac:dyDescent="0.4">
      <c r="A18" s="51" t="s">
        <v>12</v>
      </c>
      <c r="B18" s="44">
        <v>126</v>
      </c>
      <c r="C18" s="37">
        <f>IF(B$17=0,0,B18/B$17)</f>
        <v>0.43598615916955019</v>
      </c>
      <c r="E18" s="59" t="s">
        <v>84</v>
      </c>
      <c r="F18" s="56" t="s">
        <v>39</v>
      </c>
      <c r="G18" s="44">
        <v>3</v>
      </c>
      <c r="H18" s="129">
        <f>IF(B$17=0,0,G18/B$17)</f>
        <v>1.0380622837370242E-2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16.673170731707319</v>
      </c>
      <c r="P18" s="115">
        <v>41</v>
      </c>
      <c r="Q18" s="103">
        <v>683.60000000000014</v>
      </c>
    </row>
    <row r="19" spans="1:17" x14ac:dyDescent="0.4">
      <c r="A19" s="51" t="s">
        <v>11</v>
      </c>
      <c r="B19" s="44">
        <v>163</v>
      </c>
      <c r="C19" s="37">
        <f>IF(B$17=0,0,B19/B$17)</f>
        <v>0.56401384083044981</v>
      </c>
      <c r="E19" s="59" t="s">
        <v>92</v>
      </c>
      <c r="F19" s="56" t="s">
        <v>47</v>
      </c>
      <c r="G19" s="44">
        <v>3</v>
      </c>
      <c r="H19" s="129">
        <f>IF(B$17=0,0,G19/B$17)</f>
        <v>1.0380622837370242E-2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14.741791044776116</v>
      </c>
      <c r="P19" s="115">
        <v>67</v>
      </c>
      <c r="Q19" s="103">
        <v>987.69999999999982</v>
      </c>
    </row>
    <row r="20" spans="1:17" x14ac:dyDescent="0.4">
      <c r="A20" s="51" t="s">
        <v>13</v>
      </c>
      <c r="B20" s="44">
        <v>112</v>
      </c>
      <c r="C20" s="37">
        <f>IF(B$3=0,0,B20/B$3)</f>
        <v>0.13114754098360656</v>
      </c>
      <c r="E20" s="59" t="s">
        <v>75</v>
      </c>
      <c r="F20" s="56" t="s">
        <v>30</v>
      </c>
      <c r="G20" s="44">
        <v>2</v>
      </c>
      <c r="H20" s="129">
        <f>IF(B$17=0,0,G20/B$17)</f>
        <v>6.920415224913495E-3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2.2159999999999993</v>
      </c>
      <c r="P20" s="115">
        <v>25</v>
      </c>
      <c r="Q20" s="103">
        <v>55.399999999999977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6.920415224913495E-3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-5.7045454545454559</v>
      </c>
      <c r="P21" s="115">
        <v>22</v>
      </c>
      <c r="Q21" s="103">
        <v>-125.50000000000003</v>
      </c>
    </row>
    <row r="22" spans="1:17" x14ac:dyDescent="0.4">
      <c r="A22" s="51" t="s">
        <v>170</v>
      </c>
      <c r="B22" s="44">
        <v>43</v>
      </c>
      <c r="C22" s="131">
        <v>0</v>
      </c>
      <c r="E22" s="59" t="s">
        <v>85</v>
      </c>
      <c r="F22" s="56" t="s">
        <v>40</v>
      </c>
      <c r="G22" s="44">
        <v>2</v>
      </c>
      <c r="H22" s="129">
        <f>IF(B$17=0,0,G22/B$17)</f>
        <v>6.920415224913495E-3</v>
      </c>
      <c r="I22" s="90">
        <v>3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8260.2076124567466</v>
      </c>
      <c r="C23" s="39">
        <v>2387200</v>
      </c>
      <c r="E23" s="59" t="s">
        <v>88</v>
      </c>
      <c r="F23" s="56" t="s">
        <v>43</v>
      </c>
      <c r="G23" s="44">
        <v>2</v>
      </c>
      <c r="H23" s="129">
        <f>IF(B$17=0,0,G23/B$17)</f>
        <v>6.920415224913495E-3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8415.7360406091375</v>
      </c>
      <c r="C24" s="137">
        <v>1657900</v>
      </c>
      <c r="E24" s="59" t="s">
        <v>91</v>
      </c>
      <c r="F24" s="56" t="s">
        <v>46</v>
      </c>
      <c r="G24" s="44">
        <v>2</v>
      </c>
      <c r="H24" s="129">
        <f>IF(B$17=0,0,G24/B$17)</f>
        <v>6.920415224913495E-3</v>
      </c>
      <c r="I24" s="90">
        <v>5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7927.173913043478</v>
      </c>
      <c r="C25" s="137">
        <v>729300</v>
      </c>
      <c r="E25" s="59" t="s">
        <v>74</v>
      </c>
      <c r="F25" s="56" t="s">
        <v>29</v>
      </c>
      <c r="G25" s="44">
        <v>1</v>
      </c>
      <c r="H25" s="129">
        <f>IF(B$17=0,0,G25/B$17)</f>
        <v>3.4602076124567475E-3</v>
      </c>
      <c r="I25" s="90">
        <v>6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-7843.75</v>
      </c>
      <c r="C26" s="137">
        <v>-878500</v>
      </c>
      <c r="E26" s="59" t="s">
        <v>81</v>
      </c>
      <c r="F26" s="56" t="s">
        <v>36</v>
      </c>
      <c r="G26" s="44">
        <v>1</v>
      </c>
      <c r="H26" s="129">
        <f>IF(B$17=0,0,G26/B$17)</f>
        <v>3.4602076124567475E-3</v>
      </c>
      <c r="I26" s="90">
        <v>9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3.4602076124567475E-3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3.4602076124567475E-3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1.17096018735363E-3</v>
      </c>
      <c r="E29" s="59" t="s">
        <v>106</v>
      </c>
      <c r="F29" s="56" t="s">
        <v>113</v>
      </c>
      <c r="G29" s="44">
        <v>1</v>
      </c>
      <c r="H29" s="129">
        <f>IF(B$17=0,0,G29/B$17)</f>
        <v>3.4602076124567475E-3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98</v>
      </c>
      <c r="C2" s="149"/>
      <c r="E2" s="58" t="s">
        <v>66</v>
      </c>
      <c r="F2" s="55" t="s">
        <v>22</v>
      </c>
      <c r="G2" s="43">
        <v>229</v>
      </c>
      <c r="H2" s="128">
        <f>IF(B$17=0,0,G2/B$17)</f>
        <v>0.91235059760956172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-1981.4432989690722</v>
      </c>
      <c r="P2" s="114">
        <v>97</v>
      </c>
      <c r="Q2" s="98">
        <v>-192200</v>
      </c>
    </row>
    <row r="3" spans="1:17" x14ac:dyDescent="0.4">
      <c r="A3" s="51" t="s">
        <v>8</v>
      </c>
      <c r="B3" s="150">
        <v>827</v>
      </c>
      <c r="C3" s="151"/>
      <c r="E3" s="59" t="s">
        <v>72</v>
      </c>
      <c r="F3" s="56" t="s">
        <v>27</v>
      </c>
      <c r="G3" s="44">
        <v>146</v>
      </c>
      <c r="H3" s="129">
        <f>IF(B$17=0,0,G3/B$17)</f>
        <v>0.58167330677290841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1205.2631578947369</v>
      </c>
      <c r="P3" s="115">
        <v>95</v>
      </c>
      <c r="Q3" s="99">
        <v>114500</v>
      </c>
    </row>
    <row r="4" spans="1:17" x14ac:dyDescent="0.4">
      <c r="A4" s="51" t="s">
        <v>6</v>
      </c>
      <c r="B4" s="152">
        <v>36.399999999999785</v>
      </c>
      <c r="C4" s="153"/>
      <c r="E4" s="59" t="s">
        <v>171</v>
      </c>
      <c r="F4" s="56" t="s">
        <v>172</v>
      </c>
      <c r="G4" s="44">
        <v>106</v>
      </c>
      <c r="H4" s="129">
        <f>IF(B$17=0,0,G4/B$17)</f>
        <v>0.42231075697211157</v>
      </c>
      <c r="I4" s="90">
        <v>2</v>
      </c>
      <c r="K4" s="36">
        <v>2</v>
      </c>
      <c r="L4" s="95">
        <v>-34.299999999999997</v>
      </c>
      <c r="N4" s="111" t="s">
        <v>132</v>
      </c>
      <c r="O4" s="118">
        <f t="shared" si="0"/>
        <v>615.7303370786517</v>
      </c>
      <c r="P4" s="115">
        <v>89</v>
      </c>
      <c r="Q4" s="99">
        <v>54800</v>
      </c>
    </row>
    <row r="5" spans="1:17" x14ac:dyDescent="0.4">
      <c r="A5" s="51" t="s">
        <v>7</v>
      </c>
      <c r="B5" s="154">
        <f>IF(B$2=0,0,B$4/B$2)</f>
        <v>0.37142857142856922</v>
      </c>
      <c r="C5" s="155"/>
      <c r="E5" s="59" t="s">
        <v>64</v>
      </c>
      <c r="F5" s="56" t="s">
        <v>20</v>
      </c>
      <c r="G5" s="44">
        <v>99</v>
      </c>
      <c r="H5" s="129">
        <f>IF(B$17=0,0,G5/B$17)</f>
        <v>0.39442231075697209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736.90476190476193</v>
      </c>
      <c r="P5" s="115">
        <v>84</v>
      </c>
      <c r="Q5" s="99">
        <v>61900</v>
      </c>
    </row>
    <row r="6" spans="1:17" x14ac:dyDescent="0.4">
      <c r="A6" s="51" t="s">
        <v>1</v>
      </c>
      <c r="B6" s="144">
        <f>IF(B$2=0,0,(B$7*1+B$8*2+B$9*3)/B$2)</f>
        <v>1.9591836734693877</v>
      </c>
      <c r="C6" s="145"/>
      <c r="E6" s="59" t="s">
        <v>68</v>
      </c>
      <c r="F6" s="56" t="s">
        <v>12</v>
      </c>
      <c r="G6" s="44">
        <v>67</v>
      </c>
      <c r="H6" s="129">
        <f>IF(B$17=0,0,G6/B$17)</f>
        <v>0.26693227091633465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-1049.3506493506493</v>
      </c>
      <c r="P6" s="115">
        <v>77</v>
      </c>
      <c r="Q6" s="99">
        <v>-80800</v>
      </c>
    </row>
    <row r="7" spans="1:17" x14ac:dyDescent="0.4">
      <c r="A7" s="51" t="s">
        <v>2</v>
      </c>
      <c r="B7" s="44">
        <v>35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52</v>
      </c>
      <c r="H7" s="129">
        <f>IF(B$17=0,0,G7/B$17)</f>
        <v>0.20717131474103587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1389.3939393939395</v>
      </c>
      <c r="P7" s="116">
        <v>66</v>
      </c>
      <c r="Q7" s="100">
        <v>91700</v>
      </c>
    </row>
    <row r="8" spans="1:17" x14ac:dyDescent="0.4">
      <c r="A8" s="51" t="s">
        <v>3</v>
      </c>
      <c r="B8" s="44">
        <v>32</v>
      </c>
      <c r="C8" s="37">
        <f t="shared" si="1"/>
        <v>0.32653061224489793</v>
      </c>
      <c r="E8" s="59" t="s">
        <v>89</v>
      </c>
      <c r="F8" s="56" t="s">
        <v>44</v>
      </c>
      <c r="G8" s="44">
        <v>32</v>
      </c>
      <c r="H8" s="129">
        <f>IF(B$17=0,0,G8/B$17)</f>
        <v>0.12749003984063745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1"/>
        <v>0.31632653061224492</v>
      </c>
      <c r="E9" s="59" t="s">
        <v>69</v>
      </c>
      <c r="F9" s="56" t="s">
        <v>24</v>
      </c>
      <c r="G9" s="44">
        <v>29</v>
      </c>
      <c r="H9" s="129">
        <f>IF(B$17=0,0,G9/B$17)</f>
        <v>0.11553784860557768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14</v>
      </c>
      <c r="C10" s="38">
        <f t="shared" si="1"/>
        <v>0.14285714285714285</v>
      </c>
      <c r="E10" s="59" t="s">
        <v>65</v>
      </c>
      <c r="F10" s="56" t="s">
        <v>21</v>
      </c>
      <c r="G10" s="44">
        <v>24</v>
      </c>
      <c r="H10" s="129">
        <f>IF(B$17=0,0,G10/B$17)</f>
        <v>9.5617529880478086E-2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1.2375000000000009</v>
      </c>
      <c r="P10" s="114">
        <v>24</v>
      </c>
      <c r="Q10" s="102">
        <v>29.700000000000024</v>
      </c>
    </row>
    <row r="11" spans="1:17" x14ac:dyDescent="0.4">
      <c r="A11" s="52" t="s">
        <v>138</v>
      </c>
      <c r="B11" s="45">
        <v>10</v>
      </c>
      <c r="C11" s="38">
        <f t="shared" si="1"/>
        <v>0.10204081632653061</v>
      </c>
      <c r="E11" s="59" t="s">
        <v>71</v>
      </c>
      <c r="F11" s="56" t="s">
        <v>26</v>
      </c>
      <c r="G11" s="44">
        <v>22</v>
      </c>
      <c r="H11" s="129">
        <f>IF(B$17=0,0,G11/B$17)</f>
        <v>8.7649402390438252E-2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7.8777777777777782</v>
      </c>
      <c r="P11" s="115">
        <v>27</v>
      </c>
      <c r="Q11" s="103">
        <v>212.70000000000002</v>
      </c>
    </row>
    <row r="12" spans="1:17" x14ac:dyDescent="0.4">
      <c r="A12" s="53" t="s">
        <v>158</v>
      </c>
      <c r="B12" s="46">
        <v>17</v>
      </c>
      <c r="C12" s="40">
        <f t="shared" si="1"/>
        <v>0.17346938775510204</v>
      </c>
      <c r="E12" s="59" t="s">
        <v>70</v>
      </c>
      <c r="F12" s="56" t="s">
        <v>25</v>
      </c>
      <c r="G12" s="44">
        <v>21</v>
      </c>
      <c r="H12" s="129">
        <f>IF(B$17=0,0,G12/B$17)</f>
        <v>8.3665338645418322E-2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194</v>
      </c>
      <c r="C13" s="42">
        <f>IF(B$3=0,0,B13/B$3)</f>
        <v>0.23458282950423218</v>
      </c>
      <c r="E13" s="59" t="s">
        <v>86</v>
      </c>
      <c r="F13" s="56" t="s">
        <v>41</v>
      </c>
      <c r="G13" s="44">
        <v>18</v>
      </c>
      <c r="H13" s="129">
        <f>IF(B$17=0,0,G13/B$17)</f>
        <v>7.1713147410358571E-2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251</v>
      </c>
      <c r="C14" s="37">
        <f>IF(B$3=0,0,B14/B$3)</f>
        <v>0.30350665054413545</v>
      </c>
      <c r="E14" s="59" t="s">
        <v>83</v>
      </c>
      <c r="F14" s="56" t="s">
        <v>38</v>
      </c>
      <c r="G14" s="44">
        <v>14</v>
      </c>
      <c r="H14" s="129">
        <f>IF(B$17=0,0,G14/B$17)</f>
        <v>5.5776892430278883E-2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99</v>
      </c>
      <c r="C15" s="35">
        <f>IF(B$13=0,0,B15/B$13)</f>
        <v>0.51030927835051543</v>
      </c>
      <c r="E15" s="59" t="s">
        <v>78</v>
      </c>
      <c r="F15" s="56" t="s">
        <v>33</v>
      </c>
      <c r="G15" s="44">
        <v>8</v>
      </c>
      <c r="H15" s="129">
        <f>IF(B$17=0,0,G15/B$17)</f>
        <v>3.1872509960159362E-2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94</v>
      </c>
      <c r="C16" s="35">
        <f>IF(B$14=0,0,B16/B$14)</f>
        <v>0.37450199203187251</v>
      </c>
      <c r="E16" s="59" t="s">
        <v>91</v>
      </c>
      <c r="F16" s="56" t="s">
        <v>46</v>
      </c>
      <c r="G16" s="44">
        <v>8</v>
      </c>
      <c r="H16" s="129">
        <f>IF(B$17=0,0,G16/B$17)</f>
        <v>3.1872509960159362E-2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251</v>
      </c>
      <c r="C17" s="35">
        <f>IF(B$3=0,0,B17/B$3)</f>
        <v>0.30350665054413545</v>
      </c>
      <c r="E17" s="59" t="s">
        <v>81</v>
      </c>
      <c r="F17" s="56" t="s">
        <v>36</v>
      </c>
      <c r="G17" s="44">
        <v>6</v>
      </c>
      <c r="H17" s="129">
        <f>IF(B$17=0,0,G17/B$17)</f>
        <v>2.3904382470119521E-2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97</v>
      </c>
      <c r="C18" s="37">
        <f>IF(B$17=0,0,B18/B$17)</f>
        <v>0.38645418326693226</v>
      </c>
      <c r="E18" s="59" t="s">
        <v>79</v>
      </c>
      <c r="F18" s="56" t="s">
        <v>34</v>
      </c>
      <c r="G18" s="44">
        <v>5</v>
      </c>
      <c r="H18" s="129">
        <f>IF(B$17=0,0,G18/B$17)</f>
        <v>1.9920318725099601E-2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11.37096774193548</v>
      </c>
      <c r="P18" s="115">
        <v>31</v>
      </c>
      <c r="Q18" s="103">
        <v>352.49999999999989</v>
      </c>
    </row>
    <row r="19" spans="1:17" x14ac:dyDescent="0.4">
      <c r="A19" s="51" t="s">
        <v>11</v>
      </c>
      <c r="B19" s="44">
        <v>154</v>
      </c>
      <c r="C19" s="37">
        <f>IF(B$17=0,0,B19/B$17)</f>
        <v>0.61354581673306774</v>
      </c>
      <c r="E19" s="59" t="s">
        <v>74</v>
      </c>
      <c r="F19" s="56" t="s">
        <v>29</v>
      </c>
      <c r="G19" s="44">
        <v>2</v>
      </c>
      <c r="H19" s="129">
        <f>IF(B$17=0,0,G19/B$17)</f>
        <v>7.9681274900398405E-3</v>
      </c>
      <c r="I19" s="90">
        <v>3</v>
      </c>
      <c r="K19" s="36">
        <v>17</v>
      </c>
      <c r="L19" s="95">
        <v>-179.70000000000002</v>
      </c>
      <c r="N19" s="111" t="s">
        <v>177</v>
      </c>
      <c r="O19" s="121">
        <f>IF(P19=0,0,Q19/P19)</f>
        <v>8.3916666666666746</v>
      </c>
      <c r="P19" s="115">
        <v>24</v>
      </c>
      <c r="Q19" s="103">
        <v>201.40000000000018</v>
      </c>
    </row>
    <row r="20" spans="1:17" x14ac:dyDescent="0.4">
      <c r="A20" s="51" t="s">
        <v>13</v>
      </c>
      <c r="B20" s="44">
        <v>162</v>
      </c>
      <c r="C20" s="37">
        <f>IF(B$3=0,0,B20/B$3)</f>
        <v>0.19588875453446192</v>
      </c>
      <c r="E20" s="59" t="s">
        <v>167</v>
      </c>
      <c r="F20" s="56" t="s">
        <v>168</v>
      </c>
      <c r="G20" s="44">
        <v>2</v>
      </c>
      <c r="H20" s="129">
        <f>IF(B$17=0,0,G20/B$17)</f>
        <v>7.9681274900398405E-3</v>
      </c>
      <c r="I20" s="90">
        <v>7</v>
      </c>
      <c r="K20" s="36">
        <v>18</v>
      </c>
      <c r="L20" s="95">
        <v>-112.90000000000002</v>
      </c>
      <c r="N20" s="111" t="s">
        <v>166</v>
      </c>
      <c r="O20" s="121">
        <f>IF(P20=0,0,Q20/P20)</f>
        <v>0.24285714285714124</v>
      </c>
      <c r="P20" s="115">
        <v>21</v>
      </c>
      <c r="Q20" s="103">
        <v>5.0999999999999659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3.9840637450199202E-3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>IF(P21=0,0,Q21/P21)</f>
        <v>-1.4055555555555532</v>
      </c>
      <c r="P21" s="115">
        <v>36</v>
      </c>
      <c r="Q21" s="103">
        <v>-50.599999999999916</v>
      </c>
    </row>
    <row r="22" spans="1:17" x14ac:dyDescent="0.4">
      <c r="A22" s="51" t="s">
        <v>170</v>
      </c>
      <c r="B22" s="44">
        <v>30</v>
      </c>
      <c r="C22" s="131">
        <v>3</v>
      </c>
      <c r="E22" s="59" t="s">
        <v>77</v>
      </c>
      <c r="F22" s="56" t="s">
        <v>32</v>
      </c>
      <c r="G22" s="44">
        <v>1</v>
      </c>
      <c r="H22" s="129">
        <f>IF(B$17=0,0,G22/B$17)</f>
        <v>3.9840637450199202E-3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-14.741791044776118</v>
      </c>
      <c r="P22" s="115">
        <v>67</v>
      </c>
      <c r="Q22" s="103">
        <v>-987.69999999999993</v>
      </c>
    </row>
    <row r="23" spans="1:17" x14ac:dyDescent="0.4">
      <c r="A23" s="51" t="s">
        <v>5</v>
      </c>
      <c r="B23" s="48">
        <f>IF(B$17=0,0,C23/B$17)</f>
        <v>8601.9920318725108</v>
      </c>
      <c r="C23" s="39">
        <v>2159100</v>
      </c>
      <c r="E23" s="59" t="s">
        <v>84</v>
      </c>
      <c r="F23" s="56" t="s">
        <v>39</v>
      </c>
      <c r="G23" s="44">
        <v>1</v>
      </c>
      <c r="H23" s="129">
        <f>IF(B$17=0,0,G23/B$17)</f>
        <v>3.9840637450199202E-3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8994.2675159235678</v>
      </c>
      <c r="C24" s="137">
        <v>1412100</v>
      </c>
      <c r="E24" s="59" t="s">
        <v>92</v>
      </c>
      <c r="F24" s="56" t="s">
        <v>47</v>
      </c>
      <c r="G24" s="44">
        <v>1</v>
      </c>
      <c r="H24" s="129">
        <f>IF(B$17=0,0,G24/B$17)</f>
        <v>3.9840637450199202E-3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7946.8085106382978</v>
      </c>
      <c r="C25" s="137">
        <v>747000</v>
      </c>
      <c r="E25" s="59" t="s">
        <v>95</v>
      </c>
      <c r="F25" s="56" t="s">
        <v>50</v>
      </c>
      <c r="G25" s="44">
        <v>1</v>
      </c>
      <c r="H25" s="129">
        <f>IF(B$17=0,0,G25/B$17)</f>
        <v>3.9840637450199202E-3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-8314.1975308641977</v>
      </c>
      <c r="C26" s="137">
        <v>-1346900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3.6275695284159614E-3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63</v>
      </c>
      <c r="C2" s="149"/>
      <c r="E2" s="58" t="s">
        <v>66</v>
      </c>
      <c r="F2" s="55" t="s">
        <v>22</v>
      </c>
      <c r="G2" s="43">
        <v>114</v>
      </c>
      <c r="H2" s="128">
        <f>IF(B$17=0,0,G2/B$17)</f>
        <v>0.77027027027027029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-391.93548387096774</v>
      </c>
      <c r="P2" s="114">
        <v>62</v>
      </c>
      <c r="Q2" s="98">
        <v>-24300</v>
      </c>
    </row>
    <row r="3" spans="1:17" x14ac:dyDescent="0.4">
      <c r="A3" s="51" t="s">
        <v>8</v>
      </c>
      <c r="B3" s="150">
        <v>528</v>
      </c>
      <c r="C3" s="151"/>
      <c r="E3" s="59" t="s">
        <v>64</v>
      </c>
      <c r="F3" s="56" t="s">
        <v>20</v>
      </c>
      <c r="G3" s="44">
        <v>88</v>
      </c>
      <c r="H3" s="129">
        <f>IF(B$17=0,0,G3/B$17)</f>
        <v>0.59459459459459463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-941.93548387096769</v>
      </c>
      <c r="P3" s="115">
        <v>62</v>
      </c>
      <c r="Q3" s="99">
        <v>-58400</v>
      </c>
    </row>
    <row r="4" spans="1:17" x14ac:dyDescent="0.4">
      <c r="A4" s="51" t="s">
        <v>6</v>
      </c>
      <c r="B4" s="152">
        <v>-457.29999999999995</v>
      </c>
      <c r="C4" s="153"/>
      <c r="E4" s="59" t="s">
        <v>72</v>
      </c>
      <c r="F4" s="56" t="s">
        <v>27</v>
      </c>
      <c r="G4" s="44">
        <v>74</v>
      </c>
      <c r="H4" s="129">
        <f>IF(B$17=0,0,G4/B$17)</f>
        <v>0.5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756.89655172413791</v>
      </c>
      <c r="P4" s="115">
        <v>58</v>
      </c>
      <c r="Q4" s="99">
        <v>43900</v>
      </c>
    </row>
    <row r="5" spans="1:17" x14ac:dyDescent="0.4">
      <c r="A5" s="51" t="s">
        <v>7</v>
      </c>
      <c r="B5" s="154">
        <f>IF(B$2=0,0,B$4/B$2)</f>
        <v>-7.2587301587301578</v>
      </c>
      <c r="C5" s="155"/>
      <c r="E5" s="59" t="s">
        <v>171</v>
      </c>
      <c r="F5" s="56" t="s">
        <v>172</v>
      </c>
      <c r="G5" s="44">
        <v>60</v>
      </c>
      <c r="H5" s="129">
        <f>IF(B$17=0,0,G5/B$17)</f>
        <v>0.40540540540540543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-1361.4035087719299</v>
      </c>
      <c r="P5" s="115">
        <v>57</v>
      </c>
      <c r="Q5" s="99">
        <v>-77600</v>
      </c>
    </row>
    <row r="6" spans="1:17" x14ac:dyDescent="0.4">
      <c r="A6" s="51" t="s">
        <v>1</v>
      </c>
      <c r="B6" s="144">
        <f>IF(B$2=0,0,(B$7*1+B$8*2+B$9*3)/B$2)</f>
        <v>2.1904761904761907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0.35135135135135137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-3379.6296296296296</v>
      </c>
      <c r="P6" s="115">
        <v>54</v>
      </c>
      <c r="Q6" s="99">
        <v>-182500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0.20634920634920634</v>
      </c>
      <c r="E7" s="59" t="s">
        <v>67</v>
      </c>
      <c r="F7" s="56" t="s">
        <v>23</v>
      </c>
      <c r="G7" s="44">
        <v>46</v>
      </c>
      <c r="H7" s="129">
        <f>IF(B$17=0,0,G7/B$17)</f>
        <v>0.3108108108108108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-1283.3333333333333</v>
      </c>
      <c r="P7" s="116">
        <v>48</v>
      </c>
      <c r="Q7" s="100">
        <v>-61600</v>
      </c>
    </row>
    <row r="8" spans="1:17" x14ac:dyDescent="0.4">
      <c r="A8" s="51" t="s">
        <v>3</v>
      </c>
      <c r="B8" s="44">
        <v>25</v>
      </c>
      <c r="C8" s="37">
        <f t="shared" si="1"/>
        <v>0.3968253968253968</v>
      </c>
      <c r="E8" s="59" t="s">
        <v>70</v>
      </c>
      <c r="F8" s="56" t="s">
        <v>25</v>
      </c>
      <c r="G8" s="44">
        <v>24</v>
      </c>
      <c r="H8" s="129">
        <f>IF(B$17=0,0,G8/B$17)</f>
        <v>0.16216216216216217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0.3968253968253968</v>
      </c>
      <c r="E9" s="59" t="s">
        <v>69</v>
      </c>
      <c r="F9" s="56" t="s">
        <v>24</v>
      </c>
      <c r="G9" s="44">
        <v>22</v>
      </c>
      <c r="H9" s="129">
        <f>IF(B$17=0,0,G9/B$17)</f>
        <v>0.14864864864864866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9.5238095238095233E-2</v>
      </c>
      <c r="E10" s="59" t="s">
        <v>65</v>
      </c>
      <c r="F10" s="56" t="s">
        <v>21</v>
      </c>
      <c r="G10" s="44">
        <v>17</v>
      </c>
      <c r="H10" s="129">
        <f>IF(B$17=0,0,G10/B$17)</f>
        <v>0.11486486486486487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-2.7916666666666679</v>
      </c>
      <c r="P10" s="114">
        <v>24</v>
      </c>
      <c r="Q10" s="102">
        <v>-67.000000000000028</v>
      </c>
    </row>
    <row r="11" spans="1:17" x14ac:dyDescent="0.4">
      <c r="A11" s="52" t="s">
        <v>138</v>
      </c>
      <c r="B11" s="45">
        <v>2</v>
      </c>
      <c r="C11" s="38">
        <f t="shared" si="1"/>
        <v>3.1746031746031744E-2</v>
      </c>
      <c r="E11" s="59" t="s">
        <v>89</v>
      </c>
      <c r="F11" s="56" t="s">
        <v>44</v>
      </c>
      <c r="G11" s="44">
        <v>14</v>
      </c>
      <c r="H11" s="129">
        <f>IF(B$17=0,0,G11/B$17)</f>
        <v>9.45945945945946E-2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7.9365079365079361E-2</v>
      </c>
      <c r="E12" s="59" t="s">
        <v>83</v>
      </c>
      <c r="F12" s="56" t="s">
        <v>38</v>
      </c>
      <c r="G12" s="44">
        <v>9</v>
      </c>
      <c r="H12" s="129">
        <f>IF(B$17=0,0,G12/B$17)</f>
        <v>6.0810810810810814E-2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154</v>
      </c>
      <c r="C13" s="42">
        <f>IF(B$3=0,0,B13/B$3)</f>
        <v>0.29166666666666669</v>
      </c>
      <c r="E13" s="59" t="s">
        <v>71</v>
      </c>
      <c r="F13" s="56" t="s">
        <v>26</v>
      </c>
      <c r="G13" s="44">
        <v>7</v>
      </c>
      <c r="H13" s="129">
        <f>IF(B$17=0,0,G13/B$17)</f>
        <v>4.72972972972973E-2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99</v>
      </c>
      <c r="C14" s="37">
        <f>IF(B$3=0,0,B14/B$3)</f>
        <v>0.1875</v>
      </c>
      <c r="E14" s="59" t="s">
        <v>78</v>
      </c>
      <c r="F14" s="56" t="s">
        <v>33</v>
      </c>
      <c r="G14" s="44">
        <v>6</v>
      </c>
      <c r="H14" s="129">
        <f>IF(B$17=0,0,G14/B$17)</f>
        <v>4.0540540540540543E-2</v>
      </c>
      <c r="I14" s="90">
        <v>2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90</v>
      </c>
      <c r="C15" s="35">
        <f>IF(B$13=0,0,B15/B$13)</f>
        <v>0.58441558441558439</v>
      </c>
      <c r="E15" s="59" t="s">
        <v>86</v>
      </c>
      <c r="F15" s="56" t="s">
        <v>41</v>
      </c>
      <c r="G15" s="44">
        <v>4</v>
      </c>
      <c r="H15" s="129">
        <f>IF(B$17=0,0,G15/B$17)</f>
        <v>2.7027027027027029E-2</v>
      </c>
      <c r="I15" s="90">
        <v>9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38</v>
      </c>
      <c r="C16" s="35">
        <f>IF(B$14=0,0,B16/B$14)</f>
        <v>0.38383838383838381</v>
      </c>
      <c r="E16" s="59" t="s">
        <v>81</v>
      </c>
      <c r="F16" s="56" t="s">
        <v>36</v>
      </c>
      <c r="G16" s="44">
        <v>3</v>
      </c>
      <c r="H16" s="129">
        <f>IF(B$17=0,0,G16/B$17)</f>
        <v>2.0270270270270271E-2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148</v>
      </c>
      <c r="C17" s="35">
        <f>IF(B$3=0,0,B17/B$3)</f>
        <v>0.28030303030303028</v>
      </c>
      <c r="E17" s="59" t="s">
        <v>167</v>
      </c>
      <c r="F17" s="56" t="s">
        <v>168</v>
      </c>
      <c r="G17" s="44">
        <v>3</v>
      </c>
      <c r="H17" s="129">
        <f>IF(B$17=0,0,G17/B$17)</f>
        <v>2.0270270270270271E-2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>IF(P17=0,0,Q17/P17)</f>
        <v>-5.2999999999999989</v>
      </c>
      <c r="P17" s="115">
        <v>9</v>
      </c>
      <c r="Q17" s="103">
        <v>-47.699999999999989</v>
      </c>
    </row>
    <row r="18" spans="1:17" x14ac:dyDescent="0.4">
      <c r="A18" s="51" t="s">
        <v>12</v>
      </c>
      <c r="B18" s="44">
        <v>67</v>
      </c>
      <c r="C18" s="37">
        <f>IF(B$17=0,0,B18/B$17)</f>
        <v>0.45270270270270269</v>
      </c>
      <c r="E18" s="59" t="s">
        <v>75</v>
      </c>
      <c r="F18" s="56" t="s">
        <v>30</v>
      </c>
      <c r="G18" s="44">
        <v>2</v>
      </c>
      <c r="H18" s="129">
        <f>IF(B$17=0,0,G18/B$17)</f>
        <v>1.3513513513513514E-2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>IF(P18=0,0,Q18/P18)</f>
        <v>-6.6222222222222209</v>
      </c>
      <c r="P18" s="115">
        <v>9</v>
      </c>
      <c r="Q18" s="103">
        <v>-59.599999999999987</v>
      </c>
    </row>
    <row r="19" spans="1:17" x14ac:dyDescent="0.4">
      <c r="A19" s="51" t="s">
        <v>11</v>
      </c>
      <c r="B19" s="44">
        <v>81</v>
      </c>
      <c r="C19" s="37">
        <f>IF(B$17=0,0,B19/B$17)</f>
        <v>0.54729729729729726</v>
      </c>
      <c r="E19" s="59" t="s">
        <v>79</v>
      </c>
      <c r="F19" s="56" t="s">
        <v>34</v>
      </c>
      <c r="G19" s="44">
        <v>2</v>
      </c>
      <c r="H19" s="129">
        <f>IF(B$17=0,0,G19/B$17)</f>
        <v>1.3513513513513514E-2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>IF(P19=0,0,Q19/P19)</f>
        <v>-11.37096774193548</v>
      </c>
      <c r="P19" s="115">
        <v>31</v>
      </c>
      <c r="Q19" s="103">
        <v>-352.49999999999989</v>
      </c>
    </row>
    <row r="20" spans="1:17" x14ac:dyDescent="0.4">
      <c r="A20" s="51" t="s">
        <v>13</v>
      </c>
      <c r="B20" s="44">
        <v>110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6.7567567567567571E-3</v>
      </c>
      <c r="I20" s="90">
        <v>6</v>
      </c>
      <c r="K20" s="36">
        <v>18</v>
      </c>
      <c r="L20" s="95">
        <v>-240</v>
      </c>
      <c r="N20" s="111" t="s">
        <v>178</v>
      </c>
      <c r="O20" s="121">
        <f>IF(P20=0,0,Q20/P20)</f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-16.932558139534891</v>
      </c>
      <c r="P21" s="115">
        <v>43</v>
      </c>
      <c r="Q21" s="103">
        <v>-728.10000000000025</v>
      </c>
    </row>
    <row r="22" spans="1:17" x14ac:dyDescent="0.4">
      <c r="A22" s="51" t="s">
        <v>170</v>
      </c>
      <c r="B22" s="44">
        <v>21</v>
      </c>
      <c r="C22" s="131">
        <v>10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8081.0810810810808</v>
      </c>
      <c r="C23" s="39">
        <v>1196000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8590.9090909090901</v>
      </c>
      <c r="C24" s="137">
        <v>945000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6605.2631578947367</v>
      </c>
      <c r="C25" s="137">
        <v>251000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-7611.818181818182</v>
      </c>
      <c r="C26" s="137">
        <v>-837300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5.681818181818182E-3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113</v>
      </c>
      <c r="H2" s="128">
        <f>IF(B$17=0,0,G2/B$17)</f>
        <v>0.83088235294117652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2366.6666666666665</v>
      </c>
      <c r="P2" s="114">
        <v>57</v>
      </c>
      <c r="Q2" s="98">
        <v>134900</v>
      </c>
    </row>
    <row r="3" spans="1:17" x14ac:dyDescent="0.4">
      <c r="A3" s="51" t="s">
        <v>8</v>
      </c>
      <c r="B3" s="150">
        <v>457</v>
      </c>
      <c r="C3" s="151"/>
      <c r="E3" s="59" t="s">
        <v>72</v>
      </c>
      <c r="F3" s="56" t="s">
        <v>27</v>
      </c>
      <c r="G3" s="44">
        <v>77</v>
      </c>
      <c r="H3" s="129">
        <f>IF(B$17=0,0,G3/B$17)</f>
        <v>0.56617647058823528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-1832.7272727272727</v>
      </c>
      <c r="P3" s="115">
        <v>55</v>
      </c>
      <c r="Q3" s="99">
        <v>-100800</v>
      </c>
    </row>
    <row r="4" spans="1:17" x14ac:dyDescent="0.4">
      <c r="A4" s="51" t="s">
        <v>6</v>
      </c>
      <c r="B4" s="152">
        <v>291.80000000000007</v>
      </c>
      <c r="C4" s="153"/>
      <c r="E4" s="59" t="s">
        <v>64</v>
      </c>
      <c r="F4" s="56" t="s">
        <v>20</v>
      </c>
      <c r="G4" s="44">
        <v>71</v>
      </c>
      <c r="H4" s="129">
        <f>IF(B$17=0,0,G4/B$17)</f>
        <v>0.5220588235294118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1925.4901960784314</v>
      </c>
      <c r="P4" s="115">
        <v>51</v>
      </c>
      <c r="Q4" s="99">
        <v>98200</v>
      </c>
    </row>
    <row r="5" spans="1:17" x14ac:dyDescent="0.4">
      <c r="A5" s="51" t="s">
        <v>7</v>
      </c>
      <c r="B5" s="154">
        <f>IF(B$2=0,0,B$4/B$2)</f>
        <v>5.1192982456140363</v>
      </c>
      <c r="C5" s="155"/>
      <c r="E5" s="59" t="s">
        <v>67</v>
      </c>
      <c r="F5" s="56" t="s">
        <v>23</v>
      </c>
      <c r="G5" s="44">
        <v>59</v>
      </c>
      <c r="H5" s="129">
        <f>IF(B$17=0,0,G5/B$17)</f>
        <v>0.43382352941176472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3140.8163265306121</v>
      </c>
      <c r="P5" s="115">
        <v>49</v>
      </c>
      <c r="Q5" s="99">
        <v>153900</v>
      </c>
    </row>
    <row r="6" spans="1:17" x14ac:dyDescent="0.4">
      <c r="A6" s="51" t="s">
        <v>1</v>
      </c>
      <c r="B6" s="144">
        <f>IF(B$2=0,0,(B$7*1+B$8*2+B$9*3)/B$2)</f>
        <v>1.8947368421052631</v>
      </c>
      <c r="C6" s="145"/>
      <c r="E6" s="59" t="s">
        <v>68</v>
      </c>
      <c r="F6" s="56" t="s">
        <v>12</v>
      </c>
      <c r="G6" s="44">
        <v>52</v>
      </c>
      <c r="H6" s="129">
        <f>IF(B$17=0,0,G6/B$17)</f>
        <v>0.38235294117647056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-828.88888888888891</v>
      </c>
      <c r="P6" s="115">
        <v>45</v>
      </c>
      <c r="Q6" s="99">
        <v>-37300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0.42105263157894735</v>
      </c>
      <c r="E7" s="59" t="s">
        <v>171</v>
      </c>
      <c r="F7" s="56" t="s">
        <v>172</v>
      </c>
      <c r="G7" s="44">
        <v>52</v>
      </c>
      <c r="H7" s="129">
        <f>IF(B$17=0,0,G7/B$17)</f>
        <v>0.38235294117647056</v>
      </c>
      <c r="I7" s="90">
        <v>6</v>
      </c>
      <c r="K7" s="36">
        <v>5</v>
      </c>
      <c r="L7" s="95">
        <v>-118.3</v>
      </c>
      <c r="N7" s="112" t="s">
        <v>135</v>
      </c>
      <c r="O7" s="119">
        <f t="shared" si="0"/>
        <v>-300</v>
      </c>
      <c r="P7" s="116">
        <v>37</v>
      </c>
      <c r="Q7" s="100">
        <v>-11100</v>
      </c>
    </row>
    <row r="8" spans="1:17" x14ac:dyDescent="0.4">
      <c r="A8" s="51" t="s">
        <v>3</v>
      </c>
      <c r="B8" s="44">
        <v>15</v>
      </c>
      <c r="C8" s="37">
        <f t="shared" si="1"/>
        <v>0.26315789473684209</v>
      </c>
      <c r="E8" s="59" t="s">
        <v>69</v>
      </c>
      <c r="F8" s="56" t="s">
        <v>24</v>
      </c>
      <c r="G8" s="44">
        <v>31</v>
      </c>
      <c r="H8" s="129">
        <f>IF(B$17=0,0,G8/B$17)</f>
        <v>0.22794117647058823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18</v>
      </c>
      <c r="C9" s="38">
        <f t="shared" si="1"/>
        <v>0.31578947368421051</v>
      </c>
      <c r="E9" s="59" t="s">
        <v>89</v>
      </c>
      <c r="F9" s="56" t="s">
        <v>44</v>
      </c>
      <c r="G9" s="44">
        <v>30</v>
      </c>
      <c r="H9" s="129">
        <f>IF(B$17=0,0,G9/B$17)</f>
        <v>0.22058823529411764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8.771929824561403E-2</v>
      </c>
      <c r="E10" s="59" t="s">
        <v>65</v>
      </c>
      <c r="F10" s="56" t="s">
        <v>21</v>
      </c>
      <c r="G10" s="44">
        <v>17</v>
      </c>
      <c r="H10" s="129">
        <f>IF(B$17=0,0,G10/B$17)</f>
        <v>0.125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9.3529411764705905</v>
      </c>
      <c r="P10" s="114">
        <v>17</v>
      </c>
      <c r="Q10" s="102">
        <v>159.00000000000003</v>
      </c>
    </row>
    <row r="11" spans="1:17" x14ac:dyDescent="0.4">
      <c r="A11" s="52" t="s">
        <v>138</v>
      </c>
      <c r="B11" s="45">
        <v>11</v>
      </c>
      <c r="C11" s="38">
        <f t="shared" si="1"/>
        <v>0.19298245614035087</v>
      </c>
      <c r="E11" s="59" t="s">
        <v>70</v>
      </c>
      <c r="F11" s="56" t="s">
        <v>25</v>
      </c>
      <c r="G11" s="44">
        <v>15</v>
      </c>
      <c r="H11" s="129">
        <f>IF(B$17=0,0,G11/B$17)</f>
        <v>0.11029411764705882</v>
      </c>
      <c r="I11" s="90">
        <v>4</v>
      </c>
      <c r="K11" s="36">
        <v>9</v>
      </c>
      <c r="L11" s="95">
        <v>-120.99999999999999</v>
      </c>
      <c r="N11" s="111" t="s">
        <v>163</v>
      </c>
      <c r="O11" s="121">
        <f>IF(P11=0,0,Q11/P11)</f>
        <v>6.5192307692307683</v>
      </c>
      <c r="P11" s="115">
        <v>26</v>
      </c>
      <c r="Q11" s="103">
        <v>169.49999999999997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167</v>
      </c>
      <c r="F12" s="56" t="s">
        <v>168</v>
      </c>
      <c r="G12" s="44">
        <v>9</v>
      </c>
      <c r="H12" s="129">
        <f>IF(B$17=0,0,G12/B$17)</f>
        <v>6.6176470588235295E-2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-2.621428571428571</v>
      </c>
      <c r="P12" s="116">
        <v>14</v>
      </c>
      <c r="Q12" s="104">
        <v>-36.699999999999996</v>
      </c>
    </row>
    <row r="13" spans="1:17" x14ac:dyDescent="0.4">
      <c r="A13" s="54" t="s">
        <v>121</v>
      </c>
      <c r="B13" s="47">
        <v>148</v>
      </c>
      <c r="C13" s="42">
        <f>IF(B$3=0,0,B13/B$3)</f>
        <v>0.32385120350109409</v>
      </c>
      <c r="E13" s="59" t="s">
        <v>71</v>
      </c>
      <c r="F13" s="56" t="s">
        <v>26</v>
      </c>
      <c r="G13" s="44">
        <v>7</v>
      </c>
      <c r="H13" s="129">
        <f>IF(B$17=0,0,G13/B$17)</f>
        <v>5.1470588235294115E-2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82</v>
      </c>
      <c r="C14" s="37">
        <f>IF(B$3=0,0,B14/B$3)</f>
        <v>0.17943107221006566</v>
      </c>
      <c r="E14" s="59" t="s">
        <v>83</v>
      </c>
      <c r="F14" s="56" t="s">
        <v>38</v>
      </c>
      <c r="G14" s="44">
        <v>6</v>
      </c>
      <c r="H14" s="129">
        <f>IF(B$17=0,0,G14/B$17)</f>
        <v>4.4117647058823532E-2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81</v>
      </c>
      <c r="C15" s="35">
        <f>IF(B$13=0,0,B15/B$13)</f>
        <v>0.54729729729729726</v>
      </c>
      <c r="E15" s="59" t="s">
        <v>81</v>
      </c>
      <c r="F15" s="56" t="s">
        <v>36</v>
      </c>
      <c r="G15" s="44">
        <v>3</v>
      </c>
      <c r="H15" s="129">
        <f>IF(B$17=0,0,G15/B$17)</f>
        <v>2.2058823529411766E-2</v>
      </c>
      <c r="I15" s="90">
        <v>4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37</v>
      </c>
      <c r="C16" s="35">
        <f>IF(B$14=0,0,B16/B$14)</f>
        <v>0.45121951219512196</v>
      </c>
      <c r="E16" s="59" t="s">
        <v>86</v>
      </c>
      <c r="F16" s="56" t="s">
        <v>41</v>
      </c>
      <c r="G16" s="44">
        <v>3</v>
      </c>
      <c r="H16" s="129">
        <f>IF(B$17=0,0,G16/B$17)</f>
        <v>2.2058823529411766E-2</v>
      </c>
      <c r="I16" s="90">
        <v>10</v>
      </c>
      <c r="K16" s="36">
        <v>14</v>
      </c>
      <c r="L16" s="95">
        <v>-86.499999999999972</v>
      </c>
      <c r="N16" s="111" t="s">
        <v>166</v>
      </c>
      <c r="O16" s="121">
        <f t="shared" si="2"/>
        <v>24.400000000000002</v>
      </c>
      <c r="P16" s="115">
        <v>7</v>
      </c>
      <c r="Q16" s="103">
        <v>170.8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0.2975929978118162</v>
      </c>
      <c r="E17" s="59" t="s">
        <v>92</v>
      </c>
      <c r="F17" s="56" t="s">
        <v>47</v>
      </c>
      <c r="G17" s="44">
        <v>3</v>
      </c>
      <c r="H17" s="129">
        <f>IF(B$17=0,0,G17/B$17)</f>
        <v>2.2058823529411766E-2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66</v>
      </c>
      <c r="C18" s="37">
        <f>IF(B$17=0,0,B18/B$17)</f>
        <v>0.48529411764705882</v>
      </c>
      <c r="E18" s="59" t="s">
        <v>91</v>
      </c>
      <c r="F18" s="56" t="s">
        <v>46</v>
      </c>
      <c r="G18" s="44">
        <v>2</v>
      </c>
      <c r="H18" s="129">
        <f>IF(B$17=0,0,G18/B$17)</f>
        <v>1.4705882352941176E-2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17.729032258064517</v>
      </c>
      <c r="P18" s="115">
        <v>31</v>
      </c>
      <c r="Q18" s="103">
        <v>549.6</v>
      </c>
    </row>
    <row r="19" spans="1:17" x14ac:dyDescent="0.4">
      <c r="A19" s="51" t="s">
        <v>11</v>
      </c>
      <c r="B19" s="44">
        <v>70</v>
      </c>
      <c r="C19" s="37">
        <f>IF(B$17=0,0,B19/B$17)</f>
        <v>0.51470588235294112</v>
      </c>
      <c r="E19" s="59" t="s">
        <v>73</v>
      </c>
      <c r="F19" s="56" t="s">
        <v>28</v>
      </c>
      <c r="G19" s="44">
        <v>1</v>
      </c>
      <c r="H19" s="129">
        <f>IF(B$17=0,0,G19/B$17)</f>
        <v>7.3529411764705881E-3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 t="shared" si="2"/>
        <v>6.6222222222222209</v>
      </c>
      <c r="P19" s="115">
        <v>9</v>
      </c>
      <c r="Q19" s="103">
        <v>59.599999999999987</v>
      </c>
    </row>
    <row r="20" spans="1:17" x14ac:dyDescent="0.4">
      <c r="A20" s="51" t="s">
        <v>13</v>
      </c>
      <c r="B20" s="44">
        <v>74</v>
      </c>
      <c r="C20" s="37">
        <f>IF(B$3=0,0,B20/B$3)</f>
        <v>0.16192560175054704</v>
      </c>
      <c r="E20" s="59" t="s">
        <v>75</v>
      </c>
      <c r="F20" s="56" t="s">
        <v>30</v>
      </c>
      <c r="G20" s="44">
        <v>1</v>
      </c>
      <c r="H20" s="129">
        <f>IF(B$17=0,0,G20/B$17)</f>
        <v>7.3529411764705881E-3</v>
      </c>
      <c r="I20" s="90">
        <v>4</v>
      </c>
      <c r="K20" s="36">
        <v>18</v>
      </c>
      <c r="L20" s="95">
        <v>-24.999999999999968</v>
      </c>
      <c r="N20" s="111" t="s">
        <v>126</v>
      </c>
      <c r="O20" s="121">
        <f t="shared" si="2"/>
        <v>5.7045454545454533</v>
      </c>
      <c r="P20" s="115">
        <v>22</v>
      </c>
      <c r="Q20" s="103">
        <v>125.49999999999997</v>
      </c>
    </row>
    <row r="21" spans="1:17" x14ac:dyDescent="0.4">
      <c r="A21" s="51" t="s">
        <v>169</v>
      </c>
      <c r="B21" s="44">
        <v>3</v>
      </c>
      <c r="C21" s="131">
        <v>3</v>
      </c>
      <c r="E21" s="59" t="s">
        <v>78</v>
      </c>
      <c r="F21" s="56" t="s">
        <v>33</v>
      </c>
      <c r="G21" s="44">
        <v>1</v>
      </c>
      <c r="H21" s="129">
        <f>IF(B$17=0,0,G21/B$17)</f>
        <v>7.3529411764705881E-3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2"/>
        <v>-8.391666666666671</v>
      </c>
      <c r="P21" s="115">
        <v>24</v>
      </c>
      <c r="Q21" s="103">
        <v>-201.40000000000009</v>
      </c>
    </row>
    <row r="22" spans="1:17" x14ac:dyDescent="0.4">
      <c r="A22" s="51" t="s">
        <v>170</v>
      </c>
      <c r="B22" s="44">
        <v>25</v>
      </c>
      <c r="C22" s="131">
        <v>3</v>
      </c>
      <c r="E22" s="59" t="s">
        <v>85</v>
      </c>
      <c r="F22" s="56" t="s">
        <v>40</v>
      </c>
      <c r="G22" s="44">
        <v>1</v>
      </c>
      <c r="H22" s="129">
        <f>IF(B$17=0,0,G22/B$17)</f>
        <v>7.3529411764705881E-3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 t="shared" si="2"/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10292.64705882353</v>
      </c>
      <c r="C23" s="39">
        <v>1399800</v>
      </c>
      <c r="E23" s="59" t="s">
        <v>90</v>
      </c>
      <c r="F23" s="56" t="s">
        <v>45</v>
      </c>
      <c r="G23" s="44">
        <v>1</v>
      </c>
      <c r="H23" s="129">
        <f>IF(B$17=0,0,G23/B$17)</f>
        <v>7.3529411764705881E-3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11158.585858585859</v>
      </c>
      <c r="C24" s="137">
        <v>1104700</v>
      </c>
      <c r="E24" s="59" t="s">
        <v>93</v>
      </c>
      <c r="F24" s="56" t="s">
        <v>48</v>
      </c>
      <c r="G24" s="44">
        <v>1</v>
      </c>
      <c r="H24" s="129">
        <f>IF(B$17=0,0,G24/B$17)</f>
        <v>7.3529411764705881E-3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7975.6756756756758</v>
      </c>
      <c r="C25" s="137">
        <v>295100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-8236.4864864864867</v>
      </c>
      <c r="C26" s="137">
        <v>-609500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5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79</v>
      </c>
      <c r="F28" s="56" t="s">
        <v>34</v>
      </c>
      <c r="G28" s="44">
        <v>0</v>
      </c>
      <c r="H28" s="129">
        <f>IF(B$17=0,0,G28/B$17)</f>
        <v>0</v>
      </c>
      <c r="I28" s="90">
        <v>7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87</v>
      </c>
      <c r="F32" s="56" t="s">
        <v>42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88</v>
      </c>
      <c r="F33" s="56" t="s">
        <v>43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</sheetData>
  <sortState xmlns:xlrd2="http://schemas.microsoft.com/office/spreadsheetml/2017/richdata2" ref="E2:I6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8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86</v>
      </c>
      <c r="C2" s="149"/>
      <c r="E2" s="58" t="s">
        <v>66</v>
      </c>
      <c r="F2" s="55" t="s">
        <v>22</v>
      </c>
      <c r="G2" s="43">
        <v>145</v>
      </c>
      <c r="H2" s="128">
        <f>IF(B$17=0,0,G2/B$17)</f>
        <v>0.75520833333333337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669.76744186046517</v>
      </c>
      <c r="P2" s="114">
        <v>86</v>
      </c>
      <c r="Q2" s="98">
        <v>57600</v>
      </c>
    </row>
    <row r="3" spans="1:17" x14ac:dyDescent="0.4">
      <c r="A3" s="51" t="s">
        <v>8</v>
      </c>
      <c r="B3" s="150">
        <v>683</v>
      </c>
      <c r="C3" s="151"/>
      <c r="E3" s="59" t="s">
        <v>72</v>
      </c>
      <c r="F3" s="56" t="s">
        <v>27</v>
      </c>
      <c r="G3" s="44">
        <v>117</v>
      </c>
      <c r="H3" s="129">
        <f>IF(B$17=0,0,G3/B$17)</f>
        <v>0.609375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861.4457831325301</v>
      </c>
      <c r="P3" s="115">
        <v>83</v>
      </c>
      <c r="Q3" s="99">
        <v>71500</v>
      </c>
    </row>
    <row r="4" spans="1:17" x14ac:dyDescent="0.4">
      <c r="A4" s="51" t="s">
        <v>6</v>
      </c>
      <c r="B4" s="152">
        <v>-83.800000000000011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0.484375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-1151.9480519480519</v>
      </c>
      <c r="P4" s="115">
        <v>77</v>
      </c>
      <c r="Q4" s="99">
        <v>-88700</v>
      </c>
    </row>
    <row r="5" spans="1:17" x14ac:dyDescent="0.4">
      <c r="A5" s="51" t="s">
        <v>7</v>
      </c>
      <c r="B5" s="154">
        <f>IF(B$2=0,0,B$4/B$2)</f>
        <v>-0.97441860465116292</v>
      </c>
      <c r="C5" s="155"/>
      <c r="E5" s="59" t="s">
        <v>171</v>
      </c>
      <c r="F5" s="56" t="s">
        <v>172</v>
      </c>
      <c r="G5" s="44">
        <v>88</v>
      </c>
      <c r="H5" s="129">
        <f>IF(B$17=0,0,G5/B$17)</f>
        <v>0.45833333333333331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-240.8450704225352</v>
      </c>
      <c r="P5" s="115">
        <v>71</v>
      </c>
      <c r="Q5" s="99">
        <v>-17100</v>
      </c>
    </row>
    <row r="6" spans="1:17" x14ac:dyDescent="0.4">
      <c r="A6" s="51" t="s">
        <v>1</v>
      </c>
      <c r="B6" s="144">
        <f>IF(B$2=0,0,(B$7*1+B$8*2+B$9*3)/B$2)</f>
        <v>2.058139534883721</v>
      </c>
      <c r="C6" s="145"/>
      <c r="E6" s="59" t="s">
        <v>67</v>
      </c>
      <c r="F6" s="56" t="s">
        <v>23</v>
      </c>
      <c r="G6" s="44">
        <v>75</v>
      </c>
      <c r="H6" s="129">
        <f>IF(B$17=0,0,G6/B$17)</f>
        <v>0.390625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-140.32258064516128</v>
      </c>
      <c r="P6" s="115">
        <v>62</v>
      </c>
      <c r="Q6" s="99">
        <v>-8700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0.22093023255813954</v>
      </c>
      <c r="E7" s="59" t="s">
        <v>68</v>
      </c>
      <c r="F7" s="56" t="s">
        <v>12</v>
      </c>
      <c r="G7" s="44">
        <v>62</v>
      </c>
      <c r="H7" s="129">
        <f>IF(B$17=0,0,G7/B$17)</f>
        <v>0.32291666666666669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-1277.7777777777778</v>
      </c>
      <c r="P7" s="116">
        <v>54</v>
      </c>
      <c r="Q7" s="100">
        <v>-69000</v>
      </c>
    </row>
    <row r="8" spans="1:17" x14ac:dyDescent="0.4">
      <c r="A8" s="51" t="s">
        <v>3</v>
      </c>
      <c r="B8" s="44">
        <v>43</v>
      </c>
      <c r="C8" s="37">
        <f t="shared" si="1"/>
        <v>0.5</v>
      </c>
      <c r="E8" s="59" t="s">
        <v>69</v>
      </c>
      <c r="F8" s="56" t="s">
        <v>24</v>
      </c>
      <c r="G8" s="44">
        <v>25</v>
      </c>
      <c r="H8" s="129">
        <f>IF(B$17=0,0,G8/B$17)</f>
        <v>0.13020833333333334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0.27906976744186046</v>
      </c>
      <c r="E9" s="59" t="s">
        <v>89</v>
      </c>
      <c r="F9" s="56" t="s">
        <v>44</v>
      </c>
      <c r="G9" s="44">
        <v>20</v>
      </c>
      <c r="H9" s="129">
        <f>IF(B$17=0,0,G9/B$17)</f>
        <v>0.10416666666666667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8.1395348837209308E-2</v>
      </c>
      <c r="E10" s="59" t="s">
        <v>71</v>
      </c>
      <c r="F10" s="56" t="s">
        <v>26</v>
      </c>
      <c r="G10" s="44">
        <v>17</v>
      </c>
      <c r="H10" s="129">
        <f>IF(B$17=0,0,G10/B$17)</f>
        <v>8.8541666666666671E-2</v>
      </c>
      <c r="I10" s="90">
        <v>5</v>
      </c>
      <c r="K10" s="36">
        <v>8</v>
      </c>
      <c r="L10" s="95">
        <v>-46.7</v>
      </c>
      <c r="N10" s="110" t="s">
        <v>162</v>
      </c>
      <c r="O10" s="120">
        <f>IF(P10=0,0,Q10/P10)</f>
        <v>-1.0000000000000004</v>
      </c>
      <c r="P10" s="114">
        <v>36</v>
      </c>
      <c r="Q10" s="102">
        <v>-36.000000000000014</v>
      </c>
    </row>
    <row r="11" spans="1:17" x14ac:dyDescent="0.4">
      <c r="A11" s="52" t="s">
        <v>138</v>
      </c>
      <c r="B11" s="45">
        <v>6</v>
      </c>
      <c r="C11" s="38">
        <f t="shared" si="1"/>
        <v>6.9767441860465115E-2</v>
      </c>
      <c r="E11" s="59" t="s">
        <v>70</v>
      </c>
      <c r="F11" s="56" t="s">
        <v>25</v>
      </c>
      <c r="G11" s="44">
        <v>15</v>
      </c>
      <c r="H11" s="129">
        <f>IF(B$17=0,0,G11/B$17)</f>
        <v>7.8125E-2</v>
      </c>
      <c r="I11" s="90">
        <v>8</v>
      </c>
      <c r="K11" s="36">
        <v>9</v>
      </c>
      <c r="L11" s="95">
        <v>-90.9</v>
      </c>
      <c r="N11" s="111" t="s">
        <v>163</v>
      </c>
      <c r="O11" s="121">
        <f>IF(P11=0,0,Q11/P11)</f>
        <v>1.592307692307692</v>
      </c>
      <c r="P11" s="115">
        <v>26</v>
      </c>
      <c r="Q11" s="103">
        <v>41.399999999999991</v>
      </c>
    </row>
    <row r="12" spans="1:17" x14ac:dyDescent="0.4">
      <c r="A12" s="53" t="s">
        <v>158</v>
      </c>
      <c r="B12" s="46">
        <v>5</v>
      </c>
      <c r="C12" s="40">
        <f t="shared" si="1"/>
        <v>5.8139534883720929E-2</v>
      </c>
      <c r="E12" s="59" t="s">
        <v>65</v>
      </c>
      <c r="F12" s="56" t="s">
        <v>21</v>
      </c>
      <c r="G12" s="44">
        <v>14</v>
      </c>
      <c r="H12" s="129">
        <f>IF(B$17=0,0,G12/B$17)</f>
        <v>7.2916666666666671E-2</v>
      </c>
      <c r="I12" s="90">
        <v>10</v>
      </c>
      <c r="K12" s="36">
        <v>10</v>
      </c>
      <c r="L12" s="95">
        <v>-146.69999999999999</v>
      </c>
      <c r="N12" s="112" t="s">
        <v>164</v>
      </c>
      <c r="O12" s="122">
        <f>IF(P12=0,0,Q12/P12)</f>
        <v>-3.7166666666666668</v>
      </c>
      <c r="P12" s="116">
        <v>24</v>
      </c>
      <c r="Q12" s="104">
        <v>-89.2</v>
      </c>
    </row>
    <row r="13" spans="1:17" x14ac:dyDescent="0.4">
      <c r="A13" s="54" t="s">
        <v>121</v>
      </c>
      <c r="B13" s="47">
        <v>176</v>
      </c>
      <c r="C13" s="42">
        <f>IF(B$3=0,0,B13/B$3)</f>
        <v>0.25768667642752563</v>
      </c>
      <c r="E13" s="59" t="s">
        <v>86</v>
      </c>
      <c r="F13" s="56" t="s">
        <v>41</v>
      </c>
      <c r="G13" s="44">
        <v>10</v>
      </c>
      <c r="H13" s="129">
        <f>IF(B$17=0,0,G13/B$17)</f>
        <v>5.2083333333333336E-2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157</v>
      </c>
      <c r="C14" s="37">
        <f>IF(B$3=0,0,B14/B$3)</f>
        <v>0.22986822840409957</v>
      </c>
      <c r="E14" s="59" t="s">
        <v>83</v>
      </c>
      <c r="F14" s="56" t="s">
        <v>38</v>
      </c>
      <c r="G14" s="44">
        <v>7</v>
      </c>
      <c r="H14" s="129">
        <f>IF(B$17=0,0,G14/B$17)</f>
        <v>3.6458333333333336E-2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98</v>
      </c>
      <c r="C15" s="35">
        <f>IF(B$13=0,0,B15/B$13)</f>
        <v>0.55681818181818177</v>
      </c>
      <c r="E15" s="59" t="s">
        <v>79</v>
      </c>
      <c r="F15" s="56" t="s">
        <v>34</v>
      </c>
      <c r="G15" s="44">
        <v>6</v>
      </c>
      <c r="H15" s="129">
        <f>IF(B$17=0,0,G15/B$17)</f>
        <v>3.125E-2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65</v>
      </c>
      <c r="C16" s="35">
        <f>IF(B$14=0,0,B16/B$14)</f>
        <v>0.4140127388535032</v>
      </c>
      <c r="E16" s="59" t="s">
        <v>167</v>
      </c>
      <c r="F16" s="56" t="s">
        <v>168</v>
      </c>
      <c r="G16" s="44">
        <v>4</v>
      </c>
      <c r="H16" s="129">
        <f>IF(B$17=0,0,G16/B$17)</f>
        <v>2.0833333333333332E-2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192</v>
      </c>
      <c r="C17" s="35">
        <f>IF(B$3=0,0,B17/B$3)</f>
        <v>0.28111273792093705</v>
      </c>
      <c r="E17" s="59" t="s">
        <v>73</v>
      </c>
      <c r="F17" s="56" t="s">
        <v>28</v>
      </c>
      <c r="G17" s="44">
        <v>3</v>
      </c>
      <c r="H17" s="129">
        <f>IF(B$17=0,0,G17/B$17)</f>
        <v>1.5625E-2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86</v>
      </c>
      <c r="C18" s="37">
        <f>IF(B$17=0,0,B18/B$17)</f>
        <v>0.44791666666666669</v>
      </c>
      <c r="E18" s="59" t="s">
        <v>78</v>
      </c>
      <c r="F18" s="56" t="s">
        <v>33</v>
      </c>
      <c r="G18" s="44">
        <v>3</v>
      </c>
      <c r="H18" s="129">
        <f>IF(B$17=0,0,G18/B$17)</f>
        <v>1.5625E-2</v>
      </c>
      <c r="I18" s="90">
        <v>7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106</v>
      </c>
      <c r="C19" s="37">
        <f>IF(B$17=0,0,B19/B$17)</f>
        <v>0.55208333333333337</v>
      </c>
      <c r="E19" s="59" t="s">
        <v>81</v>
      </c>
      <c r="F19" s="56" t="s">
        <v>36</v>
      </c>
      <c r="G19" s="44">
        <v>2</v>
      </c>
      <c r="H19" s="129">
        <f>IF(B$17=0,0,G19/B$17)</f>
        <v>1.0416666666666666E-2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92</v>
      </c>
      <c r="C20" s="37">
        <f>IF(B$3=0,0,B20/B$3)</f>
        <v>0.13469985358711567</v>
      </c>
      <c r="E20" s="59" t="s">
        <v>74</v>
      </c>
      <c r="F20" s="56" t="s">
        <v>29</v>
      </c>
      <c r="G20" s="44">
        <v>1</v>
      </c>
      <c r="H20" s="129">
        <f>IF(B$17=0,0,G20/B$17)</f>
        <v>5.208333333333333E-3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2.8312499999999998</v>
      </c>
      <c r="P20" s="115">
        <v>16</v>
      </c>
      <c r="Q20" s="103">
        <v>45.3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5.208333333333333E-3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 t="shared" si="2"/>
        <v>1.4055555555555559</v>
      </c>
      <c r="P21" s="115">
        <v>36</v>
      </c>
      <c r="Q21" s="103">
        <v>50.600000000000016</v>
      </c>
    </row>
    <row r="22" spans="1:17" x14ac:dyDescent="0.4">
      <c r="A22" s="51" t="s">
        <v>170</v>
      </c>
      <c r="B22" s="44">
        <v>44</v>
      </c>
      <c r="C22" s="131">
        <v>12</v>
      </c>
      <c r="E22" s="59" t="s">
        <v>85</v>
      </c>
      <c r="F22" s="56" t="s">
        <v>40</v>
      </c>
      <c r="G22" s="44">
        <v>1</v>
      </c>
      <c r="H22" s="129">
        <f>IF(B$17=0,0,G22/B$17)</f>
        <v>5.208333333333333E-3</v>
      </c>
      <c r="I22" s="90">
        <v>4</v>
      </c>
      <c r="K22" s="36">
        <v>20</v>
      </c>
      <c r="L22" s="95">
        <v>-93.199999999999989</v>
      </c>
      <c r="N22" s="111" t="s">
        <v>126</v>
      </c>
      <c r="O22" s="121">
        <f t="shared" si="2"/>
        <v>-16.673170731707319</v>
      </c>
      <c r="P22" s="115">
        <v>41</v>
      </c>
      <c r="Q22" s="103">
        <v>-683.60000000000014</v>
      </c>
    </row>
    <row r="23" spans="1:17" x14ac:dyDescent="0.4">
      <c r="A23" s="51" t="s">
        <v>5</v>
      </c>
      <c r="B23" s="48">
        <f>IF(B$17=0,0,C23/B$17)</f>
        <v>8382.2916666666661</v>
      </c>
      <c r="C23" s="39">
        <v>1609400</v>
      </c>
      <c r="E23" s="59" t="s">
        <v>87</v>
      </c>
      <c r="F23" s="56" t="s">
        <v>42</v>
      </c>
      <c r="G23" s="44">
        <v>1</v>
      </c>
      <c r="H23" s="129">
        <f>IF(B$17=0,0,G23/B$17)</f>
        <v>5.208333333333333E-3</v>
      </c>
      <c r="I23" s="90">
        <v>2</v>
      </c>
      <c r="K23" s="36">
        <v>21</v>
      </c>
      <c r="L23" s="95">
        <v>-123.69999999999999</v>
      </c>
      <c r="N23" s="111" t="s">
        <v>177</v>
      </c>
      <c r="O23" s="121">
        <f t="shared" si="2"/>
        <v>-17.729032258064517</v>
      </c>
      <c r="P23" s="115">
        <v>31</v>
      </c>
      <c r="Q23" s="103">
        <v>-549.6</v>
      </c>
    </row>
    <row r="24" spans="1:17" x14ac:dyDescent="0.4">
      <c r="A24" s="52" t="s">
        <v>216</v>
      </c>
      <c r="B24" s="136">
        <f>IF($B$17-B$16=0,0,C24/($B$17-B$16))</f>
        <v>9403.9370078740158</v>
      </c>
      <c r="C24" s="137">
        <v>1194300</v>
      </c>
      <c r="E24" s="59" t="s">
        <v>88</v>
      </c>
      <c r="F24" s="56" t="s">
        <v>43</v>
      </c>
      <c r="G24" s="44">
        <v>1</v>
      </c>
      <c r="H24" s="129">
        <f>IF(B$17=0,0,G24/B$17)</f>
        <v>5.208333333333333E-3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6386.1538461538457</v>
      </c>
      <c r="C25" s="137">
        <v>415100</v>
      </c>
      <c r="E25" s="59" t="s">
        <v>91</v>
      </c>
      <c r="F25" s="56" t="s">
        <v>46</v>
      </c>
      <c r="G25" s="44">
        <v>1</v>
      </c>
      <c r="H25" s="129">
        <f>IF(B$17=0,0,G25/B$17)</f>
        <v>5.208333333333333E-3</v>
      </c>
      <c r="I25" s="90">
        <v>7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-7886.95652173913</v>
      </c>
      <c r="C26" s="137">
        <v>-725600</v>
      </c>
      <c r="E26" s="59" t="s">
        <v>93</v>
      </c>
      <c r="F26" s="56" t="s">
        <v>48</v>
      </c>
      <c r="G26" s="44">
        <v>1</v>
      </c>
      <c r="H26" s="129">
        <f>IF(B$17=0,0,G26/B$17)</f>
        <v>5.208333333333333E-3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5.208333333333333E-3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2.9282576866764276E-3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</sheetData>
  <sortState xmlns:xlrd2="http://schemas.microsoft.com/office/spreadsheetml/2017/richdata2" ref="E2:I8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3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 t="shared" si="2"/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6</v>
      </c>
      <c r="K17" s="36">
        <v>15</v>
      </c>
      <c r="L17" s="95">
        <v>-272.50000000000006</v>
      </c>
      <c r="N17" s="111" t="s">
        <v>178</v>
      </c>
      <c r="O17" s="121">
        <f t="shared" si="2"/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 t="shared" si="2"/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4</v>
      </c>
      <c r="K19" s="36">
        <v>17</v>
      </c>
      <c r="L19" s="95">
        <v>-352.60000000000008</v>
      </c>
      <c r="N19" s="111" t="s">
        <v>126</v>
      </c>
      <c r="O19" s="121">
        <f t="shared" si="2"/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9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 t="shared" si="2"/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-428.10000000000008</v>
      </c>
      <c r="N22" s="111" t="s">
        <v>181</v>
      </c>
      <c r="O22" s="121">
        <f t="shared" si="2"/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22</v>
      </c>
      <c r="C2" s="149"/>
      <c r="E2" s="58" t="s">
        <v>66</v>
      </c>
      <c r="F2" s="55" t="s">
        <v>22</v>
      </c>
      <c r="G2" s="43">
        <v>56</v>
      </c>
      <c r="H2" s="128">
        <f>IF(B$17=0,0,G2/B$17)</f>
        <v>0.98245614035087714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-2504.5454545454545</v>
      </c>
      <c r="P2" s="114">
        <v>22</v>
      </c>
      <c r="Q2" s="98">
        <v>-55100</v>
      </c>
    </row>
    <row r="3" spans="1:17" x14ac:dyDescent="0.4">
      <c r="A3" s="51" t="s">
        <v>8</v>
      </c>
      <c r="B3" s="150">
        <v>204</v>
      </c>
      <c r="C3" s="151"/>
      <c r="E3" s="59" t="s">
        <v>64</v>
      </c>
      <c r="F3" s="56" t="s">
        <v>20</v>
      </c>
      <c r="G3" s="44">
        <v>33</v>
      </c>
      <c r="H3" s="129">
        <f>IF(B$17=0,0,G3/B$17)</f>
        <v>0.57894736842105265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-354.54545454545456</v>
      </c>
      <c r="P3" s="115">
        <v>22</v>
      </c>
      <c r="Q3" s="99">
        <v>-7800</v>
      </c>
    </row>
    <row r="4" spans="1:17" x14ac:dyDescent="0.4">
      <c r="A4" s="51" t="s">
        <v>6</v>
      </c>
      <c r="B4" s="152">
        <v>-13.5</v>
      </c>
      <c r="C4" s="153"/>
      <c r="E4" s="59" t="s">
        <v>68</v>
      </c>
      <c r="F4" s="56" t="s">
        <v>12</v>
      </c>
      <c r="G4" s="44">
        <v>23</v>
      </c>
      <c r="H4" s="129">
        <f>IF(B$17=0,0,G4/B$17)</f>
        <v>0.40350877192982454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-385.71428571428572</v>
      </c>
      <c r="P4" s="115">
        <v>21</v>
      </c>
      <c r="Q4" s="99">
        <v>-8100</v>
      </c>
    </row>
    <row r="5" spans="1:17" x14ac:dyDescent="0.4">
      <c r="A5" s="51" t="s">
        <v>7</v>
      </c>
      <c r="B5" s="154">
        <f>IF(B$2=0,0,B$4/B$2)</f>
        <v>-0.61363636363636365</v>
      </c>
      <c r="C5" s="155"/>
      <c r="E5" s="59" t="s">
        <v>72</v>
      </c>
      <c r="F5" s="56" t="s">
        <v>27</v>
      </c>
      <c r="G5" s="44">
        <v>21</v>
      </c>
      <c r="H5" s="129">
        <f>IF(B$17=0,0,G5/B$17)</f>
        <v>0.36842105263157893</v>
      </c>
      <c r="I5" s="90">
        <v>11</v>
      </c>
      <c r="K5" s="36">
        <v>3</v>
      </c>
      <c r="L5" s="95">
        <v>76</v>
      </c>
      <c r="N5" s="111" t="s">
        <v>133</v>
      </c>
      <c r="O5" s="118">
        <f t="shared" si="0"/>
        <v>-2123.8095238095239</v>
      </c>
      <c r="P5" s="115">
        <v>21</v>
      </c>
      <c r="Q5" s="99">
        <v>-44600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171</v>
      </c>
      <c r="F6" s="56" t="s">
        <v>172</v>
      </c>
      <c r="G6" s="44">
        <v>19</v>
      </c>
      <c r="H6" s="129">
        <f>IF(B$17=0,0,G6/B$17)</f>
        <v>0.33333333333333331</v>
      </c>
      <c r="I6" s="90">
        <v>8</v>
      </c>
      <c r="K6" s="36">
        <v>4</v>
      </c>
      <c r="L6" s="95">
        <v>115.5</v>
      </c>
      <c r="N6" s="111" t="s">
        <v>134</v>
      </c>
      <c r="O6" s="118">
        <f t="shared" si="0"/>
        <v>5752.6315789473683</v>
      </c>
      <c r="P6" s="115">
        <v>19</v>
      </c>
      <c r="Q6" s="99">
        <v>109300</v>
      </c>
    </row>
    <row r="7" spans="1:17" x14ac:dyDescent="0.4">
      <c r="A7" s="51" t="s">
        <v>2</v>
      </c>
      <c r="B7" s="44">
        <v>8</v>
      </c>
      <c r="C7" s="37">
        <f t="shared" ref="C7:C12" si="1">IF(B$2=0,0,B7/B$2)</f>
        <v>0.36363636363636365</v>
      </c>
      <c r="E7" s="59" t="s">
        <v>67</v>
      </c>
      <c r="F7" s="56" t="s">
        <v>23</v>
      </c>
      <c r="G7" s="44">
        <v>14</v>
      </c>
      <c r="H7" s="129">
        <f>IF(B$17=0,0,G7/B$17)</f>
        <v>0.24561403508771928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0.27272727272727271</v>
      </c>
      <c r="E8" s="59" t="s">
        <v>69</v>
      </c>
      <c r="F8" s="56" t="s">
        <v>24</v>
      </c>
      <c r="G8" s="44">
        <v>12</v>
      </c>
      <c r="H8" s="129">
        <f>IF(B$17=0,0,G8/B$17)</f>
        <v>0.21052631578947367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0.36363636363636365</v>
      </c>
      <c r="E9" s="59" t="s">
        <v>65</v>
      </c>
      <c r="F9" s="56" t="s">
        <v>21</v>
      </c>
      <c r="G9" s="44">
        <v>8</v>
      </c>
      <c r="H9" s="129">
        <f>IF(B$17=0,0,G9/B$17)</f>
        <v>0.14035087719298245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9.0909090909090912E-2</v>
      </c>
      <c r="E10" s="59" t="s">
        <v>70</v>
      </c>
      <c r="F10" s="56" t="s">
        <v>25</v>
      </c>
      <c r="G10" s="44">
        <v>6</v>
      </c>
      <c r="H10" s="129">
        <f>IF(B$17=0,0,G10/B$17)</f>
        <v>0.10526315789473684</v>
      </c>
      <c r="I10" s="90">
        <v>5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2</v>
      </c>
      <c r="C11" s="38">
        <f t="shared" si="1"/>
        <v>9.0909090909090912E-2</v>
      </c>
      <c r="E11" s="59" t="s">
        <v>71</v>
      </c>
      <c r="F11" s="56" t="s">
        <v>26</v>
      </c>
      <c r="G11" s="44">
        <v>6</v>
      </c>
      <c r="H11" s="129">
        <f>IF(B$17=0,0,G11/B$17)</f>
        <v>0.10526315789473684</v>
      </c>
      <c r="I11" s="90">
        <v>2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5</v>
      </c>
      <c r="H12" s="129">
        <f>IF(B$17=0,0,G12/B$17)</f>
        <v>8.771929824561403E-2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2.9571428571428564</v>
      </c>
      <c r="P12" s="116">
        <v>7</v>
      </c>
      <c r="Q12" s="104">
        <v>20.699999999999996</v>
      </c>
    </row>
    <row r="13" spans="1:17" x14ac:dyDescent="0.4">
      <c r="A13" s="54" t="s">
        <v>121</v>
      </c>
      <c r="B13" s="47">
        <v>54</v>
      </c>
      <c r="C13" s="42">
        <f>IF(B$3=0,0,B13/B$3)</f>
        <v>0.26470588235294118</v>
      </c>
      <c r="E13" s="59" t="s">
        <v>78</v>
      </c>
      <c r="F13" s="56" t="s">
        <v>33</v>
      </c>
      <c r="G13" s="44">
        <v>3</v>
      </c>
      <c r="H13" s="129">
        <f>IF(B$17=0,0,G13/B$17)</f>
        <v>5.2631578947368418E-2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32</v>
      </c>
      <c r="C14" s="37">
        <f>IF(B$3=0,0,B14/B$3)</f>
        <v>0.15686274509803921</v>
      </c>
      <c r="E14" s="59" t="s">
        <v>83</v>
      </c>
      <c r="F14" s="56" t="s">
        <v>38</v>
      </c>
      <c r="G14" s="44">
        <v>2</v>
      </c>
      <c r="H14" s="129">
        <f>IF(B$17=0,0,G14/B$17)</f>
        <v>3.5087719298245612E-2</v>
      </c>
      <c r="I14" s="90">
        <v>11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33</v>
      </c>
      <c r="C15" s="35">
        <f>IF(B$13=0,0,B15/B$13)</f>
        <v>0.61111111111111116</v>
      </c>
      <c r="E15" s="59" t="s">
        <v>86</v>
      </c>
      <c r="F15" s="56" t="s">
        <v>41</v>
      </c>
      <c r="G15" s="44">
        <v>2</v>
      </c>
      <c r="H15" s="129">
        <f>IF(B$17=0,0,G15/B$17)</f>
        <v>3.5087719298245612E-2</v>
      </c>
      <c r="I15" s="90">
        <v>7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52.525000000000006</v>
      </c>
      <c r="P15" s="114">
        <v>4</v>
      </c>
      <c r="Q15" s="102">
        <v>210.10000000000002</v>
      </c>
    </row>
    <row r="16" spans="1:17" x14ac:dyDescent="0.4">
      <c r="A16" s="50" t="s">
        <v>124</v>
      </c>
      <c r="B16" s="43">
        <v>12</v>
      </c>
      <c r="C16" s="35">
        <f>IF(B$14=0,0,B16/B$14)</f>
        <v>0.375</v>
      </c>
      <c r="E16" s="59" t="s">
        <v>75</v>
      </c>
      <c r="F16" s="56" t="s">
        <v>30</v>
      </c>
      <c r="G16" s="44">
        <v>1</v>
      </c>
      <c r="H16" s="129">
        <f>IF(B$17=0,0,G16/B$17)</f>
        <v>1.7543859649122806E-2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57</v>
      </c>
      <c r="C17" s="35">
        <f>IF(B$3=0,0,B17/B$3)</f>
        <v>0.27941176470588236</v>
      </c>
      <c r="E17" s="59" t="s">
        <v>81</v>
      </c>
      <c r="F17" s="56" t="s">
        <v>36</v>
      </c>
      <c r="G17" s="44">
        <v>1</v>
      </c>
      <c r="H17" s="129">
        <f>IF(B$17=0,0,G17/B$17)</f>
        <v>1.7543859649122806E-2</v>
      </c>
      <c r="I17" s="90">
        <v>6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31</v>
      </c>
      <c r="C18" s="37">
        <f>IF(B$17=0,0,B18/B$17)</f>
        <v>0.54385964912280704</v>
      </c>
      <c r="E18" s="59" t="s">
        <v>85</v>
      </c>
      <c r="F18" s="56" t="s">
        <v>40</v>
      </c>
      <c r="G18" s="44">
        <v>1</v>
      </c>
      <c r="H18" s="129">
        <f>IF(B$17=0,0,G18/B$17)</f>
        <v>1.7543859649122806E-2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26</v>
      </c>
      <c r="C19" s="37">
        <f>IF(B$17=0,0,B19/B$17)</f>
        <v>0.45614035087719296</v>
      </c>
      <c r="E19" s="59" t="s">
        <v>87</v>
      </c>
      <c r="F19" s="56" t="s">
        <v>42</v>
      </c>
      <c r="G19" s="44">
        <v>1</v>
      </c>
      <c r="H19" s="129">
        <f>IF(B$17=0,0,G19/B$17)</f>
        <v>1.7543859649122806E-2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31</v>
      </c>
      <c r="C20" s="37">
        <f>IF(B$3=0,0,B20/B$3)</f>
        <v>0.15196078431372548</v>
      </c>
      <c r="E20" s="59" t="s">
        <v>167</v>
      </c>
      <c r="F20" s="56" t="s">
        <v>168</v>
      </c>
      <c r="G20" s="44">
        <v>1</v>
      </c>
      <c r="H20" s="129">
        <f>IF(B$17=0,0,G20/B$17)</f>
        <v>1.7543859649122806E-2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1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-53.400000000000006</v>
      </c>
      <c r="P22" s="115">
        <v>6</v>
      </c>
      <c r="Q22" s="103">
        <v>-320.40000000000003</v>
      </c>
    </row>
    <row r="23" spans="1:17" x14ac:dyDescent="0.4">
      <c r="A23" s="51" t="s">
        <v>5</v>
      </c>
      <c r="B23" s="48">
        <f>IF(B$17=0,0,C23/B$17)</f>
        <v>8115.7894736842109</v>
      </c>
      <c r="C23" s="39">
        <v>462600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8384.4444444444453</v>
      </c>
      <c r="C24" s="137">
        <v>377300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</row>
    <row r="26" spans="1:17" x14ac:dyDescent="0.4">
      <c r="A26" s="52" t="s">
        <v>215</v>
      </c>
      <c r="B26" s="136">
        <f>IF(B$20=0,0,C26/B$20)</f>
        <v>-7151.6129032258068</v>
      </c>
      <c r="C26" s="137">
        <v>-221700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4.9019607843137254E-3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8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8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7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2019-11-03T11:32:35Z</dcterms:modified>
</cp:coreProperties>
</file>