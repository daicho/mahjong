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B1679CD-FC79-4946-9030-C9A68DAD4255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29" l="1"/>
  <c r="O16" i="6141"/>
  <c r="O15" i="6141"/>
  <c r="C30" i="6141"/>
  <c r="B25" i="6141"/>
  <c r="B24" i="6141"/>
  <c r="C16" i="6141"/>
  <c r="B15" i="6141"/>
  <c r="H50" i="6141" s="1"/>
  <c r="C14" i="6141"/>
  <c r="B14" i="614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5" i="6141" l="1"/>
  <c r="C18" i="6141"/>
  <c r="H19" i="6141"/>
  <c r="H10" i="6141"/>
  <c r="H26" i="6141"/>
  <c r="H17" i="6141"/>
  <c r="H36" i="6141"/>
  <c r="H40" i="6141"/>
  <c r="C38" i="6141"/>
  <c r="C40" i="6141"/>
  <c r="H14" i="6141"/>
  <c r="B22" i="6141"/>
  <c r="C15" i="6141"/>
  <c r="H44" i="6141"/>
  <c r="C32" i="6141"/>
  <c r="C44" i="6141"/>
  <c r="H4" i="6141"/>
  <c r="H23" i="6141"/>
  <c r="H51" i="6141"/>
  <c r="H2" i="6141"/>
  <c r="H29" i="6141"/>
  <c r="H21" i="6141"/>
  <c r="H32" i="6141"/>
  <c r="H7" i="6141"/>
  <c r="H15" i="6141"/>
  <c r="C34" i="6141"/>
  <c r="C36" i="6141"/>
  <c r="H52" i="6141"/>
  <c r="H18" i="6141"/>
  <c r="H22" i="6141"/>
  <c r="H27" i="6141"/>
  <c r="C33" i="6141"/>
  <c r="C37" i="6141"/>
  <c r="C41" i="6141"/>
  <c r="H45" i="6141"/>
  <c r="H3" i="6141"/>
  <c r="H5" i="6141"/>
  <c r="H8" i="6141"/>
  <c r="H12" i="6141"/>
  <c r="C19" i="6141"/>
  <c r="B23" i="6141"/>
  <c r="H28" i="6141"/>
  <c r="H33" i="6141"/>
  <c r="H37" i="6141"/>
  <c r="H41" i="6141"/>
  <c r="H46" i="6141"/>
  <c r="C42" i="6141"/>
  <c r="H47" i="6141"/>
  <c r="H6" i="6141"/>
  <c r="C20" i="6141"/>
  <c r="H34" i="6141"/>
  <c r="H38" i="6141"/>
  <c r="H42" i="6141"/>
  <c r="H48" i="6141"/>
  <c r="H13" i="6141"/>
  <c r="H16" i="6141"/>
  <c r="H20" i="6141"/>
  <c r="H24" i="6141"/>
  <c r="H30" i="6141"/>
  <c r="C35" i="6141"/>
  <c r="C39" i="6141"/>
  <c r="C43" i="6141"/>
  <c r="H49" i="6141"/>
  <c r="H9" i="6141"/>
  <c r="H11" i="6141"/>
  <c r="C17" i="6141"/>
  <c r="C21" i="6141"/>
  <c r="H31" i="6141"/>
  <c r="H35" i="6141"/>
  <c r="H39" i="6141"/>
  <c r="H43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6" i="6133"/>
  <c r="O16" i="6137" l="1"/>
  <c r="O22" i="6127"/>
  <c r="O20" i="6121" l="1"/>
  <c r="O16" i="6123"/>
  <c r="O15" i="6133"/>
  <c r="O22" i="6133"/>
  <c r="O19" i="6131" l="1"/>
  <c r="O18" i="6135"/>
  <c r="O16" i="6125" l="1"/>
  <c r="O17" i="6131"/>
  <c r="O19" i="6133"/>
  <c r="O21" i="6133"/>
  <c r="O15" i="6121" l="1"/>
  <c r="O17" i="6135"/>
  <c r="O19" i="6135"/>
  <c r="O18" i="6127"/>
  <c r="O20" i="6125" l="1"/>
  <c r="O21" i="6129"/>
  <c r="O19" i="6129" l="1"/>
  <c r="O21" i="6123"/>
  <c r="O24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8" i="6123" l="1"/>
  <c r="O20" i="6127"/>
  <c r="O19" i="6123" l="1"/>
  <c r="O20" i="6131"/>
  <c r="O23" i="6131"/>
  <c r="O16" i="6121"/>
  <c r="O17" i="6125"/>
  <c r="O15" i="6127"/>
  <c r="O21" i="6127"/>
  <c r="O18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20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4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3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19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19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1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2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<sst xmlns="http://schemas.openxmlformats.org/spreadsheetml/2006/main" count="3292" uniqueCount="276">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</sst>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全体!$K$2:$K$719</c:f>
              <c:numCache>
                <c:formatCode>General</c:formatCode>
                <c:ptCount val="7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</c:numCache>
            </c:numRef>
          </c:xVal>
          <c:yVal>
            <c:numRef>
              <c:f>全体!$L$2:$L$719</c:f>
              <c:numCache>
                <c:formatCode>\+0.0;\-0.0;\±0</c:formatCode>
                <c:ptCount val="71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-28.011204481792717</c:v>
                </c:pt>
                <c:pt idx="1">
                  <c:v>12.820512820512821</c:v>
                </c:pt>
                <c:pt idx="2">
                  <c:v>-10.606060606060606</c:v>
                </c:pt>
                <c:pt idx="3">
                  <c:v>9.6618357487922708</c:v>
                </c:pt>
                <c:pt idx="4">
                  <c:v>8.7719298245614041</c:v>
                </c:pt>
                <c:pt idx="5">
                  <c:v>12.578616352201259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133</c:v>
                </c:pt>
                <c:pt idx="1">
                  <c:v>295</c:v>
                </c:pt>
                <c:pt idx="2">
                  <c:v>348</c:v>
                </c:pt>
                <c:pt idx="3">
                  <c:v>308</c:v>
                </c:pt>
                <c:pt idx="4">
                  <c:v>283</c:v>
                </c:pt>
                <c:pt idx="5">
                  <c:v>185</c:v>
                </c:pt>
                <c:pt idx="6">
                  <c:v>94</c:v>
                </c:pt>
                <c:pt idx="7">
                  <c:v>52</c:v>
                </c:pt>
                <c:pt idx="8">
                  <c:v>20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だいち!$L$2:$L$148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1109.655172413793</c:v>
                </c:pt>
                <c:pt idx="1">
                  <c:v>919.71830985915494</c:v>
                </c:pt>
                <c:pt idx="2">
                  <c:v>980.88235294117646</c:v>
                </c:pt>
                <c:pt idx="3">
                  <c:v>125.39682539682539</c:v>
                </c:pt>
                <c:pt idx="4">
                  <c:v>1873.2758620689656</c:v>
                </c:pt>
                <c:pt idx="5">
                  <c:v>2011.4583333333333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37</c:v>
                </c:pt>
                <c:pt idx="1">
                  <c:v>72</c:v>
                </c:pt>
                <c:pt idx="2">
                  <c:v>88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19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ただ!$L$2:$L$132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-1496.1240310077519</c:v>
                </c:pt>
                <c:pt idx="1">
                  <c:v>1389.7637795275591</c:v>
                </c:pt>
                <c:pt idx="2">
                  <c:v>-264.65517241379308</c:v>
                </c:pt>
                <c:pt idx="3">
                  <c:v>353.63636363636363</c:v>
                </c:pt>
                <c:pt idx="4">
                  <c:v>-990.09900990099015</c:v>
                </c:pt>
                <c:pt idx="5">
                  <c:v>1434.8837209302326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37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-559.52380952380952</c:v>
                </c:pt>
                <c:pt idx="1">
                  <c:v>-736.90476190476193</c:v>
                </c:pt>
                <c:pt idx="2">
                  <c:v>421.79487179487177</c:v>
                </c:pt>
                <c:pt idx="3">
                  <c:v>-329.87012987012986</c:v>
                </c:pt>
                <c:pt idx="4">
                  <c:v>-2987.6712328767121</c:v>
                </c:pt>
                <c:pt idx="5">
                  <c:v>-1360.3174603174602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39</c:v>
                </c:pt>
                <c:pt idx="2">
                  <c:v>46</c:v>
                </c:pt>
                <c:pt idx="3">
                  <c:v>31</c:v>
                </c:pt>
                <c:pt idx="4">
                  <c:v>35</c:v>
                </c:pt>
                <c:pt idx="5">
                  <c:v>20</c:v>
                </c:pt>
                <c:pt idx="6">
                  <c:v>12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れんたろう!$L$2:$L$100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1384.6938775510205</c:v>
                </c:pt>
                <c:pt idx="1">
                  <c:v>-1333.3333333333333</c:v>
                </c:pt>
                <c:pt idx="2">
                  <c:v>-500</c:v>
                </c:pt>
                <c:pt idx="3">
                  <c:v>2754.2168674698796</c:v>
                </c:pt>
                <c:pt idx="4">
                  <c:v>567.56756756756761</c:v>
                </c:pt>
                <c:pt idx="5">
                  <c:v>18.96551724137931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28</c:v>
                </c:pt>
                <c:pt idx="3">
                  <c:v>39</c:v>
                </c:pt>
                <c:pt idx="4">
                  <c:v>55</c:v>
                </c:pt>
                <c:pt idx="5">
                  <c:v>24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2600</c:v>
                </c:pt>
                <c:pt idx="1">
                  <c:v>0</c:v>
                </c:pt>
                <c:pt idx="2">
                  <c:v>1300</c:v>
                </c:pt>
                <c:pt idx="3">
                  <c:v>4000</c:v>
                </c:pt>
                <c:pt idx="4">
                  <c:v>-8000</c:v>
                </c:pt>
                <c:pt idx="5">
                  <c:v>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りくと2!$B$3:$B$88</c:f>
              <c:numCache>
                <c:formatCode>\+0.0;\-0.0;\±0</c:formatCode>
                <c:ptCount val="8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りくと2!$C$3:$C$88</c:f>
              <c:numCache>
                <c:formatCode>\+0.0;\-0.0;\±0</c:formatCode>
                <c:ptCount val="86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4596431598410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りくと2!$D$3:$D$88</c:f>
              <c:numCache>
                <c:formatCode>0.00\ "位"</c:formatCode>
                <c:ptCount val="86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りくと2!$E$3:$E$88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りくと2!$F$3:$F$88</c:f>
              <c:numCache>
                <c:formatCode>0.0%</c:formatCode>
                <c:ptCount val="8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りくと2!$G$3:$G$88</c:f>
              <c:numCache>
                <c:formatCode>0.0%</c:formatCode>
                <c:ptCount val="86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06545820745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りくと2!$H$3:$H$88</c:f>
              <c:numCache>
                <c:formatCode>0.0%</c:formatCode>
                <c:ptCount val="86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45518630412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りくと2!$I$3:$I$88</c:f>
              <c:numCache>
                <c:formatCode>0</c:formatCode>
                <c:ptCount val="86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6.6325369738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りくと2!$J$3:$J$88</c:f>
              <c:numCache>
                <c:formatCode>0</c:formatCode>
                <c:ptCount val="86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7.69230769230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りくと2!$K$3:$K$88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62900976290098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りくと2!$L$3:$L$88</c:f>
              <c:numCache>
                <c:formatCode>0.0%</c:formatCode>
                <c:ptCount val="86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27291037260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りくと2!$M$3:$M$88</c:f>
              <c:numCache>
                <c:formatCode>0.0%</c:formatCode>
                <c:ptCount val="86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43235985229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りくと2!$N$3:$N$88</c:f>
              <c:numCache>
                <c:formatCode>0.0%</c:formatCode>
                <c:ptCount val="86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31080185553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りくと2!$O$3:$O$88</c:f>
              <c:numCache>
                <c:formatCode>0.0%</c:formatCode>
                <c:ptCount val="86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07494489346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りくと2!$P$3:$P$88</c:f>
              <c:numCache>
                <c:formatCode>0.0%</c:formatCode>
                <c:ptCount val="86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841865756541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1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717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146</v>
      </c>
    </row>
    <row r="4" spans="1:2" x14ac:dyDescent="0.45">
      <c r="A4" t="s">
        <v>127</v>
      </c>
      <c r="B4">
        <v>130</v>
      </c>
    </row>
    <row r="5" spans="1:2" x14ac:dyDescent="0.45">
      <c r="A5" t="s">
        <v>172</v>
      </c>
      <c r="B5">
        <v>85</v>
      </c>
    </row>
    <row r="6" spans="1:2" x14ac:dyDescent="0.45">
      <c r="A6" t="s">
        <v>170</v>
      </c>
      <c r="B6">
        <v>98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>
      <selection activeCell="Z3" sqref="Z3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6" t="s">
        <v>6</v>
      </c>
      <c r="C1" s="167"/>
      <c r="D1" s="166" t="s">
        <v>7</v>
      </c>
      <c r="E1" s="167"/>
      <c r="F1" s="166" t="s">
        <v>15</v>
      </c>
      <c r="G1" s="167"/>
      <c r="H1" s="166" t="s">
        <v>14</v>
      </c>
      <c r="I1" s="167"/>
      <c r="J1" s="166" t="s">
        <v>155</v>
      </c>
      <c r="K1" s="167"/>
      <c r="L1" s="166" t="s">
        <v>145</v>
      </c>
      <c r="M1" s="167"/>
      <c r="N1" s="166" t="s">
        <v>146</v>
      </c>
      <c r="O1" s="167"/>
      <c r="P1" s="166" t="s">
        <v>5</v>
      </c>
      <c r="Q1" s="167"/>
      <c r="R1" s="166" t="s">
        <v>16</v>
      </c>
      <c r="S1" s="167"/>
      <c r="T1" s="166" t="s">
        <v>17</v>
      </c>
      <c r="U1" s="167"/>
      <c r="V1" s="166" t="s">
        <v>122</v>
      </c>
      <c r="W1" s="167"/>
      <c r="X1" s="166" t="s">
        <v>119</v>
      </c>
      <c r="Y1" s="167"/>
      <c r="Z1" s="166" t="s">
        <v>125</v>
      </c>
      <c r="AA1" s="167"/>
      <c r="AB1" s="166" t="s">
        <v>147</v>
      </c>
      <c r="AC1" s="167"/>
      <c r="AD1" s="166" t="s">
        <v>140</v>
      </c>
      <c r="AE1" s="167"/>
      <c r="AF1" s="166" t="s">
        <v>192</v>
      </c>
      <c r="AG1" s="167"/>
    </row>
    <row r="2" spans="1:33" x14ac:dyDescent="0.45">
      <c r="A2" s="68" t="s">
        <v>154</v>
      </c>
      <c r="B2" s="168"/>
      <c r="C2" s="169"/>
      <c r="D2" s="168"/>
      <c r="E2" s="169"/>
      <c r="F2" s="170">
        <v>0.9896273113125883</v>
      </c>
      <c r="G2" s="171"/>
      <c r="H2" s="170">
        <v>0.8459209731368853</v>
      </c>
      <c r="I2" s="171"/>
      <c r="J2" s="170">
        <v>0.90151073200744292</v>
      </c>
      <c r="K2" s="171"/>
      <c r="L2" s="170">
        <v>0.80788165395041334</v>
      </c>
      <c r="M2" s="171"/>
      <c r="N2" s="170">
        <v>0.53787418810461007</v>
      </c>
      <c r="O2" s="171"/>
      <c r="P2" s="170">
        <v>0.53816822347681492</v>
      </c>
      <c r="Q2" s="171"/>
      <c r="R2" s="170">
        <v>-9.357712743411772E-3</v>
      </c>
      <c r="S2" s="171"/>
      <c r="T2" s="170">
        <v>0.51324638148953661</v>
      </c>
      <c r="U2" s="171"/>
      <c r="V2" s="170">
        <v>0.6681074190687426</v>
      </c>
      <c r="W2" s="171"/>
      <c r="X2" s="170">
        <v>-0.12050701566878053</v>
      </c>
      <c r="Y2" s="171"/>
      <c r="Z2" s="170">
        <v>0.44421069130340407</v>
      </c>
      <c r="AA2" s="171"/>
      <c r="AB2" s="170">
        <v>0.14530340268078651</v>
      </c>
      <c r="AC2" s="171"/>
      <c r="AD2" s="170">
        <v>0.24708024051930991</v>
      </c>
      <c r="AE2" s="171"/>
      <c r="AF2" s="170">
        <v>0.83640074387814045</v>
      </c>
      <c r="AG2" s="171"/>
    </row>
    <row r="3" spans="1:33" x14ac:dyDescent="0.45">
      <c r="A3" s="70">
        <v>1</v>
      </c>
      <c r="B3" s="71" t="s">
        <v>126</v>
      </c>
      <c r="C3" s="72">
        <v>1172.2000000000003</v>
      </c>
      <c r="D3" s="73" t="s">
        <v>274</v>
      </c>
      <c r="E3" s="92">
        <v>17.600000000000001</v>
      </c>
      <c r="F3" s="73" t="s">
        <v>274</v>
      </c>
      <c r="G3" s="74">
        <v>1</v>
      </c>
      <c r="H3" s="73" t="s">
        <v>274</v>
      </c>
      <c r="I3" s="75">
        <v>1</v>
      </c>
      <c r="J3" s="73" t="s">
        <v>203</v>
      </c>
      <c r="K3" s="75">
        <v>0</v>
      </c>
      <c r="L3" s="73" t="s">
        <v>274</v>
      </c>
      <c r="M3" s="76">
        <v>0.66666666666666663</v>
      </c>
      <c r="N3" s="73" t="s">
        <v>203</v>
      </c>
      <c r="O3" s="76">
        <v>6.6666666666666666E-2</v>
      </c>
      <c r="P3" s="73" t="s">
        <v>170</v>
      </c>
      <c r="Q3" s="77">
        <v>10869.545454545454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274</v>
      </c>
      <c r="W3" s="76">
        <v>0.66666666666666663</v>
      </c>
      <c r="X3" s="73" t="s">
        <v>228</v>
      </c>
      <c r="Y3" s="76">
        <v>0.35483870967741937</v>
      </c>
      <c r="Z3" s="73" t="s">
        <v>274</v>
      </c>
      <c r="AA3" s="76">
        <v>1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349.00000000000017</v>
      </c>
      <c r="D4" s="81" t="s">
        <v>203</v>
      </c>
      <c r="E4" s="93">
        <v>13.1</v>
      </c>
      <c r="F4" s="81" t="s">
        <v>203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126</v>
      </c>
      <c r="O4" s="84">
        <v>0.13138075313807532</v>
      </c>
      <c r="P4" s="81" t="s">
        <v>171</v>
      </c>
      <c r="Q4" s="85">
        <v>8524.8062015503874</v>
      </c>
      <c r="R4" s="81" t="s">
        <v>171</v>
      </c>
      <c r="S4" s="85">
        <v>-7440.4958677685954</v>
      </c>
      <c r="T4" s="81" t="s">
        <v>274</v>
      </c>
      <c r="U4" s="83">
        <v>0</v>
      </c>
      <c r="V4" s="81" t="s">
        <v>170</v>
      </c>
      <c r="W4" s="84">
        <v>0.31887755102040816</v>
      </c>
      <c r="X4" s="81" t="s">
        <v>203</v>
      </c>
      <c r="Y4" s="84">
        <v>0.33333333333333331</v>
      </c>
      <c r="Z4" s="81" t="s">
        <v>126</v>
      </c>
      <c r="AA4" s="84">
        <v>0.60371517027863775</v>
      </c>
      <c r="AB4" s="81" t="s">
        <v>126</v>
      </c>
      <c r="AC4" s="84">
        <v>0.48148148148148145</v>
      </c>
      <c r="AD4" s="81" t="s">
        <v>170</v>
      </c>
      <c r="AE4" s="84">
        <v>0.51818181818181819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106.3</v>
      </c>
      <c r="D5" s="81" t="s">
        <v>126</v>
      </c>
      <c r="E5" s="93">
        <v>8.0287671232876736</v>
      </c>
      <c r="F5" s="81" t="s">
        <v>126</v>
      </c>
      <c r="G5" s="82">
        <v>1.8082191780821917</v>
      </c>
      <c r="H5" s="81" t="s">
        <v>126</v>
      </c>
      <c r="I5" s="83">
        <v>0.45205479452054792</v>
      </c>
      <c r="J5" s="81" t="s">
        <v>126</v>
      </c>
      <c r="K5" s="83">
        <v>0.26027397260273971</v>
      </c>
      <c r="L5" s="81" t="s">
        <v>126</v>
      </c>
      <c r="M5" s="84">
        <v>0.34225941422594142</v>
      </c>
      <c r="N5" s="81" t="s">
        <v>171</v>
      </c>
      <c r="O5" s="84">
        <v>0.13610798650168729</v>
      </c>
      <c r="P5" s="81" t="s">
        <v>196</v>
      </c>
      <c r="Q5" s="85">
        <v>8456.4516129032254</v>
      </c>
      <c r="R5" s="81" t="s">
        <v>172</v>
      </c>
      <c r="S5" s="85">
        <v>-7452.554744525547</v>
      </c>
      <c r="T5" s="81" t="s">
        <v>126</v>
      </c>
      <c r="U5" s="83">
        <v>4.7945205479452052E-2</v>
      </c>
      <c r="V5" s="81" t="s">
        <v>172</v>
      </c>
      <c r="W5" s="84">
        <v>0.28016643550624132</v>
      </c>
      <c r="X5" s="81" t="s">
        <v>127</v>
      </c>
      <c r="Y5" s="84">
        <v>0.30825688073394497</v>
      </c>
      <c r="Z5" s="81" t="s">
        <v>196</v>
      </c>
      <c r="AA5" s="84">
        <v>0.5901639344262295</v>
      </c>
      <c r="AB5" s="81" t="s">
        <v>197</v>
      </c>
      <c r="AC5" s="84">
        <v>0.43529411764705883</v>
      </c>
      <c r="AD5" s="81" t="s">
        <v>172</v>
      </c>
      <c r="AE5" s="84">
        <v>0.45588235294117646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3.56122448979592</v>
      </c>
      <c r="F6" s="81" t="s">
        <v>170</v>
      </c>
      <c r="G6" s="82">
        <v>1.9285714285714286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127</v>
      </c>
      <c r="M6" s="84">
        <v>0.29908256880733947</v>
      </c>
      <c r="N6" s="81" t="s">
        <v>161</v>
      </c>
      <c r="O6" s="84">
        <v>0.16117850953206239</v>
      </c>
      <c r="P6" s="81" t="s">
        <v>127</v>
      </c>
      <c r="Q6" s="85">
        <v>8436.8098159509209</v>
      </c>
      <c r="R6" s="81" t="s">
        <v>161</v>
      </c>
      <c r="S6" s="85">
        <v>-7673.1182795698924</v>
      </c>
      <c r="T6" s="81" t="s">
        <v>172</v>
      </c>
      <c r="U6" s="83">
        <v>7.0588235294117646E-2</v>
      </c>
      <c r="V6" s="81" t="s">
        <v>126</v>
      </c>
      <c r="W6" s="84">
        <v>0.27029288702928872</v>
      </c>
      <c r="X6" s="81" t="s">
        <v>161</v>
      </c>
      <c r="Y6" s="84">
        <v>0.24436741767764297</v>
      </c>
      <c r="Z6" s="81" t="s">
        <v>171</v>
      </c>
      <c r="AA6" s="84">
        <v>0.57740585774058573</v>
      </c>
      <c r="AB6" s="81" t="s">
        <v>171</v>
      </c>
      <c r="AC6" s="84">
        <v>0.43076923076923079</v>
      </c>
      <c r="AD6" s="81" t="s">
        <v>171</v>
      </c>
      <c r="AE6" s="84">
        <v>0.44573643410852715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274</v>
      </c>
      <c r="C7" s="80">
        <v>17.600000000000001</v>
      </c>
      <c r="D7" s="81" t="s">
        <v>171</v>
      </c>
      <c r="E7" s="93">
        <v>0.95765765765765765</v>
      </c>
      <c r="F7" s="81" t="s">
        <v>127</v>
      </c>
      <c r="G7" s="82">
        <v>1.9615384615384615</v>
      </c>
      <c r="H7" s="81" t="s">
        <v>170</v>
      </c>
      <c r="I7" s="83">
        <v>0.38775510204081631</v>
      </c>
      <c r="J7" s="81" t="s">
        <v>127</v>
      </c>
      <c r="K7" s="83">
        <v>0.3</v>
      </c>
      <c r="L7" s="81" t="s">
        <v>141</v>
      </c>
      <c r="M7" s="84">
        <v>0.29506545820745217</v>
      </c>
      <c r="N7" s="81" t="s">
        <v>141</v>
      </c>
      <c r="O7" s="84">
        <v>0.16364551863041288</v>
      </c>
      <c r="P7" s="81" t="s">
        <v>141</v>
      </c>
      <c r="Q7" s="85">
        <v>8436.6325369738333</v>
      </c>
      <c r="R7" s="81" t="s">
        <v>126</v>
      </c>
      <c r="S7" s="85">
        <v>-7697.4522292993634</v>
      </c>
      <c r="T7" s="81" t="s">
        <v>171</v>
      </c>
      <c r="U7" s="83">
        <v>7.2072072072072071E-2</v>
      </c>
      <c r="V7" s="81" t="s">
        <v>171</v>
      </c>
      <c r="W7" s="84">
        <v>0.26884139482564678</v>
      </c>
      <c r="X7" s="81" t="s">
        <v>141</v>
      </c>
      <c r="Y7" s="84">
        <v>0.22843235985229943</v>
      </c>
      <c r="Z7" s="81" t="s">
        <v>172</v>
      </c>
      <c r="AA7" s="84">
        <v>0.56930693069306926</v>
      </c>
      <c r="AB7" s="81" t="s">
        <v>141</v>
      </c>
      <c r="AC7" s="84">
        <v>0.4180749448934607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11.799999999999804</v>
      </c>
      <c r="D8" s="81" t="s">
        <v>196</v>
      </c>
      <c r="E8" s="93">
        <v>9.1666666666666494E-2</v>
      </c>
      <c r="F8" s="81" t="s">
        <v>196</v>
      </c>
      <c r="G8" s="82">
        <v>2</v>
      </c>
      <c r="H8" s="81" t="s">
        <v>196</v>
      </c>
      <c r="I8" s="83">
        <v>0.375</v>
      </c>
      <c r="J8" s="81" t="s">
        <v>170</v>
      </c>
      <c r="K8" s="83">
        <v>0.31632653061224492</v>
      </c>
      <c r="L8" s="81" t="s">
        <v>171</v>
      </c>
      <c r="M8" s="84">
        <v>0.29021372328458944</v>
      </c>
      <c r="N8" s="81" t="s">
        <v>196</v>
      </c>
      <c r="O8" s="84">
        <v>0.16593886462882096</v>
      </c>
      <c r="P8" s="81" t="s">
        <v>126</v>
      </c>
      <c r="Q8" s="85">
        <v>8175.0611246943763</v>
      </c>
      <c r="R8" s="81" t="s">
        <v>141</v>
      </c>
      <c r="S8" s="85">
        <v>-7787.6923076923076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126</v>
      </c>
      <c r="Y8" s="84">
        <v>0.22594142259414227</v>
      </c>
      <c r="Z8" s="81" t="s">
        <v>141</v>
      </c>
      <c r="AA8" s="84">
        <v>0.5593108018555335</v>
      </c>
      <c r="AB8" s="81" t="s">
        <v>172</v>
      </c>
      <c r="AC8" s="84">
        <v>0.41379310344827586</v>
      </c>
      <c r="AD8" s="81" t="s">
        <v>141</v>
      </c>
      <c r="AE8" s="84">
        <v>0.44084186575654155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2.1999999999999957</v>
      </c>
      <c r="D9" s="81" t="s">
        <v>127</v>
      </c>
      <c r="E9" s="93">
        <v>9.0769230769229256E-2</v>
      </c>
      <c r="F9" s="81" t="s">
        <v>141</v>
      </c>
      <c r="G9" s="82">
        <v>2</v>
      </c>
      <c r="H9" s="81" t="s">
        <v>127</v>
      </c>
      <c r="I9" s="83">
        <v>0.33846153846153848</v>
      </c>
      <c r="J9" s="81" t="s">
        <v>141</v>
      </c>
      <c r="K9" s="83">
        <v>0.33333333333333331</v>
      </c>
      <c r="L9" s="81" t="s">
        <v>172</v>
      </c>
      <c r="M9" s="84">
        <v>0.28294036061026351</v>
      </c>
      <c r="N9" s="81" t="s">
        <v>274</v>
      </c>
      <c r="O9" s="84">
        <v>0.16666666666666666</v>
      </c>
      <c r="P9" s="81" t="s">
        <v>197</v>
      </c>
      <c r="Q9" s="85">
        <v>8000</v>
      </c>
      <c r="R9" s="81" t="s">
        <v>127</v>
      </c>
      <c r="S9" s="85">
        <v>-7919.0243902439024</v>
      </c>
      <c r="T9" s="81" t="s">
        <v>196</v>
      </c>
      <c r="U9" s="83">
        <v>8.3333333333333329E-2</v>
      </c>
      <c r="V9" s="81" t="s">
        <v>196</v>
      </c>
      <c r="W9" s="84">
        <v>0.26637554585152839</v>
      </c>
      <c r="X9" s="81" t="s">
        <v>171</v>
      </c>
      <c r="Y9" s="84">
        <v>0.21934758155230596</v>
      </c>
      <c r="Z9" s="81" t="s">
        <v>170</v>
      </c>
      <c r="AA9" s="84">
        <v>0.55600000000000005</v>
      </c>
      <c r="AB9" s="81" t="s">
        <v>161</v>
      </c>
      <c r="AC9" s="84">
        <v>0.40425531914893614</v>
      </c>
      <c r="AD9" s="81" t="s">
        <v>126</v>
      </c>
      <c r="AE9" s="84">
        <v>0.42053789731051344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-4.2632564145606011E-14</v>
      </c>
      <c r="D10" s="81" t="s">
        <v>141</v>
      </c>
      <c r="E10" s="93">
        <v>-5.9459643159841015E-17</v>
      </c>
      <c r="F10" s="81" t="s">
        <v>171</v>
      </c>
      <c r="G10" s="82">
        <v>2.0180180180180178</v>
      </c>
      <c r="H10" s="81" t="s">
        <v>141</v>
      </c>
      <c r="I10" s="83">
        <v>0.33333333333333331</v>
      </c>
      <c r="J10" s="81" t="s">
        <v>196</v>
      </c>
      <c r="K10" s="83">
        <v>0.375</v>
      </c>
      <c r="L10" s="81" t="s">
        <v>170</v>
      </c>
      <c r="M10" s="84">
        <v>0.28061224489795916</v>
      </c>
      <c r="N10" s="81" t="s">
        <v>170</v>
      </c>
      <c r="O10" s="84">
        <v>0.17729591836734693</v>
      </c>
      <c r="P10" s="81" t="s">
        <v>172</v>
      </c>
      <c r="Q10" s="85">
        <v>7675</v>
      </c>
      <c r="R10" s="81" t="s">
        <v>203</v>
      </c>
      <c r="S10" s="85">
        <v>-8000</v>
      </c>
      <c r="T10" s="81" t="s">
        <v>141</v>
      </c>
      <c r="U10" s="83">
        <v>9.7629009762900981E-2</v>
      </c>
      <c r="V10" s="81" t="s">
        <v>141</v>
      </c>
      <c r="W10" s="84">
        <v>0.25327291037260824</v>
      </c>
      <c r="X10" s="81" t="s">
        <v>197</v>
      </c>
      <c r="Y10" s="84">
        <v>0.21794871794871795</v>
      </c>
      <c r="Z10" s="81" t="s">
        <v>197</v>
      </c>
      <c r="AA10" s="84">
        <v>0.55128205128205132</v>
      </c>
      <c r="AB10" s="81" t="s">
        <v>170</v>
      </c>
      <c r="AC10" s="84">
        <v>0.39370078740157483</v>
      </c>
      <c r="AD10" s="81" t="s">
        <v>127</v>
      </c>
      <c r="AE10" s="84">
        <v>0.41411042944785276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-5.9917647058823542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172</v>
      </c>
      <c r="K11" s="83">
        <v>0.37647058823529411</v>
      </c>
      <c r="L11" s="81" t="s">
        <v>196</v>
      </c>
      <c r="M11" s="84">
        <v>0.27074235807860264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274</v>
      </c>
      <c r="S11" s="85">
        <v>-8000</v>
      </c>
      <c r="T11" s="81" t="s">
        <v>170</v>
      </c>
      <c r="U11" s="83">
        <v>0.11224489795918367</v>
      </c>
      <c r="V11" s="81" t="s">
        <v>228</v>
      </c>
      <c r="W11" s="84">
        <v>0.24193548387096775</v>
      </c>
      <c r="X11" s="81" t="s">
        <v>172</v>
      </c>
      <c r="Y11" s="84">
        <v>0.20110957004160887</v>
      </c>
      <c r="Z11" s="81" t="s">
        <v>228</v>
      </c>
      <c r="AA11" s="84">
        <v>0.53333333333333333</v>
      </c>
      <c r="AB11" s="81" t="s">
        <v>127</v>
      </c>
      <c r="AC11" s="84">
        <v>0.38095238095238093</v>
      </c>
      <c r="AD11" s="81" t="s">
        <v>161</v>
      </c>
      <c r="AE11" s="84">
        <v>0.38311688311688313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-509.30000000000013</v>
      </c>
      <c r="D12" s="81" t="s">
        <v>161</v>
      </c>
      <c r="E12" s="93">
        <v>-8.0953846153846172</v>
      </c>
      <c r="F12" s="81" t="s">
        <v>172</v>
      </c>
      <c r="G12" s="82">
        <v>2.1529411764705881</v>
      </c>
      <c r="H12" s="81" t="s">
        <v>171</v>
      </c>
      <c r="I12" s="83">
        <v>0.26126126126126126</v>
      </c>
      <c r="J12" s="81" t="s">
        <v>197</v>
      </c>
      <c r="K12" s="83">
        <v>0.47916666666666669</v>
      </c>
      <c r="L12" s="81" t="s">
        <v>161</v>
      </c>
      <c r="M12" s="84">
        <v>0.26689774696707108</v>
      </c>
      <c r="N12" s="81" t="s">
        <v>127</v>
      </c>
      <c r="O12" s="84">
        <v>0.18807339449541285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0.13846153846153847</v>
      </c>
      <c r="V12" s="81" t="s">
        <v>127</v>
      </c>
      <c r="W12" s="84">
        <v>0.22844036697247708</v>
      </c>
      <c r="X12" s="81" t="s">
        <v>170</v>
      </c>
      <c r="Y12" s="84">
        <v>0.16198979591836735</v>
      </c>
      <c r="Z12" s="81" t="s">
        <v>161</v>
      </c>
      <c r="AA12" s="84">
        <v>0.5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161</v>
      </c>
      <c r="C13" s="80">
        <v>-526.20000000000016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0.22352941176470589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0.19001386962552011</v>
      </c>
      <c r="P13" s="81" t="s">
        <v>161</v>
      </c>
      <c r="Q13" s="85">
        <v>7048.7012987012986</v>
      </c>
      <c r="R13" s="81" t="s">
        <v>170</v>
      </c>
      <c r="S13" s="85">
        <v>-8434.5323741007196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196</v>
      </c>
      <c r="Y13" s="84">
        <v>0.15283842794759825</v>
      </c>
      <c r="Z13" s="81" t="s">
        <v>203</v>
      </c>
      <c r="AA13" s="84">
        <v>0.5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197</v>
      </c>
      <c r="C14" s="80">
        <v>-545.00000000000011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3900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274</v>
      </c>
      <c r="Y14" s="84">
        <v>0</v>
      </c>
      <c r="Z14" s="81" t="s">
        <v>127</v>
      </c>
      <c r="AA14" s="84">
        <v>0.48995983935742971</v>
      </c>
      <c r="AB14" s="81" t="s">
        <v>274</v>
      </c>
      <c r="AC14" s="84">
        <v>0</v>
      </c>
      <c r="AD14" s="81" t="s">
        <v>274</v>
      </c>
      <c r="AE14" s="84">
        <v>0.25</v>
      </c>
      <c r="AF14" s="81" t="s">
        <v>274</v>
      </c>
      <c r="AG14" s="88">
        <v>42600</v>
      </c>
    </row>
  </sheetData>
  <sortState xmlns:xlrd2="http://schemas.microsoft.com/office/spreadsheetml/2017/richdata2" ref="AF3:AG42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1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717</v>
      </c>
      <c r="C2" s="159"/>
      <c r="E2" s="58" t="s">
        <v>66</v>
      </c>
      <c r="F2" s="55" t="s">
        <v>22</v>
      </c>
      <c r="G2" s="43">
        <v>1347</v>
      </c>
      <c r="H2" s="128">
        <f>IF(B$15=0,0,G2/B$15)</f>
        <v>0.7662116040955631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-28.011204481792717</v>
      </c>
      <c r="P2" s="114">
        <v>714</v>
      </c>
      <c r="Q2" s="98">
        <v>-20000</v>
      </c>
    </row>
    <row r="3" spans="1:17" x14ac:dyDescent="0.45">
      <c r="A3" s="51" t="s">
        <v>8</v>
      </c>
      <c r="B3" s="160">
        <v>5958</v>
      </c>
      <c r="C3" s="161"/>
      <c r="E3" s="59" t="s">
        <v>72</v>
      </c>
      <c r="F3" s="56" t="s">
        <v>27</v>
      </c>
      <c r="G3" s="44">
        <v>945</v>
      </c>
      <c r="H3" s="129">
        <f>IF(B$15=0,0,G3/B$15)</f>
        <v>0.53754266211604096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12.820512820512821</v>
      </c>
      <c r="P3" s="115">
        <v>702</v>
      </c>
      <c r="Q3" s="99">
        <v>9000</v>
      </c>
    </row>
    <row r="4" spans="1:17" x14ac:dyDescent="0.45">
      <c r="A4" s="51" t="s">
        <v>6</v>
      </c>
      <c r="B4" s="162">
        <v>-4.2632564145606011E-14</v>
      </c>
      <c r="C4" s="163"/>
      <c r="E4" s="59" t="s">
        <v>64</v>
      </c>
      <c r="F4" s="56" t="s">
        <v>20</v>
      </c>
      <c r="G4" s="44">
        <v>812</v>
      </c>
      <c r="H4" s="129">
        <f>IF(B$15=0,0,G4/B$15)</f>
        <v>0.46188850967007966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-10.606060606060606</v>
      </c>
      <c r="P4" s="115">
        <v>660</v>
      </c>
      <c r="Q4" s="99">
        <v>-7000</v>
      </c>
    </row>
    <row r="5" spans="1:17" x14ac:dyDescent="0.45">
      <c r="A5" s="51" t="s">
        <v>7</v>
      </c>
      <c r="B5" s="164">
        <f>IF(B$2=0,0,B$4/B$2)</f>
        <v>-5.9459643159841015E-17</v>
      </c>
      <c r="C5" s="165"/>
      <c r="E5" s="59" t="s">
        <v>166</v>
      </c>
      <c r="F5" s="56" t="s">
        <v>167</v>
      </c>
      <c r="G5" s="44">
        <v>702</v>
      </c>
      <c r="H5" s="129">
        <f>IF(B$15=0,0,G5/B$15)</f>
        <v>0.39931740614334471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9.6618357487922708</v>
      </c>
      <c r="P5" s="115">
        <v>621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546</v>
      </c>
      <c r="H6" s="129">
        <f>IF(B$15=0,0,G6/B$15)</f>
        <v>0.31058020477815701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8.7719298245614041</v>
      </c>
      <c r="P6" s="115">
        <v>570</v>
      </c>
      <c r="Q6" s="99">
        <v>5000</v>
      </c>
    </row>
    <row r="7" spans="1:17" x14ac:dyDescent="0.45">
      <c r="A7" s="51" t="s">
        <v>2</v>
      </c>
      <c r="B7" s="44">
        <v>239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497</v>
      </c>
      <c r="H7" s="129">
        <f>IF(B$15=0,0,G7/B$15)</f>
        <v>0.28270762229806601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12.578616352201259</v>
      </c>
      <c r="P7" s="116">
        <v>477</v>
      </c>
      <c r="Q7" s="100">
        <v>6000</v>
      </c>
    </row>
    <row r="8" spans="1:17" x14ac:dyDescent="0.45">
      <c r="A8" s="51" t="s">
        <v>3</v>
      </c>
      <c r="B8" s="44">
        <v>239</v>
      </c>
      <c r="C8" s="37">
        <f t="shared" si="1"/>
        <v>0.33333333333333331</v>
      </c>
      <c r="E8" s="59" t="s">
        <v>69</v>
      </c>
      <c r="F8" s="56" t="s">
        <v>24</v>
      </c>
      <c r="G8" s="44">
        <v>257</v>
      </c>
      <c r="H8" s="129">
        <f>IF(B$15=0,0,G8/B$15)</f>
        <v>0.14618885096700796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239</v>
      </c>
      <c r="C9" s="38">
        <f t="shared" si="1"/>
        <v>0.33333333333333331</v>
      </c>
      <c r="E9" s="59" t="s">
        <v>89</v>
      </c>
      <c r="F9" s="56" t="s">
        <v>44</v>
      </c>
      <c r="G9" s="44">
        <v>234</v>
      </c>
      <c r="H9" s="129">
        <f>IF(B$15=0,0,G9/B$15)</f>
        <v>0.13310580204778158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70</v>
      </c>
      <c r="C10" s="40">
        <f t="shared" si="1"/>
        <v>9.7629009762900981E-2</v>
      </c>
      <c r="E10" s="59" t="s">
        <v>65</v>
      </c>
      <c r="F10" s="56" t="s">
        <v>21</v>
      </c>
      <c r="G10" s="44">
        <v>185</v>
      </c>
      <c r="H10" s="129">
        <f>IF(B$15=0,0,G10/B$15)</f>
        <v>0.10523321956769056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-1.6581589958159004</v>
      </c>
      <c r="P10" s="114">
        <v>239</v>
      </c>
      <c r="Q10" s="102">
        <v>-396.30000000000018</v>
      </c>
    </row>
    <row r="11" spans="1:17" x14ac:dyDescent="0.45">
      <c r="A11" s="54" t="s">
        <v>121</v>
      </c>
      <c r="B11" s="47">
        <v>1509</v>
      </c>
      <c r="C11" s="42">
        <f>IF(B$3=0,0,B11/B$3)</f>
        <v>0.25327291037260824</v>
      </c>
      <c r="E11" s="59" t="s">
        <v>70</v>
      </c>
      <c r="F11" s="56" t="s">
        <v>25</v>
      </c>
      <c r="G11" s="44">
        <v>158</v>
      </c>
      <c r="H11" s="129">
        <f>IF(B$15=0,0,G11/B$15)</f>
        <v>8.987485779294653E-2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1.0138075313807531</v>
      </c>
      <c r="P11" s="115">
        <v>239</v>
      </c>
      <c r="Q11" s="103">
        <v>242.3</v>
      </c>
    </row>
    <row r="12" spans="1:17" x14ac:dyDescent="0.45">
      <c r="A12" s="51" t="s">
        <v>118</v>
      </c>
      <c r="B12" s="44">
        <v>1361</v>
      </c>
      <c r="C12" s="37">
        <f>IF(B$3=0,0,B12/B$3)</f>
        <v>0.22843235985229943</v>
      </c>
      <c r="E12" s="59" t="s">
        <v>71</v>
      </c>
      <c r="F12" s="56" t="s">
        <v>26</v>
      </c>
      <c r="G12" s="44">
        <v>138</v>
      </c>
      <c r="H12" s="129">
        <f>IF(B$15=0,0,G12/B$15)</f>
        <v>7.8498293515358364E-2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0.64435146443514602</v>
      </c>
      <c r="P12" s="116">
        <v>239</v>
      </c>
      <c r="Q12" s="104">
        <v>153.99999999999989</v>
      </c>
    </row>
    <row r="13" spans="1:17" x14ac:dyDescent="0.45">
      <c r="A13" s="50" t="s">
        <v>123</v>
      </c>
      <c r="B13" s="43">
        <f>B19</f>
        <v>844</v>
      </c>
      <c r="C13" s="35">
        <f>IF(B$11=0,0,B13/B$11)</f>
        <v>0.5593108018555335</v>
      </c>
      <c r="E13" s="59" t="s">
        <v>86</v>
      </c>
      <c r="F13" s="56" t="s">
        <v>41</v>
      </c>
      <c r="G13" s="44">
        <v>94</v>
      </c>
      <c r="H13" s="129">
        <f>IF(B$15=0,0,G13/B$15)</f>
        <v>5.3469852104664393E-2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569</v>
      </c>
      <c r="C14" s="35">
        <f>IF(B$12=0,0,B14/B$12)</f>
        <v>0.4180749448934607</v>
      </c>
      <c r="E14" s="59" t="s">
        <v>83</v>
      </c>
      <c r="F14" s="56" t="s">
        <v>38</v>
      </c>
      <c r="G14" s="44">
        <v>90</v>
      </c>
      <c r="H14" s="129">
        <f>IF(B$15=0,0,G14/B$15)</f>
        <v>5.1194539249146756E-2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1758</v>
      </c>
      <c r="C15" s="35">
        <f>IF(B$3=0,0,B15/B$3)</f>
        <v>0.29506545820745217</v>
      </c>
      <c r="E15" s="59" t="s">
        <v>162</v>
      </c>
      <c r="F15" s="56" t="s">
        <v>163</v>
      </c>
      <c r="G15" s="44">
        <v>44</v>
      </c>
      <c r="H15" s="129">
        <f>IF(B$15=0,0,G15/B$15)</f>
        <v>2.502844141069397E-2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975</v>
      </c>
      <c r="C16" s="37">
        <f>IF(B$3=0,0,B16/B$3)</f>
        <v>0.16364551863041288</v>
      </c>
      <c r="E16" s="59" t="s">
        <v>78</v>
      </c>
      <c r="F16" s="56" t="s">
        <v>33</v>
      </c>
      <c r="G16" s="44">
        <v>41</v>
      </c>
      <c r="H16" s="129">
        <f>IF(B$15=0,0,G16/B$15)</f>
        <v>2.3321956769055744E-2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775</v>
      </c>
      <c r="C17" s="37">
        <f>IF(B$15=0,0,B17/B$15)</f>
        <v>0.44084186575654155</v>
      </c>
      <c r="E17" s="59" t="s">
        <v>81</v>
      </c>
      <c r="F17" s="56" t="s">
        <v>36</v>
      </c>
      <c r="G17" s="44">
        <v>32</v>
      </c>
      <c r="H17" s="129">
        <f>IF(B$15=0,0,G17/B$15)</f>
        <v>1.8202502844141068E-2</v>
      </c>
      <c r="I17" s="90">
        <v>4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983</v>
      </c>
      <c r="C18" s="37">
        <f>IF(B$15=0,0,B18/B$15)</f>
        <v>0.5591581342434585</v>
      </c>
      <c r="E18" s="59" t="s">
        <v>91</v>
      </c>
      <c r="F18" s="56" t="s">
        <v>46</v>
      </c>
      <c r="G18" s="44">
        <v>24</v>
      </c>
      <c r="H18" s="129">
        <f>IF(B$15=0,0,G18/B$15)</f>
        <v>1.3651877133105802E-2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8.9876470588235264</v>
      </c>
      <c r="P18" s="115">
        <v>170</v>
      </c>
      <c r="Q18" s="103">
        <v>1527.8999999999994</v>
      </c>
    </row>
    <row r="19" spans="1:17" x14ac:dyDescent="0.45">
      <c r="A19" s="51" t="s">
        <v>195</v>
      </c>
      <c r="B19" s="44">
        <v>844</v>
      </c>
      <c r="C19" s="37">
        <f>IF(B$15=0,0,B19/B$15)</f>
        <v>0.48009101251422071</v>
      </c>
      <c r="E19" s="59" t="s">
        <v>79</v>
      </c>
      <c r="F19" s="56" t="s">
        <v>34</v>
      </c>
      <c r="G19" s="44">
        <v>22</v>
      </c>
      <c r="H19" s="129">
        <f>IF(B$15=0,0,G19/B$15)</f>
        <v>1.2514220705346985E-2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>IF(P19=0,0,Q19/P19)</f>
        <v>-0.13615384615385079</v>
      </c>
      <c r="P19" s="115">
        <v>260</v>
      </c>
      <c r="Q19" s="103">
        <v>-35.400000000001207</v>
      </c>
    </row>
    <row r="20" spans="1:17" x14ac:dyDescent="0.45">
      <c r="A20" s="51" t="s">
        <v>193</v>
      </c>
      <c r="B20" s="44">
        <v>569</v>
      </c>
      <c r="C20" s="37">
        <f>IF(B$15=0,0,B20/B$15)</f>
        <v>0.32366325369738341</v>
      </c>
      <c r="E20" s="59" t="s">
        <v>75</v>
      </c>
      <c r="F20" s="56" t="s">
        <v>30</v>
      </c>
      <c r="G20" s="44">
        <v>13</v>
      </c>
      <c r="H20" s="129">
        <f>IF(B$15=0,0,G20/B$15)</f>
        <v>7.3947667804323096E-3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5">
      <c r="A21" s="51" t="s">
        <v>194</v>
      </c>
      <c r="B21" s="44">
        <v>345</v>
      </c>
      <c r="C21" s="37">
        <f>IF(B$15=0,0,B21/B$15)</f>
        <v>0.19624573378839591</v>
      </c>
      <c r="E21" s="59" t="s">
        <v>92</v>
      </c>
      <c r="F21" s="56" t="s">
        <v>47</v>
      </c>
      <c r="G21" s="44">
        <v>11</v>
      </c>
      <c r="H21" s="129">
        <f>IF(B$15=0,0,G21/B$15)</f>
        <v>6.2571103526734926E-3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-1.4364864864864872</v>
      </c>
      <c r="P21" s="115">
        <v>222</v>
      </c>
      <c r="Q21" s="103">
        <v>-318.90000000000015</v>
      </c>
    </row>
    <row r="22" spans="1:17" x14ac:dyDescent="0.45">
      <c r="A22" s="51" t="s">
        <v>5</v>
      </c>
      <c r="B22" s="48">
        <f>IF(B$15=0,0,C22/B$15)</f>
        <v>8436.6325369738333</v>
      </c>
      <c r="C22" s="39">
        <v>14831600</v>
      </c>
      <c r="E22" s="59" t="s">
        <v>73</v>
      </c>
      <c r="F22" s="56" t="s">
        <v>28</v>
      </c>
      <c r="G22" s="44">
        <v>8</v>
      </c>
      <c r="H22" s="129">
        <f>IF(B$15=0,0,G22/B$15)</f>
        <v>4.5506257110352671E-3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-5.3418367346938753</v>
      </c>
      <c r="P22" s="115">
        <v>196</v>
      </c>
      <c r="Q22" s="103">
        <v>-1046.9999999999995</v>
      </c>
    </row>
    <row r="23" spans="1:17" x14ac:dyDescent="0.45">
      <c r="A23" s="52" t="s">
        <v>177</v>
      </c>
      <c r="B23" s="136">
        <f>IF($B$15-B$14=0,0,C23/($B$15-B$14))</f>
        <v>9051.8082422203533</v>
      </c>
      <c r="C23" s="137">
        <v>10762600</v>
      </c>
      <c r="E23" s="59" t="s">
        <v>84</v>
      </c>
      <c r="F23" s="56" t="s">
        <v>39</v>
      </c>
      <c r="G23" s="44">
        <v>7</v>
      </c>
      <c r="H23" s="129">
        <f>IF(B$15=0,0,G23/B$15)</f>
        <v>3.9817974971558586E-3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-12.043150684931501</v>
      </c>
      <c r="P23" s="115">
        <v>292</v>
      </c>
      <c r="Q23" s="103">
        <v>-3516.5999999999981</v>
      </c>
    </row>
    <row r="24" spans="1:17" x14ac:dyDescent="0.45">
      <c r="A24" s="52" t="s">
        <v>178</v>
      </c>
      <c r="B24" s="136">
        <f>IF(B$14=0,0,C24/B$14)</f>
        <v>7151.1423550087875</v>
      </c>
      <c r="C24" s="137">
        <v>4069000</v>
      </c>
      <c r="E24" s="59" t="s">
        <v>74</v>
      </c>
      <c r="F24" s="56" t="s">
        <v>29</v>
      </c>
      <c r="G24" s="44">
        <v>6</v>
      </c>
      <c r="H24" s="129">
        <f>IF(B$15=0,0,G24/B$15)</f>
        <v>3.4129692832764505E-3</v>
      </c>
      <c r="I24" s="90">
        <v>5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-7787.6923076923076</v>
      </c>
      <c r="C25" s="137">
        <v>-7593000</v>
      </c>
      <c r="E25" s="59" t="s">
        <v>85</v>
      </c>
      <c r="F25" s="56" t="s">
        <v>40</v>
      </c>
      <c r="G25" s="44">
        <v>6</v>
      </c>
      <c r="H25" s="129">
        <f>IF(B$15=0,0,G25/B$15)</f>
        <v>3.4129692832764505E-3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-26.400000000000002</v>
      </c>
      <c r="P25" s="115">
        <v>2</v>
      </c>
      <c r="Q25" s="103">
        <v>-52.800000000000004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5</v>
      </c>
      <c r="H26" s="129">
        <f>IF(B$15=0,0,G26/B$15)</f>
        <v>2.844141069397042E-3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5</v>
      </c>
      <c r="H27" s="129">
        <f>IF(B$15=0,0,G27/B$15)</f>
        <v>2.844141069397042E-3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2.2753128555176336E-3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2.2753128555176336E-3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2.6854649211144679E-3</v>
      </c>
      <c r="E30" s="59" t="s">
        <v>93</v>
      </c>
      <c r="F30" s="56" t="s">
        <v>48</v>
      </c>
      <c r="G30" s="44">
        <v>3</v>
      </c>
      <c r="H30" s="129">
        <f>IF(B$15=0,0,G30/B$15)</f>
        <v>1.7064846416382253E-3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1.1376564277588168E-3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133</v>
      </c>
      <c r="C32" s="141">
        <f>IF(B$15=0,0,B32/B$15)</f>
        <v>7.5654152445961326E-2</v>
      </c>
      <c r="E32" s="59" t="s">
        <v>97</v>
      </c>
      <c r="F32" s="56" t="s">
        <v>52</v>
      </c>
      <c r="G32" s="44">
        <v>1</v>
      </c>
      <c r="H32" s="129">
        <f>IF(B$15=0,0,G32/B$15)</f>
        <v>5.6882821387940839E-4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295</v>
      </c>
      <c r="C33" s="37">
        <f t="shared" ref="C33:C44" si="2">IF(B$15=0,0,B33/B$15)</f>
        <v>0.16780432309442547</v>
      </c>
      <c r="E33" s="59" t="s">
        <v>101</v>
      </c>
      <c r="F33" s="56" t="s">
        <v>56</v>
      </c>
      <c r="G33" s="44">
        <v>1</v>
      </c>
      <c r="H33" s="129">
        <f>IF(B$15=0,0,G33/B$15)</f>
        <v>5.6882821387940839E-4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348</v>
      </c>
      <c r="C34" s="37">
        <f>IF(B$15=0,0,B34/B$15)</f>
        <v>0.19795221843003413</v>
      </c>
      <c r="E34" s="59" t="s">
        <v>106</v>
      </c>
      <c r="F34" s="56" t="s">
        <v>113</v>
      </c>
      <c r="G34" s="44">
        <v>1</v>
      </c>
      <c r="H34" s="129">
        <f>IF(B$15=0,0,G34/B$15)</f>
        <v>5.6882821387940839E-4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308</v>
      </c>
      <c r="C35" s="37">
        <f t="shared" si="2"/>
        <v>0.1751990898748578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283</v>
      </c>
      <c r="C36" s="37">
        <f t="shared" si="2"/>
        <v>0.16097838452787258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185</v>
      </c>
      <c r="C37" s="37">
        <f t="shared" si="2"/>
        <v>0.10523321956769056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94</v>
      </c>
      <c r="C38" s="37">
        <f t="shared" si="2"/>
        <v>5.3469852104664393E-2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2.9579067121729238E-2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20</v>
      </c>
      <c r="C40" s="37">
        <f t="shared" si="2"/>
        <v>1.1376564277588168E-2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3.9817974971558586E-3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3.4129692832764505E-3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3.4129692832764505E-3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1.1945392491467578E-2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9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3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146</v>
      </c>
      <c r="C2" s="159"/>
      <c r="E2" s="58" t="s">
        <v>66</v>
      </c>
      <c r="F2" s="55" t="s">
        <v>22</v>
      </c>
      <c r="G2" s="43">
        <v>270</v>
      </c>
      <c r="H2" s="128">
        <f>IF(B$15=0,0,G2/B$15)</f>
        <v>0.66014669926650371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1109.655172413793</v>
      </c>
      <c r="P2" s="114">
        <v>145</v>
      </c>
      <c r="Q2" s="98">
        <v>160900</v>
      </c>
    </row>
    <row r="3" spans="1:17" x14ac:dyDescent="0.45">
      <c r="A3" s="51" t="s">
        <v>8</v>
      </c>
      <c r="B3" s="160">
        <v>1195</v>
      </c>
      <c r="C3" s="161"/>
      <c r="E3" s="59" t="s">
        <v>72</v>
      </c>
      <c r="F3" s="56" t="s">
        <v>27</v>
      </c>
      <c r="G3" s="44">
        <v>207</v>
      </c>
      <c r="H3" s="129">
        <f>IF(B$15=0,0,G3/B$15)</f>
        <v>0.50611246943765276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919.71830985915494</v>
      </c>
      <c r="P3" s="115">
        <v>142</v>
      </c>
      <c r="Q3" s="99">
        <v>130600</v>
      </c>
    </row>
    <row r="4" spans="1:17" x14ac:dyDescent="0.45">
      <c r="A4" s="51" t="s">
        <v>6</v>
      </c>
      <c r="B4" s="162">
        <v>1172.2000000000003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0.45232273838630804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980.88235294117646</v>
      </c>
      <c r="P4" s="115">
        <v>136</v>
      </c>
      <c r="Q4" s="99">
        <v>133400</v>
      </c>
    </row>
    <row r="5" spans="1:17" x14ac:dyDescent="0.45">
      <c r="A5" s="51" t="s">
        <v>7</v>
      </c>
      <c r="B5" s="164">
        <f>IF(B$2=0,0,B$4/B$2)</f>
        <v>8.0287671232876736</v>
      </c>
      <c r="C5" s="165"/>
      <c r="E5" s="59" t="s">
        <v>166</v>
      </c>
      <c r="F5" s="56" t="s">
        <v>167</v>
      </c>
      <c r="G5" s="44">
        <v>157</v>
      </c>
      <c r="H5" s="129">
        <f>IF(B$15=0,0,G5/B$15)</f>
        <v>0.38386308068459657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125.39682539682539</v>
      </c>
      <c r="P5" s="115">
        <v>126</v>
      </c>
      <c r="Q5" s="99">
        <v>15800</v>
      </c>
    </row>
    <row r="6" spans="1:17" x14ac:dyDescent="0.45">
      <c r="A6" s="51" t="s">
        <v>1</v>
      </c>
      <c r="B6" s="154">
        <f>IF(B$2=0,0,(B$7*1+B$8*2+B$9*3)/B$2)</f>
        <v>1.8082191780821917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0.28850855745721271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1873.2758620689656</v>
      </c>
      <c r="P6" s="115">
        <v>116</v>
      </c>
      <c r="Q6" s="99">
        <v>217300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0.45205479452054792</v>
      </c>
      <c r="E7" s="59" t="s">
        <v>67</v>
      </c>
      <c r="F7" s="56" t="s">
        <v>23</v>
      </c>
      <c r="G7" s="44">
        <v>105</v>
      </c>
      <c r="H7" s="129">
        <f>IF(B$15=0,0,G7/B$15)</f>
        <v>0.25672371638141811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2011.4583333333333</v>
      </c>
      <c r="P7" s="116">
        <v>96</v>
      </c>
      <c r="Q7" s="100">
        <v>193100</v>
      </c>
    </row>
    <row r="8" spans="1:17" x14ac:dyDescent="0.45">
      <c r="A8" s="51" t="s">
        <v>3</v>
      </c>
      <c r="B8" s="44">
        <v>42</v>
      </c>
      <c r="C8" s="37">
        <f t="shared" si="1"/>
        <v>0.28767123287671231</v>
      </c>
      <c r="E8" s="59" t="s">
        <v>89</v>
      </c>
      <c r="F8" s="56" t="s">
        <v>44</v>
      </c>
      <c r="G8" s="44">
        <v>59</v>
      </c>
      <c r="H8" s="129">
        <f>IF(B$15=0,0,G8/B$15)</f>
        <v>0.14425427872860636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0.26027397260273971</v>
      </c>
      <c r="E9" s="59" t="s">
        <v>69</v>
      </c>
      <c r="F9" s="56" t="s">
        <v>24</v>
      </c>
      <c r="G9" s="44">
        <v>56</v>
      </c>
      <c r="H9" s="129">
        <f>IF(B$15=0,0,G9/B$15)</f>
        <v>0.13691931540342298</v>
      </c>
      <c r="I9" s="90">
        <v>8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4.7945205479452052E-2</v>
      </c>
      <c r="E10" s="59" t="s">
        <v>65</v>
      </c>
      <c r="F10" s="56" t="s">
        <v>21</v>
      </c>
      <c r="G10" s="44">
        <v>47</v>
      </c>
      <c r="H10" s="129">
        <f>IF(B$15=0,0,G10/B$15)</f>
        <v>0.11491442542787286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323</v>
      </c>
      <c r="C11" s="42">
        <f>IF(B$3=0,0,B11/B$3)</f>
        <v>0.27029288702928872</v>
      </c>
      <c r="E11" s="59" t="s">
        <v>71</v>
      </c>
      <c r="F11" s="56" t="s">
        <v>26</v>
      </c>
      <c r="G11" s="44">
        <v>27</v>
      </c>
      <c r="H11" s="129">
        <f>IF(B$15=0,0,G11/B$15)</f>
        <v>6.6014669926650366E-2</v>
      </c>
      <c r="I11" s="90">
        <v>10</v>
      </c>
      <c r="K11" s="36">
        <v>9</v>
      </c>
      <c r="L11" s="95">
        <v>180.89999999999998</v>
      </c>
      <c r="N11" s="111" t="s">
        <v>158</v>
      </c>
      <c r="O11" s="121">
        <f>IF(P11=0,0,Q11/P11)</f>
        <v>2.592307692307692</v>
      </c>
      <c r="P11" s="115">
        <v>52</v>
      </c>
      <c r="Q11" s="103">
        <v>134.79999999999998</v>
      </c>
    </row>
    <row r="12" spans="1:17" x14ac:dyDescent="0.45">
      <c r="A12" s="51" t="s">
        <v>118</v>
      </c>
      <c r="B12" s="44">
        <v>270</v>
      </c>
      <c r="C12" s="37">
        <f>IF(B$3=0,0,B12/B$3)</f>
        <v>0.22594142259414227</v>
      </c>
      <c r="E12" s="59" t="s">
        <v>86</v>
      </c>
      <c r="F12" s="56" t="s">
        <v>41</v>
      </c>
      <c r="G12" s="44">
        <v>27</v>
      </c>
      <c r="H12" s="129">
        <f>IF(B$15=0,0,G12/B$15)</f>
        <v>6.6014669926650366E-2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0.60371517027863775</v>
      </c>
      <c r="E13" s="59" t="s">
        <v>70</v>
      </c>
      <c r="F13" s="56" t="s">
        <v>25</v>
      </c>
      <c r="G13" s="44">
        <v>22</v>
      </c>
      <c r="H13" s="129">
        <f>IF(B$15=0,0,G13/B$15)</f>
        <v>5.3789731051344741E-2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130</v>
      </c>
      <c r="C14" s="35">
        <f>IF(B$12=0,0,B14/B$12)</f>
        <v>0.48148148148148145</v>
      </c>
      <c r="E14" s="59" t="s">
        <v>83</v>
      </c>
      <c r="F14" s="56" t="s">
        <v>38</v>
      </c>
      <c r="G14" s="44">
        <v>18</v>
      </c>
      <c r="H14" s="129">
        <f>IF(B$15=0,0,G14/B$15)</f>
        <v>4.4009779951100246E-2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409</v>
      </c>
      <c r="C15" s="35">
        <f>IF(B$3=0,0,B15/B$3)</f>
        <v>0.34225941422594142</v>
      </c>
      <c r="E15" s="59" t="s">
        <v>78</v>
      </c>
      <c r="F15" s="56" t="s">
        <v>33</v>
      </c>
      <c r="G15" s="44">
        <v>15</v>
      </c>
      <c r="H15" s="129">
        <f>IF(B$15=0,0,G15/B$15)</f>
        <v>3.6674816625916873E-2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157</v>
      </c>
      <c r="C16" s="37">
        <f>IF(B$3=0,0,B16/B$3)</f>
        <v>0.13138075313807532</v>
      </c>
      <c r="E16" s="59" t="s">
        <v>162</v>
      </c>
      <c r="F16" s="56" t="s">
        <v>163</v>
      </c>
      <c r="G16" s="44">
        <v>13</v>
      </c>
      <c r="H16" s="129">
        <f>IF(B$15=0,0,G16/B$15)</f>
        <v>3.1784841075794622E-2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172</v>
      </c>
      <c r="C17" s="37">
        <f>IF(B$15=0,0,B17/B$15)</f>
        <v>0.42053789731051344</v>
      </c>
      <c r="E17" s="59" t="s">
        <v>81</v>
      </c>
      <c r="F17" s="56" t="s">
        <v>36</v>
      </c>
      <c r="G17" s="44">
        <v>5</v>
      </c>
      <c r="H17" s="129">
        <f>IF(B$15=0,0,G17/B$15)</f>
        <v>1.2224938875305624E-2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>IF(P17=0,0,Q17/P17)</f>
        <v>14.05666666666667</v>
      </c>
      <c r="P17" s="115">
        <v>90</v>
      </c>
      <c r="Q17" s="103">
        <v>1265.1000000000004</v>
      </c>
    </row>
    <row r="18" spans="1:17" x14ac:dyDescent="0.45">
      <c r="A18" s="51" t="s">
        <v>11</v>
      </c>
      <c r="B18" s="44">
        <v>237</v>
      </c>
      <c r="C18" s="37">
        <f>IF(B$15=0,0,B18/B$15)</f>
        <v>0.5794621026894865</v>
      </c>
      <c r="E18" s="59" t="s">
        <v>75</v>
      </c>
      <c r="F18" s="56" t="s">
        <v>30</v>
      </c>
      <c r="G18" s="44">
        <v>4</v>
      </c>
      <c r="H18" s="129">
        <f>IF(B$15=0,0,G18/B$15)</f>
        <v>9.7799511002444987E-3</v>
      </c>
      <c r="I18" s="90">
        <v>3</v>
      </c>
      <c r="K18" s="36">
        <v>16</v>
      </c>
      <c r="L18" s="95">
        <v>323.69999999999993</v>
      </c>
      <c r="N18" s="111" t="s">
        <v>172</v>
      </c>
      <c r="O18" s="121">
        <f>IF(P18=0,0,Q18/P18)</f>
        <v>13.78679245283019</v>
      </c>
      <c r="P18" s="115">
        <v>53</v>
      </c>
      <c r="Q18" s="103">
        <v>730.7</v>
      </c>
    </row>
    <row r="19" spans="1:17" x14ac:dyDescent="0.45">
      <c r="A19" s="51" t="s">
        <v>195</v>
      </c>
      <c r="B19" s="44">
        <v>195</v>
      </c>
      <c r="C19" s="37">
        <f>IF(B$15=0,0,B19/B$15)</f>
        <v>0.47677261613691929</v>
      </c>
      <c r="E19" s="59" t="s">
        <v>77</v>
      </c>
      <c r="F19" s="56" t="s">
        <v>32</v>
      </c>
      <c r="G19" s="44">
        <v>3</v>
      </c>
      <c r="H19" s="129">
        <f>IF(B$15=0,0,G19/B$15)</f>
        <v>7.3349633251833741E-3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>IF(P19=0,0,Q19/P19)</f>
        <v>13.271698113207547</v>
      </c>
      <c r="P19" s="115">
        <v>53</v>
      </c>
      <c r="Q19" s="103">
        <v>703.4</v>
      </c>
    </row>
    <row r="20" spans="1:17" x14ac:dyDescent="0.45">
      <c r="A20" s="51" t="s">
        <v>193</v>
      </c>
      <c r="B20" s="44">
        <v>130</v>
      </c>
      <c r="C20" s="37">
        <f>IF(B$15=0,0,B20/B$15)</f>
        <v>0.31784841075794623</v>
      </c>
      <c r="E20" s="59" t="s">
        <v>84</v>
      </c>
      <c r="F20" s="56" t="s">
        <v>39</v>
      </c>
      <c r="G20" s="44">
        <v>3</v>
      </c>
      <c r="H20" s="129">
        <f>IF(B$15=0,0,G20/B$15)</f>
        <v>7.3349633251833741E-3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0.20537897310513448</v>
      </c>
      <c r="E21" s="59" t="s">
        <v>91</v>
      </c>
      <c r="F21" s="56" t="s">
        <v>46</v>
      </c>
      <c r="G21" s="44">
        <v>3</v>
      </c>
      <c r="H21" s="129">
        <f>IF(B$15=0,0,G21/B$15)</f>
        <v>7.3349633251833741E-3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8175.0611246943763</v>
      </c>
      <c r="C22" s="39">
        <v>3343600</v>
      </c>
      <c r="E22" s="59" t="s">
        <v>92</v>
      </c>
      <c r="F22" s="56" t="s">
        <v>47</v>
      </c>
      <c r="G22" s="44">
        <v>3</v>
      </c>
      <c r="H22" s="129">
        <f>IF(B$15=0,0,G22/B$15)</f>
        <v>7.3349633251833741E-3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4.8899755501222494E-3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7366.9230769230771</v>
      </c>
      <c r="C24" s="137">
        <v>957700</v>
      </c>
      <c r="E24" s="59" t="s">
        <v>85</v>
      </c>
      <c r="F24" s="56" t="s">
        <v>40</v>
      </c>
      <c r="G24" s="44">
        <v>2</v>
      </c>
      <c r="H24" s="129">
        <f>IF(B$15=0,0,G24/B$15)</f>
        <v>4.8899755501222494E-3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-7697.4522292993634</v>
      </c>
      <c r="C25" s="137">
        <v>-1208500</v>
      </c>
      <c r="E25" s="59" t="s">
        <v>88</v>
      </c>
      <c r="F25" s="56" t="s">
        <v>43</v>
      </c>
      <c r="G25" s="44">
        <v>2</v>
      </c>
      <c r="H25" s="129">
        <f>IF(B$15=0,0,G25/B$15)</f>
        <v>4.8899755501222494E-3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4.8899755501222494E-3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6</v>
      </c>
      <c r="E27" s="59" t="s">
        <v>74</v>
      </c>
      <c r="F27" s="56" t="s">
        <v>29</v>
      </c>
      <c r="G27" s="44">
        <v>1</v>
      </c>
      <c r="H27" s="129">
        <f>IF(B$15=0,0,G27/B$15)</f>
        <v>2.4449877750611247E-3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2.4449877750611247E-3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2.4449877750611247E-3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8.3682008368200832E-4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37</v>
      </c>
      <c r="C32" s="141">
        <f>IF(B$15=0,0,B32/B$15)</f>
        <v>9.0464547677261614E-2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72</v>
      </c>
      <c r="C33" s="37">
        <f t="shared" ref="C33:C44" si="2">IF(B$15=0,0,B33/B$15)</f>
        <v>0.17603911980440098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88</v>
      </c>
      <c r="C34" s="37">
        <f>IF(B$15=0,0,B34/B$15)</f>
        <v>0.21515892420537897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2"/>
        <v>0.18337408312958436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2"/>
        <v>0.14669926650366749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9.0464547677261614E-2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19</v>
      </c>
      <c r="C38" s="37">
        <f t="shared" si="2"/>
        <v>4.6454767726161368E-2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1.4669926650366748E-2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1.9559902200488997E-2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2.4449877750611247E-3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1.4669926650366748E-2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130</v>
      </c>
      <c r="C2" s="159"/>
      <c r="E2" s="58" t="s">
        <v>66</v>
      </c>
      <c r="F2" s="55" t="s">
        <v>22</v>
      </c>
      <c r="G2" s="43">
        <v>273</v>
      </c>
      <c r="H2" s="128">
        <f>IF(B$15=0,0,G2/B$15)</f>
        <v>0.83742331288343563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-1496.1240310077519</v>
      </c>
      <c r="P2" s="114">
        <v>129</v>
      </c>
      <c r="Q2" s="98">
        <v>-193000</v>
      </c>
    </row>
    <row r="3" spans="1:17" x14ac:dyDescent="0.45">
      <c r="A3" s="51" t="s">
        <v>8</v>
      </c>
      <c r="B3" s="160">
        <v>1090</v>
      </c>
      <c r="C3" s="161"/>
      <c r="E3" s="59" t="s">
        <v>72</v>
      </c>
      <c r="F3" s="56" t="s">
        <v>27</v>
      </c>
      <c r="G3" s="44">
        <v>190</v>
      </c>
      <c r="H3" s="129">
        <f>IF(B$15=0,0,G3/B$15)</f>
        <v>0.58282208588957052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1389.7637795275591</v>
      </c>
      <c r="P3" s="115">
        <v>127</v>
      </c>
      <c r="Q3" s="99">
        <v>176500</v>
      </c>
    </row>
    <row r="4" spans="1:17" x14ac:dyDescent="0.45">
      <c r="A4" s="51" t="s">
        <v>6</v>
      </c>
      <c r="B4" s="162">
        <v>11.799999999999804</v>
      </c>
      <c r="C4" s="163"/>
      <c r="E4" s="59" t="s">
        <v>166</v>
      </c>
      <c r="F4" s="56" t="s">
        <v>167</v>
      </c>
      <c r="G4" s="44">
        <v>129</v>
      </c>
      <c r="H4" s="129">
        <f>IF(B$15=0,0,G4/B$15)</f>
        <v>0.39570552147239263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-264.65517241379308</v>
      </c>
      <c r="P4" s="115">
        <v>116</v>
      </c>
      <c r="Q4" s="99">
        <v>-30700</v>
      </c>
    </row>
    <row r="5" spans="1:17" x14ac:dyDescent="0.45">
      <c r="A5" s="51" t="s">
        <v>7</v>
      </c>
      <c r="B5" s="164">
        <f>IF(B$2=0,0,B$4/B$2)</f>
        <v>9.0769230769229256E-2</v>
      </c>
      <c r="C5" s="165"/>
      <c r="E5" s="59" t="s">
        <v>64</v>
      </c>
      <c r="F5" s="56" t="s">
        <v>20</v>
      </c>
      <c r="G5" s="44">
        <v>123</v>
      </c>
      <c r="H5" s="129">
        <f>IF(B$15=0,0,G5/B$15)</f>
        <v>0.3773006134969325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353.63636363636363</v>
      </c>
      <c r="P5" s="115">
        <v>110</v>
      </c>
      <c r="Q5" s="99">
        <v>38900</v>
      </c>
    </row>
    <row r="6" spans="1:17" x14ac:dyDescent="0.45">
      <c r="A6" s="51" t="s">
        <v>1</v>
      </c>
      <c r="B6" s="154">
        <f>IF(B$2=0,0,(B$7*1+B$8*2+B$9*3)/B$2)</f>
        <v>1.9615384615384615</v>
      </c>
      <c r="C6" s="155"/>
      <c r="E6" s="59" t="s">
        <v>68</v>
      </c>
      <c r="F6" s="56" t="s">
        <v>12</v>
      </c>
      <c r="G6" s="44">
        <v>88</v>
      </c>
      <c r="H6" s="129">
        <f>IF(B$15=0,0,G6/B$15)</f>
        <v>0.26993865030674846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-990.09900990099015</v>
      </c>
      <c r="P6" s="115">
        <v>101</v>
      </c>
      <c r="Q6" s="99">
        <v>-100000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0.33846153846153848</v>
      </c>
      <c r="E7" s="59" t="s">
        <v>67</v>
      </c>
      <c r="F7" s="56" t="s">
        <v>23</v>
      </c>
      <c r="G7" s="44">
        <v>69</v>
      </c>
      <c r="H7" s="129">
        <f>IF(B$15=0,0,G7/B$15)</f>
        <v>0.21165644171779141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1434.8837209302326</v>
      </c>
      <c r="P7" s="116">
        <v>86</v>
      </c>
      <c r="Q7" s="100">
        <v>123400</v>
      </c>
    </row>
    <row r="8" spans="1:17" x14ac:dyDescent="0.45">
      <c r="A8" s="51" t="s">
        <v>3</v>
      </c>
      <c r="B8" s="44">
        <v>47</v>
      </c>
      <c r="C8" s="37">
        <f t="shared" si="1"/>
        <v>0.36153846153846153</v>
      </c>
      <c r="E8" s="59" t="s">
        <v>89</v>
      </c>
      <c r="F8" s="56" t="s">
        <v>44</v>
      </c>
      <c r="G8" s="44">
        <v>40</v>
      </c>
      <c r="H8" s="129">
        <f>IF(B$15=0,0,G8/B$15)</f>
        <v>0.12269938650306748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0.3</v>
      </c>
      <c r="E9" s="59" t="s">
        <v>69</v>
      </c>
      <c r="F9" s="56" t="s">
        <v>24</v>
      </c>
      <c r="G9" s="44">
        <v>39</v>
      </c>
      <c r="H9" s="129">
        <f>IF(B$15=0,0,G9/B$15)</f>
        <v>0.1196319018404908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0.13846153846153847</v>
      </c>
      <c r="E10" s="59" t="s">
        <v>71</v>
      </c>
      <c r="F10" s="56" t="s">
        <v>26</v>
      </c>
      <c r="G10" s="44">
        <v>30</v>
      </c>
      <c r="H10" s="129">
        <f>IF(B$15=0,0,G10/B$15)</f>
        <v>9.202453987730061E-2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1.6058823529411772</v>
      </c>
      <c r="P10" s="114">
        <v>34</v>
      </c>
      <c r="Q10" s="102">
        <v>54.600000000000023</v>
      </c>
    </row>
    <row r="11" spans="1:17" x14ac:dyDescent="0.45">
      <c r="A11" s="54" t="s">
        <v>121</v>
      </c>
      <c r="B11" s="47">
        <v>249</v>
      </c>
      <c r="C11" s="42">
        <f>IF(B$3=0,0,B11/B$3)</f>
        <v>0.22844036697247708</v>
      </c>
      <c r="E11" s="59" t="s">
        <v>65</v>
      </c>
      <c r="F11" s="56" t="s">
        <v>21</v>
      </c>
      <c r="G11" s="44">
        <v>28</v>
      </c>
      <c r="H11" s="129">
        <f>IF(B$15=0,0,G11/B$15)</f>
        <v>8.5889570552147243E-2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4.0386363636363649</v>
      </c>
      <c r="P11" s="115">
        <v>44</v>
      </c>
      <c r="Q11" s="103">
        <v>177.70000000000005</v>
      </c>
    </row>
    <row r="12" spans="1:17" x14ac:dyDescent="0.45">
      <c r="A12" s="51" t="s">
        <v>118</v>
      </c>
      <c r="B12" s="44">
        <v>336</v>
      </c>
      <c r="C12" s="37">
        <f>IF(B$3=0,0,B12/B$3)</f>
        <v>0.30825688073394497</v>
      </c>
      <c r="E12" s="59" t="s">
        <v>70</v>
      </c>
      <c r="F12" s="56" t="s">
        <v>25</v>
      </c>
      <c r="G12" s="44">
        <v>28</v>
      </c>
      <c r="H12" s="129">
        <f>IF(B$15=0,0,G12/B$15)</f>
        <v>8.5889570552147243E-2</v>
      </c>
      <c r="I12" s="90">
        <v>9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122</v>
      </c>
      <c r="C13" s="35">
        <f>IF(B$11=0,0,B13/B$11)</f>
        <v>0.48995983935742971</v>
      </c>
      <c r="E13" s="59" t="s">
        <v>86</v>
      </c>
      <c r="F13" s="56" t="s">
        <v>41</v>
      </c>
      <c r="G13" s="44">
        <v>21</v>
      </c>
      <c r="H13" s="129">
        <f>IF(B$15=0,0,G13/B$15)</f>
        <v>6.4417177914110432E-2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0.38095238095238093</v>
      </c>
      <c r="E14" s="59" t="s">
        <v>83</v>
      </c>
      <c r="F14" s="56" t="s">
        <v>38</v>
      </c>
      <c r="G14" s="44">
        <v>19</v>
      </c>
      <c r="H14" s="129">
        <f>IF(B$15=0,0,G14/B$15)</f>
        <v>5.8282208588957052E-2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326</v>
      </c>
      <c r="C15" s="35">
        <f>IF(B$3=0,0,B15/B$3)</f>
        <v>0.29908256880733947</v>
      </c>
      <c r="E15" s="59" t="s">
        <v>78</v>
      </c>
      <c r="F15" s="56" t="s">
        <v>33</v>
      </c>
      <c r="G15" s="44">
        <v>9</v>
      </c>
      <c r="H15" s="129">
        <f>IF(B$15=0,0,G15/B$15)</f>
        <v>2.7607361963190184E-2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205</v>
      </c>
      <c r="C16" s="37">
        <f>IF(B$3=0,0,B16/B$3)</f>
        <v>0.18807339449541285</v>
      </c>
      <c r="E16" s="59" t="s">
        <v>91</v>
      </c>
      <c r="F16" s="56" t="s">
        <v>46</v>
      </c>
      <c r="G16" s="44">
        <v>9</v>
      </c>
      <c r="H16" s="129">
        <f>IF(B$15=0,0,G16/B$15)</f>
        <v>2.7607361963190184E-2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135</v>
      </c>
      <c r="C17" s="37">
        <f>IF(B$15=0,0,B17/B$15)</f>
        <v>0.41411042944785276</v>
      </c>
      <c r="E17" s="59" t="s">
        <v>81</v>
      </c>
      <c r="F17" s="56" t="s">
        <v>36</v>
      </c>
      <c r="G17" s="44">
        <v>8</v>
      </c>
      <c r="H17" s="129">
        <f>IF(B$15=0,0,G17/B$15)</f>
        <v>2.4539877300613498E-2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13.949999999999994</v>
      </c>
      <c r="P17" s="115">
        <v>44</v>
      </c>
      <c r="Q17" s="103">
        <v>613.79999999999973</v>
      </c>
    </row>
    <row r="18" spans="1:17" x14ac:dyDescent="0.45">
      <c r="A18" s="51" t="s">
        <v>11</v>
      </c>
      <c r="B18" s="44">
        <v>191</v>
      </c>
      <c r="C18" s="37">
        <f>IF(B$15=0,0,B18/B$15)</f>
        <v>0.58588957055214719</v>
      </c>
      <c r="E18" s="59" t="s">
        <v>79</v>
      </c>
      <c r="F18" s="56" t="s">
        <v>34</v>
      </c>
      <c r="G18" s="44">
        <v>6</v>
      </c>
      <c r="H18" s="129">
        <f>IF(B$15=0,0,G18/B$15)</f>
        <v>1.8404907975460124E-2</v>
      </c>
      <c r="I18" s="90">
        <v>4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122</v>
      </c>
      <c r="C19" s="37">
        <f>IF(B$15=0,0,B19/B$15)</f>
        <v>0.37423312883435583</v>
      </c>
      <c r="E19" s="59" t="s">
        <v>162</v>
      </c>
      <c r="F19" s="56" t="s">
        <v>163</v>
      </c>
      <c r="G19" s="44">
        <v>4</v>
      </c>
      <c r="H19" s="129">
        <f>IF(B$15=0,0,G19/B$15)</f>
        <v>1.2269938650306749E-2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128</v>
      </c>
      <c r="C20" s="37">
        <f>IF(B$15=0,0,B20/B$15)</f>
        <v>0.39263803680981596</v>
      </c>
      <c r="E20" s="59" t="s">
        <v>92</v>
      </c>
      <c r="F20" s="56" t="s">
        <v>47</v>
      </c>
      <c r="G20" s="44">
        <v>3</v>
      </c>
      <c r="H20" s="129">
        <f>IF(B$15=0,0,G20/B$15)</f>
        <v>9.202453987730062E-3</v>
      </c>
      <c r="I20" s="90">
        <v>3</v>
      </c>
      <c r="K20" s="36">
        <v>18</v>
      </c>
      <c r="L20" s="95">
        <v>-112.90000000000002</v>
      </c>
      <c r="N20" s="111" t="s">
        <v>170</v>
      </c>
      <c r="O20" s="121">
        <f>IF(P20=0,0,Q20/P20)</f>
        <v>3.5842105263157951</v>
      </c>
      <c r="P20" s="115">
        <v>38</v>
      </c>
      <c r="Q20" s="103">
        <v>136.20000000000022</v>
      </c>
    </row>
    <row r="21" spans="1:17" x14ac:dyDescent="0.45">
      <c r="A21" s="51" t="s">
        <v>194</v>
      </c>
      <c r="B21" s="44">
        <v>76</v>
      </c>
      <c r="C21" s="37">
        <f>IF(B$15=0,0,B21/B$15)</f>
        <v>0.23312883435582821</v>
      </c>
      <c r="E21" s="59" t="s">
        <v>74</v>
      </c>
      <c r="F21" s="56" t="s">
        <v>29</v>
      </c>
      <c r="G21" s="44">
        <v>2</v>
      </c>
      <c r="H21" s="129">
        <f>IF(B$15=0,0,G21/B$15)</f>
        <v>6.1349693251533744E-3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8436.8098159509209</v>
      </c>
      <c r="C22" s="39">
        <v>2750400</v>
      </c>
      <c r="E22" s="59" t="s">
        <v>75</v>
      </c>
      <c r="F22" s="56" t="s">
        <v>30</v>
      </c>
      <c r="G22" s="44">
        <v>2</v>
      </c>
      <c r="H22" s="129">
        <f>IF(B$15=0,0,G22/B$15)</f>
        <v>6.1349693251533744E-3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-14.05666666666667</v>
      </c>
      <c r="P22" s="115">
        <v>90</v>
      </c>
      <c r="Q22" s="103">
        <v>-1265.1000000000004</v>
      </c>
    </row>
    <row r="23" spans="1:17" x14ac:dyDescent="0.45">
      <c r="A23" s="52" t="s">
        <v>177</v>
      </c>
      <c r="B23" s="136">
        <f>IF($B$15-B$14=0,0,C23/($B$15-B$14))</f>
        <v>9138.8888888888887</v>
      </c>
      <c r="C23" s="137">
        <v>1809500</v>
      </c>
      <c r="E23" s="59" t="s">
        <v>73</v>
      </c>
      <c r="F23" s="56" t="s">
        <v>28</v>
      </c>
      <c r="G23" s="44">
        <v>1</v>
      </c>
      <c r="H23" s="129">
        <f>IF(B$15=0,0,G23/B$15)</f>
        <v>3.0674846625766872E-3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3.0674846625766872E-3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-7919.0243902439024</v>
      </c>
      <c r="C25" s="137">
        <v>-1623400</v>
      </c>
      <c r="E25" s="59" t="s">
        <v>84</v>
      </c>
      <c r="F25" s="56" t="s">
        <v>39</v>
      </c>
      <c r="G25" s="44">
        <v>1</v>
      </c>
      <c r="H25" s="129">
        <f>IF(B$15=0,0,G25/B$15)</f>
        <v>3.0674846625766872E-3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3.0674846625766872E-3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</v>
      </c>
      <c r="E27" s="59" t="s">
        <v>95</v>
      </c>
      <c r="F27" s="56" t="s">
        <v>50</v>
      </c>
      <c r="G27" s="44">
        <v>1</v>
      </c>
      <c r="H27" s="129">
        <f>IF(B$15=0,0,G27/B$15)</f>
        <v>3.0674846625766872E-3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3.669724770642202E-3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7.0552147239263799E-2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2">IF(B$15=0,0,B33/B$15)</f>
        <v>0.15337423312883436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0.21165644171779141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2"/>
        <v>0.20858895705521471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2"/>
        <v>0.15030674846625766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37</v>
      </c>
      <c r="C37" s="37">
        <f t="shared" si="2"/>
        <v>0.11349693251533742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2"/>
        <v>3.0674846625766871E-2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2.4539877300613498E-2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1.5337423312883436E-2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3.0674846625766872E-3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6.1349693251533744E-3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1.2269938650306749E-2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85</v>
      </c>
      <c r="C2" s="159"/>
      <c r="E2" s="58" t="s">
        <v>66</v>
      </c>
      <c r="F2" s="55" t="s">
        <v>22</v>
      </c>
      <c r="G2" s="43">
        <v>159</v>
      </c>
      <c r="H2" s="128">
        <f>IF(B$15=0,0,G2/B$15)</f>
        <v>0.77941176470588236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-559.52380952380952</v>
      </c>
      <c r="P2" s="114">
        <v>84</v>
      </c>
      <c r="Q2" s="98">
        <v>-47000</v>
      </c>
    </row>
    <row r="3" spans="1:17" x14ac:dyDescent="0.45">
      <c r="A3" s="51" t="s">
        <v>8</v>
      </c>
      <c r="B3" s="160">
        <v>721</v>
      </c>
      <c r="C3" s="161"/>
      <c r="E3" s="59" t="s">
        <v>64</v>
      </c>
      <c r="F3" s="56" t="s">
        <v>20</v>
      </c>
      <c r="G3" s="44">
        <v>115</v>
      </c>
      <c r="H3" s="129">
        <f>IF(B$15=0,0,G3/B$15)</f>
        <v>0.56372549019607843</v>
      </c>
      <c r="I3" s="90">
        <v>3</v>
      </c>
      <c r="K3" s="36">
        <v>1</v>
      </c>
      <c r="L3" s="95">
        <v>-37.799999999999997</v>
      </c>
      <c r="N3" s="111" t="s">
        <v>131</v>
      </c>
      <c r="O3" s="118">
        <f t="shared" si="0"/>
        <v>-736.90476190476193</v>
      </c>
      <c r="P3" s="115">
        <v>84</v>
      </c>
      <c r="Q3" s="99">
        <v>-61900</v>
      </c>
    </row>
    <row r="4" spans="1:17" x14ac:dyDescent="0.45">
      <c r="A4" s="51" t="s">
        <v>6</v>
      </c>
      <c r="B4" s="162">
        <v>-509.30000000000013</v>
      </c>
      <c r="C4" s="163"/>
      <c r="E4" s="59" t="s">
        <v>72</v>
      </c>
      <c r="F4" s="56" t="s">
        <v>27</v>
      </c>
      <c r="G4" s="44">
        <v>102</v>
      </c>
      <c r="H4" s="129">
        <f>IF(B$15=0,0,G4/B$15)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421.79487179487177</v>
      </c>
      <c r="P4" s="115">
        <v>78</v>
      </c>
      <c r="Q4" s="99">
        <v>32900</v>
      </c>
    </row>
    <row r="5" spans="1:17" x14ac:dyDescent="0.45">
      <c r="A5" s="51" t="s">
        <v>7</v>
      </c>
      <c r="B5" s="164">
        <f>IF(B$2=0,0,B$4/B$2)</f>
        <v>-5.9917647058823542</v>
      </c>
      <c r="C5" s="165"/>
      <c r="E5" s="59" t="s">
        <v>166</v>
      </c>
      <c r="F5" s="56" t="s">
        <v>167</v>
      </c>
      <c r="G5" s="44">
        <v>85</v>
      </c>
      <c r="H5" s="129">
        <f>IF(B$15=0,0,G5/B$15)</f>
        <v>0.41666666666666669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-329.87012987012986</v>
      </c>
      <c r="P5" s="115">
        <v>77</v>
      </c>
      <c r="Q5" s="99">
        <v>-25400</v>
      </c>
    </row>
    <row r="6" spans="1:17" x14ac:dyDescent="0.45">
      <c r="A6" s="51" t="s">
        <v>1</v>
      </c>
      <c r="B6" s="154">
        <f>IF(B$2=0,0,(B$7*1+B$8*2+B$9*3)/B$2)</f>
        <v>2.1529411764705881</v>
      </c>
      <c r="C6" s="155"/>
      <c r="E6" s="59" t="s">
        <v>68</v>
      </c>
      <c r="F6" s="56" t="s">
        <v>12</v>
      </c>
      <c r="G6" s="44">
        <v>68</v>
      </c>
      <c r="H6" s="129">
        <f>IF(B$15=0,0,G6/B$15)</f>
        <v>0.33333333333333331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-2987.6712328767121</v>
      </c>
      <c r="P6" s="115">
        <v>73</v>
      </c>
      <c r="Q6" s="99">
        <v>-218100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0.22352941176470589</v>
      </c>
      <c r="E7" s="59" t="s">
        <v>67</v>
      </c>
      <c r="F7" s="56" t="s">
        <v>23</v>
      </c>
      <c r="G7" s="44">
        <v>56</v>
      </c>
      <c r="H7" s="129">
        <f>IF(B$15=0,0,G7/B$15)</f>
        <v>0.27450980392156865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-1360.3174603174602</v>
      </c>
      <c r="P7" s="116">
        <v>63</v>
      </c>
      <c r="Q7" s="100">
        <v>-85700</v>
      </c>
    </row>
    <row r="8" spans="1:17" x14ac:dyDescent="0.45">
      <c r="A8" s="51" t="s">
        <v>3</v>
      </c>
      <c r="B8" s="44">
        <v>34</v>
      </c>
      <c r="C8" s="37">
        <f t="shared" si="1"/>
        <v>0.4</v>
      </c>
      <c r="E8" s="59" t="s">
        <v>69</v>
      </c>
      <c r="F8" s="56" t="s">
        <v>24</v>
      </c>
      <c r="G8" s="44">
        <v>28</v>
      </c>
      <c r="H8" s="129">
        <f>IF(B$15=0,0,G8/B$15)</f>
        <v>0.13725490196078433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0.37647058823529411</v>
      </c>
      <c r="E9" s="59" t="s">
        <v>70</v>
      </c>
      <c r="F9" s="56" t="s">
        <v>25</v>
      </c>
      <c r="G9" s="44">
        <v>25</v>
      </c>
      <c r="H9" s="129">
        <f>IF(B$15=0,0,G9/B$15)</f>
        <v>0.12254901960784313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7.0588235294117646E-2</v>
      </c>
      <c r="E10" s="59" t="s">
        <v>65</v>
      </c>
      <c r="F10" s="56" t="s">
        <v>21</v>
      </c>
      <c r="G10" s="44">
        <v>24</v>
      </c>
      <c r="H10" s="129">
        <f>IF(B$15=0,0,G10/B$15)</f>
        <v>0.11764705882352941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 x14ac:dyDescent="0.45">
      <c r="A11" s="54" t="s">
        <v>121</v>
      </c>
      <c r="B11" s="47">
        <v>202</v>
      </c>
      <c r="C11" s="42">
        <f>IF(B$3=0,0,B11/B$3)</f>
        <v>0.28016643550624132</v>
      </c>
      <c r="E11" s="59" t="s">
        <v>89</v>
      </c>
      <c r="F11" s="56" t="s">
        <v>44</v>
      </c>
      <c r="G11" s="44">
        <v>24</v>
      </c>
      <c r="H11" s="129">
        <f>IF(B$15=0,0,G11/B$15)</f>
        <v>0.11764705882352941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-8.6130434782608702</v>
      </c>
      <c r="P11" s="115">
        <v>23</v>
      </c>
      <c r="Q11" s="103">
        <v>-198.10000000000002</v>
      </c>
    </row>
    <row r="12" spans="1:17" x14ac:dyDescent="0.45">
      <c r="A12" s="51" t="s">
        <v>118</v>
      </c>
      <c r="B12" s="44">
        <v>145</v>
      </c>
      <c r="C12" s="37">
        <f>IF(B$3=0,0,B12/B$3)</f>
        <v>0.20110957004160887</v>
      </c>
      <c r="E12" s="59" t="s">
        <v>83</v>
      </c>
      <c r="F12" s="56" t="s">
        <v>38</v>
      </c>
      <c r="G12" s="44">
        <v>10</v>
      </c>
      <c r="H12" s="129">
        <f>IF(B$15=0,0,G12/B$15)</f>
        <v>4.9019607843137254E-2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-6.3518518518518494</v>
      </c>
      <c r="P12" s="116">
        <v>27</v>
      </c>
      <c r="Q12" s="104">
        <v>-171.49999999999994</v>
      </c>
    </row>
    <row r="13" spans="1:17" x14ac:dyDescent="0.45">
      <c r="A13" s="50" t="s">
        <v>123</v>
      </c>
      <c r="B13" s="43">
        <f>B19</f>
        <v>115</v>
      </c>
      <c r="C13" s="35">
        <f>IF(B$11=0,0,B13/B$11)</f>
        <v>0.56930693069306926</v>
      </c>
      <c r="E13" s="59" t="s">
        <v>86</v>
      </c>
      <c r="F13" s="56" t="s">
        <v>41</v>
      </c>
      <c r="G13" s="44">
        <v>9</v>
      </c>
      <c r="H13" s="129">
        <f>IF(B$15=0,0,G13/B$15)</f>
        <v>4.4117647058823532E-2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60</v>
      </c>
      <c r="C14" s="35">
        <f>IF(B$12=0,0,B14/B$12)</f>
        <v>0.41379310344827586</v>
      </c>
      <c r="E14" s="59" t="s">
        <v>71</v>
      </c>
      <c r="F14" s="56" t="s">
        <v>26</v>
      </c>
      <c r="G14" s="44">
        <v>8</v>
      </c>
      <c r="H14" s="129">
        <f>IF(B$15=0,0,G14/B$15)</f>
        <v>3.9215686274509803E-2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204</v>
      </c>
      <c r="C15" s="35">
        <f>IF(B$3=0,0,B15/B$3)</f>
        <v>0.28294036061026351</v>
      </c>
      <c r="E15" s="59" t="s">
        <v>78</v>
      </c>
      <c r="F15" s="56" t="s">
        <v>33</v>
      </c>
      <c r="G15" s="44">
        <v>7</v>
      </c>
      <c r="H15" s="129">
        <f>IF(B$15=0,0,G15/B$15)</f>
        <v>3.4313725490196081E-2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137</v>
      </c>
      <c r="C16" s="37">
        <f>IF(B$3=0,0,B16/B$3)</f>
        <v>0.19001386962552011</v>
      </c>
      <c r="E16" s="59" t="s">
        <v>162</v>
      </c>
      <c r="F16" s="56" t="s">
        <v>163</v>
      </c>
      <c r="G16" s="44">
        <v>4</v>
      </c>
      <c r="H16" s="129">
        <f>IF(B$15=0,0,G16/B$15)</f>
        <v>1.9607843137254902E-2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>IF(P16=0,0,Q16/P16)</f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93</v>
      </c>
      <c r="C17" s="37">
        <f>IF(B$15=0,0,B17/B$15)</f>
        <v>0.45588235294117646</v>
      </c>
      <c r="E17" s="59" t="s">
        <v>75</v>
      </c>
      <c r="F17" s="56" t="s">
        <v>30</v>
      </c>
      <c r="G17" s="44">
        <v>3</v>
      </c>
      <c r="H17" s="129">
        <f>IF(B$15=0,0,G17/B$15)</f>
        <v>1.4705882352941176E-2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111</v>
      </c>
      <c r="C18" s="37">
        <f>IF(B$15=0,0,B18/B$15)</f>
        <v>0.54411764705882348</v>
      </c>
      <c r="E18" s="59" t="s">
        <v>81</v>
      </c>
      <c r="F18" s="56" t="s">
        <v>36</v>
      </c>
      <c r="G18" s="44">
        <v>3</v>
      </c>
      <c r="H18" s="129">
        <f>IF(B$15=0,0,G18/B$15)</f>
        <v>1.4705882352941176E-2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115</v>
      </c>
      <c r="C19" s="37">
        <f>IF(B$15=0,0,B19/B$15)</f>
        <v>0.56372549019607843</v>
      </c>
      <c r="E19" s="59" t="s">
        <v>79</v>
      </c>
      <c r="F19" s="56" t="s">
        <v>34</v>
      </c>
      <c r="G19" s="44">
        <v>2</v>
      </c>
      <c r="H19" s="129">
        <f>IF(B$15=0,0,G19/B$15)</f>
        <v>9.8039215686274508E-3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60</v>
      </c>
      <c r="C20" s="37">
        <f>IF(B$15=0,0,B20/B$15)</f>
        <v>0.29411764705882354</v>
      </c>
      <c r="E20" s="59" t="s">
        <v>91</v>
      </c>
      <c r="F20" s="56" t="s">
        <v>46</v>
      </c>
      <c r="G20" s="44">
        <v>1</v>
      </c>
      <c r="H20" s="129">
        <f>IF(B$15=0,0,G20/B$15)</f>
        <v>4.9019607843137254E-3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-13.786792452830191</v>
      </c>
      <c r="P20" s="115">
        <v>53</v>
      </c>
      <c r="Q20" s="103">
        <v>-730.70000000000016</v>
      </c>
    </row>
    <row r="21" spans="1:17" x14ac:dyDescent="0.45">
      <c r="A21" s="51" t="s">
        <v>194</v>
      </c>
      <c r="B21" s="44">
        <v>29</v>
      </c>
      <c r="C21" s="37">
        <f>IF(B$15=0,0,B21/B$15)</f>
        <v>0.14215686274509803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-13.949999999999994</v>
      </c>
      <c r="P21" s="115">
        <v>44</v>
      </c>
      <c r="Q21" s="103">
        <v>-613.79999999999973</v>
      </c>
    </row>
    <row r="22" spans="1:17" x14ac:dyDescent="0.45">
      <c r="A22" s="51" t="s">
        <v>5</v>
      </c>
      <c r="B22" s="48">
        <f>IF(B$15=0,0,C22/B$15)</f>
        <v>7675</v>
      </c>
      <c r="C22" s="39">
        <v>1565700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8238.8888888888887</v>
      </c>
      <c r="C23" s="137">
        <v>1186400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6321.666666666667</v>
      </c>
      <c r="C24" s="137">
        <v>379300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-7452.554744525547</v>
      </c>
      <c r="C25" s="137">
        <v>-1021000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2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4.160887656033287E-3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6.8627450980392163E-2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0.19117647058823528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46</v>
      </c>
      <c r="C34" s="37">
        <f>IF(B$15=0,0,B34/B$15)</f>
        <v>0.22549019607843138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31</v>
      </c>
      <c r="C35" s="37">
        <f t="shared" si="2"/>
        <v>0.15196078431372548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0.17156862745098039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20</v>
      </c>
      <c r="C37" s="37">
        <f t="shared" si="2"/>
        <v>9.8039215686274508E-2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2"/>
        <v>5.8823529411764705E-2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1.9607843137254902E-2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4.9019607843137254E-3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9.8039215686274508E-3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0"/>
  <sheetViews>
    <sheetView showGridLines="0" zoomScaleNormal="100" workbookViewId="0">
      <selection activeCell="O20" sqref="O20"/>
    </sheetView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98</v>
      </c>
      <c r="C2" s="159"/>
      <c r="E2" s="58" t="s">
        <v>66</v>
      </c>
      <c r="F2" s="55" t="s">
        <v>22</v>
      </c>
      <c r="G2" s="43">
        <v>187</v>
      </c>
      <c r="H2" s="128">
        <f>IF(B$15=0,0,G2/B$15)</f>
        <v>0.85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1384.6938775510205</v>
      </c>
      <c r="P2" s="114">
        <v>98</v>
      </c>
      <c r="Q2" s="98">
        <v>135700</v>
      </c>
    </row>
    <row r="3" spans="1:17" x14ac:dyDescent="0.45">
      <c r="A3" s="51" t="s">
        <v>8</v>
      </c>
      <c r="B3" s="160">
        <v>784</v>
      </c>
      <c r="C3" s="161"/>
      <c r="E3" s="59" t="s">
        <v>64</v>
      </c>
      <c r="F3" s="56" t="s">
        <v>20</v>
      </c>
      <c r="G3" s="44">
        <v>124</v>
      </c>
      <c r="H3" s="129">
        <f>IF(B$15=0,0,G3/B$15)</f>
        <v>0.5636363636363636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-1333.3333333333333</v>
      </c>
      <c r="P3" s="115">
        <v>96</v>
      </c>
      <c r="Q3" s="99">
        <v>-128000</v>
      </c>
    </row>
    <row r="4" spans="1:17" x14ac:dyDescent="0.45">
      <c r="A4" s="51" t="s">
        <v>6</v>
      </c>
      <c r="B4" s="162">
        <v>349.00000000000017</v>
      </c>
      <c r="C4" s="163"/>
      <c r="E4" s="59" t="s">
        <v>72</v>
      </c>
      <c r="F4" s="56" t="s">
        <v>27</v>
      </c>
      <c r="G4" s="44">
        <v>122</v>
      </c>
      <c r="H4" s="129">
        <f>IF(B$15=0,0,G4/B$15)</f>
        <v>0.55454545454545456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-500</v>
      </c>
      <c r="P4" s="115">
        <v>87</v>
      </c>
      <c r="Q4" s="99">
        <v>-43500</v>
      </c>
    </row>
    <row r="5" spans="1:17" x14ac:dyDescent="0.45">
      <c r="A5" s="51" t="s">
        <v>7</v>
      </c>
      <c r="B5" s="164">
        <f>IF(B$2=0,0,B$4/B$2)</f>
        <v>3.56122448979592</v>
      </c>
      <c r="C5" s="165"/>
      <c r="E5" s="59" t="s">
        <v>67</v>
      </c>
      <c r="F5" s="56" t="s">
        <v>23</v>
      </c>
      <c r="G5" s="44">
        <v>97</v>
      </c>
      <c r="H5" s="129">
        <f>IF(B$15=0,0,G5/B$15)</f>
        <v>0.44090909090909092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2754.2168674698796</v>
      </c>
      <c r="P5" s="115">
        <v>83</v>
      </c>
      <c r="Q5" s="99">
        <v>228600</v>
      </c>
    </row>
    <row r="6" spans="1:17" x14ac:dyDescent="0.45">
      <c r="A6" s="51" t="s">
        <v>1</v>
      </c>
      <c r="B6" s="154">
        <f>IF(B$2=0,0,(B$7*1+B$8*2+B$9*3)/B$2)</f>
        <v>1.9285714285714286</v>
      </c>
      <c r="C6" s="155"/>
      <c r="E6" s="59" t="s">
        <v>68</v>
      </c>
      <c r="F6" s="56" t="s">
        <v>12</v>
      </c>
      <c r="G6" s="44">
        <v>89</v>
      </c>
      <c r="H6" s="129">
        <f>IF(B$15=0,0,G6/B$15)</f>
        <v>0.40454545454545454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567.56756756756761</v>
      </c>
      <c r="P6" s="115">
        <v>74</v>
      </c>
      <c r="Q6" s="99">
        <v>42000</v>
      </c>
    </row>
    <row r="7" spans="1:17" x14ac:dyDescent="0.45">
      <c r="A7" s="51" t="s">
        <v>2</v>
      </c>
      <c r="B7" s="44">
        <v>38</v>
      </c>
      <c r="C7" s="37">
        <f t="shared" ref="C7:C10" si="1">IF(B$2=0,0,B7/B$2)</f>
        <v>0.38775510204081631</v>
      </c>
      <c r="E7" s="59" t="s">
        <v>166</v>
      </c>
      <c r="F7" s="56" t="s">
        <v>167</v>
      </c>
      <c r="G7" s="44">
        <v>84</v>
      </c>
      <c r="H7" s="129">
        <f>IF(B$15=0,0,G7/B$15)</f>
        <v>0.38181818181818183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18.96551724137931</v>
      </c>
      <c r="P7" s="116">
        <v>58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0.29591836734693877</v>
      </c>
      <c r="E8" s="59" t="s">
        <v>89</v>
      </c>
      <c r="F8" s="56" t="s">
        <v>44</v>
      </c>
      <c r="G8" s="44">
        <v>50</v>
      </c>
      <c r="H8" s="129">
        <f>IF(B$15=0,0,G8/B$15)</f>
        <v>0.22727272727272727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0.31632653061224492</v>
      </c>
      <c r="E9" s="59" t="s">
        <v>69</v>
      </c>
      <c r="F9" s="56" t="s">
        <v>24</v>
      </c>
      <c r="G9" s="44">
        <v>46</v>
      </c>
      <c r="H9" s="129">
        <f>IF(B$15=0,0,G9/B$15)</f>
        <v>0.20909090909090908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0.11224489795918367</v>
      </c>
      <c r="E10" s="59" t="s">
        <v>65</v>
      </c>
      <c r="F10" s="56" t="s">
        <v>21</v>
      </c>
      <c r="G10" s="44">
        <v>32</v>
      </c>
      <c r="H10" s="129">
        <f>IF(B$15=0,0,G10/B$15)</f>
        <v>0.14545454545454545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250</v>
      </c>
      <c r="C11" s="42">
        <f>IF(B$3=0,0,B11/B$3)</f>
        <v>0.31887755102040816</v>
      </c>
      <c r="E11" s="59" t="s">
        <v>70</v>
      </c>
      <c r="F11" s="56" t="s">
        <v>25</v>
      </c>
      <c r="G11" s="44">
        <v>23</v>
      </c>
      <c r="H11" s="129">
        <f>IF(B$15=0,0,G11/B$15)</f>
        <v>0.10454545454545454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127</v>
      </c>
      <c r="C12" s="37">
        <f>IF(B$3=0,0,B12/B$3)</f>
        <v>0.16198979591836735</v>
      </c>
      <c r="E12" s="59" t="s">
        <v>162</v>
      </c>
      <c r="F12" s="56" t="s">
        <v>163</v>
      </c>
      <c r="G12" s="44">
        <v>16</v>
      </c>
      <c r="H12" s="129">
        <f>IF(B$15=0,0,G12/B$15)</f>
        <v>7.2727272727272724E-2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2.8677419354838714</v>
      </c>
      <c r="P12" s="116">
        <v>31</v>
      </c>
      <c r="Q12" s="104">
        <v>88.9</v>
      </c>
    </row>
    <row r="13" spans="1:17" x14ac:dyDescent="0.45">
      <c r="A13" s="50" t="s">
        <v>123</v>
      </c>
      <c r="B13" s="43">
        <f>B19</f>
        <v>139</v>
      </c>
      <c r="C13" s="35">
        <f>IF(B$11=0,0,B13/B$11)</f>
        <v>0.55600000000000005</v>
      </c>
      <c r="E13" s="59" t="s">
        <v>71</v>
      </c>
      <c r="F13" s="56" t="s">
        <v>26</v>
      </c>
      <c r="G13" s="44">
        <v>12</v>
      </c>
      <c r="H13" s="129">
        <f>IF(B$15=0,0,G13/B$15)</f>
        <v>5.4545454545454543E-2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0.39370078740157483</v>
      </c>
      <c r="E14" s="59" t="s">
        <v>83</v>
      </c>
      <c r="F14" s="56" t="s">
        <v>38</v>
      </c>
      <c r="G14" s="44">
        <v>7</v>
      </c>
      <c r="H14" s="129">
        <f>IF(B$15=0,0,G14/B$15)</f>
        <v>3.1818181818181815E-2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220</v>
      </c>
      <c r="C15" s="35">
        <f>IF(B$3=0,0,B15/B$3)</f>
        <v>0.28061224489795916</v>
      </c>
      <c r="E15" s="59" t="s">
        <v>86</v>
      </c>
      <c r="F15" s="56" t="s">
        <v>41</v>
      </c>
      <c r="G15" s="44">
        <v>7</v>
      </c>
      <c r="H15" s="129">
        <f>IF(B$15=0,0,G15/B$15)</f>
        <v>3.1818181818181815E-2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139</v>
      </c>
      <c r="C16" s="37">
        <f>IF(B$3=0,0,B16/B$3)</f>
        <v>0.17729591836734693</v>
      </c>
      <c r="E16" s="59" t="s">
        <v>81</v>
      </c>
      <c r="F16" s="56" t="s">
        <v>36</v>
      </c>
      <c r="G16" s="44">
        <v>4</v>
      </c>
      <c r="H16" s="129">
        <f>IF(B$15=0,0,G16/B$15)</f>
        <v>1.8181818181818181E-2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114</v>
      </c>
      <c r="C17" s="37">
        <f>IF(B$15=0,0,B17/B$15)</f>
        <v>0.51818181818181819</v>
      </c>
      <c r="E17" s="59" t="s">
        <v>91</v>
      </c>
      <c r="F17" s="56" t="s">
        <v>46</v>
      </c>
      <c r="G17" s="44">
        <v>4</v>
      </c>
      <c r="H17" s="129">
        <f>IF(B$15=0,0,G17/B$15)</f>
        <v>1.8181818181818181E-2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106</v>
      </c>
      <c r="C18" s="37">
        <f>IF(B$15=0,0,B18/B$15)</f>
        <v>0.48181818181818181</v>
      </c>
      <c r="E18" s="59" t="s">
        <v>92</v>
      </c>
      <c r="F18" s="56" t="s">
        <v>47</v>
      </c>
      <c r="G18" s="44">
        <v>4</v>
      </c>
      <c r="H18" s="129">
        <f>IF(B$15=0,0,G18/B$15)</f>
        <v>1.8181818181818181E-2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139</v>
      </c>
      <c r="C19" s="37">
        <f>IF(B$15=0,0,B19/B$15)</f>
        <v>0.63181818181818183</v>
      </c>
      <c r="E19" s="59" t="s">
        <v>73</v>
      </c>
      <c r="F19" s="56" t="s">
        <v>28</v>
      </c>
      <c r="G19" s="44">
        <v>2</v>
      </c>
      <c r="H19" s="129">
        <f>IF(B$15=0,0,G19/B$15)</f>
        <v>9.0909090909090905E-3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50</v>
      </c>
      <c r="C20" s="37">
        <f>IF(B$15=0,0,B20/B$15)</f>
        <v>0.22727272727272727</v>
      </c>
      <c r="E20" s="59" t="s">
        <v>78</v>
      </c>
      <c r="F20" s="56" t="s">
        <v>33</v>
      </c>
      <c r="G20" s="44">
        <v>2</v>
      </c>
      <c r="H20" s="129">
        <f>IF(B$15=0,0,G20/B$15)</f>
        <v>9.0909090909090905E-3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0.1409090909090909</v>
      </c>
      <c r="E21" s="59" t="s">
        <v>79</v>
      </c>
      <c r="F21" s="56" t="s">
        <v>34</v>
      </c>
      <c r="G21" s="44">
        <v>2</v>
      </c>
      <c r="H21" s="129">
        <f>IF(B$15=0,0,G21/B$15)</f>
        <v>9.0909090909090905E-3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10869.545454545454</v>
      </c>
      <c r="C22" s="39">
        <v>2391300</v>
      </c>
      <c r="E22" s="59" t="s">
        <v>84</v>
      </c>
      <c r="F22" s="56" t="s">
        <v>39</v>
      </c>
      <c r="G22" s="44">
        <v>2</v>
      </c>
      <c r="H22" s="129">
        <f>IF(B$15=0,0,G22/B$15)</f>
        <v>9.0909090909090905E-3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11542.35294117647</v>
      </c>
      <c r="C23" s="137">
        <v>1962200</v>
      </c>
      <c r="E23" s="59" t="s">
        <v>90</v>
      </c>
      <c r="F23" s="56" t="s">
        <v>45</v>
      </c>
      <c r="G23" s="44">
        <v>2</v>
      </c>
      <c r="H23" s="129">
        <f>IF(B$15=0,0,G23/B$15)</f>
        <v>9.0909090909090905E-3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-40.799999999999997</v>
      </c>
      <c r="P23" s="115">
        <v>1</v>
      </c>
      <c r="Q23" s="103">
        <v>-40.799999999999997</v>
      </c>
    </row>
    <row r="24" spans="1:17" x14ac:dyDescent="0.45">
      <c r="A24" s="52" t="s">
        <v>178</v>
      </c>
      <c r="B24" s="136">
        <f>IF(B$14=0,0,C24/B$14)</f>
        <v>8582</v>
      </c>
      <c r="C24" s="137">
        <v>429100</v>
      </c>
      <c r="E24" s="59" t="s">
        <v>75</v>
      </c>
      <c r="F24" s="56" t="s">
        <v>30</v>
      </c>
      <c r="G24" s="44">
        <v>1</v>
      </c>
      <c r="H24" s="129">
        <f>IF(B$15=0,0,G24/B$15)</f>
        <v>4.5454545454545452E-3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-8434.5323741007196</v>
      </c>
      <c r="C25" s="137">
        <v>-1172400</v>
      </c>
      <c r="E25" s="59" t="s">
        <v>85</v>
      </c>
      <c r="F25" s="56" t="s">
        <v>40</v>
      </c>
      <c r="G25" s="44">
        <v>1</v>
      </c>
      <c r="H25" s="129">
        <f>IF(B$15=0,0,G25/B$15)</f>
        <v>4.5454545454545452E-3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4.5454545454545452E-3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4.5454545454545452E-3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1.2755102040816326E-3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2.2727272727272728E-2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3">IF(B$15=0,0,B33/B$15)</f>
        <v>8.6363636363636365E-2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0.12727272727272726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39</v>
      </c>
      <c r="C35" s="37">
        <f t="shared" si="3"/>
        <v>0.17727272727272728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55</v>
      </c>
      <c r="C36" s="37">
        <f t="shared" si="3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24</v>
      </c>
      <c r="C37" s="37">
        <f t="shared" si="3"/>
        <v>0.10909090909090909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3"/>
        <v>9.0909090909090912E-2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3"/>
        <v>6.8181818181818177E-2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3"/>
        <v>1.8181818181818181E-2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9.0909090909090905E-3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9.0909090909090905E-3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4.5454545454545452E-3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2.7272727272727271E-2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</sheetData>
  <sortState xmlns:xlrd2="http://schemas.microsoft.com/office/spreadsheetml/2017/richdata2" ref="E2:I10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111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0">
        <v>889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2">
        <v>106.3</v>
      </c>
      <c r="C4" s="163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4">
        <f>IF(B$2=0,0,B$4/B$2)</f>
        <v>0.95765765765765765</v>
      </c>
      <c r="C5" s="165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2.0180180180180178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10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24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60">
        <v>229</v>
      </c>
      <c r="C3" s="161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62">
        <v>2.1999999999999957</v>
      </c>
      <c r="C4" s="163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4">
        <f>IF(B$2=0,0,B$4/B$2)</f>
        <v>9.1666666666666494E-2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10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</v>
      </c>
      <c r="C2" s="159"/>
      <c r="E2" s="58" t="s">
        <v>64</v>
      </c>
      <c r="F2" s="55" t="s">
        <v>20</v>
      </c>
      <c r="G2" s="43">
        <v>4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2600</v>
      </c>
      <c r="P2" s="114">
        <v>1</v>
      </c>
      <c r="Q2" s="98">
        <v>2600</v>
      </c>
    </row>
    <row r="3" spans="1:17" x14ac:dyDescent="0.45">
      <c r="A3" s="51" t="s">
        <v>8</v>
      </c>
      <c r="B3" s="160">
        <v>6</v>
      </c>
      <c r="C3" s="161"/>
      <c r="E3" s="59" t="s">
        <v>65</v>
      </c>
      <c r="F3" s="56" t="s">
        <v>21</v>
      </c>
      <c r="G3" s="44">
        <v>1</v>
      </c>
      <c r="H3" s="129">
        <f>IF(B$15=0,0,G3/B$15)</f>
        <v>0.25</v>
      </c>
      <c r="I3" s="90">
        <v>1</v>
      </c>
      <c r="K3" s="36">
        <v>1</v>
      </c>
      <c r="L3" s="95">
        <v>17.600000000000001</v>
      </c>
      <c r="N3" s="111" t="s">
        <v>131</v>
      </c>
      <c r="O3" s="118">
        <f t="shared" si="0"/>
        <v>0</v>
      </c>
      <c r="P3" s="115">
        <v>1</v>
      </c>
      <c r="Q3" s="99">
        <v>0</v>
      </c>
    </row>
    <row r="4" spans="1:17" x14ac:dyDescent="0.45">
      <c r="A4" s="51" t="s">
        <v>6</v>
      </c>
      <c r="B4" s="162">
        <v>17.600000000000001</v>
      </c>
      <c r="C4" s="163"/>
      <c r="E4" s="59" t="s">
        <v>66</v>
      </c>
      <c r="F4" s="56" t="s">
        <v>22</v>
      </c>
      <c r="G4" s="44">
        <v>1</v>
      </c>
      <c r="H4" s="129">
        <f>IF(B$15=0,0,G4/B$15)</f>
        <v>0.25</v>
      </c>
      <c r="I4" s="90">
        <v>12</v>
      </c>
      <c r="N4" s="111" t="s">
        <v>132</v>
      </c>
      <c r="O4" s="118">
        <f t="shared" si="0"/>
        <v>1300</v>
      </c>
      <c r="P4" s="115">
        <v>1</v>
      </c>
      <c r="Q4" s="99">
        <v>1300</v>
      </c>
    </row>
    <row r="5" spans="1:17" x14ac:dyDescent="0.45">
      <c r="A5" s="51" t="s">
        <v>7</v>
      </c>
      <c r="B5" s="164">
        <f>IF(B$2=0,0,B$4/B$2)</f>
        <v>17.600000000000001</v>
      </c>
      <c r="C5" s="165"/>
      <c r="E5" s="59" t="s">
        <v>68</v>
      </c>
      <c r="F5" s="56" t="s">
        <v>12</v>
      </c>
      <c r="G5" s="44">
        <v>1</v>
      </c>
      <c r="H5" s="129">
        <f>IF(B$15=0,0,G5/B$15)</f>
        <v>0.25</v>
      </c>
      <c r="I5" s="90">
        <v>11</v>
      </c>
      <c r="N5" s="111" t="s">
        <v>133</v>
      </c>
      <c r="O5" s="118">
        <f t="shared" si="0"/>
        <v>4000</v>
      </c>
      <c r="P5" s="115">
        <v>1</v>
      </c>
      <c r="Q5" s="99">
        <v>4000</v>
      </c>
    </row>
    <row r="6" spans="1:17" x14ac:dyDescent="0.45">
      <c r="A6" s="51" t="s">
        <v>1</v>
      </c>
      <c r="B6" s="154">
        <f>IF(B$2=0,0,(B$7*1+B$8*2+B$9*3)/B$2)</f>
        <v>1</v>
      </c>
      <c r="C6" s="155"/>
      <c r="E6" s="59" t="s">
        <v>69</v>
      </c>
      <c r="F6" s="56" t="s">
        <v>24</v>
      </c>
      <c r="G6" s="44">
        <v>1</v>
      </c>
      <c r="H6" s="129">
        <f>IF(B$15=0,0,G6/B$15)</f>
        <v>0.25</v>
      </c>
      <c r="I6" s="90">
        <v>1</v>
      </c>
      <c r="N6" s="111" t="s">
        <v>134</v>
      </c>
      <c r="O6" s="118">
        <f t="shared" si="0"/>
        <v>-8000</v>
      </c>
      <c r="P6" s="115">
        <v>1</v>
      </c>
      <c r="Q6" s="99">
        <v>-8000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1</v>
      </c>
      <c r="E7" s="59" t="s">
        <v>70</v>
      </c>
      <c r="F7" s="56" t="s">
        <v>25</v>
      </c>
      <c r="G7" s="44">
        <v>1</v>
      </c>
      <c r="H7" s="129">
        <f>IF(B$15=0,0,G7/B$15)</f>
        <v>0.25</v>
      </c>
      <c r="I7" s="90">
        <v>1</v>
      </c>
      <c r="N7" s="112" t="s">
        <v>135</v>
      </c>
      <c r="O7" s="119">
        <f t="shared" si="0"/>
        <v>7700</v>
      </c>
      <c r="P7" s="116">
        <v>1</v>
      </c>
      <c r="Q7" s="100">
        <v>7700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71</v>
      </c>
      <c r="F8" s="56" t="s">
        <v>26</v>
      </c>
      <c r="G8" s="44">
        <v>1</v>
      </c>
      <c r="H8" s="129">
        <f>IF(B$15=0,0,G8/B$15)</f>
        <v>0.25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67</v>
      </c>
      <c r="F9" s="56" t="s">
        <v>23</v>
      </c>
      <c r="G9" s="44">
        <v>0</v>
      </c>
      <c r="H9" s="129">
        <f>IF(B$15=0,0,G9/B$15)</f>
        <v>0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72</v>
      </c>
      <c r="F10" s="56" t="s">
        <v>27</v>
      </c>
      <c r="G10" s="44">
        <v>0</v>
      </c>
      <c r="H10" s="129">
        <f>IF(B$15=0,0,G10/B$15)</f>
        <v>0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0.66666666666666663</v>
      </c>
      <c r="E11" s="59" t="s">
        <v>73</v>
      </c>
      <c r="F11" s="56" t="s">
        <v>28</v>
      </c>
      <c r="G11" s="44">
        <v>0</v>
      </c>
      <c r="H11" s="129">
        <f>IF(B$15=0,0,G11/B$15)</f>
        <v>0</v>
      </c>
      <c r="I11" s="90">
        <v>5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0</v>
      </c>
      <c r="C12" s="37">
        <f>IF(B$3=0,0,B12/B$3)</f>
        <v>0</v>
      </c>
      <c r="E12" s="59" t="s">
        <v>74</v>
      </c>
      <c r="F12" s="56" t="s">
        <v>29</v>
      </c>
      <c r="G12" s="44">
        <v>0</v>
      </c>
      <c r="H12" s="129">
        <f>IF(B$15=0,0,G12/B$15)</f>
        <v>0</v>
      </c>
      <c r="I12" s="90">
        <v>7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4</v>
      </c>
      <c r="C13" s="35">
        <f>IF(B$11=0,0,B13/B$11)</f>
        <v>1</v>
      </c>
      <c r="E13" s="59" t="s">
        <v>75</v>
      </c>
      <c r="F13" s="56" t="s">
        <v>30</v>
      </c>
      <c r="G13" s="44">
        <v>0</v>
      </c>
      <c r="H13" s="129">
        <f>IF(B$15=0,0,G13/B$15)</f>
        <v>0</v>
      </c>
      <c r="I13" s="90">
        <v>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0</v>
      </c>
      <c r="C14" s="35">
        <f>IF(B$12=0,0,B14/B$12)</f>
        <v>0</v>
      </c>
      <c r="E14" s="59" t="s">
        <v>76</v>
      </c>
      <c r="F14" s="56" t="s">
        <v>31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</v>
      </c>
      <c r="C15" s="35">
        <f>IF(B$3=0,0,B15/B$3)</f>
        <v>0.66666666666666663</v>
      </c>
      <c r="E15" s="59" t="s">
        <v>77</v>
      </c>
      <c r="F15" s="56" t="s">
        <v>32</v>
      </c>
      <c r="G15" s="44">
        <v>0</v>
      </c>
      <c r="H15" s="129">
        <f>IF(B$15=0,0,G15/B$15)</f>
        <v>0</v>
      </c>
      <c r="I15" s="90">
        <v>5</v>
      </c>
      <c r="N15" s="110" t="s">
        <v>170</v>
      </c>
      <c r="O15" s="120">
        <f>IF(P15=0,0,Q15/P15)</f>
        <v>40.799999999999997</v>
      </c>
      <c r="P15" s="114">
        <v>1</v>
      </c>
      <c r="Q15" s="102">
        <v>40.799999999999997</v>
      </c>
    </row>
    <row r="16" spans="1:17" x14ac:dyDescent="0.45">
      <c r="A16" s="51" t="s">
        <v>13</v>
      </c>
      <c r="B16" s="44">
        <v>1</v>
      </c>
      <c r="C16" s="37">
        <f>IF(B$3=0,0,B16/B$3)</f>
        <v>0.16666666666666666</v>
      </c>
      <c r="E16" s="59" t="s">
        <v>78</v>
      </c>
      <c r="F16" s="56" t="s">
        <v>33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12.000000000000002</v>
      </c>
      <c r="P16" s="115">
        <v>1</v>
      </c>
      <c r="Q16" s="103">
        <v>12.000000000000002</v>
      </c>
    </row>
    <row r="17" spans="1:9" x14ac:dyDescent="0.45">
      <c r="A17" s="51" t="s">
        <v>12</v>
      </c>
      <c r="B17" s="44">
        <v>1</v>
      </c>
      <c r="C17" s="37">
        <f>IF(B$15=0,0,B17/B$15)</f>
        <v>0.25</v>
      </c>
      <c r="E17" s="59" t="s">
        <v>79</v>
      </c>
      <c r="F17" s="56" t="s">
        <v>34</v>
      </c>
      <c r="G17" s="44">
        <v>0</v>
      </c>
      <c r="H17" s="129">
        <f>IF(B$15=0,0,G17/B$15)</f>
        <v>0</v>
      </c>
      <c r="I17" s="90">
        <v>9</v>
      </c>
    </row>
    <row r="18" spans="1:9" x14ac:dyDescent="0.45">
      <c r="A18" s="51" t="s">
        <v>11</v>
      </c>
      <c r="B18" s="44">
        <v>3</v>
      </c>
      <c r="C18" s="37">
        <f>IF(B$15=0,0,B18/B$15)</f>
        <v>0.75</v>
      </c>
      <c r="E18" s="59" t="s">
        <v>80</v>
      </c>
      <c r="F18" s="56" t="s">
        <v>35</v>
      </c>
      <c r="G18" s="44">
        <v>0</v>
      </c>
      <c r="H18" s="129">
        <f>IF(B$15=0,0,G18/B$15)</f>
        <v>0</v>
      </c>
      <c r="I18" s="90">
        <v>1</v>
      </c>
    </row>
    <row r="19" spans="1:9" x14ac:dyDescent="0.45">
      <c r="A19" s="51" t="s">
        <v>195</v>
      </c>
      <c r="B19" s="44">
        <v>4</v>
      </c>
      <c r="C19" s="37">
        <f>IF(B$15=0,0,B19/B$15)</f>
        <v>1</v>
      </c>
      <c r="E19" s="59" t="s">
        <v>81</v>
      </c>
      <c r="F19" s="56" t="s">
        <v>36</v>
      </c>
      <c r="G19" s="44">
        <v>0</v>
      </c>
      <c r="H19" s="129">
        <f>IF(B$15=0,0,G19/B$15)</f>
        <v>0</v>
      </c>
      <c r="I19" s="90">
        <v>10</v>
      </c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56" t="s">
        <v>37</v>
      </c>
      <c r="G20" s="44">
        <v>0</v>
      </c>
      <c r="H20" s="129">
        <f>IF(B$15=0,0,G20/B$15)</f>
        <v>0</v>
      </c>
      <c r="I20" s="90">
        <v>1</v>
      </c>
    </row>
    <row r="21" spans="1:9" x14ac:dyDescent="0.45">
      <c r="A21" s="51" t="s">
        <v>194</v>
      </c>
      <c r="B21" s="44">
        <v>0</v>
      </c>
      <c r="C21" s="37">
        <f>IF(B$15=0,0,B21/B$15)</f>
        <v>0</v>
      </c>
      <c r="E21" s="59" t="s">
        <v>83</v>
      </c>
      <c r="F21" s="56" t="s">
        <v>38</v>
      </c>
      <c r="G21" s="44">
        <v>0</v>
      </c>
      <c r="H21" s="129">
        <f>IF(B$15=0,0,G21/B$15)</f>
        <v>0</v>
      </c>
      <c r="I21" s="90">
        <v>12</v>
      </c>
    </row>
    <row r="22" spans="1:9" x14ac:dyDescent="0.45">
      <c r="A22" s="51" t="s">
        <v>5</v>
      </c>
      <c r="B22" s="48">
        <f>IF(B$15=0,0,C22/B$15)</f>
        <v>3900</v>
      </c>
      <c r="C22" s="39">
        <v>15600</v>
      </c>
      <c r="E22" s="59" t="s">
        <v>84</v>
      </c>
      <c r="F22" s="56" t="s">
        <v>39</v>
      </c>
      <c r="G22" s="44">
        <v>0</v>
      </c>
      <c r="H22" s="129">
        <f>IF(B$15=0,0,G22/B$15)</f>
        <v>0</v>
      </c>
      <c r="I22" s="90">
        <v>6</v>
      </c>
    </row>
    <row r="23" spans="1:9" x14ac:dyDescent="0.45">
      <c r="A23" s="52" t="s">
        <v>177</v>
      </c>
      <c r="B23" s="136">
        <f>IF($B$15-B$14=0,0,C23/($B$15-B$14))</f>
        <v>3900</v>
      </c>
      <c r="C23" s="137">
        <v>15600</v>
      </c>
      <c r="E23" s="59" t="s">
        <v>85</v>
      </c>
      <c r="F23" s="56" t="s">
        <v>40</v>
      </c>
      <c r="G23" s="44">
        <v>0</v>
      </c>
      <c r="H23" s="129">
        <f>IF(B$15=0,0,G23/B$15)</f>
        <v>0</v>
      </c>
      <c r="I23" s="90">
        <v>6</v>
      </c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56" t="s">
        <v>41</v>
      </c>
      <c r="G24" s="44">
        <v>0</v>
      </c>
      <c r="H24" s="129">
        <f>IF(B$15=0,0,G24/B$15)</f>
        <v>0</v>
      </c>
      <c r="I24" s="90">
        <v>11</v>
      </c>
    </row>
    <row r="25" spans="1:9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87</v>
      </c>
      <c r="F25" s="56" t="s">
        <v>42</v>
      </c>
      <c r="G25" s="44">
        <v>0</v>
      </c>
      <c r="H25" s="129">
        <f>IF(B$15=0,0,G25/B$15)</f>
        <v>0</v>
      </c>
      <c r="I25" s="90">
        <v>4</v>
      </c>
    </row>
    <row r="26" spans="1:9" x14ac:dyDescent="0.45">
      <c r="A26" s="51" t="s">
        <v>164</v>
      </c>
      <c r="B26" s="44">
        <v>2</v>
      </c>
      <c r="C26" s="131">
        <v>1</v>
      </c>
      <c r="E26" s="59" t="s">
        <v>88</v>
      </c>
      <c r="F26" s="56" t="s">
        <v>43</v>
      </c>
      <c r="G26" s="44">
        <v>0</v>
      </c>
      <c r="H26" s="129">
        <f>IF(B$15=0,0,G26/B$15)</f>
        <v>0</v>
      </c>
      <c r="I26" s="90">
        <v>5</v>
      </c>
    </row>
    <row r="27" spans="1:9" x14ac:dyDescent="0.45">
      <c r="A27" s="51" t="s">
        <v>165</v>
      </c>
      <c r="B27" s="44">
        <v>4</v>
      </c>
      <c r="C27" s="131">
        <v>1</v>
      </c>
      <c r="E27" s="59" t="s">
        <v>89</v>
      </c>
      <c r="F27" s="56" t="s">
        <v>44</v>
      </c>
      <c r="G27" s="44">
        <v>0</v>
      </c>
      <c r="H27" s="129">
        <f>IF(B$15=0,0,G27/B$15)</f>
        <v>0</v>
      </c>
      <c r="I27" s="90">
        <v>12</v>
      </c>
    </row>
    <row r="28" spans="1:9" x14ac:dyDescent="0.45">
      <c r="A28" s="86" t="s">
        <v>138</v>
      </c>
      <c r="B28" s="152">
        <v>1</v>
      </c>
      <c r="C28" s="153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 x14ac:dyDescent="0.45">
      <c r="A29" s="54" t="s">
        <v>192</v>
      </c>
      <c r="B29" s="150">
        <v>42600</v>
      </c>
      <c r="C29" s="151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9</v>
      </c>
    </row>
    <row r="30" spans="1:9" x14ac:dyDescent="0.45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 x14ac:dyDescent="0.45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 x14ac:dyDescent="0.45">
      <c r="A32" s="86" t="s">
        <v>183</v>
      </c>
      <c r="B32" s="148">
        <v>1</v>
      </c>
      <c r="C32" s="141">
        <f>IF(B$15=0,0,B32/B$15)</f>
        <v>0.25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0.25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9">
        <v>1</v>
      </c>
      <c r="C34" s="37">
        <f>IF(B$15=0,0,B34/B$15)</f>
        <v>0.25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9">
        <v>1</v>
      </c>
      <c r="C35" s="37">
        <f t="shared" si="2"/>
        <v>0.25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 x14ac:dyDescent="0.45">
      <c r="A36" s="51" t="s">
        <v>182</v>
      </c>
      <c r="B36" s="149">
        <v>0</v>
      </c>
      <c r="C36" s="37">
        <f t="shared" si="2"/>
        <v>0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 x14ac:dyDescent="0.45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 x14ac:dyDescent="0.45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12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2019-12-04T17:27:28Z</dcterms:modified>
</cp:coreProperties>
</file>