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B139F3A4-A7DC-498A-8BD6-93734DD6C5D6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6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19" i="5869"/>
  <c r="O19" i="5867" l="1"/>
  <c r="O18" i="5871"/>
  <c r="O16" i="5861" l="1"/>
  <c r="O17" i="5867"/>
  <c r="O21" i="5869"/>
  <c r="O17" i="5869"/>
  <c r="O15" i="5857" l="1"/>
  <c r="O17" i="5871"/>
  <c r="O19" i="5871"/>
  <c r="O17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2" i="5867"/>
  <c r="O18" i="5857"/>
  <c r="O18" i="5861"/>
  <c r="O16" i="5863"/>
  <c r="O19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6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8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0" i="5855"/>
  <c r="H4" i="5869" l="1"/>
  <c r="H5" i="5871"/>
  <c r="H10" i="5871"/>
  <c r="H17" i="5869"/>
  <c r="H8" i="5871"/>
  <c r="H2" i="5871"/>
  <c r="H32" i="5871"/>
  <c r="H40" i="5871"/>
  <c r="H48" i="5871"/>
  <c r="C17" i="5871"/>
  <c r="H14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5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13" i="5869"/>
  <c r="H39" i="5869"/>
  <c r="B23" i="5869"/>
  <c r="H43" i="5869"/>
  <c r="H47" i="5869"/>
  <c r="H21" i="5869"/>
  <c r="H5" i="5869"/>
  <c r="C17" i="5869"/>
  <c r="H32" i="5869"/>
  <c r="H2" i="5869"/>
  <c r="H19" i="5869"/>
  <c r="C18" i="5869"/>
  <c r="H35" i="5869"/>
  <c r="H51" i="5869"/>
  <c r="H24" i="5869"/>
  <c r="H25" i="5869"/>
  <c r="H27" i="5869"/>
  <c r="H28" i="5869"/>
  <c r="H30" i="5869"/>
  <c r="H33" i="5869"/>
  <c r="H36" i="5869"/>
  <c r="H40" i="5869"/>
  <c r="H44" i="5869"/>
  <c r="H48" i="5869"/>
  <c r="H6" i="5869"/>
  <c r="H12" i="5869"/>
  <c r="H20" i="5869"/>
  <c r="H22" i="5869"/>
  <c r="C19" i="5869"/>
  <c r="H11" i="5869"/>
  <c r="B24" i="5869"/>
  <c r="H34" i="5869"/>
  <c r="H37" i="5869"/>
  <c r="H41" i="5869"/>
  <c r="H45" i="5869"/>
  <c r="H49" i="5869"/>
  <c r="H52" i="5869"/>
  <c r="H9" i="5869"/>
  <c r="H7" i="5869"/>
  <c r="H10" i="5869"/>
  <c r="H16" i="5869"/>
  <c r="H23" i="5869"/>
  <c r="H15" i="5869"/>
  <c r="H26" i="5869"/>
  <c r="H14" i="5869"/>
  <c r="H29" i="5869"/>
  <c r="H31" i="5869"/>
  <c r="H18" i="5869"/>
  <c r="H38" i="5869"/>
  <c r="H42" i="5869"/>
  <c r="H46" i="5869"/>
  <c r="O23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7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20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10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6" i="5865"/>
  <c r="H26" i="5865"/>
  <c r="C18" i="5865"/>
  <c r="B23" i="5865"/>
  <c r="H46" i="5865"/>
  <c r="H52" i="5865"/>
  <c r="H28" i="5865"/>
  <c r="H10" i="5865"/>
  <c r="H13" i="5865"/>
  <c r="H5" i="5865"/>
  <c r="H19" i="5865"/>
  <c r="H27" i="5865"/>
  <c r="H21" i="5865"/>
  <c r="C19" i="5865"/>
  <c r="B24" i="5865"/>
  <c r="H35" i="5865"/>
  <c r="H50" i="5865"/>
  <c r="H29" i="5865"/>
  <c r="H16" i="5865"/>
  <c r="H32" i="5865"/>
  <c r="H15" i="5865"/>
  <c r="H34" i="5865"/>
  <c r="H18" i="5865"/>
  <c r="H36" i="5865"/>
  <c r="H39" i="5865"/>
  <c r="H43" i="5865"/>
  <c r="H47" i="5865"/>
  <c r="H51" i="5865"/>
  <c r="H9" i="5865"/>
  <c r="H17" i="5865"/>
  <c r="H37" i="5865"/>
  <c r="H40" i="5865"/>
  <c r="H44" i="5865"/>
  <c r="H48" i="5865"/>
  <c r="H12" i="5865"/>
  <c r="H30" i="5865"/>
  <c r="H31" i="5865"/>
  <c r="H22" i="5865"/>
  <c r="H33" i="5865"/>
  <c r="H23" i="5865"/>
  <c r="H24" i="5865"/>
  <c r="H25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1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6" i="5857"/>
  <c r="H12" i="5861"/>
  <c r="C17" i="5861"/>
  <c r="H28" i="5861"/>
  <c r="H33" i="5861"/>
  <c r="H49" i="5861"/>
  <c r="B24" i="5861"/>
  <c r="H38" i="5861"/>
  <c r="H46" i="5861"/>
  <c r="H52" i="5861"/>
  <c r="H10" i="5861"/>
  <c r="H6" i="5861"/>
  <c r="H11" i="5861"/>
  <c r="H20" i="5861"/>
  <c r="H18" i="5861"/>
  <c r="H17" i="5861"/>
  <c r="H23" i="5861"/>
  <c r="H13" i="5861"/>
  <c r="H32" i="5861"/>
  <c r="H16" i="5861"/>
  <c r="H25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2" i="5861"/>
  <c r="C19" i="5861"/>
  <c r="H14" i="5861"/>
  <c r="H35" i="5861"/>
  <c r="H42" i="5861"/>
  <c r="H50" i="5861"/>
  <c r="H7" i="5861"/>
  <c r="H26" i="5861"/>
  <c r="H27" i="5861"/>
  <c r="H15" i="5861"/>
  <c r="C18" i="5861"/>
  <c r="B23" i="5861"/>
  <c r="H8" i="5861"/>
  <c r="H24" i="5861"/>
  <c r="H36" i="5861"/>
  <c r="H40" i="5861"/>
  <c r="H44" i="5861"/>
  <c r="H48" i="5861"/>
  <c r="H4" i="5855"/>
  <c r="H7" i="5859"/>
  <c r="H30" i="5859"/>
  <c r="H31" i="5859"/>
  <c r="H16" i="5859"/>
  <c r="C18" i="5859"/>
  <c r="B23" i="5859"/>
  <c r="H24" i="5859"/>
  <c r="H41" i="5859"/>
  <c r="H2" i="5859"/>
  <c r="H12" i="5859"/>
  <c r="H3" i="5859"/>
  <c r="H26" i="5859"/>
  <c r="H23" i="5859"/>
  <c r="H19" i="5859"/>
  <c r="H20" i="5859"/>
  <c r="C17" i="5859"/>
  <c r="H13" i="5859"/>
  <c r="H9" i="5859"/>
  <c r="H28" i="5859"/>
  <c r="H47" i="5859"/>
  <c r="B24" i="5859"/>
  <c r="H44" i="5859"/>
  <c r="H8" i="5859"/>
  <c r="H17" i="5859"/>
  <c r="H10" i="5859"/>
  <c r="H6" i="5859"/>
  <c r="H11" i="5859"/>
  <c r="H25" i="5859"/>
  <c r="H21" i="5859"/>
  <c r="H14" i="5859"/>
  <c r="H40" i="5859"/>
  <c r="H51" i="5859"/>
  <c r="H48" i="5859"/>
  <c r="C19" i="5859"/>
  <c r="H18" i="5859"/>
  <c r="H37" i="5859"/>
  <c r="H45" i="5859"/>
  <c r="H15" i="5859"/>
  <c r="H32" i="5859"/>
  <c r="H33" i="5859"/>
  <c r="H22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8" i="5857"/>
  <c r="H9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5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6" i="5855"/>
  <c r="C18" i="5855"/>
  <c r="H39" i="5855"/>
  <c r="H16" i="5855"/>
  <c r="H36" i="5855"/>
  <c r="H37" i="5855"/>
  <c r="H24" i="5855"/>
  <c r="H30" i="5855"/>
  <c r="H31" i="5855"/>
  <c r="H28" i="5855"/>
  <c r="H32" i="5855"/>
  <c r="H33" i="5855"/>
  <c r="H46" i="5855"/>
  <c r="H49" i="5855"/>
  <c r="H5" i="5855"/>
  <c r="H8" i="5855"/>
  <c r="H20" i="5855"/>
  <c r="H23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<sst xmlns="http://schemas.openxmlformats.org/spreadsheetml/2006/main" count="2833" uniqueCount="242">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</sst>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全体!$K$2:$K$524</c:f>
              <c:numCache>
                <c:formatCode>General</c:formatCode>
                <c:ptCount val="5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</c:numCache>
            </c:numRef>
          </c:xVal>
          <c:yVal>
            <c:numRef>
              <c:f>全体!$L$2:$L$524</c:f>
              <c:numCache>
                <c:formatCode>\+0.0;\-0.0;\±0</c:formatCode>
                <c:ptCount val="52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-21.194605009633911</c:v>
                </c:pt>
                <c:pt idx="1">
                  <c:v>5.9171597633136095</c:v>
                </c:pt>
                <c:pt idx="2">
                  <c:v>-14.583333333333334</c:v>
                </c:pt>
                <c:pt idx="3">
                  <c:v>13.157894736842104</c:v>
                </c:pt>
                <c:pt idx="4">
                  <c:v>9.5238095238095237</c:v>
                </c:pt>
                <c:pt idx="5">
                  <c:v>14.124293785310735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1384.7826086956522</c:v>
                </c:pt>
                <c:pt idx="1">
                  <c:v>-1100</c:v>
                </c:pt>
                <c:pt idx="2">
                  <c:v>-1309.3023255813953</c:v>
                </c:pt>
                <c:pt idx="3">
                  <c:v>-1354.7619047619048</c:v>
                </c:pt>
                <c:pt idx="4">
                  <c:v>785.71428571428567</c:v>
                </c:pt>
                <c:pt idx="5">
                  <c:v>-1438.8888888888889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だいち!$L$2:$L$110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1149.5327102803737</c:v>
                </c:pt>
                <c:pt idx="1">
                  <c:v>395.19230769230768</c:v>
                </c:pt>
                <c:pt idx="2">
                  <c:v>237</c:v>
                </c:pt>
                <c:pt idx="3">
                  <c:v>572.82608695652175</c:v>
                </c:pt>
                <c:pt idx="4">
                  <c:v>2243.5294117647059</c:v>
                </c:pt>
                <c:pt idx="5">
                  <c:v>2912.8571428571427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ただ!$L$2:$L$101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-1940.8163265306123</c:v>
                </c:pt>
                <c:pt idx="1">
                  <c:v>1426.0416666666667</c:v>
                </c:pt>
                <c:pt idx="2">
                  <c:v>608.88888888888891</c:v>
                </c:pt>
                <c:pt idx="3">
                  <c:v>587.05882352941171</c:v>
                </c:pt>
                <c:pt idx="4">
                  <c:v>-1048.7179487179487</c:v>
                </c:pt>
                <c:pt idx="5">
                  <c:v>1389.3939393939395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-391.93548387096774</c:v>
                </c:pt>
                <c:pt idx="1">
                  <c:v>-941.93548387096769</c:v>
                </c:pt>
                <c:pt idx="2">
                  <c:v>756.89655172413791</c:v>
                </c:pt>
                <c:pt idx="3">
                  <c:v>-1361.4035087719299</c:v>
                </c:pt>
                <c:pt idx="4">
                  <c:v>-3379.6296296296296</c:v>
                </c:pt>
                <c:pt idx="5">
                  <c:v>-1283.3333333333333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-2180.3571428571427</c:v>
                </c:pt>
                <c:pt idx="2">
                  <c:v>1734.6153846153845</c:v>
                </c:pt>
                <c:pt idx="3">
                  <c:v>3738</c:v>
                </c:pt>
                <c:pt idx="4">
                  <c:v>-810.86956521739125</c:v>
                </c:pt>
                <c:pt idx="5">
                  <c:v>-300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669.76744186046517</c:v>
                </c:pt>
                <c:pt idx="1">
                  <c:v>861.4457831325301</c:v>
                </c:pt>
                <c:pt idx="2">
                  <c:v>-1151.9480519480519</c:v>
                </c:pt>
                <c:pt idx="3">
                  <c:v>-240.8450704225352</c:v>
                </c:pt>
                <c:pt idx="4">
                  <c:v>-140.32258064516128</c:v>
                </c:pt>
                <c:pt idx="5">
                  <c:v>-1277.7777777777778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-2504.5454545454545</c:v>
                </c:pt>
                <c:pt idx="1">
                  <c:v>-354.54545454545456</c:v>
                </c:pt>
                <c:pt idx="2">
                  <c:v>-385.71428571428572</c:v>
                </c:pt>
                <c:pt idx="3">
                  <c:v>-2123.8095238095239</c:v>
                </c:pt>
                <c:pt idx="4">
                  <c:v>5752.6315789473683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れんたろう2!$B$3:$B$61</c:f>
              <c:numCache>
                <c:formatCode>\+0.0;\-0.0;\±0</c:formatCode>
                <c:ptCount val="5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れんたろう2!$C$3:$C$61</c:f>
              <c:numCache>
                <c:formatCode>\+0.0;\-0.0;\±0</c:formatCode>
                <c:ptCount val="59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22984208816250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れんたろう2!$D$3:$D$61</c:f>
              <c:numCache>
                <c:formatCode>0.00\ "位"</c:formatCode>
                <c:ptCount val="59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れんたろう2!$E$3:$E$61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れんたろう2!$F$3:$F$61</c:f>
              <c:numCache>
                <c:formatCode>0.0%</c:formatCode>
                <c:ptCount val="59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れんたろう2!$G$3:$G$61</c:f>
              <c:numCache>
                <c:formatCode>0.0%</c:formatCode>
                <c:ptCount val="59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3089430894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れんたろう2!$H$3:$H$61</c:f>
              <c:numCache>
                <c:formatCode>0.0%</c:formatCode>
                <c:ptCount val="59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30778164924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れんたろう2!$I$3:$I$61</c:f>
              <c:numCache>
                <c:formatCode>0</c:formatCode>
                <c:ptCount val="59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19.49486977111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れんたろう2!$J$3:$J$61</c:f>
              <c:numCache>
                <c:formatCode>0</c:formatCode>
                <c:ptCount val="59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4.8295454545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れんたろう2!$K$3:$K$61</c:f>
              <c:numCache>
                <c:formatCode>0.0%</c:formatCode>
                <c:ptCount val="59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86973180076628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れんたろう2!$L$3:$L$61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0.17777777777777778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0.20833333333333334</c:v>
                </c:pt>
                <c:pt idx="49">
                  <c:v>0.20408163265306123</c:v>
                </c:pt>
                <c:pt idx="50">
                  <c:v>0.22</c:v>
                </c:pt>
                <c:pt idx="51">
                  <c:v>0.21568627450980393</c:v>
                </c:pt>
                <c:pt idx="52">
                  <c:v>0.21153846153846154</c:v>
                </c:pt>
                <c:pt idx="53">
                  <c:v>0.20754716981132076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0.19298245614035087</c:v>
                </c:pt>
                <c:pt idx="58">
                  <c:v>0.18965517241379309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86973180076628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れんたろう2!$M$3:$M$61</c:f>
              <c:numCache>
                <c:formatCode>0.0%</c:formatCode>
                <c:ptCount val="59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426248548199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れんたろう2!$N$3:$N$61</c:f>
              <c:numCache>
                <c:formatCode>0.0%</c:formatCode>
                <c:ptCount val="59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358885017421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れんたろう2!$O$3:$O$61</c:f>
              <c:numCache>
                <c:formatCode>0.0%</c:formatCode>
                <c:ptCount val="59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286892758936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れんたろう2!$P$3:$P$61</c:f>
              <c:numCache>
                <c:formatCode>0.0%</c:formatCode>
                <c:ptCount val="59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9638554216867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れんたろう2!$Q$3:$Q$61</c:f>
              <c:numCache>
                <c:formatCode>0.0%</c:formatCode>
                <c:ptCount val="59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83188634569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0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4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4" x14ac:dyDescent="0.4">
      <c r="A50" s="28" t="s">
        <v>241</v>
      </c>
      <c r="B50" s="29">
        <v>43773.722453703704</v>
      </c>
      <c r="C50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522</v>
      </c>
    </row>
    <row r="2" spans="1:2" x14ac:dyDescent="0.4">
      <c r="A2" t="s">
        <v>166</v>
      </c>
      <c r="B2">
        <v>46</v>
      </c>
    </row>
    <row r="3" spans="1:2" x14ac:dyDescent="0.4">
      <c r="A3" t="s">
        <v>126</v>
      </c>
      <c r="B3">
        <v>108</v>
      </c>
    </row>
    <row r="4" spans="1:2" x14ac:dyDescent="0.4">
      <c r="A4" t="s">
        <v>127</v>
      </c>
      <c r="B4">
        <v>99</v>
      </c>
    </row>
    <row r="5" spans="1:2" x14ac:dyDescent="0.4">
      <c r="A5" t="s">
        <v>179</v>
      </c>
      <c r="B5">
        <v>63</v>
      </c>
    </row>
    <row r="6" spans="1:2" x14ac:dyDescent="0.4">
      <c r="A6" t="s">
        <v>177</v>
      </c>
      <c r="B6">
        <v>58</v>
      </c>
    </row>
    <row r="7" spans="1:2" x14ac:dyDescent="0.4">
      <c r="A7" t="s">
        <v>178</v>
      </c>
      <c r="B7">
        <v>86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22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0.99225785432522029</v>
      </c>
      <c r="G2" s="157"/>
      <c r="H2" s="156">
        <v>0.92722318674448589</v>
      </c>
      <c r="I2" s="157"/>
      <c r="J2" s="156">
        <v>0.91186631402888518</v>
      </c>
      <c r="K2" s="157"/>
      <c r="L2" s="156">
        <v>0.90970188384426731</v>
      </c>
      <c r="M2" s="157"/>
      <c r="N2" s="156">
        <v>0.55530886544191249</v>
      </c>
      <c r="O2" s="157"/>
      <c r="P2" s="156">
        <v>0.47756028236181736</v>
      </c>
      <c r="Q2" s="157"/>
      <c r="R2" s="156">
        <v>-8.3791961037852108E-2</v>
      </c>
      <c r="S2" s="157"/>
      <c r="T2" s="156">
        <v>0.54176534327504766</v>
      </c>
      <c r="U2" s="157"/>
      <c r="V2" s="156">
        <v>0.81985141736127087</v>
      </c>
      <c r="W2" s="157"/>
      <c r="X2" s="156">
        <v>0.5027105209453</v>
      </c>
      <c r="Y2" s="157"/>
      <c r="Z2" s="156">
        <v>2.0036331447393599E-2</v>
      </c>
      <c r="AA2" s="157"/>
      <c r="AB2" s="156">
        <v>0.19198568516718501</v>
      </c>
      <c r="AC2" s="157"/>
      <c r="AD2" s="156">
        <v>0.58158153956587377</v>
      </c>
      <c r="AE2" s="157"/>
      <c r="AF2" s="156">
        <v>-0.16807359842411379</v>
      </c>
      <c r="AG2" s="157"/>
      <c r="AH2" s="156">
        <v>0.72875983885961926</v>
      </c>
      <c r="AI2" s="157"/>
    </row>
    <row r="3" spans="1:35" x14ac:dyDescent="0.4">
      <c r="A3" s="70">
        <v>1</v>
      </c>
      <c r="B3" s="71" t="s">
        <v>126</v>
      </c>
      <c r="C3" s="72">
        <v>900.39999999999986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10410.144927536232</v>
      </c>
      <c r="R3" s="73" t="s">
        <v>166</v>
      </c>
      <c r="S3" s="77">
        <v>-6755.1724137931033</v>
      </c>
      <c r="T3" s="73" t="s">
        <v>222</v>
      </c>
      <c r="U3" s="75">
        <v>0</v>
      </c>
      <c r="V3" s="73" t="s">
        <v>177</v>
      </c>
      <c r="W3" s="75">
        <v>0.18965517241379309</v>
      </c>
      <c r="X3" s="73" t="s">
        <v>177</v>
      </c>
      <c r="Y3" s="76">
        <v>0.32258064516129031</v>
      </c>
      <c r="Z3" s="73" t="s">
        <v>195</v>
      </c>
      <c r="AA3" s="76">
        <v>0.35483870967741937</v>
      </c>
      <c r="AB3" s="73" t="s">
        <v>181</v>
      </c>
      <c r="AC3" s="76">
        <v>0.61111111111111116</v>
      </c>
      <c r="AD3" s="73" t="s">
        <v>222</v>
      </c>
      <c r="AE3" s="76">
        <v>1</v>
      </c>
      <c r="AF3" s="73" t="s">
        <v>181</v>
      </c>
      <c r="AG3" s="76">
        <v>0.54385964912280704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308.80000000000007</v>
      </c>
      <c r="D4" s="81" t="s">
        <v>126</v>
      </c>
      <c r="E4" s="93">
        <v>8.3370370370370352</v>
      </c>
      <c r="F4" s="81" t="s">
        <v>126</v>
      </c>
      <c r="G4" s="82">
        <v>1.787037037037037</v>
      </c>
      <c r="H4" s="81" t="s">
        <v>126</v>
      </c>
      <c r="I4" s="83">
        <v>0.47222222222222221</v>
      </c>
      <c r="J4" s="81" t="s">
        <v>126</v>
      </c>
      <c r="K4" s="83">
        <v>0.25925925925925924</v>
      </c>
      <c r="L4" s="81" t="s">
        <v>126</v>
      </c>
      <c r="M4" s="84">
        <v>0.33874709976798145</v>
      </c>
      <c r="N4" s="81" t="s">
        <v>126</v>
      </c>
      <c r="O4" s="84">
        <v>0.12993039443155452</v>
      </c>
      <c r="P4" s="81" t="s">
        <v>127</v>
      </c>
      <c r="Q4" s="85">
        <v>8602.766798418972</v>
      </c>
      <c r="R4" s="81" t="s">
        <v>181</v>
      </c>
      <c r="S4" s="85">
        <v>-7151.6129032258068</v>
      </c>
      <c r="T4" s="81" t="s">
        <v>166</v>
      </c>
      <c r="U4" s="83">
        <v>2.1739130434782608E-2</v>
      </c>
      <c r="V4" s="81" t="s">
        <v>195</v>
      </c>
      <c r="W4" s="83">
        <v>0.14285714285714285</v>
      </c>
      <c r="X4" s="81" t="s">
        <v>179</v>
      </c>
      <c r="Y4" s="84">
        <v>0.29166666666666669</v>
      </c>
      <c r="Z4" s="81" t="s">
        <v>222</v>
      </c>
      <c r="AA4" s="84">
        <v>0.33333333333333331</v>
      </c>
      <c r="AB4" s="81" t="s">
        <v>126</v>
      </c>
      <c r="AC4" s="84">
        <v>0.59227467811158796</v>
      </c>
      <c r="AD4" s="81" t="s">
        <v>126</v>
      </c>
      <c r="AE4" s="84">
        <v>0.47959183673469385</v>
      </c>
      <c r="AF4" s="81" t="s">
        <v>177</v>
      </c>
      <c r="AG4" s="84">
        <v>0.48550724637681159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127</v>
      </c>
      <c r="C5" s="80">
        <v>42.999999999999787</v>
      </c>
      <c r="D5" s="81" t="s">
        <v>177</v>
      </c>
      <c r="E5" s="93">
        <v>5.3241379310344836</v>
      </c>
      <c r="F5" s="81" t="s">
        <v>177</v>
      </c>
      <c r="G5" s="82">
        <v>1.8793103448275863</v>
      </c>
      <c r="H5" s="81" t="s">
        <v>177</v>
      </c>
      <c r="I5" s="83">
        <v>0.43103448275862066</v>
      </c>
      <c r="J5" s="81" t="s">
        <v>178</v>
      </c>
      <c r="K5" s="83">
        <v>0.27906976744186046</v>
      </c>
      <c r="L5" s="81" t="s">
        <v>127</v>
      </c>
      <c r="M5" s="84">
        <v>0.30299401197604792</v>
      </c>
      <c r="N5" s="81" t="s">
        <v>178</v>
      </c>
      <c r="O5" s="84">
        <v>0.13469985358711567</v>
      </c>
      <c r="P5" s="81" t="s">
        <v>143</v>
      </c>
      <c r="Q5" s="85">
        <v>8419.4948697711134</v>
      </c>
      <c r="R5" s="81" t="s">
        <v>179</v>
      </c>
      <c r="S5" s="85">
        <v>-7611.818181818182</v>
      </c>
      <c r="T5" s="81" t="s">
        <v>126</v>
      </c>
      <c r="U5" s="83">
        <v>4.6296296296296294E-2</v>
      </c>
      <c r="V5" s="81" t="s">
        <v>126</v>
      </c>
      <c r="W5" s="83">
        <v>0.12962962962962962</v>
      </c>
      <c r="X5" s="81" t="s">
        <v>126</v>
      </c>
      <c r="Y5" s="84">
        <v>0.27030162412993042</v>
      </c>
      <c r="Z5" s="81" t="s">
        <v>127</v>
      </c>
      <c r="AA5" s="84">
        <v>0.30419161676646705</v>
      </c>
      <c r="AB5" s="81" t="s">
        <v>179</v>
      </c>
      <c r="AC5" s="84">
        <v>0.58441558441558439</v>
      </c>
      <c r="AD5" s="81" t="s">
        <v>177</v>
      </c>
      <c r="AE5" s="84">
        <v>0.45121951219512196</v>
      </c>
      <c r="AF5" s="81" t="s">
        <v>182</v>
      </c>
      <c r="AG5" s="84">
        <v>0.48275862068965519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0.4343434343434322</v>
      </c>
      <c r="F6" s="81" t="s">
        <v>127</v>
      </c>
      <c r="G6" s="82">
        <v>1.9595959595959596</v>
      </c>
      <c r="H6" s="81" t="s">
        <v>195</v>
      </c>
      <c r="I6" s="83">
        <v>0.42857142857142855</v>
      </c>
      <c r="J6" s="81" t="s">
        <v>177</v>
      </c>
      <c r="K6" s="83">
        <v>0.31034482758620691</v>
      </c>
      <c r="L6" s="81" t="s">
        <v>177</v>
      </c>
      <c r="M6" s="84">
        <v>0.29677419354838708</v>
      </c>
      <c r="N6" s="81" t="s">
        <v>166</v>
      </c>
      <c r="O6" s="84">
        <v>0.14463840399002495</v>
      </c>
      <c r="P6" s="81" t="s">
        <v>178</v>
      </c>
      <c r="Q6" s="85">
        <v>8382.2916666666661</v>
      </c>
      <c r="R6" s="81" t="s">
        <v>126</v>
      </c>
      <c r="S6" s="85">
        <v>-7843.75</v>
      </c>
      <c r="T6" s="81" t="s">
        <v>178</v>
      </c>
      <c r="U6" s="83">
        <v>8.1395348837209308E-2</v>
      </c>
      <c r="V6" s="81" t="s">
        <v>127</v>
      </c>
      <c r="W6" s="83">
        <v>0.10101010101010101</v>
      </c>
      <c r="X6" s="81" t="s">
        <v>222</v>
      </c>
      <c r="Y6" s="84">
        <v>0.26666666666666666</v>
      </c>
      <c r="Z6" s="81" t="s">
        <v>166</v>
      </c>
      <c r="AA6" s="84">
        <v>0.23441396508728179</v>
      </c>
      <c r="AB6" s="81" t="s">
        <v>143</v>
      </c>
      <c r="AC6" s="84">
        <v>0.55728689275893672</v>
      </c>
      <c r="AD6" s="81" t="s">
        <v>178</v>
      </c>
      <c r="AE6" s="84">
        <v>0.4140127388535032</v>
      </c>
      <c r="AF6" s="81" t="s">
        <v>179</v>
      </c>
      <c r="AG6" s="84">
        <v>0.45270270270270269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-5.8619775700208265E-14</v>
      </c>
      <c r="D7" s="81" t="s">
        <v>143</v>
      </c>
      <c r="E7" s="93">
        <v>-1.1229842088162504E-16</v>
      </c>
      <c r="F7" s="81" t="s">
        <v>181</v>
      </c>
      <c r="G7" s="82">
        <v>2</v>
      </c>
      <c r="H7" s="81" t="s">
        <v>181</v>
      </c>
      <c r="I7" s="83">
        <v>0.36363636363636365</v>
      </c>
      <c r="J7" s="81" t="s">
        <v>127</v>
      </c>
      <c r="K7" s="83">
        <v>0.31313131313131315</v>
      </c>
      <c r="L7" s="81" t="s">
        <v>143</v>
      </c>
      <c r="M7" s="84">
        <v>0.2943089430894309</v>
      </c>
      <c r="N7" s="81" t="s">
        <v>181</v>
      </c>
      <c r="O7" s="84">
        <v>0.15196078431372548</v>
      </c>
      <c r="P7" s="81" t="s">
        <v>126</v>
      </c>
      <c r="Q7" s="85">
        <v>8217.1232876712329</v>
      </c>
      <c r="R7" s="81" t="s">
        <v>143</v>
      </c>
      <c r="S7" s="85">
        <v>-7854.829545454545</v>
      </c>
      <c r="T7" s="81" t="s">
        <v>177</v>
      </c>
      <c r="U7" s="83">
        <v>8.6206896551724144E-2</v>
      </c>
      <c r="V7" s="81" t="s">
        <v>143</v>
      </c>
      <c r="W7" s="83">
        <v>9.3869731800766285E-2</v>
      </c>
      <c r="X7" s="81" t="s">
        <v>181</v>
      </c>
      <c r="Y7" s="84">
        <v>0.26470588235294118</v>
      </c>
      <c r="Z7" s="81" t="s">
        <v>143</v>
      </c>
      <c r="AA7" s="84">
        <v>0.23135888501742161</v>
      </c>
      <c r="AB7" s="81" t="s">
        <v>178</v>
      </c>
      <c r="AC7" s="84">
        <v>0.55681818181818177</v>
      </c>
      <c r="AD7" s="81" t="s">
        <v>143</v>
      </c>
      <c r="AE7" s="84">
        <v>0.40963855421686746</v>
      </c>
      <c r="AF7" s="81" t="s">
        <v>178</v>
      </c>
      <c r="AG7" s="84">
        <v>0.44791666666666669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181</v>
      </c>
      <c r="C8" s="80">
        <v>-13.5</v>
      </c>
      <c r="D8" s="81" t="s">
        <v>181</v>
      </c>
      <c r="E8" s="93">
        <v>-0.61363636363636365</v>
      </c>
      <c r="F8" s="81" t="s">
        <v>143</v>
      </c>
      <c r="G8" s="82">
        <v>2</v>
      </c>
      <c r="H8" s="81" t="s">
        <v>127</v>
      </c>
      <c r="I8" s="83">
        <v>0.35353535353535354</v>
      </c>
      <c r="J8" s="81" t="s">
        <v>143</v>
      </c>
      <c r="K8" s="83">
        <v>0.33333333333333331</v>
      </c>
      <c r="L8" s="81" t="s">
        <v>178</v>
      </c>
      <c r="M8" s="84">
        <v>0.28111273792093705</v>
      </c>
      <c r="N8" s="81" t="s">
        <v>143</v>
      </c>
      <c r="O8" s="84">
        <v>0.16353077816492451</v>
      </c>
      <c r="P8" s="81" t="s">
        <v>181</v>
      </c>
      <c r="Q8" s="85">
        <v>8115.7894736842109</v>
      </c>
      <c r="R8" s="81" t="s">
        <v>178</v>
      </c>
      <c r="S8" s="85">
        <v>-7886.95652173913</v>
      </c>
      <c r="T8" s="81" t="s">
        <v>181</v>
      </c>
      <c r="U8" s="83">
        <v>9.0909090909090912E-2</v>
      </c>
      <c r="V8" s="81" t="s">
        <v>181</v>
      </c>
      <c r="W8" s="83">
        <v>9.0909090909090912E-2</v>
      </c>
      <c r="X8" s="81" t="s">
        <v>178</v>
      </c>
      <c r="Y8" s="84">
        <v>0.25768667642752563</v>
      </c>
      <c r="Z8" s="81" t="s">
        <v>178</v>
      </c>
      <c r="AA8" s="84">
        <v>0.22986822840409957</v>
      </c>
      <c r="AB8" s="81" t="s">
        <v>177</v>
      </c>
      <c r="AC8" s="84">
        <v>0.54666666666666663</v>
      </c>
      <c r="AD8" s="81" t="s">
        <v>182</v>
      </c>
      <c r="AE8" s="84">
        <v>0.4</v>
      </c>
      <c r="AF8" s="81" t="s">
        <v>143</v>
      </c>
      <c r="AG8" s="84">
        <v>0.43883188634569847</v>
      </c>
      <c r="AH8" s="81" t="s">
        <v>166</v>
      </c>
      <c r="AI8" s="88">
        <v>86900</v>
      </c>
    </row>
    <row r="9" spans="1:35" x14ac:dyDescent="0.4">
      <c r="A9" s="78">
        <v>7</v>
      </c>
      <c r="B9" s="79" t="s">
        <v>178</v>
      </c>
      <c r="C9" s="80">
        <v>-83.800000000000011</v>
      </c>
      <c r="D9" s="81" t="s">
        <v>178</v>
      </c>
      <c r="E9" s="93">
        <v>-0.97441860465116292</v>
      </c>
      <c r="F9" s="81" t="s">
        <v>178</v>
      </c>
      <c r="G9" s="82">
        <v>2.058139534883721</v>
      </c>
      <c r="H9" s="81" t="s">
        <v>166</v>
      </c>
      <c r="I9" s="83">
        <v>0.34782608695652173</v>
      </c>
      <c r="J9" s="81" t="s">
        <v>181</v>
      </c>
      <c r="K9" s="83">
        <v>0.36363636363636365</v>
      </c>
      <c r="L9" s="81" t="s">
        <v>179</v>
      </c>
      <c r="M9" s="84">
        <v>0.28030303030303028</v>
      </c>
      <c r="N9" s="81" t="s">
        <v>177</v>
      </c>
      <c r="O9" s="84">
        <v>0.16559139784946236</v>
      </c>
      <c r="P9" s="81" t="s">
        <v>179</v>
      </c>
      <c r="Q9" s="85">
        <v>8081.0810810810808</v>
      </c>
      <c r="R9" s="81" t="s">
        <v>222</v>
      </c>
      <c r="S9" s="85">
        <v>-8000</v>
      </c>
      <c r="T9" s="81" t="s">
        <v>143</v>
      </c>
      <c r="U9" s="83">
        <v>9.3869731800766285E-2</v>
      </c>
      <c r="V9" s="81" t="s">
        <v>178</v>
      </c>
      <c r="W9" s="83">
        <v>6.9767441860465115E-2</v>
      </c>
      <c r="X9" s="81" t="s">
        <v>143</v>
      </c>
      <c r="Y9" s="84">
        <v>0.25342624854819978</v>
      </c>
      <c r="Z9" s="81" t="s">
        <v>126</v>
      </c>
      <c r="AA9" s="84">
        <v>0.22737819025522041</v>
      </c>
      <c r="AB9" s="81" t="s">
        <v>182</v>
      </c>
      <c r="AC9" s="84">
        <v>0.54166666666666663</v>
      </c>
      <c r="AD9" s="81" t="s">
        <v>179</v>
      </c>
      <c r="AE9" s="84">
        <v>0.38383838383838381</v>
      </c>
      <c r="AF9" s="81" t="s">
        <v>126</v>
      </c>
      <c r="AG9" s="84">
        <v>0.4315068493150685</v>
      </c>
      <c r="AH9" s="81" t="s">
        <v>178</v>
      </c>
      <c r="AI9" s="88">
        <v>86500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-3.1717391304347839</v>
      </c>
      <c r="F10" s="81" t="s">
        <v>166</v>
      </c>
      <c r="G10" s="82">
        <v>2.0652173913043477</v>
      </c>
      <c r="H10" s="81" t="s">
        <v>143</v>
      </c>
      <c r="I10" s="83">
        <v>0.33333333333333331</v>
      </c>
      <c r="J10" s="81" t="s">
        <v>179</v>
      </c>
      <c r="K10" s="83">
        <v>0.3968253968253968</v>
      </c>
      <c r="L10" s="81" t="s">
        <v>181</v>
      </c>
      <c r="M10" s="84">
        <v>0.27941176470588236</v>
      </c>
      <c r="N10" s="81" t="s">
        <v>182</v>
      </c>
      <c r="O10" s="84">
        <v>0.188</v>
      </c>
      <c r="P10" s="81" t="s">
        <v>182</v>
      </c>
      <c r="Q10" s="85">
        <v>7901.7241379310344</v>
      </c>
      <c r="R10" s="81" t="s">
        <v>182</v>
      </c>
      <c r="S10" s="85">
        <v>-8059.5744680851067</v>
      </c>
      <c r="T10" s="81" t="s">
        <v>179</v>
      </c>
      <c r="U10" s="83">
        <v>9.5238095238095233E-2</v>
      </c>
      <c r="V10" s="81" t="s">
        <v>166</v>
      </c>
      <c r="W10" s="83">
        <v>4.3478260869565216E-2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181</v>
      </c>
      <c r="AE10" s="84">
        <v>0.375</v>
      </c>
      <c r="AF10" s="81" t="s">
        <v>166</v>
      </c>
      <c r="AG10" s="84">
        <v>0.42990654205607476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-145.90000000000006</v>
      </c>
      <c r="D11" s="81" t="s">
        <v>179</v>
      </c>
      <c r="E11" s="93">
        <v>-7.2587301587301578</v>
      </c>
      <c r="F11" s="81" t="s">
        <v>195</v>
      </c>
      <c r="G11" s="82">
        <v>2.1428571428571428</v>
      </c>
      <c r="H11" s="81" t="s">
        <v>178</v>
      </c>
      <c r="I11" s="83">
        <v>0.22093023255813954</v>
      </c>
      <c r="J11" s="81" t="s">
        <v>166</v>
      </c>
      <c r="K11" s="83">
        <v>0.41304347826086957</v>
      </c>
      <c r="L11" s="81" t="s">
        <v>166</v>
      </c>
      <c r="M11" s="84">
        <v>0.26683291770573564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177</v>
      </c>
      <c r="S11" s="85">
        <v>-8136.363636363636</v>
      </c>
      <c r="T11" s="81" t="s">
        <v>127</v>
      </c>
      <c r="U11" s="83">
        <v>0.14141414141414141</v>
      </c>
      <c r="V11" s="81" t="s">
        <v>182</v>
      </c>
      <c r="W11" s="83">
        <v>3.2258064516129031E-2</v>
      </c>
      <c r="X11" s="81" t="s">
        <v>127</v>
      </c>
      <c r="Y11" s="84">
        <v>0.2347305389221557</v>
      </c>
      <c r="Z11" s="81" t="s">
        <v>179</v>
      </c>
      <c r="AA11" s="84">
        <v>0.1875</v>
      </c>
      <c r="AB11" s="81" t="s">
        <v>127</v>
      </c>
      <c r="AC11" s="84">
        <v>0.51020408163265307</v>
      </c>
      <c r="AD11" s="81" t="s">
        <v>127</v>
      </c>
      <c r="AE11" s="84">
        <v>0.37401574803149606</v>
      </c>
      <c r="AF11" s="81" t="s">
        <v>127</v>
      </c>
      <c r="AG11" s="84">
        <v>0.38735177865612647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-457.29999999999995</v>
      </c>
      <c r="D12" s="81" t="s">
        <v>195</v>
      </c>
      <c r="E12" s="93">
        <v>-14.971428571428573</v>
      </c>
      <c r="F12" s="81" t="s">
        <v>179</v>
      </c>
      <c r="G12" s="82">
        <v>2.1904761904761907</v>
      </c>
      <c r="H12" s="81" t="s">
        <v>179</v>
      </c>
      <c r="I12" s="83">
        <v>0.20634920634920634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0.19640718562874251</v>
      </c>
      <c r="P12" s="81" t="s">
        <v>222</v>
      </c>
      <c r="Q12" s="85">
        <v>7385.7142857142853</v>
      </c>
      <c r="R12" s="81" t="s">
        <v>127</v>
      </c>
      <c r="S12" s="85">
        <v>-8248.1707317073178</v>
      </c>
      <c r="T12" s="81" t="s">
        <v>182</v>
      </c>
      <c r="U12" s="83">
        <v>0.16129032258064516</v>
      </c>
      <c r="V12" s="81" t="s">
        <v>179</v>
      </c>
      <c r="W12" s="83">
        <v>3.1746031746031744E-2</v>
      </c>
      <c r="X12" s="81" t="s">
        <v>182</v>
      </c>
      <c r="Y12" s="84">
        <v>0.192</v>
      </c>
      <c r="Z12" s="81" t="s">
        <v>177</v>
      </c>
      <c r="AA12" s="84">
        <v>0.17634408602150536</v>
      </c>
      <c r="AB12" s="81" t="s">
        <v>166</v>
      </c>
      <c r="AC12" s="84">
        <v>0.50819672131147542</v>
      </c>
      <c r="AD12" s="81" t="s">
        <v>166</v>
      </c>
      <c r="AE12" s="84">
        <v>0.36170212765957449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0.20833333333333334</v>
      </c>
      <c r="P13" s="81" t="s">
        <v>166</v>
      </c>
      <c r="Q13" s="85">
        <v>7148.5981308411219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0.15211970074812967</v>
      </c>
      <c r="Z13" s="81" t="s">
        <v>181</v>
      </c>
      <c r="AA13" s="84">
        <v>0.15686274509803921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2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522</v>
      </c>
      <c r="C2" s="149"/>
      <c r="E2" s="58" t="s">
        <v>66</v>
      </c>
      <c r="F2" s="55" t="s">
        <v>22</v>
      </c>
      <c r="G2" s="43">
        <v>978</v>
      </c>
      <c r="H2" s="128">
        <f>IF(B$17=0,0,G2/B$17)</f>
        <v>0.77190213101815308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-21.194605009633911</v>
      </c>
      <c r="P2" s="114">
        <v>519</v>
      </c>
      <c r="Q2" s="98">
        <v>-11000</v>
      </c>
    </row>
    <row r="3" spans="1:17" x14ac:dyDescent="0.4">
      <c r="A3" s="51" t="s">
        <v>8</v>
      </c>
      <c r="B3" s="150">
        <v>4305</v>
      </c>
      <c r="C3" s="151"/>
      <c r="E3" s="59" t="s">
        <v>72</v>
      </c>
      <c r="F3" s="56" t="s">
        <v>27</v>
      </c>
      <c r="G3" s="44">
        <v>680</v>
      </c>
      <c r="H3" s="129">
        <f>IF(B$17=0,0,G3/B$17)</f>
        <v>0.53670086819258089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5.9171597633136095</v>
      </c>
      <c r="P3" s="115">
        <v>507</v>
      </c>
      <c r="Q3" s="99">
        <v>3000</v>
      </c>
    </row>
    <row r="4" spans="1:17" x14ac:dyDescent="0.4">
      <c r="A4" s="51" t="s">
        <v>6</v>
      </c>
      <c r="B4" s="152">
        <v>-5.8619775700208265E-14</v>
      </c>
      <c r="C4" s="153"/>
      <c r="E4" s="59" t="s">
        <v>64</v>
      </c>
      <c r="F4" s="56" t="s">
        <v>20</v>
      </c>
      <c r="G4" s="44">
        <v>579</v>
      </c>
      <c r="H4" s="129">
        <f>IF(B$17=0,0,G4/B$17)</f>
        <v>0.4569850039463299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-14.583333333333334</v>
      </c>
      <c r="P4" s="115">
        <v>480</v>
      </c>
      <c r="Q4" s="99">
        <v>-7000</v>
      </c>
    </row>
    <row r="5" spans="1:17" x14ac:dyDescent="0.4">
      <c r="A5" s="51" t="s">
        <v>7</v>
      </c>
      <c r="B5" s="154">
        <f>IF(B$2=0,0,B$4/B$2)</f>
        <v>-1.1229842088162504E-16</v>
      </c>
      <c r="C5" s="155"/>
      <c r="E5" s="59" t="s">
        <v>171</v>
      </c>
      <c r="F5" s="56" t="s">
        <v>172</v>
      </c>
      <c r="G5" s="44">
        <v>500</v>
      </c>
      <c r="H5" s="129">
        <f>IF(B$17=0,0,G5/B$17)</f>
        <v>0.39463299131807417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13.157894736842104</v>
      </c>
      <c r="P5" s="115">
        <v>456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397</v>
      </c>
      <c r="H6" s="129">
        <f>IF(B$17=0,0,G6/B$17)</f>
        <v>0.31333859510655093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9.5238095238095237</v>
      </c>
      <c r="P6" s="115">
        <v>420</v>
      </c>
      <c r="Q6" s="99">
        <v>4000</v>
      </c>
    </row>
    <row r="7" spans="1:17" x14ac:dyDescent="0.4">
      <c r="A7" s="51" t="s">
        <v>2</v>
      </c>
      <c r="B7" s="44">
        <v>174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360</v>
      </c>
      <c r="H7" s="129">
        <f>IF(B$17=0,0,G7/B$17)</f>
        <v>0.2841357537490134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14.124293785310735</v>
      </c>
      <c r="P7" s="116">
        <v>354</v>
      </c>
      <c r="Q7" s="100">
        <v>5000</v>
      </c>
    </row>
    <row r="8" spans="1:17" x14ac:dyDescent="0.4">
      <c r="A8" s="51" t="s">
        <v>3</v>
      </c>
      <c r="B8" s="44">
        <v>174</v>
      </c>
      <c r="C8" s="37">
        <f t="shared" si="1"/>
        <v>0.33333333333333331</v>
      </c>
      <c r="E8" s="59" t="s">
        <v>69</v>
      </c>
      <c r="F8" s="56" t="s">
        <v>24</v>
      </c>
      <c r="G8" s="44">
        <v>193</v>
      </c>
      <c r="H8" s="129">
        <f>IF(B$17=0,0,G8/B$17)</f>
        <v>0.15232833464877663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174</v>
      </c>
      <c r="C9" s="38">
        <f t="shared" si="1"/>
        <v>0.33333333333333331</v>
      </c>
      <c r="E9" s="59" t="s">
        <v>89</v>
      </c>
      <c r="F9" s="56" t="s">
        <v>44</v>
      </c>
      <c r="G9" s="44">
        <v>166</v>
      </c>
      <c r="H9" s="129">
        <f>IF(B$17=0,0,G9/B$17)</f>
        <v>0.13101815311760062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49</v>
      </c>
      <c r="C10" s="38">
        <f t="shared" si="1"/>
        <v>9.3869731800766285E-2</v>
      </c>
      <c r="E10" s="59" t="s">
        <v>65</v>
      </c>
      <c r="F10" s="56" t="s">
        <v>21</v>
      </c>
      <c r="G10" s="44">
        <v>132</v>
      </c>
      <c r="H10" s="129">
        <f>IF(B$17=0,0,G10/B$17)</f>
        <v>0.10418310970797158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-0.50057471264367848</v>
      </c>
      <c r="P10" s="114">
        <v>174</v>
      </c>
      <c r="Q10" s="102">
        <v>-87.100000000000051</v>
      </c>
    </row>
    <row r="11" spans="1:17" x14ac:dyDescent="0.4">
      <c r="A11" s="52" t="s">
        <v>138</v>
      </c>
      <c r="B11" s="45">
        <v>49</v>
      </c>
      <c r="C11" s="38">
        <f t="shared" si="1"/>
        <v>9.3869731800766285E-2</v>
      </c>
      <c r="E11" s="59" t="s">
        <v>70</v>
      </c>
      <c r="F11" s="56" t="s">
        <v>25</v>
      </c>
      <c r="G11" s="44">
        <v>120</v>
      </c>
      <c r="H11" s="129">
        <f>IF(B$17=0,0,G11/B$17)</f>
        <v>9.4711917916337804E-2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2.056896551724138</v>
      </c>
      <c r="P11" s="115">
        <v>174</v>
      </c>
      <c r="Q11" s="103">
        <v>357.9</v>
      </c>
    </row>
    <row r="12" spans="1:17" x14ac:dyDescent="0.4">
      <c r="A12" s="53" t="s">
        <v>158</v>
      </c>
      <c r="B12" s="46">
        <v>53</v>
      </c>
      <c r="C12" s="40">
        <f t="shared" si="1"/>
        <v>0.10153256704980843</v>
      </c>
      <c r="E12" s="59" t="s">
        <v>71</v>
      </c>
      <c r="F12" s="56" t="s">
        <v>26</v>
      </c>
      <c r="G12" s="44">
        <v>99</v>
      </c>
      <c r="H12" s="129">
        <f>IF(B$17=0,0,G12/B$17)</f>
        <v>7.8137332280978689E-2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-1.5563218390804605</v>
      </c>
      <c r="P12" s="116">
        <v>174</v>
      </c>
      <c r="Q12" s="104">
        <v>-270.80000000000013</v>
      </c>
    </row>
    <row r="13" spans="1:17" x14ac:dyDescent="0.4">
      <c r="A13" s="54" t="s">
        <v>121</v>
      </c>
      <c r="B13" s="47">
        <v>1091</v>
      </c>
      <c r="C13" s="42">
        <f>IF(B$3=0,0,B13/B$3)</f>
        <v>0.25342624854819978</v>
      </c>
      <c r="E13" s="59" t="s">
        <v>83</v>
      </c>
      <c r="F13" s="56" t="s">
        <v>38</v>
      </c>
      <c r="G13" s="44">
        <v>69</v>
      </c>
      <c r="H13" s="129">
        <f>IF(B$17=0,0,G13/B$17)</f>
        <v>5.4459352801894241E-2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996</v>
      </c>
      <c r="C14" s="37">
        <f>IF(B$3=0,0,B14/B$3)</f>
        <v>0.23135888501742161</v>
      </c>
      <c r="E14" s="59" t="s">
        <v>86</v>
      </c>
      <c r="F14" s="56" t="s">
        <v>41</v>
      </c>
      <c r="G14" s="44">
        <v>62</v>
      </c>
      <c r="H14" s="129">
        <f>IF(B$17=0,0,G14/B$17)</f>
        <v>4.8934490923441203E-2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608</v>
      </c>
      <c r="C15" s="35">
        <f>IF(B$13=0,0,B15/B$13)</f>
        <v>0.55728689275893672</v>
      </c>
      <c r="E15" s="59" t="s">
        <v>78</v>
      </c>
      <c r="F15" s="56" t="s">
        <v>33</v>
      </c>
      <c r="G15" s="44">
        <v>33</v>
      </c>
      <c r="H15" s="129">
        <f>IF(B$17=0,0,G15/B$17)</f>
        <v>2.6045777426992895E-2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408</v>
      </c>
      <c r="C16" s="35">
        <f>IF(B$14=0,0,B16/B$14)</f>
        <v>0.40963855421686746</v>
      </c>
      <c r="E16" s="59" t="s">
        <v>167</v>
      </c>
      <c r="F16" s="56" t="s">
        <v>168</v>
      </c>
      <c r="G16" s="44">
        <v>32</v>
      </c>
      <c r="H16" s="129">
        <f>IF(B$17=0,0,G16/B$17)</f>
        <v>2.5256511444356748E-2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1267</v>
      </c>
      <c r="C17" s="35">
        <f>IF(B$3=0,0,B17/B$3)</f>
        <v>0.2943089430894309</v>
      </c>
      <c r="E17" s="59" t="s">
        <v>81</v>
      </c>
      <c r="F17" s="56" t="s">
        <v>36</v>
      </c>
      <c r="G17" s="44">
        <v>22</v>
      </c>
      <c r="H17" s="129">
        <f>IF(B$17=0,0,G17/B$17)</f>
        <v>1.7363851617995266E-2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10.888095238095239</v>
      </c>
      <c r="P17" s="115">
        <v>126</v>
      </c>
      <c r="Q17" s="103">
        <v>1371.9</v>
      </c>
    </row>
    <row r="18" spans="1:17" x14ac:dyDescent="0.4">
      <c r="A18" s="51" t="s">
        <v>12</v>
      </c>
      <c r="B18" s="44">
        <v>556</v>
      </c>
      <c r="C18" s="37">
        <f>IF(B$17=0,0,B18/B$17)</f>
        <v>0.43883188634569847</v>
      </c>
      <c r="E18" s="59" t="s">
        <v>91</v>
      </c>
      <c r="F18" s="56" t="s">
        <v>46</v>
      </c>
      <c r="G18" s="44">
        <v>17</v>
      </c>
      <c r="H18" s="129">
        <f>IF(B$17=0,0,G18/B$17)</f>
        <v>1.3417521704814523E-2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4.7576086956521717</v>
      </c>
      <c r="P18" s="115">
        <v>92</v>
      </c>
      <c r="Q18" s="103">
        <v>437.69999999999976</v>
      </c>
    </row>
    <row r="19" spans="1:17" x14ac:dyDescent="0.4">
      <c r="A19" s="51" t="s">
        <v>11</v>
      </c>
      <c r="B19" s="44">
        <v>711</v>
      </c>
      <c r="C19" s="37">
        <f>IF(B$17=0,0,B19/B$17)</f>
        <v>0.56116811365430153</v>
      </c>
      <c r="E19" s="59" t="s">
        <v>79</v>
      </c>
      <c r="F19" s="56" t="s">
        <v>34</v>
      </c>
      <c r="G19" s="44">
        <v>16</v>
      </c>
      <c r="H19" s="129">
        <f>IF(B$17=0,0,G19/B$17)</f>
        <v>1.2628255722178374E-2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1.4616279069767433</v>
      </c>
      <c r="P19" s="115">
        <v>172</v>
      </c>
      <c r="Q19" s="103">
        <v>251.39999999999984</v>
      </c>
    </row>
    <row r="20" spans="1:17" x14ac:dyDescent="0.4">
      <c r="A20" s="51" t="s">
        <v>13</v>
      </c>
      <c r="B20" s="44">
        <v>704</v>
      </c>
      <c r="C20" s="37">
        <f>IF(B$3=0,0,B20/B$3)</f>
        <v>0.16353077816492451</v>
      </c>
      <c r="E20" s="59" t="s">
        <v>75</v>
      </c>
      <c r="F20" s="56" t="s">
        <v>30</v>
      </c>
      <c r="G20" s="44">
        <v>9</v>
      </c>
      <c r="H20" s="129">
        <f>IF(B$17=0,0,G20/B$17)</f>
        <v>7.1033938437253356E-3</v>
      </c>
      <c r="I20" s="90">
        <v>5</v>
      </c>
      <c r="K20" s="36">
        <v>18</v>
      </c>
      <c r="L20" s="95">
        <v>0</v>
      </c>
      <c r="N20" s="111" t="s">
        <v>181</v>
      </c>
      <c r="O20" s="121">
        <f>IF(P20=0,0,Q20/P20)</f>
        <v>0.9204545454545453</v>
      </c>
      <c r="P20" s="115">
        <v>44</v>
      </c>
      <c r="Q20" s="103">
        <v>40.499999999999993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7</v>
      </c>
      <c r="H21" s="129">
        <f>IF(B$17=0,0,G21/B$17)</f>
        <v>5.5248618784530384E-3</v>
      </c>
      <c r="I21" s="90">
        <v>3</v>
      </c>
      <c r="K21" s="36">
        <v>19</v>
      </c>
      <c r="L21" s="95">
        <v>-22.4</v>
      </c>
      <c r="N21" s="111" t="s">
        <v>127</v>
      </c>
      <c r="O21" s="121">
        <f>IF(P21=0,0,Q21/P21)</f>
        <v>-0.65151515151515782</v>
      </c>
      <c r="P21" s="115">
        <v>198</v>
      </c>
      <c r="Q21" s="103">
        <v>-129.00000000000125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6</v>
      </c>
      <c r="H22" s="129">
        <f>IF(B$17=0,0,G22/B$17)</f>
        <v>4.7355958958168907E-3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-7.9862068965517237</v>
      </c>
      <c r="P22" s="115">
        <v>116</v>
      </c>
      <c r="Q22" s="103">
        <v>-926.4</v>
      </c>
    </row>
    <row r="23" spans="1:17" x14ac:dyDescent="0.4">
      <c r="A23" s="51" t="s">
        <v>5</v>
      </c>
      <c r="B23" s="48">
        <f>IF(B$17=0,0,C23/B$17)</f>
        <v>8419.4948697711134</v>
      </c>
      <c r="C23" s="39">
        <v>10667500</v>
      </c>
      <c r="E23" s="59" t="s">
        <v>77</v>
      </c>
      <c r="F23" s="56" t="s">
        <v>32</v>
      </c>
      <c r="G23" s="44">
        <v>5</v>
      </c>
      <c r="H23" s="129">
        <f>IF(B$17=0,0,G23/B$17)</f>
        <v>3.9463299131807421E-3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-12.505555555555553</v>
      </c>
      <c r="P23" s="115">
        <v>216</v>
      </c>
      <c r="Q23" s="103">
        <v>-2701.1999999999994</v>
      </c>
    </row>
    <row r="24" spans="1:17" x14ac:dyDescent="0.4">
      <c r="A24" s="52" t="s">
        <v>216</v>
      </c>
      <c r="B24" s="136">
        <f>IF($B$17-B$16=0,0,C24/($B$17-B$16))</f>
        <v>8934.3422584400469</v>
      </c>
      <c r="C24" s="137">
        <v>7674600</v>
      </c>
      <c r="E24" s="59" t="s">
        <v>85</v>
      </c>
      <c r="F24" s="56" t="s">
        <v>40</v>
      </c>
      <c r="G24" s="44">
        <v>5</v>
      </c>
      <c r="H24" s="129">
        <f>IF(B$17=0,0,G24/B$17)</f>
        <v>3.9463299131807421E-3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7335.5392156862745</v>
      </c>
      <c r="C25" s="137">
        <v>2992900</v>
      </c>
      <c r="E25" s="59" t="s">
        <v>88</v>
      </c>
      <c r="F25" s="56" t="s">
        <v>43</v>
      </c>
      <c r="G25" s="44">
        <v>5</v>
      </c>
      <c r="H25" s="129">
        <f>IF(B$17=0,0,G25/B$17)</f>
        <v>3.9463299131807421E-3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-7854.829545454545</v>
      </c>
      <c r="C26" s="137">
        <v>-5529800</v>
      </c>
      <c r="E26" s="59" t="s">
        <v>73</v>
      </c>
      <c r="F26" s="56" t="s">
        <v>28</v>
      </c>
      <c r="G26" s="44">
        <v>4</v>
      </c>
      <c r="H26" s="129">
        <f>IF(B$17=0,0,G26/B$17)</f>
        <v>3.1570639305445935E-3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3.1570639305445935E-3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2.3677979479084454E-3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3.2520325203252032E-3</v>
      </c>
      <c r="E29" s="59" t="s">
        <v>95</v>
      </c>
      <c r="F29" s="56" t="s">
        <v>50</v>
      </c>
      <c r="G29" s="44">
        <v>3</v>
      </c>
      <c r="H29" s="129">
        <f>IF(B$17=0,0,G29/B$17)</f>
        <v>2.3677979479084454E-3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1.5785319652722968E-3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1.5785319652722968E-3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7.8926598263614838E-4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7.8926598263614838E-4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7.8926598263614838E-4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71</v>
      </c>
      <c r="H2" s="128">
        <f>IF(B$17=0,0,G2/B$17)</f>
        <v>0.66355140186915884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1384.7826086956522</v>
      </c>
      <c r="P2" s="114">
        <v>46</v>
      </c>
      <c r="Q2" s="98">
        <v>63700</v>
      </c>
    </row>
    <row r="3" spans="1:17" x14ac:dyDescent="0.4">
      <c r="A3" s="51" t="s">
        <v>8</v>
      </c>
      <c r="B3" s="150">
        <v>401</v>
      </c>
      <c r="C3" s="151"/>
      <c r="E3" s="59" t="s">
        <v>72</v>
      </c>
      <c r="F3" s="56" t="s">
        <v>27</v>
      </c>
      <c r="G3" s="44">
        <v>53</v>
      </c>
      <c r="H3" s="129">
        <f>IF(B$17=0,0,G3/B$17)</f>
        <v>0.49532710280373832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-1100</v>
      </c>
      <c r="P3" s="115">
        <v>45</v>
      </c>
      <c r="Q3" s="99">
        <v>-49500</v>
      </c>
    </row>
    <row r="4" spans="1:17" x14ac:dyDescent="0.4">
      <c r="A4" s="51" t="s">
        <v>6</v>
      </c>
      <c r="B4" s="152">
        <v>-145.90000000000006</v>
      </c>
      <c r="C4" s="153"/>
      <c r="E4" s="59" t="s">
        <v>171</v>
      </c>
      <c r="F4" s="56" t="s">
        <v>172</v>
      </c>
      <c r="G4" s="44">
        <v>41</v>
      </c>
      <c r="H4" s="129">
        <f>IF(B$17=0,0,G4/B$17)</f>
        <v>0.38317757009345793</v>
      </c>
      <c r="I4" s="90">
        <v>5</v>
      </c>
      <c r="K4" s="36">
        <v>2</v>
      </c>
      <c r="L4" s="95">
        <v>19.899999999999999</v>
      </c>
      <c r="N4" s="111" t="s">
        <v>132</v>
      </c>
      <c r="O4" s="118">
        <f t="shared" si="0"/>
        <v>-1309.3023255813953</v>
      </c>
      <c r="P4" s="115">
        <v>43</v>
      </c>
      <c r="Q4" s="99">
        <v>-56300</v>
      </c>
    </row>
    <row r="5" spans="1:17" x14ac:dyDescent="0.4">
      <c r="A5" s="51" t="s">
        <v>7</v>
      </c>
      <c r="B5" s="154">
        <f>IF(B$2=0,0,B$4/B$2)</f>
        <v>-3.1717391304347839</v>
      </c>
      <c r="C5" s="155"/>
      <c r="E5" s="59" t="s">
        <v>68</v>
      </c>
      <c r="F5" s="56" t="s">
        <v>12</v>
      </c>
      <c r="G5" s="44">
        <v>32</v>
      </c>
      <c r="H5" s="129">
        <f>IF(B$17=0,0,G5/B$17)</f>
        <v>0.29906542056074764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-1354.7619047619048</v>
      </c>
      <c r="P5" s="115">
        <v>42</v>
      </c>
      <c r="Q5" s="99">
        <v>-56900</v>
      </c>
    </row>
    <row r="6" spans="1:17" x14ac:dyDescent="0.4">
      <c r="A6" s="51" t="s">
        <v>1</v>
      </c>
      <c r="B6" s="144">
        <f>IF(B$2=0,0,(B$7*1+B$8*2+B$9*3)/B$2)</f>
        <v>2.0652173913043477</v>
      </c>
      <c r="C6" s="145"/>
      <c r="E6" s="59" t="s">
        <v>64</v>
      </c>
      <c r="F6" s="56" t="s">
        <v>20</v>
      </c>
      <c r="G6" s="44">
        <v>30</v>
      </c>
      <c r="H6" s="129">
        <f>IF(B$17=0,0,G6/B$17)</f>
        <v>0.28037383177570091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785.71428571428567</v>
      </c>
      <c r="P6" s="115">
        <v>42</v>
      </c>
      <c r="Q6" s="99">
        <v>33000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0.34782608695652173</v>
      </c>
      <c r="E7" s="59" t="s">
        <v>69</v>
      </c>
      <c r="F7" s="56" t="s">
        <v>24</v>
      </c>
      <c r="G7" s="44">
        <v>24</v>
      </c>
      <c r="H7" s="129">
        <f>IF(B$17=0,0,G7/B$17)</f>
        <v>0.22429906542056074</v>
      </c>
      <c r="I7" s="90">
        <v>2</v>
      </c>
      <c r="K7" s="36">
        <v>5</v>
      </c>
      <c r="L7" s="95">
        <v>-55.8</v>
      </c>
      <c r="N7" s="112" t="s">
        <v>135</v>
      </c>
      <c r="O7" s="119">
        <f t="shared" si="0"/>
        <v>-1438.8888888888889</v>
      </c>
      <c r="P7" s="116">
        <v>36</v>
      </c>
      <c r="Q7" s="100">
        <v>-51800</v>
      </c>
    </row>
    <row r="8" spans="1:17" x14ac:dyDescent="0.4">
      <c r="A8" s="51" t="s">
        <v>3</v>
      </c>
      <c r="B8" s="44">
        <v>11</v>
      </c>
      <c r="C8" s="37">
        <f t="shared" si="1"/>
        <v>0.2391304347826087</v>
      </c>
      <c r="E8" s="59" t="s">
        <v>70</v>
      </c>
      <c r="F8" s="56" t="s">
        <v>25</v>
      </c>
      <c r="G8" s="44">
        <v>17</v>
      </c>
      <c r="H8" s="129">
        <f>IF(B$17=0,0,G8/B$17)</f>
        <v>0.15887850467289719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0.41304347826086957</v>
      </c>
      <c r="E9" s="59" t="s">
        <v>67</v>
      </c>
      <c r="F9" s="56" t="s">
        <v>23</v>
      </c>
      <c r="G9" s="44">
        <v>15</v>
      </c>
      <c r="H9" s="129">
        <f>IF(B$17=0,0,G9/B$17)</f>
        <v>0.14018691588785046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2.1739130434782608E-2</v>
      </c>
      <c r="E10" s="59" t="s">
        <v>71</v>
      </c>
      <c r="F10" s="56" t="s">
        <v>26</v>
      </c>
      <c r="G10" s="44">
        <v>11</v>
      </c>
      <c r="H10" s="129">
        <f>IF(B$17=0,0,G10/B$17)</f>
        <v>0.10280373831775701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-4.6466666666666656</v>
      </c>
      <c r="P10" s="114">
        <v>15</v>
      </c>
      <c r="Q10" s="102">
        <v>-69.699999999999989</v>
      </c>
    </row>
    <row r="11" spans="1:17" x14ac:dyDescent="0.4">
      <c r="A11" s="52" t="s">
        <v>138</v>
      </c>
      <c r="B11" s="45">
        <v>2</v>
      </c>
      <c r="C11" s="38">
        <f t="shared" si="1"/>
        <v>4.3478260869565216E-2</v>
      </c>
      <c r="E11" s="59" t="s">
        <v>83</v>
      </c>
      <c r="F11" s="56" t="s">
        <v>38</v>
      </c>
      <c r="G11" s="44">
        <v>10</v>
      </c>
      <c r="H11" s="129">
        <f>IF(B$17=0,0,G11/B$17)</f>
        <v>9.3457943925233641E-2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-1.7142857142857133</v>
      </c>
      <c r="P11" s="115">
        <v>14</v>
      </c>
      <c r="Q11" s="103">
        <v>-23.999999999999986</v>
      </c>
    </row>
    <row r="12" spans="1:17" x14ac:dyDescent="0.4">
      <c r="A12" s="53" t="s">
        <v>158</v>
      </c>
      <c r="B12" s="46">
        <v>7</v>
      </c>
      <c r="C12" s="40">
        <f t="shared" si="1"/>
        <v>0.15217391304347827</v>
      </c>
      <c r="E12" s="59" t="s">
        <v>65</v>
      </c>
      <c r="F12" s="56" t="s">
        <v>21</v>
      </c>
      <c r="G12" s="44">
        <v>8</v>
      </c>
      <c r="H12" s="129">
        <f>IF(B$17=0,0,G12/B$17)</f>
        <v>7.476635514018691E-2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61</v>
      </c>
      <c r="C13" s="42">
        <f>IF(B$3=0,0,B13/B$3)</f>
        <v>0.15211970074812967</v>
      </c>
      <c r="E13" s="59" t="s">
        <v>89</v>
      </c>
      <c r="F13" s="56" t="s">
        <v>44</v>
      </c>
      <c r="G13" s="44">
        <v>7</v>
      </c>
      <c r="H13" s="129">
        <f>IF(B$17=0,0,G13/B$17)</f>
        <v>6.5420560747663545E-2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94</v>
      </c>
      <c r="C14" s="37">
        <f>IF(B$3=0,0,B14/B$3)</f>
        <v>0.23441396508728179</v>
      </c>
      <c r="E14" s="59" t="s">
        <v>81</v>
      </c>
      <c r="F14" s="56" t="s">
        <v>36</v>
      </c>
      <c r="G14" s="44">
        <v>4</v>
      </c>
      <c r="H14" s="129">
        <f>IF(B$17=0,0,G14/B$17)</f>
        <v>3.7383177570093455E-2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0.50819672131147542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9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34</v>
      </c>
      <c r="C16" s="35">
        <f>IF(B$14=0,0,B16/B$14)</f>
        <v>0.36170212765957449</v>
      </c>
      <c r="E16" s="59" t="s">
        <v>91</v>
      </c>
      <c r="F16" s="56" t="s">
        <v>46</v>
      </c>
      <c r="G16" s="44">
        <v>3</v>
      </c>
      <c r="H16" s="129">
        <f>IF(B$17=0,0,G16/B$17)</f>
        <v>2.8037383177570093E-2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 t="shared" si="2"/>
        <v>-0.24285714285714377</v>
      </c>
      <c r="P16" s="115">
        <v>21</v>
      </c>
      <c r="Q16" s="103">
        <v>-5.1000000000000192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0.26683291770573564</v>
      </c>
      <c r="E17" s="59" t="s">
        <v>88</v>
      </c>
      <c r="F17" s="56" t="s">
        <v>43</v>
      </c>
      <c r="G17" s="44">
        <v>2</v>
      </c>
      <c r="H17" s="129">
        <f>IF(B$17=0,0,G17/B$17)</f>
        <v>1.8691588785046728E-2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-2.2160000000000002</v>
      </c>
      <c r="P17" s="115">
        <v>25</v>
      </c>
      <c r="Q17" s="103">
        <v>-55.400000000000006</v>
      </c>
    </row>
    <row r="18" spans="1:17" x14ac:dyDescent="0.4">
      <c r="A18" s="51" t="s">
        <v>12</v>
      </c>
      <c r="B18" s="44">
        <v>46</v>
      </c>
      <c r="C18" s="37">
        <f>IF(B$17=0,0,B18/B$17)</f>
        <v>0.42990654205607476</v>
      </c>
      <c r="E18" s="59" t="s">
        <v>74</v>
      </c>
      <c r="F18" s="56" t="s">
        <v>29</v>
      </c>
      <c r="G18" s="44">
        <v>1</v>
      </c>
      <c r="H18" s="129">
        <f>IF(B$17=0,0,G18/B$17)</f>
        <v>9.3457943925233638E-3</v>
      </c>
      <c r="I18" s="90">
        <v>2</v>
      </c>
      <c r="K18" s="36">
        <v>16</v>
      </c>
      <c r="L18" s="95">
        <v>-70.600000000000009</v>
      </c>
      <c r="N18" s="111" t="s">
        <v>178</v>
      </c>
      <c r="O18" s="121">
        <f t="shared" si="2"/>
        <v>-2.8312499999999998</v>
      </c>
      <c r="P18" s="115">
        <v>16</v>
      </c>
      <c r="Q18" s="103">
        <v>-45.3</v>
      </c>
    </row>
    <row r="19" spans="1:17" x14ac:dyDescent="0.4">
      <c r="A19" s="51" t="s">
        <v>11</v>
      </c>
      <c r="B19" s="44">
        <v>61</v>
      </c>
      <c r="C19" s="37">
        <f>IF(B$17=0,0,B19/B$17)</f>
        <v>0.57009345794392519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58</v>
      </c>
      <c r="C20" s="37">
        <f>IF(B$3=0,0,B20/B$3)</f>
        <v>0.14463840399002495</v>
      </c>
      <c r="E20" s="59" t="s">
        <v>77</v>
      </c>
      <c r="F20" s="56" t="s">
        <v>32</v>
      </c>
      <c r="G20" s="44">
        <v>1</v>
      </c>
      <c r="H20" s="129">
        <f>IF(B$17=0,0,G20/B$17)</f>
        <v>9.3457943925233638E-3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9.3457943925233638E-3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32</v>
      </c>
      <c r="C22" s="131">
        <v>1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7148.5981308411219</v>
      </c>
      <c r="C23" s="39">
        <v>764900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7486.3013698630139</v>
      </c>
      <c r="C24" s="137">
        <v>546500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6423.5294117647063</v>
      </c>
      <c r="C25" s="137">
        <v>218400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-6755.1724137931033</v>
      </c>
      <c r="C26" s="137">
        <v>-391800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1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108</v>
      </c>
      <c r="C2" s="149"/>
      <c r="E2" s="58" t="s">
        <v>66</v>
      </c>
      <c r="F2" s="55" t="s">
        <v>22</v>
      </c>
      <c r="G2" s="43">
        <v>195</v>
      </c>
      <c r="H2" s="128">
        <f>IF(B$17=0,0,G2/B$17)</f>
        <v>0.6678082191780822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1149.5327102803737</v>
      </c>
      <c r="P2" s="114">
        <v>107</v>
      </c>
      <c r="Q2" s="98">
        <v>123000</v>
      </c>
    </row>
    <row r="3" spans="1:17" x14ac:dyDescent="0.4">
      <c r="A3" s="51" t="s">
        <v>8</v>
      </c>
      <c r="B3" s="150">
        <v>862</v>
      </c>
      <c r="C3" s="151"/>
      <c r="E3" s="59" t="s">
        <v>72</v>
      </c>
      <c r="F3" s="56" t="s">
        <v>27</v>
      </c>
      <c r="G3" s="44">
        <v>142</v>
      </c>
      <c r="H3" s="129">
        <f>IF(B$17=0,0,G3/B$17)</f>
        <v>0.4863013698630137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395.19230769230768</v>
      </c>
      <c r="P3" s="115">
        <v>104</v>
      </c>
      <c r="Q3" s="99">
        <v>41100</v>
      </c>
    </row>
    <row r="4" spans="1:17" x14ac:dyDescent="0.4">
      <c r="A4" s="51" t="s">
        <v>6</v>
      </c>
      <c r="B4" s="152">
        <v>900.39999999999986</v>
      </c>
      <c r="C4" s="153"/>
      <c r="E4" s="59" t="s">
        <v>64</v>
      </c>
      <c r="F4" s="56" t="s">
        <v>20</v>
      </c>
      <c r="G4" s="44">
        <v>129</v>
      </c>
      <c r="H4" s="129">
        <f>IF(B$17=0,0,G4/B$17)</f>
        <v>0.44178082191780821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237</v>
      </c>
      <c r="P4" s="115">
        <v>100</v>
      </c>
      <c r="Q4" s="99">
        <v>23700</v>
      </c>
    </row>
    <row r="5" spans="1:17" x14ac:dyDescent="0.4">
      <c r="A5" s="51" t="s">
        <v>7</v>
      </c>
      <c r="B5" s="154">
        <f>IF(B$2=0,0,B$4/B$2)</f>
        <v>8.3370370370370352</v>
      </c>
      <c r="C5" s="155"/>
      <c r="E5" s="59" t="s">
        <v>171</v>
      </c>
      <c r="F5" s="56" t="s">
        <v>172</v>
      </c>
      <c r="G5" s="44">
        <v>110</v>
      </c>
      <c r="H5" s="129">
        <f>IF(B$17=0,0,G5/B$17)</f>
        <v>0.37671232876712329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572.82608695652175</v>
      </c>
      <c r="P5" s="115">
        <v>92</v>
      </c>
      <c r="Q5" s="99">
        <v>52700</v>
      </c>
    </row>
    <row r="6" spans="1:17" x14ac:dyDescent="0.4">
      <c r="A6" s="51" t="s">
        <v>1</v>
      </c>
      <c r="B6" s="144">
        <f>IF(B$2=0,0,(B$7*1+B$8*2+B$9*3)/B$2)</f>
        <v>1.787037037037037</v>
      </c>
      <c r="C6" s="145"/>
      <c r="E6" s="59" t="s">
        <v>68</v>
      </c>
      <c r="F6" s="56" t="s">
        <v>12</v>
      </c>
      <c r="G6" s="44">
        <v>86</v>
      </c>
      <c r="H6" s="129">
        <f>IF(B$17=0,0,G6/B$17)</f>
        <v>0.29452054794520549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2243.5294117647059</v>
      </c>
      <c r="P6" s="115">
        <v>85</v>
      </c>
      <c r="Q6" s="99">
        <v>190700</v>
      </c>
    </row>
    <row r="7" spans="1:17" x14ac:dyDescent="0.4">
      <c r="A7" s="51" t="s">
        <v>2</v>
      </c>
      <c r="B7" s="44">
        <v>51</v>
      </c>
      <c r="C7" s="37">
        <f t="shared" ref="C7:C12" si="1">IF(B$2=0,0,B7/B$2)</f>
        <v>0.47222222222222221</v>
      </c>
      <c r="E7" s="59" t="s">
        <v>67</v>
      </c>
      <c r="F7" s="56" t="s">
        <v>23</v>
      </c>
      <c r="G7" s="44">
        <v>71</v>
      </c>
      <c r="H7" s="129">
        <f>IF(B$17=0,0,G7/B$17)</f>
        <v>0.24315068493150685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2912.8571428571427</v>
      </c>
      <c r="P7" s="116">
        <v>70</v>
      </c>
      <c r="Q7" s="100">
        <v>203900</v>
      </c>
    </row>
    <row r="8" spans="1:17" x14ac:dyDescent="0.4">
      <c r="A8" s="51" t="s">
        <v>3</v>
      </c>
      <c r="B8" s="44">
        <v>29</v>
      </c>
      <c r="C8" s="37">
        <f t="shared" si="1"/>
        <v>0.26851851851851855</v>
      </c>
      <c r="E8" s="59" t="s">
        <v>69</v>
      </c>
      <c r="F8" s="56" t="s">
        <v>24</v>
      </c>
      <c r="G8" s="44">
        <v>45</v>
      </c>
      <c r="H8" s="129">
        <f>IF(B$17=0,0,G8/B$17)</f>
        <v>0.1541095890410959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0.25925925925925924</v>
      </c>
      <c r="E9" s="59" t="s">
        <v>89</v>
      </c>
      <c r="F9" s="56" t="s">
        <v>44</v>
      </c>
      <c r="G9" s="44">
        <v>45</v>
      </c>
      <c r="H9" s="129">
        <f>IF(B$17=0,0,G9/B$17)</f>
        <v>0.1541095890410959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4.6296296296296294E-2</v>
      </c>
      <c r="E10" s="59" t="s">
        <v>65</v>
      </c>
      <c r="F10" s="56" t="s">
        <v>21</v>
      </c>
      <c r="G10" s="44">
        <v>33</v>
      </c>
      <c r="H10" s="129">
        <f>IF(B$17=0,0,G10/B$17)</f>
        <v>0.11301369863013698</v>
      </c>
      <c r="I10" s="90">
        <v>6</v>
      </c>
      <c r="K10" s="36">
        <v>8</v>
      </c>
      <c r="L10" s="95">
        <v>148.1</v>
      </c>
      <c r="N10" s="110" t="s">
        <v>162</v>
      </c>
      <c r="O10" s="120">
        <f>IF(P10=0,0,Q10/P10)</f>
        <v>12.00322580645161</v>
      </c>
      <c r="P10" s="114">
        <v>31</v>
      </c>
      <c r="Q10" s="102">
        <v>372.09999999999991</v>
      </c>
    </row>
    <row r="11" spans="1:17" x14ac:dyDescent="0.4">
      <c r="A11" s="52" t="s">
        <v>138</v>
      </c>
      <c r="B11" s="45">
        <v>14</v>
      </c>
      <c r="C11" s="38">
        <f t="shared" si="1"/>
        <v>0.12962962962962962</v>
      </c>
      <c r="E11" s="59" t="s">
        <v>71</v>
      </c>
      <c r="F11" s="56" t="s">
        <v>26</v>
      </c>
      <c r="G11" s="44">
        <v>21</v>
      </c>
      <c r="H11" s="129">
        <f>IF(B$17=0,0,G11/B$17)</f>
        <v>7.1917808219178078E-2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4.3950000000000005</v>
      </c>
      <c r="P11" s="115">
        <v>40</v>
      </c>
      <c r="Q11" s="103">
        <v>175.8</v>
      </c>
    </row>
    <row r="12" spans="1:17" x14ac:dyDescent="0.4">
      <c r="A12" s="53" t="s">
        <v>158</v>
      </c>
      <c r="B12" s="46">
        <v>12</v>
      </c>
      <c r="C12" s="40">
        <f t="shared" si="1"/>
        <v>0.1111111111111111</v>
      </c>
      <c r="E12" s="59" t="s">
        <v>70</v>
      </c>
      <c r="F12" s="56" t="s">
        <v>25</v>
      </c>
      <c r="G12" s="44">
        <v>16</v>
      </c>
      <c r="H12" s="129">
        <f>IF(B$17=0,0,G12/B$17)</f>
        <v>5.4794520547945202E-2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9.5270270270270263</v>
      </c>
      <c r="P12" s="116">
        <v>37</v>
      </c>
      <c r="Q12" s="104">
        <v>352.49999999999994</v>
      </c>
    </row>
    <row r="13" spans="1:17" x14ac:dyDescent="0.4">
      <c r="A13" s="54" t="s">
        <v>121</v>
      </c>
      <c r="B13" s="47">
        <v>233</v>
      </c>
      <c r="C13" s="42">
        <f>IF(B$3=0,0,B13/B$3)</f>
        <v>0.27030162412993042</v>
      </c>
      <c r="E13" s="59" t="s">
        <v>86</v>
      </c>
      <c r="F13" s="56" t="s">
        <v>41</v>
      </c>
      <c r="G13" s="44">
        <v>16</v>
      </c>
      <c r="H13" s="129">
        <f>IF(B$17=0,0,G13/B$17)</f>
        <v>5.4794520547945202E-2</v>
      </c>
      <c r="I13" s="90">
        <v>4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196</v>
      </c>
      <c r="C14" s="37">
        <f>IF(B$3=0,0,B14/B$3)</f>
        <v>0.22737819025522041</v>
      </c>
      <c r="E14" s="59" t="s">
        <v>83</v>
      </c>
      <c r="F14" s="56" t="s">
        <v>38</v>
      </c>
      <c r="G14" s="44">
        <v>13</v>
      </c>
      <c r="H14" s="129">
        <f>IF(B$17=0,0,G14/B$17)</f>
        <v>4.4520547945205477E-2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138</v>
      </c>
      <c r="C15" s="35">
        <f>IF(B$13=0,0,B15/B$13)</f>
        <v>0.59227467811158796</v>
      </c>
      <c r="E15" s="59" t="s">
        <v>167</v>
      </c>
      <c r="F15" s="56" t="s">
        <v>168</v>
      </c>
      <c r="G15" s="44">
        <v>12</v>
      </c>
      <c r="H15" s="129">
        <f>IF(B$17=0,0,G15/B$17)</f>
        <v>4.1095890410958902E-2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53.400000000000006</v>
      </c>
      <c r="P15" s="114">
        <v>6</v>
      </c>
      <c r="Q15" s="102">
        <v>320.40000000000003</v>
      </c>
    </row>
    <row r="16" spans="1:17" x14ac:dyDescent="0.4">
      <c r="A16" s="50" t="s">
        <v>124</v>
      </c>
      <c r="B16" s="43">
        <v>94</v>
      </c>
      <c r="C16" s="35">
        <f>IF(B$14=0,0,B16/B$14)</f>
        <v>0.47959183673469385</v>
      </c>
      <c r="E16" s="59" t="s">
        <v>78</v>
      </c>
      <c r="F16" s="56" t="s">
        <v>33</v>
      </c>
      <c r="G16" s="44">
        <v>11</v>
      </c>
      <c r="H16" s="129">
        <f>IF(B$17=0,0,G16/B$17)</f>
        <v>3.7671232876712327E-2</v>
      </c>
      <c r="I16" s="90">
        <v>3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292</v>
      </c>
      <c r="C17" s="35">
        <f>IF(B$3=0,0,B17/B$3)</f>
        <v>0.33874709976798145</v>
      </c>
      <c r="E17" s="59" t="s">
        <v>77</v>
      </c>
      <c r="F17" s="56" t="s">
        <v>32</v>
      </c>
      <c r="G17" s="44">
        <v>3</v>
      </c>
      <c r="H17" s="129">
        <f>IF(B$17=0,0,G17/B$17)</f>
        <v>1.0273972602739725E-2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16.932558139534887</v>
      </c>
      <c r="P17" s="115">
        <v>43</v>
      </c>
      <c r="Q17" s="103">
        <v>728.10000000000014</v>
      </c>
    </row>
    <row r="18" spans="1:17" x14ac:dyDescent="0.4">
      <c r="A18" s="51" t="s">
        <v>12</v>
      </c>
      <c r="B18" s="44">
        <v>126</v>
      </c>
      <c r="C18" s="37">
        <f>IF(B$17=0,0,B18/B$17)</f>
        <v>0.4315068493150685</v>
      </c>
      <c r="E18" s="59" t="s">
        <v>84</v>
      </c>
      <c r="F18" s="56" t="s">
        <v>39</v>
      </c>
      <c r="G18" s="44">
        <v>3</v>
      </c>
      <c r="H18" s="129">
        <f>IF(B$17=0,0,G18/B$17)</f>
        <v>1.0273972602739725E-2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16.673170731707319</v>
      </c>
      <c r="P18" s="115">
        <v>41</v>
      </c>
      <c r="Q18" s="103">
        <v>683.60000000000014</v>
      </c>
    </row>
    <row r="19" spans="1:17" x14ac:dyDescent="0.4">
      <c r="A19" s="51" t="s">
        <v>11</v>
      </c>
      <c r="B19" s="44">
        <v>166</v>
      </c>
      <c r="C19" s="37">
        <f>IF(B$17=0,0,B19/B$17)</f>
        <v>0.56849315068493156</v>
      </c>
      <c r="E19" s="59" t="s">
        <v>92</v>
      </c>
      <c r="F19" s="56" t="s">
        <v>47</v>
      </c>
      <c r="G19" s="44">
        <v>3</v>
      </c>
      <c r="H19" s="129">
        <f>IF(B$17=0,0,G19/B$17)</f>
        <v>1.0273972602739725E-2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14.080882352941174</v>
      </c>
      <c r="P19" s="115">
        <v>68</v>
      </c>
      <c r="Q19" s="103">
        <v>957.49999999999977</v>
      </c>
    </row>
    <row r="20" spans="1:17" x14ac:dyDescent="0.4">
      <c r="A20" s="51" t="s">
        <v>13</v>
      </c>
      <c r="B20" s="44">
        <v>112</v>
      </c>
      <c r="C20" s="37">
        <f>IF(B$3=0,0,B20/B$3)</f>
        <v>0.12993039443155452</v>
      </c>
      <c r="E20" s="59" t="s">
        <v>75</v>
      </c>
      <c r="F20" s="56" t="s">
        <v>30</v>
      </c>
      <c r="G20" s="44">
        <v>2</v>
      </c>
      <c r="H20" s="129">
        <f>IF(B$17=0,0,G20/B$17)</f>
        <v>6.8493150684931503E-3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2.2159999999999993</v>
      </c>
      <c r="P20" s="115">
        <v>25</v>
      </c>
      <c r="Q20" s="103">
        <v>55.399999999999977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6.8493150684931503E-3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-7.2217391304347833</v>
      </c>
      <c r="P21" s="115">
        <v>23</v>
      </c>
      <c r="Q21" s="103">
        <v>-166.10000000000002</v>
      </c>
    </row>
    <row r="22" spans="1:17" x14ac:dyDescent="0.4">
      <c r="A22" s="51" t="s">
        <v>170</v>
      </c>
      <c r="B22" s="44">
        <v>43</v>
      </c>
      <c r="C22" s="131">
        <v>8</v>
      </c>
      <c r="E22" s="59" t="s">
        <v>85</v>
      </c>
      <c r="F22" s="56" t="s">
        <v>40</v>
      </c>
      <c r="G22" s="44">
        <v>2</v>
      </c>
      <c r="H22" s="129">
        <f>IF(B$17=0,0,G22/B$17)</f>
        <v>6.8493150684931503E-3</v>
      </c>
      <c r="I22" s="90">
        <v>3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8217.1232876712329</v>
      </c>
      <c r="C23" s="39">
        <v>2399400</v>
      </c>
      <c r="E23" s="59" t="s">
        <v>88</v>
      </c>
      <c r="F23" s="56" t="s">
        <v>43</v>
      </c>
      <c r="G23" s="44">
        <v>2</v>
      </c>
      <c r="H23" s="129">
        <f>IF(B$17=0,0,G23/B$17)</f>
        <v>6.8493150684931503E-3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8413.636363636364</v>
      </c>
      <c r="C24" s="137">
        <v>1665900</v>
      </c>
      <c r="E24" s="59" t="s">
        <v>91</v>
      </c>
      <c r="F24" s="56" t="s">
        <v>46</v>
      </c>
      <c r="G24" s="44">
        <v>2</v>
      </c>
      <c r="H24" s="129">
        <f>IF(B$17=0,0,G24/B$17)</f>
        <v>6.8493150684931503E-3</v>
      </c>
      <c r="I24" s="90">
        <v>5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7803.1914893617022</v>
      </c>
      <c r="C25" s="137">
        <v>733500</v>
      </c>
      <c r="E25" s="59" t="s">
        <v>74</v>
      </c>
      <c r="F25" s="56" t="s">
        <v>29</v>
      </c>
      <c r="G25" s="44">
        <v>1</v>
      </c>
      <c r="H25" s="129">
        <f>IF(B$17=0,0,G25/B$17)</f>
        <v>3.4246575342465752E-3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-7843.75</v>
      </c>
      <c r="C26" s="137">
        <v>-878500</v>
      </c>
      <c r="E26" s="59" t="s">
        <v>81</v>
      </c>
      <c r="F26" s="56" t="s">
        <v>36</v>
      </c>
      <c r="G26" s="44">
        <v>1</v>
      </c>
      <c r="H26" s="129">
        <f>IF(B$17=0,0,G26/B$17)</f>
        <v>3.4246575342465752E-3</v>
      </c>
      <c r="I26" s="90">
        <v>9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3.4246575342465752E-3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3.4246575342465752E-3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1.1600928074245939E-3</v>
      </c>
      <c r="E29" s="59" t="s">
        <v>106</v>
      </c>
      <c r="F29" s="56" t="s">
        <v>113</v>
      </c>
      <c r="G29" s="44">
        <v>1</v>
      </c>
      <c r="H29" s="129">
        <f>IF(B$17=0,0,G29/B$17)</f>
        <v>3.4246575342465752E-3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99</v>
      </c>
      <c r="C2" s="149"/>
      <c r="E2" s="58" t="s">
        <v>66</v>
      </c>
      <c r="F2" s="55" t="s">
        <v>22</v>
      </c>
      <c r="G2" s="43">
        <v>230</v>
      </c>
      <c r="H2" s="128">
        <f>IF(B$17=0,0,G2/B$17)</f>
        <v>0.90909090909090906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-1940.8163265306123</v>
      </c>
      <c r="P2" s="114">
        <v>98</v>
      </c>
      <c r="Q2" s="98">
        <v>-190200</v>
      </c>
    </row>
    <row r="3" spans="1:17" x14ac:dyDescent="0.4">
      <c r="A3" s="51" t="s">
        <v>8</v>
      </c>
      <c r="B3" s="150">
        <v>835</v>
      </c>
      <c r="C3" s="151"/>
      <c r="E3" s="59" t="s">
        <v>72</v>
      </c>
      <c r="F3" s="56" t="s">
        <v>27</v>
      </c>
      <c r="G3" s="44">
        <v>148</v>
      </c>
      <c r="H3" s="129">
        <f>IF(B$17=0,0,G3/B$17)</f>
        <v>0.58498023715415015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1426.0416666666667</v>
      </c>
      <c r="P3" s="115">
        <v>96</v>
      </c>
      <c r="Q3" s="99">
        <v>136900</v>
      </c>
    </row>
    <row r="4" spans="1:17" x14ac:dyDescent="0.4">
      <c r="A4" s="51" t="s">
        <v>6</v>
      </c>
      <c r="B4" s="152">
        <v>42.999999999999787</v>
      </c>
      <c r="C4" s="153"/>
      <c r="E4" s="59" t="s">
        <v>171</v>
      </c>
      <c r="F4" s="56" t="s">
        <v>172</v>
      </c>
      <c r="G4" s="44">
        <v>106</v>
      </c>
      <c r="H4" s="129">
        <f>IF(B$17=0,0,G4/B$17)</f>
        <v>0.4189723320158103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608.88888888888891</v>
      </c>
      <c r="P4" s="115">
        <v>90</v>
      </c>
      <c r="Q4" s="99">
        <v>54800</v>
      </c>
    </row>
    <row r="5" spans="1:17" x14ac:dyDescent="0.4">
      <c r="A5" s="51" t="s">
        <v>7</v>
      </c>
      <c r="B5" s="154">
        <f>IF(B$2=0,0,B$4/B$2)</f>
        <v>0.4343434343434322</v>
      </c>
      <c r="C5" s="155"/>
      <c r="E5" s="59" t="s">
        <v>64</v>
      </c>
      <c r="F5" s="56" t="s">
        <v>20</v>
      </c>
      <c r="G5" s="44">
        <v>99</v>
      </c>
      <c r="H5" s="129">
        <f>IF(B$17=0,0,G5/B$17)</f>
        <v>0.39130434782608697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587.05882352941171</v>
      </c>
      <c r="P5" s="115">
        <v>85</v>
      </c>
      <c r="Q5" s="99">
        <v>49900</v>
      </c>
    </row>
    <row r="6" spans="1:17" x14ac:dyDescent="0.4">
      <c r="A6" s="51" t="s">
        <v>1</v>
      </c>
      <c r="B6" s="144">
        <f>IF(B$2=0,0,(B$7*1+B$8*2+B$9*3)/B$2)</f>
        <v>1.9595959595959596</v>
      </c>
      <c r="C6" s="145"/>
      <c r="E6" s="59" t="s">
        <v>68</v>
      </c>
      <c r="F6" s="56" t="s">
        <v>12</v>
      </c>
      <c r="G6" s="44">
        <v>68</v>
      </c>
      <c r="H6" s="129">
        <f>IF(B$17=0,0,G6/B$17)</f>
        <v>0.26877470355731226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-1048.7179487179487</v>
      </c>
      <c r="P6" s="115">
        <v>78</v>
      </c>
      <c r="Q6" s="99">
        <v>-81800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0.35353535353535354</v>
      </c>
      <c r="E7" s="59" t="s">
        <v>67</v>
      </c>
      <c r="F7" s="56" t="s">
        <v>23</v>
      </c>
      <c r="G7" s="44">
        <v>52</v>
      </c>
      <c r="H7" s="129">
        <f>IF(B$17=0,0,G7/B$17)</f>
        <v>0.20553359683794467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1389.3939393939395</v>
      </c>
      <c r="P7" s="116">
        <v>66</v>
      </c>
      <c r="Q7" s="100">
        <v>91700</v>
      </c>
    </row>
    <row r="8" spans="1:17" x14ac:dyDescent="0.4">
      <c r="A8" s="51" t="s">
        <v>3</v>
      </c>
      <c r="B8" s="44">
        <v>33</v>
      </c>
      <c r="C8" s="37">
        <f t="shared" si="1"/>
        <v>0.33333333333333331</v>
      </c>
      <c r="E8" s="59" t="s">
        <v>89</v>
      </c>
      <c r="F8" s="56" t="s">
        <v>44</v>
      </c>
      <c r="G8" s="44">
        <v>32</v>
      </c>
      <c r="H8" s="129">
        <f>IF(B$17=0,0,G8/B$17)</f>
        <v>0.12648221343873517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31</v>
      </c>
      <c r="C9" s="38">
        <f t="shared" si="1"/>
        <v>0.31313131313131315</v>
      </c>
      <c r="E9" s="59" t="s">
        <v>69</v>
      </c>
      <c r="F9" s="56" t="s">
        <v>24</v>
      </c>
      <c r="G9" s="44">
        <v>29</v>
      </c>
      <c r="H9" s="129">
        <f>IF(B$17=0,0,G9/B$17)</f>
        <v>0.11462450592885376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14</v>
      </c>
      <c r="C10" s="38">
        <f t="shared" si="1"/>
        <v>0.14141414141414141</v>
      </c>
      <c r="E10" s="59" t="s">
        <v>65</v>
      </c>
      <c r="F10" s="56" t="s">
        <v>21</v>
      </c>
      <c r="G10" s="44">
        <v>25</v>
      </c>
      <c r="H10" s="129">
        <f>IF(B$17=0,0,G10/B$17)</f>
        <v>9.8814229249011856E-2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1.2375000000000009</v>
      </c>
      <c r="P10" s="114">
        <v>24</v>
      </c>
      <c r="Q10" s="102">
        <v>29.700000000000024</v>
      </c>
    </row>
    <row r="11" spans="1:17" x14ac:dyDescent="0.4">
      <c r="A11" s="52" t="s">
        <v>138</v>
      </c>
      <c r="B11" s="45">
        <v>10</v>
      </c>
      <c r="C11" s="38">
        <f t="shared" si="1"/>
        <v>0.10101010101010101</v>
      </c>
      <c r="E11" s="59" t="s">
        <v>71</v>
      </c>
      <c r="F11" s="56" t="s">
        <v>26</v>
      </c>
      <c r="G11" s="44">
        <v>22</v>
      </c>
      <c r="H11" s="129">
        <f>IF(B$17=0,0,G11/B$17)</f>
        <v>8.6956521739130432E-2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7.8321428571428573</v>
      </c>
      <c r="P11" s="115">
        <v>28</v>
      </c>
      <c r="Q11" s="103">
        <v>219.3</v>
      </c>
    </row>
    <row r="12" spans="1:17" x14ac:dyDescent="0.4">
      <c r="A12" s="53" t="s">
        <v>158</v>
      </c>
      <c r="B12" s="46">
        <v>17</v>
      </c>
      <c r="C12" s="40">
        <f t="shared" si="1"/>
        <v>0.17171717171717171</v>
      </c>
      <c r="E12" s="59" t="s">
        <v>70</v>
      </c>
      <c r="F12" s="56" t="s">
        <v>25</v>
      </c>
      <c r="G12" s="44">
        <v>21</v>
      </c>
      <c r="H12" s="129">
        <f>IF(B$17=0,0,G12/B$17)</f>
        <v>8.3003952569169967E-2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196</v>
      </c>
      <c r="C13" s="42">
        <f>IF(B$3=0,0,B13/B$3)</f>
        <v>0.2347305389221557</v>
      </c>
      <c r="E13" s="59" t="s">
        <v>86</v>
      </c>
      <c r="F13" s="56" t="s">
        <v>41</v>
      </c>
      <c r="G13" s="44">
        <v>18</v>
      </c>
      <c r="H13" s="129">
        <f>IF(B$17=0,0,G13/B$17)</f>
        <v>7.1146245059288543E-2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254</v>
      </c>
      <c r="C14" s="37">
        <f>IF(B$3=0,0,B14/B$3)</f>
        <v>0.30419161676646705</v>
      </c>
      <c r="E14" s="59" t="s">
        <v>83</v>
      </c>
      <c r="F14" s="56" t="s">
        <v>38</v>
      </c>
      <c r="G14" s="44">
        <v>14</v>
      </c>
      <c r="H14" s="129">
        <f>IF(B$17=0,0,G14/B$17)</f>
        <v>5.533596837944664E-2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100</v>
      </c>
      <c r="C15" s="35">
        <f>IF(B$13=0,0,B15/B$13)</f>
        <v>0.51020408163265307</v>
      </c>
      <c r="E15" s="59" t="s">
        <v>78</v>
      </c>
      <c r="F15" s="56" t="s">
        <v>33</v>
      </c>
      <c r="G15" s="44">
        <v>8</v>
      </c>
      <c r="H15" s="129">
        <f>IF(B$17=0,0,G15/B$17)</f>
        <v>3.1620553359683792E-2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95</v>
      </c>
      <c r="C16" s="35">
        <f>IF(B$14=0,0,B16/B$14)</f>
        <v>0.37401574803149606</v>
      </c>
      <c r="E16" s="59" t="s">
        <v>91</v>
      </c>
      <c r="F16" s="56" t="s">
        <v>46</v>
      </c>
      <c r="G16" s="44">
        <v>8</v>
      </c>
      <c r="H16" s="129">
        <f>IF(B$17=0,0,G16/B$17)</f>
        <v>3.1620553359683792E-2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253</v>
      </c>
      <c r="C17" s="35">
        <f>IF(B$3=0,0,B17/B$3)</f>
        <v>0.30299401197604792</v>
      </c>
      <c r="E17" s="59" t="s">
        <v>81</v>
      </c>
      <c r="F17" s="56" t="s">
        <v>36</v>
      </c>
      <c r="G17" s="44">
        <v>6</v>
      </c>
      <c r="H17" s="129">
        <f>IF(B$17=0,0,G17/B$17)</f>
        <v>2.3715415019762844E-2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98</v>
      </c>
      <c r="C18" s="37">
        <f>IF(B$17=0,0,B18/B$17)</f>
        <v>0.38735177865612647</v>
      </c>
      <c r="E18" s="59" t="s">
        <v>79</v>
      </c>
      <c r="F18" s="56" t="s">
        <v>34</v>
      </c>
      <c r="G18" s="44">
        <v>5</v>
      </c>
      <c r="H18" s="129">
        <f>IF(B$17=0,0,G18/B$17)</f>
        <v>1.9762845849802372E-2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11.37096774193548</v>
      </c>
      <c r="P18" s="115">
        <v>31</v>
      </c>
      <c r="Q18" s="103">
        <v>352.49999999999989</v>
      </c>
    </row>
    <row r="19" spans="1:17" x14ac:dyDescent="0.4">
      <c r="A19" s="51" t="s">
        <v>11</v>
      </c>
      <c r="B19" s="44">
        <v>155</v>
      </c>
      <c r="C19" s="37">
        <f>IF(B$17=0,0,B19/B$17)</f>
        <v>0.61264822134387353</v>
      </c>
      <c r="E19" s="59" t="s">
        <v>167</v>
      </c>
      <c r="F19" s="56" t="s">
        <v>168</v>
      </c>
      <c r="G19" s="44">
        <v>3</v>
      </c>
      <c r="H19" s="129">
        <f>IF(B$17=0,0,G19/B$17)</f>
        <v>1.1857707509881422E-2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>IF(P19=0,0,Q19/P19)</f>
        <v>7.6400000000000068</v>
      </c>
      <c r="P19" s="115">
        <v>25</v>
      </c>
      <c r="Q19" s="103">
        <v>191.00000000000017</v>
      </c>
    </row>
    <row r="20" spans="1:17" x14ac:dyDescent="0.4">
      <c r="A20" s="51" t="s">
        <v>13</v>
      </c>
      <c r="B20" s="44">
        <v>164</v>
      </c>
      <c r="C20" s="37">
        <f>IF(B$3=0,0,B20/B$3)</f>
        <v>0.19640718562874251</v>
      </c>
      <c r="E20" s="59" t="s">
        <v>74</v>
      </c>
      <c r="F20" s="56" t="s">
        <v>29</v>
      </c>
      <c r="G20" s="44">
        <v>2</v>
      </c>
      <c r="H20" s="129">
        <f>IF(B$17=0,0,G20/B$17)</f>
        <v>7.9051383399209481E-3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>IF(P20=0,0,Q20/P20)</f>
        <v>0.24285714285714124</v>
      </c>
      <c r="P20" s="115">
        <v>21</v>
      </c>
      <c r="Q20" s="103">
        <v>5.0999999999999659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75</v>
      </c>
      <c r="F21" s="56" t="s">
        <v>30</v>
      </c>
      <c r="G21" s="44">
        <v>1</v>
      </c>
      <c r="H21" s="129">
        <f>IF(B$17=0,0,G21/B$17)</f>
        <v>3.952569169960474E-3</v>
      </c>
      <c r="I21" s="90">
        <v>8</v>
      </c>
      <c r="K21" s="36">
        <v>19</v>
      </c>
      <c r="L21" s="95">
        <v>-162.40000000000003</v>
      </c>
      <c r="N21" s="111" t="s">
        <v>178</v>
      </c>
      <c r="O21" s="121">
        <f>IF(P21=0,0,Q21/P21)</f>
        <v>-1.4055555555555532</v>
      </c>
      <c r="P21" s="115">
        <v>36</v>
      </c>
      <c r="Q21" s="103">
        <v>-50.599999999999916</v>
      </c>
    </row>
    <row r="22" spans="1:17" x14ac:dyDescent="0.4">
      <c r="A22" s="51" t="s">
        <v>170</v>
      </c>
      <c r="B22" s="44">
        <v>30</v>
      </c>
      <c r="C22" s="131">
        <v>0</v>
      </c>
      <c r="E22" s="59" t="s">
        <v>77</v>
      </c>
      <c r="F22" s="56" t="s">
        <v>32</v>
      </c>
      <c r="G22" s="44">
        <v>1</v>
      </c>
      <c r="H22" s="129">
        <f>IF(B$17=0,0,G22/B$17)</f>
        <v>3.952569169960474E-3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-14.080882352941174</v>
      </c>
      <c r="P22" s="115">
        <v>68</v>
      </c>
      <c r="Q22" s="103">
        <v>-957.49999999999989</v>
      </c>
    </row>
    <row r="23" spans="1:17" x14ac:dyDescent="0.4">
      <c r="A23" s="51" t="s">
        <v>5</v>
      </c>
      <c r="B23" s="48">
        <f>IF(B$17=0,0,C23/B$17)</f>
        <v>8602.766798418972</v>
      </c>
      <c r="C23" s="39">
        <v>2176500</v>
      </c>
      <c r="E23" s="59" t="s">
        <v>84</v>
      </c>
      <c r="F23" s="56" t="s">
        <v>39</v>
      </c>
      <c r="G23" s="44">
        <v>1</v>
      </c>
      <c r="H23" s="129">
        <f>IF(B$17=0,0,G23/B$17)</f>
        <v>3.952569169960474E-3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9010.7594936708865</v>
      </c>
      <c r="C24" s="137">
        <v>1423700</v>
      </c>
      <c r="E24" s="59" t="s">
        <v>92</v>
      </c>
      <c r="F24" s="56" t="s">
        <v>47</v>
      </c>
      <c r="G24" s="44">
        <v>1</v>
      </c>
      <c r="H24" s="129">
        <f>IF(B$17=0,0,G24/B$17)</f>
        <v>3.952569169960474E-3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7924.2105263157891</v>
      </c>
      <c r="C25" s="137">
        <v>752800</v>
      </c>
      <c r="E25" s="59" t="s">
        <v>95</v>
      </c>
      <c r="F25" s="56" t="s">
        <v>50</v>
      </c>
      <c r="G25" s="44">
        <v>1</v>
      </c>
      <c r="H25" s="129">
        <f>IF(B$17=0,0,G25/B$17)</f>
        <v>3.952569169960474E-3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-8248.1707317073178</v>
      </c>
      <c r="C26" s="137">
        <v>-1352700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3.592814371257485E-3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63</v>
      </c>
      <c r="C2" s="149"/>
      <c r="E2" s="58" t="s">
        <v>66</v>
      </c>
      <c r="F2" s="55" t="s">
        <v>22</v>
      </c>
      <c r="G2" s="43">
        <v>114</v>
      </c>
      <c r="H2" s="128">
        <f>IF(B$17=0,0,G2/B$17)</f>
        <v>0.77027027027027029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-391.93548387096774</v>
      </c>
      <c r="P2" s="114">
        <v>62</v>
      </c>
      <c r="Q2" s="98">
        <v>-24300</v>
      </c>
    </row>
    <row r="3" spans="1:17" x14ac:dyDescent="0.4">
      <c r="A3" s="51" t="s">
        <v>8</v>
      </c>
      <c r="B3" s="150">
        <v>528</v>
      </c>
      <c r="C3" s="151"/>
      <c r="E3" s="59" t="s">
        <v>64</v>
      </c>
      <c r="F3" s="56" t="s">
        <v>20</v>
      </c>
      <c r="G3" s="44">
        <v>88</v>
      </c>
      <c r="H3" s="129">
        <f>IF(B$17=0,0,G3/B$17)</f>
        <v>0.59459459459459463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-941.93548387096769</v>
      </c>
      <c r="P3" s="115">
        <v>62</v>
      </c>
      <c r="Q3" s="99">
        <v>-58400</v>
      </c>
    </row>
    <row r="4" spans="1:17" x14ac:dyDescent="0.4">
      <c r="A4" s="51" t="s">
        <v>6</v>
      </c>
      <c r="B4" s="152">
        <v>-457.29999999999995</v>
      </c>
      <c r="C4" s="153"/>
      <c r="E4" s="59" t="s">
        <v>72</v>
      </c>
      <c r="F4" s="56" t="s">
        <v>27</v>
      </c>
      <c r="G4" s="44">
        <v>74</v>
      </c>
      <c r="H4" s="129">
        <f>IF(B$17=0,0,G4/B$17)</f>
        <v>0.5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756.89655172413791</v>
      </c>
      <c r="P4" s="115">
        <v>58</v>
      </c>
      <c r="Q4" s="99">
        <v>43900</v>
      </c>
    </row>
    <row r="5" spans="1:17" x14ac:dyDescent="0.4">
      <c r="A5" s="51" t="s">
        <v>7</v>
      </c>
      <c r="B5" s="154">
        <f>IF(B$2=0,0,B$4/B$2)</f>
        <v>-7.2587301587301578</v>
      </c>
      <c r="C5" s="155"/>
      <c r="E5" s="59" t="s">
        <v>171</v>
      </c>
      <c r="F5" s="56" t="s">
        <v>172</v>
      </c>
      <c r="G5" s="44">
        <v>60</v>
      </c>
      <c r="H5" s="129">
        <f>IF(B$17=0,0,G5/B$17)</f>
        <v>0.40540540540540543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-1361.4035087719299</v>
      </c>
      <c r="P5" s="115">
        <v>57</v>
      </c>
      <c r="Q5" s="99">
        <v>-77600</v>
      </c>
    </row>
    <row r="6" spans="1:17" x14ac:dyDescent="0.4">
      <c r="A6" s="51" t="s">
        <v>1</v>
      </c>
      <c r="B6" s="144">
        <f>IF(B$2=0,0,(B$7*1+B$8*2+B$9*3)/B$2)</f>
        <v>2.1904761904761907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0.35135135135135137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-3379.6296296296296</v>
      </c>
      <c r="P6" s="115">
        <v>54</v>
      </c>
      <c r="Q6" s="99">
        <v>-182500</v>
      </c>
    </row>
    <row r="7" spans="1:17" x14ac:dyDescent="0.4">
      <c r="A7" s="51" t="s">
        <v>2</v>
      </c>
      <c r="B7" s="44">
        <v>13</v>
      </c>
      <c r="C7" s="37">
        <f t="shared" ref="C7:C12" si="1">IF(B$2=0,0,B7/B$2)</f>
        <v>0.20634920634920634</v>
      </c>
      <c r="E7" s="59" t="s">
        <v>67</v>
      </c>
      <c r="F7" s="56" t="s">
        <v>23</v>
      </c>
      <c r="G7" s="44">
        <v>46</v>
      </c>
      <c r="H7" s="129">
        <f>IF(B$17=0,0,G7/B$17)</f>
        <v>0.3108108108108108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-1283.3333333333333</v>
      </c>
      <c r="P7" s="116">
        <v>48</v>
      </c>
      <c r="Q7" s="100">
        <v>-61600</v>
      </c>
    </row>
    <row r="8" spans="1:17" x14ac:dyDescent="0.4">
      <c r="A8" s="51" t="s">
        <v>3</v>
      </c>
      <c r="B8" s="44">
        <v>25</v>
      </c>
      <c r="C8" s="37">
        <f t="shared" si="1"/>
        <v>0.3968253968253968</v>
      </c>
      <c r="E8" s="59" t="s">
        <v>70</v>
      </c>
      <c r="F8" s="56" t="s">
        <v>25</v>
      </c>
      <c r="G8" s="44">
        <v>24</v>
      </c>
      <c r="H8" s="129">
        <f>IF(B$17=0,0,G8/B$17)</f>
        <v>0.16216216216216217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0.3968253968253968</v>
      </c>
      <c r="E9" s="59" t="s">
        <v>69</v>
      </c>
      <c r="F9" s="56" t="s">
        <v>24</v>
      </c>
      <c r="G9" s="44">
        <v>22</v>
      </c>
      <c r="H9" s="129">
        <f>IF(B$17=0,0,G9/B$17)</f>
        <v>0.14864864864864866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9.5238095238095233E-2</v>
      </c>
      <c r="E10" s="59" t="s">
        <v>65</v>
      </c>
      <c r="F10" s="56" t="s">
        <v>21</v>
      </c>
      <c r="G10" s="44">
        <v>17</v>
      </c>
      <c r="H10" s="129">
        <f>IF(B$17=0,0,G10/B$17)</f>
        <v>0.11486486486486487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-2.7916666666666679</v>
      </c>
      <c r="P10" s="114">
        <v>24</v>
      </c>
      <c r="Q10" s="102">
        <v>-67.000000000000028</v>
      </c>
    </row>
    <row r="11" spans="1:17" x14ac:dyDescent="0.4">
      <c r="A11" s="52" t="s">
        <v>138</v>
      </c>
      <c r="B11" s="45">
        <v>2</v>
      </c>
      <c r="C11" s="38">
        <f t="shared" si="1"/>
        <v>3.1746031746031744E-2</v>
      </c>
      <c r="E11" s="59" t="s">
        <v>89</v>
      </c>
      <c r="F11" s="56" t="s">
        <v>44</v>
      </c>
      <c r="G11" s="44">
        <v>14</v>
      </c>
      <c r="H11" s="129">
        <f>IF(B$17=0,0,G11/B$17)</f>
        <v>9.45945945945946E-2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7.9365079365079361E-2</v>
      </c>
      <c r="E12" s="59" t="s">
        <v>83</v>
      </c>
      <c r="F12" s="56" t="s">
        <v>38</v>
      </c>
      <c r="G12" s="44">
        <v>9</v>
      </c>
      <c r="H12" s="129">
        <f>IF(B$17=0,0,G12/B$17)</f>
        <v>6.0810810810810814E-2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-12.86315789473684</v>
      </c>
      <c r="P12" s="116">
        <v>19</v>
      </c>
      <c r="Q12" s="104">
        <v>-244.39999999999998</v>
      </c>
    </row>
    <row r="13" spans="1:17" x14ac:dyDescent="0.4">
      <c r="A13" s="54" t="s">
        <v>121</v>
      </c>
      <c r="B13" s="47">
        <v>154</v>
      </c>
      <c r="C13" s="42">
        <f>IF(B$3=0,0,B13/B$3)</f>
        <v>0.29166666666666669</v>
      </c>
      <c r="E13" s="59" t="s">
        <v>71</v>
      </c>
      <c r="F13" s="56" t="s">
        <v>26</v>
      </c>
      <c r="G13" s="44">
        <v>7</v>
      </c>
      <c r="H13" s="129">
        <f>IF(B$17=0,0,G13/B$17)</f>
        <v>4.72972972972973E-2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99</v>
      </c>
      <c r="C14" s="37">
        <f>IF(B$3=0,0,B14/B$3)</f>
        <v>0.1875</v>
      </c>
      <c r="E14" s="59" t="s">
        <v>78</v>
      </c>
      <c r="F14" s="56" t="s">
        <v>33</v>
      </c>
      <c r="G14" s="44">
        <v>6</v>
      </c>
      <c r="H14" s="129">
        <f>IF(B$17=0,0,G14/B$17)</f>
        <v>4.0540540540540543E-2</v>
      </c>
      <c r="I14" s="90">
        <v>2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90</v>
      </c>
      <c r="C15" s="35">
        <f>IF(B$13=0,0,B15/B$13)</f>
        <v>0.58441558441558439</v>
      </c>
      <c r="E15" s="59" t="s">
        <v>86</v>
      </c>
      <c r="F15" s="56" t="s">
        <v>41</v>
      </c>
      <c r="G15" s="44">
        <v>4</v>
      </c>
      <c r="H15" s="129">
        <f>IF(B$17=0,0,G15/B$17)</f>
        <v>2.7027027027027029E-2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38</v>
      </c>
      <c r="C16" s="35">
        <f>IF(B$14=0,0,B16/B$14)</f>
        <v>0.38383838383838381</v>
      </c>
      <c r="E16" s="59" t="s">
        <v>81</v>
      </c>
      <c r="F16" s="56" t="s">
        <v>36</v>
      </c>
      <c r="G16" s="44">
        <v>3</v>
      </c>
      <c r="H16" s="129">
        <f>IF(B$17=0,0,G16/B$17)</f>
        <v>2.0270270270270271E-2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148</v>
      </c>
      <c r="C17" s="35">
        <f>IF(B$3=0,0,B17/B$3)</f>
        <v>0.28030303030303028</v>
      </c>
      <c r="E17" s="59" t="s">
        <v>167</v>
      </c>
      <c r="F17" s="56" t="s">
        <v>168</v>
      </c>
      <c r="G17" s="44">
        <v>3</v>
      </c>
      <c r="H17" s="129">
        <f>IF(B$17=0,0,G17/B$17)</f>
        <v>2.0270270270270271E-2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 t="shared" si="2"/>
        <v>-5.2999999999999989</v>
      </c>
      <c r="P17" s="115">
        <v>9</v>
      </c>
      <c r="Q17" s="103">
        <v>-47.699999999999989</v>
      </c>
    </row>
    <row r="18" spans="1:17" x14ac:dyDescent="0.4">
      <c r="A18" s="51" t="s">
        <v>12</v>
      </c>
      <c r="B18" s="44">
        <v>67</v>
      </c>
      <c r="C18" s="37">
        <f>IF(B$17=0,0,B18/B$17)</f>
        <v>0.45270270270270269</v>
      </c>
      <c r="E18" s="59" t="s">
        <v>75</v>
      </c>
      <c r="F18" s="56" t="s">
        <v>30</v>
      </c>
      <c r="G18" s="44">
        <v>2</v>
      </c>
      <c r="H18" s="129">
        <f>IF(B$17=0,0,G18/B$17)</f>
        <v>1.3513513513513514E-2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81</v>
      </c>
      <c r="C19" s="37">
        <f>IF(B$17=0,0,B19/B$17)</f>
        <v>0.54729729729729726</v>
      </c>
      <c r="E19" s="59" t="s">
        <v>79</v>
      </c>
      <c r="F19" s="56" t="s">
        <v>34</v>
      </c>
      <c r="G19" s="44">
        <v>2</v>
      </c>
      <c r="H19" s="129">
        <f>IF(B$17=0,0,G19/B$17)</f>
        <v>1.3513513513513514E-2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 t="shared" si="2"/>
        <v>-11.37096774193548</v>
      </c>
      <c r="P19" s="115">
        <v>31</v>
      </c>
      <c r="Q19" s="103">
        <v>-352.49999999999989</v>
      </c>
    </row>
    <row r="20" spans="1:17" x14ac:dyDescent="0.4">
      <c r="A20" s="51" t="s">
        <v>13</v>
      </c>
      <c r="B20" s="44">
        <v>110</v>
      </c>
      <c r="C20" s="37">
        <f>IF(B$3=0,0,B20/B$3)</f>
        <v>0.20833333333333334</v>
      </c>
      <c r="E20" s="59" t="s">
        <v>91</v>
      </c>
      <c r="F20" s="56" t="s">
        <v>46</v>
      </c>
      <c r="G20" s="44">
        <v>1</v>
      </c>
      <c r="H20" s="129">
        <f>IF(B$17=0,0,G20/B$17)</f>
        <v>6.7567567567567571E-3</v>
      </c>
      <c r="I20" s="90">
        <v>6</v>
      </c>
      <c r="K20" s="36">
        <v>18</v>
      </c>
      <c r="L20" s="95">
        <v>-240</v>
      </c>
      <c r="N20" s="111" t="s">
        <v>178</v>
      </c>
      <c r="O20" s="121">
        <f t="shared" si="2"/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-16.932558139534891</v>
      </c>
      <c r="P21" s="115">
        <v>43</v>
      </c>
      <c r="Q21" s="103">
        <v>-728.10000000000025</v>
      </c>
    </row>
    <row r="22" spans="1:17" x14ac:dyDescent="0.4">
      <c r="A22" s="51" t="s">
        <v>170</v>
      </c>
      <c r="B22" s="44">
        <v>21</v>
      </c>
      <c r="C22" s="131">
        <v>10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8081.0810810810808</v>
      </c>
      <c r="C23" s="39">
        <v>1196000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8590.9090909090901</v>
      </c>
      <c r="C24" s="137">
        <v>945000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6605.2631578947367</v>
      </c>
      <c r="C25" s="137">
        <v>251000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-7611.818181818182</v>
      </c>
      <c r="C26" s="137">
        <v>-837300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5.681818181818182E-3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</sheetData>
  <sortState xmlns:xlrd2="http://schemas.microsoft.com/office/spreadsheetml/2017/richdata2" ref="E2:I6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6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58</v>
      </c>
      <c r="C2" s="149"/>
      <c r="E2" s="58" t="s">
        <v>66</v>
      </c>
      <c r="F2" s="55" t="s">
        <v>22</v>
      </c>
      <c r="G2" s="43">
        <v>113</v>
      </c>
      <c r="H2" s="128">
        <f>IF(B$17=0,0,G2/B$17)</f>
        <v>0.8188405797101449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2300</v>
      </c>
      <c r="P2" s="114">
        <v>58</v>
      </c>
      <c r="Q2" s="98">
        <v>133400</v>
      </c>
    </row>
    <row r="3" spans="1:17" x14ac:dyDescent="0.4">
      <c r="A3" s="51" t="s">
        <v>8</v>
      </c>
      <c r="B3" s="150">
        <v>465</v>
      </c>
      <c r="C3" s="151"/>
      <c r="E3" s="59" t="s">
        <v>72</v>
      </c>
      <c r="F3" s="56" t="s">
        <v>27</v>
      </c>
      <c r="G3" s="44">
        <v>77</v>
      </c>
      <c r="H3" s="129">
        <f>IF(B$17=0,0,G3/B$17)</f>
        <v>0.55797101449275366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-2180.3571428571427</v>
      </c>
      <c r="P3" s="115">
        <v>56</v>
      </c>
      <c r="Q3" s="99">
        <v>-122100</v>
      </c>
    </row>
    <row r="4" spans="1:17" x14ac:dyDescent="0.4">
      <c r="A4" s="51" t="s">
        <v>6</v>
      </c>
      <c r="B4" s="152">
        <v>308.80000000000007</v>
      </c>
      <c r="C4" s="153"/>
      <c r="E4" s="59" t="s">
        <v>64</v>
      </c>
      <c r="F4" s="56" t="s">
        <v>20</v>
      </c>
      <c r="G4" s="44">
        <v>72</v>
      </c>
      <c r="H4" s="129">
        <f>IF(B$17=0,0,G4/B$17)</f>
        <v>0.52173913043478259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1734.6153846153845</v>
      </c>
      <c r="P4" s="115">
        <v>52</v>
      </c>
      <c r="Q4" s="99">
        <v>90200</v>
      </c>
    </row>
    <row r="5" spans="1:17" x14ac:dyDescent="0.4">
      <c r="A5" s="51" t="s">
        <v>7</v>
      </c>
      <c r="B5" s="154">
        <f>IF(B$2=0,0,B$4/B$2)</f>
        <v>5.3241379310344836</v>
      </c>
      <c r="C5" s="155"/>
      <c r="E5" s="59" t="s">
        <v>67</v>
      </c>
      <c r="F5" s="56" t="s">
        <v>23</v>
      </c>
      <c r="G5" s="44">
        <v>59</v>
      </c>
      <c r="H5" s="129">
        <f>IF(B$17=0,0,G5/B$17)</f>
        <v>0.42753623188405798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3738</v>
      </c>
      <c r="P5" s="115">
        <v>50</v>
      </c>
      <c r="Q5" s="99">
        <v>186900</v>
      </c>
    </row>
    <row r="6" spans="1:17" x14ac:dyDescent="0.4">
      <c r="A6" s="51" t="s">
        <v>1</v>
      </c>
      <c r="B6" s="144">
        <f>IF(B$2=0,0,(B$7*1+B$8*2+B$9*3)/B$2)</f>
        <v>1.8793103448275863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0.37681159420289856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-810.86956521739125</v>
      </c>
      <c r="P6" s="115">
        <v>46</v>
      </c>
      <c r="Q6" s="99">
        <v>-37300</v>
      </c>
    </row>
    <row r="7" spans="1:17" x14ac:dyDescent="0.4">
      <c r="A7" s="51" t="s">
        <v>2</v>
      </c>
      <c r="B7" s="44">
        <v>25</v>
      </c>
      <c r="C7" s="37">
        <f t="shared" ref="C7:C12" si="1">IF(B$2=0,0,B7/B$2)</f>
        <v>0.43103448275862066</v>
      </c>
      <c r="E7" s="59" t="s">
        <v>171</v>
      </c>
      <c r="F7" s="56" t="s">
        <v>172</v>
      </c>
      <c r="G7" s="44">
        <v>52</v>
      </c>
      <c r="H7" s="129">
        <f>IF(B$17=0,0,G7/B$17)</f>
        <v>0.37681159420289856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-300</v>
      </c>
      <c r="P7" s="116">
        <v>37</v>
      </c>
      <c r="Q7" s="100">
        <v>-11100</v>
      </c>
    </row>
    <row r="8" spans="1:17" x14ac:dyDescent="0.4">
      <c r="A8" s="51" t="s">
        <v>3</v>
      </c>
      <c r="B8" s="44">
        <v>15</v>
      </c>
      <c r="C8" s="37">
        <f t="shared" si="1"/>
        <v>0.25862068965517243</v>
      </c>
      <c r="E8" s="59" t="s">
        <v>69</v>
      </c>
      <c r="F8" s="56" t="s">
        <v>24</v>
      </c>
      <c r="G8" s="44">
        <v>31</v>
      </c>
      <c r="H8" s="129">
        <f>IF(B$17=0,0,G8/B$17)</f>
        <v>0.22463768115942029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0.31034482758620691</v>
      </c>
      <c r="E9" s="59" t="s">
        <v>89</v>
      </c>
      <c r="F9" s="56" t="s">
        <v>44</v>
      </c>
      <c r="G9" s="44">
        <v>30</v>
      </c>
      <c r="H9" s="129">
        <f>IF(B$17=0,0,G9/B$17)</f>
        <v>0.21739130434782608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8.6206896551724144E-2</v>
      </c>
      <c r="E10" s="59" t="s">
        <v>65</v>
      </c>
      <c r="F10" s="56" t="s">
        <v>21</v>
      </c>
      <c r="G10" s="44">
        <v>17</v>
      </c>
      <c r="H10" s="129">
        <f>IF(B$17=0,0,G10/B$17)</f>
        <v>0.12318840579710146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0.18965517241379309</v>
      </c>
      <c r="E11" s="59" t="s">
        <v>70</v>
      </c>
      <c r="F11" s="56" t="s">
        <v>25</v>
      </c>
      <c r="G11" s="44">
        <v>15</v>
      </c>
      <c r="H11" s="129">
        <f>IF(B$17=0,0,G11/B$17)</f>
        <v>0.10869565217391304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6.5192307692307683</v>
      </c>
      <c r="P11" s="115">
        <v>26</v>
      </c>
      <c r="Q11" s="103">
        <v>169.49999999999997</v>
      </c>
    </row>
    <row r="12" spans="1:17" x14ac:dyDescent="0.4">
      <c r="A12" s="53" t="s">
        <v>158</v>
      </c>
      <c r="B12" s="46">
        <v>6</v>
      </c>
      <c r="C12" s="40">
        <f t="shared" si="1"/>
        <v>0.10344827586206896</v>
      </c>
      <c r="E12" s="59" t="s">
        <v>167</v>
      </c>
      <c r="F12" s="56" t="s">
        <v>168</v>
      </c>
      <c r="G12" s="44">
        <v>9</v>
      </c>
      <c r="H12" s="129">
        <f>IF(B$17=0,0,G12/B$17)</f>
        <v>6.5217391304347824E-2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-1.313333333333333</v>
      </c>
      <c r="P12" s="116">
        <v>15</v>
      </c>
      <c r="Q12" s="104">
        <v>-19.699999999999996</v>
      </c>
    </row>
    <row r="13" spans="1:17" x14ac:dyDescent="0.4">
      <c r="A13" s="54" t="s">
        <v>121</v>
      </c>
      <c r="B13" s="47">
        <v>150</v>
      </c>
      <c r="C13" s="42">
        <f>IF(B$3=0,0,B13/B$3)</f>
        <v>0.32258064516129031</v>
      </c>
      <c r="E13" s="59" t="s">
        <v>71</v>
      </c>
      <c r="F13" s="56" t="s">
        <v>26</v>
      </c>
      <c r="G13" s="44">
        <v>7</v>
      </c>
      <c r="H13" s="129">
        <f>IF(B$17=0,0,G13/B$17)</f>
        <v>5.0724637681159424E-2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82</v>
      </c>
      <c r="C14" s="37">
        <f>IF(B$3=0,0,B14/B$3)</f>
        <v>0.17634408602150536</v>
      </c>
      <c r="E14" s="59" t="s">
        <v>83</v>
      </c>
      <c r="F14" s="56" t="s">
        <v>38</v>
      </c>
      <c r="G14" s="44">
        <v>6</v>
      </c>
      <c r="H14" s="129">
        <f>IF(B$17=0,0,G14/B$17)</f>
        <v>4.3478260869565216E-2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82</v>
      </c>
      <c r="C15" s="35">
        <f>IF(B$13=0,0,B15/B$13)</f>
        <v>0.54666666666666663</v>
      </c>
      <c r="E15" s="59" t="s">
        <v>86</v>
      </c>
      <c r="F15" s="56" t="s">
        <v>41</v>
      </c>
      <c r="G15" s="44">
        <v>4</v>
      </c>
      <c r="H15" s="129">
        <f>IF(B$17=0,0,G15/B$17)</f>
        <v>2.8985507246376812E-2</v>
      </c>
      <c r="I15" s="90">
        <v>8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0.45121951219512196</v>
      </c>
      <c r="E16" s="59" t="s">
        <v>81</v>
      </c>
      <c r="F16" s="56" t="s">
        <v>36</v>
      </c>
      <c r="G16" s="44">
        <v>3</v>
      </c>
      <c r="H16" s="129">
        <f>IF(B$17=0,0,G16/B$17)</f>
        <v>2.1739130434782608E-2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>IF(P16=0,0,Q16/P16)</f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138</v>
      </c>
      <c r="C17" s="35">
        <f>IF(B$3=0,0,B17/B$3)</f>
        <v>0.29677419354838708</v>
      </c>
      <c r="E17" s="59" t="s">
        <v>92</v>
      </c>
      <c r="F17" s="56" t="s">
        <v>47</v>
      </c>
      <c r="G17" s="44">
        <v>3</v>
      </c>
      <c r="H17" s="129">
        <f>IF(B$17=0,0,G17/B$17)</f>
        <v>2.1739130434782608E-2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67</v>
      </c>
      <c r="C18" s="37">
        <f>IF(B$17=0,0,B18/B$17)</f>
        <v>0.48550724637681159</v>
      </c>
      <c r="E18" s="59" t="s">
        <v>91</v>
      </c>
      <c r="F18" s="56" t="s">
        <v>46</v>
      </c>
      <c r="G18" s="44">
        <v>2</v>
      </c>
      <c r="H18" s="129">
        <f>IF(B$17=0,0,G18/B$17)</f>
        <v>1.4492753623188406E-2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17.729032258064517</v>
      </c>
      <c r="P18" s="115">
        <v>31</v>
      </c>
      <c r="Q18" s="103">
        <v>549.6</v>
      </c>
    </row>
    <row r="19" spans="1:17" x14ac:dyDescent="0.4">
      <c r="A19" s="51" t="s">
        <v>11</v>
      </c>
      <c r="B19" s="44">
        <v>71</v>
      </c>
      <c r="C19" s="37">
        <f>IF(B$17=0,0,B19/B$17)</f>
        <v>0.51449275362318836</v>
      </c>
      <c r="E19" s="59" t="s">
        <v>73</v>
      </c>
      <c r="F19" s="56" t="s">
        <v>28</v>
      </c>
      <c r="G19" s="44">
        <v>1</v>
      </c>
      <c r="H19" s="129">
        <f>IF(B$17=0,0,G19/B$17)</f>
        <v>7.246376811594203E-3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7.2217391304347816</v>
      </c>
      <c r="P19" s="115">
        <v>23</v>
      </c>
      <c r="Q19" s="103">
        <v>166.09999999999997</v>
      </c>
    </row>
    <row r="20" spans="1:17" x14ac:dyDescent="0.4">
      <c r="A20" s="51" t="s">
        <v>13</v>
      </c>
      <c r="B20" s="44">
        <v>77</v>
      </c>
      <c r="C20" s="37">
        <f>IF(B$3=0,0,B20/B$3)</f>
        <v>0.16559139784946236</v>
      </c>
      <c r="E20" s="59" t="s">
        <v>75</v>
      </c>
      <c r="F20" s="56" t="s">
        <v>30</v>
      </c>
      <c r="G20" s="44">
        <v>1</v>
      </c>
      <c r="H20" s="129">
        <f>IF(B$17=0,0,G20/B$17)</f>
        <v>7.246376811594203E-3</v>
      </c>
      <c r="I20" s="90">
        <v>4</v>
      </c>
      <c r="K20" s="36">
        <v>18</v>
      </c>
      <c r="L20" s="95">
        <v>-24.999999999999968</v>
      </c>
      <c r="N20" s="111" t="s">
        <v>179</v>
      </c>
      <c r="O20" s="121">
        <f>IF(P20=0,0,Q20/P20)</f>
        <v>6.6222222222222209</v>
      </c>
      <c r="P20" s="115">
        <v>9</v>
      </c>
      <c r="Q20" s="103">
        <v>59.599999999999987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78</v>
      </c>
      <c r="F21" s="56" t="s">
        <v>33</v>
      </c>
      <c r="G21" s="44">
        <v>1</v>
      </c>
      <c r="H21" s="129">
        <f>IF(B$17=0,0,G21/B$17)</f>
        <v>7.246376811594203E-3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-7.6400000000000032</v>
      </c>
      <c r="P21" s="115">
        <v>25</v>
      </c>
      <c r="Q21" s="103">
        <v>-191.00000000000009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85</v>
      </c>
      <c r="F22" s="56" t="s">
        <v>40</v>
      </c>
      <c r="G22" s="44">
        <v>1</v>
      </c>
      <c r="H22" s="129">
        <f>IF(B$17=0,0,G22/B$17)</f>
        <v>7.246376811594203E-3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10410.144927536232</v>
      </c>
      <c r="C23" s="39">
        <v>1436600</v>
      </c>
      <c r="E23" s="59" t="s">
        <v>90</v>
      </c>
      <c r="F23" s="56" t="s">
        <v>45</v>
      </c>
      <c r="G23" s="44">
        <v>1</v>
      </c>
      <c r="H23" s="129">
        <f>IF(B$17=0,0,G23/B$17)</f>
        <v>7.246376811594203E-3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11301.980198019803</v>
      </c>
      <c r="C24" s="137">
        <v>1141500</v>
      </c>
      <c r="E24" s="59" t="s">
        <v>93</v>
      </c>
      <c r="F24" s="56" t="s">
        <v>48</v>
      </c>
      <c r="G24" s="44">
        <v>1</v>
      </c>
      <c r="H24" s="129">
        <f>IF(B$17=0,0,G24/B$17)</f>
        <v>7.246376811594203E-3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97</v>
      </c>
      <c r="F25" s="56" t="s">
        <v>52</v>
      </c>
      <c r="G25" s="44">
        <v>1</v>
      </c>
      <c r="H25" s="129">
        <f>IF(B$17=0,0,G25/B$17)</f>
        <v>7.246376811594203E-3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-8136.363636363636</v>
      </c>
      <c r="C26" s="137">
        <v>-626500</v>
      </c>
      <c r="E26" s="59" t="s">
        <v>74</v>
      </c>
      <c r="F26" s="56" t="s">
        <v>29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79</v>
      </c>
      <c r="F29" s="56" t="s">
        <v>34</v>
      </c>
      <c r="G29" s="44">
        <v>0</v>
      </c>
      <c r="H29" s="129">
        <f>IF(B$17=0,0,G29/B$17)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8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86</v>
      </c>
      <c r="C2" s="149"/>
      <c r="E2" s="58" t="s">
        <v>66</v>
      </c>
      <c r="F2" s="55" t="s">
        <v>22</v>
      </c>
      <c r="G2" s="43">
        <v>145</v>
      </c>
      <c r="H2" s="128">
        <f>IF(B$17=0,0,G2/B$17)</f>
        <v>0.75520833333333337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669.76744186046517</v>
      </c>
      <c r="P2" s="114">
        <v>86</v>
      </c>
      <c r="Q2" s="98">
        <v>57600</v>
      </c>
    </row>
    <row r="3" spans="1:17" x14ac:dyDescent="0.4">
      <c r="A3" s="51" t="s">
        <v>8</v>
      </c>
      <c r="B3" s="150">
        <v>683</v>
      </c>
      <c r="C3" s="151"/>
      <c r="E3" s="59" t="s">
        <v>72</v>
      </c>
      <c r="F3" s="56" t="s">
        <v>27</v>
      </c>
      <c r="G3" s="44">
        <v>117</v>
      </c>
      <c r="H3" s="129">
        <f>IF(B$17=0,0,G3/B$17)</f>
        <v>0.609375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861.4457831325301</v>
      </c>
      <c r="P3" s="115">
        <v>83</v>
      </c>
      <c r="Q3" s="99">
        <v>71500</v>
      </c>
    </row>
    <row r="4" spans="1:17" x14ac:dyDescent="0.4">
      <c r="A4" s="51" t="s">
        <v>6</v>
      </c>
      <c r="B4" s="152">
        <v>-83.800000000000011</v>
      </c>
      <c r="C4" s="153"/>
      <c r="E4" s="59" t="s">
        <v>64</v>
      </c>
      <c r="F4" s="56" t="s">
        <v>20</v>
      </c>
      <c r="G4" s="44">
        <v>93</v>
      </c>
      <c r="H4" s="129">
        <f>IF(B$17=0,0,G4/B$17)</f>
        <v>0.484375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-1151.9480519480519</v>
      </c>
      <c r="P4" s="115">
        <v>77</v>
      </c>
      <c r="Q4" s="99">
        <v>-88700</v>
      </c>
    </row>
    <row r="5" spans="1:17" x14ac:dyDescent="0.4">
      <c r="A5" s="51" t="s">
        <v>7</v>
      </c>
      <c r="B5" s="154">
        <f>IF(B$2=0,0,B$4/B$2)</f>
        <v>-0.97441860465116292</v>
      </c>
      <c r="C5" s="155"/>
      <c r="E5" s="59" t="s">
        <v>171</v>
      </c>
      <c r="F5" s="56" t="s">
        <v>172</v>
      </c>
      <c r="G5" s="44">
        <v>88</v>
      </c>
      <c r="H5" s="129">
        <f>IF(B$17=0,0,G5/B$17)</f>
        <v>0.45833333333333331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-240.8450704225352</v>
      </c>
      <c r="P5" s="115">
        <v>71</v>
      </c>
      <c r="Q5" s="99">
        <v>-17100</v>
      </c>
    </row>
    <row r="6" spans="1:17" x14ac:dyDescent="0.4">
      <c r="A6" s="51" t="s">
        <v>1</v>
      </c>
      <c r="B6" s="144">
        <f>IF(B$2=0,0,(B$7*1+B$8*2+B$9*3)/B$2)</f>
        <v>2.058139534883721</v>
      </c>
      <c r="C6" s="145"/>
      <c r="E6" s="59" t="s">
        <v>67</v>
      </c>
      <c r="F6" s="56" t="s">
        <v>23</v>
      </c>
      <c r="G6" s="44">
        <v>75</v>
      </c>
      <c r="H6" s="129">
        <f>IF(B$17=0,0,G6/B$17)</f>
        <v>0.390625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-140.32258064516128</v>
      </c>
      <c r="P6" s="115">
        <v>62</v>
      </c>
      <c r="Q6" s="99">
        <v>-8700</v>
      </c>
    </row>
    <row r="7" spans="1:17" x14ac:dyDescent="0.4">
      <c r="A7" s="51" t="s">
        <v>2</v>
      </c>
      <c r="B7" s="44">
        <v>19</v>
      </c>
      <c r="C7" s="37">
        <f t="shared" ref="C7:C12" si="1">IF(B$2=0,0,B7/B$2)</f>
        <v>0.22093023255813954</v>
      </c>
      <c r="E7" s="59" t="s">
        <v>68</v>
      </c>
      <c r="F7" s="56" t="s">
        <v>12</v>
      </c>
      <c r="G7" s="44">
        <v>62</v>
      </c>
      <c r="H7" s="129">
        <f>IF(B$17=0,0,G7/B$17)</f>
        <v>0.32291666666666669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-1277.7777777777778</v>
      </c>
      <c r="P7" s="116">
        <v>54</v>
      </c>
      <c r="Q7" s="100">
        <v>-69000</v>
      </c>
    </row>
    <row r="8" spans="1:17" x14ac:dyDescent="0.4">
      <c r="A8" s="51" t="s">
        <v>3</v>
      </c>
      <c r="B8" s="44">
        <v>43</v>
      </c>
      <c r="C8" s="37">
        <f t="shared" si="1"/>
        <v>0.5</v>
      </c>
      <c r="E8" s="59" t="s">
        <v>69</v>
      </c>
      <c r="F8" s="56" t="s">
        <v>24</v>
      </c>
      <c r="G8" s="44">
        <v>25</v>
      </c>
      <c r="H8" s="129">
        <f>IF(B$17=0,0,G8/B$17)</f>
        <v>0.13020833333333334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0.27906976744186046</v>
      </c>
      <c r="E9" s="59" t="s">
        <v>89</v>
      </c>
      <c r="F9" s="56" t="s">
        <v>44</v>
      </c>
      <c r="G9" s="44">
        <v>20</v>
      </c>
      <c r="H9" s="129">
        <f>IF(B$17=0,0,G9/B$17)</f>
        <v>0.10416666666666667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8.1395348837209308E-2</v>
      </c>
      <c r="E10" s="59" t="s">
        <v>71</v>
      </c>
      <c r="F10" s="56" t="s">
        <v>26</v>
      </c>
      <c r="G10" s="44">
        <v>17</v>
      </c>
      <c r="H10" s="129">
        <f>IF(B$17=0,0,G10/B$17)</f>
        <v>8.8541666666666671E-2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-1.0000000000000004</v>
      </c>
      <c r="P10" s="114">
        <v>36</v>
      </c>
      <c r="Q10" s="102">
        <v>-36.000000000000014</v>
      </c>
    </row>
    <row r="11" spans="1:17" x14ac:dyDescent="0.4">
      <c r="A11" s="52" t="s">
        <v>138</v>
      </c>
      <c r="B11" s="45">
        <v>6</v>
      </c>
      <c r="C11" s="38">
        <f t="shared" si="1"/>
        <v>6.9767441860465115E-2</v>
      </c>
      <c r="E11" s="59" t="s">
        <v>70</v>
      </c>
      <c r="F11" s="56" t="s">
        <v>25</v>
      </c>
      <c r="G11" s="44">
        <v>15</v>
      </c>
      <c r="H11" s="129">
        <f>IF(B$17=0,0,G11/B$17)</f>
        <v>7.8125E-2</v>
      </c>
      <c r="I11" s="90">
        <v>8</v>
      </c>
      <c r="K11" s="36">
        <v>9</v>
      </c>
      <c r="L11" s="95">
        <v>-90.9</v>
      </c>
      <c r="N11" s="111" t="s">
        <v>163</v>
      </c>
      <c r="O11" s="121">
        <f>IF(P11=0,0,Q11/P11)</f>
        <v>1.592307692307692</v>
      </c>
      <c r="P11" s="115">
        <v>26</v>
      </c>
      <c r="Q11" s="103">
        <v>41.399999999999991</v>
      </c>
    </row>
    <row r="12" spans="1:17" x14ac:dyDescent="0.4">
      <c r="A12" s="53" t="s">
        <v>158</v>
      </c>
      <c r="B12" s="46">
        <v>5</v>
      </c>
      <c r="C12" s="40">
        <f t="shared" si="1"/>
        <v>5.8139534883720929E-2</v>
      </c>
      <c r="E12" s="59" t="s">
        <v>65</v>
      </c>
      <c r="F12" s="56" t="s">
        <v>21</v>
      </c>
      <c r="G12" s="44">
        <v>14</v>
      </c>
      <c r="H12" s="129">
        <f>IF(B$17=0,0,G12/B$17)</f>
        <v>7.2916666666666671E-2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-3.7166666666666668</v>
      </c>
      <c r="P12" s="116">
        <v>24</v>
      </c>
      <c r="Q12" s="104">
        <v>-89.2</v>
      </c>
    </row>
    <row r="13" spans="1:17" x14ac:dyDescent="0.4">
      <c r="A13" s="54" t="s">
        <v>121</v>
      </c>
      <c r="B13" s="47">
        <v>176</v>
      </c>
      <c r="C13" s="42">
        <f>IF(B$3=0,0,B13/B$3)</f>
        <v>0.25768667642752563</v>
      </c>
      <c r="E13" s="59" t="s">
        <v>86</v>
      </c>
      <c r="F13" s="56" t="s">
        <v>41</v>
      </c>
      <c r="G13" s="44">
        <v>10</v>
      </c>
      <c r="H13" s="129">
        <f>IF(B$17=0,0,G13/B$17)</f>
        <v>5.2083333333333336E-2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157</v>
      </c>
      <c r="C14" s="37">
        <f>IF(B$3=0,0,B14/B$3)</f>
        <v>0.22986822840409957</v>
      </c>
      <c r="E14" s="59" t="s">
        <v>83</v>
      </c>
      <c r="F14" s="56" t="s">
        <v>38</v>
      </c>
      <c r="G14" s="44">
        <v>7</v>
      </c>
      <c r="H14" s="129">
        <f>IF(B$17=0,0,G14/B$17)</f>
        <v>3.6458333333333336E-2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98</v>
      </c>
      <c r="C15" s="35">
        <f>IF(B$13=0,0,B15/B$13)</f>
        <v>0.55681818181818177</v>
      </c>
      <c r="E15" s="59" t="s">
        <v>79</v>
      </c>
      <c r="F15" s="56" t="s">
        <v>34</v>
      </c>
      <c r="G15" s="44">
        <v>6</v>
      </c>
      <c r="H15" s="129">
        <f>IF(B$17=0,0,G15/B$17)</f>
        <v>3.125E-2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65</v>
      </c>
      <c r="C16" s="35">
        <f>IF(B$14=0,0,B16/B$14)</f>
        <v>0.4140127388535032</v>
      </c>
      <c r="E16" s="59" t="s">
        <v>167</v>
      </c>
      <c r="F16" s="56" t="s">
        <v>168</v>
      </c>
      <c r="G16" s="44">
        <v>4</v>
      </c>
      <c r="H16" s="129">
        <f>IF(B$17=0,0,G16/B$17)</f>
        <v>2.0833333333333332E-2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192</v>
      </c>
      <c r="C17" s="35">
        <f>IF(B$3=0,0,B17/B$3)</f>
        <v>0.28111273792093705</v>
      </c>
      <c r="E17" s="59" t="s">
        <v>73</v>
      </c>
      <c r="F17" s="56" t="s">
        <v>28</v>
      </c>
      <c r="G17" s="44">
        <v>3</v>
      </c>
      <c r="H17" s="129">
        <f>IF(B$17=0,0,G17/B$17)</f>
        <v>1.5625E-2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86</v>
      </c>
      <c r="C18" s="37">
        <f>IF(B$17=0,0,B18/B$17)</f>
        <v>0.44791666666666669</v>
      </c>
      <c r="E18" s="59" t="s">
        <v>78</v>
      </c>
      <c r="F18" s="56" t="s">
        <v>33</v>
      </c>
      <c r="G18" s="44">
        <v>3</v>
      </c>
      <c r="H18" s="129">
        <f>IF(B$17=0,0,G18/B$17)</f>
        <v>1.5625E-2</v>
      </c>
      <c r="I18" s="90">
        <v>7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106</v>
      </c>
      <c r="C19" s="37">
        <f>IF(B$17=0,0,B19/B$17)</f>
        <v>0.55208333333333337</v>
      </c>
      <c r="E19" s="59" t="s">
        <v>81</v>
      </c>
      <c r="F19" s="56" t="s">
        <v>36</v>
      </c>
      <c r="G19" s="44">
        <v>2</v>
      </c>
      <c r="H19" s="129">
        <f>IF(B$17=0,0,G19/B$17)</f>
        <v>1.0416666666666666E-2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92</v>
      </c>
      <c r="C20" s="37">
        <f>IF(B$3=0,0,B20/B$3)</f>
        <v>0.13469985358711567</v>
      </c>
      <c r="E20" s="59" t="s">
        <v>74</v>
      </c>
      <c r="F20" s="56" t="s">
        <v>29</v>
      </c>
      <c r="G20" s="44">
        <v>1</v>
      </c>
      <c r="H20" s="129">
        <f>IF(B$17=0,0,G20/B$17)</f>
        <v>5.208333333333333E-3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 t="shared" si="2"/>
        <v>2.8312499999999998</v>
      </c>
      <c r="P20" s="115">
        <v>16</v>
      </c>
      <c r="Q20" s="103">
        <v>45.3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5.208333333333333E-3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 t="shared" si="2"/>
        <v>1.4055555555555559</v>
      </c>
      <c r="P21" s="115">
        <v>36</v>
      </c>
      <c r="Q21" s="103">
        <v>50.600000000000016</v>
      </c>
    </row>
    <row r="22" spans="1:17" x14ac:dyDescent="0.4">
      <c r="A22" s="51" t="s">
        <v>170</v>
      </c>
      <c r="B22" s="44">
        <v>44</v>
      </c>
      <c r="C22" s="131">
        <v>12</v>
      </c>
      <c r="E22" s="59" t="s">
        <v>85</v>
      </c>
      <c r="F22" s="56" t="s">
        <v>40</v>
      </c>
      <c r="G22" s="44">
        <v>1</v>
      </c>
      <c r="H22" s="129">
        <f>IF(B$17=0,0,G22/B$17)</f>
        <v>5.208333333333333E-3</v>
      </c>
      <c r="I22" s="90">
        <v>4</v>
      </c>
      <c r="K22" s="36">
        <v>20</v>
      </c>
      <c r="L22" s="95">
        <v>-93.199999999999989</v>
      </c>
      <c r="N22" s="111" t="s">
        <v>126</v>
      </c>
      <c r="O22" s="121">
        <f t="shared" si="2"/>
        <v>-16.673170731707319</v>
      </c>
      <c r="P22" s="115">
        <v>41</v>
      </c>
      <c r="Q22" s="103">
        <v>-683.60000000000014</v>
      </c>
    </row>
    <row r="23" spans="1:17" x14ac:dyDescent="0.4">
      <c r="A23" s="51" t="s">
        <v>5</v>
      </c>
      <c r="B23" s="48">
        <f>IF(B$17=0,0,C23/B$17)</f>
        <v>8382.2916666666661</v>
      </c>
      <c r="C23" s="39">
        <v>1609400</v>
      </c>
      <c r="E23" s="59" t="s">
        <v>87</v>
      </c>
      <c r="F23" s="56" t="s">
        <v>42</v>
      </c>
      <c r="G23" s="44">
        <v>1</v>
      </c>
      <c r="H23" s="129">
        <f>IF(B$17=0,0,G23/B$17)</f>
        <v>5.208333333333333E-3</v>
      </c>
      <c r="I23" s="90">
        <v>2</v>
      </c>
      <c r="K23" s="36">
        <v>21</v>
      </c>
      <c r="L23" s="95">
        <v>-123.69999999999999</v>
      </c>
      <c r="N23" s="111" t="s">
        <v>177</v>
      </c>
      <c r="O23" s="121">
        <f t="shared" si="2"/>
        <v>-17.729032258064517</v>
      </c>
      <c r="P23" s="115">
        <v>31</v>
      </c>
      <c r="Q23" s="103">
        <v>-549.6</v>
      </c>
    </row>
    <row r="24" spans="1:17" x14ac:dyDescent="0.4">
      <c r="A24" s="52" t="s">
        <v>216</v>
      </c>
      <c r="B24" s="136">
        <f>IF($B$17-B$16=0,0,C24/($B$17-B$16))</f>
        <v>9403.9370078740158</v>
      </c>
      <c r="C24" s="137">
        <v>1194300</v>
      </c>
      <c r="E24" s="59" t="s">
        <v>88</v>
      </c>
      <c r="F24" s="56" t="s">
        <v>43</v>
      </c>
      <c r="G24" s="44">
        <v>1</v>
      </c>
      <c r="H24" s="129">
        <f>IF(B$17=0,0,G24/B$17)</f>
        <v>5.208333333333333E-3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6386.1538461538457</v>
      </c>
      <c r="C25" s="137">
        <v>415100</v>
      </c>
      <c r="E25" s="59" t="s">
        <v>91</v>
      </c>
      <c r="F25" s="56" t="s">
        <v>46</v>
      </c>
      <c r="G25" s="44">
        <v>1</v>
      </c>
      <c r="H25" s="129">
        <f>IF(B$17=0,0,G25/B$17)</f>
        <v>5.208333333333333E-3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-7886.95652173913</v>
      </c>
      <c r="C26" s="137">
        <v>-725600</v>
      </c>
      <c r="E26" s="59" t="s">
        <v>93</v>
      </c>
      <c r="F26" s="56" t="s">
        <v>48</v>
      </c>
      <c r="G26" s="44">
        <v>1</v>
      </c>
      <c r="H26" s="129">
        <f>IF(B$17=0,0,G26/B$17)</f>
        <v>5.208333333333333E-3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5.208333333333333E-3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2.9282576866764276E-3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</sheetData>
  <sortState xmlns:xlrd2="http://schemas.microsoft.com/office/spreadsheetml/2017/richdata2" ref="E2:I8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9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22</v>
      </c>
      <c r="C2" s="149"/>
      <c r="E2" s="58" t="s">
        <v>66</v>
      </c>
      <c r="F2" s="55" t="s">
        <v>22</v>
      </c>
      <c r="G2" s="43">
        <v>56</v>
      </c>
      <c r="H2" s="128">
        <f>IF(B$17=0,0,G2/B$17)</f>
        <v>0.98245614035087714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-2504.5454545454545</v>
      </c>
      <c r="P2" s="114">
        <v>22</v>
      </c>
      <c r="Q2" s="98">
        <v>-55100</v>
      </c>
    </row>
    <row r="3" spans="1:17" x14ac:dyDescent="0.4">
      <c r="A3" s="51" t="s">
        <v>8</v>
      </c>
      <c r="B3" s="150">
        <v>204</v>
      </c>
      <c r="C3" s="151"/>
      <c r="E3" s="59" t="s">
        <v>64</v>
      </c>
      <c r="F3" s="56" t="s">
        <v>20</v>
      </c>
      <c r="G3" s="44">
        <v>33</v>
      </c>
      <c r="H3" s="129">
        <f>IF(B$17=0,0,G3/B$17)</f>
        <v>0.57894736842105265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-354.54545454545456</v>
      </c>
      <c r="P3" s="115">
        <v>22</v>
      </c>
      <c r="Q3" s="99">
        <v>-7800</v>
      </c>
    </row>
    <row r="4" spans="1:17" x14ac:dyDescent="0.4">
      <c r="A4" s="51" t="s">
        <v>6</v>
      </c>
      <c r="B4" s="152">
        <v>-13.5</v>
      </c>
      <c r="C4" s="153"/>
      <c r="E4" s="59" t="s">
        <v>68</v>
      </c>
      <c r="F4" s="56" t="s">
        <v>12</v>
      </c>
      <c r="G4" s="44">
        <v>23</v>
      </c>
      <c r="H4" s="129">
        <f>IF(B$17=0,0,G4/B$17)</f>
        <v>0.40350877192982454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-385.71428571428572</v>
      </c>
      <c r="P4" s="115">
        <v>21</v>
      </c>
      <c r="Q4" s="99">
        <v>-8100</v>
      </c>
    </row>
    <row r="5" spans="1:17" x14ac:dyDescent="0.4">
      <c r="A5" s="51" t="s">
        <v>7</v>
      </c>
      <c r="B5" s="154">
        <f>IF(B$2=0,0,B$4/B$2)</f>
        <v>-0.61363636363636365</v>
      </c>
      <c r="C5" s="155"/>
      <c r="E5" s="59" t="s">
        <v>72</v>
      </c>
      <c r="F5" s="56" t="s">
        <v>27</v>
      </c>
      <c r="G5" s="44">
        <v>21</v>
      </c>
      <c r="H5" s="129">
        <f>IF(B$17=0,0,G5/B$17)</f>
        <v>0.36842105263157893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-2123.8095238095239</v>
      </c>
      <c r="P5" s="115">
        <v>21</v>
      </c>
      <c r="Q5" s="99">
        <v>-44600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171</v>
      </c>
      <c r="F6" s="56" t="s">
        <v>172</v>
      </c>
      <c r="G6" s="44">
        <v>19</v>
      </c>
      <c r="H6" s="129">
        <f>IF(B$17=0,0,G6/B$17)</f>
        <v>0.33333333333333331</v>
      </c>
      <c r="I6" s="90">
        <v>8</v>
      </c>
      <c r="K6" s="36">
        <v>4</v>
      </c>
      <c r="L6" s="95">
        <v>115.5</v>
      </c>
      <c r="N6" s="111" t="s">
        <v>134</v>
      </c>
      <c r="O6" s="118">
        <f t="shared" si="0"/>
        <v>5752.6315789473683</v>
      </c>
      <c r="P6" s="115">
        <v>19</v>
      </c>
      <c r="Q6" s="99">
        <v>109300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0.36363636363636365</v>
      </c>
      <c r="E7" s="59" t="s">
        <v>67</v>
      </c>
      <c r="F7" s="56" t="s">
        <v>23</v>
      </c>
      <c r="G7" s="44">
        <v>14</v>
      </c>
      <c r="H7" s="129">
        <f>IF(B$17=0,0,G7/B$17)</f>
        <v>0.24561403508771928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0.27272727272727271</v>
      </c>
      <c r="E8" s="59" t="s">
        <v>69</v>
      </c>
      <c r="F8" s="56" t="s">
        <v>24</v>
      </c>
      <c r="G8" s="44">
        <v>12</v>
      </c>
      <c r="H8" s="129">
        <f>IF(B$17=0,0,G8/B$17)</f>
        <v>0.21052631578947367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0.36363636363636365</v>
      </c>
      <c r="E9" s="59" t="s">
        <v>65</v>
      </c>
      <c r="F9" s="56" t="s">
        <v>21</v>
      </c>
      <c r="G9" s="44">
        <v>8</v>
      </c>
      <c r="H9" s="129">
        <f>IF(B$17=0,0,G9/B$17)</f>
        <v>0.14035087719298245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9.0909090909090912E-2</v>
      </c>
      <c r="E10" s="59" t="s">
        <v>70</v>
      </c>
      <c r="F10" s="56" t="s">
        <v>25</v>
      </c>
      <c r="G10" s="44">
        <v>6</v>
      </c>
      <c r="H10" s="129">
        <f>IF(B$17=0,0,G10/B$17)</f>
        <v>0.10526315789473684</v>
      </c>
      <c r="I10" s="90">
        <v>5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2</v>
      </c>
      <c r="C11" s="38">
        <f t="shared" si="1"/>
        <v>9.0909090909090912E-2</v>
      </c>
      <c r="E11" s="59" t="s">
        <v>71</v>
      </c>
      <c r="F11" s="56" t="s">
        <v>26</v>
      </c>
      <c r="G11" s="44">
        <v>6</v>
      </c>
      <c r="H11" s="129">
        <f>IF(B$17=0,0,G11/B$17)</f>
        <v>0.10526315789473684</v>
      </c>
      <c r="I11" s="90">
        <v>2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5</v>
      </c>
      <c r="H12" s="129">
        <f>IF(B$17=0,0,G12/B$17)</f>
        <v>8.771929824561403E-2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54</v>
      </c>
      <c r="C13" s="42">
        <f>IF(B$3=0,0,B13/B$3)</f>
        <v>0.26470588235294118</v>
      </c>
      <c r="E13" s="59" t="s">
        <v>78</v>
      </c>
      <c r="F13" s="56" t="s">
        <v>33</v>
      </c>
      <c r="G13" s="44">
        <v>3</v>
      </c>
      <c r="H13" s="129">
        <f>IF(B$17=0,0,G13/B$17)</f>
        <v>5.2631578947368418E-2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32</v>
      </c>
      <c r="C14" s="37">
        <f>IF(B$3=0,0,B14/B$3)</f>
        <v>0.15686274509803921</v>
      </c>
      <c r="E14" s="59" t="s">
        <v>83</v>
      </c>
      <c r="F14" s="56" t="s">
        <v>38</v>
      </c>
      <c r="G14" s="44">
        <v>2</v>
      </c>
      <c r="H14" s="129">
        <f>IF(B$17=0,0,G14/B$17)</f>
        <v>3.5087719298245612E-2</v>
      </c>
      <c r="I14" s="90">
        <v>11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33</v>
      </c>
      <c r="C15" s="35">
        <f>IF(B$13=0,0,B15/B$13)</f>
        <v>0.61111111111111116</v>
      </c>
      <c r="E15" s="59" t="s">
        <v>86</v>
      </c>
      <c r="F15" s="56" t="s">
        <v>41</v>
      </c>
      <c r="G15" s="44">
        <v>2</v>
      </c>
      <c r="H15" s="129">
        <f>IF(B$17=0,0,G15/B$17)</f>
        <v>3.5087719298245612E-2</v>
      </c>
      <c r="I15" s="90">
        <v>7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12</v>
      </c>
      <c r="C16" s="35">
        <f>IF(B$14=0,0,B16/B$14)</f>
        <v>0.375</v>
      </c>
      <c r="E16" s="59" t="s">
        <v>75</v>
      </c>
      <c r="F16" s="56" t="s">
        <v>30</v>
      </c>
      <c r="G16" s="44">
        <v>1</v>
      </c>
      <c r="H16" s="129">
        <f>IF(B$17=0,0,G16/B$17)</f>
        <v>1.7543859649122806E-2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57</v>
      </c>
      <c r="C17" s="35">
        <f>IF(B$3=0,0,B17/B$3)</f>
        <v>0.27941176470588236</v>
      </c>
      <c r="E17" s="59" t="s">
        <v>81</v>
      </c>
      <c r="F17" s="56" t="s">
        <v>36</v>
      </c>
      <c r="G17" s="44">
        <v>1</v>
      </c>
      <c r="H17" s="129">
        <f>IF(B$17=0,0,G17/B$17)</f>
        <v>1.7543859649122806E-2</v>
      </c>
      <c r="I17" s="90">
        <v>6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31</v>
      </c>
      <c r="C18" s="37">
        <f>IF(B$17=0,0,B18/B$17)</f>
        <v>0.54385964912280704</v>
      </c>
      <c r="E18" s="59" t="s">
        <v>85</v>
      </c>
      <c r="F18" s="56" t="s">
        <v>40</v>
      </c>
      <c r="G18" s="44">
        <v>1</v>
      </c>
      <c r="H18" s="129">
        <f>IF(B$17=0,0,G18/B$17)</f>
        <v>1.7543859649122806E-2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26</v>
      </c>
      <c r="C19" s="37">
        <f>IF(B$17=0,0,B19/B$17)</f>
        <v>0.45614035087719296</v>
      </c>
      <c r="E19" s="59" t="s">
        <v>87</v>
      </c>
      <c r="F19" s="56" t="s">
        <v>42</v>
      </c>
      <c r="G19" s="44">
        <v>1</v>
      </c>
      <c r="H19" s="129">
        <f>IF(B$17=0,0,G19/B$17)</f>
        <v>1.7543859649122806E-2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31</v>
      </c>
      <c r="C20" s="37">
        <f>IF(B$3=0,0,B20/B$3)</f>
        <v>0.15196078431372548</v>
      </c>
      <c r="E20" s="59" t="s">
        <v>167</v>
      </c>
      <c r="F20" s="56" t="s">
        <v>168</v>
      </c>
      <c r="G20" s="44">
        <v>1</v>
      </c>
      <c r="H20" s="129">
        <f>IF(B$17=0,0,G20/B$17)</f>
        <v>1.7543859649122806E-2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-53.400000000000006</v>
      </c>
      <c r="P22" s="115">
        <v>6</v>
      </c>
      <c r="Q22" s="103">
        <v>-320.40000000000003</v>
      </c>
    </row>
    <row r="23" spans="1:17" x14ac:dyDescent="0.4">
      <c r="A23" s="51" t="s">
        <v>5</v>
      </c>
      <c r="B23" s="48">
        <f>IF(B$17=0,0,C23/B$17)</f>
        <v>8115.7894736842109</v>
      </c>
      <c r="C23" s="39">
        <v>462600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8384.4444444444453</v>
      </c>
      <c r="C24" s="137">
        <v>377300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</row>
    <row r="26" spans="1:17" x14ac:dyDescent="0.4">
      <c r="A26" s="52" t="s">
        <v>215</v>
      </c>
      <c r="B26" s="136">
        <f>IF(B$20=0,0,C26/B$20)</f>
        <v>-7151.6129032258068</v>
      </c>
      <c r="C26" s="137">
        <v>-221700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4.9019607843137254E-3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8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7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2019-11-04T08:22:36Z</dcterms:modified>
</cp:coreProperties>
</file>