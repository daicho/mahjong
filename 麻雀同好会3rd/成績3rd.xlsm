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ACF3DB5E-B0CF-4B9E-A056-9FD7EF707448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35" r:id="rId6"/>
    <sheet name="たかの" sheetId="6337" r:id="rId7"/>
    <sheet name="だいち" sheetId="6339" r:id="rId8"/>
    <sheet name="ただ" sheetId="6341" r:id="rId9"/>
    <sheet name="りくと" sheetId="6343" r:id="rId10"/>
    <sheet name="れんたろう" sheetId="6345" r:id="rId11"/>
    <sheet name="まっつん" sheetId="6347" r:id="rId12"/>
    <sheet name="のり" sheetId="6349" r:id="rId13"/>
    <sheet name="ぱぱ" sheetId="6351" r:id="rId14"/>
    <sheet name="ほたに" sheetId="6353" r:id="rId15"/>
    <sheet name="いっしー" sheetId="6355" r:id="rId16"/>
    <sheet name="ともき" sheetId="6357" r:id="rId17"/>
    <sheet name="たか" sheetId="6359" r:id="rId18"/>
    <sheet name="ゆう" sheetId="6361" r:id="rId19"/>
    <sheet name="ゆう2" sheetId="6362" state="hidden" r:id="rId20"/>
    <sheet name="たか2" sheetId="6360" state="hidden" r:id="rId21"/>
    <sheet name="ともき2" sheetId="6358" state="hidden" r:id="rId22"/>
    <sheet name="いっしー2" sheetId="6356" state="hidden" r:id="rId23"/>
    <sheet name="ほたに2" sheetId="6354" state="hidden" r:id="rId24"/>
    <sheet name="ぱぱ2" sheetId="6352" state="hidden" r:id="rId25"/>
    <sheet name="のり2" sheetId="6350" state="hidden" r:id="rId26"/>
    <sheet name="まっつん2" sheetId="6348" state="hidden" r:id="rId27"/>
    <sheet name="れんたろう2" sheetId="6346" state="hidden" r:id="rId28"/>
    <sheet name="りくと2" sheetId="6344" state="hidden" r:id="rId29"/>
    <sheet name="ただ2" sheetId="6342" state="hidden" r:id="rId30"/>
    <sheet name="だいち2" sheetId="6340" state="hidden" r:id="rId31"/>
    <sheet name="たかの2" sheetId="6338" state="hidden" r:id="rId32"/>
    <sheet name="全体2" sheetId="633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347" l="1"/>
  <c r="O15" i="6357"/>
  <c r="O16" i="6359" l="1"/>
  <c r="O23" i="6337"/>
  <c r="O20" i="6347" l="1"/>
  <c r="O16" i="6361"/>
  <c r="O18" i="6359"/>
  <c r="O15" i="6337" l="1"/>
  <c r="O22" i="6357"/>
  <c r="O19" i="6359" l="1"/>
  <c r="O15" i="6361"/>
  <c r="O17" i="6361"/>
  <c r="C30" i="6361"/>
  <c r="B25" i="6361"/>
  <c r="C16" i="6361"/>
  <c r="B15" i="6361"/>
  <c r="H50" i="6361" s="1"/>
  <c r="B14" i="6361"/>
  <c r="B24" i="6361" s="1"/>
  <c r="B13" i="6361"/>
  <c r="C13" i="6361" s="1"/>
  <c r="O12" i="6361"/>
  <c r="C12" i="6361"/>
  <c r="O11" i="6361"/>
  <c r="C11" i="6361"/>
  <c r="O10" i="6361"/>
  <c r="C10" i="6361"/>
  <c r="C9" i="6361"/>
  <c r="C8" i="6361"/>
  <c r="O7" i="6361"/>
  <c r="C7" i="6361"/>
  <c r="O6" i="6361"/>
  <c r="B6" i="6361"/>
  <c r="O5" i="6361"/>
  <c r="B5" i="6361"/>
  <c r="O4" i="6361"/>
  <c r="O3" i="6361"/>
  <c r="O2" i="6361"/>
  <c r="O16" i="6349"/>
  <c r="O15" i="6359"/>
  <c r="O17" i="6359"/>
  <c r="C30" i="6359"/>
  <c r="B25" i="6359"/>
  <c r="C16" i="6359"/>
  <c r="B15" i="6359"/>
  <c r="H51" i="6359" s="1"/>
  <c r="B14" i="6359"/>
  <c r="B24" i="6359" s="1"/>
  <c r="B13" i="6359"/>
  <c r="C13" i="6359" s="1"/>
  <c r="O12" i="6359"/>
  <c r="C12" i="6359"/>
  <c r="O11" i="6359"/>
  <c r="C11" i="6359"/>
  <c r="O10" i="6359"/>
  <c r="C10" i="6359"/>
  <c r="C9" i="6359"/>
  <c r="C8" i="6359"/>
  <c r="O7" i="6359"/>
  <c r="C7" i="6359"/>
  <c r="O6" i="6359"/>
  <c r="B6" i="6359"/>
  <c r="O5" i="6359"/>
  <c r="B5" i="6359"/>
  <c r="O4" i="6359"/>
  <c r="O3" i="6359"/>
  <c r="O2" i="6359"/>
  <c r="O15" i="6335"/>
  <c r="H9" i="6359" l="1"/>
  <c r="C14" i="6359"/>
  <c r="C14" i="6361"/>
  <c r="H17" i="6361"/>
  <c r="H2" i="6361"/>
  <c r="H6" i="6361"/>
  <c r="H16" i="6361"/>
  <c r="H10" i="6361"/>
  <c r="H11" i="6361"/>
  <c r="H14" i="6361"/>
  <c r="C17" i="6361"/>
  <c r="H22" i="6361"/>
  <c r="B22" i="6361"/>
  <c r="H12" i="6361"/>
  <c r="H34" i="6361"/>
  <c r="C36" i="6361"/>
  <c r="H39" i="6361"/>
  <c r="H42" i="6361"/>
  <c r="C44" i="6361"/>
  <c r="H49" i="6361"/>
  <c r="H15" i="6361"/>
  <c r="C15" i="6361"/>
  <c r="H20" i="6361"/>
  <c r="C20" i="6361"/>
  <c r="B23" i="6361"/>
  <c r="H28" i="6361"/>
  <c r="H32" i="6361"/>
  <c r="C34" i="6361"/>
  <c r="H37" i="6361"/>
  <c r="H40" i="6361"/>
  <c r="C42" i="6361"/>
  <c r="H45" i="6361"/>
  <c r="H51" i="6361"/>
  <c r="H3" i="6361"/>
  <c r="H13" i="6361"/>
  <c r="H8" i="6361"/>
  <c r="H19" i="6361"/>
  <c r="C18" i="6361"/>
  <c r="C21" i="6361"/>
  <c r="H26" i="6361"/>
  <c r="H29" i="6361"/>
  <c r="C32" i="6361"/>
  <c r="H35" i="6361"/>
  <c r="H38" i="6361"/>
  <c r="C40" i="6361"/>
  <c r="H43" i="6361"/>
  <c r="H47" i="6361"/>
  <c r="H4" i="6361"/>
  <c r="H7" i="6361"/>
  <c r="H18" i="6361"/>
  <c r="C19" i="6361"/>
  <c r="H24" i="6361"/>
  <c r="H30" i="6361"/>
  <c r="H33" i="6361"/>
  <c r="H36" i="6361"/>
  <c r="C38" i="6361"/>
  <c r="H41" i="6361"/>
  <c r="H44" i="6361"/>
  <c r="H48" i="6361"/>
  <c r="H52" i="6361"/>
  <c r="H5" i="6361"/>
  <c r="H21" i="6361"/>
  <c r="H23" i="6361"/>
  <c r="H25" i="6361"/>
  <c r="H27" i="6361"/>
  <c r="H9" i="6361"/>
  <c r="H31" i="6361"/>
  <c r="C33" i="6361"/>
  <c r="C35" i="6361"/>
  <c r="C37" i="6361"/>
  <c r="C39" i="6361"/>
  <c r="C41" i="6361"/>
  <c r="C43" i="6361"/>
  <c r="H46" i="6361"/>
  <c r="C18" i="6359"/>
  <c r="H8" i="6359"/>
  <c r="H10" i="6359"/>
  <c r="H18" i="6359"/>
  <c r="H24" i="6359"/>
  <c r="C34" i="6359"/>
  <c r="C38" i="6359"/>
  <c r="H3" i="6359"/>
  <c r="H2" i="6359"/>
  <c r="H7" i="6359"/>
  <c r="C19" i="6359"/>
  <c r="H6" i="6359"/>
  <c r="H19" i="6359"/>
  <c r="C21" i="6359"/>
  <c r="H14" i="6359"/>
  <c r="C42" i="6359"/>
  <c r="H48" i="6359"/>
  <c r="H35" i="6359"/>
  <c r="H39" i="6359"/>
  <c r="H43" i="6359"/>
  <c r="H49" i="6359"/>
  <c r="H11" i="6359"/>
  <c r="H16" i="6359"/>
  <c r="H17" i="6359"/>
  <c r="C17" i="6359"/>
  <c r="B22" i="6359"/>
  <c r="H28" i="6359"/>
  <c r="C32" i="6359"/>
  <c r="C36" i="6359"/>
  <c r="C40" i="6359"/>
  <c r="C44" i="6359"/>
  <c r="H5" i="6359"/>
  <c r="H12" i="6359"/>
  <c r="H4" i="6359"/>
  <c r="H15" i="6359"/>
  <c r="B23" i="6359"/>
  <c r="C15" i="6359"/>
  <c r="H21" i="6359"/>
  <c r="C20" i="6359"/>
  <c r="H26" i="6359"/>
  <c r="H29" i="6359"/>
  <c r="H33" i="6359"/>
  <c r="H37" i="6359"/>
  <c r="H41" i="6359"/>
  <c r="H45" i="6359"/>
  <c r="H52" i="6359"/>
  <c r="H20" i="6359"/>
  <c r="H22" i="6359"/>
  <c r="H23" i="6359"/>
  <c r="H25" i="6359"/>
  <c r="H27" i="6359"/>
  <c r="H13" i="6359"/>
  <c r="H31" i="6359"/>
  <c r="C33" i="6359"/>
  <c r="C35" i="6359"/>
  <c r="C37" i="6359"/>
  <c r="C39" i="6359"/>
  <c r="C41" i="6359"/>
  <c r="C43" i="6359"/>
  <c r="H46" i="6359"/>
  <c r="H50" i="6359"/>
  <c r="H30" i="6359"/>
  <c r="H32" i="6359"/>
  <c r="H34" i="6359"/>
  <c r="H36" i="6359"/>
  <c r="H38" i="6359"/>
  <c r="H40" i="6359"/>
  <c r="H42" i="6359"/>
  <c r="H44" i="6359"/>
  <c r="H47" i="6359"/>
  <c r="O21" i="6357" l="1"/>
  <c r="O15" i="6339"/>
  <c r="O22" i="6341" l="1"/>
  <c r="O16" i="6357"/>
  <c r="O20" i="6357"/>
  <c r="O22" i="6343"/>
  <c r="O20" i="6351" l="1"/>
  <c r="O17" i="6357"/>
  <c r="O21" i="6345" l="1"/>
  <c r="O18" i="6357"/>
  <c r="O19" i="6357"/>
  <c r="C30" i="6357"/>
  <c r="B25" i="6357"/>
  <c r="C16" i="6357"/>
  <c r="B15" i="6357"/>
  <c r="H50" i="6357" s="1"/>
  <c r="C14" i="6357"/>
  <c r="B14" i="6357"/>
  <c r="B24" i="6357" s="1"/>
  <c r="B13" i="6357"/>
  <c r="C13" i="6357" s="1"/>
  <c r="O12" i="6357"/>
  <c r="C12" i="6357"/>
  <c r="O11" i="6357"/>
  <c r="C11" i="6357"/>
  <c r="O10" i="6357"/>
  <c r="C10" i="6357"/>
  <c r="C9" i="6357"/>
  <c r="C8" i="6357"/>
  <c r="O7" i="6357"/>
  <c r="C7" i="6357"/>
  <c r="O6" i="6357"/>
  <c r="B6" i="6357"/>
  <c r="O5" i="6357"/>
  <c r="B5" i="6357"/>
  <c r="O4" i="6357"/>
  <c r="O3" i="6357"/>
  <c r="O2" i="6357"/>
  <c r="O17" i="6349"/>
  <c r="O21" i="6335"/>
  <c r="C19" i="6357" l="1"/>
  <c r="H8" i="6357"/>
  <c r="H10" i="6357"/>
  <c r="H6" i="6357"/>
  <c r="H20" i="6357"/>
  <c r="H14" i="6357"/>
  <c r="H27" i="6357"/>
  <c r="H34" i="6357"/>
  <c r="C36" i="6357"/>
  <c r="H39" i="6357"/>
  <c r="H42" i="6357"/>
  <c r="C44" i="6357"/>
  <c r="H49" i="6357"/>
  <c r="B22" i="6357"/>
  <c r="H28" i="6357"/>
  <c r="H32" i="6357"/>
  <c r="C34" i="6357"/>
  <c r="H37" i="6357"/>
  <c r="H40" i="6357"/>
  <c r="C42" i="6357"/>
  <c r="H45" i="6357"/>
  <c r="H51" i="6357"/>
  <c r="H19" i="6357"/>
  <c r="C17" i="6357"/>
  <c r="H18" i="6357"/>
  <c r="C20" i="6357"/>
  <c r="H15" i="6357"/>
  <c r="C32" i="6357"/>
  <c r="H35" i="6357"/>
  <c r="H38" i="6357"/>
  <c r="C40" i="6357"/>
  <c r="H43" i="6357"/>
  <c r="H47" i="6357"/>
  <c r="H7" i="6357"/>
  <c r="H16" i="6357"/>
  <c r="H12" i="6357"/>
  <c r="H24" i="6357"/>
  <c r="H5" i="6357"/>
  <c r="C15" i="6357"/>
  <c r="H13" i="6357"/>
  <c r="H29" i="6357"/>
  <c r="H2" i="6357"/>
  <c r="H3" i="6357"/>
  <c r="H9" i="6357"/>
  <c r="H4" i="6357"/>
  <c r="H21" i="6357"/>
  <c r="C18" i="6357"/>
  <c r="C21" i="6357"/>
  <c r="H30" i="6357"/>
  <c r="H33" i="6357"/>
  <c r="H36" i="6357"/>
  <c r="C38" i="6357"/>
  <c r="H41" i="6357"/>
  <c r="H44" i="6357"/>
  <c r="H48" i="6357"/>
  <c r="H52" i="6357"/>
  <c r="B23" i="6357"/>
  <c r="H22" i="6357"/>
  <c r="H23" i="6357"/>
  <c r="H25" i="6357"/>
  <c r="H26" i="6357"/>
  <c r="H17" i="6357"/>
  <c r="H11" i="6357"/>
  <c r="H31" i="6357"/>
  <c r="C33" i="6357"/>
  <c r="C35" i="6357"/>
  <c r="C37" i="6357"/>
  <c r="C39" i="6357"/>
  <c r="C41" i="6357"/>
  <c r="C43" i="6357"/>
  <c r="H46" i="6357"/>
  <c r="O16" i="6347" l="1"/>
  <c r="O17" i="6355"/>
  <c r="O23" i="6339"/>
  <c r="O16" i="6355"/>
  <c r="O15" i="6355"/>
  <c r="C30" i="6355"/>
  <c r="B25" i="6355"/>
  <c r="C16" i="6355"/>
  <c r="B15" i="6355"/>
  <c r="H50" i="6355" s="1"/>
  <c r="B14" i="6355"/>
  <c r="B24" i="6355" s="1"/>
  <c r="C13" i="6355"/>
  <c r="B13" i="6355"/>
  <c r="O12" i="6355"/>
  <c r="C12" i="6355"/>
  <c r="O11" i="6355"/>
  <c r="C11" i="6355"/>
  <c r="O10" i="6355"/>
  <c r="C10" i="6355"/>
  <c r="C9" i="6355"/>
  <c r="C8" i="6355"/>
  <c r="O7" i="6355"/>
  <c r="C7" i="6355"/>
  <c r="O6" i="6355"/>
  <c r="B6" i="6355"/>
  <c r="O5" i="6355"/>
  <c r="B5" i="6355"/>
  <c r="O4" i="6355"/>
  <c r="O3" i="6355"/>
  <c r="O2" i="6355"/>
  <c r="O21" i="6349"/>
  <c r="O26" i="6335"/>
  <c r="H12" i="6355" l="1"/>
  <c r="C19" i="6355"/>
  <c r="H13" i="6355"/>
  <c r="H7" i="6355"/>
  <c r="H17" i="6355"/>
  <c r="C14" i="6355"/>
  <c r="H8" i="6355"/>
  <c r="H27" i="6355"/>
  <c r="H34" i="6355"/>
  <c r="C36" i="6355"/>
  <c r="H39" i="6355"/>
  <c r="H42" i="6355"/>
  <c r="C44" i="6355"/>
  <c r="H49" i="6355"/>
  <c r="H10" i="6355"/>
  <c r="H16" i="6355"/>
  <c r="C17" i="6355"/>
  <c r="B22" i="6355"/>
  <c r="H32" i="6355"/>
  <c r="H37" i="6355"/>
  <c r="H40" i="6355"/>
  <c r="C42" i="6355"/>
  <c r="H45" i="6355"/>
  <c r="H51" i="6355"/>
  <c r="H28" i="6355"/>
  <c r="C15" i="6355"/>
  <c r="C20" i="6355"/>
  <c r="H29" i="6355"/>
  <c r="C32" i="6355"/>
  <c r="H35" i="6355"/>
  <c r="H38" i="6355"/>
  <c r="C40" i="6355"/>
  <c r="H43" i="6355"/>
  <c r="H47" i="6355"/>
  <c r="H11" i="6355"/>
  <c r="H15" i="6355"/>
  <c r="H22" i="6355"/>
  <c r="C34" i="6355"/>
  <c r="H4" i="6355"/>
  <c r="H14" i="6355"/>
  <c r="H20" i="6355"/>
  <c r="H25" i="6355"/>
  <c r="H6" i="6355"/>
  <c r="H3" i="6355"/>
  <c r="H9" i="6355"/>
  <c r="H2" i="6355"/>
  <c r="H18" i="6355"/>
  <c r="C18" i="6355"/>
  <c r="C21" i="6355"/>
  <c r="H30" i="6355"/>
  <c r="H33" i="6355"/>
  <c r="H36" i="6355"/>
  <c r="C38" i="6355"/>
  <c r="H41" i="6355"/>
  <c r="H44" i="6355"/>
  <c r="H48" i="6355"/>
  <c r="H52" i="6355"/>
  <c r="B23" i="6355"/>
  <c r="H19" i="6355"/>
  <c r="H21" i="6355"/>
  <c r="H23" i="6355"/>
  <c r="H24" i="6355"/>
  <c r="H26" i="6355"/>
  <c r="H5" i="6355"/>
  <c r="H31" i="6355"/>
  <c r="C33" i="6355"/>
  <c r="C35" i="6355"/>
  <c r="C37" i="6355"/>
  <c r="C39" i="6355"/>
  <c r="C41" i="6355"/>
  <c r="C43" i="6355"/>
  <c r="H46" i="6355"/>
  <c r="O22" i="6337" l="1"/>
  <c r="O16" i="6345"/>
  <c r="O15" i="6345" l="1"/>
  <c r="O19" i="6353"/>
  <c r="O15" i="6343" l="1"/>
  <c r="O23" i="6349"/>
  <c r="O16" i="6353" l="1"/>
  <c r="O23" i="6343"/>
  <c r="O21" i="6337" l="1"/>
  <c r="O17" i="6339"/>
  <c r="O15" i="6349"/>
  <c r="O22" i="6349"/>
  <c r="O19" i="6347" l="1"/>
  <c r="O18" i="6351"/>
  <c r="O18" i="6341" l="1"/>
  <c r="O17" i="6347"/>
  <c r="O18" i="6349"/>
  <c r="O20" i="6349"/>
  <c r="O16" i="6337" l="1"/>
  <c r="O16" i="6351"/>
  <c r="O19" i="6351"/>
  <c r="O18" i="6343"/>
  <c r="O20" i="6341" l="1"/>
  <c r="O20" i="6345"/>
  <c r="O23" i="6345" l="1"/>
  <c r="O22" i="6339"/>
  <c r="O25" i="6349"/>
  <c r="O17" i="6353"/>
  <c r="O15" i="6353"/>
  <c r="O21" i="6351"/>
  <c r="O15" i="6341" l="1"/>
  <c r="O21" i="6341"/>
  <c r="O18" i="6353"/>
  <c r="O20" i="6353"/>
  <c r="C30" i="6353"/>
  <c r="B25" i="6353"/>
  <c r="C16" i="6353"/>
  <c r="B15" i="6353"/>
  <c r="H51" i="6353" s="1"/>
  <c r="B14" i="6353"/>
  <c r="C14" i="6353" s="1"/>
  <c r="B13" i="6353"/>
  <c r="C13" i="6353" s="1"/>
  <c r="O12" i="6353"/>
  <c r="C12" i="6353"/>
  <c r="O11" i="6353"/>
  <c r="C11" i="6353"/>
  <c r="O10" i="6353"/>
  <c r="C10" i="6353"/>
  <c r="C9" i="6353"/>
  <c r="C8" i="6353"/>
  <c r="O7" i="6353"/>
  <c r="C7" i="6353"/>
  <c r="O6" i="6353"/>
  <c r="B6" i="6353"/>
  <c r="O5" i="6353"/>
  <c r="B5" i="6353"/>
  <c r="O4" i="6353"/>
  <c r="O3" i="6353"/>
  <c r="O2" i="6353"/>
  <c r="O21" i="6347"/>
  <c r="O15" i="6347"/>
  <c r="O16" i="6335"/>
  <c r="H14" i="6353" l="1"/>
  <c r="H7" i="6353"/>
  <c r="H5" i="6353"/>
  <c r="H19" i="6353"/>
  <c r="H11" i="6353"/>
  <c r="C42" i="6353"/>
  <c r="H10" i="6353"/>
  <c r="H3" i="6353"/>
  <c r="H2" i="6353"/>
  <c r="C18" i="6353"/>
  <c r="C34" i="6353"/>
  <c r="B24" i="6353"/>
  <c r="H35" i="6353"/>
  <c r="C19" i="6353"/>
  <c r="H8" i="6353"/>
  <c r="H20" i="6353"/>
  <c r="C21" i="6353"/>
  <c r="H30" i="6353"/>
  <c r="C38" i="6353"/>
  <c r="H48" i="6353"/>
  <c r="H39" i="6353"/>
  <c r="H43" i="6353"/>
  <c r="H49" i="6353"/>
  <c r="H23" i="6353"/>
  <c r="H27" i="6353"/>
  <c r="C32" i="6353"/>
  <c r="C36" i="6353"/>
  <c r="C40" i="6353"/>
  <c r="C44" i="6353"/>
  <c r="H6" i="6353"/>
  <c r="H12" i="6353"/>
  <c r="H17" i="6353"/>
  <c r="H18" i="6353"/>
  <c r="C17" i="6353"/>
  <c r="B22" i="6353"/>
  <c r="H4" i="6353"/>
  <c r="H16" i="6353"/>
  <c r="B23" i="6353"/>
  <c r="C15" i="6353"/>
  <c r="H13" i="6353"/>
  <c r="C20" i="6353"/>
  <c r="H26" i="6353"/>
  <c r="H28" i="6353"/>
  <c r="H33" i="6353"/>
  <c r="H37" i="6353"/>
  <c r="H41" i="6353"/>
  <c r="H45" i="6353"/>
  <c r="H52" i="6353"/>
  <c r="H21" i="6353"/>
  <c r="H22" i="6353"/>
  <c r="H24" i="6353"/>
  <c r="H25" i="6353"/>
  <c r="H15" i="6353"/>
  <c r="H9" i="6353"/>
  <c r="H31" i="6353"/>
  <c r="C33" i="6353"/>
  <c r="C35" i="6353"/>
  <c r="C37" i="6353"/>
  <c r="C39" i="6353"/>
  <c r="C41" i="6353"/>
  <c r="C43" i="6353"/>
  <c r="H46" i="6353"/>
  <c r="H50" i="6353"/>
  <c r="H29" i="6353"/>
  <c r="H32" i="6353"/>
  <c r="H34" i="6353"/>
  <c r="H36" i="6353"/>
  <c r="H38" i="6353"/>
  <c r="H40" i="6353"/>
  <c r="H42" i="6353"/>
  <c r="H44" i="6353"/>
  <c r="H47" i="6353"/>
  <c r="O18" i="6339" l="1"/>
  <c r="O20" i="6343"/>
  <c r="O21" i="6339" l="1"/>
  <c r="O22" i="6347"/>
  <c r="O24" i="6347"/>
  <c r="O18" i="6337"/>
  <c r="O17" i="6341"/>
  <c r="O17" i="6343"/>
  <c r="O21" i="6343"/>
  <c r="O17" i="6337"/>
  <c r="O16" i="6341"/>
  <c r="O16" i="6339"/>
  <c r="O22" i="6351"/>
  <c r="O23" i="6351"/>
  <c r="O19" i="6345" l="1"/>
  <c r="O17" i="6345"/>
  <c r="O15" i="6351"/>
  <c r="O17" i="6351"/>
  <c r="C30" i="6351"/>
  <c r="B25" i="6351"/>
  <c r="C16" i="6351"/>
  <c r="B15" i="6351"/>
  <c r="H51" i="6351" s="1"/>
  <c r="B14" i="6351"/>
  <c r="C14" i="6351" s="1"/>
  <c r="B13" i="6351"/>
  <c r="C13" i="6351" s="1"/>
  <c r="O12" i="6351"/>
  <c r="C12" i="6351"/>
  <c r="O11" i="6351"/>
  <c r="C11" i="6351"/>
  <c r="O10" i="6351"/>
  <c r="C10" i="6351"/>
  <c r="C9" i="6351"/>
  <c r="C8" i="6351"/>
  <c r="O7" i="6351"/>
  <c r="C7" i="6351"/>
  <c r="O6" i="6351"/>
  <c r="B6" i="6351"/>
  <c r="O5" i="6351"/>
  <c r="B5" i="6351"/>
  <c r="O4" i="6351"/>
  <c r="O3" i="6351"/>
  <c r="O2" i="6351"/>
  <c r="O17" i="6335"/>
  <c r="O19" i="6349"/>
  <c r="O24" i="6349"/>
  <c r="C30" i="6349"/>
  <c r="B25" i="6349"/>
  <c r="C16" i="6349"/>
  <c r="B15" i="6349"/>
  <c r="H51" i="6349" s="1"/>
  <c r="B14" i="6349"/>
  <c r="B24" i="6349" s="1"/>
  <c r="B13" i="6349"/>
  <c r="C13" i="6349" s="1"/>
  <c r="O12" i="6349"/>
  <c r="C12" i="6349"/>
  <c r="O11" i="6349"/>
  <c r="C11" i="6349"/>
  <c r="O10" i="6349"/>
  <c r="C10" i="6349"/>
  <c r="C9" i="6349"/>
  <c r="C8" i="6349"/>
  <c r="O7" i="6349"/>
  <c r="C7" i="6349"/>
  <c r="O6" i="6349"/>
  <c r="B6" i="6349"/>
  <c r="O5" i="6349"/>
  <c r="B5" i="6349"/>
  <c r="O4" i="6349"/>
  <c r="O3" i="6349"/>
  <c r="O2" i="6349"/>
  <c r="O20" i="6335"/>
  <c r="C14" i="6349" l="1"/>
  <c r="H12" i="6349"/>
  <c r="H52" i="6349"/>
  <c r="H3" i="6349"/>
  <c r="H11" i="6351"/>
  <c r="H9" i="6351"/>
  <c r="H4" i="6351"/>
  <c r="H22" i="6351"/>
  <c r="H16" i="6351"/>
  <c r="C17" i="6351"/>
  <c r="B22" i="6351"/>
  <c r="H33" i="6351"/>
  <c r="H38" i="6351"/>
  <c r="H20" i="6351"/>
  <c r="B23" i="6351"/>
  <c r="H8" i="6351"/>
  <c r="H23" i="6351"/>
  <c r="C19" i="6351"/>
  <c r="H15" i="6351"/>
  <c r="H19" i="6351"/>
  <c r="H35" i="6351"/>
  <c r="C36" i="6351"/>
  <c r="H40" i="6351"/>
  <c r="H43" i="6351"/>
  <c r="C44" i="6351"/>
  <c r="H50" i="6351"/>
  <c r="H17" i="6351"/>
  <c r="H29" i="6351"/>
  <c r="C34" i="6351"/>
  <c r="H41" i="6351"/>
  <c r="C42" i="6351"/>
  <c r="H46" i="6351"/>
  <c r="H7" i="6351"/>
  <c r="H21" i="6351"/>
  <c r="C15" i="6351"/>
  <c r="H25" i="6351"/>
  <c r="C20" i="6351"/>
  <c r="H18" i="6351"/>
  <c r="H30" i="6351"/>
  <c r="C32" i="6351"/>
  <c r="H36" i="6351"/>
  <c r="H39" i="6351"/>
  <c r="C40" i="6351"/>
  <c r="H44" i="6351"/>
  <c r="H48" i="6351"/>
  <c r="H5" i="6351"/>
  <c r="H3" i="6351"/>
  <c r="H2" i="6351"/>
  <c r="H10" i="6351"/>
  <c r="H6" i="6351"/>
  <c r="H24" i="6351"/>
  <c r="C18" i="6351"/>
  <c r="C21" i="6351"/>
  <c r="H31" i="6351"/>
  <c r="H34" i="6351"/>
  <c r="H37" i="6351"/>
  <c r="C38" i="6351"/>
  <c r="H42" i="6351"/>
  <c r="H45" i="6351"/>
  <c r="H49" i="6351"/>
  <c r="H52" i="6351"/>
  <c r="B24" i="6351"/>
  <c r="H13" i="6351"/>
  <c r="H26" i="6351"/>
  <c r="H27" i="6351"/>
  <c r="H28" i="6351"/>
  <c r="H14" i="6351"/>
  <c r="H12" i="6351"/>
  <c r="H32" i="6351"/>
  <c r="C33" i="6351"/>
  <c r="C35" i="6351"/>
  <c r="C37" i="6351"/>
  <c r="C39" i="6351"/>
  <c r="C41" i="6351"/>
  <c r="C43" i="6351"/>
  <c r="H47" i="6351"/>
  <c r="H16" i="6349"/>
  <c r="H9" i="6349"/>
  <c r="H10" i="6349"/>
  <c r="H6" i="6349"/>
  <c r="C38" i="6349"/>
  <c r="C18" i="6349"/>
  <c r="H42" i="6349"/>
  <c r="H45" i="6349"/>
  <c r="C21" i="6349"/>
  <c r="H35" i="6349"/>
  <c r="H4" i="6349"/>
  <c r="H2" i="6349"/>
  <c r="H11" i="6349"/>
  <c r="H17" i="6349"/>
  <c r="H24" i="6349"/>
  <c r="H26" i="6349"/>
  <c r="H37" i="6349"/>
  <c r="H49" i="6349"/>
  <c r="H25" i="6349"/>
  <c r="C19" i="6349"/>
  <c r="H13" i="6349"/>
  <c r="H31" i="6349"/>
  <c r="H21" i="6349"/>
  <c r="C36" i="6349"/>
  <c r="H40" i="6349"/>
  <c r="H43" i="6349"/>
  <c r="C44" i="6349"/>
  <c r="H50" i="6349"/>
  <c r="C17" i="6349"/>
  <c r="H14" i="6349"/>
  <c r="B22" i="6349"/>
  <c r="H32" i="6349"/>
  <c r="H34" i="6349"/>
  <c r="C34" i="6349"/>
  <c r="H38" i="6349"/>
  <c r="H41" i="6349"/>
  <c r="C42" i="6349"/>
  <c r="H46" i="6349"/>
  <c r="H22" i="6349"/>
  <c r="H7" i="6349"/>
  <c r="H23" i="6349"/>
  <c r="C15" i="6349"/>
  <c r="H19" i="6349"/>
  <c r="C20" i="6349"/>
  <c r="H30" i="6349"/>
  <c r="H33" i="6349"/>
  <c r="C32" i="6349"/>
  <c r="H36" i="6349"/>
  <c r="H39" i="6349"/>
  <c r="C40" i="6349"/>
  <c r="H44" i="6349"/>
  <c r="H48" i="6349"/>
  <c r="H5" i="6349"/>
  <c r="B23" i="6349"/>
  <c r="H18" i="6349"/>
  <c r="H27" i="6349"/>
  <c r="H28" i="6349"/>
  <c r="H29" i="6349"/>
  <c r="H15" i="6349"/>
  <c r="H8" i="6349"/>
  <c r="H20" i="6349"/>
  <c r="C33" i="6349"/>
  <c r="C35" i="6349"/>
  <c r="C37" i="6349"/>
  <c r="C39" i="6349"/>
  <c r="C41" i="6349"/>
  <c r="C43" i="6349"/>
  <c r="H47" i="6349"/>
  <c r="O23" i="6347" l="1"/>
  <c r="O18" i="6347"/>
  <c r="C30" i="6347"/>
  <c r="B25" i="6347"/>
  <c r="C16" i="6347"/>
  <c r="B15" i="6347"/>
  <c r="H51" i="6347" s="1"/>
  <c r="B14" i="6347"/>
  <c r="B24" i="6347" s="1"/>
  <c r="B13" i="6347"/>
  <c r="C13" i="6347" s="1"/>
  <c r="O12" i="6347"/>
  <c r="C12" i="6347"/>
  <c r="O11" i="6347"/>
  <c r="C11" i="6347"/>
  <c r="O10" i="6347"/>
  <c r="C10" i="6347"/>
  <c r="C9" i="6347"/>
  <c r="C8" i="6347"/>
  <c r="O7" i="6347"/>
  <c r="C7" i="6347"/>
  <c r="O6" i="6347"/>
  <c r="B6" i="6347"/>
  <c r="O5" i="6347"/>
  <c r="B5" i="6347"/>
  <c r="O4" i="6347"/>
  <c r="O3" i="6347"/>
  <c r="O2" i="6347"/>
  <c r="O22" i="6345"/>
  <c r="O18" i="6345"/>
  <c r="C30" i="6345"/>
  <c r="B25" i="6345"/>
  <c r="C16" i="6345"/>
  <c r="B15" i="6345"/>
  <c r="H51" i="6345" s="1"/>
  <c r="B14" i="6345"/>
  <c r="B24" i="6345" s="1"/>
  <c r="B13" i="6345"/>
  <c r="C13" i="6345" s="1"/>
  <c r="O12" i="6345"/>
  <c r="C12" i="6345"/>
  <c r="O11" i="6345"/>
  <c r="C11" i="6345"/>
  <c r="O10" i="6345"/>
  <c r="C10" i="6345"/>
  <c r="C9" i="6345"/>
  <c r="C8" i="6345"/>
  <c r="O7" i="6345"/>
  <c r="C7" i="6345"/>
  <c r="O6" i="6345"/>
  <c r="B6" i="6345"/>
  <c r="O5" i="6345"/>
  <c r="B5" i="6345"/>
  <c r="O4" i="6345"/>
  <c r="O3" i="6345"/>
  <c r="O2" i="6345"/>
  <c r="O18" i="6335"/>
  <c r="O19" i="6343"/>
  <c r="O16" i="6343"/>
  <c r="C30" i="6343"/>
  <c r="B25" i="6343"/>
  <c r="C16" i="6343"/>
  <c r="B15" i="6343"/>
  <c r="H18" i="6343" s="1"/>
  <c r="B14" i="6343"/>
  <c r="B24" i="6343" s="1"/>
  <c r="B13" i="6343"/>
  <c r="C13" i="6343" s="1"/>
  <c r="O12" i="6343"/>
  <c r="C12" i="6343"/>
  <c r="O11" i="6343"/>
  <c r="C11" i="6343"/>
  <c r="O10" i="6343"/>
  <c r="C10" i="6343"/>
  <c r="C9" i="6343"/>
  <c r="C8" i="6343"/>
  <c r="O7" i="6343"/>
  <c r="C7" i="6343"/>
  <c r="O6" i="6343"/>
  <c r="B6" i="6343"/>
  <c r="O5" i="6343"/>
  <c r="B5" i="6343"/>
  <c r="O4" i="6343"/>
  <c r="O3" i="6343"/>
  <c r="O2" i="6343"/>
  <c r="O22" i="6335"/>
  <c r="O24" i="6335"/>
  <c r="C34" i="6343" l="1"/>
  <c r="C18" i="6343"/>
  <c r="C14" i="6345"/>
  <c r="C14" i="6343"/>
  <c r="H24" i="6343"/>
  <c r="H2" i="6343"/>
  <c r="H3" i="6343"/>
  <c r="H10" i="6343"/>
  <c r="H8" i="6343"/>
  <c r="H4" i="6343"/>
  <c r="C42" i="6343"/>
  <c r="C19" i="6343"/>
  <c r="H36" i="6343"/>
  <c r="H23" i="6343"/>
  <c r="H19" i="6343"/>
  <c r="H14" i="6343"/>
  <c r="C21" i="6343"/>
  <c r="H21" i="6343"/>
  <c r="C38" i="6343"/>
  <c r="H6" i="6343"/>
  <c r="H25" i="6343"/>
  <c r="H9" i="6343"/>
  <c r="H12" i="6343"/>
  <c r="H40" i="6343"/>
  <c r="C14" i="6347"/>
  <c r="H7" i="6347"/>
  <c r="H11" i="6347"/>
  <c r="H28" i="6347"/>
  <c r="H9" i="6347"/>
  <c r="H29" i="6347"/>
  <c r="C19" i="6347"/>
  <c r="H14" i="6347"/>
  <c r="H26" i="6347"/>
  <c r="H36" i="6347"/>
  <c r="C36" i="6347"/>
  <c r="H41" i="6347"/>
  <c r="H43" i="6347"/>
  <c r="C44" i="6347"/>
  <c r="H50" i="6347"/>
  <c r="B22" i="6347"/>
  <c r="C34" i="6347"/>
  <c r="H46" i="6347"/>
  <c r="H6" i="6347"/>
  <c r="H18" i="6347"/>
  <c r="H15" i="6347"/>
  <c r="C20" i="6347"/>
  <c r="H34" i="6347"/>
  <c r="C32" i="6347"/>
  <c r="H37" i="6347"/>
  <c r="H40" i="6347"/>
  <c r="C40" i="6347"/>
  <c r="H44" i="6347"/>
  <c r="H48" i="6347"/>
  <c r="H5" i="6347"/>
  <c r="H10" i="6347"/>
  <c r="H25" i="6347"/>
  <c r="H23" i="6347"/>
  <c r="C17" i="6347"/>
  <c r="H19" i="6347"/>
  <c r="H24" i="6347"/>
  <c r="H27" i="6347"/>
  <c r="H39" i="6347"/>
  <c r="C42" i="6347"/>
  <c r="H17" i="6347"/>
  <c r="C15" i="6347"/>
  <c r="H21" i="6347"/>
  <c r="H4" i="6347"/>
  <c r="H2" i="6347"/>
  <c r="H12" i="6347"/>
  <c r="H3" i="6347"/>
  <c r="H30" i="6347"/>
  <c r="C18" i="6347"/>
  <c r="C21" i="6347"/>
  <c r="H20" i="6347"/>
  <c r="H35" i="6347"/>
  <c r="H38" i="6347"/>
  <c r="C38" i="6347"/>
  <c r="H42" i="6347"/>
  <c r="H45" i="6347"/>
  <c r="H49" i="6347"/>
  <c r="H52" i="6347"/>
  <c r="B23" i="6347"/>
  <c r="H16" i="6347"/>
  <c r="H31" i="6347"/>
  <c r="H32" i="6347"/>
  <c r="H33" i="6347"/>
  <c r="H13" i="6347"/>
  <c r="H8" i="6347"/>
  <c r="H22" i="6347"/>
  <c r="C33" i="6347"/>
  <c r="C35" i="6347"/>
  <c r="C37" i="6347"/>
  <c r="C39" i="6347"/>
  <c r="C41" i="6347"/>
  <c r="C43" i="6347"/>
  <c r="H47" i="6347"/>
  <c r="H6" i="6345"/>
  <c r="H10" i="6345"/>
  <c r="H12" i="6345"/>
  <c r="H30" i="6345"/>
  <c r="H20" i="6345"/>
  <c r="H9" i="6345"/>
  <c r="H31" i="6345"/>
  <c r="C20" i="6345"/>
  <c r="H37" i="6345"/>
  <c r="C40" i="6345"/>
  <c r="H48" i="6345"/>
  <c r="H34" i="6345"/>
  <c r="C32" i="6345"/>
  <c r="H42" i="6345"/>
  <c r="H5" i="6345"/>
  <c r="H23" i="6345"/>
  <c r="C18" i="6345"/>
  <c r="H15" i="6345"/>
  <c r="H35" i="6345"/>
  <c r="H39" i="6345"/>
  <c r="H44" i="6345"/>
  <c r="H7" i="6345"/>
  <c r="H24" i="6345"/>
  <c r="C21" i="6345"/>
  <c r="H29" i="6345"/>
  <c r="H49" i="6345"/>
  <c r="C15" i="6345"/>
  <c r="H25" i="6345"/>
  <c r="H4" i="6345"/>
  <c r="H2" i="6345"/>
  <c r="H11" i="6345"/>
  <c r="H3" i="6345"/>
  <c r="H26" i="6345"/>
  <c r="C19" i="6345"/>
  <c r="H22" i="6345"/>
  <c r="H16" i="6345"/>
  <c r="H36" i="6345"/>
  <c r="C38" i="6345"/>
  <c r="H45" i="6345"/>
  <c r="H52" i="6345"/>
  <c r="C36" i="6345"/>
  <c r="H40" i="6345"/>
  <c r="H43" i="6345"/>
  <c r="C44" i="6345"/>
  <c r="H50" i="6345"/>
  <c r="C17" i="6345"/>
  <c r="H18" i="6345"/>
  <c r="B22" i="6345"/>
  <c r="H27" i="6345"/>
  <c r="H28" i="6345"/>
  <c r="C34" i="6345"/>
  <c r="H38" i="6345"/>
  <c r="H41" i="6345"/>
  <c r="C42" i="6345"/>
  <c r="H46" i="6345"/>
  <c r="H13" i="6345"/>
  <c r="B23" i="6345"/>
  <c r="H19" i="6345"/>
  <c r="H32" i="6345"/>
  <c r="H33" i="6345"/>
  <c r="H21" i="6345"/>
  <c r="H14" i="6345"/>
  <c r="H8" i="6345"/>
  <c r="H17" i="6345"/>
  <c r="C33" i="6345"/>
  <c r="C35" i="6345"/>
  <c r="C37" i="6345"/>
  <c r="C39" i="6345"/>
  <c r="C41" i="6345"/>
  <c r="C43" i="6345"/>
  <c r="H47" i="6345"/>
  <c r="H49" i="6343"/>
  <c r="H44" i="6343"/>
  <c r="H50" i="6343"/>
  <c r="C17" i="6343"/>
  <c r="H17" i="6343"/>
  <c r="B22" i="6343"/>
  <c r="H29" i="6343"/>
  <c r="C32" i="6343"/>
  <c r="C36" i="6343"/>
  <c r="C40" i="6343"/>
  <c r="C44" i="6343"/>
  <c r="H5" i="6343"/>
  <c r="H7" i="6343"/>
  <c r="H22" i="6343"/>
  <c r="B23" i="6343"/>
  <c r="C15" i="6343"/>
  <c r="H16" i="6343"/>
  <c r="C20" i="6343"/>
  <c r="H20" i="6343"/>
  <c r="H30" i="6343"/>
  <c r="H34" i="6343"/>
  <c r="H38" i="6343"/>
  <c r="H42" i="6343"/>
  <c r="H46" i="6343"/>
  <c r="H52" i="6343"/>
  <c r="H15" i="6343"/>
  <c r="H26" i="6343"/>
  <c r="H27" i="6343"/>
  <c r="H28" i="6343"/>
  <c r="H13" i="6343"/>
  <c r="H11" i="6343"/>
  <c r="H32" i="6343"/>
  <c r="C33" i="6343"/>
  <c r="C35" i="6343"/>
  <c r="C37" i="6343"/>
  <c r="C39" i="6343"/>
  <c r="C41" i="6343"/>
  <c r="C43" i="6343"/>
  <c r="H47" i="6343"/>
  <c r="H51" i="6343"/>
  <c r="H31" i="6343"/>
  <c r="H33" i="6343"/>
  <c r="H35" i="6343"/>
  <c r="H37" i="6343"/>
  <c r="H39" i="6343"/>
  <c r="H41" i="6343"/>
  <c r="H43" i="6343"/>
  <c r="H45" i="6343"/>
  <c r="H48" i="6343"/>
  <c r="O23" i="6341" l="1"/>
  <c r="O19" i="6341"/>
  <c r="C30" i="6341"/>
  <c r="B25" i="6341"/>
  <c r="C16" i="6341"/>
  <c r="B15" i="6341"/>
  <c r="H52" i="6341" s="1"/>
  <c r="B14" i="6341"/>
  <c r="B24" i="6341" s="1"/>
  <c r="B13" i="6341"/>
  <c r="C13" i="6341" s="1"/>
  <c r="O12" i="6341"/>
  <c r="C12" i="6341"/>
  <c r="O11" i="6341"/>
  <c r="C11" i="6341"/>
  <c r="O10" i="6341"/>
  <c r="C10" i="6341"/>
  <c r="C9" i="6341"/>
  <c r="C8" i="6341"/>
  <c r="O7" i="6341"/>
  <c r="C7" i="6341"/>
  <c r="O6" i="6341"/>
  <c r="B6" i="6341"/>
  <c r="O5" i="6341"/>
  <c r="B5" i="6341"/>
  <c r="O4" i="6341"/>
  <c r="O3" i="6341"/>
  <c r="O2" i="6341"/>
  <c r="O19" i="6339"/>
  <c r="O20" i="6339"/>
  <c r="C30" i="6339"/>
  <c r="B25" i="6339"/>
  <c r="C16" i="6339"/>
  <c r="B15" i="6339"/>
  <c r="H51" i="6339" s="1"/>
  <c r="B14" i="6339"/>
  <c r="C14" i="6339" s="1"/>
  <c r="B13" i="6339"/>
  <c r="C13" i="6339" s="1"/>
  <c r="O12" i="6339"/>
  <c r="C12" i="6339"/>
  <c r="O11" i="6339"/>
  <c r="C11" i="6339"/>
  <c r="O10" i="6339"/>
  <c r="C10" i="6339"/>
  <c r="C9" i="6339"/>
  <c r="C8" i="6339"/>
  <c r="O7" i="6339"/>
  <c r="C7" i="6339"/>
  <c r="O6" i="6339"/>
  <c r="B6" i="6339"/>
  <c r="O5" i="6339"/>
  <c r="B5" i="6339"/>
  <c r="O4" i="6339"/>
  <c r="O3" i="6339"/>
  <c r="O2" i="6339"/>
  <c r="O19" i="6335"/>
  <c r="O19" i="6337"/>
  <c r="O20" i="6337"/>
  <c r="C30" i="6337"/>
  <c r="B25" i="6337"/>
  <c r="C16" i="6337"/>
  <c r="B15" i="6337"/>
  <c r="H50" i="6337" s="1"/>
  <c r="B14" i="6337"/>
  <c r="B24" i="6337" s="1"/>
  <c r="B13" i="6337"/>
  <c r="C13" i="6337" s="1"/>
  <c r="O12" i="6337"/>
  <c r="C12" i="6337"/>
  <c r="O11" i="6337"/>
  <c r="C11" i="6337"/>
  <c r="O10" i="6337"/>
  <c r="C10" i="6337"/>
  <c r="C9" i="6337"/>
  <c r="C8" i="6337"/>
  <c r="O7" i="6337"/>
  <c r="C7" i="6337"/>
  <c r="O6" i="6337"/>
  <c r="B6" i="6337"/>
  <c r="O5" i="6337"/>
  <c r="B5" i="6337"/>
  <c r="O4" i="6337"/>
  <c r="O3" i="6337"/>
  <c r="O2" i="6337"/>
  <c r="O23" i="6335"/>
  <c r="O25" i="6335"/>
  <c r="C30" i="6335"/>
  <c r="B25" i="6335"/>
  <c r="C16" i="6335"/>
  <c r="B15" i="6335"/>
  <c r="H51" i="6335" s="1"/>
  <c r="B14" i="6335"/>
  <c r="B24" i="6335" s="1"/>
  <c r="B13" i="6335"/>
  <c r="C13" i="6335" s="1"/>
  <c r="O12" i="6335"/>
  <c r="C12" i="6335"/>
  <c r="O11" i="6335"/>
  <c r="C11" i="6335"/>
  <c r="O10" i="6335"/>
  <c r="C10" i="6335"/>
  <c r="C9" i="6335"/>
  <c r="C8" i="6335"/>
  <c r="O7" i="6335"/>
  <c r="C7" i="6335"/>
  <c r="O6" i="6335"/>
  <c r="B6" i="6335"/>
  <c r="O5" i="6335"/>
  <c r="B5" i="6335"/>
  <c r="O4" i="6335"/>
  <c r="O3" i="6335"/>
  <c r="O2" i="6335"/>
  <c r="H11" i="6341" l="1"/>
  <c r="H12" i="6341"/>
  <c r="H13" i="6337"/>
  <c r="H11" i="6337"/>
  <c r="H27" i="6337"/>
  <c r="C14" i="6337"/>
  <c r="C14" i="6341"/>
  <c r="C15" i="6341"/>
  <c r="H6" i="6341"/>
  <c r="H21" i="6341"/>
  <c r="H8" i="6337"/>
  <c r="H9" i="6337"/>
  <c r="H22" i="6341"/>
  <c r="H15" i="6341"/>
  <c r="H30" i="6341"/>
  <c r="H13" i="6341"/>
  <c r="H20" i="6341"/>
  <c r="C35" i="6341"/>
  <c r="C37" i="6341"/>
  <c r="C41" i="6341"/>
  <c r="C43" i="6341"/>
  <c r="H51" i="6341"/>
  <c r="C42" i="6341"/>
  <c r="H29" i="6341"/>
  <c r="H25" i="6341"/>
  <c r="H9" i="6341"/>
  <c r="C33" i="6341"/>
  <c r="C39" i="6341"/>
  <c r="H47" i="6341"/>
  <c r="H7" i="6341"/>
  <c r="H23" i="6341"/>
  <c r="C17" i="6341"/>
  <c r="C19" i="6341"/>
  <c r="C21" i="6341"/>
  <c r="B23" i="6341"/>
  <c r="H26" i="6341"/>
  <c r="H34" i="6341"/>
  <c r="H27" i="6341"/>
  <c r="H37" i="6341"/>
  <c r="H39" i="6341"/>
  <c r="H41" i="6341"/>
  <c r="H43" i="6341"/>
  <c r="H45" i="6341"/>
  <c r="H48" i="6341"/>
  <c r="H19" i="6341"/>
  <c r="H5" i="6341"/>
  <c r="H2" i="6341"/>
  <c r="H10" i="6341"/>
  <c r="H3" i="6341"/>
  <c r="H24" i="6341"/>
  <c r="H18" i="6341"/>
  <c r="H17" i="6341"/>
  <c r="H14" i="6341"/>
  <c r="H31" i="6341"/>
  <c r="H32" i="6341"/>
  <c r="H16" i="6341"/>
  <c r="C32" i="6341"/>
  <c r="C34" i="6341"/>
  <c r="C36" i="6341"/>
  <c r="C38" i="6341"/>
  <c r="C40" i="6341"/>
  <c r="C44" i="6341"/>
  <c r="H49" i="6341"/>
  <c r="H4" i="6341"/>
  <c r="H8" i="6341"/>
  <c r="H28" i="6341"/>
  <c r="C18" i="6341"/>
  <c r="C20" i="6341"/>
  <c r="B22" i="6341"/>
  <c r="H33" i="6341"/>
  <c r="H35" i="6341"/>
  <c r="H36" i="6341"/>
  <c r="H38" i="6341"/>
  <c r="H40" i="6341"/>
  <c r="H42" i="6341"/>
  <c r="H44" i="6341"/>
  <c r="H46" i="6341"/>
  <c r="H50" i="6341"/>
  <c r="C14" i="6335"/>
  <c r="H10" i="6335"/>
  <c r="H16" i="6339"/>
  <c r="H25" i="6339"/>
  <c r="H17" i="6339"/>
  <c r="H4" i="6339"/>
  <c r="H23" i="6339"/>
  <c r="H9" i="6339"/>
  <c r="H32" i="6339"/>
  <c r="C19" i="6339"/>
  <c r="H14" i="6339"/>
  <c r="H28" i="6339"/>
  <c r="H27" i="6339"/>
  <c r="C36" i="6339"/>
  <c r="H41" i="6339"/>
  <c r="H44" i="6339"/>
  <c r="C44" i="6339"/>
  <c r="H50" i="6339"/>
  <c r="H10" i="6339"/>
  <c r="H6" i="6339"/>
  <c r="H11" i="6339"/>
  <c r="H20" i="6339"/>
  <c r="C17" i="6339"/>
  <c r="B22" i="6339"/>
  <c r="H26" i="6339"/>
  <c r="H35" i="6339"/>
  <c r="C34" i="6339"/>
  <c r="H39" i="6339"/>
  <c r="H42" i="6339"/>
  <c r="C42" i="6339"/>
  <c r="H30" i="6339"/>
  <c r="H7" i="6339"/>
  <c r="H31" i="6339"/>
  <c r="B23" i="6339"/>
  <c r="C15" i="6339"/>
  <c r="H21" i="6339"/>
  <c r="C20" i="6339"/>
  <c r="H22" i="6339"/>
  <c r="H29" i="6339"/>
  <c r="C32" i="6339"/>
  <c r="H37" i="6339"/>
  <c r="H40" i="6339"/>
  <c r="C40" i="6339"/>
  <c r="H45" i="6339"/>
  <c r="H48" i="6339"/>
  <c r="H5" i="6339"/>
  <c r="H2" i="6339"/>
  <c r="H13" i="6339"/>
  <c r="H3" i="6339"/>
  <c r="C18" i="6339"/>
  <c r="C21" i="6339"/>
  <c r="H18" i="6339"/>
  <c r="H36" i="6339"/>
  <c r="H38" i="6339"/>
  <c r="C38" i="6339"/>
  <c r="H43" i="6339"/>
  <c r="H46" i="6339"/>
  <c r="H49" i="6339"/>
  <c r="H52" i="6339"/>
  <c r="B24" i="6339"/>
  <c r="H15" i="6339"/>
  <c r="H33" i="6339"/>
  <c r="H34" i="6339"/>
  <c r="H24" i="6339"/>
  <c r="H12" i="6339"/>
  <c r="H8" i="6339"/>
  <c r="H19" i="6339"/>
  <c r="C33" i="6339"/>
  <c r="C35" i="6339"/>
  <c r="C37" i="6339"/>
  <c r="C39" i="6339"/>
  <c r="C41" i="6339"/>
  <c r="C43" i="6339"/>
  <c r="H47" i="6339"/>
  <c r="H25" i="6337"/>
  <c r="H5" i="6337"/>
  <c r="C19" i="6337"/>
  <c r="H34" i="6337"/>
  <c r="C36" i="6337"/>
  <c r="H39" i="6337"/>
  <c r="H42" i="6337"/>
  <c r="C44" i="6337"/>
  <c r="H49" i="6337"/>
  <c r="C17" i="6337"/>
  <c r="H14" i="6337"/>
  <c r="B22" i="6337"/>
  <c r="H21" i="6337"/>
  <c r="H22" i="6337"/>
  <c r="C34" i="6337"/>
  <c r="H37" i="6337"/>
  <c r="H40" i="6337"/>
  <c r="C42" i="6337"/>
  <c r="H45" i="6337"/>
  <c r="H51" i="6337"/>
  <c r="C15" i="6337"/>
  <c r="C20" i="6337"/>
  <c r="H30" i="6337"/>
  <c r="H31" i="6337"/>
  <c r="C32" i="6337"/>
  <c r="H35" i="6337"/>
  <c r="H38" i="6337"/>
  <c r="C40" i="6337"/>
  <c r="H43" i="6337"/>
  <c r="H47" i="6337"/>
  <c r="H4" i="6337"/>
  <c r="H18" i="6337"/>
  <c r="H19" i="6337"/>
  <c r="H7" i="6337"/>
  <c r="H26" i="6337"/>
  <c r="H16" i="6337"/>
  <c r="H6" i="6337"/>
  <c r="H2" i="6337"/>
  <c r="H10" i="6337"/>
  <c r="H3" i="6337"/>
  <c r="H23" i="6337"/>
  <c r="C18" i="6337"/>
  <c r="C21" i="6337"/>
  <c r="H17" i="6337"/>
  <c r="H33" i="6337"/>
  <c r="H36" i="6337"/>
  <c r="C38" i="6337"/>
  <c r="H41" i="6337"/>
  <c r="H44" i="6337"/>
  <c r="H48" i="6337"/>
  <c r="H52" i="6337"/>
  <c r="B23" i="6337"/>
  <c r="H20" i="6337"/>
  <c r="H28" i="6337"/>
  <c r="H29" i="6337"/>
  <c r="H24" i="6337"/>
  <c r="H15" i="6337"/>
  <c r="H12" i="6337"/>
  <c r="H32" i="6337"/>
  <c r="C33" i="6337"/>
  <c r="C35" i="6337"/>
  <c r="C37" i="6337"/>
  <c r="C39" i="6337"/>
  <c r="C41" i="6337"/>
  <c r="C43" i="6337"/>
  <c r="H46" i="6337"/>
  <c r="H12" i="6335"/>
  <c r="H8" i="6335"/>
  <c r="H6" i="6335"/>
  <c r="H35" i="6335"/>
  <c r="C19" i="6335"/>
  <c r="H14" i="6335"/>
  <c r="H28" i="6335"/>
  <c r="H31" i="6335"/>
  <c r="C36" i="6335"/>
  <c r="H42" i="6335"/>
  <c r="H44" i="6335"/>
  <c r="C44" i="6335"/>
  <c r="H50" i="6335"/>
  <c r="H20" i="6335"/>
  <c r="C17" i="6335"/>
  <c r="H26" i="6335"/>
  <c r="H30" i="6335"/>
  <c r="H40" i="6335"/>
  <c r="H33" i="6335"/>
  <c r="H34" i="6335"/>
  <c r="H17" i="6335"/>
  <c r="B22" i="6335"/>
  <c r="C34" i="6335"/>
  <c r="C15" i="6335"/>
  <c r="H19" i="6335"/>
  <c r="C20" i="6335"/>
  <c r="H29" i="6335"/>
  <c r="C32" i="6335"/>
  <c r="H39" i="6335"/>
  <c r="H41" i="6335"/>
  <c r="C40" i="6335"/>
  <c r="H45" i="6335"/>
  <c r="H48" i="6335"/>
  <c r="H5" i="6335"/>
  <c r="H24" i="6335"/>
  <c r="H16" i="6335"/>
  <c r="C42" i="6335"/>
  <c r="H7" i="6335"/>
  <c r="H23" i="6335"/>
  <c r="H22" i="6335"/>
  <c r="H4" i="6335"/>
  <c r="H2" i="6335"/>
  <c r="H11" i="6335"/>
  <c r="H3" i="6335"/>
  <c r="H27" i="6335"/>
  <c r="C18" i="6335"/>
  <c r="C21" i="6335"/>
  <c r="H18" i="6335"/>
  <c r="H38" i="6335"/>
  <c r="H32" i="6335"/>
  <c r="C38" i="6335"/>
  <c r="H43" i="6335"/>
  <c r="H46" i="6335"/>
  <c r="H49" i="6335"/>
  <c r="H52" i="6335"/>
  <c r="B23" i="6335"/>
  <c r="H15" i="6335"/>
  <c r="H36" i="6335"/>
  <c r="H37" i="6335"/>
  <c r="H25" i="6335"/>
  <c r="H13" i="6335"/>
  <c r="H9" i="6335"/>
  <c r="H21" i="6335"/>
  <c r="C33" i="6335"/>
  <c r="C35" i="6335"/>
  <c r="C37" i="6335"/>
  <c r="C39" i="6335"/>
  <c r="C41" i="6335"/>
  <c r="C43" i="6335"/>
  <c r="H47" i="633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<sst xmlns="http://schemas.openxmlformats.org/spreadsheetml/2006/main" count="3892" uniqueCount="311">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</sst>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全体!$K$2:$K$1004</c:f>
              <c:numCache>
                <c:formatCode>General</c:formatCode>
                <c:ptCount val="10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</c:numCache>
            </c:numRef>
          </c:xVal>
          <c:yVal>
            <c:numRef>
              <c:f>全体!$L$2:$L$1004</c:f>
              <c:numCache>
                <c:formatCode>\+0.0;\-0.0;\±0</c:formatCode>
                <c:ptCount val="1003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-7.1054273576010019E-14</c:v>
                </c:pt>
                <c:pt idx="986">
                  <c:v>-7.1054273576010019E-14</c:v>
                </c:pt>
                <c:pt idx="987">
                  <c:v>-7.1054273576010019E-14</c:v>
                </c:pt>
                <c:pt idx="988">
                  <c:v>30.399999999999928</c:v>
                </c:pt>
                <c:pt idx="989">
                  <c:v>45.499999999999929</c:v>
                </c:pt>
                <c:pt idx="990">
                  <c:v>-7.1054273576010019E-14</c:v>
                </c:pt>
                <c:pt idx="991">
                  <c:v>34.59999999999993</c:v>
                </c:pt>
                <c:pt idx="992">
                  <c:v>-11.500000000000071</c:v>
                </c:pt>
                <c:pt idx="993">
                  <c:v>-7.1054273576010019E-14</c:v>
                </c:pt>
                <c:pt idx="994">
                  <c:v>1.299999999999929</c:v>
                </c:pt>
                <c:pt idx="995">
                  <c:v>-15.800000000000072</c:v>
                </c:pt>
                <c:pt idx="996">
                  <c:v>-7.1054273576010019E-14</c:v>
                </c:pt>
                <c:pt idx="997">
                  <c:v>74.099999999999923</c:v>
                </c:pt>
                <c:pt idx="998">
                  <c:v>27.499999999999922</c:v>
                </c:pt>
                <c:pt idx="999">
                  <c:v>-7.815970093361102E-14</c:v>
                </c:pt>
                <c:pt idx="1000">
                  <c:v>62.599999999999923</c:v>
                </c:pt>
                <c:pt idx="1001">
                  <c:v>9.4999999999999218</c:v>
                </c:pt>
                <c:pt idx="1002">
                  <c:v>-7.815970093361102E-14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7-445E-90C4-721645F4A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-27.190332326283986</c:v>
                </c:pt>
                <c:pt idx="1">
                  <c:v>7.1794871794871797</c:v>
                </c:pt>
                <c:pt idx="2">
                  <c:v>-1.0857763300760044</c:v>
                </c:pt>
                <c:pt idx="3">
                  <c:v>-2.3228803716608595</c:v>
                </c:pt>
                <c:pt idx="4">
                  <c:v>10.062893081761006</c:v>
                </c:pt>
                <c:pt idx="5">
                  <c:v>19.877675840978593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8-42F9-83D5-B15157FA9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192</c:v>
                </c:pt>
                <c:pt idx="1">
                  <c:v>421</c:v>
                </c:pt>
                <c:pt idx="2">
                  <c:v>472</c:v>
                </c:pt>
                <c:pt idx="3">
                  <c:v>437</c:v>
                </c:pt>
                <c:pt idx="4">
                  <c:v>379</c:v>
                </c:pt>
                <c:pt idx="5">
                  <c:v>261</c:v>
                </c:pt>
                <c:pt idx="6">
                  <c:v>128</c:v>
                </c:pt>
                <c:pt idx="7">
                  <c:v>71</c:v>
                </c:pt>
                <c:pt idx="8">
                  <c:v>31</c:v>
                </c:pt>
                <c:pt idx="9">
                  <c:v>11</c:v>
                </c:pt>
                <c:pt idx="10">
                  <c:v>7</c:v>
                </c:pt>
                <c:pt idx="11">
                  <c:v>6</c:v>
                </c:pt>
                <c:pt idx="12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3-445E-BF87-C5B99FA54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たかの!$L$2:$L$90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5-498E-AD83-94B77E06B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1920.4545454545455</c:v>
                </c:pt>
                <c:pt idx="1">
                  <c:v>-2071.2643678160921</c:v>
                </c:pt>
                <c:pt idx="2">
                  <c:v>-1713.0952380952381</c:v>
                </c:pt>
                <c:pt idx="3">
                  <c:v>-1037.9746835443038</c:v>
                </c:pt>
                <c:pt idx="4">
                  <c:v>-93.506493506493513</c:v>
                </c:pt>
                <c:pt idx="5">
                  <c:v>-2642.1875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98-4CAD-8437-A35A491D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44</c:v>
                </c:pt>
                <c:pt idx="2">
                  <c:v>44</c:v>
                </c:pt>
                <c:pt idx="3">
                  <c:v>39</c:v>
                </c:pt>
                <c:pt idx="4">
                  <c:v>22</c:v>
                </c:pt>
                <c:pt idx="5">
                  <c:v>17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8-42B0-8AD6-78D86EBF1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だいち!$L$2:$L$202</c:f>
              <c:numCache>
                <c:formatCode>\+0.0;\-0.0;\±0</c:formatCode>
                <c:ptCount val="201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1804.7999999999997</c:v>
                </c:pt>
                <c:pt idx="200">
                  <c:v>1806.0999999999997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4-4E9C-B256-F9C54AD2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1412.6262626262626</c:v>
                </c:pt>
                <c:pt idx="1">
                  <c:v>1102.5773195876288</c:v>
                </c:pt>
                <c:pt idx="2">
                  <c:v>1235.2941176470588</c:v>
                </c:pt>
                <c:pt idx="3">
                  <c:v>90.804597701149419</c:v>
                </c:pt>
                <c:pt idx="4">
                  <c:v>1893.8271604938273</c:v>
                </c:pt>
                <c:pt idx="5">
                  <c:v>1845.4545454545455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5-4A34-9FA0-9C016793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53</c:v>
                </c:pt>
                <c:pt idx="1">
                  <c:v>105</c:v>
                </c:pt>
                <c:pt idx="2">
                  <c:v>110</c:v>
                </c:pt>
                <c:pt idx="3">
                  <c:v>98</c:v>
                </c:pt>
                <c:pt idx="4">
                  <c:v>80</c:v>
                </c:pt>
                <c:pt idx="5">
                  <c:v>55</c:v>
                </c:pt>
                <c:pt idx="6">
                  <c:v>25</c:v>
                </c:pt>
                <c:pt idx="7">
                  <c:v>11</c:v>
                </c:pt>
                <c:pt idx="8">
                  <c:v>10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2-432A-922E-6BC7EA50C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ただ!$K$2:$K$179</c:f>
              <c:numCache>
                <c:formatCode>General</c:formatCode>
                <c:ptCount val="1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</c:numCache>
            </c:numRef>
          </c:xVal>
          <c:yVal>
            <c:numRef>
              <c:f>ただ!$L$2:$L$179</c:f>
              <c:numCache>
                <c:formatCode>\+0.0;\-0.0;\±0</c:formatCode>
                <c:ptCount val="178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-41.100000000000207</c:v>
                </c:pt>
                <c:pt idx="176">
                  <c:v>-68.600000000000207</c:v>
                </c:pt>
                <c:pt idx="177">
                  <c:v>-6.0000000000002061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B-44C3-A53D-077AB27E0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-1064.367816091954</c:v>
                </c:pt>
                <c:pt idx="1">
                  <c:v>1276.0233918128654</c:v>
                </c:pt>
                <c:pt idx="2">
                  <c:v>-128.93081761006289</c:v>
                </c:pt>
                <c:pt idx="3">
                  <c:v>148.34437086092714</c:v>
                </c:pt>
                <c:pt idx="4">
                  <c:v>-1659.4202898550725</c:v>
                </c:pt>
                <c:pt idx="5">
                  <c:v>1237.391304347826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E5-403B-99FA-1FC40641B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37</c:v>
                </c:pt>
                <c:pt idx="1">
                  <c:v>86</c:v>
                </c:pt>
                <c:pt idx="2">
                  <c:v>98</c:v>
                </c:pt>
                <c:pt idx="3">
                  <c:v>92</c:v>
                </c:pt>
                <c:pt idx="4">
                  <c:v>63</c:v>
                </c:pt>
                <c:pt idx="5">
                  <c:v>44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9-409F-9865-FDE36D02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りくと!$L$2:$L$102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9-4E06-9499-35612FAD5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-637.37373737373741</c:v>
                </c:pt>
                <c:pt idx="1">
                  <c:v>-893.93939393939399</c:v>
                </c:pt>
                <c:pt idx="2">
                  <c:v>469.89247311827955</c:v>
                </c:pt>
                <c:pt idx="3">
                  <c:v>-779.12087912087907</c:v>
                </c:pt>
                <c:pt idx="4">
                  <c:v>-2894.1860465116279</c:v>
                </c:pt>
                <c:pt idx="5">
                  <c:v>-1877.3333333333333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E9-4124-822B-3D5DDE38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17</c:v>
                </c:pt>
                <c:pt idx="1">
                  <c:v>39</c:v>
                </c:pt>
                <c:pt idx="2">
                  <c:v>52</c:v>
                </c:pt>
                <c:pt idx="3">
                  <c:v>35</c:v>
                </c:pt>
                <c:pt idx="4">
                  <c:v>39</c:v>
                </c:pt>
                <c:pt idx="5">
                  <c:v>23</c:v>
                </c:pt>
                <c:pt idx="6">
                  <c:v>14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2-45FC-985C-150825F0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れんたろう!$K$2:$K$150</c:f>
              <c:numCache>
                <c:formatCode>General</c:formatCode>
                <c:ptCount val="1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</c:numCache>
            </c:numRef>
          </c:xVal>
          <c:yVal>
            <c:numRef>
              <c:f>れんたろう!$L$2:$L$150</c:f>
              <c:numCache>
                <c:formatCode>\+0.0;\-0.0;\±0</c:formatCode>
                <c:ptCount val="149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9F-4CDC-B77C-C6D843CD2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1448.2993197278911</c:v>
                </c:pt>
                <c:pt idx="1">
                  <c:v>-2058.7412587412587</c:v>
                </c:pt>
                <c:pt idx="2">
                  <c:v>-652.67175572519079</c:v>
                </c:pt>
                <c:pt idx="3">
                  <c:v>2231.404958677686</c:v>
                </c:pt>
                <c:pt idx="4">
                  <c:v>1465.1376146788991</c:v>
                </c:pt>
                <c:pt idx="5">
                  <c:v>520.73170731707319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6-4246-AF38-EF944017D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42</c:v>
                </c:pt>
                <c:pt idx="3">
                  <c:v>61</c:v>
                </c:pt>
                <c:pt idx="4">
                  <c:v>71</c:v>
                </c:pt>
                <c:pt idx="5">
                  <c:v>46</c:v>
                </c:pt>
                <c:pt idx="6">
                  <c:v>25</c:v>
                </c:pt>
                <c:pt idx="7">
                  <c:v>21</c:v>
                </c:pt>
                <c:pt idx="8">
                  <c:v>9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2-4FDB-8E26-243A6557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まっつん!$L$2:$L$159</c:f>
              <c:numCache>
                <c:formatCode>\+0.0;\-0.0;\±0</c:formatCode>
                <c:ptCount val="15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-71.199999999999989</c:v>
                </c:pt>
                <c:pt idx="156">
                  <c:v>-116.69999999999999</c:v>
                </c:pt>
                <c:pt idx="157">
                  <c:v>-82.1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2-4EB9-A559-7DCB9C27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-417.94871794871796</c:v>
                </c:pt>
                <c:pt idx="1">
                  <c:v>592.10526315789468</c:v>
                </c:pt>
                <c:pt idx="2">
                  <c:v>157.63888888888889</c:v>
                </c:pt>
                <c:pt idx="3">
                  <c:v>237.69230769230768</c:v>
                </c:pt>
                <c:pt idx="4">
                  <c:v>145.76271186440678</c:v>
                </c:pt>
                <c:pt idx="5">
                  <c:v>-922.22222222222217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1-4738-8DF2-CD7991DC6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20</c:v>
                </c:pt>
                <c:pt idx="1">
                  <c:v>64</c:v>
                </c:pt>
                <c:pt idx="2">
                  <c:v>68</c:v>
                </c:pt>
                <c:pt idx="3">
                  <c:v>67</c:v>
                </c:pt>
                <c:pt idx="4">
                  <c:v>49</c:v>
                </c:pt>
                <c:pt idx="5">
                  <c:v>41</c:v>
                </c:pt>
                <c:pt idx="6">
                  <c:v>19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2-4541-A085-9C6DE07C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のり!$L$2:$L$67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B-4C27-88F6-9657DAF50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-2886.1538461538462</c:v>
                </c:pt>
                <c:pt idx="1">
                  <c:v>1089.2307692307693</c:v>
                </c:pt>
                <c:pt idx="2">
                  <c:v>-591.93548387096769</c:v>
                </c:pt>
                <c:pt idx="3">
                  <c:v>-1503.5714285714287</c:v>
                </c:pt>
                <c:pt idx="4">
                  <c:v>-1926.4150943396226</c:v>
                </c:pt>
                <c:pt idx="5">
                  <c:v>-2106.9767441860463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E-40C6-8B9E-7705277E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29</c:v>
                </c:pt>
                <c:pt idx="3">
                  <c:v>23</c:v>
                </c:pt>
                <c:pt idx="4">
                  <c:v>20</c:v>
                </c:pt>
                <c:pt idx="5">
                  <c:v>11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7-4F69-84C8-E5E9046E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ぱぱ!$L$2:$L$30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6-4CE7-96A7-268B603D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-4259.2592592592591</c:v>
                </c:pt>
                <c:pt idx="1">
                  <c:v>-1315.3846153846155</c:v>
                </c:pt>
                <c:pt idx="2">
                  <c:v>1276</c:v>
                </c:pt>
                <c:pt idx="3">
                  <c:v>-2628</c:v>
                </c:pt>
                <c:pt idx="4">
                  <c:v>4634.782608695652</c:v>
                </c:pt>
                <c:pt idx="5">
                  <c:v>1147.3684210526317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4-49C2-A91B-1BB2889A8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304-915F-D35A1F1D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A-42CF-8F73-FBB870107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D3D-9497-E0059D81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9A6-A31B-EF2C64608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B-47FB-98BA-F456A527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F-4DD9-B49C-03DC0E65F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3-4C1A-B036-2162F6DA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ともき!$L$2:$L$19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E-4935-8016-F35F29F67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-1911.7647058823529</c:v>
                </c:pt>
                <c:pt idx="1">
                  <c:v>-323.52941176470586</c:v>
                </c:pt>
                <c:pt idx="2">
                  <c:v>-1935.2941176470588</c:v>
                </c:pt>
                <c:pt idx="3">
                  <c:v>593.33333333333337</c:v>
                </c:pt>
                <c:pt idx="4">
                  <c:v>-1007.6923076923077</c:v>
                </c:pt>
                <c:pt idx="5">
                  <c:v>4245.454545454545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4-4F91-A109-A14AFFCF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6</c:v>
                </c:pt>
                <c:pt idx="1">
                  <c:v>14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F-4B67-8C5D-71CA68A87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1-4443-994E-5EBA92DBD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5-48B0-A4D5-D161A508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F-4AA3-8044-2D0F7928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2-40EB-B216-C01322854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7-4ACD-87D6-D2FBEDD2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3-45A0-A3EA-AE53835B6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ともき2!$B$1:$B$2</c:f>
              <c:strCache>
                <c:ptCount val="2"/>
                <c:pt idx="0">
                  <c:v>ともき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ともき2!$B$3:$B$20</c:f>
              <c:numCache>
                <c:formatCode>\+0.0;\-0.0;\±0</c:formatCode>
                <c:ptCount val="18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81597009336110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ともき2!$C$1:$C$2</c:f>
              <c:strCache>
                <c:ptCount val="2"/>
                <c:pt idx="0">
                  <c:v>ともき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ともき2!$C$3:$C$20</c:f>
              <c:numCache>
                <c:formatCode>\+0.0;\-0.0;\±0</c:formatCode>
                <c:ptCount val="18"/>
                <c:pt idx="1">
                  <c:v>17.600000000000001</c:v>
                </c:pt>
                <c:pt idx="2">
                  <c:v>13.9</c:v>
                </c:pt>
                <c:pt idx="3">
                  <c:v>6.8</c:v>
                </c:pt>
                <c:pt idx="4">
                  <c:v>13.275</c:v>
                </c:pt>
                <c:pt idx="5">
                  <c:v>5.7200000000000006</c:v>
                </c:pt>
                <c:pt idx="6">
                  <c:v>-2.9666666666666663</c:v>
                </c:pt>
                <c:pt idx="7">
                  <c:v>3.3000000000000003</c:v>
                </c:pt>
                <c:pt idx="8">
                  <c:v>5.1624999999999996</c:v>
                </c:pt>
                <c:pt idx="9">
                  <c:v>8.8555555555555543</c:v>
                </c:pt>
                <c:pt idx="10">
                  <c:v>8.61</c:v>
                </c:pt>
                <c:pt idx="11">
                  <c:v>4.9272727272727268</c:v>
                </c:pt>
                <c:pt idx="12">
                  <c:v>0.40833333333333321</c:v>
                </c:pt>
                <c:pt idx="13">
                  <c:v>-3.6615384615384619</c:v>
                </c:pt>
                <c:pt idx="14">
                  <c:v>-3.9642857142857144</c:v>
                </c:pt>
                <c:pt idx="15">
                  <c:v>-1.6733333333333333</c:v>
                </c:pt>
                <c:pt idx="16">
                  <c:v>-0.85000000000000009</c:v>
                </c:pt>
                <c:pt idx="17">
                  <c:v>-1.8058823529411767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800369354651798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ともき2!$D$1:$D$2</c:f>
              <c:strCache>
                <c:ptCount val="2"/>
                <c:pt idx="0">
                  <c:v>ともき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ともき2!$D$3:$D$20</c:f>
              <c:numCache>
                <c:formatCode>0.00\ "位"</c:formatCode>
                <c:ptCount val="18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1.8571428571428572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1.7</c:v>
                </c:pt>
                <c:pt idx="11">
                  <c:v>1.8181818181818181</c:v>
                </c:pt>
                <c:pt idx="12">
                  <c:v>1.9166666666666667</c:v>
                </c:pt>
                <c:pt idx="13">
                  <c:v>2</c:v>
                </c:pt>
                <c:pt idx="14">
                  <c:v>2</c:v>
                </c:pt>
                <c:pt idx="15">
                  <c:v>1.9333333333333333</c:v>
                </c:pt>
                <c:pt idx="16">
                  <c:v>1.9375</c:v>
                </c:pt>
                <c:pt idx="1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70059880239521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ともき2!$E$1:$E$2</c:f>
              <c:strCache>
                <c:ptCount val="2"/>
                <c:pt idx="0">
                  <c:v>ともき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ともき2!$E$3:$E$20</c:f>
              <c:numCache>
                <c:formatCode>0.0%</c:formatCode>
                <c:ptCount val="18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5329341317365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ともき2!$F$1:$F$2</c:f>
              <c:strCache>
                <c:ptCount val="2"/>
                <c:pt idx="0">
                  <c:v>ともき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ともき2!$F$3:$F$20</c:f>
              <c:numCache>
                <c:formatCode>0.0%</c:formatCode>
                <c:ptCount val="1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0.35294117647058826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2335329341317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ともき2!$G$1:$G$2</c:f>
              <c:strCache>
                <c:ptCount val="2"/>
                <c:pt idx="0">
                  <c:v>ともき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ともき2!$G$3:$G$20</c:f>
              <c:numCache>
                <c:formatCode>0.0%</c:formatCode>
                <c:ptCount val="18"/>
                <c:pt idx="1">
                  <c:v>0.66666666666666663</c:v>
                </c:pt>
                <c:pt idx="2">
                  <c:v>0.47058823529411764</c:v>
                </c:pt>
                <c:pt idx="3">
                  <c:v>0.37931034482758619</c:v>
                </c:pt>
                <c:pt idx="4">
                  <c:v>0.39473684210526316</c:v>
                </c:pt>
                <c:pt idx="5">
                  <c:v>0.35555555555555557</c:v>
                </c:pt>
                <c:pt idx="6">
                  <c:v>0.32075471698113206</c:v>
                </c:pt>
                <c:pt idx="7">
                  <c:v>0.35</c:v>
                </c:pt>
                <c:pt idx="8">
                  <c:v>0.36764705882352944</c:v>
                </c:pt>
                <c:pt idx="9">
                  <c:v>0.39240506329113922</c:v>
                </c:pt>
                <c:pt idx="10">
                  <c:v>0.37777777777777777</c:v>
                </c:pt>
                <c:pt idx="11">
                  <c:v>0.38</c:v>
                </c:pt>
                <c:pt idx="12">
                  <c:v>0.37614678899082571</c:v>
                </c:pt>
                <c:pt idx="13">
                  <c:v>0.3559322033898305</c:v>
                </c:pt>
                <c:pt idx="14">
                  <c:v>0.34920634920634919</c:v>
                </c:pt>
                <c:pt idx="15">
                  <c:v>0.35338345864661652</c:v>
                </c:pt>
                <c:pt idx="16">
                  <c:v>0.35766423357664234</c:v>
                </c:pt>
                <c:pt idx="17">
                  <c:v>0.35616438356164382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266137756941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ともき2!$H$1:$H$2</c:f>
              <c:strCache>
                <c:ptCount val="2"/>
                <c:pt idx="0">
                  <c:v>ともき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ともき2!$H$3:$H$20</c:f>
              <c:numCache>
                <c:formatCode>0.0%</c:formatCode>
                <c:ptCount val="18"/>
                <c:pt idx="1">
                  <c:v>0.16666666666666666</c:v>
                </c:pt>
                <c:pt idx="2">
                  <c:v>5.8823529411764705E-2</c:v>
                </c:pt>
                <c:pt idx="3">
                  <c:v>6.8965517241379309E-2</c:v>
                </c:pt>
                <c:pt idx="4">
                  <c:v>7.8947368421052627E-2</c:v>
                </c:pt>
                <c:pt idx="5">
                  <c:v>8.8888888888888892E-2</c:v>
                </c:pt>
                <c:pt idx="6">
                  <c:v>0.11320754716981132</c:v>
                </c:pt>
                <c:pt idx="7">
                  <c:v>0.1</c:v>
                </c:pt>
                <c:pt idx="8">
                  <c:v>0.13235294117647059</c:v>
                </c:pt>
                <c:pt idx="9">
                  <c:v>0.12658227848101267</c:v>
                </c:pt>
                <c:pt idx="10">
                  <c:v>0.12222222222222222</c:v>
                </c:pt>
                <c:pt idx="11">
                  <c:v>0.13</c:v>
                </c:pt>
                <c:pt idx="12">
                  <c:v>0.14678899082568808</c:v>
                </c:pt>
                <c:pt idx="13">
                  <c:v>0.16949152542372881</c:v>
                </c:pt>
                <c:pt idx="14">
                  <c:v>0.16666666666666666</c:v>
                </c:pt>
                <c:pt idx="15">
                  <c:v>0.16541353383458646</c:v>
                </c:pt>
                <c:pt idx="16">
                  <c:v>0.16058394160583941</c:v>
                </c:pt>
                <c:pt idx="17">
                  <c:v>0.16438356164383561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874984974155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ともき2!$I$1:$I$2</c:f>
              <c:strCache>
                <c:ptCount val="2"/>
                <c:pt idx="0">
                  <c:v>ともき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ともき2!$I$3:$I$20</c:f>
              <c:numCache>
                <c:formatCode>0</c:formatCode>
                <c:ptCount val="18"/>
                <c:pt idx="1">
                  <c:v>3900</c:v>
                </c:pt>
                <c:pt idx="2">
                  <c:v>5575</c:v>
                </c:pt>
                <c:pt idx="3">
                  <c:v>6427.272727272727</c:v>
                </c:pt>
                <c:pt idx="4">
                  <c:v>6793.333333333333</c:v>
                </c:pt>
                <c:pt idx="5">
                  <c:v>6868.75</c:v>
                </c:pt>
                <c:pt idx="6">
                  <c:v>6935.2941176470586</c:v>
                </c:pt>
                <c:pt idx="7">
                  <c:v>7342.8571428571431</c:v>
                </c:pt>
                <c:pt idx="8">
                  <c:v>7608</c:v>
                </c:pt>
                <c:pt idx="9">
                  <c:v>7138.7096774193551</c:v>
                </c:pt>
                <c:pt idx="10">
                  <c:v>7147.0588235294117</c:v>
                </c:pt>
                <c:pt idx="11">
                  <c:v>6765.7894736842109</c:v>
                </c:pt>
                <c:pt idx="12">
                  <c:v>6531.707317073171</c:v>
                </c:pt>
                <c:pt idx="13">
                  <c:v>6407.1428571428569</c:v>
                </c:pt>
                <c:pt idx="14">
                  <c:v>6534.090909090909</c:v>
                </c:pt>
                <c:pt idx="15">
                  <c:v>6710.6382978723404</c:v>
                </c:pt>
                <c:pt idx="16">
                  <c:v>6679.591836734694</c:v>
                </c:pt>
                <c:pt idx="17">
                  <c:v>6555.7692307692305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32.84313725490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ともき2!$J$1:$J$2</c:f>
              <c:strCache>
                <c:ptCount val="2"/>
                <c:pt idx="0">
                  <c:v>ともき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ともき2!$J$3:$J$20</c:f>
              <c:numCache>
                <c:formatCode>0</c:formatCode>
                <c:ptCount val="18"/>
                <c:pt idx="1">
                  <c:v>-8000</c:v>
                </c:pt>
                <c:pt idx="2">
                  <c:v>-8000</c:v>
                </c:pt>
                <c:pt idx="3">
                  <c:v>-5600</c:v>
                </c:pt>
                <c:pt idx="4">
                  <c:v>-4700</c:v>
                </c:pt>
                <c:pt idx="5">
                  <c:v>-6525</c:v>
                </c:pt>
                <c:pt idx="6">
                  <c:v>-8500</c:v>
                </c:pt>
                <c:pt idx="7">
                  <c:v>-8500</c:v>
                </c:pt>
                <c:pt idx="8">
                  <c:v>-8477.7777777777774</c:v>
                </c:pt>
                <c:pt idx="9">
                  <c:v>-8150</c:v>
                </c:pt>
                <c:pt idx="10">
                  <c:v>-7990.909090909091</c:v>
                </c:pt>
                <c:pt idx="11">
                  <c:v>-7800</c:v>
                </c:pt>
                <c:pt idx="12">
                  <c:v>-8337.5</c:v>
                </c:pt>
                <c:pt idx="13">
                  <c:v>-8205</c:v>
                </c:pt>
                <c:pt idx="14">
                  <c:v>-8195.2380952380954</c:v>
                </c:pt>
                <c:pt idx="15">
                  <c:v>-8368.181818181818</c:v>
                </c:pt>
                <c:pt idx="16">
                  <c:v>-8368.181818181818</c:v>
                </c:pt>
                <c:pt idx="17">
                  <c:v>-7895.833333333333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57.21804511278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ともき2!$K$1:$K$2</c:f>
              <c:strCache>
                <c:ptCount val="2"/>
                <c:pt idx="0">
                  <c:v>ともき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ともき2!$K$3:$K$20</c:f>
              <c:numCache>
                <c:formatCode>0.0%</c:formatCode>
                <c:ptCount val="1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680638722554890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ともき2!$L$1:$L$2</c:f>
              <c:strCache>
                <c:ptCount val="2"/>
                <c:pt idx="0">
                  <c:v>ともき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ともき2!$L$3:$L$20</c:f>
              <c:numCache>
                <c:formatCode>0.0%</c:formatCode>
                <c:ptCount val="18"/>
                <c:pt idx="1">
                  <c:v>0.66666666666666663</c:v>
                </c:pt>
                <c:pt idx="2">
                  <c:v>0.52941176470588236</c:v>
                </c:pt>
                <c:pt idx="3">
                  <c:v>0.37931034482758619</c:v>
                </c:pt>
                <c:pt idx="4">
                  <c:v>0.34210526315789475</c:v>
                </c:pt>
                <c:pt idx="5">
                  <c:v>0.31111111111111112</c:v>
                </c:pt>
                <c:pt idx="6">
                  <c:v>0.32075471698113206</c:v>
                </c:pt>
                <c:pt idx="7">
                  <c:v>0.35</c:v>
                </c:pt>
                <c:pt idx="8">
                  <c:v>0.36764705882352944</c:v>
                </c:pt>
                <c:pt idx="9">
                  <c:v>0.35443037974683544</c:v>
                </c:pt>
                <c:pt idx="10">
                  <c:v>0.35555555555555557</c:v>
                </c:pt>
                <c:pt idx="11">
                  <c:v>0.34</c:v>
                </c:pt>
                <c:pt idx="12">
                  <c:v>0.32110091743119268</c:v>
                </c:pt>
                <c:pt idx="13">
                  <c:v>0.30508474576271188</c:v>
                </c:pt>
                <c:pt idx="14">
                  <c:v>0.30952380952380953</c:v>
                </c:pt>
                <c:pt idx="15">
                  <c:v>0.33834586466165412</c:v>
                </c:pt>
                <c:pt idx="16">
                  <c:v>0.34306569343065696</c:v>
                </c:pt>
                <c:pt idx="17">
                  <c:v>0.34931506849315069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0631085467003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ともき2!$M$1:$M$2</c:f>
              <c:strCache>
                <c:ptCount val="2"/>
                <c:pt idx="0">
                  <c:v>ともき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ともき2!$M$3:$M$20</c:f>
              <c:numCache>
                <c:formatCode>0.0%</c:formatCode>
                <c:ptCount val="18"/>
                <c:pt idx="1">
                  <c:v>0</c:v>
                </c:pt>
                <c:pt idx="2">
                  <c:v>0.17647058823529413</c:v>
                </c:pt>
                <c:pt idx="3">
                  <c:v>0.13793103448275862</c:v>
                </c:pt>
                <c:pt idx="4">
                  <c:v>0.18421052631578946</c:v>
                </c:pt>
                <c:pt idx="5">
                  <c:v>0.15555555555555556</c:v>
                </c:pt>
                <c:pt idx="6">
                  <c:v>0.13207547169811321</c:v>
                </c:pt>
                <c:pt idx="7">
                  <c:v>0.11666666666666667</c:v>
                </c:pt>
                <c:pt idx="8">
                  <c:v>0.13235294117647059</c:v>
                </c:pt>
                <c:pt idx="9">
                  <c:v>0.12658227848101267</c:v>
                </c:pt>
                <c:pt idx="10">
                  <c:v>0.12222222222222222</c:v>
                </c:pt>
                <c:pt idx="11">
                  <c:v>0.12</c:v>
                </c:pt>
                <c:pt idx="12">
                  <c:v>0.12844036697247707</c:v>
                </c:pt>
                <c:pt idx="13">
                  <c:v>0.1271186440677966</c:v>
                </c:pt>
                <c:pt idx="14">
                  <c:v>0.12698412698412698</c:v>
                </c:pt>
                <c:pt idx="15">
                  <c:v>0.12030075187969924</c:v>
                </c:pt>
                <c:pt idx="16">
                  <c:v>0.11678832116788321</c:v>
                </c:pt>
                <c:pt idx="17">
                  <c:v>0.11643835616438356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037384300997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ともき2!$N$1:$N$2</c:f>
              <c:strCache>
                <c:ptCount val="2"/>
                <c:pt idx="0">
                  <c:v>ともき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ともき2!$N$3:$N$20</c:f>
              <c:numCache>
                <c:formatCode>0.0%</c:formatCode>
                <c:ptCount val="18"/>
                <c:pt idx="1">
                  <c:v>1</c:v>
                </c:pt>
                <c:pt idx="2">
                  <c:v>0.66666666666666663</c:v>
                </c:pt>
                <c:pt idx="3">
                  <c:v>0.63636363636363635</c:v>
                </c:pt>
                <c:pt idx="4">
                  <c:v>0.69230769230769229</c:v>
                </c:pt>
                <c:pt idx="5">
                  <c:v>0.7142857142857143</c:v>
                </c:pt>
                <c:pt idx="6">
                  <c:v>0.6470588235294118</c:v>
                </c:pt>
                <c:pt idx="7">
                  <c:v>0.7142857142857143</c:v>
                </c:pt>
                <c:pt idx="8">
                  <c:v>0.68</c:v>
                </c:pt>
                <c:pt idx="9">
                  <c:v>0.6785714285714286</c:v>
                </c:pt>
                <c:pt idx="10">
                  <c:v>0.65625</c:v>
                </c:pt>
                <c:pt idx="11">
                  <c:v>0.6470588235294118</c:v>
                </c:pt>
                <c:pt idx="12">
                  <c:v>0.62857142857142856</c:v>
                </c:pt>
                <c:pt idx="13">
                  <c:v>0.61111111111111116</c:v>
                </c:pt>
                <c:pt idx="14">
                  <c:v>0.58974358974358976</c:v>
                </c:pt>
                <c:pt idx="15">
                  <c:v>0.57777777777777772</c:v>
                </c:pt>
                <c:pt idx="16">
                  <c:v>0.5957446808510638</c:v>
                </c:pt>
                <c:pt idx="17">
                  <c:v>0.58823529411764708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676258992805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ともき2!$O$1:$O$2</c:f>
              <c:strCache>
                <c:ptCount val="2"/>
                <c:pt idx="0">
                  <c:v>ともき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ともき2!$O$3:$O$20</c:f>
              <c:numCache>
                <c:formatCode>0.0%</c:formatCode>
                <c:ptCount val="18"/>
                <c:pt idx="1">
                  <c:v>0</c:v>
                </c:pt>
                <c:pt idx="2">
                  <c:v>0.66666666666666663</c:v>
                </c:pt>
                <c:pt idx="3">
                  <c:v>0.75</c:v>
                </c:pt>
                <c:pt idx="4">
                  <c:v>0.7142857142857143</c:v>
                </c:pt>
                <c:pt idx="5">
                  <c:v>0.7142857142857143</c:v>
                </c:pt>
                <c:pt idx="6">
                  <c:v>0.7142857142857143</c:v>
                </c:pt>
                <c:pt idx="7">
                  <c:v>0.7142857142857143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0.72727272727272729</c:v>
                </c:pt>
                <c:pt idx="11">
                  <c:v>0.75</c:v>
                </c:pt>
                <c:pt idx="12">
                  <c:v>0.7142857142857143</c:v>
                </c:pt>
                <c:pt idx="13">
                  <c:v>0.73333333333333328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0.76470588235294112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0915712799167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ともき2!$P$1:$P$2</c:f>
              <c:strCache>
                <c:ptCount val="2"/>
                <c:pt idx="0">
                  <c:v>ともき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ともき2!$P$3:$P$20</c:f>
              <c:numCache>
                <c:formatCode>0.0%</c:formatCode>
                <c:ptCount val="18"/>
                <c:pt idx="1">
                  <c:v>0.25</c:v>
                </c:pt>
                <c:pt idx="2">
                  <c:v>0.125</c:v>
                </c:pt>
                <c:pt idx="3">
                  <c:v>0.36363636363636365</c:v>
                </c:pt>
                <c:pt idx="4">
                  <c:v>0.4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0.38095238095238093</c:v>
                </c:pt>
                <c:pt idx="8">
                  <c:v>0.44</c:v>
                </c:pt>
                <c:pt idx="9">
                  <c:v>0.4838709677419355</c:v>
                </c:pt>
                <c:pt idx="10">
                  <c:v>0.47058823529411764</c:v>
                </c:pt>
                <c:pt idx="11">
                  <c:v>0.5</c:v>
                </c:pt>
                <c:pt idx="12">
                  <c:v>0.51219512195121952</c:v>
                </c:pt>
                <c:pt idx="13">
                  <c:v>0.5</c:v>
                </c:pt>
                <c:pt idx="14">
                  <c:v>0.52272727272727271</c:v>
                </c:pt>
                <c:pt idx="15">
                  <c:v>0.48936170212765956</c:v>
                </c:pt>
                <c:pt idx="16">
                  <c:v>0.48979591836734693</c:v>
                </c:pt>
                <c:pt idx="17">
                  <c:v>0.51923076923076927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1797385620915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04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  <row r="75" spans="1:12" x14ac:dyDescent="0.45">
      <c r="A75" s="28" t="s">
        <v>279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282</v>
      </c>
      <c r="B76" s="29">
        <v>43809.906898148147</v>
      </c>
      <c r="C76" s="28" t="s">
        <v>128</v>
      </c>
    </row>
    <row r="77" spans="1:12" x14ac:dyDescent="0.45">
      <c r="A77" s="28" t="s">
        <v>283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285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284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286</v>
      </c>
      <c r="B80" s="29">
        <v>43812.000752314816</v>
      </c>
      <c r="C80" s="28" t="s">
        <v>128</v>
      </c>
    </row>
    <row r="81" spans="1:9" x14ac:dyDescent="0.45">
      <c r="A81" s="28" t="s">
        <v>287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9" x14ac:dyDescent="0.45">
      <c r="A82" s="28" t="s">
        <v>288</v>
      </c>
      <c r="B82" s="29">
        <v>43814.578449074077</v>
      </c>
      <c r="C82" s="28" t="s">
        <v>128</v>
      </c>
    </row>
    <row r="83" spans="1:9" x14ac:dyDescent="0.45">
      <c r="A83" s="28" t="s">
        <v>289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9" x14ac:dyDescent="0.45">
      <c r="A84" s="28" t="s">
        <v>290</v>
      </c>
      <c r="B84" s="29">
        <v>43818.430601851855</v>
      </c>
      <c r="C84" s="28" t="s">
        <v>128</v>
      </c>
      <c r="D84" s="28" t="s">
        <v>129</v>
      </c>
    </row>
    <row r="85" spans="1:9" x14ac:dyDescent="0.45">
      <c r="A85" s="28" t="s">
        <v>291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5">
      <c r="A86" s="28" t="s">
        <v>292</v>
      </c>
      <c r="B86" s="29">
        <v>43819.091747685183</v>
      </c>
      <c r="C86" s="28" t="s">
        <v>128</v>
      </c>
      <c r="D86" s="28" t="s">
        <v>129</v>
      </c>
    </row>
    <row r="87" spans="1:9" x14ac:dyDescent="0.45">
      <c r="A87" s="28" t="s">
        <v>293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5">
      <c r="A88" s="28" t="s">
        <v>294</v>
      </c>
      <c r="B88" s="29">
        <v>43838.76290509259</v>
      </c>
      <c r="C88" s="28" t="s">
        <v>128</v>
      </c>
    </row>
    <row r="89" spans="1:9" x14ac:dyDescent="0.45">
      <c r="A89" s="28" t="s">
        <v>295</v>
      </c>
      <c r="B89" s="29">
        <v>43839.021249999998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5">
      <c r="A90" s="28" t="s">
        <v>296</v>
      </c>
      <c r="B90" s="29">
        <v>43840.436331018522</v>
      </c>
      <c r="C90" s="28" t="s">
        <v>128</v>
      </c>
    </row>
    <row r="91" spans="1:9" x14ac:dyDescent="0.45">
      <c r="A91" s="28" t="s">
        <v>297</v>
      </c>
      <c r="B91" s="29">
        <v>43840.602083333331</v>
      </c>
      <c r="C91" s="28" t="s">
        <v>128</v>
      </c>
      <c r="D91" s="28" t="s">
        <v>129</v>
      </c>
      <c r="E91" s="28" t="s">
        <v>173</v>
      </c>
    </row>
    <row r="92" spans="1:9" x14ac:dyDescent="0.45">
      <c r="A92" s="28" t="s">
        <v>298</v>
      </c>
      <c r="B92" s="29">
        <v>43843.027384259258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 x14ac:dyDescent="0.45">
      <c r="A93" s="28" t="s">
        <v>299</v>
      </c>
      <c r="B93" s="29">
        <v>43844.951261574075</v>
      </c>
      <c r="C93" s="28" t="s">
        <v>128</v>
      </c>
      <c r="D93" s="28" t="s">
        <v>129</v>
      </c>
      <c r="E93" s="28" t="s">
        <v>173</v>
      </c>
    </row>
    <row r="94" spans="1:9" x14ac:dyDescent="0.45">
      <c r="A94" s="28" t="s">
        <v>300</v>
      </c>
      <c r="B94" s="29">
        <v>43845.034178240741</v>
      </c>
      <c r="C94" s="28" t="s">
        <v>128</v>
      </c>
      <c r="D94" s="28" t="s">
        <v>129</v>
      </c>
      <c r="E94" s="28" t="s">
        <v>173</v>
      </c>
    </row>
    <row r="95" spans="1:9" x14ac:dyDescent="0.45">
      <c r="A95" s="28" t="s">
        <v>301</v>
      </c>
      <c r="B95" s="29">
        <v>43846.004641203705</v>
      </c>
      <c r="C95" s="28" t="s">
        <v>128</v>
      </c>
    </row>
    <row r="96" spans="1:9" x14ac:dyDescent="0.45">
      <c r="A96" s="28" t="s">
        <v>302</v>
      </c>
      <c r="B96" s="29">
        <v>43847.005300925928</v>
      </c>
      <c r="C96" s="28" t="s">
        <v>128</v>
      </c>
      <c r="D96" s="28" t="s">
        <v>129</v>
      </c>
      <c r="E96" s="28" t="s">
        <v>173</v>
      </c>
      <c r="F96" s="28" t="s">
        <v>174</v>
      </c>
    </row>
    <row r="97" spans="1:7" x14ac:dyDescent="0.45">
      <c r="A97" s="28" t="s">
        <v>303</v>
      </c>
      <c r="B97" s="29">
        <v>43847.644155092596</v>
      </c>
      <c r="C97" s="28" t="s">
        <v>128</v>
      </c>
      <c r="D97" s="28" t="s">
        <v>129</v>
      </c>
      <c r="E97" s="28" t="s">
        <v>173</v>
      </c>
    </row>
    <row r="98" spans="1:7" x14ac:dyDescent="0.45">
      <c r="A98" s="28" t="s">
        <v>304</v>
      </c>
      <c r="B98" s="29">
        <v>43848.686238425929</v>
      </c>
      <c r="C98" s="28" t="s">
        <v>128</v>
      </c>
      <c r="D98" s="28" t="s">
        <v>129</v>
      </c>
    </row>
    <row r="99" spans="1:7" x14ac:dyDescent="0.45">
      <c r="A99" s="28" t="s">
        <v>305</v>
      </c>
      <c r="B99" s="29">
        <v>43852.043136574073</v>
      </c>
      <c r="C99" s="28" t="s">
        <v>128</v>
      </c>
      <c r="D99" s="28" t="s">
        <v>129</v>
      </c>
      <c r="E99" s="28" t="s">
        <v>173</v>
      </c>
      <c r="F99" s="28" t="s">
        <v>174</v>
      </c>
      <c r="G99" s="28" t="s">
        <v>175</v>
      </c>
    </row>
    <row r="100" spans="1:7" x14ac:dyDescent="0.45">
      <c r="A100" s="28" t="s">
        <v>306</v>
      </c>
      <c r="B100" s="29">
        <v>43856.016423611109</v>
      </c>
      <c r="C100" s="28" t="s">
        <v>128</v>
      </c>
      <c r="D100" s="28" t="s">
        <v>129</v>
      </c>
      <c r="E100" s="28" t="s">
        <v>173</v>
      </c>
    </row>
    <row r="101" spans="1:7" x14ac:dyDescent="0.45">
      <c r="A101" s="28" t="s">
        <v>307</v>
      </c>
      <c r="B101" s="29">
        <v>43857.063576388886</v>
      </c>
      <c r="C101" s="28" t="s">
        <v>128</v>
      </c>
      <c r="D101" s="28" t="s">
        <v>129</v>
      </c>
      <c r="E101" s="28" t="s">
        <v>173</v>
      </c>
    </row>
    <row r="102" spans="1:7" x14ac:dyDescent="0.45">
      <c r="A102" s="28" t="s">
        <v>308</v>
      </c>
      <c r="B102" s="29">
        <v>43858.020173611112</v>
      </c>
      <c r="C102" s="28" t="s">
        <v>128</v>
      </c>
      <c r="D102" s="28" t="s">
        <v>129</v>
      </c>
      <c r="E102" s="28" t="s">
        <v>173</v>
      </c>
    </row>
    <row r="103" spans="1:7" x14ac:dyDescent="0.45">
      <c r="A103" s="28" t="s">
        <v>309</v>
      </c>
      <c r="B103" s="29">
        <v>43859.067962962959</v>
      </c>
      <c r="C103" s="28" t="s">
        <v>128</v>
      </c>
      <c r="D103" s="28" t="s">
        <v>129</v>
      </c>
      <c r="E103" s="28" t="s">
        <v>173</v>
      </c>
      <c r="F103" s="28" t="s">
        <v>174</v>
      </c>
      <c r="G103" s="28" t="s">
        <v>175</v>
      </c>
    </row>
    <row r="104" spans="1:7" x14ac:dyDescent="0.45">
      <c r="A104" s="28" t="s">
        <v>310</v>
      </c>
      <c r="B104" s="29">
        <v>43860.026909722219</v>
      </c>
      <c r="C104" s="28" t="s">
        <v>128</v>
      </c>
      <c r="D104" s="28" t="s">
        <v>129</v>
      </c>
      <c r="E104" s="28" t="s">
        <v>173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1002</v>
      </c>
    </row>
    <row r="2" spans="1:2" x14ac:dyDescent="0.45">
      <c r="A2" t="s">
        <v>161</v>
      </c>
      <c r="B2">
        <v>88</v>
      </c>
    </row>
    <row r="3" spans="1:2" x14ac:dyDescent="0.45">
      <c r="A3" t="s">
        <v>126</v>
      </c>
      <c r="B3">
        <v>200</v>
      </c>
    </row>
    <row r="4" spans="1:2" x14ac:dyDescent="0.45">
      <c r="A4" t="s">
        <v>127</v>
      </c>
      <c r="B4">
        <v>177</v>
      </c>
    </row>
    <row r="5" spans="1:2" x14ac:dyDescent="0.45">
      <c r="A5" t="s">
        <v>172</v>
      </c>
      <c r="B5">
        <v>100</v>
      </c>
    </row>
    <row r="6" spans="1:2" x14ac:dyDescent="0.45">
      <c r="A6" t="s">
        <v>170</v>
      </c>
      <c r="B6">
        <v>148</v>
      </c>
    </row>
    <row r="7" spans="1:2" x14ac:dyDescent="0.45">
      <c r="A7" t="s">
        <v>171</v>
      </c>
      <c r="B7">
        <v>157</v>
      </c>
    </row>
    <row r="8" spans="1:2" x14ac:dyDescent="0.45">
      <c r="A8" t="s">
        <v>197</v>
      </c>
      <c r="B8">
        <v>65</v>
      </c>
    </row>
    <row r="9" spans="1:2" x14ac:dyDescent="0.45">
      <c r="A9" t="s">
        <v>196</v>
      </c>
      <c r="B9">
        <v>28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17</v>
      </c>
    </row>
    <row r="13" spans="1:2" x14ac:dyDescent="0.45">
      <c r="A13" t="s">
        <v>281</v>
      </c>
      <c r="B13">
        <v>8</v>
      </c>
    </row>
    <row r="14" spans="1:2" x14ac:dyDescent="0.45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192</v>
      </c>
      <c r="AG1" s="165"/>
    </row>
    <row r="2" spans="1:33" x14ac:dyDescent="0.45">
      <c r="A2" s="68" t="s">
        <v>154</v>
      </c>
      <c r="B2" s="166"/>
      <c r="C2" s="167"/>
      <c r="D2" s="166"/>
      <c r="E2" s="167"/>
      <c r="F2" s="162">
        <v>0.98407882658566148</v>
      </c>
      <c r="G2" s="163"/>
      <c r="H2" s="162">
        <v>0.87703729747591175</v>
      </c>
      <c r="I2" s="163"/>
      <c r="J2" s="162">
        <v>0.91566602362263061</v>
      </c>
      <c r="K2" s="163"/>
      <c r="L2" s="162">
        <v>0.60475389141962899</v>
      </c>
      <c r="M2" s="163"/>
      <c r="N2" s="162">
        <v>0.68410355660279598</v>
      </c>
      <c r="O2" s="163"/>
      <c r="P2" s="162">
        <v>0.39427757364408234</v>
      </c>
      <c r="Q2" s="163"/>
      <c r="R2" s="162">
        <v>-1.3310710401058705E-2</v>
      </c>
      <c r="S2" s="163"/>
      <c r="T2" s="162">
        <v>0.38961294609644109</v>
      </c>
      <c r="U2" s="163"/>
      <c r="V2" s="162">
        <v>0.39230417751908686</v>
      </c>
      <c r="W2" s="163"/>
      <c r="X2" s="162">
        <v>6.2279827840116209E-2</v>
      </c>
      <c r="Y2" s="163"/>
      <c r="Z2" s="162">
        <v>0.46187941127156917</v>
      </c>
      <c r="AA2" s="163"/>
      <c r="AB2" s="162">
        <v>0.12981566702243458</v>
      </c>
      <c r="AC2" s="163"/>
      <c r="AD2" s="162">
        <v>-0.1468902336681428</v>
      </c>
      <c r="AE2" s="163"/>
      <c r="AF2" s="162">
        <v>0.80999864382848641</v>
      </c>
      <c r="AG2" s="163"/>
    </row>
    <row r="3" spans="1:33" x14ac:dyDescent="0.45">
      <c r="A3" s="70">
        <v>1</v>
      </c>
      <c r="B3" s="71" t="s">
        <v>126</v>
      </c>
      <c r="C3" s="72">
        <v>1806.0999999999997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11087.037037037036</v>
      </c>
      <c r="R3" s="73" t="s">
        <v>196</v>
      </c>
      <c r="S3" s="77">
        <v>-7120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0.5757575757575758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514.50000000000057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0.24</v>
      </c>
      <c r="L4" s="81" t="s">
        <v>281</v>
      </c>
      <c r="M4" s="84">
        <v>0.37681159420289856</v>
      </c>
      <c r="N4" s="81" t="s">
        <v>126</v>
      </c>
      <c r="O4" s="84">
        <v>0.1241631162507608</v>
      </c>
      <c r="P4" s="81" t="s">
        <v>281</v>
      </c>
      <c r="Q4" s="85">
        <v>9534.6153846153848</v>
      </c>
      <c r="R4" s="81" t="s">
        <v>171</v>
      </c>
      <c r="S4" s="85">
        <v>-7195.4802259887001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274</v>
      </c>
      <c r="AA4" s="84">
        <v>0.58823529411764708</v>
      </c>
      <c r="AB4" s="81" t="s">
        <v>274</v>
      </c>
      <c r="AC4" s="84">
        <v>0.76470588235294112</v>
      </c>
      <c r="AD4" s="81" t="s">
        <v>274</v>
      </c>
      <c r="AE4" s="84">
        <v>0.51923076923076927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281</v>
      </c>
      <c r="C5" s="80">
        <v>106.5</v>
      </c>
      <c r="D5" s="81" t="s">
        <v>126</v>
      </c>
      <c r="E5" s="93">
        <v>9.0304999999999982</v>
      </c>
      <c r="F5" s="81" t="s">
        <v>126</v>
      </c>
      <c r="G5" s="82">
        <v>1.77</v>
      </c>
      <c r="H5" s="81" t="s">
        <v>126</v>
      </c>
      <c r="I5" s="83">
        <v>0.47</v>
      </c>
      <c r="J5" s="81" t="s">
        <v>171</v>
      </c>
      <c r="K5" s="83">
        <v>0.29936305732484075</v>
      </c>
      <c r="L5" s="81" t="s">
        <v>274</v>
      </c>
      <c r="M5" s="84">
        <v>0.35616438356164382</v>
      </c>
      <c r="N5" s="81" t="s">
        <v>171</v>
      </c>
      <c r="O5" s="84">
        <v>0.14025356576862125</v>
      </c>
      <c r="P5" s="81" t="s">
        <v>280</v>
      </c>
      <c r="Q5" s="85">
        <v>8512.5</v>
      </c>
      <c r="R5" s="81" t="s">
        <v>161</v>
      </c>
      <c r="S5" s="85">
        <v>-7540.9448818897636</v>
      </c>
      <c r="T5" s="81" t="s">
        <v>126</v>
      </c>
      <c r="U5" s="83">
        <v>4.4999999999999998E-2</v>
      </c>
      <c r="V5" s="81" t="s">
        <v>274</v>
      </c>
      <c r="W5" s="84">
        <v>0.34931506849315069</v>
      </c>
      <c r="X5" s="81" t="s">
        <v>127</v>
      </c>
      <c r="Y5" s="84">
        <v>0.29876373626373626</v>
      </c>
      <c r="Z5" s="81" t="s">
        <v>126</v>
      </c>
      <c r="AA5" s="84">
        <v>0.58101851851851849</v>
      </c>
      <c r="AB5" s="81" t="s">
        <v>126</v>
      </c>
      <c r="AC5" s="84">
        <v>0.48320413436692505</v>
      </c>
      <c r="AD5" s="81" t="s">
        <v>170</v>
      </c>
      <c r="AE5" s="84">
        <v>0.51543209876543206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203</v>
      </c>
      <c r="C6" s="80">
        <v>26.2</v>
      </c>
      <c r="D6" s="81" t="s">
        <v>170</v>
      </c>
      <c r="E6" s="93">
        <v>3.4763513513513553</v>
      </c>
      <c r="F6" s="81" t="s">
        <v>170</v>
      </c>
      <c r="G6" s="82">
        <v>1.9391891891891893</v>
      </c>
      <c r="H6" s="81" t="s">
        <v>228</v>
      </c>
      <c r="I6" s="83">
        <v>0.42857142857142855</v>
      </c>
      <c r="J6" s="81" t="s">
        <v>127</v>
      </c>
      <c r="K6" s="83">
        <v>0.31638418079096048</v>
      </c>
      <c r="L6" s="81" t="s">
        <v>126</v>
      </c>
      <c r="M6" s="84">
        <v>0.3408399269628728</v>
      </c>
      <c r="N6" s="81" t="s">
        <v>141</v>
      </c>
      <c r="O6" s="84">
        <v>0.15987498497415556</v>
      </c>
      <c r="P6" s="81" t="s">
        <v>171</v>
      </c>
      <c r="Q6" s="85">
        <v>8511.1428571428569</v>
      </c>
      <c r="R6" s="81" t="s">
        <v>126</v>
      </c>
      <c r="S6" s="85">
        <v>-7767.6470588235297</v>
      </c>
      <c r="T6" s="81" t="s">
        <v>161</v>
      </c>
      <c r="U6" s="83">
        <v>7.9545454545454544E-2</v>
      </c>
      <c r="V6" s="81" t="s">
        <v>170</v>
      </c>
      <c r="W6" s="84">
        <v>0.29595278246205736</v>
      </c>
      <c r="X6" s="81" t="s">
        <v>161</v>
      </c>
      <c r="Y6" s="84">
        <v>0.26282051282051283</v>
      </c>
      <c r="Z6" s="81" t="s">
        <v>196</v>
      </c>
      <c r="AA6" s="84">
        <v>0.56716417910447758</v>
      </c>
      <c r="AB6" s="81" t="s">
        <v>281</v>
      </c>
      <c r="AC6" s="84">
        <v>0.45454545454545453</v>
      </c>
      <c r="AD6" s="81" t="s">
        <v>172</v>
      </c>
      <c r="AE6" s="84">
        <v>0.46724890829694321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141</v>
      </c>
      <c r="C7" s="80">
        <v>-7.815970093361102E-14</v>
      </c>
      <c r="D7" s="81" t="s">
        <v>141</v>
      </c>
      <c r="E7" s="93">
        <v>-7.8003693546517987E-17</v>
      </c>
      <c r="F7" s="81" t="s">
        <v>127</v>
      </c>
      <c r="G7" s="82">
        <v>1.9717514124293785</v>
      </c>
      <c r="H7" s="81" t="s">
        <v>170</v>
      </c>
      <c r="I7" s="83">
        <v>0.38513513513513514</v>
      </c>
      <c r="J7" s="81" t="s">
        <v>170</v>
      </c>
      <c r="K7" s="83">
        <v>0.32432432432432434</v>
      </c>
      <c r="L7" s="81" t="s">
        <v>127</v>
      </c>
      <c r="M7" s="84">
        <v>0.31456043956043955</v>
      </c>
      <c r="N7" s="81" t="s">
        <v>161</v>
      </c>
      <c r="O7" s="84">
        <v>0.16282051282051282</v>
      </c>
      <c r="P7" s="81" t="s">
        <v>141</v>
      </c>
      <c r="Q7" s="85">
        <v>8432.8431372549021</v>
      </c>
      <c r="R7" s="81" t="s">
        <v>172</v>
      </c>
      <c r="S7" s="85">
        <v>-7813.9240506329115</v>
      </c>
      <c r="T7" s="81" t="s">
        <v>172</v>
      </c>
      <c r="U7" s="83">
        <v>0.08</v>
      </c>
      <c r="V7" s="81" t="s">
        <v>172</v>
      </c>
      <c r="W7" s="84">
        <v>0.27346465816917731</v>
      </c>
      <c r="X7" s="81" t="s">
        <v>126</v>
      </c>
      <c r="Y7" s="84">
        <v>0.23554473524041389</v>
      </c>
      <c r="Z7" s="81" t="s">
        <v>171</v>
      </c>
      <c r="AA7" s="84">
        <v>0.54798761609907121</v>
      </c>
      <c r="AB7" s="81" t="s">
        <v>197</v>
      </c>
      <c r="AC7" s="84">
        <v>0.43548387096774194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127</v>
      </c>
      <c r="C8" s="80">
        <v>-6.0000000000002061</v>
      </c>
      <c r="D8" s="81" t="s">
        <v>127</v>
      </c>
      <c r="E8" s="93">
        <v>-3.3898305084746928E-2</v>
      </c>
      <c r="F8" s="81" t="s">
        <v>141</v>
      </c>
      <c r="G8" s="82">
        <v>1.9970059880239521</v>
      </c>
      <c r="H8" s="81" t="s">
        <v>196</v>
      </c>
      <c r="I8" s="83">
        <v>0.35714285714285715</v>
      </c>
      <c r="J8" s="81" t="s">
        <v>141</v>
      </c>
      <c r="K8" s="83">
        <v>0.33233532934131738</v>
      </c>
      <c r="L8" s="81" t="s">
        <v>141</v>
      </c>
      <c r="M8" s="84">
        <v>0.29426613775694194</v>
      </c>
      <c r="N8" s="81" t="s">
        <v>274</v>
      </c>
      <c r="O8" s="84">
        <v>0.16438356164383561</v>
      </c>
      <c r="P8" s="81" t="s">
        <v>126</v>
      </c>
      <c r="Q8" s="85">
        <v>8258.75</v>
      </c>
      <c r="R8" s="81" t="s">
        <v>141</v>
      </c>
      <c r="S8" s="85">
        <v>-7857.2180451127815</v>
      </c>
      <c r="T8" s="81" t="s">
        <v>171</v>
      </c>
      <c r="U8" s="83">
        <v>8.2802547770700632E-2</v>
      </c>
      <c r="V8" s="81" t="s">
        <v>203</v>
      </c>
      <c r="W8" s="84">
        <v>0.26666666666666666</v>
      </c>
      <c r="X8" s="81" t="s">
        <v>141</v>
      </c>
      <c r="Y8" s="84">
        <v>0.23103738430099771</v>
      </c>
      <c r="Z8" s="81" t="s">
        <v>141</v>
      </c>
      <c r="AA8" s="84">
        <v>0.5467625899280576</v>
      </c>
      <c r="AB8" s="81" t="s">
        <v>141</v>
      </c>
      <c r="AC8" s="84">
        <v>0.42091571279916751</v>
      </c>
      <c r="AD8" s="81" t="s">
        <v>171</v>
      </c>
      <c r="AE8" s="84">
        <v>0.46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274</v>
      </c>
      <c r="C9" s="80">
        <v>-30.700000000000003</v>
      </c>
      <c r="D9" s="81" t="s">
        <v>171</v>
      </c>
      <c r="E9" s="93">
        <v>-0.52292993630573248</v>
      </c>
      <c r="F9" s="81" t="s">
        <v>274</v>
      </c>
      <c r="G9" s="82">
        <v>2</v>
      </c>
      <c r="H9" s="81" t="s">
        <v>274</v>
      </c>
      <c r="I9" s="83">
        <v>0.35294117647058826</v>
      </c>
      <c r="J9" s="81" t="s">
        <v>274</v>
      </c>
      <c r="K9" s="83">
        <v>0.35294117647058826</v>
      </c>
      <c r="L9" s="81" t="s">
        <v>171</v>
      </c>
      <c r="M9" s="84">
        <v>0.27733755942947702</v>
      </c>
      <c r="N9" s="81" t="s">
        <v>170</v>
      </c>
      <c r="O9" s="84">
        <v>0.17369308600337269</v>
      </c>
      <c r="P9" s="81" t="s">
        <v>197</v>
      </c>
      <c r="Q9" s="85">
        <v>8176.4285714285716</v>
      </c>
      <c r="R9" s="81" t="s">
        <v>274</v>
      </c>
      <c r="S9" s="85">
        <v>-7895.833333333333</v>
      </c>
      <c r="T9" s="81" t="s">
        <v>141</v>
      </c>
      <c r="U9" s="83">
        <v>9.6806387225548907E-2</v>
      </c>
      <c r="V9" s="81" t="s">
        <v>126</v>
      </c>
      <c r="W9" s="84">
        <v>0.26293365794278756</v>
      </c>
      <c r="X9" s="81" t="s">
        <v>197</v>
      </c>
      <c r="Y9" s="84">
        <v>0.22962962962962963</v>
      </c>
      <c r="Z9" s="81" t="s">
        <v>170</v>
      </c>
      <c r="AA9" s="84">
        <v>0.54131054131054135</v>
      </c>
      <c r="AB9" s="81" t="s">
        <v>171</v>
      </c>
      <c r="AC9" s="84">
        <v>0.41811846689895471</v>
      </c>
      <c r="AD9" s="81" t="s">
        <v>197</v>
      </c>
      <c r="AE9" s="84">
        <v>0.45714285714285713</v>
      </c>
      <c r="AF9" s="81" t="s">
        <v>161</v>
      </c>
      <c r="AG9" s="88">
        <v>87400</v>
      </c>
    </row>
    <row r="10" spans="1:33" x14ac:dyDescent="0.45">
      <c r="A10" s="78">
        <v>8</v>
      </c>
      <c r="B10" s="79" t="s">
        <v>280</v>
      </c>
      <c r="C10" s="80">
        <v>-80.800000000000011</v>
      </c>
      <c r="D10" s="81" t="s">
        <v>274</v>
      </c>
      <c r="E10" s="93">
        <v>-1.8058823529411767</v>
      </c>
      <c r="F10" s="81" t="s">
        <v>171</v>
      </c>
      <c r="G10" s="82">
        <v>2.0382165605095541</v>
      </c>
      <c r="H10" s="81" t="s">
        <v>127</v>
      </c>
      <c r="I10" s="83">
        <v>0.34463276836158191</v>
      </c>
      <c r="J10" s="81" t="s">
        <v>281</v>
      </c>
      <c r="K10" s="83">
        <v>0.375</v>
      </c>
      <c r="L10" s="81" t="s">
        <v>170</v>
      </c>
      <c r="M10" s="84">
        <v>0.27318718381112983</v>
      </c>
      <c r="N10" s="81" t="s">
        <v>196</v>
      </c>
      <c r="O10" s="84">
        <v>0.17509727626459143</v>
      </c>
      <c r="P10" s="81" t="s">
        <v>196</v>
      </c>
      <c r="Q10" s="85">
        <v>8150</v>
      </c>
      <c r="R10" s="81" t="s">
        <v>127</v>
      </c>
      <c r="S10" s="85">
        <v>-7970.3125</v>
      </c>
      <c r="T10" s="81" t="s">
        <v>127</v>
      </c>
      <c r="U10" s="83">
        <v>0.10169491525423729</v>
      </c>
      <c r="V10" s="81" t="s">
        <v>196</v>
      </c>
      <c r="W10" s="84">
        <v>0.26070038910505838</v>
      </c>
      <c r="X10" s="81" t="s">
        <v>171</v>
      </c>
      <c r="Y10" s="84">
        <v>0.22741679873217116</v>
      </c>
      <c r="Z10" s="81" t="s">
        <v>172</v>
      </c>
      <c r="AA10" s="84">
        <v>0.53813559322033899</v>
      </c>
      <c r="AB10" s="81" t="s">
        <v>172</v>
      </c>
      <c r="AC10" s="84">
        <v>0.40606060606060607</v>
      </c>
      <c r="AD10" s="81" t="s">
        <v>141</v>
      </c>
      <c r="AE10" s="84">
        <v>0.45179738562091504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171</v>
      </c>
      <c r="C11" s="80">
        <v>-82.1</v>
      </c>
      <c r="D11" s="81" t="s">
        <v>196</v>
      </c>
      <c r="E11" s="93">
        <v>-4.6285714285714281</v>
      </c>
      <c r="F11" s="81" t="s">
        <v>196</v>
      </c>
      <c r="G11" s="82">
        <v>2.0714285714285716</v>
      </c>
      <c r="H11" s="81" t="s">
        <v>141</v>
      </c>
      <c r="I11" s="83">
        <v>0.33532934131736525</v>
      </c>
      <c r="J11" s="81" t="s">
        <v>172</v>
      </c>
      <c r="K11" s="83">
        <v>0.4</v>
      </c>
      <c r="L11" s="81" t="s">
        <v>161</v>
      </c>
      <c r="M11" s="84">
        <v>0.27307692307692305</v>
      </c>
      <c r="N11" s="81" t="s">
        <v>127</v>
      </c>
      <c r="O11" s="84">
        <v>0.17582417582417584</v>
      </c>
      <c r="P11" s="81" t="s">
        <v>127</v>
      </c>
      <c r="Q11" s="85">
        <v>7938.6462882096066</v>
      </c>
      <c r="R11" s="81" t="s">
        <v>280</v>
      </c>
      <c r="S11" s="85">
        <v>-7987.5</v>
      </c>
      <c r="T11" s="81" t="s">
        <v>170</v>
      </c>
      <c r="U11" s="83">
        <v>0.12837837837837837</v>
      </c>
      <c r="V11" s="81" t="s">
        <v>171</v>
      </c>
      <c r="W11" s="84">
        <v>0.25594294770206022</v>
      </c>
      <c r="X11" s="81" t="s">
        <v>172</v>
      </c>
      <c r="Y11" s="84">
        <v>0.19119351100811124</v>
      </c>
      <c r="Z11" s="81" t="s">
        <v>161</v>
      </c>
      <c r="AA11" s="84">
        <v>0.53636363636363638</v>
      </c>
      <c r="AB11" s="81" t="s">
        <v>161</v>
      </c>
      <c r="AC11" s="84">
        <v>0.39512195121951221</v>
      </c>
      <c r="AD11" s="81" t="s">
        <v>161</v>
      </c>
      <c r="AE11" s="84">
        <v>0.43661971830985913</v>
      </c>
      <c r="AF11" s="81" t="s">
        <v>281</v>
      </c>
      <c r="AG11" s="88">
        <v>70900</v>
      </c>
    </row>
    <row r="12" spans="1:33" x14ac:dyDescent="0.45">
      <c r="A12" s="78">
        <v>10</v>
      </c>
      <c r="B12" s="79" t="s">
        <v>228</v>
      </c>
      <c r="C12" s="80">
        <v>-104.80000000000001</v>
      </c>
      <c r="D12" s="81" t="s">
        <v>161</v>
      </c>
      <c r="E12" s="93">
        <v>-6.792045454545458</v>
      </c>
      <c r="F12" s="81" t="s">
        <v>228</v>
      </c>
      <c r="G12" s="82">
        <v>2.1428571428571428</v>
      </c>
      <c r="H12" s="81" t="s">
        <v>161</v>
      </c>
      <c r="I12" s="83">
        <v>0.28409090909090912</v>
      </c>
      <c r="J12" s="81" t="s">
        <v>280</v>
      </c>
      <c r="K12" s="83">
        <v>0.4</v>
      </c>
      <c r="L12" s="81" t="s">
        <v>172</v>
      </c>
      <c r="M12" s="84">
        <v>0.26535341830822712</v>
      </c>
      <c r="N12" s="81" t="s">
        <v>197</v>
      </c>
      <c r="O12" s="84">
        <v>0.17777777777777778</v>
      </c>
      <c r="P12" s="81" t="s">
        <v>172</v>
      </c>
      <c r="Q12" s="85">
        <v>7835.8078602620089</v>
      </c>
      <c r="R12" s="81" t="s">
        <v>203</v>
      </c>
      <c r="S12" s="85">
        <v>-8000</v>
      </c>
      <c r="T12" s="81" t="s">
        <v>197</v>
      </c>
      <c r="U12" s="83">
        <v>0.15384615384615385</v>
      </c>
      <c r="V12" s="81" t="s">
        <v>141</v>
      </c>
      <c r="W12" s="84">
        <v>0.25063108546700325</v>
      </c>
      <c r="X12" s="81" t="s">
        <v>170</v>
      </c>
      <c r="Y12" s="84">
        <v>0.18465430016863407</v>
      </c>
      <c r="Z12" s="81" t="s">
        <v>228</v>
      </c>
      <c r="AA12" s="84">
        <v>0.53333333333333333</v>
      </c>
      <c r="AB12" s="81" t="s">
        <v>127</v>
      </c>
      <c r="AC12" s="84">
        <v>0.39310344827586208</v>
      </c>
      <c r="AD12" s="81" t="s">
        <v>126</v>
      </c>
      <c r="AE12" s="84">
        <v>0.42321428571428571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196</v>
      </c>
      <c r="C13" s="80">
        <v>-129.6</v>
      </c>
      <c r="D13" s="81" t="s">
        <v>172</v>
      </c>
      <c r="E13" s="93">
        <v>-7.5269999999999992</v>
      </c>
      <c r="F13" s="81" t="s">
        <v>161</v>
      </c>
      <c r="G13" s="82">
        <v>2.1590909090909092</v>
      </c>
      <c r="H13" s="81" t="s">
        <v>171</v>
      </c>
      <c r="I13" s="83">
        <v>0.26114649681528662</v>
      </c>
      <c r="J13" s="81" t="s">
        <v>196</v>
      </c>
      <c r="K13" s="83">
        <v>0.42857142857142855</v>
      </c>
      <c r="L13" s="81" t="s">
        <v>197</v>
      </c>
      <c r="M13" s="84">
        <v>0.25925925925925924</v>
      </c>
      <c r="N13" s="81" t="s">
        <v>172</v>
      </c>
      <c r="O13" s="84">
        <v>0.18308227114716108</v>
      </c>
      <c r="P13" s="81" t="s">
        <v>228</v>
      </c>
      <c r="Q13" s="85">
        <v>7473.333333333333</v>
      </c>
      <c r="R13" s="81" t="s">
        <v>170</v>
      </c>
      <c r="S13" s="85">
        <v>-8384.9514563106804</v>
      </c>
      <c r="T13" s="81" t="s">
        <v>274</v>
      </c>
      <c r="U13" s="83">
        <v>0.17647058823529413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197</v>
      </c>
      <c r="AA13" s="84">
        <v>0.51754385964912286</v>
      </c>
      <c r="AB13" s="81" t="s">
        <v>170</v>
      </c>
      <c r="AC13" s="84">
        <v>0.38356164383561642</v>
      </c>
      <c r="AD13" s="81" t="s">
        <v>127</v>
      </c>
      <c r="AE13" s="84">
        <v>0.41703056768558949</v>
      </c>
      <c r="AF13" s="81" t="s">
        <v>274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-597.70000000000027</v>
      </c>
      <c r="D14" s="81" t="s">
        <v>197</v>
      </c>
      <c r="E14" s="93">
        <v>-10.290769230769232</v>
      </c>
      <c r="F14" s="81" t="s">
        <v>172</v>
      </c>
      <c r="G14" s="82">
        <v>2.19</v>
      </c>
      <c r="H14" s="81" t="s">
        <v>172</v>
      </c>
      <c r="I14" s="83">
        <v>0.21</v>
      </c>
      <c r="J14" s="81" t="s">
        <v>197</v>
      </c>
      <c r="K14" s="83">
        <v>0.43076923076923079</v>
      </c>
      <c r="L14" s="81" t="s">
        <v>196</v>
      </c>
      <c r="M14" s="84">
        <v>0.25680933852140075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-8397.9166666666661</v>
      </c>
      <c r="T14" s="81" t="s">
        <v>196</v>
      </c>
      <c r="U14" s="83">
        <v>0.17857142857142858</v>
      </c>
      <c r="V14" s="81" t="s">
        <v>127</v>
      </c>
      <c r="W14" s="84">
        <v>0.23282967032967034</v>
      </c>
      <c r="X14" s="81" t="s">
        <v>196</v>
      </c>
      <c r="Y14" s="84">
        <v>0.1517509727626459</v>
      </c>
      <c r="Z14" s="81" t="s">
        <v>127</v>
      </c>
      <c r="AA14" s="84">
        <v>0.51327433628318586</v>
      </c>
      <c r="AB14" s="81" t="s">
        <v>196</v>
      </c>
      <c r="AC14" s="84">
        <v>0.35897435897435898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5">
      <c r="A15" s="78">
        <v>13</v>
      </c>
      <c r="B15" s="79" t="s">
        <v>197</v>
      </c>
      <c r="C15" s="80">
        <v>-668.90000000000009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161</v>
      </c>
      <c r="K15" s="83">
        <v>0.44318181818181818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7107.9812206572769</v>
      </c>
      <c r="R15" s="81" t="s">
        <v>281</v>
      </c>
      <c r="S15" s="85">
        <v>-8437.5</v>
      </c>
      <c r="T15" s="81" t="s">
        <v>280</v>
      </c>
      <c r="U15" s="83">
        <v>0.2</v>
      </c>
      <c r="V15" s="81" t="s">
        <v>197</v>
      </c>
      <c r="W15" s="84">
        <v>0.21111111111111111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5">
      <c r="A16" s="78">
        <v>14</v>
      </c>
      <c r="B16" s="79" t="s">
        <v>172</v>
      </c>
      <c r="C16" s="80">
        <v>-752.69999999999993</v>
      </c>
      <c r="D16" s="81" t="s">
        <v>280</v>
      </c>
      <c r="E16" s="93">
        <v>-16.160000000000004</v>
      </c>
      <c r="F16" s="81" t="s">
        <v>197</v>
      </c>
      <c r="G16" s="82">
        <v>2.2615384615384615</v>
      </c>
      <c r="H16" s="81" t="s">
        <v>197</v>
      </c>
      <c r="I16" s="83">
        <v>0.16923076923076924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6555.7692307692305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0.14102564102564102</v>
      </c>
      <c r="X16" s="81" t="s">
        <v>274</v>
      </c>
      <c r="Y16" s="84">
        <v>0.11643835616438356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A6EC4-2334-478F-98A5-E0D233397B9F}">
  <sheetPr codeName="Sheet4"/>
  <dimension ref="A1:Q100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1002</v>
      </c>
      <c r="C2" s="155"/>
      <c r="E2" s="58" t="s">
        <v>66</v>
      </c>
      <c r="F2" s="55" t="s">
        <v>22</v>
      </c>
      <c r="G2" s="43">
        <v>1822</v>
      </c>
      <c r="H2" s="128">
        <f>IF(B$15=0,0,G2/B$15)</f>
        <v>0.74428104575163401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-27.190332326283986</v>
      </c>
      <c r="P2" s="114">
        <v>993</v>
      </c>
      <c r="Q2" s="98">
        <v>-27000</v>
      </c>
    </row>
    <row r="3" spans="1:17" x14ac:dyDescent="0.45">
      <c r="A3" s="51" t="s">
        <v>8</v>
      </c>
      <c r="B3" s="156">
        <v>8319</v>
      </c>
      <c r="C3" s="157"/>
      <c r="E3" s="59" t="s">
        <v>72</v>
      </c>
      <c r="F3" s="56" t="s">
        <v>27</v>
      </c>
      <c r="G3" s="44">
        <v>1326</v>
      </c>
      <c r="H3" s="129">
        <f>IF(B$15=0,0,G3/B$15)</f>
        <v>0.54166666666666663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7.1794871794871797</v>
      </c>
      <c r="P3" s="115">
        <v>975</v>
      </c>
      <c r="Q3" s="99">
        <v>7000</v>
      </c>
    </row>
    <row r="4" spans="1:17" x14ac:dyDescent="0.45">
      <c r="A4" s="51" t="s">
        <v>6</v>
      </c>
      <c r="B4" s="158">
        <v>-7.815970093361102E-14</v>
      </c>
      <c r="C4" s="159"/>
      <c r="E4" s="59" t="s">
        <v>64</v>
      </c>
      <c r="F4" s="56" t="s">
        <v>20</v>
      </c>
      <c r="G4" s="44">
        <v>1104</v>
      </c>
      <c r="H4" s="129">
        <f>IF(B$15=0,0,G4/B$15)</f>
        <v>0.45098039215686275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-1.0857763300760044</v>
      </c>
      <c r="P4" s="115">
        <v>921</v>
      </c>
      <c r="Q4" s="99">
        <v>-1000</v>
      </c>
    </row>
    <row r="5" spans="1:17" x14ac:dyDescent="0.45">
      <c r="A5" s="51" t="s">
        <v>7</v>
      </c>
      <c r="B5" s="160">
        <f>IF(B$2=0,0,B$4/B$2)</f>
        <v>-7.8003693546517987E-17</v>
      </c>
      <c r="C5" s="161"/>
      <c r="E5" s="59" t="s">
        <v>166</v>
      </c>
      <c r="F5" s="56" t="s">
        <v>167</v>
      </c>
      <c r="G5" s="44">
        <v>959</v>
      </c>
      <c r="H5" s="129">
        <f>IF(B$15=0,0,G5/B$15)</f>
        <v>0.39174836601307189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-2.3228803716608595</v>
      </c>
      <c r="P5" s="115">
        <v>861</v>
      </c>
      <c r="Q5" s="99">
        <v>-2000</v>
      </c>
    </row>
    <row r="6" spans="1:17" x14ac:dyDescent="0.45">
      <c r="A6" s="51" t="s">
        <v>1</v>
      </c>
      <c r="B6" s="150">
        <f>IF(B$2=0,0,(B$7*1+B$8*2+B$9*3)/B$2)</f>
        <v>1.9970059880239521</v>
      </c>
      <c r="C6" s="151"/>
      <c r="E6" s="59" t="s">
        <v>68</v>
      </c>
      <c r="F6" s="56" t="s">
        <v>12</v>
      </c>
      <c r="G6" s="44">
        <v>767</v>
      </c>
      <c r="H6" s="129">
        <f>IF(B$15=0,0,G6/B$15)</f>
        <v>0.31331699346405228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10.062893081761006</v>
      </c>
      <c r="P6" s="115">
        <v>795</v>
      </c>
      <c r="Q6" s="99">
        <v>8000</v>
      </c>
    </row>
    <row r="7" spans="1:17" x14ac:dyDescent="0.45">
      <c r="A7" s="51" t="s">
        <v>2</v>
      </c>
      <c r="B7" s="44">
        <v>336</v>
      </c>
      <c r="C7" s="37">
        <f t="shared" ref="C7:C10" si="1">IF(B$2=0,0,B7/B$2)</f>
        <v>0.33532934131736525</v>
      </c>
      <c r="E7" s="59" t="s">
        <v>67</v>
      </c>
      <c r="F7" s="56" t="s">
        <v>23</v>
      </c>
      <c r="G7" s="44">
        <v>677</v>
      </c>
      <c r="H7" s="129">
        <f>IF(B$15=0,0,G7/B$15)</f>
        <v>0.27655228758169936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19.877675840978593</v>
      </c>
      <c r="P7" s="116">
        <v>654</v>
      </c>
      <c r="Q7" s="100">
        <v>13000</v>
      </c>
    </row>
    <row r="8" spans="1:17" x14ac:dyDescent="0.45">
      <c r="A8" s="51" t="s">
        <v>3</v>
      </c>
      <c r="B8" s="44">
        <v>333</v>
      </c>
      <c r="C8" s="37">
        <f t="shared" si="1"/>
        <v>0.33233532934131738</v>
      </c>
      <c r="E8" s="59" t="s">
        <v>69</v>
      </c>
      <c r="F8" s="56" t="s">
        <v>24</v>
      </c>
      <c r="G8" s="44">
        <v>342</v>
      </c>
      <c r="H8" s="129">
        <f>IF(B$15=0,0,G8/B$15)</f>
        <v>0.13970588235294118</v>
      </c>
      <c r="I8" s="90">
        <v>7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333</v>
      </c>
      <c r="C9" s="38">
        <f t="shared" si="1"/>
        <v>0.33233532934131738</v>
      </c>
      <c r="E9" s="59" t="s">
        <v>89</v>
      </c>
      <c r="F9" s="56" t="s">
        <v>44</v>
      </c>
      <c r="G9" s="44">
        <v>341</v>
      </c>
      <c r="H9" s="129">
        <f>IF(B$15=0,0,G9/B$15)</f>
        <v>0.13929738562091504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97</v>
      </c>
      <c r="C10" s="40">
        <f t="shared" si="1"/>
        <v>9.6806387225548907E-2</v>
      </c>
      <c r="E10" s="59" t="s">
        <v>65</v>
      </c>
      <c r="F10" s="56" t="s">
        <v>21</v>
      </c>
      <c r="G10" s="44">
        <v>255</v>
      </c>
      <c r="H10" s="129">
        <f>IF(B$15=0,0,G10/B$15)</f>
        <v>0.10416666666666667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-3.7396396396396403</v>
      </c>
      <c r="P10" s="114">
        <v>333</v>
      </c>
      <c r="Q10" s="102">
        <v>-1245.3000000000002</v>
      </c>
    </row>
    <row r="11" spans="1:17" x14ac:dyDescent="0.45">
      <c r="A11" s="54" t="s">
        <v>121</v>
      </c>
      <c r="B11" s="47">
        <v>2085</v>
      </c>
      <c r="C11" s="42">
        <f>IF(B$3=0,0,B11/B$3)</f>
        <v>0.25063108546700325</v>
      </c>
      <c r="E11" s="59" t="s">
        <v>70</v>
      </c>
      <c r="F11" s="56" t="s">
        <v>25</v>
      </c>
      <c r="G11" s="44">
        <v>230</v>
      </c>
      <c r="H11" s="129">
        <f>IF(B$15=0,0,G11/B$15)</f>
        <v>9.3954248366013071E-2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0.79549549549549559</v>
      </c>
      <c r="P11" s="115">
        <v>333</v>
      </c>
      <c r="Q11" s="103">
        <v>264.90000000000003</v>
      </c>
    </row>
    <row r="12" spans="1:17" x14ac:dyDescent="0.45">
      <c r="A12" s="51" t="s">
        <v>118</v>
      </c>
      <c r="B12" s="44">
        <v>1922</v>
      </c>
      <c r="C12" s="37">
        <f>IF(B$3=0,0,B12/B$3)</f>
        <v>0.23103738430099771</v>
      </c>
      <c r="E12" s="59" t="s">
        <v>71</v>
      </c>
      <c r="F12" s="56" t="s">
        <v>26</v>
      </c>
      <c r="G12" s="44">
        <v>199</v>
      </c>
      <c r="H12" s="129">
        <f>IF(B$15=0,0,G12/B$15)</f>
        <v>8.1290849673202617E-2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2.9441441441441429</v>
      </c>
      <c r="P12" s="116">
        <v>333</v>
      </c>
      <c r="Q12" s="104">
        <v>980.39999999999964</v>
      </c>
    </row>
    <row r="13" spans="1:17" x14ac:dyDescent="0.45">
      <c r="A13" s="50" t="s">
        <v>123</v>
      </c>
      <c r="B13" s="43">
        <f>B19</f>
        <v>1140</v>
      </c>
      <c r="C13" s="35">
        <f>IF(B$11=0,0,B13/B$11)</f>
        <v>0.5467625899280576</v>
      </c>
      <c r="E13" s="59" t="s">
        <v>86</v>
      </c>
      <c r="F13" s="56" t="s">
        <v>41</v>
      </c>
      <c r="G13" s="44">
        <v>121</v>
      </c>
      <c r="H13" s="129">
        <f>IF(B$15=0,0,G13/B$15)</f>
        <v>4.9428104575163397E-2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809</v>
      </c>
      <c r="C14" s="35">
        <f>IF(B$12=0,0,B14/B$12)</f>
        <v>0.42091571279916751</v>
      </c>
      <c r="E14" s="59" t="s">
        <v>83</v>
      </c>
      <c r="F14" s="56" t="s">
        <v>38</v>
      </c>
      <c r="G14" s="44">
        <v>119</v>
      </c>
      <c r="H14" s="129">
        <f>IF(B$15=0,0,G14/B$15)</f>
        <v>4.8611111111111112E-2</v>
      </c>
      <c r="I14" s="90">
        <v>6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2448</v>
      </c>
      <c r="C15" s="35">
        <f>IF(B$3=0,0,B15/B$3)</f>
        <v>0.29426613775694194</v>
      </c>
      <c r="E15" s="59" t="s">
        <v>78</v>
      </c>
      <c r="F15" s="56" t="s">
        <v>33</v>
      </c>
      <c r="G15" s="44">
        <v>66</v>
      </c>
      <c r="H15" s="129">
        <f>IF(B$15=0,0,G15/B$15)</f>
        <v>2.6960784313725492E-2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1330</v>
      </c>
      <c r="C16" s="37">
        <f>IF(B$3=0,0,B16/B$3)</f>
        <v>0.15987498497415556</v>
      </c>
      <c r="E16" s="59" t="s">
        <v>81</v>
      </c>
      <c r="F16" s="56" t="s">
        <v>36</v>
      </c>
      <c r="G16" s="44">
        <v>55</v>
      </c>
      <c r="H16" s="129">
        <f>IF(B$15=0,0,G16/B$15)</f>
        <v>2.2467320261437908E-2</v>
      </c>
      <c r="I16" s="90">
        <v>5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1106</v>
      </c>
      <c r="C17" s="37">
        <f>IF(B$15=0,0,B17/B$15)</f>
        <v>0.45179738562091504</v>
      </c>
      <c r="E17" s="59" t="s">
        <v>162</v>
      </c>
      <c r="F17" s="56" t="s">
        <v>163</v>
      </c>
      <c r="G17" s="44">
        <v>49</v>
      </c>
      <c r="H17" s="129">
        <f>IF(B$15=0,0,G17/B$15)</f>
        <v>2.0016339869281044E-2</v>
      </c>
      <c r="I17" s="90">
        <v>3</v>
      </c>
      <c r="K17" s="36">
        <v>15</v>
      </c>
      <c r="L17" s="95">
        <v>0</v>
      </c>
      <c r="N17" s="111" t="s">
        <v>197</v>
      </c>
      <c r="O17" s="121">
        <f>IF(P17=0,0,Q17/P17)</f>
        <v>15.436153846153831</v>
      </c>
      <c r="P17" s="115">
        <v>130</v>
      </c>
      <c r="Q17" s="103">
        <v>2006.699999999998</v>
      </c>
    </row>
    <row r="18" spans="1:17" x14ac:dyDescent="0.45">
      <c r="A18" s="51" t="s">
        <v>11</v>
      </c>
      <c r="B18" s="44">
        <v>1342</v>
      </c>
      <c r="C18" s="37">
        <f>IF(B$15=0,0,B18/B$15)</f>
        <v>0.54820261437908502</v>
      </c>
      <c r="E18" s="59" t="s">
        <v>91</v>
      </c>
      <c r="F18" s="56" t="s">
        <v>46</v>
      </c>
      <c r="G18" s="44">
        <v>40</v>
      </c>
      <c r="H18" s="129">
        <f>IF(B$15=0,0,G18/B$15)</f>
        <v>1.6339869281045753E-2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11.290499999999994</v>
      </c>
      <c r="P18" s="115">
        <v>200</v>
      </c>
      <c r="Q18" s="103">
        <v>2258.099999999999</v>
      </c>
    </row>
    <row r="19" spans="1:17" x14ac:dyDescent="0.45">
      <c r="A19" s="51" t="s">
        <v>195</v>
      </c>
      <c r="B19" s="44">
        <v>1140</v>
      </c>
      <c r="C19" s="37">
        <f>IF(B$15=0,0,B19/B$15)</f>
        <v>0.46568627450980393</v>
      </c>
      <c r="E19" s="59" t="s">
        <v>79</v>
      </c>
      <c r="F19" s="56" t="s">
        <v>34</v>
      </c>
      <c r="G19" s="44">
        <v>36</v>
      </c>
      <c r="H19" s="129">
        <f>IF(B$15=0,0,G19/B$15)</f>
        <v>1.4705882352941176E-2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7.6749999999999936</v>
      </c>
      <c r="P19" s="115">
        <v>192</v>
      </c>
      <c r="Q19" s="103">
        <v>1473.5999999999988</v>
      </c>
    </row>
    <row r="20" spans="1:17" x14ac:dyDescent="0.45">
      <c r="A20" s="51" t="s">
        <v>193</v>
      </c>
      <c r="B20" s="44">
        <v>809</v>
      </c>
      <c r="C20" s="37">
        <f>IF(B$15=0,0,B20/B$15)</f>
        <v>0.33047385620915032</v>
      </c>
      <c r="E20" s="59" t="s">
        <v>75</v>
      </c>
      <c r="F20" s="56" t="s">
        <v>30</v>
      </c>
      <c r="G20" s="44">
        <v>19</v>
      </c>
      <c r="H20" s="129">
        <f>IF(B$15=0,0,G20/B$15)</f>
        <v>7.7614379084967322E-3</v>
      </c>
      <c r="I20" s="90">
        <v>6</v>
      </c>
      <c r="K20" s="36">
        <v>18</v>
      </c>
      <c r="L20" s="95">
        <v>0</v>
      </c>
      <c r="N20" s="111" t="s">
        <v>196</v>
      </c>
      <c r="O20" s="121">
        <f>IF(P20=0,0,Q20/P20)</f>
        <v>6.9428571428571439</v>
      </c>
      <c r="P20" s="115">
        <v>56</v>
      </c>
      <c r="Q20" s="103">
        <v>388.80000000000007</v>
      </c>
    </row>
    <row r="21" spans="1:17" x14ac:dyDescent="0.45">
      <c r="A21" s="51" t="s">
        <v>194</v>
      </c>
      <c r="B21" s="44">
        <v>499</v>
      </c>
      <c r="C21" s="37">
        <f>IF(B$15=0,0,B21/B$15)</f>
        <v>0.20383986928104575</v>
      </c>
      <c r="E21" s="59" t="s">
        <v>92</v>
      </c>
      <c r="F21" s="56" t="s">
        <v>47</v>
      </c>
      <c r="G21" s="44">
        <v>19</v>
      </c>
      <c r="H21" s="129">
        <f>IF(B$15=0,0,G21/B$15)</f>
        <v>7.7614379084967322E-3</v>
      </c>
      <c r="I21" s="90">
        <v>4</v>
      </c>
      <c r="K21" s="36">
        <v>19</v>
      </c>
      <c r="L21" s="95">
        <v>-22.4</v>
      </c>
      <c r="N21" s="111" t="s">
        <v>274</v>
      </c>
      <c r="O21" s="121">
        <f>IF(P21=0,0,Q21/P21)</f>
        <v>2.7088235294117613</v>
      </c>
      <c r="P21" s="115">
        <v>34</v>
      </c>
      <c r="Q21" s="103">
        <v>92.099999999999881</v>
      </c>
    </row>
    <row r="22" spans="1:17" x14ac:dyDescent="0.45">
      <c r="A22" s="51" t="s">
        <v>5</v>
      </c>
      <c r="B22" s="48">
        <f>IF(B$15=0,0,C22/B$15)</f>
        <v>8432.8431372549021</v>
      </c>
      <c r="C22" s="39">
        <v>20643600</v>
      </c>
      <c r="E22" s="59" t="s">
        <v>85</v>
      </c>
      <c r="F22" s="56" t="s">
        <v>40</v>
      </c>
      <c r="G22" s="44">
        <v>14</v>
      </c>
      <c r="H22" s="129">
        <f>IF(B$15=0,0,G22/B$15)</f>
        <v>5.7189542483660127E-3</v>
      </c>
      <c r="I22" s="90">
        <v>6</v>
      </c>
      <c r="K22" s="36">
        <v>20</v>
      </c>
      <c r="L22" s="95">
        <v>-61.199999999999996</v>
      </c>
      <c r="N22" s="111" t="s">
        <v>171</v>
      </c>
      <c r="O22" s="121">
        <f>IF(P22=0,0,Q22/P22)</f>
        <v>0.78439490445859905</v>
      </c>
      <c r="P22" s="115">
        <v>314</v>
      </c>
      <c r="Q22" s="103">
        <v>246.3000000000001</v>
      </c>
    </row>
    <row r="23" spans="1:17" x14ac:dyDescent="0.45">
      <c r="A23" s="52" t="s">
        <v>177</v>
      </c>
      <c r="B23" s="136">
        <f>IF($B$15-B$14=0,0,C23/($B$15-B$14))</f>
        <v>9141.8547895057964</v>
      </c>
      <c r="C23" s="137">
        <v>14983500</v>
      </c>
      <c r="E23" s="59" t="s">
        <v>73</v>
      </c>
      <c r="F23" s="56" t="s">
        <v>28</v>
      </c>
      <c r="G23" s="44">
        <v>8</v>
      </c>
      <c r="H23" s="129">
        <f>IF(B$15=0,0,G23/B$15)</f>
        <v>3.2679738562091504E-3</v>
      </c>
      <c r="I23" s="90">
        <v>3</v>
      </c>
      <c r="K23" s="36">
        <v>21</v>
      </c>
      <c r="L23" s="95">
        <v>7.1054273576010019E-15</v>
      </c>
      <c r="N23" s="111" t="s">
        <v>127</v>
      </c>
      <c r="O23" s="121">
        <f>IF(P23=0,0,Q23/P23)</f>
        <v>5.0847457627115254E-2</v>
      </c>
      <c r="P23" s="115">
        <v>354</v>
      </c>
      <c r="Q23" s="103">
        <v>17.999999999998799</v>
      </c>
    </row>
    <row r="24" spans="1:17" x14ac:dyDescent="0.45">
      <c r="A24" s="52" t="s">
        <v>178</v>
      </c>
      <c r="B24" s="136">
        <f>IF(B$14=0,0,C24/B$14)</f>
        <v>6996.4153275648951</v>
      </c>
      <c r="C24" s="137">
        <v>5660100</v>
      </c>
      <c r="E24" s="59" t="s">
        <v>74</v>
      </c>
      <c r="F24" s="56" t="s">
        <v>29</v>
      </c>
      <c r="G24" s="44">
        <v>8</v>
      </c>
      <c r="H24" s="129">
        <f>IF(B$15=0,0,G24/B$15)</f>
        <v>3.2679738562091504E-3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-5.2145270270270201</v>
      </c>
      <c r="P24" s="115">
        <v>296</v>
      </c>
      <c r="Q24" s="103">
        <v>-1543.499999999998</v>
      </c>
    </row>
    <row r="25" spans="1:17" x14ac:dyDescent="0.45">
      <c r="A25" s="52" t="s">
        <v>176</v>
      </c>
      <c r="B25" s="136">
        <f>IF(B$16=0,0,C25/B$16)</f>
        <v>-7857.2180451127815</v>
      </c>
      <c r="C25" s="137">
        <v>-10450100</v>
      </c>
      <c r="E25" s="59" t="s">
        <v>84</v>
      </c>
      <c r="F25" s="56" t="s">
        <v>39</v>
      </c>
      <c r="G25" s="44">
        <v>8</v>
      </c>
      <c r="H25" s="129">
        <f>IF(B$15=0,0,G25/B$15)</f>
        <v>3.2679738562091504E-3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-13.54575</v>
      </c>
      <c r="P25" s="115">
        <v>400</v>
      </c>
      <c r="Q25" s="103">
        <v>-5418.3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88</v>
      </c>
      <c r="F26" s="56" t="s">
        <v>43</v>
      </c>
      <c r="G26" s="44">
        <v>7</v>
      </c>
      <c r="H26" s="129">
        <f>IF(B$15=0,0,G26/B$15)</f>
        <v>2.8594771241830064E-3</v>
      </c>
      <c r="I26" s="90">
        <v>5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3</v>
      </c>
      <c r="E27" s="59" t="s">
        <v>77</v>
      </c>
      <c r="F27" s="56" t="s">
        <v>32</v>
      </c>
      <c r="G27" s="44">
        <v>6</v>
      </c>
      <c r="H27" s="129">
        <f>IF(B$15=0,0,G27/B$15)</f>
        <v>2.4509803921568627E-3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5</v>
      </c>
      <c r="H28" s="129">
        <f>IF(B$15=0,0,G28/B$15)</f>
        <v>2.0424836601307191E-3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1.6339869281045752E-3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23</v>
      </c>
      <c r="C30" s="40">
        <f>IF(B$3=0,0,B30/B$3)</f>
        <v>2.7647553792523138E-3</v>
      </c>
      <c r="E30" s="59" t="s">
        <v>93</v>
      </c>
      <c r="F30" s="56" t="s">
        <v>48</v>
      </c>
      <c r="G30" s="44">
        <v>4</v>
      </c>
      <c r="H30" s="129">
        <f>IF(B$15=0,0,G30/B$15)</f>
        <v>1.6339869281045752E-3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95</v>
      </c>
      <c r="F31" s="56" t="s">
        <v>50</v>
      </c>
      <c r="G31" s="44">
        <v>4</v>
      </c>
      <c r="H31" s="129">
        <f>IF(B$15=0,0,G31/B$15)</f>
        <v>1.6339869281045752E-3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192</v>
      </c>
      <c r="C32" s="141">
        <f>IF(B$15=0,0,B32/B$15)</f>
        <v>7.8431372549019607E-2</v>
      </c>
      <c r="E32" s="59" t="s">
        <v>97</v>
      </c>
      <c r="F32" s="56" t="s">
        <v>52</v>
      </c>
      <c r="G32" s="44">
        <v>1</v>
      </c>
      <c r="H32" s="129">
        <f>IF(B$15=0,0,G32/B$15)</f>
        <v>4.084967320261438E-4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421</v>
      </c>
      <c r="C33" s="37">
        <f t="shared" ref="C33:C44" si="2">IF(B$15=0,0,B33/B$15)</f>
        <v>0.17197712418300654</v>
      </c>
      <c r="E33" s="59" t="s">
        <v>101</v>
      </c>
      <c r="F33" s="56" t="s">
        <v>56</v>
      </c>
      <c r="G33" s="44">
        <v>1</v>
      </c>
      <c r="H33" s="129">
        <f>IF(B$15=0,0,G33/B$15)</f>
        <v>4.084967320261438E-4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472</v>
      </c>
      <c r="C34" s="37">
        <f>IF(B$15=0,0,B34/B$15)</f>
        <v>0.19281045751633988</v>
      </c>
      <c r="E34" s="59" t="s">
        <v>106</v>
      </c>
      <c r="F34" s="56" t="s">
        <v>113</v>
      </c>
      <c r="G34" s="44">
        <v>1</v>
      </c>
      <c r="H34" s="129">
        <f>IF(B$15=0,0,G34/B$15)</f>
        <v>4.084967320261438E-4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437</v>
      </c>
      <c r="C35" s="37">
        <f t="shared" si="2"/>
        <v>0.17851307189542484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379</v>
      </c>
      <c r="C36" s="37">
        <f t="shared" si="2"/>
        <v>0.1548202614379085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261</v>
      </c>
      <c r="C37" s="37">
        <f t="shared" si="2"/>
        <v>0.10661764705882353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128</v>
      </c>
      <c r="C38" s="37">
        <f t="shared" si="2"/>
        <v>5.2287581699346407E-2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71</v>
      </c>
      <c r="C39" s="37">
        <f t="shared" si="2"/>
        <v>2.900326797385621E-2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31</v>
      </c>
      <c r="C40" s="37">
        <f t="shared" si="2"/>
        <v>1.2663398692810458E-2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11</v>
      </c>
      <c r="C41" s="37">
        <f t="shared" si="2"/>
        <v>4.4934640522875813E-3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7</v>
      </c>
      <c r="C42" s="37">
        <f t="shared" si="2"/>
        <v>2.8594771241830064E-3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2.4509803921568627E-3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32</v>
      </c>
      <c r="C44" s="40">
        <f t="shared" si="2"/>
        <v>1.3071895424836602E-2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  <row r="852" spans="11:12" x14ac:dyDescent="0.45">
      <c r="K852" s="36">
        <v>850</v>
      </c>
      <c r="L852" s="95">
        <v>-28.80000000000005</v>
      </c>
    </row>
    <row r="853" spans="11:12" x14ac:dyDescent="0.45">
      <c r="K853" s="36">
        <v>851</v>
      </c>
      <c r="L853" s="95">
        <v>-87.100000000000051</v>
      </c>
    </row>
    <row r="854" spans="11:12" x14ac:dyDescent="0.45">
      <c r="K854" s="36">
        <v>852</v>
      </c>
      <c r="L854" s="95">
        <v>-5.6843418860808015E-14</v>
      </c>
    </row>
    <row r="855" spans="11:12" x14ac:dyDescent="0.45">
      <c r="K855" s="36">
        <v>853</v>
      </c>
      <c r="L855" s="95">
        <v>2.799999999999943</v>
      </c>
    </row>
    <row r="856" spans="11:12" x14ac:dyDescent="0.45">
      <c r="K856" s="36">
        <v>854</v>
      </c>
      <c r="L856" s="95">
        <v>33.29999999999994</v>
      </c>
    </row>
    <row r="857" spans="11:12" x14ac:dyDescent="0.45">
      <c r="K857" s="36">
        <v>855</v>
      </c>
      <c r="L857" s="95">
        <v>-5.6843418860808015E-14</v>
      </c>
    </row>
    <row r="858" spans="11:12" x14ac:dyDescent="0.45">
      <c r="K858" s="36">
        <v>856</v>
      </c>
      <c r="L858" s="95">
        <v>-12.000000000000057</v>
      </c>
    </row>
    <row r="859" spans="11:12" x14ac:dyDescent="0.45">
      <c r="K859" s="36">
        <v>857</v>
      </c>
      <c r="L859" s="95">
        <v>-62.400000000000055</v>
      </c>
    </row>
    <row r="860" spans="11:12" x14ac:dyDescent="0.45">
      <c r="K860" s="36">
        <v>858</v>
      </c>
      <c r="L860" s="95">
        <v>-5.6843418860808015E-14</v>
      </c>
    </row>
    <row r="861" spans="11:12" x14ac:dyDescent="0.45">
      <c r="K861" s="36">
        <v>859</v>
      </c>
      <c r="L861" s="95">
        <v>22.099999999999945</v>
      </c>
    </row>
    <row r="862" spans="11:12" x14ac:dyDescent="0.45">
      <c r="K862" s="36">
        <v>860</v>
      </c>
      <c r="L862" s="95">
        <v>23.399999999999945</v>
      </c>
    </row>
    <row r="863" spans="11:12" x14ac:dyDescent="0.45">
      <c r="K863" s="36">
        <v>861</v>
      </c>
      <c r="L863" s="95">
        <v>-5.3290705182007514E-14</v>
      </c>
    </row>
    <row r="864" spans="11:12" x14ac:dyDescent="0.45">
      <c r="K864" s="36">
        <v>862</v>
      </c>
      <c r="L864" s="95">
        <v>60.599999999999952</v>
      </c>
    </row>
    <row r="865" spans="11:12" x14ac:dyDescent="0.45">
      <c r="K865" s="36">
        <v>863</v>
      </c>
      <c r="L865" s="95">
        <v>46.199999999999953</v>
      </c>
    </row>
    <row r="866" spans="11:12" x14ac:dyDescent="0.45">
      <c r="K866" s="36">
        <v>864</v>
      </c>
      <c r="L866" s="95">
        <v>-4.9737991503207013E-14</v>
      </c>
    </row>
    <row r="867" spans="11:12" x14ac:dyDescent="0.45">
      <c r="K867" s="36">
        <v>865</v>
      </c>
      <c r="L867" s="95">
        <v>-38.50000000000005</v>
      </c>
    </row>
    <row r="868" spans="11:12" x14ac:dyDescent="0.45">
      <c r="K868" s="36">
        <v>866</v>
      </c>
      <c r="L868" s="95">
        <v>-26.30000000000005</v>
      </c>
    </row>
    <row r="869" spans="11:12" x14ac:dyDescent="0.45">
      <c r="K869" s="36">
        <v>867</v>
      </c>
      <c r="L869" s="95">
        <v>-4.9737991503207013E-14</v>
      </c>
    </row>
    <row r="870" spans="11:12" x14ac:dyDescent="0.45">
      <c r="K870" s="36">
        <v>868</v>
      </c>
      <c r="L870" s="95">
        <v>39.799999999999947</v>
      </c>
    </row>
    <row r="871" spans="11:12" x14ac:dyDescent="0.45">
      <c r="K871" s="36">
        <v>869</v>
      </c>
      <c r="L871" s="95">
        <v>-10.700000000000053</v>
      </c>
    </row>
    <row r="872" spans="11:12" x14ac:dyDescent="0.45">
      <c r="K872" s="36">
        <v>870</v>
      </c>
      <c r="L872" s="95">
        <v>-5.3290705182007514E-14</v>
      </c>
    </row>
    <row r="873" spans="11:12" x14ac:dyDescent="0.45">
      <c r="K873" s="36">
        <v>871</v>
      </c>
      <c r="L873" s="95">
        <v>-32.000000000000057</v>
      </c>
    </row>
    <row r="874" spans="11:12" x14ac:dyDescent="0.45">
      <c r="K874" s="36">
        <v>872</v>
      </c>
      <c r="L874" s="95">
        <v>1.8999999999999417</v>
      </c>
    </row>
    <row r="875" spans="11:12" x14ac:dyDescent="0.45">
      <c r="K875" s="36">
        <v>873</v>
      </c>
      <c r="L875" s="95">
        <v>-5.8175686490358203E-14</v>
      </c>
    </row>
    <row r="876" spans="11:12" x14ac:dyDescent="0.45">
      <c r="K876" s="36">
        <v>874</v>
      </c>
      <c r="L876" s="95">
        <v>-42.300000000000054</v>
      </c>
    </row>
    <row r="877" spans="11:12" x14ac:dyDescent="0.45">
      <c r="K877" s="36">
        <v>875</v>
      </c>
      <c r="L877" s="95">
        <v>-60.800000000000054</v>
      </c>
    </row>
    <row r="878" spans="11:12" x14ac:dyDescent="0.45">
      <c r="K878" s="36">
        <v>876</v>
      </c>
      <c r="L878" s="95">
        <v>-5.6843418860808015E-14</v>
      </c>
    </row>
    <row r="879" spans="11:12" x14ac:dyDescent="0.45">
      <c r="K879" s="36">
        <v>877</v>
      </c>
      <c r="L879" s="95">
        <v>32.999999999999943</v>
      </c>
    </row>
    <row r="880" spans="11:12" x14ac:dyDescent="0.45">
      <c r="K880" s="36">
        <v>878</v>
      </c>
      <c r="L880" s="95">
        <v>-2.0000000000000568</v>
      </c>
    </row>
    <row r="881" spans="11:12" x14ac:dyDescent="0.45">
      <c r="K881" s="36">
        <v>879</v>
      </c>
      <c r="L881" s="95">
        <v>-5.6843418860808015E-14</v>
      </c>
    </row>
    <row r="882" spans="11:12" x14ac:dyDescent="0.45">
      <c r="K882" s="36">
        <v>880</v>
      </c>
      <c r="L882" s="95">
        <v>26.799999999999944</v>
      </c>
    </row>
    <row r="883" spans="11:12" x14ac:dyDescent="0.45">
      <c r="K883" s="36">
        <v>881</v>
      </c>
      <c r="L883" s="95">
        <v>32.199999999999946</v>
      </c>
    </row>
    <row r="884" spans="11:12" x14ac:dyDescent="0.45">
      <c r="K884" s="36">
        <v>882</v>
      </c>
      <c r="L884" s="95">
        <v>-5.6843418860808015E-14</v>
      </c>
    </row>
    <row r="885" spans="11:12" x14ac:dyDescent="0.45">
      <c r="K885" s="36">
        <v>883</v>
      </c>
      <c r="L885" s="95">
        <v>45.199999999999946</v>
      </c>
    </row>
    <row r="886" spans="11:12" x14ac:dyDescent="0.45">
      <c r="K886" s="36">
        <v>884</v>
      </c>
      <c r="L886" s="95">
        <v>10.199999999999946</v>
      </c>
    </row>
    <row r="887" spans="11:12" x14ac:dyDescent="0.45">
      <c r="K887" s="36">
        <v>885</v>
      </c>
      <c r="L887" s="95">
        <v>-5.3290705182007514E-14</v>
      </c>
    </row>
    <row r="888" spans="11:12" x14ac:dyDescent="0.45">
      <c r="K888" s="36">
        <v>886</v>
      </c>
      <c r="L888" s="95">
        <v>-12.500000000000053</v>
      </c>
    </row>
    <row r="889" spans="11:12" x14ac:dyDescent="0.45">
      <c r="K889" s="36">
        <v>887</v>
      </c>
      <c r="L889" s="95">
        <v>-12.200000000000053</v>
      </c>
    </row>
    <row r="890" spans="11:12" x14ac:dyDescent="0.45">
      <c r="K890" s="36">
        <v>888</v>
      </c>
      <c r="L890" s="95">
        <v>-5.3290705182007514E-14</v>
      </c>
    </row>
    <row r="891" spans="11:12" x14ac:dyDescent="0.45">
      <c r="K891" s="36">
        <v>889</v>
      </c>
      <c r="L891" s="95">
        <v>-65.500000000000057</v>
      </c>
    </row>
    <row r="892" spans="11:12" x14ac:dyDescent="0.45">
      <c r="K892" s="36">
        <v>890</v>
      </c>
      <c r="L892" s="95">
        <v>-12.000000000000057</v>
      </c>
    </row>
    <row r="893" spans="11:12" x14ac:dyDescent="0.45">
      <c r="K893" s="36">
        <v>891</v>
      </c>
      <c r="L893" s="95">
        <v>-5.6843418860808015E-14</v>
      </c>
    </row>
    <row r="894" spans="11:12" x14ac:dyDescent="0.45">
      <c r="K894" s="36">
        <v>892</v>
      </c>
      <c r="L894" s="95">
        <v>-9.2000000000000561</v>
      </c>
    </row>
    <row r="895" spans="11:12" x14ac:dyDescent="0.45">
      <c r="K895" s="36">
        <v>893</v>
      </c>
      <c r="L895" s="95">
        <v>-39.70000000000006</v>
      </c>
    </row>
    <row r="896" spans="11:12" x14ac:dyDescent="0.45">
      <c r="K896" s="36">
        <v>894</v>
      </c>
      <c r="L896" s="95">
        <v>-5.6843418860808015E-14</v>
      </c>
    </row>
    <row r="897" spans="11:12" x14ac:dyDescent="0.45">
      <c r="K897" s="36">
        <v>895</v>
      </c>
      <c r="L897" s="95">
        <v>-36.300000000000054</v>
      </c>
    </row>
    <row r="898" spans="11:12" x14ac:dyDescent="0.45">
      <c r="K898" s="36">
        <v>896</v>
      </c>
      <c r="L898" s="95">
        <v>-56.300000000000054</v>
      </c>
    </row>
    <row r="899" spans="11:12" x14ac:dyDescent="0.45">
      <c r="K899" s="36">
        <v>897</v>
      </c>
      <c r="L899" s="95">
        <v>-5.6843418860808015E-14</v>
      </c>
    </row>
    <row r="900" spans="11:12" x14ac:dyDescent="0.45">
      <c r="K900" s="36">
        <v>898</v>
      </c>
      <c r="L900" s="95">
        <v>-37.20000000000006</v>
      </c>
    </row>
    <row r="901" spans="11:12" x14ac:dyDescent="0.45">
      <c r="K901" s="36">
        <v>899</v>
      </c>
      <c r="L901" s="95">
        <v>-8.400000000000059</v>
      </c>
    </row>
    <row r="902" spans="11:12" x14ac:dyDescent="0.45">
      <c r="K902" s="36">
        <v>900</v>
      </c>
      <c r="L902" s="95">
        <v>-5.8619775700208265E-14</v>
      </c>
    </row>
    <row r="903" spans="11:12" x14ac:dyDescent="0.45">
      <c r="K903" s="36">
        <v>901</v>
      </c>
      <c r="L903" s="95">
        <v>-27.400000000000055</v>
      </c>
    </row>
    <row r="904" spans="11:12" x14ac:dyDescent="0.45">
      <c r="K904" s="36">
        <v>902</v>
      </c>
      <c r="L904" s="95">
        <v>-35.70000000000006</v>
      </c>
    </row>
    <row r="905" spans="11:12" x14ac:dyDescent="0.45">
      <c r="K905" s="36">
        <v>903</v>
      </c>
      <c r="L905" s="95">
        <v>-5.6843418860808015E-14</v>
      </c>
    </row>
    <row r="906" spans="11:12" x14ac:dyDescent="0.45">
      <c r="K906" s="36">
        <v>904</v>
      </c>
      <c r="L906" s="95">
        <v>-3.4000000000000568</v>
      </c>
    </row>
    <row r="907" spans="11:12" x14ac:dyDescent="0.45">
      <c r="K907" s="36">
        <v>905</v>
      </c>
      <c r="L907" s="95">
        <v>17.599999999999945</v>
      </c>
    </row>
    <row r="908" spans="11:12" x14ac:dyDescent="0.45">
      <c r="K908" s="36">
        <v>906</v>
      </c>
      <c r="L908" s="95">
        <v>-5.6843418860808015E-14</v>
      </c>
    </row>
    <row r="909" spans="11:12" x14ac:dyDescent="0.45">
      <c r="K909" s="36">
        <v>907</v>
      </c>
      <c r="L909" s="95">
        <v>-11.000000000000057</v>
      </c>
    </row>
    <row r="910" spans="11:12" x14ac:dyDescent="0.45">
      <c r="K910" s="36">
        <v>908</v>
      </c>
      <c r="L910" s="95">
        <v>27.199999999999946</v>
      </c>
    </row>
    <row r="911" spans="11:12" x14ac:dyDescent="0.45">
      <c r="K911" s="36">
        <v>909</v>
      </c>
      <c r="L911" s="95">
        <v>-5.3290705182007514E-14</v>
      </c>
    </row>
    <row r="912" spans="11:12" x14ac:dyDescent="0.45">
      <c r="K912" s="36">
        <v>910</v>
      </c>
      <c r="L912" s="95">
        <v>-28.700000000000053</v>
      </c>
    </row>
    <row r="913" spans="11:12" x14ac:dyDescent="0.45">
      <c r="K913" s="36">
        <v>911</v>
      </c>
      <c r="L913" s="95">
        <v>-27.900000000000052</v>
      </c>
    </row>
    <row r="914" spans="11:12" x14ac:dyDescent="0.45">
      <c r="K914" s="36">
        <v>912</v>
      </c>
      <c r="L914" s="95">
        <v>-5.3290705182007514E-14</v>
      </c>
    </row>
    <row r="915" spans="11:12" x14ac:dyDescent="0.45">
      <c r="K915" s="36">
        <v>913</v>
      </c>
      <c r="L915" s="95">
        <v>-44.000000000000057</v>
      </c>
    </row>
    <row r="916" spans="11:12" x14ac:dyDescent="0.45">
      <c r="K916" s="36">
        <v>914</v>
      </c>
      <c r="L916" s="95">
        <v>0.79999999999994031</v>
      </c>
    </row>
    <row r="917" spans="11:12" x14ac:dyDescent="0.45">
      <c r="K917" s="36">
        <v>915</v>
      </c>
      <c r="L917" s="95">
        <v>-5.9729998724833422E-14</v>
      </c>
    </row>
    <row r="918" spans="11:12" x14ac:dyDescent="0.45">
      <c r="K918" s="36">
        <v>916</v>
      </c>
      <c r="L918" s="95">
        <v>-18.900000000000059</v>
      </c>
    </row>
    <row r="919" spans="11:12" x14ac:dyDescent="0.45">
      <c r="K919" s="36">
        <v>917</v>
      </c>
      <c r="L919" s="95">
        <v>-56.400000000000063</v>
      </c>
    </row>
    <row r="920" spans="11:12" x14ac:dyDescent="0.45">
      <c r="K920" s="36">
        <v>918</v>
      </c>
      <c r="L920" s="95">
        <v>-6.3948846218409017E-14</v>
      </c>
    </row>
    <row r="921" spans="11:12" x14ac:dyDescent="0.45">
      <c r="K921" s="36">
        <v>919</v>
      </c>
      <c r="L921" s="95">
        <v>12.199999999999935</v>
      </c>
    </row>
    <row r="922" spans="11:12" x14ac:dyDescent="0.45">
      <c r="K922" s="36">
        <v>920</v>
      </c>
      <c r="L922" s="95">
        <v>34.499999999999936</v>
      </c>
    </row>
    <row r="923" spans="11:12" x14ac:dyDescent="0.45">
      <c r="K923" s="36">
        <v>921</v>
      </c>
      <c r="L923" s="95">
        <v>-6.3948846218409017E-14</v>
      </c>
    </row>
    <row r="924" spans="11:12" x14ac:dyDescent="0.45">
      <c r="K924" s="36">
        <v>922</v>
      </c>
      <c r="L924" s="95">
        <v>-47.000000000000064</v>
      </c>
    </row>
    <row r="925" spans="11:12" x14ac:dyDescent="0.45">
      <c r="K925" s="36">
        <v>923</v>
      </c>
      <c r="L925" s="95">
        <v>-47.300000000000061</v>
      </c>
    </row>
    <row r="926" spans="11:12" x14ac:dyDescent="0.45">
      <c r="K926" s="36">
        <v>924</v>
      </c>
      <c r="L926" s="95">
        <v>-6.3948846218409017E-14</v>
      </c>
    </row>
    <row r="927" spans="11:12" x14ac:dyDescent="0.45">
      <c r="K927" s="36">
        <v>925</v>
      </c>
      <c r="L927" s="95">
        <v>-34.500000000000064</v>
      </c>
    </row>
    <row r="928" spans="11:12" x14ac:dyDescent="0.45">
      <c r="K928" s="36">
        <v>926</v>
      </c>
      <c r="L928" s="95">
        <v>-47.500000000000064</v>
      </c>
    </row>
    <row r="929" spans="11:12" x14ac:dyDescent="0.45">
      <c r="K929" s="36">
        <v>927</v>
      </c>
      <c r="L929" s="95">
        <v>-6.3948846218409017E-14</v>
      </c>
    </row>
    <row r="930" spans="11:12" x14ac:dyDescent="0.45">
      <c r="K930" s="36">
        <v>928</v>
      </c>
      <c r="L930" s="95">
        <v>-22.000000000000064</v>
      </c>
    </row>
    <row r="931" spans="11:12" x14ac:dyDescent="0.45">
      <c r="K931" s="36">
        <v>929</v>
      </c>
      <c r="L931" s="95">
        <v>-60.700000000000067</v>
      </c>
    </row>
    <row r="932" spans="11:12" x14ac:dyDescent="0.45">
      <c r="K932" s="36">
        <v>930</v>
      </c>
      <c r="L932" s="95">
        <v>-6.3948846218409017E-14</v>
      </c>
    </row>
    <row r="933" spans="11:12" x14ac:dyDescent="0.45">
      <c r="K933" s="36">
        <v>931</v>
      </c>
      <c r="L933" s="95">
        <v>31.199999999999935</v>
      </c>
    </row>
    <row r="934" spans="11:12" x14ac:dyDescent="0.45">
      <c r="K934" s="36">
        <v>932</v>
      </c>
      <c r="L934" s="95">
        <v>6.6999999999999353</v>
      </c>
    </row>
    <row r="935" spans="11:12" x14ac:dyDescent="0.45">
      <c r="K935" s="36">
        <v>933</v>
      </c>
      <c r="L935" s="95">
        <v>-6.4837024638109142E-14</v>
      </c>
    </row>
    <row r="936" spans="11:12" x14ac:dyDescent="0.45">
      <c r="K936" s="36">
        <v>934</v>
      </c>
      <c r="L936" s="95">
        <v>-45.300000000000061</v>
      </c>
    </row>
    <row r="937" spans="11:12" x14ac:dyDescent="0.45">
      <c r="K937" s="36">
        <v>935</v>
      </c>
      <c r="L937" s="95">
        <v>-4.5000000000000639</v>
      </c>
    </row>
    <row r="938" spans="11:12" x14ac:dyDescent="0.45">
      <c r="K938" s="36">
        <v>936</v>
      </c>
      <c r="L938" s="95">
        <v>-6.3948846218409017E-14</v>
      </c>
    </row>
    <row r="939" spans="11:12" x14ac:dyDescent="0.45">
      <c r="K939" s="36">
        <v>937</v>
      </c>
      <c r="L939" s="95">
        <v>-31.700000000000063</v>
      </c>
    </row>
    <row r="940" spans="11:12" x14ac:dyDescent="0.45">
      <c r="K940" s="36">
        <v>938</v>
      </c>
      <c r="L940" s="95">
        <v>-25.200000000000063</v>
      </c>
    </row>
    <row r="941" spans="11:12" x14ac:dyDescent="0.45">
      <c r="K941" s="36">
        <v>939</v>
      </c>
      <c r="L941" s="95">
        <v>-6.3948846218409017E-14</v>
      </c>
    </row>
    <row r="942" spans="11:12" x14ac:dyDescent="0.45">
      <c r="K942" s="36">
        <v>940</v>
      </c>
      <c r="L942" s="95">
        <v>-61.300000000000061</v>
      </c>
    </row>
    <row r="943" spans="11:12" x14ac:dyDescent="0.45">
      <c r="K943" s="36">
        <v>941</v>
      </c>
      <c r="L943" s="95">
        <v>-20.100000000000058</v>
      </c>
    </row>
    <row r="944" spans="11:12" x14ac:dyDescent="0.45">
      <c r="K944" s="36">
        <v>942</v>
      </c>
      <c r="L944" s="95">
        <v>-5.6843418860808015E-14</v>
      </c>
    </row>
    <row r="945" spans="11:12" x14ac:dyDescent="0.45">
      <c r="K945" s="36">
        <v>943</v>
      </c>
      <c r="L945" s="95">
        <v>-25.700000000000056</v>
      </c>
    </row>
    <row r="946" spans="11:12" x14ac:dyDescent="0.45">
      <c r="K946" s="36">
        <v>944</v>
      </c>
      <c r="L946" s="95">
        <v>7.6999999999999424</v>
      </c>
    </row>
    <row r="947" spans="11:12" x14ac:dyDescent="0.45">
      <c r="K947" s="36">
        <v>945</v>
      </c>
      <c r="L947" s="95">
        <v>-5.773159728050814E-14</v>
      </c>
    </row>
    <row r="948" spans="11:12" x14ac:dyDescent="0.45">
      <c r="K948" s="36">
        <v>946</v>
      </c>
      <c r="L948" s="95">
        <v>-31.800000000000058</v>
      </c>
    </row>
    <row r="949" spans="11:12" x14ac:dyDescent="0.45">
      <c r="K949" s="36">
        <v>947</v>
      </c>
      <c r="L949" s="95">
        <v>-24.20000000000006</v>
      </c>
    </row>
    <row r="950" spans="11:12" x14ac:dyDescent="0.45">
      <c r="K950" s="36">
        <v>948</v>
      </c>
      <c r="L950" s="95">
        <v>-6.0396132539608516E-14</v>
      </c>
    </row>
    <row r="951" spans="11:12" x14ac:dyDescent="0.45">
      <c r="K951" s="36">
        <v>949</v>
      </c>
      <c r="L951" s="95">
        <v>-0.60000000000006037</v>
      </c>
    </row>
    <row r="952" spans="11:12" x14ac:dyDescent="0.45">
      <c r="K952" s="36">
        <v>950</v>
      </c>
      <c r="L952" s="95">
        <v>-25.200000000000063</v>
      </c>
    </row>
    <row r="953" spans="11:12" x14ac:dyDescent="0.45">
      <c r="K953" s="36">
        <v>951</v>
      </c>
      <c r="L953" s="95">
        <v>-6.3948846218409017E-14</v>
      </c>
    </row>
    <row r="954" spans="11:12" x14ac:dyDescent="0.45">
      <c r="K954" s="36">
        <v>952</v>
      </c>
      <c r="L954" s="95">
        <v>31.699999999999935</v>
      </c>
    </row>
    <row r="955" spans="11:12" x14ac:dyDescent="0.45">
      <c r="K955" s="36">
        <v>953</v>
      </c>
      <c r="L955" s="95">
        <v>23.799999999999933</v>
      </c>
    </row>
    <row r="956" spans="11:12" x14ac:dyDescent="0.45">
      <c r="K956" s="36">
        <v>954</v>
      </c>
      <c r="L956" s="95">
        <v>-6.7501559897209518E-14</v>
      </c>
    </row>
    <row r="957" spans="11:12" x14ac:dyDescent="0.45">
      <c r="K957" s="36">
        <v>955</v>
      </c>
      <c r="L957" s="95">
        <v>-7.8000000000000673</v>
      </c>
    </row>
    <row r="958" spans="11:12" x14ac:dyDescent="0.45">
      <c r="K958" s="36">
        <v>956</v>
      </c>
      <c r="L958" s="95">
        <v>-32.200000000000067</v>
      </c>
    </row>
    <row r="959" spans="11:12" x14ac:dyDescent="0.45">
      <c r="K959" s="36">
        <v>957</v>
      </c>
      <c r="L959" s="95">
        <v>-6.3948846218409017E-14</v>
      </c>
    </row>
    <row r="960" spans="11:12" x14ac:dyDescent="0.45">
      <c r="K960" s="36">
        <v>958</v>
      </c>
      <c r="L960" s="95">
        <v>-2.9000000000000639</v>
      </c>
    </row>
    <row r="961" spans="11:12" x14ac:dyDescent="0.45">
      <c r="K961" s="36">
        <v>959</v>
      </c>
      <c r="L961" s="95">
        <v>33.099999999999937</v>
      </c>
    </row>
    <row r="962" spans="11:12" x14ac:dyDescent="0.45">
      <c r="K962" s="36">
        <v>960</v>
      </c>
      <c r="L962" s="95">
        <v>-6.3948846218409017E-14</v>
      </c>
    </row>
    <row r="963" spans="11:12" x14ac:dyDescent="0.45">
      <c r="K963" s="36">
        <v>961</v>
      </c>
      <c r="L963" s="95">
        <v>31.999999999999936</v>
      </c>
    </row>
    <row r="964" spans="11:12" x14ac:dyDescent="0.45">
      <c r="K964" s="36">
        <v>962</v>
      </c>
      <c r="L964" s="95">
        <v>37.999999999999936</v>
      </c>
    </row>
    <row r="965" spans="11:12" x14ac:dyDescent="0.45">
      <c r="K965" s="36">
        <v>963</v>
      </c>
      <c r="L965" s="95">
        <v>-6.3948846218409017E-14</v>
      </c>
    </row>
    <row r="966" spans="11:12" x14ac:dyDescent="0.45">
      <c r="K966" s="36">
        <v>964</v>
      </c>
      <c r="L966" s="95">
        <v>-53.000000000000064</v>
      </c>
    </row>
    <row r="967" spans="11:12" x14ac:dyDescent="0.45">
      <c r="K967" s="36">
        <v>965</v>
      </c>
      <c r="L967" s="95">
        <v>-11.500000000000064</v>
      </c>
    </row>
    <row r="968" spans="11:12" x14ac:dyDescent="0.45">
      <c r="K968" s="36">
        <v>966</v>
      </c>
      <c r="L968" s="95">
        <v>-6.3948846218409017E-14</v>
      </c>
    </row>
    <row r="969" spans="11:12" x14ac:dyDescent="0.45">
      <c r="K969" s="36">
        <v>967</v>
      </c>
      <c r="L969" s="95">
        <v>-53.200000000000067</v>
      </c>
    </row>
    <row r="970" spans="11:12" x14ac:dyDescent="0.45">
      <c r="K970" s="36">
        <v>968</v>
      </c>
      <c r="L970" s="95">
        <v>-16.600000000000065</v>
      </c>
    </row>
    <row r="971" spans="11:12" x14ac:dyDescent="0.45">
      <c r="K971" s="36">
        <v>969</v>
      </c>
      <c r="L971" s="95">
        <v>-6.3948846218409017E-14</v>
      </c>
    </row>
    <row r="972" spans="11:12" x14ac:dyDescent="0.45">
      <c r="K972" s="36">
        <v>970</v>
      </c>
      <c r="L972" s="95">
        <v>-23.200000000000063</v>
      </c>
    </row>
    <row r="973" spans="11:12" x14ac:dyDescent="0.45">
      <c r="K973" s="36">
        <v>971</v>
      </c>
      <c r="L973" s="95">
        <v>-31.900000000000063</v>
      </c>
    </row>
    <row r="974" spans="11:12" x14ac:dyDescent="0.45">
      <c r="K974" s="36">
        <v>972</v>
      </c>
      <c r="L974" s="95">
        <v>-6.3948846218409017E-14</v>
      </c>
    </row>
    <row r="975" spans="11:12" x14ac:dyDescent="0.45">
      <c r="K975" s="36">
        <v>973</v>
      </c>
      <c r="L975" s="95">
        <v>-47.400000000000063</v>
      </c>
    </row>
    <row r="976" spans="11:12" x14ac:dyDescent="0.45">
      <c r="K976" s="36">
        <v>974</v>
      </c>
      <c r="L976" s="95">
        <v>-41.500000000000064</v>
      </c>
    </row>
    <row r="977" spans="11:12" x14ac:dyDescent="0.45">
      <c r="K977" s="36">
        <v>975</v>
      </c>
      <c r="L977" s="95">
        <v>-6.3948846218409017E-14</v>
      </c>
    </row>
    <row r="978" spans="11:12" x14ac:dyDescent="0.45">
      <c r="K978" s="36">
        <v>976</v>
      </c>
      <c r="L978" s="95">
        <v>-10.900000000000064</v>
      </c>
    </row>
    <row r="979" spans="11:12" x14ac:dyDescent="0.45">
      <c r="K979" s="36">
        <v>977</v>
      </c>
      <c r="L979" s="95">
        <v>-49.600000000000065</v>
      </c>
    </row>
    <row r="980" spans="11:12" x14ac:dyDescent="0.45">
      <c r="K980" s="36">
        <v>978</v>
      </c>
      <c r="L980" s="95">
        <v>-6.3948846218409017E-14</v>
      </c>
    </row>
    <row r="981" spans="11:12" x14ac:dyDescent="0.45">
      <c r="K981" s="36">
        <v>979</v>
      </c>
      <c r="L981" s="95">
        <v>9.1999999999999353</v>
      </c>
    </row>
    <row r="982" spans="11:12" x14ac:dyDescent="0.45">
      <c r="K982" s="36">
        <v>980</v>
      </c>
      <c r="L982" s="95">
        <v>45.499999999999929</v>
      </c>
    </row>
    <row r="983" spans="11:12" x14ac:dyDescent="0.45">
      <c r="K983" s="36">
        <v>981</v>
      </c>
      <c r="L983" s="95">
        <v>-7.1054273576010019E-14</v>
      </c>
    </row>
    <row r="984" spans="11:12" x14ac:dyDescent="0.45">
      <c r="K984" s="36">
        <v>982</v>
      </c>
      <c r="L984" s="95">
        <v>30.29999999999993</v>
      </c>
    </row>
    <row r="985" spans="11:12" x14ac:dyDescent="0.45">
      <c r="K985" s="36">
        <v>983</v>
      </c>
      <c r="L985" s="95">
        <v>46.499999999999929</v>
      </c>
    </row>
    <row r="986" spans="11:12" x14ac:dyDescent="0.45">
      <c r="K986" s="36">
        <v>984</v>
      </c>
      <c r="L986" s="95">
        <v>-7.1054273576010019E-14</v>
      </c>
    </row>
    <row r="987" spans="11:12" x14ac:dyDescent="0.45">
      <c r="K987" s="36">
        <v>985</v>
      </c>
      <c r="L987" s="95">
        <v>-7.1054273576010019E-14</v>
      </c>
    </row>
    <row r="988" spans="11:12" x14ac:dyDescent="0.45">
      <c r="K988" s="36">
        <v>986</v>
      </c>
      <c r="L988" s="95">
        <v>-7.1054273576010019E-14</v>
      </c>
    </row>
    <row r="989" spans="11:12" x14ac:dyDescent="0.45">
      <c r="K989" s="36">
        <v>987</v>
      </c>
      <c r="L989" s="95">
        <v>-7.1054273576010019E-14</v>
      </c>
    </row>
    <row r="990" spans="11:12" x14ac:dyDescent="0.45">
      <c r="K990" s="36">
        <v>988</v>
      </c>
      <c r="L990" s="95">
        <v>30.399999999999928</v>
      </c>
    </row>
    <row r="991" spans="11:12" x14ac:dyDescent="0.45">
      <c r="K991" s="36">
        <v>989</v>
      </c>
      <c r="L991" s="95">
        <v>45.499999999999929</v>
      </c>
    </row>
    <row r="992" spans="11:12" x14ac:dyDescent="0.45">
      <c r="K992" s="36">
        <v>990</v>
      </c>
      <c r="L992" s="95">
        <v>-7.1054273576010019E-14</v>
      </c>
    </row>
    <row r="993" spans="11:12" x14ac:dyDescent="0.45">
      <c r="K993" s="36">
        <v>991</v>
      </c>
      <c r="L993" s="95">
        <v>34.59999999999993</v>
      </c>
    </row>
    <row r="994" spans="11:12" x14ac:dyDescent="0.45">
      <c r="K994" s="36">
        <v>992</v>
      </c>
      <c r="L994" s="95">
        <v>-11.500000000000071</v>
      </c>
    </row>
    <row r="995" spans="11:12" x14ac:dyDescent="0.45">
      <c r="K995" s="36">
        <v>993</v>
      </c>
      <c r="L995" s="95">
        <v>-7.1054273576010019E-14</v>
      </c>
    </row>
    <row r="996" spans="11:12" x14ac:dyDescent="0.45">
      <c r="K996" s="36">
        <v>994</v>
      </c>
      <c r="L996" s="95">
        <v>1.299999999999929</v>
      </c>
    </row>
    <row r="997" spans="11:12" x14ac:dyDescent="0.45">
      <c r="K997" s="36">
        <v>995</v>
      </c>
      <c r="L997" s="95">
        <v>-15.800000000000072</v>
      </c>
    </row>
    <row r="998" spans="11:12" x14ac:dyDescent="0.45">
      <c r="K998" s="36">
        <v>996</v>
      </c>
      <c r="L998" s="95">
        <v>-7.1054273576010019E-14</v>
      </c>
    </row>
    <row r="999" spans="11:12" x14ac:dyDescent="0.45">
      <c r="K999" s="36">
        <v>997</v>
      </c>
      <c r="L999" s="95">
        <v>74.099999999999923</v>
      </c>
    </row>
    <row r="1000" spans="11:12" x14ac:dyDescent="0.45">
      <c r="K1000" s="36">
        <v>998</v>
      </c>
      <c r="L1000" s="95">
        <v>27.499999999999922</v>
      </c>
    </row>
    <row r="1001" spans="11:12" x14ac:dyDescent="0.45">
      <c r="K1001" s="36">
        <v>999</v>
      </c>
      <c r="L1001" s="95">
        <v>-7.815970093361102E-14</v>
      </c>
    </row>
    <row r="1002" spans="11:12" x14ac:dyDescent="0.45">
      <c r="K1002" s="36">
        <v>1000</v>
      </c>
      <c r="L1002" s="95">
        <v>62.599999999999923</v>
      </c>
    </row>
    <row r="1003" spans="11:12" x14ac:dyDescent="0.45">
      <c r="K1003" s="36">
        <v>1001</v>
      </c>
      <c r="L1003" s="95">
        <v>9.4999999999999218</v>
      </c>
    </row>
    <row r="1004" spans="11:12" x14ac:dyDescent="0.45">
      <c r="K1004" s="36">
        <v>1002</v>
      </c>
      <c r="L1004" s="95">
        <v>-7.815970093361102E-14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B5EA-E0CA-4ACC-A701-109180EC8838}">
  <sheetPr codeName="Sheet7"/>
  <dimension ref="A1:Q9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88</v>
      </c>
      <c r="C2" s="155"/>
      <c r="E2" s="58" t="s">
        <v>66</v>
      </c>
      <c r="F2" s="55" t="s">
        <v>22</v>
      </c>
      <c r="G2" s="43">
        <v>145</v>
      </c>
      <c r="H2" s="128">
        <f>IF(B$15=0,0,G2/B$15)</f>
        <v>0.68075117370892024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1920.4545454545455</v>
      </c>
      <c r="P2" s="114">
        <v>88</v>
      </c>
      <c r="Q2" s="98">
        <v>169000</v>
      </c>
    </row>
    <row r="3" spans="1:17" x14ac:dyDescent="0.45">
      <c r="A3" s="51" t="s">
        <v>8</v>
      </c>
      <c r="B3" s="156">
        <v>780</v>
      </c>
      <c r="C3" s="157"/>
      <c r="E3" s="59" t="s">
        <v>72</v>
      </c>
      <c r="F3" s="56" t="s">
        <v>27</v>
      </c>
      <c r="G3" s="44">
        <v>119</v>
      </c>
      <c r="H3" s="129">
        <f>IF(B$15=0,0,G3/B$15)</f>
        <v>0.55868544600938963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-2071.2643678160921</v>
      </c>
      <c r="P3" s="115">
        <v>87</v>
      </c>
      <c r="Q3" s="99">
        <v>-180200</v>
      </c>
    </row>
    <row r="4" spans="1:17" x14ac:dyDescent="0.45">
      <c r="A4" s="51" t="s">
        <v>6</v>
      </c>
      <c r="B4" s="158">
        <v>-597.70000000000027</v>
      </c>
      <c r="C4" s="159"/>
      <c r="E4" s="59" t="s">
        <v>166</v>
      </c>
      <c r="F4" s="56" t="s">
        <v>167</v>
      </c>
      <c r="G4" s="44">
        <v>73</v>
      </c>
      <c r="H4" s="129">
        <f>IF(B$15=0,0,G4/B$15)</f>
        <v>0.34272300469483569</v>
      </c>
      <c r="I4" s="90">
        <v>10</v>
      </c>
      <c r="K4" s="36">
        <v>2</v>
      </c>
      <c r="L4" s="95">
        <v>19.899999999999999</v>
      </c>
      <c r="N4" s="111" t="s">
        <v>132</v>
      </c>
      <c r="O4" s="118">
        <f t="shared" si="0"/>
        <v>-1713.0952380952381</v>
      </c>
      <c r="P4" s="115">
        <v>84</v>
      </c>
      <c r="Q4" s="99">
        <v>-143900</v>
      </c>
    </row>
    <row r="5" spans="1:17" x14ac:dyDescent="0.45">
      <c r="A5" s="51" t="s">
        <v>7</v>
      </c>
      <c r="B5" s="160">
        <f>IF(B$2=0,0,B$4/B$2)</f>
        <v>-6.792045454545458</v>
      </c>
      <c r="C5" s="161"/>
      <c r="E5" s="59" t="s">
        <v>68</v>
      </c>
      <c r="F5" s="56" t="s">
        <v>12</v>
      </c>
      <c r="G5" s="44">
        <v>60</v>
      </c>
      <c r="H5" s="129">
        <f>IF(B$15=0,0,G5/B$15)</f>
        <v>0.28169014084507044</v>
      </c>
      <c r="I5" s="90">
        <v>9</v>
      </c>
      <c r="K5" s="36">
        <v>3</v>
      </c>
      <c r="L5" s="95">
        <v>-8.3000000000000007</v>
      </c>
      <c r="N5" s="111" t="s">
        <v>133</v>
      </c>
      <c r="O5" s="118">
        <f t="shared" si="0"/>
        <v>-1037.9746835443038</v>
      </c>
      <c r="P5" s="115">
        <v>79</v>
      </c>
      <c r="Q5" s="99">
        <v>-82000</v>
      </c>
    </row>
    <row r="6" spans="1:17" x14ac:dyDescent="0.45">
      <c r="A6" s="51" t="s">
        <v>1</v>
      </c>
      <c r="B6" s="150">
        <f>IF(B$2=0,0,(B$7*1+B$8*2+B$9*3)/B$2)</f>
        <v>2.1590909090909092</v>
      </c>
      <c r="C6" s="151"/>
      <c r="E6" s="59" t="s">
        <v>64</v>
      </c>
      <c r="F6" s="56" t="s">
        <v>20</v>
      </c>
      <c r="G6" s="44">
        <v>58</v>
      </c>
      <c r="H6" s="129">
        <f>IF(B$15=0,0,G6/B$15)</f>
        <v>0.27230046948356806</v>
      </c>
      <c r="I6" s="90">
        <v>14</v>
      </c>
      <c r="K6" s="36">
        <v>4</v>
      </c>
      <c r="L6" s="95">
        <v>-30.7</v>
      </c>
      <c r="N6" s="111" t="s">
        <v>134</v>
      </c>
      <c r="O6" s="118">
        <f t="shared" si="0"/>
        <v>-93.506493506493513</v>
      </c>
      <c r="P6" s="115">
        <v>77</v>
      </c>
      <c r="Q6" s="99">
        <v>-7200</v>
      </c>
    </row>
    <row r="7" spans="1:17" x14ac:dyDescent="0.45">
      <c r="A7" s="51" t="s">
        <v>2</v>
      </c>
      <c r="B7" s="44">
        <v>25</v>
      </c>
      <c r="C7" s="37">
        <f t="shared" ref="C7:C10" si="1">IF(B$2=0,0,B7/B$2)</f>
        <v>0.28409090909090912</v>
      </c>
      <c r="E7" s="59" t="s">
        <v>67</v>
      </c>
      <c r="F7" s="56" t="s">
        <v>23</v>
      </c>
      <c r="G7" s="44">
        <v>38</v>
      </c>
      <c r="H7" s="129">
        <f>IF(B$15=0,0,G7/B$15)</f>
        <v>0.17840375586854459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-2642.1875</v>
      </c>
      <c r="P7" s="116">
        <v>64</v>
      </c>
      <c r="Q7" s="100">
        <v>-169100</v>
      </c>
    </row>
    <row r="8" spans="1:17" x14ac:dyDescent="0.45">
      <c r="A8" s="51" t="s">
        <v>3</v>
      </c>
      <c r="B8" s="44">
        <v>24</v>
      </c>
      <c r="C8" s="37">
        <f t="shared" si="1"/>
        <v>0.27272727272727271</v>
      </c>
      <c r="E8" s="59" t="s">
        <v>69</v>
      </c>
      <c r="F8" s="56" t="s">
        <v>24</v>
      </c>
      <c r="G8" s="44">
        <v>36</v>
      </c>
      <c r="H8" s="129">
        <f>IF(B$15=0,0,G8/B$15)</f>
        <v>0.16901408450704225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0.44318181818181818</v>
      </c>
      <c r="E9" s="59" t="s">
        <v>71</v>
      </c>
      <c r="F9" s="56" t="s">
        <v>26</v>
      </c>
      <c r="G9" s="44">
        <v>27</v>
      </c>
      <c r="H9" s="129">
        <f>IF(B$15=0,0,G9/B$15)</f>
        <v>0.12676056338028169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7.9545454545454544E-2</v>
      </c>
      <c r="E10" s="59" t="s">
        <v>70</v>
      </c>
      <c r="F10" s="56" t="s">
        <v>25</v>
      </c>
      <c r="G10" s="44">
        <v>25</v>
      </c>
      <c r="H10" s="129">
        <f>IF(B$15=0,0,G10/B$15)</f>
        <v>0.11737089201877934</v>
      </c>
      <c r="I10" s="90">
        <v>6</v>
      </c>
      <c r="K10" s="36">
        <v>8</v>
      </c>
      <c r="L10" s="95">
        <v>-76.900000000000006</v>
      </c>
      <c r="N10" s="110" t="s">
        <v>157</v>
      </c>
      <c r="O10" s="120">
        <f>IF(P10=0,0,Q10/P10)</f>
        <v>-12.716129032258063</v>
      </c>
      <c r="P10" s="114">
        <v>31</v>
      </c>
      <c r="Q10" s="102">
        <v>-394.2</v>
      </c>
    </row>
    <row r="11" spans="1:17" x14ac:dyDescent="0.45">
      <c r="A11" s="54" t="s">
        <v>121</v>
      </c>
      <c r="B11" s="47">
        <v>110</v>
      </c>
      <c r="C11" s="42">
        <f>IF(B$3=0,0,B11/B$3)</f>
        <v>0.14102564102564102</v>
      </c>
      <c r="E11" s="59" t="s">
        <v>83</v>
      </c>
      <c r="F11" s="56" t="s">
        <v>38</v>
      </c>
      <c r="G11" s="44">
        <v>19</v>
      </c>
      <c r="H11" s="129">
        <f>IF(B$15=0,0,G11/B$15)</f>
        <v>8.9201877934272297E-2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-6.7178571428571425</v>
      </c>
      <c r="P11" s="115">
        <v>28</v>
      </c>
      <c r="Q11" s="103">
        <v>-188.1</v>
      </c>
    </row>
    <row r="12" spans="1:17" x14ac:dyDescent="0.45">
      <c r="A12" s="51" t="s">
        <v>118</v>
      </c>
      <c r="B12" s="44">
        <v>205</v>
      </c>
      <c r="C12" s="37">
        <f>IF(B$3=0,0,B12/B$3)</f>
        <v>0.26282051282051283</v>
      </c>
      <c r="E12" s="59" t="s">
        <v>89</v>
      </c>
      <c r="F12" s="56" t="s">
        <v>44</v>
      </c>
      <c r="G12" s="44">
        <v>15</v>
      </c>
      <c r="H12" s="129">
        <f>IF(B$15=0,0,G12/B$15)</f>
        <v>7.0422535211267609E-2</v>
      </c>
      <c r="I12" s="90">
        <v>12</v>
      </c>
      <c r="K12" s="36">
        <v>10</v>
      </c>
      <c r="L12" s="95">
        <v>-32.700000000000003</v>
      </c>
      <c r="N12" s="112" t="s">
        <v>159</v>
      </c>
      <c r="O12" s="122">
        <f>IF(P12=0,0,Q12/P12)</f>
        <v>-0.53103448275862042</v>
      </c>
      <c r="P12" s="116">
        <v>29</v>
      </c>
      <c r="Q12" s="104">
        <v>-15.399999999999991</v>
      </c>
    </row>
    <row r="13" spans="1:17" x14ac:dyDescent="0.45">
      <c r="A13" s="50" t="s">
        <v>123</v>
      </c>
      <c r="B13" s="43">
        <f>B19</f>
        <v>59</v>
      </c>
      <c r="C13" s="35">
        <f>IF(B$11=0,0,B13/B$11)</f>
        <v>0.53636363636363638</v>
      </c>
      <c r="E13" s="59" t="s">
        <v>65</v>
      </c>
      <c r="F13" s="56" t="s">
        <v>21</v>
      </c>
      <c r="G13" s="44">
        <v>13</v>
      </c>
      <c r="H13" s="129">
        <f>IF(B$15=0,0,G13/B$15)</f>
        <v>6.1032863849765258E-2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81</v>
      </c>
      <c r="C14" s="35">
        <f>IF(B$12=0,0,B14/B$12)</f>
        <v>0.39512195121951221</v>
      </c>
      <c r="E14" s="59" t="s">
        <v>81</v>
      </c>
      <c r="F14" s="56" t="s">
        <v>36</v>
      </c>
      <c r="G14" s="44">
        <v>10</v>
      </c>
      <c r="H14" s="129">
        <f>IF(B$15=0,0,G14/B$15)</f>
        <v>4.6948356807511735E-2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213</v>
      </c>
      <c r="C15" s="35">
        <f>IF(B$3=0,0,B15/B$3)</f>
        <v>0.27307692307692305</v>
      </c>
      <c r="E15" s="59" t="s">
        <v>86</v>
      </c>
      <c r="F15" s="56" t="s">
        <v>41</v>
      </c>
      <c r="G15" s="44">
        <v>7</v>
      </c>
      <c r="H15" s="129">
        <f>IF(B$15=0,0,G15/B$15)</f>
        <v>3.2863849765258218E-2</v>
      </c>
      <c r="I15" s="90">
        <v>10</v>
      </c>
      <c r="K15" s="36">
        <v>13</v>
      </c>
      <c r="L15" s="95">
        <v>-66.2</v>
      </c>
      <c r="N15" s="110" t="s">
        <v>274</v>
      </c>
      <c r="O15" s="120">
        <f t="shared" ref="O15:O23" si="2"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127</v>
      </c>
      <c r="C16" s="37">
        <f>IF(B$3=0,0,B16/B$3)</f>
        <v>0.16282051282051282</v>
      </c>
      <c r="E16" s="59" t="s">
        <v>79</v>
      </c>
      <c r="F16" s="56" t="s">
        <v>34</v>
      </c>
      <c r="G16" s="44">
        <v>5</v>
      </c>
      <c r="H16" s="129">
        <f>IF(B$15=0,0,G16/B$15)</f>
        <v>2.3474178403755867E-2</v>
      </c>
      <c r="I16" s="90">
        <v>3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93</v>
      </c>
      <c r="C17" s="37">
        <f>IF(B$15=0,0,B17/B$15)</f>
        <v>0.43661971830985913</v>
      </c>
      <c r="E17" s="59" t="s">
        <v>91</v>
      </c>
      <c r="F17" s="56" t="s">
        <v>46</v>
      </c>
      <c r="G17" s="44">
        <v>4</v>
      </c>
      <c r="H17" s="129">
        <f>IF(B$15=0,0,G17/B$15)</f>
        <v>1.8779342723004695E-2</v>
      </c>
      <c r="I17" s="90">
        <v>4</v>
      </c>
      <c r="K17" s="36">
        <v>15</v>
      </c>
      <c r="L17" s="95">
        <v>-65.2</v>
      </c>
      <c r="N17" s="111" t="s">
        <v>172</v>
      </c>
      <c r="O17" s="121">
        <f t="shared" si="2"/>
        <v>-1.4666666666666697</v>
      </c>
      <c r="P17" s="115">
        <v>18</v>
      </c>
      <c r="Q17" s="103">
        <v>-26.400000000000055</v>
      </c>
    </row>
    <row r="18" spans="1:17" x14ac:dyDescent="0.45">
      <c r="A18" s="51" t="s">
        <v>11</v>
      </c>
      <c r="B18" s="44">
        <v>120</v>
      </c>
      <c r="C18" s="37">
        <f>IF(B$15=0,0,B18/B$15)</f>
        <v>0.56338028169014087</v>
      </c>
      <c r="E18" s="59" t="s">
        <v>74</v>
      </c>
      <c r="F18" s="56" t="s">
        <v>29</v>
      </c>
      <c r="G18" s="44">
        <v>2</v>
      </c>
      <c r="H18" s="129">
        <f>IF(B$15=0,0,G18/B$15)</f>
        <v>9.3896713615023476E-3</v>
      </c>
      <c r="I18" s="90">
        <v>1</v>
      </c>
      <c r="K18" s="36">
        <v>16</v>
      </c>
      <c r="L18" s="95">
        <v>-70.600000000000009</v>
      </c>
      <c r="N18" s="111" t="s">
        <v>171</v>
      </c>
      <c r="O18" s="121">
        <f t="shared" si="2"/>
        <v>-1.6133333333333333</v>
      </c>
      <c r="P18" s="115">
        <v>30</v>
      </c>
      <c r="Q18" s="103">
        <v>-48.4</v>
      </c>
    </row>
    <row r="19" spans="1:17" x14ac:dyDescent="0.45">
      <c r="A19" s="51" t="s">
        <v>195</v>
      </c>
      <c r="B19" s="44">
        <v>59</v>
      </c>
      <c r="C19" s="37">
        <f>IF(B$15=0,0,B19/B$15)</f>
        <v>0.27699530516431925</v>
      </c>
      <c r="E19" s="59" t="s">
        <v>75</v>
      </c>
      <c r="F19" s="56" t="s">
        <v>30</v>
      </c>
      <c r="G19" s="44">
        <v>2</v>
      </c>
      <c r="H19" s="129">
        <f>IF(B$15=0,0,G19/B$15)</f>
        <v>9.3896713615023476E-3</v>
      </c>
      <c r="I19" s="90">
        <v>4</v>
      </c>
      <c r="K19" s="36">
        <v>17</v>
      </c>
      <c r="L19" s="95">
        <v>-65.2</v>
      </c>
      <c r="N19" s="111" t="s">
        <v>127</v>
      </c>
      <c r="O19" s="121">
        <f t="shared" si="2"/>
        <v>-10.769444444444446</v>
      </c>
      <c r="P19" s="115">
        <v>36</v>
      </c>
      <c r="Q19" s="103">
        <v>-387.70000000000005</v>
      </c>
    </row>
    <row r="20" spans="1:17" x14ac:dyDescent="0.45">
      <c r="A20" s="51" t="s">
        <v>193</v>
      </c>
      <c r="B20" s="44">
        <v>81</v>
      </c>
      <c r="C20" s="37">
        <f>IF(B$15=0,0,B20/B$15)</f>
        <v>0.38028169014084506</v>
      </c>
      <c r="E20" s="59" t="s">
        <v>78</v>
      </c>
      <c r="F20" s="56" t="s">
        <v>33</v>
      </c>
      <c r="G20" s="44">
        <v>2</v>
      </c>
      <c r="H20" s="129">
        <f>IF(B$15=0,0,G20/B$15)</f>
        <v>9.3896713615023476E-3</v>
      </c>
      <c r="I20" s="90">
        <v>9</v>
      </c>
      <c r="K20" s="36">
        <v>18</v>
      </c>
      <c r="L20" s="95">
        <v>-80.2</v>
      </c>
      <c r="N20" s="111" t="s">
        <v>126</v>
      </c>
      <c r="O20" s="121">
        <f t="shared" si="2"/>
        <v>-12.675609756097565</v>
      </c>
      <c r="P20" s="115">
        <v>41</v>
      </c>
      <c r="Q20" s="103">
        <v>-519.70000000000016</v>
      </c>
    </row>
    <row r="21" spans="1:17" x14ac:dyDescent="0.45">
      <c r="A21" s="51" t="s">
        <v>194</v>
      </c>
      <c r="B21" s="44">
        <v>73</v>
      </c>
      <c r="C21" s="37">
        <f>IF(B$15=0,0,B21/B$15)</f>
        <v>0.34272300469483569</v>
      </c>
      <c r="E21" s="59" t="s">
        <v>88</v>
      </c>
      <c r="F21" s="56" t="s">
        <v>43</v>
      </c>
      <c r="G21" s="44">
        <v>2</v>
      </c>
      <c r="H21" s="129">
        <f>IF(B$15=0,0,G21/B$15)</f>
        <v>9.3896713615023476E-3</v>
      </c>
      <c r="I21" s="90">
        <v>1</v>
      </c>
      <c r="K21" s="36">
        <v>19</v>
      </c>
      <c r="L21" s="95">
        <v>-115.1</v>
      </c>
      <c r="N21" s="111" t="s">
        <v>197</v>
      </c>
      <c r="O21" s="121">
        <f t="shared" si="2"/>
        <v>-18.291666666666664</v>
      </c>
      <c r="P21" s="115">
        <v>12</v>
      </c>
      <c r="Q21" s="103">
        <v>-219.49999999999997</v>
      </c>
    </row>
    <row r="22" spans="1:17" x14ac:dyDescent="0.45">
      <c r="A22" s="51" t="s">
        <v>5</v>
      </c>
      <c r="B22" s="48">
        <f>IF(B$15=0,0,C22/B$15)</f>
        <v>7107.9812206572769</v>
      </c>
      <c r="C22" s="39">
        <v>1514000</v>
      </c>
      <c r="E22" s="59" t="s">
        <v>93</v>
      </c>
      <c r="F22" s="56" t="s">
        <v>48</v>
      </c>
      <c r="G22" s="44">
        <v>2</v>
      </c>
      <c r="H22" s="129">
        <f>IF(B$15=0,0,G22/B$15)</f>
        <v>9.3896713615023476E-3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 t="shared" si="2"/>
        <v>-26.54137931034483</v>
      </c>
      <c r="P22" s="115">
        <v>29</v>
      </c>
      <c r="Q22" s="103">
        <v>-769.7</v>
      </c>
    </row>
    <row r="23" spans="1:17" x14ac:dyDescent="0.45">
      <c r="A23" s="52" t="s">
        <v>177</v>
      </c>
      <c r="B23" s="136">
        <f>IF($B$15-B$14=0,0,C23/($B$15-B$14))</f>
        <v>7612.121212121212</v>
      </c>
      <c r="C23" s="137">
        <v>1004800</v>
      </c>
      <c r="E23" s="59" t="s">
        <v>77</v>
      </c>
      <c r="F23" s="56" t="s">
        <v>32</v>
      </c>
      <c r="G23" s="44">
        <v>1</v>
      </c>
      <c r="H23" s="129">
        <f>IF(B$15=0,0,G23/B$15)</f>
        <v>4.6948356807511738E-3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 t="shared" si="2"/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6286.4197530864194</v>
      </c>
      <c r="C24" s="137">
        <v>509200</v>
      </c>
      <c r="E24" s="59" t="s">
        <v>84</v>
      </c>
      <c r="F24" s="56" t="s">
        <v>39</v>
      </c>
      <c r="G24" s="44">
        <v>1</v>
      </c>
      <c r="H24" s="129">
        <f>IF(B$15=0,0,G24/B$15)</f>
        <v>4.6948356807511738E-3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-7540.9448818897636</v>
      </c>
      <c r="C25" s="137">
        <v>-957700</v>
      </c>
      <c r="E25" s="59" t="s">
        <v>87</v>
      </c>
      <c r="F25" s="56" t="s">
        <v>42</v>
      </c>
      <c r="G25" s="44">
        <v>1</v>
      </c>
      <c r="H25" s="129">
        <f>IF(B$15=0,0,G25/B$15)</f>
        <v>4.6948356807511738E-3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6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2.5641025641025641E-3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27</v>
      </c>
      <c r="C32" s="141">
        <f>IF(B$15=0,0,B32/B$15)</f>
        <v>0.12676056338028169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44</v>
      </c>
      <c r="C33" s="37">
        <f t="shared" ref="C33:C44" si="3">IF(B$15=0,0,B33/B$15)</f>
        <v>0.20657276995305165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44</v>
      </c>
      <c r="C34" s="37">
        <f>IF(B$15=0,0,B34/B$15)</f>
        <v>0.20657276995305165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39</v>
      </c>
      <c r="C35" s="37">
        <f t="shared" si="3"/>
        <v>0.18309859154929578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22</v>
      </c>
      <c r="C36" s="37">
        <f t="shared" si="3"/>
        <v>0.10328638497652583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17</v>
      </c>
      <c r="C37" s="37">
        <f t="shared" si="3"/>
        <v>7.9812206572769953E-2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11</v>
      </c>
      <c r="C38" s="37">
        <f t="shared" si="3"/>
        <v>5.1643192488262914E-2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3"/>
        <v>2.8169014084507043E-2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3"/>
        <v>4.6948356807511738E-3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3"/>
        <v>9.3896713615023476E-3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  <row r="78" spans="11:12" x14ac:dyDescent="0.45">
      <c r="K78" s="36">
        <v>76</v>
      </c>
      <c r="L78" s="95">
        <v>-520.50000000000023</v>
      </c>
    </row>
    <row r="79" spans="11:12" x14ac:dyDescent="0.45">
      <c r="K79" s="36">
        <v>77</v>
      </c>
      <c r="L79" s="95">
        <v>-490.00000000000023</v>
      </c>
    </row>
    <row r="80" spans="11:12" x14ac:dyDescent="0.45">
      <c r="K80" s="36">
        <v>78</v>
      </c>
      <c r="L80" s="95">
        <v>-427.60000000000025</v>
      </c>
    </row>
    <row r="81" spans="11:12" x14ac:dyDescent="0.45">
      <c r="K81" s="36">
        <v>79</v>
      </c>
      <c r="L81" s="95">
        <v>-419.20000000000027</v>
      </c>
    </row>
    <row r="82" spans="11:12" x14ac:dyDescent="0.45">
      <c r="K82" s="36">
        <v>80</v>
      </c>
      <c r="L82" s="95">
        <v>-427.50000000000028</v>
      </c>
    </row>
    <row r="83" spans="11:12" x14ac:dyDescent="0.45">
      <c r="K83" s="36">
        <v>81</v>
      </c>
      <c r="L83" s="95">
        <v>-430.90000000000026</v>
      </c>
    </row>
    <row r="84" spans="11:12" x14ac:dyDescent="0.45">
      <c r="K84" s="36">
        <v>82</v>
      </c>
      <c r="L84" s="95">
        <v>-468.40000000000026</v>
      </c>
    </row>
    <row r="85" spans="11:12" x14ac:dyDescent="0.45">
      <c r="K85" s="36">
        <v>83</v>
      </c>
      <c r="L85" s="95">
        <v>-502.90000000000026</v>
      </c>
    </row>
    <row r="86" spans="11:12" x14ac:dyDescent="0.45">
      <c r="K86" s="36">
        <v>84</v>
      </c>
      <c r="L86" s="95">
        <v>-564.20000000000027</v>
      </c>
    </row>
    <row r="87" spans="11:12" x14ac:dyDescent="0.45">
      <c r="K87" s="36">
        <v>85</v>
      </c>
      <c r="L87" s="95">
        <v>-589.90000000000032</v>
      </c>
    </row>
    <row r="88" spans="11:12" x14ac:dyDescent="0.45">
      <c r="K88" s="36">
        <v>86</v>
      </c>
      <c r="L88" s="95">
        <v>-582.3000000000003</v>
      </c>
    </row>
    <row r="89" spans="11:12" x14ac:dyDescent="0.45">
      <c r="K89" s="36">
        <v>87</v>
      </c>
      <c r="L89" s="95">
        <v>-606.90000000000032</v>
      </c>
    </row>
    <row r="90" spans="11:12" x14ac:dyDescent="0.45">
      <c r="K90" s="36">
        <v>88</v>
      </c>
      <c r="L90" s="95">
        <v>-597.70000000000027</v>
      </c>
    </row>
  </sheetData>
  <sortState xmlns:xlrd2="http://schemas.microsoft.com/office/spreadsheetml/2017/richdata2" ref="E2:I91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E4EF-9CC7-4B01-BCDE-8541105FEBD1}">
  <sheetPr codeName="Sheet9"/>
  <dimension ref="A1:Q20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200</v>
      </c>
      <c r="C2" s="155"/>
      <c r="E2" s="58" t="s">
        <v>66</v>
      </c>
      <c r="F2" s="55" t="s">
        <v>22</v>
      </c>
      <c r="G2" s="43">
        <v>376</v>
      </c>
      <c r="H2" s="128">
        <f>IF(B$15=0,0,G2/B$15)</f>
        <v>0.67142857142857137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1412.6262626262626</v>
      </c>
      <c r="P2" s="114">
        <v>198</v>
      </c>
      <c r="Q2" s="98">
        <v>279700</v>
      </c>
    </row>
    <row r="3" spans="1:17" x14ac:dyDescent="0.45">
      <c r="A3" s="51" t="s">
        <v>8</v>
      </c>
      <c r="B3" s="156">
        <v>1643</v>
      </c>
      <c r="C3" s="157"/>
      <c r="E3" s="59" t="s">
        <v>72</v>
      </c>
      <c r="F3" s="56" t="s">
        <v>27</v>
      </c>
      <c r="G3" s="44">
        <v>300</v>
      </c>
      <c r="H3" s="129">
        <f>IF(B$15=0,0,G3/B$15)</f>
        <v>0.5357142857142857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1102.5773195876288</v>
      </c>
      <c r="P3" s="115">
        <v>194</v>
      </c>
      <c r="Q3" s="99">
        <v>213900</v>
      </c>
    </row>
    <row r="4" spans="1:17" x14ac:dyDescent="0.45">
      <c r="A4" s="51" t="s">
        <v>6</v>
      </c>
      <c r="B4" s="158">
        <v>1806.0999999999997</v>
      </c>
      <c r="C4" s="159"/>
      <c r="E4" s="59" t="s">
        <v>64</v>
      </c>
      <c r="F4" s="56" t="s">
        <v>20</v>
      </c>
      <c r="G4" s="44">
        <v>239</v>
      </c>
      <c r="H4" s="129">
        <f>IF(B$15=0,0,G4/B$15)</f>
        <v>0.42678571428571427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1235.2941176470588</v>
      </c>
      <c r="P4" s="115">
        <v>187</v>
      </c>
      <c r="Q4" s="99">
        <v>231000</v>
      </c>
    </row>
    <row r="5" spans="1:17" x14ac:dyDescent="0.45">
      <c r="A5" s="51" t="s">
        <v>7</v>
      </c>
      <c r="B5" s="160">
        <f>IF(B$2=0,0,B$4/B$2)</f>
        <v>9.0304999999999982</v>
      </c>
      <c r="C5" s="161"/>
      <c r="E5" s="59" t="s">
        <v>166</v>
      </c>
      <c r="F5" s="56" t="s">
        <v>167</v>
      </c>
      <c r="G5" s="44">
        <v>218</v>
      </c>
      <c r="H5" s="129">
        <f>IF(B$15=0,0,G5/B$15)</f>
        <v>0.38928571428571429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90.804597701149419</v>
      </c>
      <c r="P5" s="115">
        <v>174</v>
      </c>
      <c r="Q5" s="99">
        <v>15800</v>
      </c>
    </row>
    <row r="6" spans="1:17" x14ac:dyDescent="0.45">
      <c r="A6" s="51" t="s">
        <v>1</v>
      </c>
      <c r="B6" s="150">
        <f>IF(B$2=0,0,(B$7*1+B$8*2+B$9*3)/B$2)</f>
        <v>1.77</v>
      </c>
      <c r="C6" s="151"/>
      <c r="E6" s="59" t="s">
        <v>68</v>
      </c>
      <c r="F6" s="56" t="s">
        <v>12</v>
      </c>
      <c r="G6" s="44">
        <v>157</v>
      </c>
      <c r="H6" s="129">
        <f>IF(B$15=0,0,G6/B$15)</f>
        <v>0.28035714285714286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1893.8271604938273</v>
      </c>
      <c r="P6" s="115">
        <v>162</v>
      </c>
      <c r="Q6" s="99">
        <v>306800</v>
      </c>
    </row>
    <row r="7" spans="1:17" x14ac:dyDescent="0.45">
      <c r="A7" s="51" t="s">
        <v>2</v>
      </c>
      <c r="B7" s="44">
        <v>94</v>
      </c>
      <c r="C7" s="37">
        <f t="shared" ref="C7:C10" si="1">IF(B$2=0,0,B7/B$2)</f>
        <v>0.47</v>
      </c>
      <c r="E7" s="59" t="s">
        <v>67</v>
      </c>
      <c r="F7" s="56" t="s">
        <v>23</v>
      </c>
      <c r="G7" s="44">
        <v>133</v>
      </c>
      <c r="H7" s="129">
        <f>IF(B$15=0,0,G7/B$15)</f>
        <v>0.23749999999999999</v>
      </c>
      <c r="I7" s="90">
        <v>11</v>
      </c>
      <c r="K7" s="36">
        <v>5</v>
      </c>
      <c r="L7" s="95">
        <v>99.9</v>
      </c>
      <c r="N7" s="112" t="s">
        <v>135</v>
      </c>
      <c r="O7" s="119">
        <f t="shared" si="0"/>
        <v>1845.4545454545455</v>
      </c>
      <c r="P7" s="116">
        <v>132</v>
      </c>
      <c r="Q7" s="100">
        <v>243600</v>
      </c>
    </row>
    <row r="8" spans="1:17" x14ac:dyDescent="0.45">
      <c r="A8" s="51" t="s">
        <v>3</v>
      </c>
      <c r="B8" s="44">
        <v>58</v>
      </c>
      <c r="C8" s="37">
        <f t="shared" si="1"/>
        <v>0.28999999999999998</v>
      </c>
      <c r="E8" s="59" t="s">
        <v>89</v>
      </c>
      <c r="F8" s="56" t="s">
        <v>44</v>
      </c>
      <c r="G8" s="44">
        <v>84</v>
      </c>
      <c r="H8" s="129">
        <f>IF(B$15=0,0,G8/B$15)</f>
        <v>0.15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48</v>
      </c>
      <c r="C9" s="38">
        <f t="shared" si="1"/>
        <v>0.24</v>
      </c>
      <c r="E9" s="59" t="s">
        <v>69</v>
      </c>
      <c r="F9" s="56" t="s">
        <v>24</v>
      </c>
      <c r="G9" s="44">
        <v>70</v>
      </c>
      <c r="H9" s="129">
        <f>IF(B$15=0,0,G9/B$15)</f>
        <v>0.125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4.4999999999999998E-2</v>
      </c>
      <c r="E10" s="59" t="s">
        <v>65</v>
      </c>
      <c r="F10" s="56" t="s">
        <v>21</v>
      </c>
      <c r="G10" s="44">
        <v>61</v>
      </c>
      <c r="H10" s="129">
        <f>IF(B$15=0,0,G10/B$15)</f>
        <v>0.10892857142857143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11.836206896551722</v>
      </c>
      <c r="P10" s="114">
        <v>58</v>
      </c>
      <c r="Q10" s="102">
        <v>686.49999999999989</v>
      </c>
    </row>
    <row r="11" spans="1:17" x14ac:dyDescent="0.45">
      <c r="A11" s="54" t="s">
        <v>121</v>
      </c>
      <c r="B11" s="47">
        <v>432</v>
      </c>
      <c r="C11" s="42">
        <f>IF(B$3=0,0,B11/B$3)</f>
        <v>0.26293365794278756</v>
      </c>
      <c r="E11" s="59" t="s">
        <v>71</v>
      </c>
      <c r="F11" s="56" t="s">
        <v>26</v>
      </c>
      <c r="G11" s="44">
        <v>40</v>
      </c>
      <c r="H11" s="129">
        <f>IF(B$15=0,0,G11/B$15)</f>
        <v>7.1428571428571425E-2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4.7941176470588234</v>
      </c>
      <c r="P11" s="115">
        <v>68</v>
      </c>
      <c r="Q11" s="103">
        <v>326</v>
      </c>
    </row>
    <row r="12" spans="1:17" x14ac:dyDescent="0.45">
      <c r="A12" s="51" t="s">
        <v>118</v>
      </c>
      <c r="B12" s="44">
        <v>387</v>
      </c>
      <c r="C12" s="37">
        <f>IF(B$3=0,0,B12/B$3)</f>
        <v>0.23554473524041389</v>
      </c>
      <c r="E12" s="59" t="s">
        <v>86</v>
      </c>
      <c r="F12" s="56" t="s">
        <v>41</v>
      </c>
      <c r="G12" s="44">
        <v>36</v>
      </c>
      <c r="H12" s="129">
        <f>IF(B$15=0,0,G12/B$15)</f>
        <v>6.4285714285714279E-2</v>
      </c>
      <c r="I12" s="90">
        <v>2</v>
      </c>
      <c r="K12" s="36">
        <v>10</v>
      </c>
      <c r="L12" s="95">
        <v>158.19999999999999</v>
      </c>
      <c r="N12" s="112" t="s">
        <v>159</v>
      </c>
      <c r="O12" s="122">
        <f>IF(P12=0,0,Q12/P12)</f>
        <v>10.871232876712327</v>
      </c>
      <c r="P12" s="116">
        <v>73</v>
      </c>
      <c r="Q12" s="104">
        <v>793.5999999999998</v>
      </c>
    </row>
    <row r="13" spans="1:17" x14ac:dyDescent="0.45">
      <c r="A13" s="50" t="s">
        <v>123</v>
      </c>
      <c r="B13" s="43">
        <f>B19</f>
        <v>251</v>
      </c>
      <c r="C13" s="35">
        <f>IF(B$11=0,0,B13/B$11)</f>
        <v>0.58101851851851849</v>
      </c>
      <c r="E13" s="59" t="s">
        <v>70</v>
      </c>
      <c r="F13" s="56" t="s">
        <v>25</v>
      </c>
      <c r="G13" s="44">
        <v>35</v>
      </c>
      <c r="H13" s="129">
        <f>IF(B$15=0,0,G13/B$15)</f>
        <v>6.25E-2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187</v>
      </c>
      <c r="C14" s="35">
        <f>IF(B$12=0,0,B14/B$12)</f>
        <v>0.48320413436692505</v>
      </c>
      <c r="E14" s="59" t="s">
        <v>83</v>
      </c>
      <c r="F14" s="56" t="s">
        <v>38</v>
      </c>
      <c r="G14" s="44">
        <v>25</v>
      </c>
      <c r="H14" s="129">
        <f>IF(B$15=0,0,G14/B$15)</f>
        <v>4.4642857142857144E-2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560</v>
      </c>
      <c r="C15" s="35">
        <f>IF(B$3=0,0,B15/B$3)</f>
        <v>0.3408399269628728</v>
      </c>
      <c r="E15" s="59" t="s">
        <v>78</v>
      </c>
      <c r="F15" s="56" t="s">
        <v>33</v>
      </c>
      <c r="G15" s="44">
        <v>21</v>
      </c>
      <c r="H15" s="129">
        <f>IF(B$15=0,0,G15/B$15)</f>
        <v>3.7499999999999999E-2</v>
      </c>
      <c r="I15" s="90">
        <v>4</v>
      </c>
      <c r="K15" s="36">
        <v>13</v>
      </c>
      <c r="L15" s="95">
        <v>206.39999999999998</v>
      </c>
      <c r="N15" s="110" t="s">
        <v>274</v>
      </c>
      <c r="O15" s="120">
        <f>IF(P15=0,0,Q15/P15)</f>
        <v>41.459999999999994</v>
      </c>
      <c r="P15" s="114">
        <v>5</v>
      </c>
      <c r="Q15" s="102">
        <v>207.29999999999998</v>
      </c>
    </row>
    <row r="16" spans="1:17" x14ac:dyDescent="0.45">
      <c r="A16" s="51" t="s">
        <v>13</v>
      </c>
      <c r="B16" s="44">
        <v>204</v>
      </c>
      <c r="C16" s="37">
        <f>IF(B$3=0,0,B16/B$3)</f>
        <v>0.1241631162507608</v>
      </c>
      <c r="E16" s="59" t="s">
        <v>162</v>
      </c>
      <c r="F16" s="56" t="s">
        <v>163</v>
      </c>
      <c r="G16" s="44">
        <v>15</v>
      </c>
      <c r="H16" s="129">
        <f>IF(B$15=0,0,G16/B$15)</f>
        <v>2.6785714285714284E-2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33.644444444444453</v>
      </c>
      <c r="P16" s="115">
        <v>9</v>
      </c>
      <c r="Q16" s="103">
        <v>302.80000000000007</v>
      </c>
    </row>
    <row r="17" spans="1:17" x14ac:dyDescent="0.45">
      <c r="A17" s="51" t="s">
        <v>12</v>
      </c>
      <c r="B17" s="44">
        <v>237</v>
      </c>
      <c r="C17" s="37">
        <f>IF(B$15=0,0,B17/B$15)</f>
        <v>0.42321428571428571</v>
      </c>
      <c r="E17" s="59" t="s">
        <v>81</v>
      </c>
      <c r="F17" s="56" t="s">
        <v>36</v>
      </c>
      <c r="G17" s="44">
        <v>9</v>
      </c>
      <c r="H17" s="129">
        <f>IF(B$15=0,0,G17/B$15)</f>
        <v>1.607142857142857E-2</v>
      </c>
      <c r="I17" s="90">
        <v>7</v>
      </c>
      <c r="K17" s="36">
        <v>15</v>
      </c>
      <c r="L17" s="95">
        <v>269.49999999999994</v>
      </c>
      <c r="N17" s="111" t="s">
        <v>197</v>
      </c>
      <c r="O17" s="121">
        <f>IF(P17=0,0,Q17/P17)</f>
        <v>24.157142857142862</v>
      </c>
      <c r="P17" s="115">
        <v>21</v>
      </c>
      <c r="Q17" s="103">
        <v>507.30000000000007</v>
      </c>
    </row>
    <row r="18" spans="1:17" x14ac:dyDescent="0.45">
      <c r="A18" s="51" t="s">
        <v>11</v>
      </c>
      <c r="B18" s="44">
        <v>323</v>
      </c>
      <c r="C18" s="37">
        <f>IF(B$15=0,0,B18/B$15)</f>
        <v>0.57678571428571423</v>
      </c>
      <c r="E18" s="59" t="s">
        <v>91</v>
      </c>
      <c r="F18" s="56" t="s">
        <v>46</v>
      </c>
      <c r="G18" s="44">
        <v>6</v>
      </c>
      <c r="H18" s="129">
        <f>IF(B$15=0,0,G18/B$15)</f>
        <v>1.0714285714285714E-2</v>
      </c>
      <c r="I18" s="90">
        <v>8</v>
      </c>
      <c r="K18" s="36">
        <v>16</v>
      </c>
      <c r="L18" s="95">
        <v>323.69999999999993</v>
      </c>
      <c r="N18" s="111" t="s">
        <v>172</v>
      </c>
      <c r="O18" s="121">
        <f>IF(P18=0,0,Q18/P18)</f>
        <v>15.762499999999999</v>
      </c>
      <c r="P18" s="115">
        <v>64</v>
      </c>
      <c r="Q18" s="103">
        <v>1008.8</v>
      </c>
    </row>
    <row r="19" spans="1:17" x14ac:dyDescent="0.45">
      <c r="A19" s="51" t="s">
        <v>195</v>
      </c>
      <c r="B19" s="44">
        <v>251</v>
      </c>
      <c r="C19" s="37">
        <f>IF(B$15=0,0,B19/B$15)</f>
        <v>0.44821428571428573</v>
      </c>
      <c r="E19" s="59" t="s">
        <v>92</v>
      </c>
      <c r="F19" s="56" t="s">
        <v>47</v>
      </c>
      <c r="G19" s="44">
        <v>6</v>
      </c>
      <c r="H19" s="129">
        <f>IF(B$15=0,0,G19/B$15)</f>
        <v>1.0714285714285714E-2</v>
      </c>
      <c r="I19" s="90">
        <v>2</v>
      </c>
      <c r="K19" s="36">
        <v>17</v>
      </c>
      <c r="L19" s="95">
        <v>359.09999999999991</v>
      </c>
      <c r="N19" s="111" t="s">
        <v>161</v>
      </c>
      <c r="O19" s="121">
        <f>IF(P19=0,0,Q19/P19)</f>
        <v>13.116666666666665</v>
      </c>
      <c r="P19" s="115">
        <v>42</v>
      </c>
      <c r="Q19" s="103">
        <v>550.9</v>
      </c>
    </row>
    <row r="20" spans="1:17" x14ac:dyDescent="0.45">
      <c r="A20" s="51" t="s">
        <v>193</v>
      </c>
      <c r="B20" s="44">
        <v>187</v>
      </c>
      <c r="C20" s="37">
        <f>IF(B$15=0,0,B20/B$15)</f>
        <v>0.33392857142857141</v>
      </c>
      <c r="E20" s="59" t="s">
        <v>75</v>
      </c>
      <c r="F20" s="56" t="s">
        <v>30</v>
      </c>
      <c r="G20" s="44">
        <v>5</v>
      </c>
      <c r="H20" s="129">
        <f>IF(B$15=0,0,G20/B$15)</f>
        <v>8.9285714285714281E-3</v>
      </c>
      <c r="I20" s="90">
        <v>5</v>
      </c>
      <c r="K20" s="36">
        <v>18</v>
      </c>
      <c r="L20" s="95">
        <v>352.39999999999992</v>
      </c>
      <c r="N20" s="111" t="s">
        <v>127</v>
      </c>
      <c r="O20" s="121">
        <f>IF(P20=0,0,Q20/P20)</f>
        <v>13.062393162393166</v>
      </c>
      <c r="P20" s="115">
        <v>117</v>
      </c>
      <c r="Q20" s="103">
        <v>1528.3000000000004</v>
      </c>
    </row>
    <row r="21" spans="1:17" x14ac:dyDescent="0.45">
      <c r="A21" s="51" t="s">
        <v>194</v>
      </c>
      <c r="B21" s="44">
        <v>122</v>
      </c>
      <c r="C21" s="37">
        <f>IF(B$15=0,0,B21/B$15)</f>
        <v>0.21785714285714286</v>
      </c>
      <c r="E21" s="59" t="s">
        <v>79</v>
      </c>
      <c r="F21" s="56" t="s">
        <v>34</v>
      </c>
      <c r="G21" s="44">
        <v>4</v>
      </c>
      <c r="H21" s="129">
        <f>IF(B$15=0,0,G21/B$15)</f>
        <v>7.1428571428571426E-3</v>
      </c>
      <c r="I21" s="90">
        <v>9</v>
      </c>
      <c r="K21" s="36">
        <v>19</v>
      </c>
      <c r="L21" s="95">
        <v>383.19999999999993</v>
      </c>
      <c r="N21" s="111" t="s">
        <v>171</v>
      </c>
      <c r="O21" s="121">
        <f>IF(P21=0,0,Q21/P21)</f>
        <v>12.639743589743592</v>
      </c>
      <c r="P21" s="115">
        <v>78</v>
      </c>
      <c r="Q21" s="103">
        <v>985.9000000000002</v>
      </c>
    </row>
    <row r="22" spans="1:17" x14ac:dyDescent="0.45">
      <c r="A22" s="51" t="s">
        <v>5</v>
      </c>
      <c r="B22" s="48">
        <f>IF(B$15=0,0,C22/B$15)</f>
        <v>8258.75</v>
      </c>
      <c r="C22" s="39">
        <v>4624900</v>
      </c>
      <c r="E22" s="59" t="s">
        <v>85</v>
      </c>
      <c r="F22" s="56" t="s">
        <v>40</v>
      </c>
      <c r="G22" s="44">
        <v>4</v>
      </c>
      <c r="H22" s="129">
        <f>IF(B$15=0,0,G22/B$15)</f>
        <v>7.1428571428571426E-3</v>
      </c>
      <c r="I22" s="90">
        <v>5</v>
      </c>
      <c r="K22" s="36">
        <v>20</v>
      </c>
      <c r="L22" s="95">
        <v>365.49999999999994</v>
      </c>
      <c r="N22" s="111" t="s">
        <v>170</v>
      </c>
      <c r="O22" s="121">
        <f>IF(P22=0,0,Q22/P22)</f>
        <v>6.3095238095238093</v>
      </c>
      <c r="P22" s="115">
        <v>63</v>
      </c>
      <c r="Q22" s="103">
        <v>397.5</v>
      </c>
    </row>
    <row r="23" spans="1:17" x14ac:dyDescent="0.45">
      <c r="A23" s="52" t="s">
        <v>177</v>
      </c>
      <c r="B23" s="136">
        <f>IF($B$15-B$14=0,0,C23/($B$15-B$14))</f>
        <v>8883.6461126005361</v>
      </c>
      <c r="C23" s="137">
        <v>3313600</v>
      </c>
      <c r="E23" s="59" t="s">
        <v>77</v>
      </c>
      <c r="F23" s="56" t="s">
        <v>32</v>
      </c>
      <c r="G23" s="44">
        <v>3</v>
      </c>
      <c r="H23" s="129">
        <f>IF(B$15=0,0,G23/B$15)</f>
        <v>5.3571428571428572E-3</v>
      </c>
      <c r="I23" s="90">
        <v>1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7012.2994652406414</v>
      </c>
      <c r="C24" s="137">
        <v>1311300</v>
      </c>
      <c r="E24" s="59" t="s">
        <v>84</v>
      </c>
      <c r="F24" s="56" t="s">
        <v>39</v>
      </c>
      <c r="G24" s="44">
        <v>3</v>
      </c>
      <c r="H24" s="129">
        <f>IF(B$15=0,0,G24/B$15)</f>
        <v>5.3571428571428572E-3</v>
      </c>
      <c r="I24" s="90">
        <v>2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-7767.6470588235297</v>
      </c>
      <c r="C25" s="137">
        <v>-1584600</v>
      </c>
      <c r="E25" s="59" t="s">
        <v>74</v>
      </c>
      <c r="F25" s="56" t="s">
        <v>29</v>
      </c>
      <c r="G25" s="44">
        <v>2</v>
      </c>
      <c r="H25" s="129">
        <f>IF(B$15=0,0,G25/B$15)</f>
        <v>3.5714285714285713E-3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88</v>
      </c>
      <c r="F26" s="56" t="s">
        <v>43</v>
      </c>
      <c r="G26" s="44">
        <v>2</v>
      </c>
      <c r="H26" s="129">
        <f>IF(B$15=0,0,G26/B$15)</f>
        <v>3.5714285714285713E-3</v>
      </c>
      <c r="I26" s="90">
        <v>3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11</v>
      </c>
      <c r="E27" s="59" t="s">
        <v>95</v>
      </c>
      <c r="F27" s="56" t="s">
        <v>50</v>
      </c>
      <c r="G27" s="44">
        <v>2</v>
      </c>
      <c r="H27" s="129">
        <f>IF(B$15=0,0,G27/B$15)</f>
        <v>3.5714285714285713E-3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1</v>
      </c>
      <c r="H28" s="129">
        <f>IF(B$15=0,0,G28/B$15)</f>
        <v>1.7857142857142857E-3</v>
      </c>
      <c r="I28" s="90">
        <v>6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1</v>
      </c>
      <c r="H29" s="129">
        <f>IF(B$15=0,0,G29/B$15)</f>
        <v>1.7857142857142857E-3</v>
      </c>
      <c r="I29" s="90">
        <v>3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2</v>
      </c>
      <c r="C30" s="40">
        <f>IF(B$3=0,0,B30/B$3)</f>
        <v>1.2172854534388314E-3</v>
      </c>
      <c r="E30" s="59" t="s">
        <v>106</v>
      </c>
      <c r="F30" s="56" t="s">
        <v>113</v>
      </c>
      <c r="G30" s="44">
        <v>1</v>
      </c>
      <c r="H30" s="129">
        <f>IF(B$15=0,0,G30/B$15)</f>
        <v>1.7857142857142857E-3</v>
      </c>
      <c r="I30" s="90">
        <v>1</v>
      </c>
      <c r="K30" s="36">
        <v>28</v>
      </c>
      <c r="L30" s="95">
        <v>375.79999999999995</v>
      </c>
    </row>
    <row r="31" spans="1:17" x14ac:dyDescent="0.45">
      <c r="E31" s="59" t="s">
        <v>73</v>
      </c>
      <c r="F31" s="56" t="s">
        <v>28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53</v>
      </c>
      <c r="C32" s="141">
        <f>IF(B$15=0,0,B32/B$15)</f>
        <v>9.464285714285714E-2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105</v>
      </c>
      <c r="C33" s="37">
        <f t="shared" ref="C33:C44" si="2">IF(B$15=0,0,B33/B$15)</f>
        <v>0.1875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110</v>
      </c>
      <c r="C34" s="37">
        <f>IF(B$15=0,0,B34/B$15)</f>
        <v>0.19642857142857142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98</v>
      </c>
      <c r="C35" s="37">
        <f t="shared" si="2"/>
        <v>0.17499999999999999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80</v>
      </c>
      <c r="C36" s="37">
        <f t="shared" si="2"/>
        <v>0.14285714285714285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55</v>
      </c>
      <c r="C37" s="37">
        <f t="shared" si="2"/>
        <v>9.8214285714285712E-2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25</v>
      </c>
      <c r="C38" s="37">
        <f t="shared" si="2"/>
        <v>4.4642857142857144E-2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11</v>
      </c>
      <c r="C39" s="37">
        <f t="shared" si="2"/>
        <v>1.9642857142857142E-2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10</v>
      </c>
      <c r="C40" s="37">
        <f t="shared" si="2"/>
        <v>1.7857142857142856E-2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3</v>
      </c>
      <c r="C41" s="37">
        <f t="shared" si="2"/>
        <v>5.3571428571428572E-3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1.7857142857142857E-3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9</v>
      </c>
      <c r="C44" s="40">
        <f t="shared" si="2"/>
        <v>1.607142857142857E-2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  <row r="168" spans="11:12" x14ac:dyDescent="0.45">
      <c r="K168" s="36">
        <v>166</v>
      </c>
      <c r="L168" s="95">
        <v>1454.5</v>
      </c>
    </row>
    <row r="169" spans="11:12" x14ac:dyDescent="0.45">
      <c r="K169" s="36">
        <v>167</v>
      </c>
      <c r="L169" s="95">
        <v>1408.3</v>
      </c>
    </row>
    <row r="170" spans="11:12" x14ac:dyDescent="0.45">
      <c r="K170" s="36">
        <v>168</v>
      </c>
      <c r="L170" s="95">
        <v>1434.6</v>
      </c>
    </row>
    <row r="171" spans="11:12" x14ac:dyDescent="0.45">
      <c r="K171" s="36">
        <v>169</v>
      </c>
      <c r="L171" s="95">
        <v>1474.3999999999999</v>
      </c>
    </row>
    <row r="172" spans="11:12" x14ac:dyDescent="0.45">
      <c r="K172" s="36">
        <v>170</v>
      </c>
      <c r="L172" s="95">
        <v>1472.4999999999998</v>
      </c>
    </row>
    <row r="173" spans="11:12" x14ac:dyDescent="0.45">
      <c r="K173" s="36">
        <v>171</v>
      </c>
      <c r="L173" s="95">
        <v>1533.2999999999997</v>
      </c>
    </row>
    <row r="174" spans="11:12" x14ac:dyDescent="0.45">
      <c r="K174" s="36">
        <v>172</v>
      </c>
      <c r="L174" s="95">
        <v>1535.2999999999997</v>
      </c>
    </row>
    <row r="175" spans="11:12" x14ac:dyDescent="0.45">
      <c r="K175" s="36">
        <v>173</v>
      </c>
      <c r="L175" s="95">
        <v>1503.0999999999997</v>
      </c>
    </row>
    <row r="176" spans="11:12" x14ac:dyDescent="0.45">
      <c r="K176" s="36">
        <v>174</v>
      </c>
      <c r="L176" s="95">
        <v>1548.2999999999997</v>
      </c>
    </row>
    <row r="177" spans="11:12" x14ac:dyDescent="0.45">
      <c r="K177" s="36">
        <v>175</v>
      </c>
      <c r="L177" s="95">
        <v>1535.7999999999997</v>
      </c>
    </row>
    <row r="178" spans="11:12" x14ac:dyDescent="0.45">
      <c r="K178" s="36">
        <v>176</v>
      </c>
      <c r="L178" s="95">
        <v>1564.5999999999997</v>
      </c>
    </row>
    <row r="179" spans="11:12" x14ac:dyDescent="0.45">
      <c r="K179" s="36">
        <v>177</v>
      </c>
      <c r="L179" s="95">
        <v>1537.1999999999996</v>
      </c>
    </row>
    <row r="180" spans="11:12" x14ac:dyDescent="0.45">
      <c r="K180" s="36">
        <v>178</v>
      </c>
      <c r="L180" s="95">
        <v>1526.1999999999996</v>
      </c>
    </row>
    <row r="181" spans="11:12" x14ac:dyDescent="0.45">
      <c r="K181" s="36">
        <v>179</v>
      </c>
      <c r="L181" s="95">
        <v>1554.0999999999997</v>
      </c>
    </row>
    <row r="182" spans="11:12" x14ac:dyDescent="0.45">
      <c r="K182" s="36">
        <v>180</v>
      </c>
      <c r="L182" s="95">
        <v>1553.2999999999997</v>
      </c>
    </row>
    <row r="183" spans="11:12" x14ac:dyDescent="0.45">
      <c r="K183" s="36">
        <v>181</v>
      </c>
      <c r="L183" s="95">
        <v>1552.9999999999998</v>
      </c>
    </row>
    <row r="184" spans="11:12" x14ac:dyDescent="0.45">
      <c r="K184" s="36">
        <v>182</v>
      </c>
      <c r="L184" s="95">
        <v>1600.4999999999998</v>
      </c>
    </row>
    <row r="185" spans="11:12" x14ac:dyDescent="0.45">
      <c r="K185" s="36">
        <v>183</v>
      </c>
      <c r="L185" s="95">
        <v>1578.4999999999998</v>
      </c>
    </row>
    <row r="186" spans="11:12" x14ac:dyDescent="0.45">
      <c r="K186" s="36">
        <v>184</v>
      </c>
      <c r="L186" s="95">
        <v>1553.9999999999998</v>
      </c>
    </row>
    <row r="187" spans="11:12" x14ac:dyDescent="0.45">
      <c r="K187" s="36">
        <v>185</v>
      </c>
      <c r="L187" s="95">
        <v>1594.7999999999997</v>
      </c>
    </row>
    <row r="188" spans="11:12" x14ac:dyDescent="0.45">
      <c r="K188" s="36">
        <v>186</v>
      </c>
      <c r="L188" s="95">
        <v>1635.9999999999998</v>
      </c>
    </row>
    <row r="189" spans="11:12" x14ac:dyDescent="0.45">
      <c r="K189" s="36">
        <v>187</v>
      </c>
      <c r="L189" s="95">
        <v>1628.2999999999997</v>
      </c>
    </row>
    <row r="190" spans="11:12" x14ac:dyDescent="0.45">
      <c r="K190" s="36">
        <v>188</v>
      </c>
      <c r="L190" s="95">
        <v>1659.9999999999998</v>
      </c>
    </row>
    <row r="191" spans="11:12" x14ac:dyDescent="0.45">
      <c r="K191" s="36">
        <v>189</v>
      </c>
      <c r="L191" s="95">
        <v>1692.1999999999998</v>
      </c>
    </row>
    <row r="192" spans="11:12" x14ac:dyDescent="0.45">
      <c r="K192" s="36">
        <v>190</v>
      </c>
      <c r="L192" s="95">
        <v>1689.2999999999997</v>
      </c>
    </row>
    <row r="193" spans="11:12" x14ac:dyDescent="0.45">
      <c r="K193" s="36">
        <v>191</v>
      </c>
      <c r="L193" s="95">
        <v>1721.2999999999997</v>
      </c>
    </row>
    <row r="194" spans="11:12" x14ac:dyDescent="0.45">
      <c r="K194" s="36">
        <v>192</v>
      </c>
      <c r="L194" s="95">
        <v>1762.7999999999997</v>
      </c>
    </row>
    <row r="195" spans="11:12" x14ac:dyDescent="0.45">
      <c r="K195" s="36">
        <v>193</v>
      </c>
      <c r="L195" s="95">
        <v>1799.3999999999996</v>
      </c>
    </row>
    <row r="196" spans="11:12" x14ac:dyDescent="0.45">
      <c r="K196" s="36">
        <v>194</v>
      </c>
      <c r="L196" s="95">
        <v>1831.2999999999997</v>
      </c>
    </row>
    <row r="197" spans="11:12" x14ac:dyDescent="0.45">
      <c r="K197" s="36">
        <v>195</v>
      </c>
      <c r="L197" s="95">
        <v>1872.7999999999997</v>
      </c>
    </row>
    <row r="198" spans="11:12" x14ac:dyDescent="0.45">
      <c r="K198" s="36">
        <v>196</v>
      </c>
      <c r="L198" s="95">
        <v>1834.0999999999997</v>
      </c>
    </row>
    <row r="199" spans="11:12" x14ac:dyDescent="0.45">
      <c r="K199" s="36">
        <v>197</v>
      </c>
      <c r="L199" s="95">
        <v>1788.5999999999997</v>
      </c>
    </row>
    <row r="200" spans="11:12" x14ac:dyDescent="0.45">
      <c r="K200" s="36">
        <v>198</v>
      </c>
      <c r="L200" s="95">
        <v>1804.7999999999997</v>
      </c>
    </row>
    <row r="201" spans="11:12" x14ac:dyDescent="0.45">
      <c r="K201" s="36">
        <v>199</v>
      </c>
      <c r="L201" s="95">
        <v>1804.7999999999997</v>
      </c>
    </row>
    <row r="202" spans="11:12" x14ac:dyDescent="0.45">
      <c r="K202" s="36">
        <v>200</v>
      </c>
      <c r="L202" s="95">
        <v>1806.0999999999997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58BD-7ADD-4470-B658-64B4471980A9}">
  <sheetPr codeName="Sheet11"/>
  <dimension ref="A1:Q17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177</v>
      </c>
      <c r="C2" s="155"/>
      <c r="E2" s="58" t="s">
        <v>66</v>
      </c>
      <c r="F2" s="55" t="s">
        <v>22</v>
      </c>
      <c r="G2" s="43">
        <v>342</v>
      </c>
      <c r="H2" s="128">
        <f>IF(B$15=0,0,G2/B$15)</f>
        <v>0.74672489082969429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-1064.367816091954</v>
      </c>
      <c r="P2" s="114">
        <v>174</v>
      </c>
      <c r="Q2" s="98">
        <v>-185200</v>
      </c>
    </row>
    <row r="3" spans="1:17" x14ac:dyDescent="0.45">
      <c r="A3" s="51" t="s">
        <v>8</v>
      </c>
      <c r="B3" s="156">
        <v>1456</v>
      </c>
      <c r="C3" s="157"/>
      <c r="E3" s="59" t="s">
        <v>72</v>
      </c>
      <c r="F3" s="56" t="s">
        <v>27</v>
      </c>
      <c r="G3" s="44">
        <v>261</v>
      </c>
      <c r="H3" s="129">
        <f>IF(B$15=0,0,G3/B$15)</f>
        <v>0.56986899563318782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1276.0233918128654</v>
      </c>
      <c r="P3" s="115">
        <v>171</v>
      </c>
      <c r="Q3" s="99">
        <v>218200</v>
      </c>
    </row>
    <row r="4" spans="1:17" x14ac:dyDescent="0.45">
      <c r="A4" s="51" t="s">
        <v>6</v>
      </c>
      <c r="B4" s="158">
        <v>-6.0000000000002061</v>
      </c>
      <c r="C4" s="159"/>
      <c r="E4" s="59" t="s">
        <v>166</v>
      </c>
      <c r="F4" s="56" t="s">
        <v>167</v>
      </c>
      <c r="G4" s="44">
        <v>189</v>
      </c>
      <c r="H4" s="129">
        <f>IF(B$15=0,0,G4/B$15)</f>
        <v>0.4126637554585153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-128.93081761006289</v>
      </c>
      <c r="P4" s="115">
        <v>159</v>
      </c>
      <c r="Q4" s="99">
        <v>-20500</v>
      </c>
    </row>
    <row r="5" spans="1:17" x14ac:dyDescent="0.45">
      <c r="A5" s="51" t="s">
        <v>7</v>
      </c>
      <c r="B5" s="160">
        <f>IF(B$2=0,0,B$4/B$2)</f>
        <v>-3.3898305084746928E-2</v>
      </c>
      <c r="C5" s="161"/>
      <c r="E5" s="59" t="s">
        <v>64</v>
      </c>
      <c r="F5" s="56" t="s">
        <v>20</v>
      </c>
      <c r="G5" s="44">
        <v>174</v>
      </c>
      <c r="H5" s="129">
        <f>IF(B$15=0,0,G5/B$15)</f>
        <v>0.37991266375545851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148.34437086092714</v>
      </c>
      <c r="P5" s="115">
        <v>151</v>
      </c>
      <c r="Q5" s="99">
        <v>22400</v>
      </c>
    </row>
    <row r="6" spans="1:17" x14ac:dyDescent="0.45">
      <c r="A6" s="51" t="s">
        <v>1</v>
      </c>
      <c r="B6" s="150">
        <f>IF(B$2=0,0,(B$7*1+B$8*2+B$9*3)/B$2)</f>
        <v>1.9717514124293785</v>
      </c>
      <c r="C6" s="151"/>
      <c r="E6" s="59" t="s">
        <v>68</v>
      </c>
      <c r="F6" s="56" t="s">
        <v>12</v>
      </c>
      <c r="G6" s="44">
        <v>127</v>
      </c>
      <c r="H6" s="129">
        <f>IF(B$15=0,0,G6/B$15)</f>
        <v>0.27729257641921395</v>
      </c>
      <c r="I6" s="90">
        <v>11</v>
      </c>
      <c r="K6" s="36">
        <v>4</v>
      </c>
      <c r="L6" s="95">
        <v>-38.099999999999994</v>
      </c>
      <c r="N6" s="111" t="s">
        <v>134</v>
      </c>
      <c r="O6" s="118">
        <f t="shared" si="0"/>
        <v>-1659.4202898550725</v>
      </c>
      <c r="P6" s="115">
        <v>138</v>
      </c>
      <c r="Q6" s="99">
        <v>-229000</v>
      </c>
    </row>
    <row r="7" spans="1:17" x14ac:dyDescent="0.45">
      <c r="A7" s="51" t="s">
        <v>2</v>
      </c>
      <c r="B7" s="44">
        <v>61</v>
      </c>
      <c r="C7" s="37">
        <f t="shared" ref="C7:C10" si="1">IF(B$2=0,0,B7/B$2)</f>
        <v>0.34463276836158191</v>
      </c>
      <c r="E7" s="59" t="s">
        <v>67</v>
      </c>
      <c r="F7" s="56" t="s">
        <v>23</v>
      </c>
      <c r="G7" s="44">
        <v>94</v>
      </c>
      <c r="H7" s="129">
        <f>IF(B$15=0,0,G7/B$15)</f>
        <v>0.20524017467248909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1237.391304347826</v>
      </c>
      <c r="P7" s="116">
        <v>115</v>
      </c>
      <c r="Q7" s="100">
        <v>142300</v>
      </c>
    </row>
    <row r="8" spans="1:17" x14ac:dyDescent="0.45">
      <c r="A8" s="51" t="s">
        <v>3</v>
      </c>
      <c r="B8" s="44">
        <v>60</v>
      </c>
      <c r="C8" s="37">
        <f t="shared" si="1"/>
        <v>0.33898305084745761</v>
      </c>
      <c r="E8" s="59" t="s">
        <v>69</v>
      </c>
      <c r="F8" s="56" t="s">
        <v>24</v>
      </c>
      <c r="G8" s="44">
        <v>50</v>
      </c>
      <c r="H8" s="129">
        <f>IF(B$15=0,0,G8/B$15)</f>
        <v>0.1091703056768559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56</v>
      </c>
      <c r="C9" s="38">
        <f t="shared" si="1"/>
        <v>0.31638418079096048</v>
      </c>
      <c r="E9" s="59" t="s">
        <v>89</v>
      </c>
      <c r="F9" s="56" t="s">
        <v>44</v>
      </c>
      <c r="G9" s="44">
        <v>47</v>
      </c>
      <c r="H9" s="129">
        <f>IF(B$15=0,0,G9/B$15)</f>
        <v>0.10262008733624454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0.10169491525423729</v>
      </c>
      <c r="E10" s="59" t="s">
        <v>70</v>
      </c>
      <c r="F10" s="56" t="s">
        <v>25</v>
      </c>
      <c r="G10" s="44">
        <v>44</v>
      </c>
      <c r="H10" s="129">
        <f>IF(B$15=0,0,G10/B$15)</f>
        <v>9.606986899563319E-2</v>
      </c>
      <c r="I10" s="90">
        <v>8</v>
      </c>
      <c r="K10" s="36">
        <v>8</v>
      </c>
      <c r="L10" s="95">
        <v>-56.79999999999999</v>
      </c>
      <c r="N10" s="110" t="s">
        <v>157</v>
      </c>
      <c r="O10" s="120">
        <f>IF(P10=0,0,Q10/P10)</f>
        <v>0.6462962962962967</v>
      </c>
      <c r="P10" s="114">
        <v>54</v>
      </c>
      <c r="Q10" s="102">
        <v>34.90000000000002</v>
      </c>
    </row>
    <row r="11" spans="1:17" x14ac:dyDescent="0.45">
      <c r="A11" s="54" t="s">
        <v>121</v>
      </c>
      <c r="B11" s="47">
        <v>339</v>
      </c>
      <c r="C11" s="42">
        <f>IF(B$3=0,0,B11/B$3)</f>
        <v>0.23282967032967034</v>
      </c>
      <c r="E11" s="59" t="s">
        <v>71</v>
      </c>
      <c r="F11" s="56" t="s">
        <v>26</v>
      </c>
      <c r="G11" s="44">
        <v>42</v>
      </c>
      <c r="H11" s="129">
        <f>IF(B$15=0,0,G11/B$15)</f>
        <v>9.1703056768558958E-2</v>
      </c>
      <c r="I11" s="90">
        <v>6</v>
      </c>
      <c r="K11" s="36">
        <v>9</v>
      </c>
      <c r="L11" s="95">
        <v>-83.699999999999989</v>
      </c>
      <c r="N11" s="111" t="s">
        <v>158</v>
      </c>
      <c r="O11" s="121">
        <f>IF(P11=0,0,Q11/P11)</f>
        <v>2.9418181818181837</v>
      </c>
      <c r="P11" s="115">
        <v>55</v>
      </c>
      <c r="Q11" s="103">
        <v>161.8000000000001</v>
      </c>
    </row>
    <row r="12" spans="1:17" x14ac:dyDescent="0.45">
      <c r="A12" s="51" t="s">
        <v>118</v>
      </c>
      <c r="B12" s="44">
        <v>435</v>
      </c>
      <c r="C12" s="37">
        <f>IF(B$3=0,0,B12/B$3)</f>
        <v>0.29876373626373626</v>
      </c>
      <c r="E12" s="59" t="s">
        <v>65</v>
      </c>
      <c r="F12" s="56" t="s">
        <v>21</v>
      </c>
      <c r="G12" s="44">
        <v>35</v>
      </c>
      <c r="H12" s="129">
        <f>IF(B$15=0,0,G12/B$15)</f>
        <v>7.6419213973799124E-2</v>
      </c>
      <c r="I12" s="90">
        <v>12</v>
      </c>
      <c r="K12" s="36">
        <v>10</v>
      </c>
      <c r="L12" s="95">
        <v>-78.399999999999991</v>
      </c>
      <c r="N12" s="112" t="s">
        <v>159</v>
      </c>
      <c r="O12" s="122">
        <f>IF(P12=0,0,Q12/P12)</f>
        <v>-3.0253731343283583</v>
      </c>
      <c r="P12" s="116">
        <v>67</v>
      </c>
      <c r="Q12" s="104">
        <v>-202.70000000000002</v>
      </c>
    </row>
    <row r="13" spans="1:17" x14ac:dyDescent="0.45">
      <c r="A13" s="50" t="s">
        <v>123</v>
      </c>
      <c r="B13" s="43">
        <f>B19</f>
        <v>174</v>
      </c>
      <c r="C13" s="35">
        <f>IF(B$11=0,0,B13/B$11)</f>
        <v>0.51327433628318586</v>
      </c>
      <c r="E13" s="59" t="s">
        <v>86</v>
      </c>
      <c r="F13" s="56" t="s">
        <v>41</v>
      </c>
      <c r="G13" s="44">
        <v>25</v>
      </c>
      <c r="H13" s="129">
        <f>IF(B$15=0,0,G13/B$15)</f>
        <v>5.458515283842795E-2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171</v>
      </c>
      <c r="C14" s="35">
        <f>IF(B$12=0,0,B14/B$12)</f>
        <v>0.39310344827586208</v>
      </c>
      <c r="E14" s="59" t="s">
        <v>83</v>
      </c>
      <c r="F14" s="56" t="s">
        <v>38</v>
      </c>
      <c r="G14" s="44">
        <v>22</v>
      </c>
      <c r="H14" s="129">
        <f>IF(B$15=0,0,G14/B$15)</f>
        <v>4.8034934497816595E-2</v>
      </c>
      <c r="I14" s="90">
        <v>7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458</v>
      </c>
      <c r="C15" s="35">
        <f>IF(B$3=0,0,B15/B$3)</f>
        <v>0.31456043956043955</v>
      </c>
      <c r="E15" s="59" t="s">
        <v>78</v>
      </c>
      <c r="F15" s="56" t="s">
        <v>33</v>
      </c>
      <c r="G15" s="44">
        <v>18</v>
      </c>
      <c r="H15" s="129">
        <f>IF(B$15=0,0,G15/B$15)</f>
        <v>3.9301310043668124E-2</v>
      </c>
      <c r="I15" s="90">
        <v>3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256</v>
      </c>
      <c r="C16" s="37">
        <f>IF(B$3=0,0,B16/B$3)</f>
        <v>0.17582417582417584</v>
      </c>
      <c r="E16" s="59" t="s">
        <v>91</v>
      </c>
      <c r="F16" s="56" t="s">
        <v>46</v>
      </c>
      <c r="G16" s="44">
        <v>14</v>
      </c>
      <c r="H16" s="129">
        <f>IF(B$15=0,0,G16/B$15)</f>
        <v>3.0567685589519649E-2</v>
      </c>
      <c r="I16" s="90">
        <v>2</v>
      </c>
      <c r="K16" s="36">
        <v>14</v>
      </c>
      <c r="L16" s="95">
        <v>-138.4</v>
      </c>
      <c r="N16" s="111" t="s">
        <v>196</v>
      </c>
      <c r="O16" s="121">
        <f>IF(P16=0,0,Q16/P16)</f>
        <v>28.9</v>
      </c>
      <c r="P16" s="115">
        <v>7</v>
      </c>
      <c r="Q16" s="103">
        <v>202.29999999999998</v>
      </c>
    </row>
    <row r="17" spans="1:17" x14ac:dyDescent="0.45">
      <c r="A17" s="51" t="s">
        <v>12</v>
      </c>
      <c r="B17" s="44">
        <v>191</v>
      </c>
      <c r="C17" s="37">
        <f>IF(B$15=0,0,B17/B$15)</f>
        <v>0.41703056768558949</v>
      </c>
      <c r="E17" s="59" t="s">
        <v>81</v>
      </c>
      <c r="F17" s="56" t="s">
        <v>36</v>
      </c>
      <c r="G17" s="44">
        <v>11</v>
      </c>
      <c r="H17" s="129">
        <f>IF(B$15=0,0,G17/B$15)</f>
        <v>2.4017467248908297E-2</v>
      </c>
      <c r="I17" s="90">
        <v>4</v>
      </c>
      <c r="K17" s="36">
        <v>15</v>
      </c>
      <c r="L17" s="95">
        <v>-144.30000000000001</v>
      </c>
      <c r="N17" s="111" t="s">
        <v>172</v>
      </c>
      <c r="O17" s="121">
        <f>IF(P17=0,0,Q17/P17)</f>
        <v>18.434693877551016</v>
      </c>
      <c r="P17" s="115">
        <v>49</v>
      </c>
      <c r="Q17" s="103">
        <v>903.29999999999973</v>
      </c>
    </row>
    <row r="18" spans="1:17" x14ac:dyDescent="0.45">
      <c r="A18" s="51" t="s">
        <v>11</v>
      </c>
      <c r="B18" s="44">
        <v>267</v>
      </c>
      <c r="C18" s="37">
        <f>IF(B$15=0,0,B18/B$15)</f>
        <v>0.58296943231441045</v>
      </c>
      <c r="E18" s="59" t="s">
        <v>79</v>
      </c>
      <c r="F18" s="56" t="s">
        <v>34</v>
      </c>
      <c r="G18" s="44">
        <v>8</v>
      </c>
      <c r="H18" s="129">
        <f>IF(B$15=0,0,G18/B$15)</f>
        <v>1.7467248908296942E-2</v>
      </c>
      <c r="I18" s="90">
        <v>5</v>
      </c>
      <c r="K18" s="36">
        <v>16</v>
      </c>
      <c r="L18" s="95">
        <v>-187.3</v>
      </c>
      <c r="N18" s="111" t="s">
        <v>197</v>
      </c>
      <c r="O18" s="121">
        <f>IF(P18=0,0,Q18/P18)</f>
        <v>12.000000000000002</v>
      </c>
      <c r="P18" s="115">
        <v>17</v>
      </c>
      <c r="Q18" s="103">
        <v>204.00000000000003</v>
      </c>
    </row>
    <row r="19" spans="1:17" x14ac:dyDescent="0.45">
      <c r="A19" s="51" t="s">
        <v>195</v>
      </c>
      <c r="B19" s="44">
        <v>174</v>
      </c>
      <c r="C19" s="37">
        <f>IF(B$15=0,0,B19/B$15)</f>
        <v>0.37991266375545851</v>
      </c>
      <c r="E19" s="59" t="s">
        <v>162</v>
      </c>
      <c r="F19" s="56" t="s">
        <v>163</v>
      </c>
      <c r="G19" s="44">
        <v>5</v>
      </c>
      <c r="H19" s="129">
        <f>IF(B$15=0,0,G19/B$15)</f>
        <v>1.0917030567685589E-2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10.769444444444444</v>
      </c>
      <c r="P19" s="115">
        <v>36</v>
      </c>
      <c r="Q19" s="103">
        <v>387.7</v>
      </c>
    </row>
    <row r="20" spans="1:17" x14ac:dyDescent="0.45">
      <c r="A20" s="51" t="s">
        <v>193</v>
      </c>
      <c r="B20" s="44">
        <v>171</v>
      </c>
      <c r="C20" s="37">
        <f>IF(B$15=0,0,B20/B$15)</f>
        <v>0.37336244541484714</v>
      </c>
      <c r="E20" s="59" t="s">
        <v>92</v>
      </c>
      <c r="F20" s="56" t="s">
        <v>47</v>
      </c>
      <c r="G20" s="44">
        <v>3</v>
      </c>
      <c r="H20" s="129">
        <f>IF(B$15=0,0,G20/B$15)</f>
        <v>6.5502183406113534E-3</v>
      </c>
      <c r="I20" s="90">
        <v>6</v>
      </c>
      <c r="K20" s="36">
        <v>18</v>
      </c>
      <c r="L20" s="95">
        <v>-112.90000000000002</v>
      </c>
      <c r="N20" s="111" t="s">
        <v>170</v>
      </c>
      <c r="O20" s="121">
        <f>IF(P20=0,0,Q20/P20)</f>
        <v>-2.5288135593220309</v>
      </c>
      <c r="P20" s="115">
        <v>59</v>
      </c>
      <c r="Q20" s="103">
        <v>-149.19999999999982</v>
      </c>
    </row>
    <row r="21" spans="1:17" x14ac:dyDescent="0.45">
      <c r="A21" s="51" t="s">
        <v>194</v>
      </c>
      <c r="B21" s="44">
        <v>113</v>
      </c>
      <c r="C21" s="37">
        <f>IF(B$15=0,0,B21/B$15)</f>
        <v>0.24672489082969432</v>
      </c>
      <c r="E21" s="59" t="s">
        <v>74</v>
      </c>
      <c r="F21" s="56" t="s">
        <v>29</v>
      </c>
      <c r="G21" s="44">
        <v>2</v>
      </c>
      <c r="H21" s="129">
        <f>IF(B$15=0,0,G21/B$15)</f>
        <v>4.3668122270742356E-3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-2.808064516129031</v>
      </c>
      <c r="P21" s="115">
        <v>62</v>
      </c>
      <c r="Q21" s="103">
        <v>-174.09999999999991</v>
      </c>
    </row>
    <row r="22" spans="1:17" x14ac:dyDescent="0.45">
      <c r="A22" s="51" t="s">
        <v>5</v>
      </c>
      <c r="B22" s="48">
        <f>IF(B$15=0,0,C22/B$15)</f>
        <v>7938.6462882096066</v>
      </c>
      <c r="C22" s="39">
        <v>3635900</v>
      </c>
      <c r="E22" s="59" t="s">
        <v>75</v>
      </c>
      <c r="F22" s="56" t="s">
        <v>30</v>
      </c>
      <c r="G22" s="44">
        <v>2</v>
      </c>
      <c r="H22" s="129">
        <f>IF(B$15=0,0,G22/B$15)</f>
        <v>4.3668122270742356E-3</v>
      </c>
      <c r="I22" s="90">
        <v>9</v>
      </c>
      <c r="K22" s="36">
        <v>20</v>
      </c>
      <c r="L22" s="95">
        <v>-96.000000000000028</v>
      </c>
      <c r="N22" s="111" t="s">
        <v>274</v>
      </c>
      <c r="O22" s="121">
        <f>IF(P22=0,0,Q22/P22)</f>
        <v>-2.86</v>
      </c>
      <c r="P22" s="115">
        <v>5</v>
      </c>
      <c r="Q22" s="103">
        <v>-14.299999999999999</v>
      </c>
    </row>
    <row r="23" spans="1:17" x14ac:dyDescent="0.45">
      <c r="A23" s="52" t="s">
        <v>177</v>
      </c>
      <c r="B23" s="136">
        <f>IF($B$15-B$14=0,0,C23/($B$15-B$14))</f>
        <v>8537.9790940766543</v>
      </c>
      <c r="C23" s="137">
        <v>2450400</v>
      </c>
      <c r="E23" s="59" t="s">
        <v>73</v>
      </c>
      <c r="F23" s="56" t="s">
        <v>28</v>
      </c>
      <c r="G23" s="44">
        <v>1</v>
      </c>
      <c r="H23" s="129">
        <f>IF(B$15=0,0,G23/B$15)</f>
        <v>2.1834061135371178E-3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-13.062393162393166</v>
      </c>
      <c r="P23" s="115">
        <v>117</v>
      </c>
      <c r="Q23" s="103">
        <v>-1528.3000000000004</v>
      </c>
    </row>
    <row r="24" spans="1:17" x14ac:dyDescent="0.45">
      <c r="A24" s="52" t="s">
        <v>178</v>
      </c>
      <c r="B24" s="136">
        <f>IF(B$14=0,0,C24/B$14)</f>
        <v>6932.7485380116959</v>
      </c>
      <c r="C24" s="137">
        <v>1185500</v>
      </c>
      <c r="E24" s="59" t="s">
        <v>77</v>
      </c>
      <c r="F24" s="56" t="s">
        <v>32</v>
      </c>
      <c r="G24" s="44">
        <v>1</v>
      </c>
      <c r="H24" s="129">
        <f>IF(B$15=0,0,G24/B$15)</f>
        <v>2.1834061135371178E-3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-7970.3125</v>
      </c>
      <c r="C25" s="137">
        <v>-2040400</v>
      </c>
      <c r="E25" s="59" t="s">
        <v>84</v>
      </c>
      <c r="F25" s="56" t="s">
        <v>39</v>
      </c>
      <c r="G25" s="44">
        <v>1</v>
      </c>
      <c r="H25" s="129">
        <f>IF(B$15=0,0,G25/B$15)</f>
        <v>2.1834061135371178E-3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4</v>
      </c>
      <c r="E26" s="59" t="s">
        <v>90</v>
      </c>
      <c r="F26" s="56" t="s">
        <v>45</v>
      </c>
      <c r="G26" s="44">
        <v>1</v>
      </c>
      <c r="H26" s="129">
        <f>IF(B$15=0,0,G26/B$15)</f>
        <v>2.1834061135371178E-3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29</v>
      </c>
      <c r="E27" s="59" t="s">
        <v>95</v>
      </c>
      <c r="F27" s="56" t="s">
        <v>50</v>
      </c>
      <c r="G27" s="44">
        <v>1</v>
      </c>
      <c r="H27" s="129">
        <f>IF(B$15=0,0,G27/B$15)</f>
        <v>2.1834061135371178E-3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5</v>
      </c>
      <c r="C30" s="40">
        <f>IF(B$3=0,0,B30/B$3)</f>
        <v>3.434065934065934E-3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8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37</v>
      </c>
      <c r="C32" s="141">
        <f>IF(B$15=0,0,B32/B$15)</f>
        <v>8.0786026200873357E-2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86</v>
      </c>
      <c r="C33" s="37">
        <f t="shared" ref="C33:C44" si="2">IF(B$15=0,0,B33/B$15)</f>
        <v>0.18777292576419213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98</v>
      </c>
      <c r="C34" s="37">
        <f>IF(B$15=0,0,B34/B$15)</f>
        <v>0.21397379912663755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92</v>
      </c>
      <c r="C35" s="37">
        <f t="shared" si="2"/>
        <v>0.20087336244541484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63</v>
      </c>
      <c r="C36" s="37">
        <f t="shared" si="2"/>
        <v>0.13755458515283842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44</v>
      </c>
      <c r="C37" s="37">
        <f t="shared" si="2"/>
        <v>9.606986899563319E-2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15</v>
      </c>
      <c r="C38" s="37">
        <f t="shared" si="2"/>
        <v>3.2751091703056769E-2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9</v>
      </c>
      <c r="C39" s="37">
        <f t="shared" si="2"/>
        <v>1.9650655021834062E-2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2"/>
        <v>1.3100436681222707E-2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2.1834061135371178E-3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3</v>
      </c>
      <c r="C42" s="37">
        <f t="shared" si="2"/>
        <v>6.5502183406113534E-3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8.7336244541484712E-3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  <row r="149" spans="11:12" x14ac:dyDescent="0.45">
      <c r="K149" s="36">
        <v>147</v>
      </c>
      <c r="L149" s="95">
        <v>-1.6000000000001862</v>
      </c>
    </row>
    <row r="150" spans="11:12" x14ac:dyDescent="0.45">
      <c r="K150" s="36">
        <v>148</v>
      </c>
      <c r="L150" s="95">
        <v>58.999999999999815</v>
      </c>
    </row>
    <row r="151" spans="11:12" x14ac:dyDescent="0.45">
      <c r="K151" s="36">
        <v>149</v>
      </c>
      <c r="L151" s="95">
        <v>20.499999999999815</v>
      </c>
    </row>
    <row r="152" spans="11:12" x14ac:dyDescent="0.45">
      <c r="K152" s="36">
        <v>150</v>
      </c>
      <c r="L152" s="95">
        <v>-14.500000000000185</v>
      </c>
    </row>
    <row r="153" spans="11:12" x14ac:dyDescent="0.45">
      <c r="K153" s="36">
        <v>151</v>
      </c>
      <c r="L153" s="95">
        <v>-9.1000000000001844</v>
      </c>
    </row>
    <row r="154" spans="11:12" x14ac:dyDescent="0.45">
      <c r="K154" s="36">
        <v>152</v>
      </c>
      <c r="L154" s="95">
        <v>-44.100000000000186</v>
      </c>
    </row>
    <row r="155" spans="11:12" x14ac:dyDescent="0.45">
      <c r="K155" s="36">
        <v>153</v>
      </c>
      <c r="L155" s="95">
        <v>-43.800000000000189</v>
      </c>
    </row>
    <row r="156" spans="11:12" x14ac:dyDescent="0.45">
      <c r="K156" s="36">
        <v>154</v>
      </c>
      <c r="L156" s="95">
        <v>-31.800000000000189</v>
      </c>
    </row>
    <row r="157" spans="11:12" x14ac:dyDescent="0.45">
      <c r="K157" s="36">
        <v>155</v>
      </c>
      <c r="L157" s="95">
        <v>7.8999999999998138</v>
      </c>
    </row>
    <row r="158" spans="11:12" x14ac:dyDescent="0.45">
      <c r="K158" s="36">
        <v>156</v>
      </c>
      <c r="L158" s="95">
        <v>-12.100000000000186</v>
      </c>
    </row>
    <row r="159" spans="11:12" x14ac:dyDescent="0.45">
      <c r="K159" s="36">
        <v>157</v>
      </c>
      <c r="L159" s="95">
        <v>8.8999999999998138</v>
      </c>
    </row>
    <row r="160" spans="11:12" x14ac:dyDescent="0.45">
      <c r="K160" s="36">
        <v>158</v>
      </c>
      <c r="L160" s="95">
        <v>47.099999999999817</v>
      </c>
    </row>
    <row r="161" spans="11:12" x14ac:dyDescent="0.45">
      <c r="K161" s="36">
        <v>159</v>
      </c>
      <c r="L161" s="95">
        <v>18.399999999999817</v>
      </c>
    </row>
    <row r="162" spans="11:12" x14ac:dyDescent="0.45">
      <c r="K162" s="36">
        <v>160</v>
      </c>
      <c r="L162" s="95">
        <v>-25.600000000000183</v>
      </c>
    </row>
    <row r="163" spans="11:12" x14ac:dyDescent="0.45">
      <c r="K163" s="36">
        <v>161</v>
      </c>
      <c r="L163" s="95">
        <v>-44.500000000000185</v>
      </c>
    </row>
    <row r="164" spans="11:12" x14ac:dyDescent="0.45">
      <c r="K164" s="36">
        <v>162</v>
      </c>
      <c r="L164" s="95">
        <v>-22.200000000000184</v>
      </c>
    </row>
    <row r="165" spans="11:12" x14ac:dyDescent="0.45">
      <c r="K165" s="36">
        <v>163</v>
      </c>
      <c r="L165" s="95">
        <v>25.099999999999813</v>
      </c>
    </row>
    <row r="166" spans="11:12" x14ac:dyDescent="0.45">
      <c r="K166" s="36">
        <v>164</v>
      </c>
      <c r="L166" s="95">
        <v>-9.4000000000001869</v>
      </c>
    </row>
    <row r="167" spans="11:12" x14ac:dyDescent="0.45">
      <c r="K167" s="36">
        <v>165</v>
      </c>
      <c r="L167" s="95">
        <v>-48.100000000000193</v>
      </c>
    </row>
    <row r="168" spans="11:12" x14ac:dyDescent="0.45">
      <c r="K168" s="36">
        <v>166</v>
      </c>
      <c r="L168" s="95">
        <v>-22.900000000000194</v>
      </c>
    </row>
    <row r="169" spans="11:12" x14ac:dyDescent="0.45">
      <c r="K169" s="36">
        <v>167</v>
      </c>
      <c r="L169" s="95">
        <v>-2.8000000000001926</v>
      </c>
    </row>
    <row r="170" spans="11:12" x14ac:dyDescent="0.45">
      <c r="K170" s="36">
        <v>168</v>
      </c>
      <c r="L170" s="95">
        <v>21.399999999999807</v>
      </c>
    </row>
    <row r="171" spans="11:12" x14ac:dyDescent="0.45">
      <c r="K171" s="36">
        <v>169</v>
      </c>
      <c r="L171" s="95">
        <v>20.799999999999805</v>
      </c>
    </row>
    <row r="172" spans="11:12" x14ac:dyDescent="0.45">
      <c r="K172" s="36">
        <v>170</v>
      </c>
      <c r="L172" s="95">
        <v>-3.0000000000001954</v>
      </c>
    </row>
    <row r="173" spans="11:12" x14ac:dyDescent="0.45">
      <c r="K173" s="36">
        <v>171</v>
      </c>
      <c r="L173" s="95">
        <v>-27.400000000000194</v>
      </c>
    </row>
    <row r="174" spans="11:12" x14ac:dyDescent="0.45">
      <c r="K174" s="36">
        <v>172</v>
      </c>
      <c r="L174" s="95">
        <v>-60.500000000000199</v>
      </c>
    </row>
    <row r="175" spans="11:12" x14ac:dyDescent="0.45">
      <c r="K175" s="36">
        <v>173</v>
      </c>
      <c r="L175" s="95">
        <v>-71.400000000000205</v>
      </c>
    </row>
    <row r="176" spans="11:12" x14ac:dyDescent="0.45">
      <c r="K176" s="36">
        <v>174</v>
      </c>
      <c r="L176" s="95">
        <v>-41.100000000000207</v>
      </c>
    </row>
    <row r="177" spans="11:12" x14ac:dyDescent="0.45">
      <c r="K177" s="36">
        <v>175</v>
      </c>
      <c r="L177" s="95">
        <v>-41.100000000000207</v>
      </c>
    </row>
    <row r="178" spans="11:12" x14ac:dyDescent="0.45">
      <c r="K178" s="36">
        <v>176</v>
      </c>
      <c r="L178" s="95">
        <v>-68.600000000000207</v>
      </c>
    </row>
    <row r="179" spans="11:12" x14ac:dyDescent="0.45">
      <c r="K179" s="36">
        <v>177</v>
      </c>
      <c r="L179" s="95">
        <v>-6.0000000000002061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6C2D-E050-44B5-86ED-989961FA76EC}">
  <sheetPr codeName="Sheet13"/>
  <dimension ref="A1:Q10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100</v>
      </c>
      <c r="C2" s="155"/>
      <c r="E2" s="58" t="s">
        <v>66</v>
      </c>
      <c r="F2" s="55" t="s">
        <v>22</v>
      </c>
      <c r="G2" s="43">
        <v>176</v>
      </c>
      <c r="H2" s="128">
        <f>IF(B$15=0,0,G2/B$15)</f>
        <v>0.76855895196506552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-637.37373737373741</v>
      </c>
      <c r="P2" s="114">
        <v>99</v>
      </c>
      <c r="Q2" s="98">
        <v>-63100</v>
      </c>
    </row>
    <row r="3" spans="1:17" x14ac:dyDescent="0.45">
      <c r="A3" s="51" t="s">
        <v>8</v>
      </c>
      <c r="B3" s="156">
        <v>863</v>
      </c>
      <c r="C3" s="157"/>
      <c r="E3" s="59" t="s">
        <v>64</v>
      </c>
      <c r="F3" s="56" t="s">
        <v>20</v>
      </c>
      <c r="G3" s="44">
        <v>127</v>
      </c>
      <c r="H3" s="129">
        <f>IF(B$15=0,0,G3/B$15)</f>
        <v>0.55458515283842791</v>
      </c>
      <c r="I3" s="90">
        <v>5</v>
      </c>
      <c r="K3" s="36">
        <v>1</v>
      </c>
      <c r="L3" s="95">
        <v>-37.799999999999997</v>
      </c>
      <c r="N3" s="111" t="s">
        <v>131</v>
      </c>
      <c r="O3" s="118">
        <f t="shared" si="0"/>
        <v>-893.93939393939399</v>
      </c>
      <c r="P3" s="115">
        <v>99</v>
      </c>
      <c r="Q3" s="99">
        <v>-88500</v>
      </c>
    </row>
    <row r="4" spans="1:17" x14ac:dyDescent="0.45">
      <c r="A4" s="51" t="s">
        <v>6</v>
      </c>
      <c r="B4" s="158">
        <v>-752.69999999999993</v>
      </c>
      <c r="C4" s="159"/>
      <c r="E4" s="59" t="s">
        <v>72</v>
      </c>
      <c r="F4" s="56" t="s">
        <v>27</v>
      </c>
      <c r="G4" s="44">
        <v>114</v>
      </c>
      <c r="H4" s="129">
        <f>IF(B$15=0,0,G4/B$15)</f>
        <v>0.49781659388646288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469.89247311827955</v>
      </c>
      <c r="P4" s="115">
        <v>93</v>
      </c>
      <c r="Q4" s="99">
        <v>43700</v>
      </c>
    </row>
    <row r="5" spans="1:17" x14ac:dyDescent="0.45">
      <c r="A5" s="51" t="s">
        <v>7</v>
      </c>
      <c r="B5" s="160">
        <f>IF(B$2=0,0,B$4/B$2)</f>
        <v>-7.5269999999999992</v>
      </c>
      <c r="C5" s="161"/>
      <c r="E5" s="59" t="s">
        <v>166</v>
      </c>
      <c r="F5" s="56" t="s">
        <v>167</v>
      </c>
      <c r="G5" s="44">
        <v>96</v>
      </c>
      <c r="H5" s="129">
        <f>IF(B$15=0,0,G5/B$15)</f>
        <v>0.41921397379912662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-779.12087912087907</v>
      </c>
      <c r="P5" s="115">
        <v>91</v>
      </c>
      <c r="Q5" s="99">
        <v>-70900</v>
      </c>
    </row>
    <row r="6" spans="1:17" x14ac:dyDescent="0.45">
      <c r="A6" s="51" t="s">
        <v>1</v>
      </c>
      <c r="B6" s="150">
        <f>IF(B$2=0,0,(B$7*1+B$8*2+B$9*3)/B$2)</f>
        <v>2.19</v>
      </c>
      <c r="C6" s="151"/>
      <c r="E6" s="59" t="s">
        <v>68</v>
      </c>
      <c r="F6" s="56" t="s">
        <v>12</v>
      </c>
      <c r="G6" s="44">
        <v>80</v>
      </c>
      <c r="H6" s="129">
        <f>IF(B$15=0,0,G6/B$15)</f>
        <v>0.34934497816593885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-2894.1860465116279</v>
      </c>
      <c r="P6" s="115">
        <v>86</v>
      </c>
      <c r="Q6" s="99">
        <v>-248900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0.21</v>
      </c>
      <c r="E7" s="59" t="s">
        <v>67</v>
      </c>
      <c r="F7" s="56" t="s">
        <v>23</v>
      </c>
      <c r="G7" s="44">
        <v>70</v>
      </c>
      <c r="H7" s="129">
        <f>IF(B$15=0,0,G7/B$15)</f>
        <v>0.3056768558951965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-1877.3333333333333</v>
      </c>
      <c r="P7" s="116">
        <v>75</v>
      </c>
      <c r="Q7" s="100">
        <v>-140800</v>
      </c>
    </row>
    <row r="8" spans="1:17" x14ac:dyDescent="0.45">
      <c r="A8" s="51" t="s">
        <v>3</v>
      </c>
      <c r="B8" s="44">
        <v>39</v>
      </c>
      <c r="C8" s="37">
        <f t="shared" si="1"/>
        <v>0.39</v>
      </c>
      <c r="E8" s="59" t="s">
        <v>69</v>
      </c>
      <c r="F8" s="56" t="s">
        <v>24</v>
      </c>
      <c r="G8" s="44">
        <v>33</v>
      </c>
      <c r="H8" s="129">
        <f>IF(B$15=0,0,G8/B$15)</f>
        <v>0.14410480349344978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40</v>
      </c>
      <c r="C9" s="38">
        <f t="shared" si="1"/>
        <v>0.4</v>
      </c>
      <c r="E9" s="59" t="s">
        <v>65</v>
      </c>
      <c r="F9" s="56" t="s">
        <v>21</v>
      </c>
      <c r="G9" s="44">
        <v>28</v>
      </c>
      <c r="H9" s="129">
        <f>IF(B$15=0,0,G9/B$15)</f>
        <v>0.1222707423580786</v>
      </c>
      <c r="I9" s="90">
        <v>7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0.08</v>
      </c>
      <c r="E10" s="59" t="s">
        <v>70</v>
      </c>
      <c r="F10" s="56" t="s">
        <v>25</v>
      </c>
      <c r="G10" s="44">
        <v>28</v>
      </c>
      <c r="H10" s="129">
        <f>IF(B$15=0,0,G10/B$15)</f>
        <v>0.1222707423580786</v>
      </c>
      <c r="I10" s="90">
        <v>4</v>
      </c>
      <c r="K10" s="36">
        <v>8</v>
      </c>
      <c r="L10" s="95">
        <v>-62.999999999999993</v>
      </c>
      <c r="N10" s="110" t="s">
        <v>157</v>
      </c>
      <c r="O10" s="120">
        <f>IF(P10=0,0,Q10/P10)</f>
        <v>-6.9425000000000026</v>
      </c>
      <c r="P10" s="114">
        <v>40</v>
      </c>
      <c r="Q10" s="102">
        <v>-277.7000000000001</v>
      </c>
    </row>
    <row r="11" spans="1:17" x14ac:dyDescent="0.45">
      <c r="A11" s="54" t="s">
        <v>121</v>
      </c>
      <c r="B11" s="47">
        <v>236</v>
      </c>
      <c r="C11" s="42">
        <f>IF(B$3=0,0,B11/B$3)</f>
        <v>0.27346465816917731</v>
      </c>
      <c r="E11" s="59" t="s">
        <v>89</v>
      </c>
      <c r="F11" s="56" t="s">
        <v>44</v>
      </c>
      <c r="G11" s="44">
        <v>26</v>
      </c>
      <c r="H11" s="129">
        <f>IF(B$15=0,0,G11/B$15)</f>
        <v>0.11353711790393013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5">
      <c r="A12" s="51" t="s">
        <v>118</v>
      </c>
      <c r="B12" s="44">
        <v>165</v>
      </c>
      <c r="C12" s="37">
        <f>IF(B$3=0,0,B12/B$3)</f>
        <v>0.19119351100811124</v>
      </c>
      <c r="E12" s="59" t="s">
        <v>83</v>
      </c>
      <c r="F12" s="56" t="s">
        <v>38</v>
      </c>
      <c r="G12" s="44">
        <v>14</v>
      </c>
      <c r="H12" s="129">
        <f>IF(B$15=0,0,G12/B$15)</f>
        <v>6.1135371179039298E-2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-9.4999999999999982</v>
      </c>
      <c r="P12" s="116">
        <v>31</v>
      </c>
      <c r="Q12" s="104">
        <v>-294.49999999999994</v>
      </c>
    </row>
    <row r="13" spans="1:17" x14ac:dyDescent="0.45">
      <c r="A13" s="50" t="s">
        <v>123</v>
      </c>
      <c r="B13" s="43">
        <f>B19</f>
        <v>127</v>
      </c>
      <c r="C13" s="35">
        <f>IF(B$11=0,0,B13/B$11)</f>
        <v>0.53813559322033899</v>
      </c>
      <c r="E13" s="59" t="s">
        <v>86</v>
      </c>
      <c r="F13" s="56" t="s">
        <v>41</v>
      </c>
      <c r="G13" s="44">
        <v>10</v>
      </c>
      <c r="H13" s="129">
        <f>IF(B$15=0,0,G13/B$15)</f>
        <v>4.3668122270742356E-2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67</v>
      </c>
      <c r="C14" s="35">
        <f>IF(B$12=0,0,B14/B$12)</f>
        <v>0.40606060606060607</v>
      </c>
      <c r="E14" s="59" t="s">
        <v>71</v>
      </c>
      <c r="F14" s="56" t="s">
        <v>26</v>
      </c>
      <c r="G14" s="44">
        <v>9</v>
      </c>
      <c r="H14" s="129">
        <f>IF(B$15=0,0,G14/B$15)</f>
        <v>3.9301310043668124E-2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229</v>
      </c>
      <c r="C15" s="35">
        <f>IF(B$3=0,0,B15/B$3)</f>
        <v>0.26535341830822712</v>
      </c>
      <c r="E15" s="59" t="s">
        <v>78</v>
      </c>
      <c r="F15" s="56" t="s">
        <v>33</v>
      </c>
      <c r="G15" s="44">
        <v>8</v>
      </c>
      <c r="H15" s="129">
        <f>IF(B$15=0,0,G15/B$15)</f>
        <v>3.4934497816593885E-2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24.274999999999999</v>
      </c>
      <c r="P15" s="114">
        <v>4</v>
      </c>
      <c r="Q15" s="102">
        <v>97.1</v>
      </c>
    </row>
    <row r="16" spans="1:17" x14ac:dyDescent="0.45">
      <c r="A16" s="51" t="s">
        <v>13</v>
      </c>
      <c r="B16" s="44">
        <v>158</v>
      </c>
      <c r="C16" s="37">
        <f>IF(B$3=0,0,B16/B$3)</f>
        <v>0.18308227114716108</v>
      </c>
      <c r="E16" s="59" t="s">
        <v>79</v>
      </c>
      <c r="F16" s="56" t="s">
        <v>34</v>
      </c>
      <c r="G16" s="44">
        <v>4</v>
      </c>
      <c r="H16" s="129">
        <f>IF(B$15=0,0,G16/B$15)</f>
        <v>1.7467248908296942E-2</v>
      </c>
      <c r="I16" s="90">
        <v>5</v>
      </c>
      <c r="K16" s="36">
        <v>14</v>
      </c>
      <c r="L16" s="95">
        <v>-204.8</v>
      </c>
      <c r="N16" s="111" t="s">
        <v>170</v>
      </c>
      <c r="O16" s="121">
        <f t="shared" si="2"/>
        <v>2.9208333333333356</v>
      </c>
      <c r="P16" s="115">
        <v>24</v>
      </c>
      <c r="Q16" s="103">
        <v>70.100000000000051</v>
      </c>
    </row>
    <row r="17" spans="1:17" x14ac:dyDescent="0.45">
      <c r="A17" s="51" t="s">
        <v>12</v>
      </c>
      <c r="B17" s="44">
        <v>107</v>
      </c>
      <c r="C17" s="37">
        <f>IF(B$15=0,0,B17/B$15)</f>
        <v>0.46724890829694321</v>
      </c>
      <c r="E17" s="59" t="s">
        <v>81</v>
      </c>
      <c r="F17" s="56" t="s">
        <v>36</v>
      </c>
      <c r="G17" s="44">
        <v>4</v>
      </c>
      <c r="H17" s="129">
        <f>IF(B$15=0,0,G17/B$15)</f>
        <v>1.7467248908296942E-2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122</v>
      </c>
      <c r="C18" s="37">
        <f>IF(B$15=0,0,B18/B$15)</f>
        <v>0.53275109170305679</v>
      </c>
      <c r="E18" s="59" t="s">
        <v>162</v>
      </c>
      <c r="F18" s="56" t="s">
        <v>163</v>
      </c>
      <c r="G18" s="44">
        <v>4</v>
      </c>
      <c r="H18" s="129">
        <f>IF(B$15=0,0,G18/B$15)</f>
        <v>1.7467248908296942E-2</v>
      </c>
      <c r="I18" s="90">
        <v>4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127</v>
      </c>
      <c r="C19" s="37">
        <f>IF(B$15=0,0,B19/B$15)</f>
        <v>0.55458515283842791</v>
      </c>
      <c r="E19" s="59" t="s">
        <v>75</v>
      </c>
      <c r="F19" s="56" t="s">
        <v>30</v>
      </c>
      <c r="G19" s="44">
        <v>3</v>
      </c>
      <c r="H19" s="129">
        <f>IF(B$15=0,0,G19/B$15)</f>
        <v>1.3100436681222707E-2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 t="shared" si="2"/>
        <v>-15.669230769230769</v>
      </c>
      <c r="P19" s="115">
        <v>26</v>
      </c>
      <c r="Q19" s="103">
        <v>-407.4</v>
      </c>
    </row>
    <row r="20" spans="1:17" x14ac:dyDescent="0.45">
      <c r="A20" s="51" t="s">
        <v>193</v>
      </c>
      <c r="B20" s="44">
        <v>67</v>
      </c>
      <c r="C20" s="37">
        <f>IF(B$15=0,0,B20/B$15)</f>
        <v>0.29257641921397382</v>
      </c>
      <c r="E20" s="59" t="s">
        <v>85</v>
      </c>
      <c r="F20" s="56" t="s">
        <v>40</v>
      </c>
      <c r="G20" s="44">
        <v>1</v>
      </c>
      <c r="H20" s="129">
        <f>IF(B$15=0,0,G20/B$15)</f>
        <v>4.3668122270742356E-3</v>
      </c>
      <c r="I20" s="90">
        <v>7</v>
      </c>
      <c r="K20" s="36">
        <v>18</v>
      </c>
      <c r="L20" s="95">
        <v>-240</v>
      </c>
      <c r="N20" s="111" t="s">
        <v>126</v>
      </c>
      <c r="O20" s="121">
        <f t="shared" si="2"/>
        <v>-15.762500000000001</v>
      </c>
      <c r="P20" s="115">
        <v>64</v>
      </c>
      <c r="Q20" s="103">
        <v>-1008.8000000000001</v>
      </c>
    </row>
    <row r="21" spans="1:17" x14ac:dyDescent="0.45">
      <c r="A21" s="51" t="s">
        <v>194</v>
      </c>
      <c r="B21" s="44">
        <v>35</v>
      </c>
      <c r="C21" s="37">
        <f>IF(B$15=0,0,B21/B$15)</f>
        <v>0.15283842794759825</v>
      </c>
      <c r="E21" s="59" t="s">
        <v>91</v>
      </c>
      <c r="F21" s="56" t="s">
        <v>46</v>
      </c>
      <c r="G21" s="44">
        <v>1</v>
      </c>
      <c r="H21" s="129">
        <f>IF(B$15=0,0,G21/B$15)</f>
        <v>4.3668122270742356E-3</v>
      </c>
      <c r="I21" s="90">
        <v>9</v>
      </c>
      <c r="K21" s="36">
        <v>19</v>
      </c>
      <c r="L21" s="95">
        <v>-218</v>
      </c>
      <c r="N21" s="111" t="s">
        <v>127</v>
      </c>
      <c r="O21" s="121">
        <f t="shared" si="2"/>
        <v>-18.434693877551016</v>
      </c>
      <c r="P21" s="115">
        <v>49</v>
      </c>
      <c r="Q21" s="103">
        <v>-903.29999999999973</v>
      </c>
    </row>
    <row r="22" spans="1:17" x14ac:dyDescent="0.45">
      <c r="A22" s="51" t="s">
        <v>5</v>
      </c>
      <c r="B22" s="48">
        <f>IF(B$15=0,0,C22/B$15)</f>
        <v>7835.8078602620089</v>
      </c>
      <c r="C22" s="39">
        <v>1794400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-177.6</v>
      </c>
      <c r="N22" s="111" t="s">
        <v>274</v>
      </c>
      <c r="O22" s="121">
        <f t="shared" si="2"/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8448.1481481481478</v>
      </c>
      <c r="C23" s="137">
        <v>1368600</v>
      </c>
      <c r="E23" s="59" t="s">
        <v>74</v>
      </c>
      <c r="F23" s="56" t="s">
        <v>29</v>
      </c>
      <c r="G23" s="44">
        <v>0</v>
      </c>
      <c r="H23" s="129">
        <f>IF(B$15=0,0,G23/B$15)</f>
        <v>0</v>
      </c>
      <c r="I23" s="90">
        <v>7</v>
      </c>
      <c r="K23" s="36">
        <v>21</v>
      </c>
      <c r="L23" s="95">
        <v>-133.30000000000001</v>
      </c>
      <c r="N23" s="111" t="s">
        <v>228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6355.2238805970146</v>
      </c>
      <c r="C24" s="137">
        <v>425800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-7813.9240506329115</v>
      </c>
      <c r="C25" s="137">
        <v>-1234600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3.4762456546929316E-3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17</v>
      </c>
      <c r="C32" s="141">
        <f>IF(B$15=0,0,B32/B$15)</f>
        <v>7.4235807860262015E-2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0.1703056768558952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52</v>
      </c>
      <c r="C34" s="37">
        <f>IF(B$15=0,0,B34/B$15)</f>
        <v>0.22707423580786026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35</v>
      </c>
      <c r="C35" s="37">
        <f t="shared" si="3"/>
        <v>0.15283842794759825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39</v>
      </c>
      <c r="C36" s="37">
        <f t="shared" si="3"/>
        <v>0.1703056768558952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3"/>
        <v>0.10043668122270742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14</v>
      </c>
      <c r="C38" s="37">
        <f t="shared" si="3"/>
        <v>6.1135371179039298E-2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6</v>
      </c>
      <c r="C39" s="37">
        <f t="shared" si="3"/>
        <v>2.6200873362445413E-2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4.3668122270742356E-3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4.3668122270742356E-3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8.7336244541484712E-3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  <row r="98" spans="11:12" x14ac:dyDescent="0.45">
      <c r="K98" s="36">
        <v>96</v>
      </c>
      <c r="L98" s="95">
        <v>-631.19999999999993</v>
      </c>
    </row>
    <row r="99" spans="11:12" x14ac:dyDescent="0.45">
      <c r="K99" s="36">
        <v>97</v>
      </c>
      <c r="L99" s="95">
        <v>-673.49999999999989</v>
      </c>
    </row>
    <row r="100" spans="11:12" x14ac:dyDescent="0.45">
      <c r="K100" s="36">
        <v>98</v>
      </c>
      <c r="L100" s="95">
        <v>-700.69999999999993</v>
      </c>
    </row>
    <row r="101" spans="11:12" x14ac:dyDescent="0.45">
      <c r="K101" s="36">
        <v>99</v>
      </c>
      <c r="L101" s="95">
        <v>-707.4</v>
      </c>
    </row>
    <row r="102" spans="11:12" x14ac:dyDescent="0.45">
      <c r="K102" s="36">
        <v>100</v>
      </c>
      <c r="L102" s="95">
        <v>-752.69999999999993</v>
      </c>
    </row>
  </sheetData>
  <sortState xmlns:xlrd2="http://schemas.microsoft.com/office/spreadsheetml/2017/richdata2" ref="E2:I10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6292B-6599-41BA-9312-320B6B8EE30E}">
  <sheetPr codeName="Sheet15"/>
  <dimension ref="A1:Q15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148</v>
      </c>
      <c r="C2" s="155"/>
      <c r="E2" s="58" t="s">
        <v>66</v>
      </c>
      <c r="F2" s="55" t="s">
        <v>22</v>
      </c>
      <c r="G2" s="43">
        <v>296</v>
      </c>
      <c r="H2" s="128">
        <f>IF(B$15=0,0,G2/B$15)</f>
        <v>0.9135802469135802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1448.2993197278911</v>
      </c>
      <c r="P2" s="114">
        <v>147</v>
      </c>
      <c r="Q2" s="98">
        <v>212900</v>
      </c>
    </row>
    <row r="3" spans="1:17" x14ac:dyDescent="0.45">
      <c r="A3" s="51" t="s">
        <v>8</v>
      </c>
      <c r="B3" s="156">
        <v>1186</v>
      </c>
      <c r="C3" s="157"/>
      <c r="E3" s="59" t="s">
        <v>72</v>
      </c>
      <c r="F3" s="56" t="s">
        <v>27</v>
      </c>
      <c r="G3" s="44">
        <v>181</v>
      </c>
      <c r="H3" s="129">
        <f>IF(B$15=0,0,G3/B$15)</f>
        <v>0.55864197530864201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-2058.7412587412587</v>
      </c>
      <c r="P3" s="115">
        <v>143</v>
      </c>
      <c r="Q3" s="99">
        <v>-294400</v>
      </c>
    </row>
    <row r="4" spans="1:17" x14ac:dyDescent="0.45">
      <c r="A4" s="51" t="s">
        <v>6</v>
      </c>
      <c r="B4" s="158">
        <v>514.50000000000057</v>
      </c>
      <c r="C4" s="159"/>
      <c r="E4" s="59" t="s">
        <v>64</v>
      </c>
      <c r="F4" s="56" t="s">
        <v>20</v>
      </c>
      <c r="G4" s="44">
        <v>175</v>
      </c>
      <c r="H4" s="129">
        <f>IF(B$15=0,0,G4/B$15)</f>
        <v>0.54012345679012341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-652.67175572519079</v>
      </c>
      <c r="P4" s="115">
        <v>131</v>
      </c>
      <c r="Q4" s="99">
        <v>-85500</v>
      </c>
    </row>
    <row r="5" spans="1:17" x14ac:dyDescent="0.45">
      <c r="A5" s="51" t="s">
        <v>7</v>
      </c>
      <c r="B5" s="160">
        <f>IF(B$2=0,0,B$4/B$2)</f>
        <v>3.4763513513513553</v>
      </c>
      <c r="C5" s="161"/>
      <c r="E5" s="59" t="s">
        <v>67</v>
      </c>
      <c r="F5" s="56" t="s">
        <v>23</v>
      </c>
      <c r="G5" s="44">
        <v>128</v>
      </c>
      <c r="H5" s="129">
        <f>IF(B$15=0,0,G5/B$15)</f>
        <v>0.39506172839506171</v>
      </c>
      <c r="I5" s="90">
        <v>5</v>
      </c>
      <c r="K5" s="36">
        <v>3</v>
      </c>
      <c r="L5" s="95">
        <v>-113.8</v>
      </c>
      <c r="N5" s="111" t="s">
        <v>133</v>
      </c>
      <c r="O5" s="118">
        <f t="shared" si="0"/>
        <v>2231.404958677686</v>
      </c>
      <c r="P5" s="115">
        <v>121</v>
      </c>
      <c r="Q5" s="99">
        <v>270000</v>
      </c>
    </row>
    <row r="6" spans="1:17" x14ac:dyDescent="0.45">
      <c r="A6" s="51" t="s">
        <v>1</v>
      </c>
      <c r="B6" s="150">
        <f>IF(B$2=0,0,(B$7*1+B$8*2+B$9*3)/B$2)</f>
        <v>1.9391891891891893</v>
      </c>
      <c r="C6" s="151"/>
      <c r="E6" s="59" t="s">
        <v>68</v>
      </c>
      <c r="F6" s="56" t="s">
        <v>12</v>
      </c>
      <c r="G6" s="44">
        <v>128</v>
      </c>
      <c r="H6" s="129">
        <f>IF(B$15=0,0,G6/B$15)</f>
        <v>0.39506172839506171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1465.1376146788991</v>
      </c>
      <c r="P6" s="115">
        <v>109</v>
      </c>
      <c r="Q6" s="99">
        <v>159700</v>
      </c>
    </row>
    <row r="7" spans="1:17" x14ac:dyDescent="0.45">
      <c r="A7" s="51" t="s">
        <v>2</v>
      </c>
      <c r="B7" s="44">
        <v>57</v>
      </c>
      <c r="C7" s="37">
        <f t="shared" ref="C7:C10" si="1">IF(B$2=0,0,B7/B$2)</f>
        <v>0.38513513513513514</v>
      </c>
      <c r="E7" s="59" t="s">
        <v>166</v>
      </c>
      <c r="F7" s="56" t="s">
        <v>167</v>
      </c>
      <c r="G7" s="44">
        <v>121</v>
      </c>
      <c r="H7" s="129">
        <f>IF(B$15=0,0,G7/B$15)</f>
        <v>0.37345679012345678</v>
      </c>
      <c r="I7" s="90">
        <v>9</v>
      </c>
      <c r="K7" s="36">
        <v>5</v>
      </c>
      <c r="L7" s="95">
        <v>-118.3</v>
      </c>
      <c r="N7" s="112" t="s">
        <v>135</v>
      </c>
      <c r="O7" s="119">
        <f t="shared" si="0"/>
        <v>520.73170731707319</v>
      </c>
      <c r="P7" s="116">
        <v>82</v>
      </c>
      <c r="Q7" s="100">
        <v>42700</v>
      </c>
    </row>
    <row r="8" spans="1:17" x14ac:dyDescent="0.45">
      <c r="A8" s="51" t="s">
        <v>3</v>
      </c>
      <c r="B8" s="44">
        <v>43</v>
      </c>
      <c r="C8" s="37">
        <f t="shared" si="1"/>
        <v>0.29054054054054052</v>
      </c>
      <c r="E8" s="59" t="s">
        <v>89</v>
      </c>
      <c r="F8" s="56" t="s">
        <v>44</v>
      </c>
      <c r="G8" s="44">
        <v>81</v>
      </c>
      <c r="H8" s="129">
        <f>IF(B$15=0,0,G8/B$15)</f>
        <v>0.25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48</v>
      </c>
      <c r="C9" s="38">
        <f t="shared" si="1"/>
        <v>0.32432432432432434</v>
      </c>
      <c r="E9" s="59" t="s">
        <v>69</v>
      </c>
      <c r="F9" s="56" t="s">
        <v>24</v>
      </c>
      <c r="G9" s="44">
        <v>68</v>
      </c>
      <c r="H9" s="129">
        <f>IF(B$15=0,0,G9/B$15)</f>
        <v>0.20987654320987653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19</v>
      </c>
      <c r="C10" s="40">
        <f t="shared" si="1"/>
        <v>0.12837837837837837</v>
      </c>
      <c r="E10" s="59" t="s">
        <v>65</v>
      </c>
      <c r="F10" s="56" t="s">
        <v>21</v>
      </c>
      <c r="G10" s="44">
        <v>47</v>
      </c>
      <c r="H10" s="129">
        <f>IF(B$15=0,0,G10/B$15)</f>
        <v>0.14506172839506173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-8.7357142857142858</v>
      </c>
      <c r="P10" s="114">
        <v>42</v>
      </c>
      <c r="Q10" s="102">
        <v>-366.9</v>
      </c>
    </row>
    <row r="11" spans="1:17" x14ac:dyDescent="0.45">
      <c r="A11" s="54" t="s">
        <v>121</v>
      </c>
      <c r="B11" s="47">
        <v>351</v>
      </c>
      <c r="C11" s="42">
        <f>IF(B$3=0,0,B11/B$3)</f>
        <v>0.29595278246205736</v>
      </c>
      <c r="E11" s="59" t="s">
        <v>70</v>
      </c>
      <c r="F11" s="56" t="s">
        <v>25</v>
      </c>
      <c r="G11" s="44">
        <v>40</v>
      </c>
      <c r="H11" s="129">
        <f>IF(B$15=0,0,G11/B$15)</f>
        <v>0.12345679012345678</v>
      </c>
      <c r="I11" s="90">
        <v>3</v>
      </c>
      <c r="K11" s="36">
        <v>9</v>
      </c>
      <c r="L11" s="95">
        <v>-120.99999999999999</v>
      </c>
      <c r="N11" s="111" t="s">
        <v>158</v>
      </c>
      <c r="O11" s="121">
        <f>IF(P11=0,0,Q11/P11)</f>
        <v>6.2339285714285699</v>
      </c>
      <c r="P11" s="115">
        <v>56</v>
      </c>
      <c r="Q11" s="103">
        <v>349.09999999999991</v>
      </c>
    </row>
    <row r="12" spans="1:17" x14ac:dyDescent="0.45">
      <c r="A12" s="51" t="s">
        <v>118</v>
      </c>
      <c r="B12" s="44">
        <v>219</v>
      </c>
      <c r="C12" s="37">
        <f>IF(B$3=0,0,B12/B$3)</f>
        <v>0.18465430016863407</v>
      </c>
      <c r="E12" s="59" t="s">
        <v>71</v>
      </c>
      <c r="F12" s="56" t="s">
        <v>26</v>
      </c>
      <c r="G12" s="44">
        <v>20</v>
      </c>
      <c r="H12" s="129">
        <f>IF(B$15=0,0,G12/B$15)</f>
        <v>6.1728395061728392E-2</v>
      </c>
      <c r="I12" s="90">
        <v>11</v>
      </c>
      <c r="K12" s="36">
        <v>10</v>
      </c>
      <c r="L12" s="95">
        <v>-113.29999999999998</v>
      </c>
      <c r="N12" s="112" t="s">
        <v>159</v>
      </c>
      <c r="O12" s="122">
        <f>IF(P12=0,0,Q12/P12)</f>
        <v>10.646000000000001</v>
      </c>
      <c r="P12" s="116">
        <v>50</v>
      </c>
      <c r="Q12" s="104">
        <v>532.30000000000007</v>
      </c>
    </row>
    <row r="13" spans="1:17" x14ac:dyDescent="0.45">
      <c r="A13" s="50" t="s">
        <v>123</v>
      </c>
      <c r="B13" s="43">
        <f>B19</f>
        <v>190</v>
      </c>
      <c r="C13" s="35">
        <f>IF(B$11=0,0,B13/B$11)</f>
        <v>0.54131054131054135</v>
      </c>
      <c r="E13" s="59" t="s">
        <v>162</v>
      </c>
      <c r="F13" s="56" t="s">
        <v>163</v>
      </c>
      <c r="G13" s="44">
        <v>17</v>
      </c>
      <c r="H13" s="129">
        <f>IF(B$15=0,0,G13/B$15)</f>
        <v>5.2469135802469133E-2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84</v>
      </c>
      <c r="C14" s="35">
        <f>IF(B$12=0,0,B14/B$12)</f>
        <v>0.38356164383561642</v>
      </c>
      <c r="E14" s="59" t="s">
        <v>86</v>
      </c>
      <c r="F14" s="56" t="s">
        <v>41</v>
      </c>
      <c r="G14" s="44">
        <v>12</v>
      </c>
      <c r="H14" s="129">
        <f>IF(B$15=0,0,G14/B$15)</f>
        <v>3.7037037037037035E-2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324</v>
      </c>
      <c r="C15" s="35">
        <f>IF(B$3=0,0,B15/B$3)</f>
        <v>0.27318718381112983</v>
      </c>
      <c r="E15" s="59" t="s">
        <v>83</v>
      </c>
      <c r="F15" s="56" t="s">
        <v>38</v>
      </c>
      <c r="G15" s="44">
        <v>10</v>
      </c>
      <c r="H15" s="129">
        <f>IF(B$15=0,0,G15/B$15)</f>
        <v>3.0864197530864196E-2</v>
      </c>
      <c r="I15" s="90">
        <v>11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206</v>
      </c>
      <c r="C16" s="37">
        <f>IF(B$3=0,0,B16/B$3)</f>
        <v>0.17369308600337269</v>
      </c>
      <c r="E16" s="59" t="s">
        <v>91</v>
      </c>
      <c r="F16" s="56" t="s">
        <v>46</v>
      </c>
      <c r="G16" s="44">
        <v>8</v>
      </c>
      <c r="H16" s="129">
        <f>IF(B$15=0,0,G16/B$15)</f>
        <v>2.4691358024691357E-2</v>
      </c>
      <c r="I16" s="90">
        <v>3</v>
      </c>
      <c r="K16" s="36">
        <v>14</v>
      </c>
      <c r="L16" s="95">
        <v>-86.499999999999972</v>
      </c>
      <c r="N16" s="111" t="s">
        <v>161</v>
      </c>
      <c r="O16" s="121">
        <f>IF(P16=0,0,Q16/P16)</f>
        <v>26.54137931034483</v>
      </c>
      <c r="P16" s="115">
        <v>29</v>
      </c>
      <c r="Q16" s="103">
        <v>769.7</v>
      </c>
    </row>
    <row r="17" spans="1:17" x14ac:dyDescent="0.45">
      <c r="A17" s="51" t="s">
        <v>12</v>
      </c>
      <c r="B17" s="44">
        <v>167</v>
      </c>
      <c r="C17" s="37">
        <f>IF(B$15=0,0,B17/B$15)</f>
        <v>0.51543209876543206</v>
      </c>
      <c r="E17" s="59" t="s">
        <v>92</v>
      </c>
      <c r="F17" s="56" t="s">
        <v>47</v>
      </c>
      <c r="G17" s="44">
        <v>6</v>
      </c>
      <c r="H17" s="129">
        <f>IF(B$15=0,0,G17/B$15)</f>
        <v>1.8518518518518517E-2</v>
      </c>
      <c r="I17" s="90">
        <v>1</v>
      </c>
      <c r="K17" s="36">
        <v>15</v>
      </c>
      <c r="L17" s="95">
        <v>-101.79999999999997</v>
      </c>
      <c r="N17" s="111" t="s">
        <v>197</v>
      </c>
      <c r="O17" s="121">
        <f>IF(P17=0,0,Q17/P17)</f>
        <v>12.110344827586209</v>
      </c>
      <c r="P17" s="115">
        <v>29</v>
      </c>
      <c r="Q17" s="103">
        <v>351.20000000000005</v>
      </c>
    </row>
    <row r="18" spans="1:17" x14ac:dyDescent="0.45">
      <c r="A18" s="51" t="s">
        <v>11</v>
      </c>
      <c r="B18" s="44">
        <v>157</v>
      </c>
      <c r="C18" s="37">
        <f>IF(B$15=0,0,B18/B$15)</f>
        <v>0.48456790123456789</v>
      </c>
      <c r="E18" s="59" t="s">
        <v>81</v>
      </c>
      <c r="F18" s="56" t="s">
        <v>36</v>
      </c>
      <c r="G18" s="44">
        <v>5</v>
      </c>
      <c r="H18" s="129">
        <f>IF(B$15=0,0,G18/B$15)</f>
        <v>1.5432098765432098E-2</v>
      </c>
      <c r="I18" s="90">
        <v>8</v>
      </c>
      <c r="K18" s="36">
        <v>16</v>
      </c>
      <c r="L18" s="95">
        <v>-63.099999999999966</v>
      </c>
      <c r="N18" s="111" t="s">
        <v>171</v>
      </c>
      <c r="O18" s="121">
        <f>IF(P18=0,0,Q18/P18)</f>
        <v>8.5328571428571429</v>
      </c>
      <c r="P18" s="115">
        <v>70</v>
      </c>
      <c r="Q18" s="103">
        <v>597.29999999999995</v>
      </c>
    </row>
    <row r="19" spans="1:17" x14ac:dyDescent="0.45">
      <c r="A19" s="51" t="s">
        <v>195</v>
      </c>
      <c r="B19" s="44">
        <v>190</v>
      </c>
      <c r="C19" s="37">
        <f>IF(B$15=0,0,B19/B$15)</f>
        <v>0.5864197530864198</v>
      </c>
      <c r="E19" s="59" t="s">
        <v>78</v>
      </c>
      <c r="F19" s="56" t="s">
        <v>33</v>
      </c>
      <c r="G19" s="44">
        <v>4</v>
      </c>
      <c r="H19" s="129">
        <f>IF(B$15=0,0,G19/B$15)</f>
        <v>1.2345679012345678E-2</v>
      </c>
      <c r="I19" s="90">
        <v>8</v>
      </c>
      <c r="K19" s="36">
        <v>17</v>
      </c>
      <c r="L19" s="95">
        <v>-55.799999999999969</v>
      </c>
      <c r="N19" s="111" t="s">
        <v>196</v>
      </c>
      <c r="O19" s="121">
        <f>IF(P19=0,0,Q19/P19)</f>
        <v>5.1500000000000012</v>
      </c>
      <c r="P19" s="115">
        <v>10</v>
      </c>
      <c r="Q19" s="103">
        <v>51.500000000000014</v>
      </c>
    </row>
    <row r="20" spans="1:17" x14ac:dyDescent="0.45">
      <c r="A20" s="51" t="s">
        <v>193</v>
      </c>
      <c r="B20" s="44">
        <v>84</v>
      </c>
      <c r="C20" s="37">
        <f>IF(B$15=0,0,B20/B$15)</f>
        <v>0.25925925925925924</v>
      </c>
      <c r="E20" s="59" t="s">
        <v>79</v>
      </c>
      <c r="F20" s="56" t="s">
        <v>34</v>
      </c>
      <c r="G20" s="44">
        <v>4</v>
      </c>
      <c r="H20" s="129">
        <f>IF(B$15=0,0,G20/B$15)</f>
        <v>1.2345679012345678E-2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>IF(P20=0,0,Q20/P20)</f>
        <v>2.5288135593220322</v>
      </c>
      <c r="P20" s="115">
        <v>59</v>
      </c>
      <c r="Q20" s="103">
        <v>149.1999999999999</v>
      </c>
    </row>
    <row r="21" spans="1:17" x14ac:dyDescent="0.45">
      <c r="A21" s="51" t="s">
        <v>194</v>
      </c>
      <c r="B21" s="44">
        <v>50</v>
      </c>
      <c r="C21" s="37">
        <f>IF(B$15=0,0,B21/B$15)</f>
        <v>0.15432098765432098</v>
      </c>
      <c r="E21" s="59" t="s">
        <v>84</v>
      </c>
      <c r="F21" s="56" t="s">
        <v>39</v>
      </c>
      <c r="G21" s="44">
        <v>3</v>
      </c>
      <c r="H21" s="129">
        <f>IF(B$15=0,0,G21/B$15)</f>
        <v>9.2592592592592587E-3</v>
      </c>
      <c r="I21" s="90">
        <v>1</v>
      </c>
      <c r="K21" s="36">
        <v>19</v>
      </c>
      <c r="L21" s="95">
        <v>-27.799999999999969</v>
      </c>
      <c r="N21" s="111" t="s">
        <v>274</v>
      </c>
      <c r="O21" s="121">
        <f>IF(P21=0,0,Q21/P21)</f>
        <v>-2.910000000000001</v>
      </c>
      <c r="P21" s="115">
        <v>10</v>
      </c>
      <c r="Q21" s="103">
        <v>-29.100000000000009</v>
      </c>
    </row>
    <row r="22" spans="1:17" x14ac:dyDescent="0.45">
      <c r="A22" s="51" t="s">
        <v>5</v>
      </c>
      <c r="B22" s="48">
        <f>IF(B$15=0,0,C22/B$15)</f>
        <v>11087.037037037036</v>
      </c>
      <c r="C22" s="39">
        <v>3592200</v>
      </c>
      <c r="E22" s="59" t="s">
        <v>85</v>
      </c>
      <c r="F22" s="56" t="s">
        <v>40</v>
      </c>
      <c r="G22" s="44">
        <v>3</v>
      </c>
      <c r="H22" s="129">
        <f>IF(B$15=0,0,G22/B$15)</f>
        <v>9.2592592592592587E-3</v>
      </c>
      <c r="I22" s="90">
        <v>3</v>
      </c>
      <c r="K22" s="36">
        <v>20</v>
      </c>
      <c r="L22" s="95">
        <v>-50.39999999999997</v>
      </c>
      <c r="N22" s="111" t="s">
        <v>172</v>
      </c>
      <c r="O22" s="121">
        <f>IF(P22=0,0,Q22/P22)</f>
        <v>-2.9208333333333338</v>
      </c>
      <c r="P22" s="115">
        <v>24</v>
      </c>
      <c r="Q22" s="103">
        <v>-70.100000000000009</v>
      </c>
    </row>
    <row r="23" spans="1:17" x14ac:dyDescent="0.45">
      <c r="A23" s="52" t="s">
        <v>177</v>
      </c>
      <c r="B23" s="136">
        <f>IF($B$15-B$14=0,0,C23/($B$15-B$14))</f>
        <v>11734.583333333334</v>
      </c>
      <c r="C23" s="137">
        <v>2816300</v>
      </c>
      <c r="E23" s="59" t="s">
        <v>73</v>
      </c>
      <c r="F23" s="56" t="s">
        <v>28</v>
      </c>
      <c r="G23" s="44">
        <v>2</v>
      </c>
      <c r="H23" s="129">
        <f>IF(B$15=0,0,G23/B$15)</f>
        <v>6.1728395061728392E-3</v>
      </c>
      <c r="I23" s="90">
        <v>2</v>
      </c>
      <c r="K23" s="36">
        <v>21</v>
      </c>
      <c r="L23" s="95">
        <v>-59.89999999999997</v>
      </c>
      <c r="N23" s="111" t="s">
        <v>126</v>
      </c>
      <c r="O23" s="121">
        <f>IF(P23=0,0,Q23/P23)</f>
        <v>-6.3095238095238111</v>
      </c>
      <c r="P23" s="115">
        <v>63</v>
      </c>
      <c r="Q23" s="103">
        <v>-397.50000000000011</v>
      </c>
    </row>
    <row r="24" spans="1:17" x14ac:dyDescent="0.45">
      <c r="A24" s="52" t="s">
        <v>178</v>
      </c>
      <c r="B24" s="136">
        <f>IF(B$14=0,0,C24/B$14)</f>
        <v>9236.9047619047615</v>
      </c>
      <c r="C24" s="137">
        <v>775900</v>
      </c>
      <c r="E24" s="59" t="s">
        <v>75</v>
      </c>
      <c r="F24" s="56" t="s">
        <v>30</v>
      </c>
      <c r="G24" s="44">
        <v>2</v>
      </c>
      <c r="H24" s="129">
        <f>IF(B$15=0,0,G24/B$15)</f>
        <v>6.1728395061728392E-3</v>
      </c>
      <c r="I24" s="90">
        <v>7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-8384.9514563106804</v>
      </c>
      <c r="C25" s="137">
        <v>-1727300</v>
      </c>
      <c r="E25" s="59" t="s">
        <v>90</v>
      </c>
      <c r="F25" s="56" t="s">
        <v>45</v>
      </c>
      <c r="G25" s="44">
        <v>2</v>
      </c>
      <c r="H25" s="129">
        <f>IF(B$15=0,0,G25/B$15)</f>
        <v>6.1728395061728392E-3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1</v>
      </c>
      <c r="H26" s="129">
        <f>IF(B$15=0,0,G26/B$15)</f>
        <v>3.0864197530864196E-3</v>
      </c>
      <c r="I26" s="90">
        <v>3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10</v>
      </c>
      <c r="E27" s="59" t="s">
        <v>88</v>
      </c>
      <c r="F27" s="56" t="s">
        <v>43</v>
      </c>
      <c r="G27" s="44">
        <v>1</v>
      </c>
      <c r="H27" s="129">
        <f>IF(B$15=0,0,G27/B$15)</f>
        <v>3.0864197530864196E-3</v>
      </c>
      <c r="I27" s="90">
        <v>4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1</v>
      </c>
      <c r="H28" s="129">
        <f>IF(B$15=0,0,G28/B$15)</f>
        <v>3.0864197530864196E-3</v>
      </c>
      <c r="I28" s="90">
        <v>2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97</v>
      </c>
      <c r="F29" s="56" t="s">
        <v>52</v>
      </c>
      <c r="G29" s="44">
        <v>1</v>
      </c>
      <c r="H29" s="129">
        <f>IF(B$15=0,0,G29/B$15)</f>
        <v>3.0864197530864196E-3</v>
      </c>
      <c r="I29" s="90">
        <v>1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2</v>
      </c>
      <c r="C30" s="40">
        <f>IF(B$3=0,0,B30/B$3)</f>
        <v>1.6863406408094434E-3</v>
      </c>
      <c r="E30" s="59" t="s">
        <v>74</v>
      </c>
      <c r="F30" s="56" t="s">
        <v>29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-10.999999999999972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8</v>
      </c>
      <c r="C32" s="141">
        <f>IF(B$15=0,0,B32/B$15)</f>
        <v>2.4691358024691357E-2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25</v>
      </c>
      <c r="C33" s="37">
        <f t="shared" ref="C33:C44" si="2">IF(B$15=0,0,B33/B$15)</f>
        <v>7.716049382716049E-2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42</v>
      </c>
      <c r="C34" s="37">
        <f>IF(B$15=0,0,B34/B$15)</f>
        <v>0.12962962962962962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7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61</v>
      </c>
      <c r="C35" s="37">
        <f t="shared" si="2"/>
        <v>0.18827160493827161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71</v>
      </c>
      <c r="C36" s="37">
        <f t="shared" si="2"/>
        <v>0.2191358024691358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46</v>
      </c>
      <c r="C37" s="37">
        <f t="shared" si="2"/>
        <v>0.1419753086419753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25</v>
      </c>
      <c r="C38" s="37">
        <f t="shared" si="2"/>
        <v>7.716049382716049E-2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21</v>
      </c>
      <c r="C39" s="37">
        <f t="shared" si="2"/>
        <v>6.4814814814814811E-2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9</v>
      </c>
      <c r="C40" s="37">
        <f t="shared" si="2"/>
        <v>2.7777777777777776E-2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3</v>
      </c>
      <c r="C41" s="37">
        <f t="shared" si="2"/>
        <v>9.2592592592592587E-3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2"/>
        <v>6.1728395061728392E-3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3.0864197530864196E-3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10</v>
      </c>
      <c r="C44" s="40">
        <f t="shared" si="2"/>
        <v>3.0864197530864196E-2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  <row r="120" spans="11:12" x14ac:dyDescent="0.45">
      <c r="K120" s="36">
        <v>118</v>
      </c>
      <c r="L120" s="95">
        <v>706.10000000000036</v>
      </c>
    </row>
    <row r="121" spans="11:12" x14ac:dyDescent="0.45">
      <c r="K121" s="36">
        <v>119</v>
      </c>
      <c r="L121" s="95">
        <v>672.80000000000041</v>
      </c>
    </row>
    <row r="122" spans="11:12" x14ac:dyDescent="0.45">
      <c r="K122" s="36">
        <v>120</v>
      </c>
      <c r="L122" s="95">
        <v>622.40000000000043</v>
      </c>
    </row>
    <row r="123" spans="11:12" x14ac:dyDescent="0.45">
      <c r="K123" s="36">
        <v>121</v>
      </c>
      <c r="L123" s="95">
        <v>623.70000000000039</v>
      </c>
    </row>
    <row r="124" spans="11:12" x14ac:dyDescent="0.45">
      <c r="K124" s="36">
        <v>122</v>
      </c>
      <c r="L124" s="95">
        <v>609.30000000000041</v>
      </c>
    </row>
    <row r="125" spans="11:12" x14ac:dyDescent="0.45">
      <c r="K125" s="36">
        <v>123</v>
      </c>
      <c r="L125" s="95">
        <v>621.50000000000045</v>
      </c>
    </row>
    <row r="126" spans="11:12" x14ac:dyDescent="0.45">
      <c r="K126" s="36">
        <v>124</v>
      </c>
      <c r="L126" s="95">
        <v>571.00000000000045</v>
      </c>
    </row>
    <row r="127" spans="11:12" x14ac:dyDescent="0.45">
      <c r="K127" s="36">
        <v>125</v>
      </c>
      <c r="L127" s="95">
        <v>505.50000000000045</v>
      </c>
    </row>
    <row r="128" spans="11:12" x14ac:dyDescent="0.45">
      <c r="K128" s="36">
        <v>126</v>
      </c>
      <c r="L128" s="95">
        <v>475.00000000000045</v>
      </c>
    </row>
    <row r="129" spans="11:12" x14ac:dyDescent="0.45">
      <c r="K129" s="36">
        <v>127</v>
      </c>
      <c r="L129" s="95">
        <v>531.30000000000041</v>
      </c>
    </row>
    <row r="130" spans="11:12" x14ac:dyDescent="0.45">
      <c r="K130" s="36">
        <v>128</v>
      </c>
      <c r="L130" s="95">
        <v>494.10000000000042</v>
      </c>
    </row>
    <row r="131" spans="11:12" x14ac:dyDescent="0.45">
      <c r="K131" s="36">
        <v>129</v>
      </c>
      <c r="L131" s="95">
        <v>529.80000000000041</v>
      </c>
    </row>
    <row r="132" spans="11:12" x14ac:dyDescent="0.45">
      <c r="K132" s="36">
        <v>130</v>
      </c>
      <c r="L132" s="95">
        <v>512.20000000000039</v>
      </c>
    </row>
    <row r="133" spans="11:12" x14ac:dyDescent="0.45">
      <c r="K133" s="36">
        <v>131</v>
      </c>
      <c r="L133" s="95">
        <v>465.20000000000039</v>
      </c>
    </row>
    <row r="134" spans="11:12" x14ac:dyDescent="0.45">
      <c r="K134" s="36">
        <v>132</v>
      </c>
      <c r="L134" s="95">
        <v>452.20000000000039</v>
      </c>
    </row>
    <row r="135" spans="11:12" x14ac:dyDescent="0.45">
      <c r="K135" s="36">
        <v>133</v>
      </c>
      <c r="L135" s="95">
        <v>512.90000000000043</v>
      </c>
    </row>
    <row r="136" spans="11:12" x14ac:dyDescent="0.45">
      <c r="K136" s="36">
        <v>134</v>
      </c>
      <c r="L136" s="95">
        <v>544.10000000000048</v>
      </c>
    </row>
    <row r="137" spans="11:12" x14ac:dyDescent="0.45">
      <c r="K137" s="36">
        <v>135</v>
      </c>
      <c r="L137" s="95">
        <v>548.60000000000048</v>
      </c>
    </row>
    <row r="138" spans="11:12" x14ac:dyDescent="0.45">
      <c r="K138" s="36">
        <v>136</v>
      </c>
      <c r="L138" s="95">
        <v>555.10000000000048</v>
      </c>
    </row>
    <row r="139" spans="11:12" x14ac:dyDescent="0.45">
      <c r="K139" s="36">
        <v>137</v>
      </c>
      <c r="L139" s="95">
        <v>588.50000000000045</v>
      </c>
    </row>
    <row r="140" spans="11:12" x14ac:dyDescent="0.45">
      <c r="K140" s="36">
        <v>138</v>
      </c>
      <c r="L140" s="95">
        <v>556.7000000000005</v>
      </c>
    </row>
    <row r="141" spans="11:12" x14ac:dyDescent="0.45">
      <c r="K141" s="36">
        <v>139</v>
      </c>
      <c r="L141" s="95">
        <v>581.90000000000055</v>
      </c>
    </row>
    <row r="142" spans="11:12" x14ac:dyDescent="0.45">
      <c r="K142" s="36">
        <v>140</v>
      </c>
      <c r="L142" s="95">
        <v>587.90000000000055</v>
      </c>
    </row>
    <row r="143" spans="11:12" x14ac:dyDescent="0.45">
      <c r="K143" s="36">
        <v>141</v>
      </c>
      <c r="L143" s="95">
        <v>534.90000000000055</v>
      </c>
    </row>
    <row r="144" spans="11:12" x14ac:dyDescent="0.45">
      <c r="K144" s="36">
        <v>142</v>
      </c>
      <c r="L144" s="95">
        <v>551.50000000000057</v>
      </c>
    </row>
    <row r="145" spans="11:12" x14ac:dyDescent="0.45">
      <c r="K145" s="36">
        <v>143</v>
      </c>
      <c r="L145" s="95">
        <v>528.30000000000052</v>
      </c>
    </row>
    <row r="146" spans="11:12" x14ac:dyDescent="0.45">
      <c r="K146" s="36">
        <v>144</v>
      </c>
      <c r="L146" s="95">
        <v>480.90000000000055</v>
      </c>
    </row>
    <row r="147" spans="11:12" x14ac:dyDescent="0.45">
      <c r="K147" s="36">
        <v>145</v>
      </c>
      <c r="L147" s="95">
        <v>496.00000000000057</v>
      </c>
    </row>
    <row r="148" spans="11:12" x14ac:dyDescent="0.45">
      <c r="K148" s="36">
        <v>146</v>
      </c>
      <c r="L148" s="95">
        <v>449.90000000000055</v>
      </c>
    </row>
    <row r="149" spans="11:12" x14ac:dyDescent="0.45">
      <c r="K149" s="36">
        <v>147</v>
      </c>
      <c r="L149" s="95">
        <v>524.00000000000057</v>
      </c>
    </row>
    <row r="150" spans="11:12" x14ac:dyDescent="0.45">
      <c r="K150" s="36">
        <v>148</v>
      </c>
      <c r="L150" s="95">
        <v>514.50000000000057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D994-61CE-4A39-9561-47860AF532FE}">
  <sheetPr codeName="Sheet17"/>
  <dimension ref="A1:Q15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157</v>
      </c>
      <c r="C2" s="155"/>
      <c r="E2" s="58" t="s">
        <v>66</v>
      </c>
      <c r="F2" s="55" t="s">
        <v>22</v>
      </c>
      <c r="G2" s="43">
        <v>254</v>
      </c>
      <c r="H2" s="128">
        <f>IF(B$15=0,0,G2/B$15)</f>
        <v>0.72571428571428576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-417.94871794871796</v>
      </c>
      <c r="P2" s="114">
        <v>156</v>
      </c>
      <c r="Q2" s="98">
        <v>-65200</v>
      </c>
    </row>
    <row r="3" spans="1:17" x14ac:dyDescent="0.45">
      <c r="A3" s="51" t="s">
        <v>8</v>
      </c>
      <c r="B3" s="156">
        <v>1262</v>
      </c>
      <c r="C3" s="157"/>
      <c r="E3" s="59" t="s">
        <v>72</v>
      </c>
      <c r="F3" s="56" t="s">
        <v>27</v>
      </c>
      <c r="G3" s="44">
        <v>193</v>
      </c>
      <c r="H3" s="129">
        <f>IF(B$15=0,0,G3/B$15)</f>
        <v>0.55142857142857138</v>
      </c>
      <c r="I3" s="90">
        <v>6</v>
      </c>
      <c r="K3" s="36">
        <v>1</v>
      </c>
      <c r="L3" s="95">
        <v>46.9</v>
      </c>
      <c r="N3" s="111" t="s">
        <v>131</v>
      </c>
      <c r="O3" s="118">
        <f t="shared" si="0"/>
        <v>592.10526315789468</v>
      </c>
      <c r="P3" s="115">
        <v>152</v>
      </c>
      <c r="Q3" s="99">
        <v>90000</v>
      </c>
    </row>
    <row r="4" spans="1:17" x14ac:dyDescent="0.45">
      <c r="A4" s="51" t="s">
        <v>6</v>
      </c>
      <c r="B4" s="158">
        <v>-82.1</v>
      </c>
      <c r="C4" s="159"/>
      <c r="E4" s="59" t="s">
        <v>64</v>
      </c>
      <c r="F4" s="56" t="s">
        <v>20</v>
      </c>
      <c r="G4" s="44">
        <v>171</v>
      </c>
      <c r="H4" s="129">
        <f>IF(B$15=0,0,G4/B$15)</f>
        <v>0.48857142857142855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157.63888888888889</v>
      </c>
      <c r="P4" s="115">
        <v>144</v>
      </c>
      <c r="Q4" s="99">
        <v>22700</v>
      </c>
    </row>
    <row r="5" spans="1:17" x14ac:dyDescent="0.45">
      <c r="A5" s="51" t="s">
        <v>7</v>
      </c>
      <c r="B5" s="160">
        <f>IF(B$2=0,0,B$4/B$2)</f>
        <v>-0.52292993630573248</v>
      </c>
      <c r="C5" s="161"/>
      <c r="E5" s="59" t="s">
        <v>166</v>
      </c>
      <c r="F5" s="56" t="s">
        <v>167</v>
      </c>
      <c r="G5" s="44">
        <v>154</v>
      </c>
      <c r="H5" s="129">
        <f>IF(B$15=0,0,G5/B$15)</f>
        <v>0.44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237.69230769230768</v>
      </c>
      <c r="P5" s="115">
        <v>130</v>
      </c>
      <c r="Q5" s="99">
        <v>30900</v>
      </c>
    </row>
    <row r="6" spans="1:17" x14ac:dyDescent="0.45">
      <c r="A6" s="51" t="s">
        <v>1</v>
      </c>
      <c r="B6" s="150">
        <f>IF(B$2=0,0,(B$7*1+B$8*2+B$9*3)/B$2)</f>
        <v>2.0382165605095541</v>
      </c>
      <c r="C6" s="151"/>
      <c r="E6" s="59" t="s">
        <v>67</v>
      </c>
      <c r="F6" s="56" t="s">
        <v>23</v>
      </c>
      <c r="G6" s="44">
        <v>115</v>
      </c>
      <c r="H6" s="129">
        <f>IF(B$15=0,0,G6/B$15)</f>
        <v>0.32857142857142857</v>
      </c>
      <c r="I6" s="90">
        <v>6</v>
      </c>
      <c r="K6" s="36">
        <v>4</v>
      </c>
      <c r="L6" s="95">
        <v>-19.3</v>
      </c>
      <c r="N6" s="111" t="s">
        <v>134</v>
      </c>
      <c r="O6" s="118">
        <f t="shared" si="0"/>
        <v>145.76271186440678</v>
      </c>
      <c r="P6" s="115">
        <v>118</v>
      </c>
      <c r="Q6" s="99">
        <v>17200</v>
      </c>
    </row>
    <row r="7" spans="1:17" x14ac:dyDescent="0.45">
      <c r="A7" s="51" t="s">
        <v>2</v>
      </c>
      <c r="B7" s="44">
        <v>41</v>
      </c>
      <c r="C7" s="37">
        <f t="shared" ref="C7:C10" si="1">IF(B$2=0,0,B7/B$2)</f>
        <v>0.26114649681528662</v>
      </c>
      <c r="E7" s="59" t="s">
        <v>68</v>
      </c>
      <c r="F7" s="56" t="s">
        <v>12</v>
      </c>
      <c r="G7" s="44">
        <v>113</v>
      </c>
      <c r="H7" s="129">
        <f>IF(B$15=0,0,G7/B$15)</f>
        <v>0.32285714285714284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-922.22222222222217</v>
      </c>
      <c r="P7" s="116">
        <v>99</v>
      </c>
      <c r="Q7" s="100">
        <v>-91300</v>
      </c>
    </row>
    <row r="8" spans="1:17" x14ac:dyDescent="0.45">
      <c r="A8" s="51" t="s">
        <v>3</v>
      </c>
      <c r="B8" s="44">
        <v>69</v>
      </c>
      <c r="C8" s="37">
        <f t="shared" si="1"/>
        <v>0.43949044585987262</v>
      </c>
      <c r="E8" s="59" t="s">
        <v>89</v>
      </c>
      <c r="F8" s="56" t="s">
        <v>44</v>
      </c>
      <c r="G8" s="44">
        <v>49</v>
      </c>
      <c r="H8" s="129">
        <f>IF(B$15=0,0,G8/B$15)</f>
        <v>0.14000000000000001</v>
      </c>
      <c r="I8" s="90">
        <v>6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47</v>
      </c>
      <c r="C9" s="38">
        <f t="shared" si="1"/>
        <v>0.29936305732484075</v>
      </c>
      <c r="E9" s="59" t="s">
        <v>69</v>
      </c>
      <c r="F9" s="56" t="s">
        <v>24</v>
      </c>
      <c r="G9" s="44">
        <v>47</v>
      </c>
      <c r="H9" s="129">
        <f>IF(B$15=0,0,G9/B$15)</f>
        <v>0.13428571428571429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13</v>
      </c>
      <c r="C10" s="40">
        <f t="shared" si="1"/>
        <v>8.2802547770700632E-2</v>
      </c>
      <c r="E10" s="59" t="s">
        <v>71</v>
      </c>
      <c r="F10" s="56" t="s">
        <v>26</v>
      </c>
      <c r="G10" s="44">
        <v>36</v>
      </c>
      <c r="H10" s="129">
        <f>IF(B$15=0,0,G10/B$15)</f>
        <v>0.10285714285714286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-2.8193548387096778</v>
      </c>
      <c r="P10" s="114">
        <v>62</v>
      </c>
      <c r="Q10" s="102">
        <v>-174.80000000000004</v>
      </c>
    </row>
    <row r="11" spans="1:17" x14ac:dyDescent="0.45">
      <c r="A11" s="54" t="s">
        <v>121</v>
      </c>
      <c r="B11" s="47">
        <v>323</v>
      </c>
      <c r="C11" s="42">
        <f>IF(B$3=0,0,B11/B$3)</f>
        <v>0.25594294770206022</v>
      </c>
      <c r="E11" s="59" t="s">
        <v>65</v>
      </c>
      <c r="F11" s="56" t="s">
        <v>21</v>
      </c>
      <c r="G11" s="44">
        <v>29</v>
      </c>
      <c r="H11" s="129">
        <f>IF(B$15=0,0,G11/B$15)</f>
        <v>8.2857142857142851E-2</v>
      </c>
      <c r="I11" s="90">
        <v>11</v>
      </c>
      <c r="K11" s="36">
        <v>9</v>
      </c>
      <c r="L11" s="95">
        <v>-90.9</v>
      </c>
      <c r="N11" s="111" t="s">
        <v>158</v>
      </c>
      <c r="O11" s="121">
        <f>IF(P11=0,0,Q11/P11)</f>
        <v>2.2244897959183678</v>
      </c>
      <c r="P11" s="115">
        <v>49</v>
      </c>
      <c r="Q11" s="103">
        <v>109.00000000000003</v>
      </c>
    </row>
    <row r="12" spans="1:17" x14ac:dyDescent="0.45">
      <c r="A12" s="51" t="s">
        <v>118</v>
      </c>
      <c r="B12" s="44">
        <v>287</v>
      </c>
      <c r="C12" s="37">
        <f>IF(B$3=0,0,B12/B$3)</f>
        <v>0.22741679873217116</v>
      </c>
      <c r="E12" s="59" t="s">
        <v>70</v>
      </c>
      <c r="F12" s="56" t="s">
        <v>25</v>
      </c>
      <c r="G12" s="44">
        <v>26</v>
      </c>
      <c r="H12" s="129">
        <f>IF(B$15=0,0,G12/B$15)</f>
        <v>7.4285714285714288E-2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-0.3622222222222225</v>
      </c>
      <c r="P12" s="116">
        <v>45</v>
      </c>
      <c r="Q12" s="104">
        <v>-16.300000000000011</v>
      </c>
    </row>
    <row r="13" spans="1:17" x14ac:dyDescent="0.45">
      <c r="A13" s="50" t="s">
        <v>123</v>
      </c>
      <c r="B13" s="43">
        <f>B19</f>
        <v>177</v>
      </c>
      <c r="C13" s="35">
        <f>IF(B$11=0,0,B13/B$11)</f>
        <v>0.54798761609907121</v>
      </c>
      <c r="E13" s="59" t="s">
        <v>86</v>
      </c>
      <c r="F13" s="56" t="s">
        <v>41</v>
      </c>
      <c r="G13" s="44">
        <v>18</v>
      </c>
      <c r="H13" s="129">
        <f>IF(B$15=0,0,G13/B$15)</f>
        <v>5.1428571428571428E-2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120</v>
      </c>
      <c r="C14" s="35">
        <f>IF(B$12=0,0,B14/B$12)</f>
        <v>0.41811846689895471</v>
      </c>
      <c r="E14" s="59" t="s">
        <v>83</v>
      </c>
      <c r="F14" s="56" t="s">
        <v>38</v>
      </c>
      <c r="G14" s="44">
        <v>13</v>
      </c>
      <c r="H14" s="129">
        <f>IF(B$15=0,0,G14/B$15)</f>
        <v>3.7142857142857144E-2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350</v>
      </c>
      <c r="C15" s="35">
        <f>IF(B$3=0,0,B15/B$3)</f>
        <v>0.27733755942947702</v>
      </c>
      <c r="E15" s="59" t="s">
        <v>79</v>
      </c>
      <c r="F15" s="56" t="s">
        <v>34</v>
      </c>
      <c r="G15" s="44">
        <v>7</v>
      </c>
      <c r="H15" s="129">
        <f>IF(B$15=0,0,G15/B$15)</f>
        <v>0.02</v>
      </c>
      <c r="I15" s="90">
        <v>4</v>
      </c>
      <c r="K15" s="36">
        <v>13</v>
      </c>
      <c r="L15" s="95">
        <v>-68.399999999999991</v>
      </c>
      <c r="N15" s="110" t="s">
        <v>228</v>
      </c>
      <c r="O15" s="120">
        <f t="shared" ref="O15:O25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177</v>
      </c>
      <c r="C16" s="37">
        <f>IF(B$3=0,0,B16/B$3)</f>
        <v>0.14025356576862125</v>
      </c>
      <c r="E16" s="59" t="s">
        <v>78</v>
      </c>
      <c r="F16" s="56" t="s">
        <v>33</v>
      </c>
      <c r="G16" s="44">
        <v>6</v>
      </c>
      <c r="H16" s="129">
        <f>IF(B$15=0,0,G16/B$15)</f>
        <v>1.7142857142857144E-2</v>
      </c>
      <c r="I16" s="90">
        <v>7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161</v>
      </c>
      <c r="C17" s="37">
        <f>IF(B$15=0,0,B17/B$15)</f>
        <v>0.46</v>
      </c>
      <c r="E17" s="59" t="s">
        <v>162</v>
      </c>
      <c r="F17" s="56" t="s">
        <v>163</v>
      </c>
      <c r="G17" s="44">
        <v>6</v>
      </c>
      <c r="H17" s="129">
        <f>IF(B$15=0,0,G17/B$15)</f>
        <v>1.7142857142857144E-2</v>
      </c>
      <c r="I17" s="90">
        <v>5</v>
      </c>
      <c r="K17" s="36">
        <v>15</v>
      </c>
      <c r="L17" s="95">
        <v>-35.499999999999986</v>
      </c>
      <c r="N17" s="111" t="s">
        <v>197</v>
      </c>
      <c r="O17" s="121">
        <f t="shared" si="2"/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189</v>
      </c>
      <c r="C18" s="37">
        <f>IF(B$15=0,0,B18/B$15)</f>
        <v>0.54</v>
      </c>
      <c r="E18" s="59" t="s">
        <v>73</v>
      </c>
      <c r="F18" s="56" t="s">
        <v>28</v>
      </c>
      <c r="G18" s="44">
        <v>5</v>
      </c>
      <c r="H18" s="129">
        <f>IF(B$15=0,0,G18/B$15)</f>
        <v>1.4285714285714285E-2</v>
      </c>
      <c r="I18" s="90">
        <v>1</v>
      </c>
      <c r="K18" s="36">
        <v>16</v>
      </c>
      <c r="L18" s="95">
        <v>-35.599999999999987</v>
      </c>
      <c r="N18" s="111" t="s">
        <v>172</v>
      </c>
      <c r="O18" s="121">
        <f t="shared" si="2"/>
        <v>15.66923076923077</v>
      </c>
      <c r="P18" s="115">
        <v>26</v>
      </c>
      <c r="Q18" s="103">
        <v>407.40000000000003</v>
      </c>
    </row>
    <row r="19" spans="1:17" x14ac:dyDescent="0.45">
      <c r="A19" s="51" t="s">
        <v>195</v>
      </c>
      <c r="B19" s="44">
        <v>177</v>
      </c>
      <c r="C19" s="37">
        <f>IF(B$15=0,0,B19/B$15)</f>
        <v>0.50571428571428567</v>
      </c>
      <c r="E19" s="59" t="s">
        <v>81</v>
      </c>
      <c r="F19" s="56" t="s">
        <v>36</v>
      </c>
      <c r="G19" s="44">
        <v>5</v>
      </c>
      <c r="H19" s="129">
        <f>IF(B$15=0,0,G19/B$15)</f>
        <v>1.4285714285714285E-2</v>
      </c>
      <c r="I19" s="90">
        <v>10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120</v>
      </c>
      <c r="C20" s="37">
        <f>IF(B$15=0,0,B20/B$15)</f>
        <v>0.34285714285714286</v>
      </c>
      <c r="E20" s="59" t="s">
        <v>91</v>
      </c>
      <c r="F20" s="56" t="s">
        <v>46</v>
      </c>
      <c r="G20" s="44">
        <v>4</v>
      </c>
      <c r="H20" s="129">
        <f>IF(B$15=0,0,G20/B$15)</f>
        <v>1.1428571428571429E-2</v>
      </c>
      <c r="I20" s="90">
        <v>7</v>
      </c>
      <c r="K20" s="36">
        <v>18</v>
      </c>
      <c r="L20" s="95">
        <v>-62.399999999999991</v>
      </c>
      <c r="N20" s="111" t="s">
        <v>280</v>
      </c>
      <c r="O20" s="121">
        <f t="shared" si="2"/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53</v>
      </c>
      <c r="C21" s="37">
        <f>IF(B$15=0,0,B21/B$15)</f>
        <v>0.15142857142857144</v>
      </c>
      <c r="E21" s="59" t="s">
        <v>85</v>
      </c>
      <c r="F21" s="56" t="s">
        <v>40</v>
      </c>
      <c r="G21" s="44">
        <v>3</v>
      </c>
      <c r="H21" s="129">
        <f>IF(B$15=0,0,G21/B$15)</f>
        <v>8.5714285714285719E-3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 t="shared" si="2"/>
        <v>2.8080645161290319</v>
      </c>
      <c r="P21" s="115">
        <v>62</v>
      </c>
      <c r="Q21" s="103">
        <v>174.09999999999997</v>
      </c>
    </row>
    <row r="22" spans="1:17" x14ac:dyDescent="0.45">
      <c r="A22" s="51" t="s">
        <v>5</v>
      </c>
      <c r="B22" s="48">
        <f>IF(B$15=0,0,C22/B$15)</f>
        <v>8511.1428571428569</v>
      </c>
      <c r="C22" s="39">
        <v>2978900</v>
      </c>
      <c r="E22" s="59" t="s">
        <v>92</v>
      </c>
      <c r="F22" s="56" t="s">
        <v>47</v>
      </c>
      <c r="G22" s="44">
        <v>3</v>
      </c>
      <c r="H22" s="129">
        <f>IF(B$15=0,0,G22/B$15)</f>
        <v>8.5714285714285719E-3</v>
      </c>
      <c r="I22" s="90">
        <v>3</v>
      </c>
      <c r="K22" s="36">
        <v>20</v>
      </c>
      <c r="L22" s="95">
        <v>-93.199999999999989</v>
      </c>
      <c r="N22" s="111" t="s">
        <v>161</v>
      </c>
      <c r="O22" s="121">
        <f t="shared" si="2"/>
        <v>2.4666666666666668</v>
      </c>
      <c r="P22" s="115">
        <v>33</v>
      </c>
      <c r="Q22" s="103">
        <v>81.400000000000006</v>
      </c>
    </row>
    <row r="23" spans="1:17" x14ac:dyDescent="0.45">
      <c r="A23" s="52" t="s">
        <v>177</v>
      </c>
      <c r="B23" s="136">
        <f>IF($B$15-B$14=0,0,C23/($B$15-B$14))</f>
        <v>9563.04347826087</v>
      </c>
      <c r="C23" s="137">
        <v>2199500</v>
      </c>
      <c r="E23" s="59" t="s">
        <v>75</v>
      </c>
      <c r="F23" s="56" t="s">
        <v>30</v>
      </c>
      <c r="G23" s="44">
        <v>2</v>
      </c>
      <c r="H23" s="129">
        <f>IF(B$15=0,0,G23/B$15)</f>
        <v>5.7142857142857143E-3</v>
      </c>
      <c r="I23" s="90">
        <v>8</v>
      </c>
      <c r="K23" s="36">
        <v>21</v>
      </c>
      <c r="L23" s="95">
        <v>-123.69999999999999</v>
      </c>
      <c r="N23" s="111" t="s">
        <v>170</v>
      </c>
      <c r="O23" s="121">
        <f t="shared" si="2"/>
        <v>-8.5328571428571429</v>
      </c>
      <c r="P23" s="115">
        <v>70</v>
      </c>
      <c r="Q23" s="103">
        <v>-597.29999999999995</v>
      </c>
    </row>
    <row r="24" spans="1:17" x14ac:dyDescent="0.45">
      <c r="A24" s="52" t="s">
        <v>178</v>
      </c>
      <c r="B24" s="136">
        <f>IF(B$14=0,0,C24/B$14)</f>
        <v>6495</v>
      </c>
      <c r="C24" s="137">
        <v>779400</v>
      </c>
      <c r="E24" s="59" t="s">
        <v>88</v>
      </c>
      <c r="F24" s="56" t="s">
        <v>43</v>
      </c>
      <c r="G24" s="44">
        <v>2</v>
      </c>
      <c r="H24" s="129">
        <f>IF(B$15=0,0,G24/B$15)</f>
        <v>5.7142857142857143E-3</v>
      </c>
      <c r="I24" s="90">
        <v>2</v>
      </c>
      <c r="K24" s="36">
        <v>22</v>
      </c>
      <c r="L24" s="95">
        <v>-66.999999999999986</v>
      </c>
      <c r="N24" s="111" t="s">
        <v>126</v>
      </c>
      <c r="O24" s="121">
        <f t="shared" si="2"/>
        <v>-12.639743589743594</v>
      </c>
      <c r="P24" s="115">
        <v>78</v>
      </c>
      <c r="Q24" s="103">
        <v>-985.90000000000032</v>
      </c>
    </row>
    <row r="25" spans="1:17" x14ac:dyDescent="0.45">
      <c r="A25" s="52" t="s">
        <v>176</v>
      </c>
      <c r="B25" s="136">
        <f>IF(B$16=0,0,C25/B$16)</f>
        <v>-7195.4802259887001</v>
      </c>
      <c r="C25" s="137">
        <v>-1273600</v>
      </c>
      <c r="E25" s="59" t="s">
        <v>74</v>
      </c>
      <c r="F25" s="56" t="s">
        <v>29</v>
      </c>
      <c r="G25" s="44">
        <v>1</v>
      </c>
      <c r="H25" s="129">
        <f>IF(B$15=0,0,G25/B$15)</f>
        <v>2.8571428571428571E-3</v>
      </c>
      <c r="I25" s="90">
        <v>6</v>
      </c>
      <c r="K25" s="36">
        <v>23</v>
      </c>
      <c r="L25" s="95">
        <v>-59.599999999999987</v>
      </c>
      <c r="N25" s="111" t="s">
        <v>274</v>
      </c>
      <c r="O25" s="121">
        <f t="shared" si="2"/>
        <v>-32.325000000000003</v>
      </c>
      <c r="P25" s="115">
        <v>4</v>
      </c>
      <c r="Q25" s="103">
        <v>-129.30000000000001</v>
      </c>
    </row>
    <row r="26" spans="1:17" x14ac:dyDescent="0.45">
      <c r="A26" s="51" t="s">
        <v>164</v>
      </c>
      <c r="B26" s="44">
        <v>6</v>
      </c>
      <c r="C26" s="131">
        <v>1</v>
      </c>
      <c r="E26" s="59" t="s">
        <v>87</v>
      </c>
      <c r="F26" s="56" t="s">
        <v>42</v>
      </c>
      <c r="G26" s="44">
        <v>1</v>
      </c>
      <c r="H26" s="129">
        <f>IF(B$15=0,0,G26/B$15)</f>
        <v>2.8571428571428571E-3</v>
      </c>
      <c r="I26" s="90">
        <v>4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1</v>
      </c>
      <c r="E27" s="59" t="s">
        <v>93</v>
      </c>
      <c r="F27" s="56" t="s">
        <v>48</v>
      </c>
      <c r="G27" s="44">
        <v>1</v>
      </c>
      <c r="H27" s="129">
        <f>IF(B$15=0,0,G27/B$15)</f>
        <v>2.8571428571428571E-3</v>
      </c>
      <c r="I27" s="90">
        <v>3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2.8571428571428571E-3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1.5847860538827259E-3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20</v>
      </c>
      <c r="C32" s="141">
        <f>IF(B$15=0,0,B32/B$15)</f>
        <v>5.7142857142857141E-2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64</v>
      </c>
      <c r="C33" s="37">
        <f t="shared" ref="C33:C44" si="3">IF(B$15=0,0,B33/B$15)</f>
        <v>0.18285714285714286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68</v>
      </c>
      <c r="C34" s="37">
        <f>IF(B$15=0,0,B34/B$15)</f>
        <v>0.19428571428571428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67</v>
      </c>
      <c r="C35" s="37">
        <f t="shared" si="3"/>
        <v>0.19142857142857142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49</v>
      </c>
      <c r="C36" s="37">
        <f t="shared" si="3"/>
        <v>0.14000000000000001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41</v>
      </c>
      <c r="C37" s="37">
        <f t="shared" si="3"/>
        <v>0.11714285714285715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19</v>
      </c>
      <c r="C38" s="37">
        <f t="shared" si="3"/>
        <v>5.4285714285714284E-2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9</v>
      </c>
      <c r="C39" s="37">
        <f t="shared" si="3"/>
        <v>2.5714285714285714E-2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3"/>
        <v>8.5714285714285719E-3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3"/>
        <v>5.7142857142857143E-3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3"/>
        <v>2.8571428571428571E-3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3"/>
        <v>5.7142857142857143E-3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5</v>
      </c>
      <c r="C44" s="40">
        <f t="shared" si="3"/>
        <v>1.4285714285714285E-2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  <row r="135" spans="11:12" x14ac:dyDescent="0.45">
      <c r="K135" s="36">
        <v>133</v>
      </c>
      <c r="L135" s="95">
        <v>-227.5</v>
      </c>
    </row>
    <row r="136" spans="11:12" x14ac:dyDescent="0.45">
      <c r="K136" s="36">
        <v>134</v>
      </c>
      <c r="L136" s="95">
        <v>-193.6</v>
      </c>
    </row>
    <row r="137" spans="11:12" x14ac:dyDescent="0.45">
      <c r="K137" s="36">
        <v>135</v>
      </c>
      <c r="L137" s="95">
        <v>-212.1</v>
      </c>
    </row>
    <row r="138" spans="11:12" x14ac:dyDescent="0.45">
      <c r="K138" s="36">
        <v>136</v>
      </c>
      <c r="L138" s="95">
        <v>-179.1</v>
      </c>
    </row>
    <row r="139" spans="11:12" x14ac:dyDescent="0.45">
      <c r="K139" s="36">
        <v>137</v>
      </c>
      <c r="L139" s="95">
        <v>-152.29999999999998</v>
      </c>
    </row>
    <row r="140" spans="11:12" x14ac:dyDescent="0.45">
      <c r="K140" s="36">
        <v>138</v>
      </c>
      <c r="L140" s="95">
        <v>-162.49999999999997</v>
      </c>
    </row>
    <row r="141" spans="11:12" x14ac:dyDescent="0.45">
      <c r="K141" s="36">
        <v>139</v>
      </c>
      <c r="L141" s="95">
        <v>-150.29999999999998</v>
      </c>
    </row>
    <row r="142" spans="11:12" x14ac:dyDescent="0.45">
      <c r="K142" s="36">
        <v>140</v>
      </c>
      <c r="L142" s="95">
        <v>-96.799999999999983</v>
      </c>
    </row>
    <row r="143" spans="11:12" x14ac:dyDescent="0.45">
      <c r="K143" s="36">
        <v>141</v>
      </c>
      <c r="L143" s="95">
        <v>-105.99999999999999</v>
      </c>
    </row>
    <row r="144" spans="11:12" x14ac:dyDescent="0.45">
      <c r="K144" s="36">
        <v>142</v>
      </c>
      <c r="L144" s="95">
        <v>-142.29999999999998</v>
      </c>
    </row>
    <row r="145" spans="11:12" x14ac:dyDescent="0.45">
      <c r="K145" s="36">
        <v>143</v>
      </c>
      <c r="L145" s="95">
        <v>-141.49999999999997</v>
      </c>
    </row>
    <row r="146" spans="11:12" x14ac:dyDescent="0.45">
      <c r="K146" s="36">
        <v>144</v>
      </c>
      <c r="L146" s="95">
        <v>-96.699999999999974</v>
      </c>
    </row>
    <row r="147" spans="11:12" x14ac:dyDescent="0.45">
      <c r="K147" s="36">
        <v>145</v>
      </c>
      <c r="L147" s="95">
        <v>-40.299999999999976</v>
      </c>
    </row>
    <row r="148" spans="11:12" x14ac:dyDescent="0.45">
      <c r="K148" s="36">
        <v>146</v>
      </c>
      <c r="L148" s="95">
        <v>-28.099999999999977</v>
      </c>
    </row>
    <row r="149" spans="11:12" x14ac:dyDescent="0.45">
      <c r="K149" s="36">
        <v>147</v>
      </c>
      <c r="L149" s="95">
        <v>-66.09999999999998</v>
      </c>
    </row>
    <row r="150" spans="11:12" x14ac:dyDescent="0.45">
      <c r="K150" s="36">
        <v>148</v>
      </c>
      <c r="L150" s="95">
        <v>-54.59999999999998</v>
      </c>
    </row>
    <row r="151" spans="11:12" x14ac:dyDescent="0.45">
      <c r="K151" s="36">
        <v>149</v>
      </c>
      <c r="L151" s="95">
        <v>-107.79999999999998</v>
      </c>
    </row>
    <row r="152" spans="11:12" x14ac:dyDescent="0.45">
      <c r="K152" s="36">
        <v>150</v>
      </c>
      <c r="L152" s="95">
        <v>-116.49999999999999</v>
      </c>
    </row>
    <row r="153" spans="11:12" x14ac:dyDescent="0.45">
      <c r="K153" s="36">
        <v>151</v>
      </c>
      <c r="L153" s="95">
        <v>-110.59999999999998</v>
      </c>
    </row>
    <row r="154" spans="11:12" x14ac:dyDescent="0.45">
      <c r="K154" s="36">
        <v>152</v>
      </c>
      <c r="L154" s="95">
        <v>-60.999999999999979</v>
      </c>
    </row>
    <row r="155" spans="11:12" x14ac:dyDescent="0.45">
      <c r="K155" s="36">
        <v>153</v>
      </c>
      <c r="L155" s="95">
        <v>-24.699999999999982</v>
      </c>
    </row>
    <row r="156" spans="11:12" x14ac:dyDescent="0.45">
      <c r="K156" s="36">
        <v>154</v>
      </c>
      <c r="L156" s="95">
        <v>-71.199999999999989</v>
      </c>
    </row>
    <row r="157" spans="11:12" x14ac:dyDescent="0.45">
      <c r="K157" s="36">
        <v>155</v>
      </c>
      <c r="L157" s="95">
        <v>-71.199999999999989</v>
      </c>
    </row>
    <row r="158" spans="11:12" x14ac:dyDescent="0.45">
      <c r="K158" s="36">
        <v>156</v>
      </c>
      <c r="L158" s="95">
        <v>-116.69999999999999</v>
      </c>
    </row>
    <row r="159" spans="11:12" x14ac:dyDescent="0.45">
      <c r="K159" s="36">
        <v>157</v>
      </c>
      <c r="L159" s="95">
        <v>-82.1</v>
      </c>
    </row>
  </sheetData>
  <sortState xmlns:xlrd2="http://schemas.microsoft.com/office/spreadsheetml/2017/richdata2" ref="E2:I160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66C1-91BC-4E9F-BD5F-061B3ABF088E}">
  <sheetPr codeName="Sheet19"/>
  <dimension ref="A1:Q6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65</v>
      </c>
      <c r="C2" s="155"/>
      <c r="E2" s="58" t="s">
        <v>66</v>
      </c>
      <c r="F2" s="55" t="s">
        <v>22</v>
      </c>
      <c r="G2" s="43">
        <v>96</v>
      </c>
      <c r="H2" s="128">
        <f>IF(B$15=0,0,G2/B$15)</f>
        <v>0.68571428571428572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-2886.1538461538462</v>
      </c>
      <c r="P2" s="114">
        <v>65</v>
      </c>
      <c r="Q2" s="98">
        <v>-187600</v>
      </c>
    </row>
    <row r="3" spans="1:17" x14ac:dyDescent="0.45">
      <c r="A3" s="51" t="s">
        <v>8</v>
      </c>
      <c r="B3" s="156">
        <v>540</v>
      </c>
      <c r="C3" s="157"/>
      <c r="E3" s="59" t="s">
        <v>72</v>
      </c>
      <c r="F3" s="56" t="s">
        <v>27</v>
      </c>
      <c r="G3" s="44">
        <v>92</v>
      </c>
      <c r="H3" s="129">
        <f>IF(B$15=0,0,G3/B$15)</f>
        <v>0.65714285714285714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1089.2307692307693</v>
      </c>
      <c r="P3" s="115">
        <v>65</v>
      </c>
      <c r="Q3" s="99">
        <v>70800</v>
      </c>
    </row>
    <row r="4" spans="1:17" x14ac:dyDescent="0.45">
      <c r="A4" s="51" t="s">
        <v>6</v>
      </c>
      <c r="B4" s="158">
        <v>-668.90000000000009</v>
      </c>
      <c r="C4" s="159"/>
      <c r="E4" s="59" t="s">
        <v>64</v>
      </c>
      <c r="F4" s="56" t="s">
        <v>20</v>
      </c>
      <c r="G4" s="44">
        <v>56</v>
      </c>
      <c r="H4" s="129">
        <f>IF(B$15=0,0,G4/B$15)</f>
        <v>0.4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-591.93548387096769</v>
      </c>
      <c r="P4" s="115">
        <v>62</v>
      </c>
      <c r="Q4" s="99">
        <v>-36700</v>
      </c>
    </row>
    <row r="5" spans="1:17" x14ac:dyDescent="0.45">
      <c r="A5" s="51" t="s">
        <v>7</v>
      </c>
      <c r="B5" s="160">
        <f>IF(B$2=0,0,B$4/B$2)</f>
        <v>-10.290769230769232</v>
      </c>
      <c r="C5" s="161"/>
      <c r="E5" s="59" t="s">
        <v>166</v>
      </c>
      <c r="F5" s="56" t="s">
        <v>167</v>
      </c>
      <c r="G5" s="44">
        <v>47</v>
      </c>
      <c r="H5" s="129">
        <f>IF(B$15=0,0,G5/B$15)</f>
        <v>0.33571428571428569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-1503.5714285714287</v>
      </c>
      <c r="P5" s="115">
        <v>56</v>
      </c>
      <c r="Q5" s="99">
        <v>-84200</v>
      </c>
    </row>
    <row r="6" spans="1:17" x14ac:dyDescent="0.45">
      <c r="A6" s="51" t="s">
        <v>1</v>
      </c>
      <c r="B6" s="150">
        <f>IF(B$2=0,0,(B$7*1+B$8*2+B$9*3)/B$2)</f>
        <v>2.2615384615384615</v>
      </c>
      <c r="C6" s="151"/>
      <c r="E6" s="59" t="s">
        <v>68</v>
      </c>
      <c r="F6" s="56" t="s">
        <v>12</v>
      </c>
      <c r="G6" s="44">
        <v>38</v>
      </c>
      <c r="H6" s="129">
        <f>IF(B$15=0,0,G6/B$15)</f>
        <v>0.27142857142857141</v>
      </c>
      <c r="I6" s="90">
        <v>12</v>
      </c>
      <c r="K6" s="36">
        <v>4</v>
      </c>
      <c r="L6" s="95">
        <v>-80.5</v>
      </c>
      <c r="N6" s="111" t="s">
        <v>134</v>
      </c>
      <c r="O6" s="118">
        <f t="shared" si="0"/>
        <v>-1926.4150943396226</v>
      </c>
      <c r="P6" s="115">
        <v>53</v>
      </c>
      <c r="Q6" s="99">
        <v>-102100</v>
      </c>
    </row>
    <row r="7" spans="1:17" x14ac:dyDescent="0.45">
      <c r="A7" s="51" t="s">
        <v>2</v>
      </c>
      <c r="B7" s="44">
        <v>11</v>
      </c>
      <c r="C7" s="37">
        <f t="shared" ref="C7:C10" si="1">IF(B$2=0,0,B7/B$2)</f>
        <v>0.16923076923076924</v>
      </c>
      <c r="E7" s="59" t="s">
        <v>67</v>
      </c>
      <c r="F7" s="56" t="s">
        <v>23</v>
      </c>
      <c r="G7" s="44">
        <v>34</v>
      </c>
      <c r="H7" s="129">
        <f>IF(B$15=0,0,G7/B$15)</f>
        <v>0.24285714285714285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-2106.9767441860463</v>
      </c>
      <c r="P7" s="116">
        <v>43</v>
      </c>
      <c r="Q7" s="100">
        <v>-90600</v>
      </c>
    </row>
    <row r="8" spans="1:17" x14ac:dyDescent="0.45">
      <c r="A8" s="51" t="s">
        <v>3</v>
      </c>
      <c r="B8" s="44">
        <v>26</v>
      </c>
      <c r="C8" s="37">
        <f t="shared" si="1"/>
        <v>0.4</v>
      </c>
      <c r="E8" s="59" t="s">
        <v>89</v>
      </c>
      <c r="F8" s="56" t="s">
        <v>44</v>
      </c>
      <c r="G8" s="44">
        <v>23</v>
      </c>
      <c r="H8" s="129">
        <f>IF(B$15=0,0,G8/B$15)</f>
        <v>0.16428571428571428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28</v>
      </c>
      <c r="C9" s="38">
        <f t="shared" si="1"/>
        <v>0.43076923076923079</v>
      </c>
      <c r="E9" s="59" t="s">
        <v>65</v>
      </c>
      <c r="F9" s="56" t="s">
        <v>21</v>
      </c>
      <c r="G9" s="44">
        <v>16</v>
      </c>
      <c r="H9" s="129">
        <f>IF(B$15=0,0,G9/B$15)</f>
        <v>0.11428571428571428</v>
      </c>
      <c r="I9" s="90">
        <v>8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0.15384615384615385</v>
      </c>
      <c r="E10" s="59" t="s">
        <v>71</v>
      </c>
      <c r="F10" s="56" t="s">
        <v>26</v>
      </c>
      <c r="G10" s="44">
        <v>13</v>
      </c>
      <c r="H10" s="129">
        <f>IF(B$15=0,0,G10/B$15)</f>
        <v>9.285714285714286E-2</v>
      </c>
      <c r="I10" s="90">
        <v>5</v>
      </c>
      <c r="K10" s="36">
        <v>8</v>
      </c>
      <c r="L10" s="95">
        <v>-152.6</v>
      </c>
      <c r="N10" s="110" t="s">
        <v>157</v>
      </c>
      <c r="O10" s="120">
        <f>IF(P10=0,0,Q10/P10)</f>
        <v>-18.792857142857141</v>
      </c>
      <c r="P10" s="114">
        <v>28</v>
      </c>
      <c r="Q10" s="102">
        <v>-526.19999999999993</v>
      </c>
    </row>
    <row r="11" spans="1:17" x14ac:dyDescent="0.45">
      <c r="A11" s="54" t="s">
        <v>121</v>
      </c>
      <c r="B11" s="47">
        <v>114</v>
      </c>
      <c r="C11" s="42">
        <f>IF(B$3=0,0,B11/B$3)</f>
        <v>0.21111111111111111</v>
      </c>
      <c r="E11" s="59" t="s">
        <v>69</v>
      </c>
      <c r="F11" s="56" t="s">
        <v>24</v>
      </c>
      <c r="G11" s="44">
        <v>12</v>
      </c>
      <c r="H11" s="129">
        <f>IF(B$15=0,0,G11/B$15)</f>
        <v>8.5714285714285715E-2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-0.81052631578947321</v>
      </c>
      <c r="P11" s="115">
        <v>19</v>
      </c>
      <c r="Q11" s="103">
        <v>-15.399999999999991</v>
      </c>
    </row>
    <row r="12" spans="1:17" x14ac:dyDescent="0.45">
      <c r="A12" s="51" t="s">
        <v>118</v>
      </c>
      <c r="B12" s="44">
        <v>124</v>
      </c>
      <c r="C12" s="37">
        <f>IF(B$3=0,0,B12/B$3)</f>
        <v>0.22962962962962963</v>
      </c>
      <c r="E12" s="59" t="s">
        <v>70</v>
      </c>
      <c r="F12" s="56" t="s">
        <v>25</v>
      </c>
      <c r="G12" s="44">
        <v>12</v>
      </c>
      <c r="H12" s="129">
        <f>IF(B$15=0,0,G12/B$15)</f>
        <v>8.5714285714285715E-2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-7.072222222222222</v>
      </c>
      <c r="P12" s="116">
        <v>18</v>
      </c>
      <c r="Q12" s="104">
        <v>-127.3</v>
      </c>
    </row>
    <row r="13" spans="1:17" x14ac:dyDescent="0.45">
      <c r="A13" s="50" t="s">
        <v>123</v>
      </c>
      <c r="B13" s="43">
        <f>B19</f>
        <v>59</v>
      </c>
      <c r="C13" s="35">
        <f>IF(B$11=0,0,B13/B$11)</f>
        <v>0.51754385964912286</v>
      </c>
      <c r="E13" s="59" t="s">
        <v>83</v>
      </c>
      <c r="F13" s="56" t="s">
        <v>38</v>
      </c>
      <c r="G13" s="44">
        <v>9</v>
      </c>
      <c r="H13" s="129">
        <f>IF(B$15=0,0,G13/B$15)</f>
        <v>6.4285714285714279E-2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54</v>
      </c>
      <c r="C14" s="35">
        <f>IF(B$12=0,0,B14/B$12)</f>
        <v>0.43548387096774194</v>
      </c>
      <c r="E14" s="59" t="s">
        <v>81</v>
      </c>
      <c r="F14" s="56" t="s">
        <v>36</v>
      </c>
      <c r="G14" s="44">
        <v>8</v>
      </c>
      <c r="H14" s="129">
        <f>IF(B$15=0,0,G14/B$15)</f>
        <v>5.7142857142857141E-2</v>
      </c>
      <c r="I14" s="90">
        <v>2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140</v>
      </c>
      <c r="C15" s="35">
        <f>IF(B$3=0,0,B15/B$3)</f>
        <v>0.25925925925925924</v>
      </c>
      <c r="E15" s="59" t="s">
        <v>86</v>
      </c>
      <c r="F15" s="56" t="s">
        <v>41</v>
      </c>
      <c r="G15" s="44">
        <v>8</v>
      </c>
      <c r="H15" s="129">
        <f>IF(B$15=0,0,G15/B$15)</f>
        <v>5.7142857142857141E-2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5.5722222222222184</v>
      </c>
      <c r="P15" s="114">
        <v>18</v>
      </c>
      <c r="Q15" s="102">
        <v>100.29999999999993</v>
      </c>
    </row>
    <row r="16" spans="1:17" x14ac:dyDescent="0.45">
      <c r="A16" s="51" t="s">
        <v>13</v>
      </c>
      <c r="B16" s="44">
        <v>96</v>
      </c>
      <c r="C16" s="37">
        <f>IF(B$3=0,0,B16/B$3)</f>
        <v>0.17777777777777778</v>
      </c>
      <c r="E16" s="59" t="s">
        <v>91</v>
      </c>
      <c r="F16" s="56" t="s">
        <v>46</v>
      </c>
      <c r="G16" s="44">
        <v>2</v>
      </c>
      <c r="H16" s="129">
        <f>IF(B$15=0,0,G16/B$15)</f>
        <v>1.4285714285714285E-2</v>
      </c>
      <c r="I16" s="90">
        <v>6</v>
      </c>
      <c r="K16" s="36">
        <v>14</v>
      </c>
      <c r="L16" s="95">
        <v>-266.90000000000003</v>
      </c>
      <c r="N16" s="111" t="s">
        <v>280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64</v>
      </c>
      <c r="C17" s="37">
        <f>IF(B$15=0,0,B17/B$15)</f>
        <v>0.45714285714285713</v>
      </c>
      <c r="E17" s="59" t="s">
        <v>74</v>
      </c>
      <c r="F17" s="56" t="s">
        <v>29</v>
      </c>
      <c r="G17" s="44">
        <v>1</v>
      </c>
      <c r="H17" s="129">
        <f>IF(B$15=0,0,G17/B$15)</f>
        <v>7.1428571428571426E-3</v>
      </c>
      <c r="I17" s="90">
        <v>2</v>
      </c>
      <c r="K17" s="36">
        <v>15</v>
      </c>
      <c r="L17" s="95">
        <v>-272.50000000000006</v>
      </c>
      <c r="N17" s="111" t="s">
        <v>274</v>
      </c>
      <c r="O17" s="121">
        <f t="shared" si="2"/>
        <v>-12.000000000000002</v>
      </c>
      <c r="P17" s="115">
        <v>1</v>
      </c>
      <c r="Q17" s="103">
        <v>-12.000000000000002</v>
      </c>
    </row>
    <row r="18" spans="1:17" x14ac:dyDescent="0.45">
      <c r="A18" s="51" t="s">
        <v>11</v>
      </c>
      <c r="B18" s="44">
        <v>76</v>
      </c>
      <c r="C18" s="37">
        <f>IF(B$15=0,0,B18/B$15)</f>
        <v>0.54285714285714282</v>
      </c>
      <c r="E18" s="59" t="s">
        <v>78</v>
      </c>
      <c r="F18" s="56" t="s">
        <v>33</v>
      </c>
      <c r="G18" s="44">
        <v>1</v>
      </c>
      <c r="H18" s="129">
        <f>IF(B$15=0,0,G18/B$15)</f>
        <v>7.1428571428571426E-3</v>
      </c>
      <c r="I18" s="90">
        <v>10</v>
      </c>
      <c r="K18" s="36">
        <v>16</v>
      </c>
      <c r="L18" s="95">
        <v>-320.30000000000007</v>
      </c>
      <c r="N18" s="111" t="s">
        <v>127</v>
      </c>
      <c r="O18" s="121">
        <f t="shared" si="2"/>
        <v>-12.000000000000002</v>
      </c>
      <c r="P18" s="115">
        <v>17</v>
      </c>
      <c r="Q18" s="103">
        <v>-204.00000000000003</v>
      </c>
    </row>
    <row r="19" spans="1:17" x14ac:dyDescent="0.45">
      <c r="A19" s="51" t="s">
        <v>195</v>
      </c>
      <c r="B19" s="44">
        <v>59</v>
      </c>
      <c r="C19" s="37">
        <f>IF(B$15=0,0,B19/B$15)</f>
        <v>0.42142857142857143</v>
      </c>
      <c r="E19" s="59" t="s">
        <v>79</v>
      </c>
      <c r="F19" s="56" t="s">
        <v>34</v>
      </c>
      <c r="G19" s="44">
        <v>1</v>
      </c>
      <c r="H19" s="129">
        <f>IF(B$15=0,0,G19/B$15)</f>
        <v>7.1428571428571426E-3</v>
      </c>
      <c r="I19" s="90">
        <v>9</v>
      </c>
      <c r="K19" s="36">
        <v>17</v>
      </c>
      <c r="L19" s="95">
        <v>-352.60000000000008</v>
      </c>
      <c r="N19" s="111" t="s">
        <v>170</v>
      </c>
      <c r="O19" s="121">
        <f t="shared" si="2"/>
        <v>-12.110344827586207</v>
      </c>
      <c r="P19" s="115">
        <v>29</v>
      </c>
      <c r="Q19" s="103">
        <v>-351.2</v>
      </c>
    </row>
    <row r="20" spans="1:17" x14ac:dyDescent="0.45">
      <c r="A20" s="51" t="s">
        <v>193</v>
      </c>
      <c r="B20" s="44">
        <v>54</v>
      </c>
      <c r="C20" s="37">
        <f>IF(B$15=0,0,B20/B$15)</f>
        <v>0.38571428571428573</v>
      </c>
      <c r="E20" s="59" t="s">
        <v>92</v>
      </c>
      <c r="F20" s="56" t="s">
        <v>47</v>
      </c>
      <c r="G20" s="44">
        <v>1</v>
      </c>
      <c r="H20" s="129">
        <f>IF(B$15=0,0,G20/B$15)</f>
        <v>7.1428571428571426E-3</v>
      </c>
      <c r="I20" s="90">
        <v>5</v>
      </c>
      <c r="K20" s="36">
        <v>18</v>
      </c>
      <c r="L20" s="95">
        <v>-355.50000000000006</v>
      </c>
      <c r="N20" s="111" t="s">
        <v>171</v>
      </c>
      <c r="O20" s="121">
        <f t="shared" si="2"/>
        <v>-16.860714285714284</v>
      </c>
      <c r="P20" s="115">
        <v>28</v>
      </c>
      <c r="Q20" s="103">
        <v>-472.09999999999997</v>
      </c>
    </row>
    <row r="21" spans="1:17" x14ac:dyDescent="0.45">
      <c r="A21" s="51" t="s">
        <v>194</v>
      </c>
      <c r="B21" s="44">
        <v>27</v>
      </c>
      <c r="C21" s="37">
        <f>IF(B$15=0,0,B21/B$15)</f>
        <v>0.19285714285714287</v>
      </c>
      <c r="E21" s="59" t="s">
        <v>95</v>
      </c>
      <c r="F21" s="56" t="s">
        <v>50</v>
      </c>
      <c r="G21" s="44">
        <v>1</v>
      </c>
      <c r="H21" s="129">
        <f>IF(B$15=0,0,G21/B$15)</f>
        <v>7.1428571428571426E-3</v>
      </c>
      <c r="I21" s="90">
        <v>1</v>
      </c>
      <c r="K21" s="36">
        <v>19</v>
      </c>
      <c r="L21" s="95">
        <v>-400.60000000000008</v>
      </c>
      <c r="N21" s="111" t="s">
        <v>203</v>
      </c>
      <c r="O21" s="121">
        <f t="shared" si="2"/>
        <v>-17.649999999999999</v>
      </c>
      <c r="P21" s="115">
        <v>2</v>
      </c>
      <c r="Q21" s="103">
        <v>-35.299999999999997</v>
      </c>
    </row>
    <row r="22" spans="1:17" x14ac:dyDescent="0.45">
      <c r="A22" s="51" t="s">
        <v>5</v>
      </c>
      <c r="B22" s="48">
        <f>IF(B$15=0,0,C22/B$15)</f>
        <v>8176.4285714285716</v>
      </c>
      <c r="C22" s="39">
        <v>1144700</v>
      </c>
      <c r="E22" s="59" t="s">
        <v>162</v>
      </c>
      <c r="F22" s="56" t="s">
        <v>163</v>
      </c>
      <c r="G22" s="44">
        <v>1</v>
      </c>
      <c r="H22" s="129">
        <f>IF(B$15=0,0,G22/B$15)</f>
        <v>7.1428571428571426E-3</v>
      </c>
      <c r="I22" s="90">
        <v>8</v>
      </c>
      <c r="K22" s="36">
        <v>20</v>
      </c>
      <c r="L22" s="95">
        <v>-428.10000000000008</v>
      </c>
      <c r="N22" s="111" t="s">
        <v>126</v>
      </c>
      <c r="O22" s="121">
        <f t="shared" si="2"/>
        <v>-24.157142857142865</v>
      </c>
      <c r="P22" s="115">
        <v>21</v>
      </c>
      <c r="Q22" s="103">
        <v>-507.30000000000018</v>
      </c>
    </row>
    <row r="23" spans="1:17" x14ac:dyDescent="0.45">
      <c r="A23" s="52" t="s">
        <v>177</v>
      </c>
      <c r="B23" s="136">
        <f>IF($B$15-B$14=0,0,C23/($B$15-B$14))</f>
        <v>8753.4883720930229</v>
      </c>
      <c r="C23" s="137">
        <v>752800</v>
      </c>
      <c r="E23" s="59" t="s">
        <v>73</v>
      </c>
      <c r="F23" s="56" t="s">
        <v>28</v>
      </c>
      <c r="G23" s="44">
        <v>0</v>
      </c>
      <c r="H23" s="129">
        <f>IF(B$15=0,0,G23/B$15)</f>
        <v>0</v>
      </c>
      <c r="I23" s="90">
        <v>5</v>
      </c>
      <c r="K23" s="36">
        <v>21</v>
      </c>
      <c r="L23" s="95">
        <v>-423.7000000000001</v>
      </c>
      <c r="N23" s="111" t="s">
        <v>172</v>
      </c>
      <c r="O23" s="121">
        <f t="shared" si="2"/>
        <v>-24.274999999999999</v>
      </c>
      <c r="P23" s="115">
        <v>4</v>
      </c>
      <c r="Q23" s="103">
        <v>-97.1</v>
      </c>
    </row>
    <row r="24" spans="1:17" x14ac:dyDescent="0.45">
      <c r="A24" s="52" t="s">
        <v>178</v>
      </c>
      <c r="B24" s="136">
        <f>IF(B$14=0,0,C24/B$14)</f>
        <v>7257.4074074074078</v>
      </c>
      <c r="C24" s="137">
        <v>391900</v>
      </c>
      <c r="E24" s="59" t="s">
        <v>75</v>
      </c>
      <c r="F24" s="56" t="s">
        <v>30</v>
      </c>
      <c r="G24" s="44">
        <v>0</v>
      </c>
      <c r="H24" s="129">
        <f>IF(B$15=0,0,G24/B$15)</f>
        <v>0</v>
      </c>
      <c r="I24" s="90">
        <v>10</v>
      </c>
      <c r="K24" s="36">
        <v>22</v>
      </c>
      <c r="L24" s="95">
        <v>-465.00000000000011</v>
      </c>
      <c r="N24" s="111" t="s">
        <v>196</v>
      </c>
      <c r="O24" s="121">
        <f t="shared" si="2"/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-8397.9166666666661</v>
      </c>
      <c r="C25" s="137">
        <v>-806200</v>
      </c>
      <c r="E25" s="59" t="s">
        <v>76</v>
      </c>
      <c r="F25" s="56" t="s">
        <v>31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-450.10000000000014</v>
      </c>
      <c r="N25" s="111" t="s">
        <v>228</v>
      </c>
      <c r="O25" s="121">
        <f t="shared" si="2"/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77</v>
      </c>
      <c r="F26" s="56" t="s">
        <v>32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8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5.5555555555555558E-3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8.5714285714285715E-2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26</v>
      </c>
      <c r="C33" s="37">
        <f t="shared" ref="C33:C44" si="3">IF(B$15=0,0,B33/B$15)</f>
        <v>0.18571428571428572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29</v>
      </c>
      <c r="C34" s="37">
        <f>IF(B$15=0,0,B34/B$15)</f>
        <v>0.20714285714285716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23</v>
      </c>
      <c r="C35" s="37">
        <f t="shared" si="3"/>
        <v>0.16428571428571428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20</v>
      </c>
      <c r="C36" s="37">
        <f t="shared" si="3"/>
        <v>0.14285714285714285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11</v>
      </c>
      <c r="C37" s="37">
        <f t="shared" si="3"/>
        <v>7.857142857142857E-2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10</v>
      </c>
      <c r="C38" s="37">
        <f t="shared" si="3"/>
        <v>7.1428571428571425E-2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6</v>
      </c>
      <c r="C39" s="37">
        <f t="shared" si="3"/>
        <v>4.2857142857142858E-2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7.1428571428571426E-3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1.4285714285714285E-2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  <row r="62" spans="5:12" x14ac:dyDescent="0.45">
      <c r="K62" s="36">
        <v>60</v>
      </c>
      <c r="L62" s="95">
        <v>-656.2</v>
      </c>
    </row>
    <row r="63" spans="5:12" x14ac:dyDescent="0.45">
      <c r="K63" s="36">
        <v>61</v>
      </c>
      <c r="L63" s="95">
        <v>-653.40000000000009</v>
      </c>
    </row>
    <row r="64" spans="5:12" x14ac:dyDescent="0.45">
      <c r="K64" s="36">
        <v>62</v>
      </c>
      <c r="L64" s="95">
        <v>-665.40000000000009</v>
      </c>
    </row>
    <row r="65" spans="11:12" x14ac:dyDescent="0.45">
      <c r="K65" s="36">
        <v>63</v>
      </c>
      <c r="L65" s="95">
        <v>-697.10000000000014</v>
      </c>
    </row>
    <row r="66" spans="11:12" x14ac:dyDescent="0.45">
      <c r="K66" s="36">
        <v>64</v>
      </c>
      <c r="L66" s="95">
        <v>-704.90000000000009</v>
      </c>
    </row>
    <row r="67" spans="11:12" x14ac:dyDescent="0.45">
      <c r="K67" s="36">
        <v>65</v>
      </c>
      <c r="L67" s="95">
        <v>-668.90000000000009</v>
      </c>
    </row>
  </sheetData>
  <sortState xmlns:xlrd2="http://schemas.microsoft.com/office/spreadsheetml/2017/richdata2" ref="E2:I6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5796-D0B7-4FBE-B9A2-87DA0344D12B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28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0.95454545454545459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-4259.2592592592591</v>
      </c>
      <c r="P2" s="114">
        <v>27</v>
      </c>
      <c r="Q2" s="98">
        <v>-115000</v>
      </c>
    </row>
    <row r="3" spans="1:17" x14ac:dyDescent="0.45">
      <c r="A3" s="51" t="s">
        <v>8</v>
      </c>
      <c r="B3" s="156">
        <v>257</v>
      </c>
      <c r="C3" s="157"/>
      <c r="E3" s="59" t="s">
        <v>64</v>
      </c>
      <c r="F3" s="56" t="s">
        <v>20</v>
      </c>
      <c r="G3" s="44">
        <v>38</v>
      </c>
      <c r="H3" s="129">
        <f>IF(B$15=0,0,G3/B$15)</f>
        <v>0.5757575757575758</v>
      </c>
      <c r="I3" s="90">
        <v>4</v>
      </c>
      <c r="K3" s="36">
        <v>1</v>
      </c>
      <c r="L3" s="95">
        <v>70.2</v>
      </c>
      <c r="N3" s="111" t="s">
        <v>131</v>
      </c>
      <c r="O3" s="118">
        <f t="shared" si="0"/>
        <v>-1315.3846153846155</v>
      </c>
      <c r="P3" s="115">
        <v>26</v>
      </c>
      <c r="Q3" s="99">
        <v>-34200</v>
      </c>
    </row>
    <row r="4" spans="1:17" x14ac:dyDescent="0.45">
      <c r="A4" s="51" t="s">
        <v>6</v>
      </c>
      <c r="B4" s="158">
        <v>-129.6</v>
      </c>
      <c r="C4" s="159"/>
      <c r="E4" s="59" t="s">
        <v>68</v>
      </c>
      <c r="F4" s="56" t="s">
        <v>12</v>
      </c>
      <c r="G4" s="44">
        <v>29</v>
      </c>
      <c r="H4" s="129">
        <f>IF(B$15=0,0,G4/B$15)</f>
        <v>0.43939393939393939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1276</v>
      </c>
      <c r="P4" s="115">
        <v>25</v>
      </c>
      <c r="Q4" s="99">
        <v>31900</v>
      </c>
    </row>
    <row r="5" spans="1:17" x14ac:dyDescent="0.45">
      <c r="A5" s="51" t="s">
        <v>7</v>
      </c>
      <c r="B5" s="160">
        <f>IF(B$2=0,0,B$4/B$2)</f>
        <v>-4.6285714285714281</v>
      </c>
      <c r="C5" s="161"/>
      <c r="E5" s="59" t="s">
        <v>166</v>
      </c>
      <c r="F5" s="56" t="s">
        <v>167</v>
      </c>
      <c r="G5" s="44">
        <v>25</v>
      </c>
      <c r="H5" s="129">
        <f>IF(B$15=0,0,G5/B$15)</f>
        <v>0.37878787878787878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-2628</v>
      </c>
      <c r="P5" s="115">
        <v>25</v>
      </c>
      <c r="Q5" s="99">
        <v>-65700</v>
      </c>
    </row>
    <row r="6" spans="1:17" x14ac:dyDescent="0.45">
      <c r="A6" s="51" t="s">
        <v>1</v>
      </c>
      <c r="B6" s="150">
        <f>IF(B$2=0,0,(B$7*1+B$8*2+B$9*3)/B$2)</f>
        <v>2.0714285714285716</v>
      </c>
      <c r="C6" s="151"/>
      <c r="E6" s="59" t="s">
        <v>72</v>
      </c>
      <c r="F6" s="56" t="s">
        <v>27</v>
      </c>
      <c r="G6" s="44">
        <v>23</v>
      </c>
      <c r="H6" s="129">
        <f>IF(B$15=0,0,G6/B$15)</f>
        <v>0.34848484848484851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4634.782608695652</v>
      </c>
      <c r="P6" s="115">
        <v>23</v>
      </c>
      <c r="Q6" s="99">
        <v>106600</v>
      </c>
    </row>
    <row r="7" spans="1:17" x14ac:dyDescent="0.45">
      <c r="A7" s="51" t="s">
        <v>2</v>
      </c>
      <c r="B7" s="44">
        <v>10</v>
      </c>
      <c r="C7" s="37">
        <f t="shared" ref="C7:C10" si="1">IF(B$2=0,0,B7/B$2)</f>
        <v>0.35714285714285715</v>
      </c>
      <c r="E7" s="59" t="s">
        <v>67</v>
      </c>
      <c r="F7" s="56" t="s">
        <v>23</v>
      </c>
      <c r="G7" s="44">
        <v>16</v>
      </c>
      <c r="H7" s="129">
        <f>IF(B$15=0,0,G7/B$15)</f>
        <v>0.24242424242424243</v>
      </c>
      <c r="I7" s="90">
        <v>10</v>
      </c>
      <c r="K7" s="36">
        <v>5</v>
      </c>
      <c r="L7" s="95">
        <v>127.9</v>
      </c>
      <c r="N7" s="112" t="s">
        <v>135</v>
      </c>
      <c r="O7" s="119">
        <f t="shared" si="0"/>
        <v>1147.3684210526317</v>
      </c>
      <c r="P7" s="116">
        <v>19</v>
      </c>
      <c r="Q7" s="100">
        <v>21800</v>
      </c>
    </row>
    <row r="8" spans="1:17" x14ac:dyDescent="0.45">
      <c r="A8" s="51" t="s">
        <v>3</v>
      </c>
      <c r="B8" s="44">
        <v>6</v>
      </c>
      <c r="C8" s="37">
        <f t="shared" si="1"/>
        <v>0.21428571428571427</v>
      </c>
      <c r="E8" s="59" t="s">
        <v>69</v>
      </c>
      <c r="F8" s="56" t="s">
        <v>24</v>
      </c>
      <c r="G8" s="44">
        <v>13</v>
      </c>
      <c r="H8" s="129">
        <f>IF(B$15=0,0,G8/B$15)</f>
        <v>0.19696969696969696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12</v>
      </c>
      <c r="C9" s="38">
        <f t="shared" si="1"/>
        <v>0.42857142857142855</v>
      </c>
      <c r="E9" s="59" t="s">
        <v>65</v>
      </c>
      <c r="F9" s="56" t="s">
        <v>21</v>
      </c>
      <c r="G9" s="44">
        <v>9</v>
      </c>
      <c r="H9" s="129">
        <f>IF(B$15=0,0,G9/B$15)</f>
        <v>0.13636363636363635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0.17857142857142858</v>
      </c>
      <c r="E10" s="59" t="s">
        <v>70</v>
      </c>
      <c r="F10" s="56" t="s">
        <v>25</v>
      </c>
      <c r="G10" s="44">
        <v>8</v>
      </c>
      <c r="H10" s="129">
        <f>IF(B$15=0,0,G10/B$15)</f>
        <v>0.12121212121212122</v>
      </c>
      <c r="I10" s="90">
        <v>5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67</v>
      </c>
      <c r="C11" s="42">
        <f>IF(B$3=0,0,B11/B$3)</f>
        <v>0.26070038910505838</v>
      </c>
      <c r="E11" s="59" t="s">
        <v>71</v>
      </c>
      <c r="F11" s="56" t="s">
        <v>26</v>
      </c>
      <c r="G11" s="44">
        <v>6</v>
      </c>
      <c r="H11" s="129">
        <f>IF(B$15=0,0,G11/B$15)</f>
        <v>9.0909090909090912E-2</v>
      </c>
      <c r="I11" s="90">
        <v>7</v>
      </c>
      <c r="K11" s="36">
        <v>9</v>
      </c>
      <c r="L11" s="95">
        <v>141.5</v>
      </c>
      <c r="N11" s="111" t="s">
        <v>158</v>
      </c>
      <c r="O11" s="121">
        <f>IF(P11=0,0,Q11/P11)</f>
        <v>-13.325000000000001</v>
      </c>
      <c r="P11" s="115">
        <v>8</v>
      </c>
      <c r="Q11" s="103">
        <v>-106.60000000000001</v>
      </c>
    </row>
    <row r="12" spans="1:17" x14ac:dyDescent="0.45">
      <c r="A12" s="51" t="s">
        <v>118</v>
      </c>
      <c r="B12" s="44">
        <v>39</v>
      </c>
      <c r="C12" s="37">
        <f>IF(B$3=0,0,B12/B$3)</f>
        <v>0.1517509727626459</v>
      </c>
      <c r="E12" s="59" t="s">
        <v>89</v>
      </c>
      <c r="F12" s="56" t="s">
        <v>44</v>
      </c>
      <c r="G12" s="44">
        <v>5</v>
      </c>
      <c r="H12" s="129">
        <f>IF(B$15=0,0,G12/B$15)</f>
        <v>7.575757575757576E-2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8.5888888888888886</v>
      </c>
      <c r="P12" s="116">
        <v>9</v>
      </c>
      <c r="Q12" s="104">
        <v>77.3</v>
      </c>
    </row>
    <row r="13" spans="1:17" x14ac:dyDescent="0.45">
      <c r="A13" s="50" t="s">
        <v>123</v>
      </c>
      <c r="B13" s="43">
        <f>B19</f>
        <v>38</v>
      </c>
      <c r="C13" s="35">
        <f>IF(B$11=0,0,B13/B$11)</f>
        <v>0.56716417910447758</v>
      </c>
      <c r="E13" s="59" t="s">
        <v>78</v>
      </c>
      <c r="F13" s="56" t="s">
        <v>33</v>
      </c>
      <c r="G13" s="44">
        <v>3</v>
      </c>
      <c r="H13" s="129">
        <f>IF(B$15=0,0,G13/B$15)</f>
        <v>4.5454545454545456E-2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14</v>
      </c>
      <c r="C14" s="35">
        <f>IF(B$12=0,0,B14/B$12)</f>
        <v>0.35897435897435898</v>
      </c>
      <c r="E14" s="59" t="s">
        <v>86</v>
      </c>
      <c r="F14" s="56" t="s">
        <v>41</v>
      </c>
      <c r="G14" s="44">
        <v>3</v>
      </c>
      <c r="H14" s="129">
        <f>IF(B$15=0,0,G14/B$15)</f>
        <v>4.5454545454545456E-2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66</v>
      </c>
      <c r="C15" s="35">
        <f>IF(B$3=0,0,B15/B$3)</f>
        <v>0.25680933852140075</v>
      </c>
      <c r="E15" s="59" t="s">
        <v>83</v>
      </c>
      <c r="F15" s="56" t="s">
        <v>38</v>
      </c>
      <c r="G15" s="44">
        <v>2</v>
      </c>
      <c r="H15" s="129">
        <f>IF(B$15=0,0,G15/B$15)</f>
        <v>3.0303030303030304E-2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45</v>
      </c>
      <c r="C16" s="37">
        <f>IF(B$3=0,0,B16/B$3)</f>
        <v>0.17509727626459143</v>
      </c>
      <c r="E16" s="59" t="s">
        <v>75</v>
      </c>
      <c r="F16" s="56" t="s">
        <v>30</v>
      </c>
      <c r="G16" s="44">
        <v>1</v>
      </c>
      <c r="H16" s="129">
        <f>IF(B$15=0,0,G16/B$15)</f>
        <v>1.5151515151515152E-2</v>
      </c>
      <c r="I16" s="90">
        <v>2</v>
      </c>
      <c r="K16" s="36">
        <v>14</v>
      </c>
      <c r="L16" s="95">
        <v>49.900000000000006</v>
      </c>
      <c r="N16" s="111" t="s">
        <v>172</v>
      </c>
      <c r="O16" s="121">
        <f>IF(P16=0,0,Q16/P16)</f>
        <v>-0.13999999999999985</v>
      </c>
      <c r="P16" s="115">
        <v>10</v>
      </c>
      <c r="Q16" s="103">
        <v>-1.3999999999999986</v>
      </c>
    </row>
    <row r="17" spans="1:17" x14ac:dyDescent="0.45">
      <c r="A17" s="51" t="s">
        <v>12</v>
      </c>
      <c r="B17" s="44">
        <v>38</v>
      </c>
      <c r="C17" s="37">
        <f>IF(B$15=0,0,B17/B$15)</f>
        <v>0.5757575757575758</v>
      </c>
      <c r="E17" s="59" t="s">
        <v>81</v>
      </c>
      <c r="F17" s="56" t="s">
        <v>36</v>
      </c>
      <c r="G17" s="44">
        <v>1</v>
      </c>
      <c r="H17" s="129">
        <f>IF(B$15=0,0,G17/B$15)</f>
        <v>1.5151515151515152E-2</v>
      </c>
      <c r="I17" s="90">
        <v>9</v>
      </c>
      <c r="K17" s="36">
        <v>15</v>
      </c>
      <c r="L17" s="95">
        <v>73.7</v>
      </c>
      <c r="N17" s="111" t="s">
        <v>170</v>
      </c>
      <c r="O17" s="121">
        <f>IF(P17=0,0,Q17/P17)</f>
        <v>-5.15</v>
      </c>
      <c r="P17" s="115">
        <v>10</v>
      </c>
      <c r="Q17" s="103">
        <v>-51.500000000000007</v>
      </c>
    </row>
    <row r="18" spans="1:17" x14ac:dyDescent="0.45">
      <c r="A18" s="51" t="s">
        <v>11</v>
      </c>
      <c r="B18" s="44">
        <v>28</v>
      </c>
      <c r="C18" s="37">
        <f>IF(B$15=0,0,B18/B$15)</f>
        <v>0.42424242424242425</v>
      </c>
      <c r="E18" s="59" t="s">
        <v>85</v>
      </c>
      <c r="F18" s="56" t="s">
        <v>40</v>
      </c>
      <c r="G18" s="44">
        <v>1</v>
      </c>
      <c r="H18" s="129">
        <f>IF(B$15=0,0,G18/B$15)</f>
        <v>1.5151515151515152E-2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>IF(P18=0,0,Q18/P18)</f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38</v>
      </c>
      <c r="C19" s="37">
        <f>IF(B$15=0,0,B19/B$15)</f>
        <v>0.5757575757575758</v>
      </c>
      <c r="E19" s="59" t="s">
        <v>87</v>
      </c>
      <c r="F19" s="56" t="s">
        <v>42</v>
      </c>
      <c r="G19" s="44">
        <v>1</v>
      </c>
      <c r="H19" s="129">
        <f>IF(B$15=0,0,G19/B$15)</f>
        <v>1.5151515151515152E-2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>IF(P19=0,0,Q19/P19)</f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14</v>
      </c>
      <c r="C20" s="37">
        <f>IF(B$15=0,0,B20/B$15)</f>
        <v>0.21212121212121213</v>
      </c>
      <c r="E20" s="59" t="s">
        <v>162</v>
      </c>
      <c r="F20" s="56" t="s">
        <v>163</v>
      </c>
      <c r="G20" s="44">
        <v>1</v>
      </c>
      <c r="H20" s="129">
        <f>IF(B$15=0,0,G20/B$15)</f>
        <v>1.5151515151515152E-2</v>
      </c>
      <c r="I20" s="90">
        <v>6</v>
      </c>
      <c r="K20" s="36">
        <v>18</v>
      </c>
      <c r="L20" s="95">
        <v>24.700000000000003</v>
      </c>
      <c r="N20" s="111" t="s">
        <v>274</v>
      </c>
      <c r="O20" s="121">
        <f>IF(P20=0,0,Q20/P20)</f>
        <v>-12.599999999999998</v>
      </c>
      <c r="P20" s="115">
        <v>2</v>
      </c>
      <c r="Q20" s="103">
        <v>-25.199999999999996</v>
      </c>
    </row>
    <row r="21" spans="1:17" x14ac:dyDescent="0.45">
      <c r="A21" s="51" t="s">
        <v>194</v>
      </c>
      <c r="B21" s="44">
        <v>14</v>
      </c>
      <c r="C21" s="37">
        <f>IF(B$15=0,0,B21/B$15)</f>
        <v>0.21212121212121213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>IF(P21=0,0,Q21/P21)</f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8150</v>
      </c>
      <c r="C22" s="39">
        <v>537900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127</v>
      </c>
      <c r="O22" s="121">
        <f>IF(P22=0,0,Q22/P22)</f>
        <v>-28.9</v>
      </c>
      <c r="P22" s="115">
        <v>7</v>
      </c>
      <c r="Q22" s="103">
        <v>-202.29999999999998</v>
      </c>
    </row>
    <row r="23" spans="1:17" x14ac:dyDescent="0.45">
      <c r="A23" s="52" t="s">
        <v>177</v>
      </c>
      <c r="B23" s="136">
        <f>IF($B$15-B$14=0,0,C23/($B$15-B$14))</f>
        <v>8634.6153846153848</v>
      </c>
      <c r="C23" s="137">
        <v>449000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126</v>
      </c>
      <c r="O23" s="121">
        <f>IF(P23=0,0,Q23/P23)</f>
        <v>-33.644444444444453</v>
      </c>
      <c r="P23" s="115">
        <v>9</v>
      </c>
      <c r="Q23" s="103">
        <v>-302.80000000000007</v>
      </c>
    </row>
    <row r="24" spans="1:17" x14ac:dyDescent="0.45">
      <c r="A24" s="52" t="s">
        <v>178</v>
      </c>
      <c r="B24" s="136">
        <f>IF(B$14=0,0,C24/B$14)</f>
        <v>6350</v>
      </c>
      <c r="C24" s="137">
        <v>88900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-7120</v>
      </c>
      <c r="C25" s="137">
        <v>-320400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11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-29.900000000000002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-76.5</v>
      </c>
    </row>
    <row r="30" spans="1:17" x14ac:dyDescent="0.45">
      <c r="A30" s="53" t="s">
        <v>139</v>
      </c>
      <c r="B30" s="61">
        <v>1</v>
      </c>
      <c r="C30" s="40">
        <f>IF(B$3=0,0,B30/B$3)</f>
        <v>3.8910505836575876E-3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-129.6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5">
      <c r="A32" s="86" t="s">
        <v>183</v>
      </c>
      <c r="B32" s="144">
        <v>8</v>
      </c>
      <c r="C32" s="141">
        <f>IF(B$15=0,0,B32/B$15)</f>
        <v>0.12121212121212122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</row>
    <row r="33" spans="1:9" x14ac:dyDescent="0.45">
      <c r="A33" s="51" t="s">
        <v>179</v>
      </c>
      <c r="B33" s="44">
        <v>10</v>
      </c>
      <c r="C33" s="37">
        <f t="shared" ref="C33:C44" si="2">IF(B$15=0,0,B33/B$15)</f>
        <v>0.15151515151515152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11</v>
      </c>
      <c r="C34" s="37">
        <f>IF(B$15=0,0,B34/B$15)</f>
        <v>0.16666666666666666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2"/>
        <v>0.13636363636363635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2"/>
        <v>0.15151515151515152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2"/>
        <v>0.18181818181818182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2"/>
        <v>4.5454545454545456E-2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2"/>
        <v>3.0303030303030304E-2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2"/>
        <v>1.5151515151515152E-2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B315-D6A7-4A15-A119-9F93471CCACE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AC48-0AEB-4A1F-93AF-AB27AEF03EFD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8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BF6B-9A9F-492E-96A2-AFE46B113745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17</v>
      </c>
      <c r="C2" s="155"/>
      <c r="E2" s="58" t="s">
        <v>64</v>
      </c>
      <c r="F2" s="55" t="s">
        <v>20</v>
      </c>
      <c r="G2" s="43">
        <v>31</v>
      </c>
      <c r="H2" s="128">
        <f>IF(B$15=0,0,G2/B$15)</f>
        <v>0.59615384615384615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-1911.7647058823529</v>
      </c>
      <c r="P2" s="114">
        <v>17</v>
      </c>
      <c r="Q2" s="98">
        <v>-32500</v>
      </c>
    </row>
    <row r="3" spans="1:17" x14ac:dyDescent="0.45">
      <c r="A3" s="51" t="s">
        <v>8</v>
      </c>
      <c r="B3" s="156">
        <v>146</v>
      </c>
      <c r="C3" s="157"/>
      <c r="E3" s="59" t="s">
        <v>66</v>
      </c>
      <c r="F3" s="56" t="s">
        <v>22</v>
      </c>
      <c r="G3" s="44">
        <v>29</v>
      </c>
      <c r="H3" s="129">
        <f>IF(B$15=0,0,G3/B$15)</f>
        <v>0.55769230769230771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-323.52941176470586</v>
      </c>
      <c r="P3" s="115">
        <v>17</v>
      </c>
      <c r="Q3" s="99">
        <v>-5500</v>
      </c>
    </row>
    <row r="4" spans="1:17" x14ac:dyDescent="0.45">
      <c r="A4" s="51" t="s">
        <v>6</v>
      </c>
      <c r="B4" s="158">
        <v>-30.700000000000003</v>
      </c>
      <c r="C4" s="159"/>
      <c r="E4" s="59" t="s">
        <v>72</v>
      </c>
      <c r="F4" s="56" t="s">
        <v>27</v>
      </c>
      <c r="G4" s="44">
        <v>22</v>
      </c>
      <c r="H4" s="129">
        <f>IF(B$15=0,0,G4/B$15)</f>
        <v>0.42307692307692307</v>
      </c>
      <c r="I4" s="90">
        <v>11</v>
      </c>
      <c r="K4" s="36">
        <v>2</v>
      </c>
      <c r="L4" s="95">
        <v>27.8</v>
      </c>
      <c r="N4" s="111" t="s">
        <v>132</v>
      </c>
      <c r="O4" s="118">
        <f t="shared" si="0"/>
        <v>-1935.2941176470588</v>
      </c>
      <c r="P4" s="115">
        <v>17</v>
      </c>
      <c r="Q4" s="99">
        <v>-32900</v>
      </c>
    </row>
    <row r="5" spans="1:17" x14ac:dyDescent="0.45">
      <c r="A5" s="51" t="s">
        <v>7</v>
      </c>
      <c r="B5" s="160">
        <f>IF(B$2=0,0,B$4/B$2)</f>
        <v>-1.8058823529411767</v>
      </c>
      <c r="C5" s="161"/>
      <c r="E5" s="59" t="s">
        <v>67</v>
      </c>
      <c r="F5" s="56" t="s">
        <v>23</v>
      </c>
      <c r="G5" s="44">
        <v>21</v>
      </c>
      <c r="H5" s="129">
        <f>IF(B$15=0,0,G5/B$15)</f>
        <v>0.40384615384615385</v>
      </c>
      <c r="I5" s="90">
        <v>4</v>
      </c>
      <c r="K5" s="36">
        <v>3</v>
      </c>
      <c r="L5" s="95">
        <v>20.399999999999999</v>
      </c>
      <c r="N5" s="111" t="s">
        <v>133</v>
      </c>
      <c r="O5" s="118">
        <f t="shared" si="0"/>
        <v>593.33333333333337</v>
      </c>
      <c r="P5" s="115">
        <v>15</v>
      </c>
      <c r="Q5" s="99">
        <v>8900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20</v>
      </c>
      <c r="H6" s="129">
        <f>IF(B$15=0,0,G6/B$15)</f>
        <v>0.38461538461538464</v>
      </c>
      <c r="I6" s="90">
        <v>3</v>
      </c>
      <c r="K6" s="36">
        <v>4</v>
      </c>
      <c r="L6" s="95">
        <v>53.1</v>
      </c>
      <c r="N6" s="111" t="s">
        <v>134</v>
      </c>
      <c r="O6" s="118">
        <f t="shared" si="0"/>
        <v>-1007.6923076923077</v>
      </c>
      <c r="P6" s="115">
        <v>13</v>
      </c>
      <c r="Q6" s="99">
        <v>-13100</v>
      </c>
    </row>
    <row r="7" spans="1:17" x14ac:dyDescent="0.45">
      <c r="A7" s="51" t="s">
        <v>2</v>
      </c>
      <c r="B7" s="44">
        <v>6</v>
      </c>
      <c r="C7" s="37">
        <f t="shared" ref="C7:C10" si="1">IF(B$2=0,0,B7/B$2)</f>
        <v>0.35294117647058826</v>
      </c>
      <c r="E7" s="59" t="s">
        <v>166</v>
      </c>
      <c r="F7" s="56" t="s">
        <v>167</v>
      </c>
      <c r="G7" s="44">
        <v>14</v>
      </c>
      <c r="H7" s="129">
        <f>IF(B$15=0,0,G7/B$15)</f>
        <v>0.26923076923076922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4245.454545454545</v>
      </c>
      <c r="P7" s="116">
        <v>11</v>
      </c>
      <c r="Q7" s="100">
        <v>46700</v>
      </c>
    </row>
    <row r="8" spans="1:17" x14ac:dyDescent="0.45">
      <c r="A8" s="51" t="s">
        <v>3</v>
      </c>
      <c r="B8" s="44">
        <v>5</v>
      </c>
      <c r="C8" s="37">
        <f t="shared" si="1"/>
        <v>0.29411764705882354</v>
      </c>
      <c r="E8" s="59" t="s">
        <v>65</v>
      </c>
      <c r="F8" s="56" t="s">
        <v>21</v>
      </c>
      <c r="G8" s="44">
        <v>9</v>
      </c>
      <c r="H8" s="129">
        <f>IF(B$15=0,0,G8/B$15)</f>
        <v>0.17307692307692307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6</v>
      </c>
      <c r="C9" s="38">
        <f t="shared" si="1"/>
        <v>0.35294117647058826</v>
      </c>
      <c r="E9" s="59" t="s">
        <v>70</v>
      </c>
      <c r="F9" s="56" t="s">
        <v>25</v>
      </c>
      <c r="G9" s="44">
        <v>6</v>
      </c>
      <c r="H9" s="129">
        <f>IF(B$15=0,0,G9/B$15)</f>
        <v>0.11538461538461539</v>
      </c>
      <c r="I9" s="90">
        <v>7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0.17647058823529413</v>
      </c>
      <c r="E10" s="59" t="s">
        <v>69</v>
      </c>
      <c r="F10" s="56" t="s">
        <v>24</v>
      </c>
      <c r="G10" s="44">
        <v>5</v>
      </c>
      <c r="H10" s="129">
        <f>IF(B$15=0,0,G10/B$15)</f>
        <v>9.6153846153846159E-2</v>
      </c>
      <c r="I10" s="90">
        <v>11</v>
      </c>
      <c r="K10" s="36">
        <v>8</v>
      </c>
      <c r="L10" s="95">
        <v>41.3</v>
      </c>
      <c r="N10" s="110" t="s">
        <v>157</v>
      </c>
      <c r="O10" s="120">
        <f>IF(P10=0,0,Q10/P10)</f>
        <v>-13.719999999999999</v>
      </c>
      <c r="P10" s="114">
        <v>5</v>
      </c>
      <c r="Q10" s="102">
        <v>-68.599999999999994</v>
      </c>
    </row>
    <row r="11" spans="1:17" x14ac:dyDescent="0.45">
      <c r="A11" s="54" t="s">
        <v>121</v>
      </c>
      <c r="B11" s="47">
        <v>51</v>
      </c>
      <c r="C11" s="42">
        <f>IF(B$3=0,0,B11/B$3)</f>
        <v>0.34931506849315069</v>
      </c>
      <c r="E11" s="59" t="s">
        <v>89</v>
      </c>
      <c r="F11" s="56" t="s">
        <v>44</v>
      </c>
      <c r="G11" s="44">
        <v>3</v>
      </c>
      <c r="H11" s="129">
        <f>IF(B$15=0,0,G11/B$15)</f>
        <v>5.7692307692307696E-2</v>
      </c>
      <c r="I11" s="90">
        <v>13</v>
      </c>
      <c r="K11" s="36">
        <v>9</v>
      </c>
      <c r="L11" s="95">
        <v>79.699999999999989</v>
      </c>
      <c r="N11" s="111" t="s">
        <v>158</v>
      </c>
      <c r="O11" s="121">
        <f>IF(P11=0,0,Q11/P11)</f>
        <v>-1.9124999999999996</v>
      </c>
      <c r="P11" s="115">
        <v>8</v>
      </c>
      <c r="Q11" s="103">
        <v>-15.299999999999997</v>
      </c>
    </row>
    <row r="12" spans="1:17" x14ac:dyDescent="0.45">
      <c r="A12" s="51" t="s">
        <v>118</v>
      </c>
      <c r="B12" s="44">
        <v>17</v>
      </c>
      <c r="C12" s="37">
        <f>IF(B$3=0,0,B12/B$3)</f>
        <v>0.11643835616438356</v>
      </c>
      <c r="E12" s="59" t="s">
        <v>75</v>
      </c>
      <c r="F12" s="56" t="s">
        <v>30</v>
      </c>
      <c r="G12" s="44">
        <v>2</v>
      </c>
      <c r="H12" s="129">
        <f>IF(B$15=0,0,G12/B$15)</f>
        <v>3.8461538461538464E-2</v>
      </c>
      <c r="I12" s="90">
        <v>1</v>
      </c>
      <c r="K12" s="36">
        <v>10</v>
      </c>
      <c r="L12" s="95">
        <v>86.1</v>
      </c>
      <c r="N12" s="112" t="s">
        <v>159</v>
      </c>
      <c r="O12" s="122">
        <f>IF(P12=0,0,Q12/P12)</f>
        <v>13.299999999999999</v>
      </c>
      <c r="P12" s="116">
        <v>4</v>
      </c>
      <c r="Q12" s="104">
        <v>53.199999999999996</v>
      </c>
    </row>
    <row r="13" spans="1:17" x14ac:dyDescent="0.45">
      <c r="A13" s="50" t="s">
        <v>123</v>
      </c>
      <c r="B13" s="43">
        <f>B19</f>
        <v>30</v>
      </c>
      <c r="C13" s="35">
        <f>IF(B$11=0,0,B13/B$11)</f>
        <v>0.58823529411764708</v>
      </c>
      <c r="E13" s="59" t="s">
        <v>79</v>
      </c>
      <c r="F13" s="56" t="s">
        <v>34</v>
      </c>
      <c r="G13" s="44">
        <v>2</v>
      </c>
      <c r="H13" s="129">
        <f>IF(B$15=0,0,G13/B$15)</f>
        <v>3.8461538461538464E-2</v>
      </c>
      <c r="I13" s="90">
        <v>2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13</v>
      </c>
      <c r="C14" s="35">
        <f>IF(B$12=0,0,B14/B$12)</f>
        <v>0.76470588235294112</v>
      </c>
      <c r="E14" s="59" t="s">
        <v>83</v>
      </c>
      <c r="F14" s="56" t="s">
        <v>38</v>
      </c>
      <c r="G14" s="44">
        <v>2</v>
      </c>
      <c r="H14" s="129">
        <f>IF(B$15=0,0,G14/B$15)</f>
        <v>3.8461538461538464E-2</v>
      </c>
      <c r="I14" s="90">
        <v>9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52</v>
      </c>
      <c r="C15" s="35">
        <f>IF(B$3=0,0,B15/B$3)</f>
        <v>0.35616438356164382</v>
      </c>
      <c r="E15" s="59" t="s">
        <v>85</v>
      </c>
      <c r="F15" s="56" t="s">
        <v>40</v>
      </c>
      <c r="G15" s="44">
        <v>2</v>
      </c>
      <c r="H15" s="129">
        <f>IF(B$15=0,0,G15/B$15)</f>
        <v>3.8461538461538464E-2</v>
      </c>
      <c r="I15" s="90">
        <v>1</v>
      </c>
      <c r="K15" s="36">
        <v>13</v>
      </c>
      <c r="L15" s="95">
        <v>-47.6</v>
      </c>
      <c r="N15" s="110" t="s">
        <v>171</v>
      </c>
      <c r="O15" s="120">
        <f>IF(P15=0,0,Q15/P15)</f>
        <v>32.325000000000003</v>
      </c>
      <c r="P15" s="114">
        <v>4</v>
      </c>
      <c r="Q15" s="102">
        <v>129.30000000000001</v>
      </c>
    </row>
    <row r="16" spans="1:17" x14ac:dyDescent="0.45">
      <c r="A16" s="51" t="s">
        <v>13</v>
      </c>
      <c r="B16" s="44">
        <v>24</v>
      </c>
      <c r="C16" s="37">
        <f>IF(B$3=0,0,B16/B$3)</f>
        <v>0.16438356164383561</v>
      </c>
      <c r="E16" s="59" t="s">
        <v>71</v>
      </c>
      <c r="F16" s="56" t="s">
        <v>26</v>
      </c>
      <c r="G16" s="44">
        <v>1</v>
      </c>
      <c r="H16" s="129">
        <f>IF(B$15=0,0,G16/B$15)</f>
        <v>1.9230769230769232E-2</v>
      </c>
      <c r="I16" s="90">
        <v>13</v>
      </c>
      <c r="K16" s="36">
        <v>14</v>
      </c>
      <c r="L16" s="95">
        <v>-55.5</v>
      </c>
      <c r="N16" s="111" t="s">
        <v>172</v>
      </c>
      <c r="O16" s="121">
        <f>IF(P16=0,0,Q16/P16)</f>
        <v>19.249999999999996</v>
      </c>
      <c r="P16" s="115">
        <v>4</v>
      </c>
      <c r="Q16" s="103">
        <v>76.999999999999986</v>
      </c>
    </row>
    <row r="17" spans="1:17" x14ac:dyDescent="0.45">
      <c r="A17" s="51" t="s">
        <v>12</v>
      </c>
      <c r="B17" s="44">
        <v>27</v>
      </c>
      <c r="C17" s="37">
        <f>IF(B$15=0,0,B17/B$15)</f>
        <v>0.51923076923076927</v>
      </c>
      <c r="E17" s="59" t="s">
        <v>86</v>
      </c>
      <c r="F17" s="56" t="s">
        <v>41</v>
      </c>
      <c r="G17" s="44">
        <v>1</v>
      </c>
      <c r="H17" s="129">
        <f>IF(B$15=0,0,G17/B$15)</f>
        <v>1.9230769230769232E-2</v>
      </c>
      <c r="I17" s="90">
        <v>11</v>
      </c>
      <c r="K17" s="36">
        <v>15</v>
      </c>
      <c r="L17" s="95">
        <v>-25.1</v>
      </c>
      <c r="N17" s="111" t="s">
        <v>196</v>
      </c>
      <c r="O17" s="121">
        <f>IF(P17=0,0,Q17/P17)</f>
        <v>12.599999999999996</v>
      </c>
      <c r="P17" s="115">
        <v>2</v>
      </c>
      <c r="Q17" s="103">
        <v>25.199999999999992</v>
      </c>
    </row>
    <row r="18" spans="1:17" x14ac:dyDescent="0.45">
      <c r="A18" s="51" t="s">
        <v>11</v>
      </c>
      <c r="B18" s="44">
        <v>25</v>
      </c>
      <c r="C18" s="37">
        <f>IF(B$15=0,0,B18/B$15)</f>
        <v>0.48076923076923078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K18" s="36">
        <v>16</v>
      </c>
      <c r="L18" s="95">
        <v>-13.600000000000001</v>
      </c>
      <c r="N18" s="111" t="s">
        <v>197</v>
      </c>
      <c r="O18" s="121">
        <f>IF(P18=0,0,Q18/P18)</f>
        <v>12.000000000000002</v>
      </c>
      <c r="P18" s="115">
        <v>1</v>
      </c>
      <c r="Q18" s="103">
        <v>12.000000000000002</v>
      </c>
    </row>
    <row r="19" spans="1:17" x14ac:dyDescent="0.45">
      <c r="A19" s="51" t="s">
        <v>195</v>
      </c>
      <c r="B19" s="44">
        <v>30</v>
      </c>
      <c r="C19" s="37">
        <f>IF(B$15=0,0,B19/B$15)</f>
        <v>0.57692307692307687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K19" s="36">
        <v>17</v>
      </c>
      <c r="L19" s="95">
        <v>-30.700000000000003</v>
      </c>
      <c r="N19" s="111" t="s">
        <v>170</v>
      </c>
      <c r="O19" s="121">
        <f>IF(P19=0,0,Q19/P19)</f>
        <v>2.910000000000001</v>
      </c>
      <c r="P19" s="115">
        <v>10</v>
      </c>
      <c r="Q19" s="103">
        <v>29.100000000000009</v>
      </c>
    </row>
    <row r="20" spans="1:17" x14ac:dyDescent="0.45">
      <c r="A20" s="51" t="s">
        <v>193</v>
      </c>
      <c r="B20" s="44">
        <v>13</v>
      </c>
      <c r="C20" s="37">
        <f>IF(B$15=0,0,B20/B$15)</f>
        <v>0.25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127</v>
      </c>
      <c r="O20" s="121">
        <f>IF(P20=0,0,Q20/P20)</f>
        <v>2.8600000000000012</v>
      </c>
      <c r="P20" s="115">
        <v>5</v>
      </c>
      <c r="Q20" s="103">
        <v>14.300000000000006</v>
      </c>
    </row>
    <row r="21" spans="1:17" x14ac:dyDescent="0.45">
      <c r="A21" s="51" t="s">
        <v>194</v>
      </c>
      <c r="B21" s="44">
        <v>9</v>
      </c>
      <c r="C21" s="37">
        <f>IF(B$15=0,0,B21/B$15)</f>
        <v>0.17307692307692307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>IF(P21=0,0,Q21/P21)</f>
        <v>-41.459999999999994</v>
      </c>
      <c r="P21" s="115">
        <v>5</v>
      </c>
      <c r="Q21" s="103">
        <v>-207.29999999999998</v>
      </c>
    </row>
    <row r="22" spans="1:17" x14ac:dyDescent="0.45">
      <c r="A22" s="51" t="s">
        <v>5</v>
      </c>
      <c r="B22" s="48">
        <f>IF(B$15=0,0,C22/B$15)</f>
        <v>6555.7692307692305</v>
      </c>
      <c r="C22" s="39">
        <v>340900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>IF(P22=0,0,Q22/P22)</f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7187.1794871794873</v>
      </c>
      <c r="C23" s="137">
        <v>280300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4661.5384615384619</v>
      </c>
      <c r="C24" s="137">
        <v>60600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-7895.833333333333</v>
      </c>
      <c r="C25" s="137">
        <v>-189500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4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5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2</v>
      </c>
      <c r="C30" s="40">
        <f>IF(B$3=0,0,B30/B$3)</f>
        <v>1.3698630136986301E-2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6</v>
      </c>
      <c r="C32" s="141">
        <f>IF(B$15=0,0,B32/B$15)</f>
        <v>0.11538461538461539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14</v>
      </c>
      <c r="C33" s="37">
        <f t="shared" ref="C33:C44" si="2">IF(B$15=0,0,B33/B$15)</f>
        <v>0.26923076923076922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8</v>
      </c>
      <c r="C34" s="37">
        <f>IF(B$15=0,0,B34/B$15)</f>
        <v>0.15384615384615385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9</v>
      </c>
      <c r="C35" s="37">
        <f t="shared" si="2"/>
        <v>0.17307692307692307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9</v>
      </c>
      <c r="C36" s="37">
        <f t="shared" si="2"/>
        <v>0.17307692307692307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3.8461538461538464E-2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3</v>
      </c>
      <c r="C38" s="37">
        <f t="shared" si="2"/>
        <v>5.7692307692307696E-2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2"/>
        <v>1.9230769230769232E-2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5E180-0CA9-47F3-A3A6-E03471DE401D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5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5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5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7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A7E3-68AF-4EC3-B490-E546EC6E1D02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A1A1-4A5F-479A-AD4E-3A7D1668AD00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AEA41-FE8D-47BE-BBEC-5C173A2075D3}">
  <sheetPr codeName="Sheet30"/>
  <dimension ref="A1:Q1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DF556-D4CB-4B53-A16C-46B79761E932}">
  <sheetPr codeName="Sheet28"/>
  <dimension ref="A1:Q2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  <row r="17" spans="1:16" x14ac:dyDescent="0.45">
      <c r="A17" s="65">
        <v>14</v>
      </c>
      <c r="B17" s="62">
        <v>-55.5</v>
      </c>
      <c r="C17" s="62">
        <v>-3.9642857142857144</v>
      </c>
      <c r="D17" s="67">
        <v>2</v>
      </c>
      <c r="E17" s="63">
        <v>0.35714285714285715</v>
      </c>
      <c r="F17" s="63">
        <v>0.35714285714285715</v>
      </c>
      <c r="G17" s="63">
        <v>0.34920634920634919</v>
      </c>
      <c r="H17" s="63">
        <v>0.16666666666666666</v>
      </c>
      <c r="I17" s="64">
        <v>6534.090909090909</v>
      </c>
      <c r="J17" s="64">
        <v>-8195.2380952380954</v>
      </c>
      <c r="K17" s="63">
        <v>0.21428571428571427</v>
      </c>
      <c r="L17" s="63">
        <v>0.30952380952380953</v>
      </c>
      <c r="M17" s="63">
        <v>0.12698412698412698</v>
      </c>
      <c r="N17" s="63">
        <v>0.58974358974358976</v>
      </c>
      <c r="O17" s="63">
        <v>0.75</v>
      </c>
      <c r="P17" s="63">
        <v>0.52272727272727271</v>
      </c>
    </row>
    <row r="18" spans="1:16" x14ac:dyDescent="0.45">
      <c r="A18" s="65">
        <v>15</v>
      </c>
      <c r="B18" s="62">
        <v>-25.1</v>
      </c>
      <c r="C18" s="62">
        <v>-1.6733333333333333</v>
      </c>
      <c r="D18" s="67">
        <v>1.9333333333333333</v>
      </c>
      <c r="E18" s="63">
        <v>0.4</v>
      </c>
      <c r="F18" s="63">
        <v>0.33333333333333331</v>
      </c>
      <c r="G18" s="63">
        <v>0.35338345864661652</v>
      </c>
      <c r="H18" s="63">
        <v>0.16541353383458646</v>
      </c>
      <c r="I18" s="64">
        <v>6710.6382978723404</v>
      </c>
      <c r="J18" s="64">
        <v>-8368.181818181818</v>
      </c>
      <c r="K18" s="63">
        <v>0.2</v>
      </c>
      <c r="L18" s="63">
        <v>0.33834586466165412</v>
      </c>
      <c r="M18" s="63">
        <v>0.12030075187969924</v>
      </c>
      <c r="N18" s="63">
        <v>0.57777777777777772</v>
      </c>
      <c r="O18" s="63">
        <v>0.75</v>
      </c>
      <c r="P18" s="63">
        <v>0.48936170212765956</v>
      </c>
    </row>
    <row r="19" spans="1:16" x14ac:dyDescent="0.45">
      <c r="A19" s="65">
        <v>16</v>
      </c>
      <c r="B19" s="62">
        <v>-13.600000000000001</v>
      </c>
      <c r="C19" s="62">
        <v>-0.85000000000000009</v>
      </c>
      <c r="D19" s="67">
        <v>1.9375</v>
      </c>
      <c r="E19" s="63">
        <v>0.375</v>
      </c>
      <c r="F19" s="63">
        <v>0.3125</v>
      </c>
      <c r="G19" s="63">
        <v>0.35766423357664234</v>
      </c>
      <c r="H19" s="63">
        <v>0.16058394160583941</v>
      </c>
      <c r="I19" s="64">
        <v>6679.591836734694</v>
      </c>
      <c r="J19" s="64">
        <v>-8368.181818181818</v>
      </c>
      <c r="K19" s="63">
        <v>0.1875</v>
      </c>
      <c r="L19" s="63">
        <v>0.34306569343065696</v>
      </c>
      <c r="M19" s="63">
        <v>0.11678832116788321</v>
      </c>
      <c r="N19" s="63">
        <v>0.5957446808510638</v>
      </c>
      <c r="O19" s="63">
        <v>0.75</v>
      </c>
      <c r="P19" s="63">
        <v>0.48979591836734693</v>
      </c>
    </row>
    <row r="20" spans="1:16" x14ac:dyDescent="0.45">
      <c r="A20" s="65">
        <v>17</v>
      </c>
      <c r="B20" s="62">
        <v>-30.700000000000003</v>
      </c>
      <c r="C20" s="62">
        <v>-1.8058823529411767</v>
      </c>
      <c r="D20" s="67">
        <v>2</v>
      </c>
      <c r="E20" s="63">
        <v>0.35294117647058826</v>
      </c>
      <c r="F20" s="63">
        <v>0.35294117647058826</v>
      </c>
      <c r="G20" s="63">
        <v>0.35616438356164382</v>
      </c>
      <c r="H20" s="63">
        <v>0.16438356164383561</v>
      </c>
      <c r="I20" s="64">
        <v>6555.7692307692305</v>
      </c>
      <c r="J20" s="64">
        <v>-7895.833333333333</v>
      </c>
      <c r="K20" s="63">
        <v>0.17647058823529413</v>
      </c>
      <c r="L20" s="63">
        <v>0.34931506849315069</v>
      </c>
      <c r="M20" s="63">
        <v>0.11643835616438356</v>
      </c>
      <c r="N20" s="63">
        <v>0.58823529411764708</v>
      </c>
      <c r="O20" s="63">
        <v>0.76470588235294112</v>
      </c>
      <c r="P20" s="63">
        <v>0.51923076923076927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51D8-8CEB-41B5-B916-25376B013EF6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D736-4E28-4D91-9286-BEB7F3C8DC84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6F85-B4B4-4B2A-8C37-DA4352DE51C4}">
  <sheetPr codeName="Sheet22"/>
  <dimension ref="A1:Q3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  <row r="29" spans="1:16" x14ac:dyDescent="0.45">
      <c r="A29" s="65">
        <v>26</v>
      </c>
      <c r="B29" s="62">
        <v>-29.900000000000002</v>
      </c>
      <c r="C29" s="62">
        <v>-1.1500000000000001</v>
      </c>
      <c r="D29" s="67">
        <v>2</v>
      </c>
      <c r="E29" s="63">
        <v>0.38461538461538464</v>
      </c>
      <c r="F29" s="63">
        <v>0.38461538461538464</v>
      </c>
      <c r="G29" s="63">
        <v>0.26506024096385544</v>
      </c>
      <c r="H29" s="63">
        <v>0.17269076305220885</v>
      </c>
      <c r="I29" s="64">
        <v>8150</v>
      </c>
      <c r="J29" s="64">
        <v>-6762.7906976744189</v>
      </c>
      <c r="K29" s="63">
        <v>0.11538461538461539</v>
      </c>
      <c r="L29" s="63">
        <v>0.25702811244979917</v>
      </c>
      <c r="M29" s="63">
        <v>0.15662650602409639</v>
      </c>
      <c r="N29" s="63">
        <v>0.59375</v>
      </c>
      <c r="O29" s="63">
        <v>0.35897435897435898</v>
      </c>
      <c r="P29" s="63">
        <v>0.5757575757575758</v>
      </c>
    </row>
    <row r="30" spans="1:16" x14ac:dyDescent="0.45">
      <c r="A30" s="65">
        <v>27</v>
      </c>
      <c r="B30" s="62">
        <v>-76.5</v>
      </c>
      <c r="C30" s="62">
        <v>-2.8333333333333335</v>
      </c>
      <c r="D30" s="67">
        <v>2.0370370370370372</v>
      </c>
      <c r="E30" s="63">
        <v>0.37037037037037035</v>
      </c>
      <c r="F30" s="63">
        <v>0.40740740740740738</v>
      </c>
      <c r="G30" s="63">
        <v>0.25984251968503935</v>
      </c>
      <c r="H30" s="63">
        <v>0.16929133858267717</v>
      </c>
      <c r="I30" s="64">
        <v>8150</v>
      </c>
      <c r="J30" s="64">
        <v>-6762.7906976744189</v>
      </c>
      <c r="K30" s="63">
        <v>0.14814814814814814</v>
      </c>
      <c r="L30" s="63">
        <v>0.25590551181102361</v>
      </c>
      <c r="M30" s="63">
        <v>0.15354330708661418</v>
      </c>
      <c r="N30" s="63">
        <v>0.58461538461538465</v>
      </c>
      <c r="O30" s="63">
        <v>0.35897435897435898</v>
      </c>
      <c r="P30" s="63">
        <v>0.5757575757575758</v>
      </c>
    </row>
    <row r="31" spans="1:16" x14ac:dyDescent="0.45">
      <c r="A31" s="65">
        <v>28</v>
      </c>
      <c r="B31" s="62">
        <v>-129.6</v>
      </c>
      <c r="C31" s="62">
        <v>-4.6285714285714281</v>
      </c>
      <c r="D31" s="67">
        <v>2.0714285714285716</v>
      </c>
      <c r="E31" s="63">
        <v>0.35714285714285715</v>
      </c>
      <c r="F31" s="63">
        <v>0.42857142857142855</v>
      </c>
      <c r="G31" s="63">
        <v>0.25680933852140075</v>
      </c>
      <c r="H31" s="63">
        <v>0.17509727626459143</v>
      </c>
      <c r="I31" s="64">
        <v>8150</v>
      </c>
      <c r="J31" s="64">
        <v>-7120</v>
      </c>
      <c r="K31" s="63">
        <v>0.17857142857142858</v>
      </c>
      <c r="L31" s="63">
        <v>0.26070038910505838</v>
      </c>
      <c r="M31" s="63">
        <v>0.1517509727626459</v>
      </c>
      <c r="N31" s="63">
        <v>0.56716417910447758</v>
      </c>
      <c r="O31" s="63">
        <v>0.35897435897435898</v>
      </c>
      <c r="P31" s="63">
        <v>0.5757575757575758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E3000-E78A-4FBC-938D-D24EC2C8F231}">
  <sheetPr codeName="Sheet20"/>
  <dimension ref="A1:Q6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5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5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5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  <row r="66" spans="1:16" x14ac:dyDescent="0.45">
      <c r="A66" s="65">
        <v>63</v>
      </c>
      <c r="B66" s="62">
        <v>-697.10000000000014</v>
      </c>
      <c r="C66" s="62">
        <v>-11.065079365079367</v>
      </c>
      <c r="D66" s="67">
        <v>2.2857142857142856</v>
      </c>
      <c r="E66" s="63">
        <v>0.15873015873015872</v>
      </c>
      <c r="F66" s="63">
        <v>0.44444444444444442</v>
      </c>
      <c r="G66" s="63">
        <v>0.26003824091778205</v>
      </c>
      <c r="H66" s="63">
        <v>0.17973231357552583</v>
      </c>
      <c r="I66" s="64">
        <v>8066.911764705882</v>
      </c>
      <c r="J66" s="64">
        <v>-8432.978723404256</v>
      </c>
      <c r="K66" s="63">
        <v>0.15873015873015872</v>
      </c>
      <c r="L66" s="63">
        <v>0.21032504780114722</v>
      </c>
      <c r="M66" s="63">
        <v>0.22753346080305928</v>
      </c>
      <c r="N66" s="63">
        <v>0.52727272727272723</v>
      </c>
      <c r="O66" s="63">
        <v>0.42857142857142855</v>
      </c>
      <c r="P66" s="63">
        <v>0.46323529411764708</v>
      </c>
    </row>
    <row r="67" spans="1:16" x14ac:dyDescent="0.45">
      <c r="A67" s="65">
        <v>64</v>
      </c>
      <c r="B67" s="62">
        <v>-704.90000000000009</v>
      </c>
      <c r="C67" s="62">
        <v>-11.014062500000001</v>
      </c>
      <c r="D67" s="67">
        <v>2.28125</v>
      </c>
      <c r="E67" s="63">
        <v>0.15625</v>
      </c>
      <c r="F67" s="63">
        <v>0.4375</v>
      </c>
      <c r="G67" s="63">
        <v>0.2575187969924812</v>
      </c>
      <c r="H67" s="63">
        <v>0.18045112781954886</v>
      </c>
      <c r="I67" s="64">
        <v>8095.6204379562041</v>
      </c>
      <c r="J67" s="64">
        <v>-8397.9166666666661</v>
      </c>
      <c r="K67" s="63">
        <v>0.15625</v>
      </c>
      <c r="L67" s="63">
        <v>0.21052631578947367</v>
      </c>
      <c r="M67" s="63">
        <v>0.22556390977443608</v>
      </c>
      <c r="N67" s="63">
        <v>0.5178571428571429</v>
      </c>
      <c r="O67" s="63">
        <v>0.43333333333333335</v>
      </c>
      <c r="P67" s="63">
        <v>0.45985401459854014</v>
      </c>
    </row>
    <row r="68" spans="1:16" x14ac:dyDescent="0.45">
      <c r="A68" s="65">
        <v>65</v>
      </c>
      <c r="B68" s="62">
        <v>-668.90000000000009</v>
      </c>
      <c r="C68" s="62">
        <v>-10.290769230769232</v>
      </c>
      <c r="D68" s="67">
        <v>2.2615384615384615</v>
      </c>
      <c r="E68" s="63">
        <v>0.16923076923076924</v>
      </c>
      <c r="F68" s="63">
        <v>0.43076923076923079</v>
      </c>
      <c r="G68" s="63">
        <v>0.25925925925925924</v>
      </c>
      <c r="H68" s="63">
        <v>0.17777777777777778</v>
      </c>
      <c r="I68" s="64">
        <v>8176.4285714285716</v>
      </c>
      <c r="J68" s="64">
        <v>-8397.9166666666661</v>
      </c>
      <c r="K68" s="63">
        <v>0.15384615384615385</v>
      </c>
      <c r="L68" s="63">
        <v>0.21111111111111111</v>
      </c>
      <c r="M68" s="63">
        <v>0.22962962962962963</v>
      </c>
      <c r="N68" s="63">
        <v>0.51754385964912286</v>
      </c>
      <c r="O68" s="63">
        <v>0.43548387096774194</v>
      </c>
      <c r="P68" s="63">
        <v>0.45714285714285713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8991-556D-4237-B92E-36DE8FF43333}">
  <sheetPr codeName="Sheet18"/>
  <dimension ref="A1:Q16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5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5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5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5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5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5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5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5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5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5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  <row r="146" spans="1:16" x14ac:dyDescent="0.45">
      <c r="A146" s="65">
        <v>143</v>
      </c>
      <c r="B146" s="62">
        <v>-141.49999999999997</v>
      </c>
      <c r="C146" s="62">
        <v>-0.98951048951048937</v>
      </c>
      <c r="D146" s="67">
        <v>2.0559440559440558</v>
      </c>
      <c r="E146" s="63">
        <v>0.24475524475524477</v>
      </c>
      <c r="F146" s="63">
        <v>0.30069930069930068</v>
      </c>
      <c r="G146" s="63">
        <v>0.27906976744186046</v>
      </c>
      <c r="H146" s="63">
        <v>0.13953488372093023</v>
      </c>
      <c r="I146" s="64">
        <v>8250.9259259259252</v>
      </c>
      <c r="J146" s="64">
        <v>-7036.4197530864194</v>
      </c>
      <c r="K146" s="63">
        <v>6.9930069930069935E-2</v>
      </c>
      <c r="L146" s="63">
        <v>0.26012058570198104</v>
      </c>
      <c r="M146" s="63">
        <v>0.23083548664944015</v>
      </c>
      <c r="N146" s="63">
        <v>0.55298013245033117</v>
      </c>
      <c r="O146" s="63">
        <v>0.42537313432835822</v>
      </c>
      <c r="P146" s="63">
        <v>0.44753086419753085</v>
      </c>
    </row>
    <row r="147" spans="1:16" x14ac:dyDescent="0.45">
      <c r="A147" s="65">
        <v>144</v>
      </c>
      <c r="B147" s="62">
        <v>-96.699999999999974</v>
      </c>
      <c r="C147" s="62">
        <v>-0.67152777777777761</v>
      </c>
      <c r="D147" s="67">
        <v>2.0486111111111112</v>
      </c>
      <c r="E147" s="63">
        <v>0.25</v>
      </c>
      <c r="F147" s="63">
        <v>0.2986111111111111</v>
      </c>
      <c r="G147" s="63">
        <v>0.28082191780821919</v>
      </c>
      <c r="H147" s="63">
        <v>0.1386986301369863</v>
      </c>
      <c r="I147" s="64">
        <v>8271.0365853658532</v>
      </c>
      <c r="J147" s="64">
        <v>-7036.4197530864194</v>
      </c>
      <c r="K147" s="63">
        <v>6.9444444444444448E-2</v>
      </c>
      <c r="L147" s="63">
        <v>0.26113013698630139</v>
      </c>
      <c r="M147" s="63">
        <v>0.23202054794520549</v>
      </c>
      <c r="N147" s="63">
        <v>0.5540983606557377</v>
      </c>
      <c r="O147" s="63">
        <v>0.4280442804428044</v>
      </c>
      <c r="P147" s="63">
        <v>0.44817073170731708</v>
      </c>
    </row>
    <row r="148" spans="1:16" x14ac:dyDescent="0.45">
      <c r="A148" s="65">
        <v>145</v>
      </c>
      <c r="B148" s="62">
        <v>-40.299999999999976</v>
      </c>
      <c r="C148" s="62">
        <v>-0.27793103448275847</v>
      </c>
      <c r="D148" s="67">
        <v>2.0413793103448277</v>
      </c>
      <c r="E148" s="63">
        <v>0.25517241379310346</v>
      </c>
      <c r="F148" s="63">
        <v>0.29655172413793102</v>
      </c>
      <c r="G148" s="63">
        <v>0.28194207836456558</v>
      </c>
      <c r="H148" s="63">
        <v>0.13798977853492334</v>
      </c>
      <c r="I148" s="64">
        <v>8345.9214501510578</v>
      </c>
      <c r="J148" s="64">
        <v>-7036.4197530864194</v>
      </c>
      <c r="K148" s="63">
        <v>6.8965517241379309E-2</v>
      </c>
      <c r="L148" s="63">
        <v>0.26064735945485518</v>
      </c>
      <c r="M148" s="63">
        <v>0.23168654173764908</v>
      </c>
      <c r="N148" s="63">
        <v>0.55555555555555558</v>
      </c>
      <c r="O148" s="63">
        <v>0.43014705882352944</v>
      </c>
      <c r="P148" s="63">
        <v>0.44712990936555891</v>
      </c>
    </row>
    <row r="149" spans="1:16" x14ac:dyDescent="0.45">
      <c r="A149" s="65">
        <v>146</v>
      </c>
      <c r="B149" s="62">
        <v>-28.099999999999977</v>
      </c>
      <c r="C149" s="62">
        <v>-0.19246575342465738</v>
      </c>
      <c r="D149" s="67">
        <v>2.0410958904109591</v>
      </c>
      <c r="E149" s="63">
        <v>0.25342465753424659</v>
      </c>
      <c r="F149" s="63">
        <v>0.29452054794520549</v>
      </c>
      <c r="G149" s="63">
        <v>0.28172588832487311</v>
      </c>
      <c r="H149" s="63">
        <v>0.13874788494077833</v>
      </c>
      <c r="I149" s="64">
        <v>8336.3363363363369</v>
      </c>
      <c r="J149" s="64">
        <v>-6992.0731707317073</v>
      </c>
      <c r="K149" s="63">
        <v>6.8493150684931503E-2</v>
      </c>
      <c r="L149" s="63">
        <v>0.25888324873096447</v>
      </c>
      <c r="M149" s="63">
        <v>0.2326565143824027</v>
      </c>
      <c r="N149" s="63">
        <v>0.55555555555555558</v>
      </c>
      <c r="O149" s="63">
        <v>0.42545454545454547</v>
      </c>
      <c r="P149" s="63">
        <v>0.44744744744744747</v>
      </c>
    </row>
    <row r="150" spans="1:16" x14ac:dyDescent="0.45">
      <c r="A150" s="65">
        <v>147</v>
      </c>
      <c r="B150" s="62">
        <v>-66.09999999999998</v>
      </c>
      <c r="C150" s="62">
        <v>-0.44965986394557811</v>
      </c>
      <c r="D150" s="67">
        <v>2.0476190476190474</v>
      </c>
      <c r="E150" s="63">
        <v>0.25170068027210885</v>
      </c>
      <c r="F150" s="63">
        <v>0.29931972789115646</v>
      </c>
      <c r="G150" s="63">
        <v>0.28067226890756303</v>
      </c>
      <c r="H150" s="63">
        <v>0.13781512605042018</v>
      </c>
      <c r="I150" s="64">
        <v>8347.3053892215576</v>
      </c>
      <c r="J150" s="64">
        <v>-6992.0731707317073</v>
      </c>
      <c r="K150" s="63">
        <v>6.8027210884353748E-2</v>
      </c>
      <c r="L150" s="63">
        <v>0.25798319327731095</v>
      </c>
      <c r="M150" s="63">
        <v>0.23193277310924371</v>
      </c>
      <c r="N150" s="63">
        <v>0.55374592833876224</v>
      </c>
      <c r="O150" s="63">
        <v>0.42391304347826086</v>
      </c>
      <c r="P150" s="63">
        <v>0.44610778443113774</v>
      </c>
    </row>
    <row r="151" spans="1:16" x14ac:dyDescent="0.45">
      <c r="A151" s="65">
        <v>148</v>
      </c>
      <c r="B151" s="62">
        <v>-54.59999999999998</v>
      </c>
      <c r="C151" s="62">
        <v>-0.36891891891891876</v>
      </c>
      <c r="D151" s="67">
        <v>2.0472972972972974</v>
      </c>
      <c r="E151" s="63">
        <v>0.25</v>
      </c>
      <c r="F151" s="63">
        <v>0.29729729729729731</v>
      </c>
      <c r="G151" s="63">
        <v>0.28056951423785592</v>
      </c>
      <c r="H151" s="63">
        <v>0.13735343383584589</v>
      </c>
      <c r="I151" s="64">
        <v>8358.2089552238813</v>
      </c>
      <c r="J151" s="64">
        <v>-6992.0731707317073</v>
      </c>
      <c r="K151" s="63">
        <v>6.7567567567567571E-2</v>
      </c>
      <c r="L151" s="63">
        <v>0.25795644891122277</v>
      </c>
      <c r="M151" s="63">
        <v>0.23115577889447236</v>
      </c>
      <c r="N151" s="63">
        <v>0.55519480519480524</v>
      </c>
      <c r="O151" s="63">
        <v>0.42391304347826086</v>
      </c>
      <c r="P151" s="63">
        <v>0.44776119402985076</v>
      </c>
    </row>
    <row r="152" spans="1:16" x14ac:dyDescent="0.45">
      <c r="A152" s="65">
        <v>149</v>
      </c>
      <c r="B152" s="62">
        <v>-107.79999999999998</v>
      </c>
      <c r="C152" s="62">
        <v>-0.72348993288590591</v>
      </c>
      <c r="D152" s="67">
        <v>2.0536912751677852</v>
      </c>
      <c r="E152" s="63">
        <v>0.24832214765100671</v>
      </c>
      <c r="F152" s="63">
        <v>0.30201342281879195</v>
      </c>
      <c r="G152" s="63">
        <v>0.2793017456359102</v>
      </c>
      <c r="H152" s="63">
        <v>0.1396508728179551</v>
      </c>
      <c r="I152" s="64">
        <v>8404.7619047619046</v>
      </c>
      <c r="J152" s="64">
        <v>-7115.4761904761908</v>
      </c>
      <c r="K152" s="63">
        <v>7.3825503355704702E-2</v>
      </c>
      <c r="L152" s="63">
        <v>0.256857855361596</v>
      </c>
      <c r="M152" s="63">
        <v>0.23108894430590191</v>
      </c>
      <c r="N152" s="63">
        <v>0.55663430420711979</v>
      </c>
      <c r="O152" s="63">
        <v>0.42086330935251798</v>
      </c>
      <c r="P152" s="63">
        <v>0.44642857142857145</v>
      </c>
    </row>
    <row r="153" spans="1:16" x14ac:dyDescent="0.45">
      <c r="A153" s="65">
        <v>150</v>
      </c>
      <c r="B153" s="62">
        <v>-116.49999999999999</v>
      </c>
      <c r="C153" s="62">
        <v>-0.77666666666666662</v>
      </c>
      <c r="D153" s="67">
        <v>2.0533333333333332</v>
      </c>
      <c r="E153" s="63">
        <v>0.24666666666666667</v>
      </c>
      <c r="F153" s="63">
        <v>0.3</v>
      </c>
      <c r="G153" s="63">
        <v>0.27933884297520661</v>
      </c>
      <c r="H153" s="63">
        <v>0.13884297520661157</v>
      </c>
      <c r="I153" s="64">
        <v>8396.7455621301779</v>
      </c>
      <c r="J153" s="64">
        <v>-7115.4761904761908</v>
      </c>
      <c r="K153" s="63">
        <v>7.3333333333333334E-2</v>
      </c>
      <c r="L153" s="63">
        <v>0.25702479338842976</v>
      </c>
      <c r="M153" s="63">
        <v>0.23057851239669422</v>
      </c>
      <c r="N153" s="63">
        <v>0.5562700964630225</v>
      </c>
      <c r="O153" s="63">
        <v>0.42293906810035842</v>
      </c>
      <c r="P153" s="63">
        <v>0.44970414201183434</v>
      </c>
    </row>
    <row r="154" spans="1:16" x14ac:dyDescent="0.45">
      <c r="A154" s="65">
        <v>151</v>
      </c>
      <c r="B154" s="62">
        <v>-110.59999999999998</v>
      </c>
      <c r="C154" s="62">
        <v>-0.73245033112582769</v>
      </c>
      <c r="D154" s="67">
        <v>2.052980132450331</v>
      </c>
      <c r="E154" s="63">
        <v>0.24503311258278146</v>
      </c>
      <c r="F154" s="63">
        <v>0.29801324503311261</v>
      </c>
      <c r="G154" s="63">
        <v>0.27937551355792933</v>
      </c>
      <c r="H154" s="63">
        <v>0.13968775677896467</v>
      </c>
      <c r="I154" s="64">
        <v>8406.176470588236</v>
      </c>
      <c r="J154" s="64">
        <v>-7117.6470588235297</v>
      </c>
      <c r="K154" s="63">
        <v>7.2847682119205295E-2</v>
      </c>
      <c r="L154" s="63">
        <v>0.2563681183237469</v>
      </c>
      <c r="M154" s="63">
        <v>0.23089564502875926</v>
      </c>
      <c r="N154" s="63">
        <v>0.55769230769230771</v>
      </c>
      <c r="O154" s="63">
        <v>0.42348754448398579</v>
      </c>
      <c r="P154" s="63">
        <v>0.45294117647058824</v>
      </c>
    </row>
    <row r="155" spans="1:16" x14ac:dyDescent="0.45">
      <c r="A155" s="65">
        <v>152</v>
      </c>
      <c r="B155" s="62">
        <v>-60.999999999999979</v>
      </c>
      <c r="C155" s="62">
        <v>-0.40131578947368407</v>
      </c>
      <c r="D155" s="67">
        <v>2.0460526315789473</v>
      </c>
      <c r="E155" s="63">
        <v>0.25</v>
      </c>
      <c r="F155" s="63">
        <v>0.29605263157894735</v>
      </c>
      <c r="G155" s="63">
        <v>0.27908868999186331</v>
      </c>
      <c r="H155" s="63">
        <v>0.13832384052074859</v>
      </c>
      <c r="I155" s="64">
        <v>8460.0583090379005</v>
      </c>
      <c r="J155" s="64">
        <v>-7117.6470588235297</v>
      </c>
      <c r="K155" s="63">
        <v>7.2368421052631582E-2</v>
      </c>
      <c r="L155" s="63">
        <v>0.2563059397884459</v>
      </c>
      <c r="M155" s="63">
        <v>0.23026851098454026</v>
      </c>
      <c r="N155" s="63">
        <v>0.55555555555555558</v>
      </c>
      <c r="O155" s="63">
        <v>0.4204946996466431</v>
      </c>
      <c r="P155" s="63">
        <v>0.45772594752186591</v>
      </c>
    </row>
    <row r="156" spans="1:16" x14ac:dyDescent="0.45">
      <c r="A156" s="65">
        <v>153</v>
      </c>
      <c r="B156" s="62">
        <v>-24.699999999999982</v>
      </c>
      <c r="C156" s="62">
        <v>-0.1614379084967319</v>
      </c>
      <c r="D156" s="67">
        <v>2.0392156862745097</v>
      </c>
      <c r="E156" s="63">
        <v>0.25490196078431371</v>
      </c>
      <c r="F156" s="63">
        <v>0.29411764705882354</v>
      </c>
      <c r="G156" s="63">
        <v>0.27938808373590984</v>
      </c>
      <c r="H156" s="63">
        <v>0.13687600644122383</v>
      </c>
      <c r="I156" s="64">
        <v>8470.8933717579257</v>
      </c>
      <c r="J156" s="64">
        <v>-7117.6470588235297</v>
      </c>
      <c r="K156" s="63">
        <v>7.1895424836601302E-2</v>
      </c>
      <c r="L156" s="63">
        <v>0.25764895330112719</v>
      </c>
      <c r="M156" s="63">
        <v>0.22866344605475039</v>
      </c>
      <c r="N156" s="63">
        <v>0.55312499999999998</v>
      </c>
      <c r="O156" s="63">
        <v>0.41901408450704225</v>
      </c>
      <c r="P156" s="63">
        <v>0.45821325648414984</v>
      </c>
    </row>
    <row r="157" spans="1:16" x14ac:dyDescent="0.45">
      <c r="A157" s="65">
        <v>154</v>
      </c>
      <c r="B157" s="62">
        <v>-71.199999999999989</v>
      </c>
      <c r="C157" s="62">
        <v>-0.46233766233766227</v>
      </c>
      <c r="D157" s="67">
        <v>2.0454545454545454</v>
      </c>
      <c r="E157" s="63">
        <v>0.25324675324675322</v>
      </c>
      <c r="F157" s="63">
        <v>0.29870129870129869</v>
      </c>
      <c r="G157" s="63">
        <v>0.27817745803357313</v>
      </c>
      <c r="H157" s="63">
        <v>0.13828936850519585</v>
      </c>
      <c r="I157" s="64">
        <v>8463.7931034482754</v>
      </c>
      <c r="J157" s="64">
        <v>-7154.3352601156066</v>
      </c>
      <c r="K157" s="63">
        <v>7.792207792207792E-2</v>
      </c>
      <c r="L157" s="63">
        <v>0.25659472422062352</v>
      </c>
      <c r="M157" s="63">
        <v>0.22861710631494805</v>
      </c>
      <c r="N157" s="63">
        <v>0.55140186915887845</v>
      </c>
      <c r="O157" s="63">
        <v>0.41958041958041958</v>
      </c>
      <c r="P157" s="63">
        <v>0.45977011494252873</v>
      </c>
    </row>
    <row r="158" spans="1:16" x14ac:dyDescent="0.45">
      <c r="A158" s="65">
        <v>155</v>
      </c>
      <c r="B158" s="62">
        <v>-71.199999999999989</v>
      </c>
      <c r="C158" s="62">
        <v>-0.45935483870967736</v>
      </c>
      <c r="D158" s="67">
        <v>2.0387096774193547</v>
      </c>
      <c r="E158" s="63">
        <v>0.25806451612903225</v>
      </c>
      <c r="F158" s="63">
        <v>0.29677419354838708</v>
      </c>
      <c r="G158" s="63">
        <v>0.27817745803357313</v>
      </c>
      <c r="H158" s="63">
        <v>0.13828936850519585</v>
      </c>
      <c r="I158" s="64">
        <v>8463.7931034482754</v>
      </c>
      <c r="J158" s="64">
        <v>-7154.3352601156066</v>
      </c>
      <c r="K158" s="63">
        <v>7.7419354838709681E-2</v>
      </c>
      <c r="L158" s="63">
        <v>0.25659472422062352</v>
      </c>
      <c r="M158" s="63">
        <v>0.22861710631494805</v>
      </c>
      <c r="N158" s="63">
        <v>0.55140186915887845</v>
      </c>
      <c r="O158" s="63">
        <v>0.41958041958041958</v>
      </c>
      <c r="P158" s="63">
        <v>0.45977011494252873</v>
      </c>
    </row>
    <row r="159" spans="1:16" x14ac:dyDescent="0.45">
      <c r="A159" s="65">
        <v>156</v>
      </c>
      <c r="B159" s="62">
        <v>-116.69999999999999</v>
      </c>
      <c r="C159" s="62">
        <v>-0.74807692307692297</v>
      </c>
      <c r="D159" s="67">
        <v>2.0448717948717947</v>
      </c>
      <c r="E159" s="63">
        <v>0.25641025641025639</v>
      </c>
      <c r="F159" s="63">
        <v>0.30128205128205127</v>
      </c>
      <c r="G159" s="63">
        <v>0.27662957074721778</v>
      </c>
      <c r="H159" s="63">
        <v>0.13990461049284578</v>
      </c>
      <c r="I159" s="64">
        <v>8463.7931034482754</v>
      </c>
      <c r="J159" s="64">
        <v>-7214.204545454545</v>
      </c>
      <c r="K159" s="63">
        <v>8.3333333333333329E-2</v>
      </c>
      <c r="L159" s="63">
        <v>0.2559618441971383</v>
      </c>
      <c r="M159" s="63">
        <v>0.22813990461049286</v>
      </c>
      <c r="N159" s="63">
        <v>0.5496894409937888</v>
      </c>
      <c r="O159" s="63">
        <v>0.41811846689895471</v>
      </c>
      <c r="P159" s="63">
        <v>0.45977011494252873</v>
      </c>
    </row>
    <row r="160" spans="1:16" x14ac:dyDescent="0.45">
      <c r="A160" s="65">
        <v>157</v>
      </c>
      <c r="B160" s="62">
        <v>-82.1</v>
      </c>
      <c r="C160" s="62">
        <v>-0.52292993630573248</v>
      </c>
      <c r="D160" s="67">
        <v>2.0382165605095541</v>
      </c>
      <c r="E160" s="63">
        <v>0.26114649681528662</v>
      </c>
      <c r="F160" s="63">
        <v>0.29936305732484075</v>
      </c>
      <c r="G160" s="63">
        <v>0.27733755942947702</v>
      </c>
      <c r="H160" s="63">
        <v>0.14025356576862125</v>
      </c>
      <c r="I160" s="64">
        <v>8511.1428571428569</v>
      </c>
      <c r="J160" s="64">
        <v>-7195.4802259887001</v>
      </c>
      <c r="K160" s="63">
        <v>8.2802547770700632E-2</v>
      </c>
      <c r="L160" s="63">
        <v>0.25594294770206022</v>
      </c>
      <c r="M160" s="63">
        <v>0.22741679873217116</v>
      </c>
      <c r="N160" s="63">
        <v>0.54798761609907121</v>
      </c>
      <c r="O160" s="63">
        <v>0.41811846689895471</v>
      </c>
      <c r="P160" s="63">
        <v>0.46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FF06-40CB-427F-9AEF-BAB1283489B3}">
  <sheetPr codeName="Sheet16"/>
  <dimension ref="A1:Q15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5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5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5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5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5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5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5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5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5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5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5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5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5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  <row r="134" spans="1:16" x14ac:dyDescent="0.45">
      <c r="A134" s="65">
        <v>131</v>
      </c>
      <c r="B134" s="62">
        <v>465.20000000000039</v>
      </c>
      <c r="C134" s="62">
        <v>3.5511450381679417</v>
      </c>
      <c r="D134" s="67">
        <v>1.9312977099236641</v>
      </c>
      <c r="E134" s="63">
        <v>0.39694656488549618</v>
      </c>
      <c r="F134" s="63">
        <v>0.3282442748091603</v>
      </c>
      <c r="G134" s="63">
        <v>0.27417840375586855</v>
      </c>
      <c r="H134" s="63">
        <v>0.17183098591549295</v>
      </c>
      <c r="I134" s="64">
        <v>10798.630136986301</v>
      </c>
      <c r="J134" s="64">
        <v>-8065.0273224043713</v>
      </c>
      <c r="K134" s="63">
        <v>0.12213740458015267</v>
      </c>
      <c r="L134" s="63">
        <v>0.30234741784037561</v>
      </c>
      <c r="M134" s="63">
        <v>0.18497652582159624</v>
      </c>
      <c r="N134" s="63">
        <v>0.5496894409937888</v>
      </c>
      <c r="O134" s="63">
        <v>0.38071065989847713</v>
      </c>
      <c r="P134" s="63">
        <v>0.51369863013698636</v>
      </c>
    </row>
    <row r="135" spans="1:16" x14ac:dyDescent="0.45">
      <c r="A135" s="65">
        <v>132</v>
      </c>
      <c r="B135" s="62">
        <v>452.20000000000039</v>
      </c>
      <c r="C135" s="62">
        <v>3.4257575757575789</v>
      </c>
      <c r="D135" s="67">
        <v>1.9318181818181819</v>
      </c>
      <c r="E135" s="63">
        <v>0.39393939393939392</v>
      </c>
      <c r="F135" s="63">
        <v>0.32575757575757575</v>
      </c>
      <c r="G135" s="63">
        <v>0.27255813953488373</v>
      </c>
      <c r="H135" s="63">
        <v>0.17209302325581396</v>
      </c>
      <c r="I135" s="64">
        <v>10816.382252559726</v>
      </c>
      <c r="J135" s="64">
        <v>-8040.5405405405409</v>
      </c>
      <c r="K135" s="63">
        <v>0.12121212121212122</v>
      </c>
      <c r="L135" s="63">
        <v>0.30139534883720931</v>
      </c>
      <c r="M135" s="63">
        <v>0.18511627906976744</v>
      </c>
      <c r="N135" s="63">
        <v>0.54938271604938271</v>
      </c>
      <c r="O135" s="63">
        <v>0.37688442211055279</v>
      </c>
      <c r="P135" s="63">
        <v>0.51194539249146753</v>
      </c>
    </row>
    <row r="136" spans="1:16" x14ac:dyDescent="0.45">
      <c r="A136" s="65">
        <v>133</v>
      </c>
      <c r="B136" s="62">
        <v>512.90000000000043</v>
      </c>
      <c r="C136" s="62">
        <v>3.8563909774436125</v>
      </c>
      <c r="D136" s="67">
        <v>1.9248120300751879</v>
      </c>
      <c r="E136" s="63">
        <v>0.39849624060150374</v>
      </c>
      <c r="F136" s="63">
        <v>0.32330827067669171</v>
      </c>
      <c r="G136" s="63">
        <v>0.27331486611265005</v>
      </c>
      <c r="H136" s="63">
        <v>0.17359187442289936</v>
      </c>
      <c r="I136" s="64">
        <v>10950</v>
      </c>
      <c r="J136" s="64">
        <v>-7993.6170212765956</v>
      </c>
      <c r="K136" s="63">
        <v>0.12030075187969924</v>
      </c>
      <c r="L136" s="63">
        <v>0.30009233610341646</v>
      </c>
      <c r="M136" s="63">
        <v>0.18374884579870729</v>
      </c>
      <c r="N136" s="63">
        <v>0.55076923076923079</v>
      </c>
      <c r="O136" s="63">
        <v>0.37688442211055279</v>
      </c>
      <c r="P136" s="63">
        <v>0.51351351351351349</v>
      </c>
    </row>
    <row r="137" spans="1:16" x14ac:dyDescent="0.45">
      <c r="A137" s="65">
        <v>134</v>
      </c>
      <c r="B137" s="62">
        <v>544.10000000000048</v>
      </c>
      <c r="C137" s="62">
        <v>4.0604477611940331</v>
      </c>
      <c r="D137" s="67">
        <v>1.9179104477611941</v>
      </c>
      <c r="E137" s="63">
        <v>0.40298507462686567</v>
      </c>
      <c r="F137" s="63">
        <v>0.32089552238805968</v>
      </c>
      <c r="G137" s="63">
        <v>0.27422303473491771</v>
      </c>
      <c r="H137" s="63">
        <v>0.17367458866544791</v>
      </c>
      <c r="I137" s="64">
        <v>10948</v>
      </c>
      <c r="J137" s="64">
        <v>-7993.6842105263158</v>
      </c>
      <c r="K137" s="63">
        <v>0.11940298507462686</v>
      </c>
      <c r="L137" s="63">
        <v>0.29981718464351004</v>
      </c>
      <c r="M137" s="63">
        <v>0.18190127970749542</v>
      </c>
      <c r="N137" s="63">
        <v>0.54878048780487809</v>
      </c>
      <c r="O137" s="63">
        <v>0.37688442211055279</v>
      </c>
      <c r="P137" s="63">
        <v>0.51</v>
      </c>
    </row>
    <row r="138" spans="1:16" x14ac:dyDescent="0.45">
      <c r="A138" s="65">
        <v>135</v>
      </c>
      <c r="B138" s="62">
        <v>548.60000000000048</v>
      </c>
      <c r="C138" s="62">
        <v>4.0637037037037071</v>
      </c>
      <c r="D138" s="67">
        <v>1.9185185185185185</v>
      </c>
      <c r="E138" s="63">
        <v>0.4</v>
      </c>
      <c r="F138" s="63">
        <v>0.31851851851851853</v>
      </c>
      <c r="G138" s="63">
        <v>0.27445652173913043</v>
      </c>
      <c r="H138" s="63">
        <v>0.17481884057971014</v>
      </c>
      <c r="I138" s="64">
        <v>10919.141914191419</v>
      </c>
      <c r="J138" s="64">
        <v>-7965.8031088082898</v>
      </c>
      <c r="K138" s="63">
        <v>0.11851851851851852</v>
      </c>
      <c r="L138" s="63">
        <v>0.29891304347826086</v>
      </c>
      <c r="M138" s="63">
        <v>0.18115942028985507</v>
      </c>
      <c r="N138" s="63">
        <v>0.54848484848484846</v>
      </c>
      <c r="O138" s="63">
        <v>0.375</v>
      </c>
      <c r="P138" s="63">
        <v>0.5082508250825083</v>
      </c>
    </row>
    <row r="139" spans="1:16" x14ac:dyDescent="0.45">
      <c r="A139" s="65">
        <v>136</v>
      </c>
      <c r="B139" s="62">
        <v>555.10000000000048</v>
      </c>
      <c r="C139" s="62">
        <v>4.0816176470588275</v>
      </c>
      <c r="D139" s="67">
        <v>1.9191176470588236</v>
      </c>
      <c r="E139" s="63">
        <v>0.39705882352941174</v>
      </c>
      <c r="F139" s="63">
        <v>0.31617647058823528</v>
      </c>
      <c r="G139" s="63">
        <v>0.27387387387387385</v>
      </c>
      <c r="H139" s="63">
        <v>0.17387387387387387</v>
      </c>
      <c r="I139" s="64">
        <v>10935.855263157895</v>
      </c>
      <c r="J139" s="64">
        <v>-7965.8031088082898</v>
      </c>
      <c r="K139" s="63">
        <v>0.11764705882352941</v>
      </c>
      <c r="L139" s="63">
        <v>0.29819819819819821</v>
      </c>
      <c r="M139" s="63">
        <v>0.18108108108108109</v>
      </c>
      <c r="N139" s="63">
        <v>0.54682779456193353</v>
      </c>
      <c r="O139" s="63">
        <v>0.37313432835820898</v>
      </c>
      <c r="P139" s="63">
        <v>0.50986842105263153</v>
      </c>
    </row>
    <row r="140" spans="1:16" x14ac:dyDescent="0.45">
      <c r="A140" s="65">
        <v>137</v>
      </c>
      <c r="B140" s="62">
        <v>588.50000000000045</v>
      </c>
      <c r="C140" s="62">
        <v>4.2956204379562077</v>
      </c>
      <c r="D140" s="67">
        <v>1.9124087591240877</v>
      </c>
      <c r="E140" s="63">
        <v>0.40145985401459855</v>
      </c>
      <c r="F140" s="63">
        <v>0.31386861313868614</v>
      </c>
      <c r="G140" s="63">
        <v>0.27370304114490163</v>
      </c>
      <c r="H140" s="63">
        <v>0.1744186046511628</v>
      </c>
      <c r="I140" s="64">
        <v>10949.346405228758</v>
      </c>
      <c r="J140" s="64">
        <v>-7916.4102564102568</v>
      </c>
      <c r="K140" s="63">
        <v>0.11678832116788321</v>
      </c>
      <c r="L140" s="63">
        <v>0.29785330948121647</v>
      </c>
      <c r="M140" s="63">
        <v>0.18067978533094811</v>
      </c>
      <c r="N140" s="63">
        <v>0.5495495495495496</v>
      </c>
      <c r="O140" s="63">
        <v>0.37128712871287128</v>
      </c>
      <c r="P140" s="63">
        <v>0.50980392156862742</v>
      </c>
    </row>
    <row r="141" spans="1:16" x14ac:dyDescent="0.45">
      <c r="A141" s="65">
        <v>138</v>
      </c>
      <c r="B141" s="62">
        <v>556.7000000000005</v>
      </c>
      <c r="C141" s="62">
        <v>4.0340579710144961</v>
      </c>
      <c r="D141" s="67">
        <v>1.9202898550724639</v>
      </c>
      <c r="E141" s="63">
        <v>0.39855072463768115</v>
      </c>
      <c r="F141" s="63">
        <v>0.3188405797101449</v>
      </c>
      <c r="G141" s="63">
        <v>0.27200000000000002</v>
      </c>
      <c r="H141" s="63">
        <v>0.17422222222222222</v>
      </c>
      <c r="I141" s="64">
        <v>10949.346405228758</v>
      </c>
      <c r="J141" s="64">
        <v>-7937.2448979591836</v>
      </c>
      <c r="K141" s="63">
        <v>0.11594202898550725</v>
      </c>
      <c r="L141" s="63">
        <v>0.29599999999999999</v>
      </c>
      <c r="M141" s="63">
        <v>0.18133333333333335</v>
      </c>
      <c r="N141" s="63">
        <v>0.5495495495495496</v>
      </c>
      <c r="O141" s="63">
        <v>0.36764705882352944</v>
      </c>
      <c r="P141" s="63">
        <v>0.50980392156862742</v>
      </c>
    </row>
    <row r="142" spans="1:16" x14ac:dyDescent="0.45">
      <c r="A142" s="65">
        <v>139</v>
      </c>
      <c r="B142" s="62">
        <v>581.90000000000055</v>
      </c>
      <c r="C142" s="62">
        <v>4.1863309352518021</v>
      </c>
      <c r="D142" s="67">
        <v>1.9136690647482015</v>
      </c>
      <c r="E142" s="63">
        <v>0.40287769784172661</v>
      </c>
      <c r="F142" s="63">
        <v>0.31654676258992803</v>
      </c>
      <c r="G142" s="63">
        <v>0.27208480565371024</v>
      </c>
      <c r="H142" s="63">
        <v>0.17402826855123674</v>
      </c>
      <c r="I142" s="64">
        <v>10969.155844155845</v>
      </c>
      <c r="J142" s="64">
        <v>-7926.3959390862947</v>
      </c>
      <c r="K142" s="63">
        <v>0.11510791366906475</v>
      </c>
      <c r="L142" s="63">
        <v>0.29593639575971731</v>
      </c>
      <c r="M142" s="63">
        <v>0.18197879858657243</v>
      </c>
      <c r="N142" s="63">
        <v>0.54925373134328359</v>
      </c>
      <c r="O142" s="63">
        <v>0.36893203883495146</v>
      </c>
      <c r="P142" s="63">
        <v>0.51298701298701299</v>
      </c>
    </row>
    <row r="143" spans="1:16" x14ac:dyDescent="0.45">
      <c r="A143" s="65">
        <v>140</v>
      </c>
      <c r="B143" s="62">
        <v>587.90000000000055</v>
      </c>
      <c r="C143" s="62">
        <v>4.1992857142857183</v>
      </c>
      <c r="D143" s="67">
        <v>1.9142857142857144</v>
      </c>
      <c r="E143" s="63">
        <v>0.4</v>
      </c>
      <c r="F143" s="63">
        <v>0.31428571428571428</v>
      </c>
      <c r="G143" s="63">
        <v>0.27192982456140352</v>
      </c>
      <c r="H143" s="63">
        <v>0.1736842105263158</v>
      </c>
      <c r="I143" s="64">
        <v>11027.41935483871</v>
      </c>
      <c r="J143" s="64">
        <v>-7946.969696969697</v>
      </c>
      <c r="K143" s="63">
        <v>0.11428571428571428</v>
      </c>
      <c r="L143" s="63">
        <v>0.29736842105263156</v>
      </c>
      <c r="M143" s="63">
        <v>0.18245614035087721</v>
      </c>
      <c r="N143" s="63">
        <v>0.54867256637168138</v>
      </c>
      <c r="O143" s="63">
        <v>0.36538461538461536</v>
      </c>
      <c r="P143" s="63">
        <v>0.5161290322580645</v>
      </c>
    </row>
    <row r="144" spans="1:16" x14ac:dyDescent="0.45">
      <c r="A144" s="65">
        <v>141</v>
      </c>
      <c r="B144" s="62">
        <v>534.90000000000055</v>
      </c>
      <c r="C144" s="62">
        <v>3.7936170212765998</v>
      </c>
      <c r="D144" s="67">
        <v>1.9219858156028369</v>
      </c>
      <c r="E144" s="63">
        <v>0.3971631205673759</v>
      </c>
      <c r="F144" s="63">
        <v>0.31914893617021278</v>
      </c>
      <c r="G144" s="63">
        <v>0.27097902097902099</v>
      </c>
      <c r="H144" s="63">
        <v>0.17482517482517482</v>
      </c>
      <c r="I144" s="64">
        <v>11027.41935483871</v>
      </c>
      <c r="J144" s="64">
        <v>-8017.5</v>
      </c>
      <c r="K144" s="63">
        <v>0.12056737588652482</v>
      </c>
      <c r="L144" s="63">
        <v>0.29720279720279719</v>
      </c>
      <c r="M144" s="63">
        <v>0.18269230769230768</v>
      </c>
      <c r="N144" s="63">
        <v>0.54705882352941182</v>
      </c>
      <c r="O144" s="63">
        <v>0.36363636363636365</v>
      </c>
      <c r="P144" s="63">
        <v>0.5161290322580645</v>
      </c>
    </row>
    <row r="145" spans="1:16" x14ac:dyDescent="0.45">
      <c r="A145" s="65">
        <v>142</v>
      </c>
      <c r="B145" s="62">
        <v>551.50000000000057</v>
      </c>
      <c r="C145" s="62">
        <v>3.8838028169014125</v>
      </c>
      <c r="D145" s="67">
        <v>1.9225352112676057</v>
      </c>
      <c r="E145" s="63">
        <v>0.39436619718309857</v>
      </c>
      <c r="F145" s="63">
        <v>0.31690140845070425</v>
      </c>
      <c r="G145" s="63">
        <v>0.27146574154379877</v>
      </c>
      <c r="H145" s="63">
        <v>0.17519514310494363</v>
      </c>
      <c r="I145" s="64">
        <v>11062.300319488819</v>
      </c>
      <c r="J145" s="64">
        <v>-8076.2376237623766</v>
      </c>
      <c r="K145" s="63">
        <v>0.11971830985915492</v>
      </c>
      <c r="L145" s="63">
        <v>0.29835212489158719</v>
      </c>
      <c r="M145" s="63">
        <v>0.18300086730268864</v>
      </c>
      <c r="N145" s="63">
        <v>0.54360465116279066</v>
      </c>
      <c r="O145" s="63">
        <v>0.36966824644549762</v>
      </c>
      <c r="P145" s="63">
        <v>0.51757188498402551</v>
      </c>
    </row>
    <row r="146" spans="1:16" x14ac:dyDescent="0.45">
      <c r="A146" s="65">
        <v>143</v>
      </c>
      <c r="B146" s="62">
        <v>528.30000000000052</v>
      </c>
      <c r="C146" s="62">
        <v>3.6944055944055982</v>
      </c>
      <c r="D146" s="67">
        <v>1.93006993006993</v>
      </c>
      <c r="E146" s="63">
        <v>0.39160839160839161</v>
      </c>
      <c r="F146" s="63">
        <v>0.32167832167832167</v>
      </c>
      <c r="G146" s="63">
        <v>0.27155172413793105</v>
      </c>
      <c r="H146" s="63">
        <v>0.17413793103448275</v>
      </c>
      <c r="I146" s="64">
        <v>11036.825396825398</v>
      </c>
      <c r="J146" s="64">
        <v>-8076.2376237623766</v>
      </c>
      <c r="K146" s="63">
        <v>0.11888111888111888</v>
      </c>
      <c r="L146" s="63">
        <v>0.29913793103448277</v>
      </c>
      <c r="M146" s="63">
        <v>0.18362068965517242</v>
      </c>
      <c r="N146" s="63">
        <v>0.5417867435158501</v>
      </c>
      <c r="O146" s="63">
        <v>0.37089201877934275</v>
      </c>
      <c r="P146" s="63">
        <v>0.51746031746031751</v>
      </c>
    </row>
    <row r="147" spans="1:16" x14ac:dyDescent="0.45">
      <c r="A147" s="65">
        <v>144</v>
      </c>
      <c r="B147" s="62">
        <v>480.90000000000055</v>
      </c>
      <c r="C147" s="62">
        <v>3.3395833333333371</v>
      </c>
      <c r="D147" s="67">
        <v>1.9375</v>
      </c>
      <c r="E147" s="63">
        <v>0.3888888888888889</v>
      </c>
      <c r="F147" s="63">
        <v>0.3263888888888889</v>
      </c>
      <c r="G147" s="63">
        <v>0.27163667523564694</v>
      </c>
      <c r="H147" s="63">
        <v>0.17395029991431019</v>
      </c>
      <c r="I147" s="64">
        <v>11041.640378548896</v>
      </c>
      <c r="J147" s="64">
        <v>-8272.9064039408859</v>
      </c>
      <c r="K147" s="63">
        <v>0.125</v>
      </c>
      <c r="L147" s="63">
        <v>0.29820051413881749</v>
      </c>
      <c r="M147" s="63">
        <v>0.18337617823479005</v>
      </c>
      <c r="N147" s="63">
        <v>0.54022988505747127</v>
      </c>
      <c r="O147" s="63">
        <v>0.37383177570093457</v>
      </c>
      <c r="P147" s="63">
        <v>0.51419558359621453</v>
      </c>
    </row>
    <row r="148" spans="1:16" x14ac:dyDescent="0.45">
      <c r="A148" s="65">
        <v>145</v>
      </c>
      <c r="B148" s="62">
        <v>496.00000000000057</v>
      </c>
      <c r="C148" s="62">
        <v>3.4206896551724175</v>
      </c>
      <c r="D148" s="67">
        <v>1.9379310344827587</v>
      </c>
      <c r="E148" s="63">
        <v>0.38620689655172413</v>
      </c>
      <c r="F148" s="63">
        <v>0.32413793103448274</v>
      </c>
      <c r="G148" s="63">
        <v>0.27257240204429301</v>
      </c>
      <c r="H148" s="63">
        <v>0.17461669505962521</v>
      </c>
      <c r="I148" s="64">
        <v>11038.125</v>
      </c>
      <c r="J148" s="64">
        <v>-8269.7560975609758</v>
      </c>
      <c r="K148" s="63">
        <v>0.12413793103448276</v>
      </c>
      <c r="L148" s="63">
        <v>0.29727427597955708</v>
      </c>
      <c r="M148" s="63">
        <v>0.18483816013628621</v>
      </c>
      <c r="N148" s="63">
        <v>0.5386819484240688</v>
      </c>
      <c r="O148" s="63">
        <v>0.38248847926267282</v>
      </c>
      <c r="P148" s="63">
        <v>0.50937500000000002</v>
      </c>
    </row>
    <row r="149" spans="1:16" x14ac:dyDescent="0.45">
      <c r="A149" s="65">
        <v>146</v>
      </c>
      <c r="B149" s="62">
        <v>449.90000000000055</v>
      </c>
      <c r="C149" s="62">
        <v>3.0815068493150721</v>
      </c>
      <c r="D149" s="67">
        <v>1.9452054794520548</v>
      </c>
      <c r="E149" s="63">
        <v>0.38356164383561642</v>
      </c>
      <c r="F149" s="63">
        <v>0.32876712328767121</v>
      </c>
      <c r="G149" s="63">
        <v>0.27164685908319186</v>
      </c>
      <c r="H149" s="63">
        <v>0.17487266553480477</v>
      </c>
      <c r="I149" s="64">
        <v>11038.125</v>
      </c>
      <c r="J149" s="64">
        <v>-8384.9514563106804</v>
      </c>
      <c r="K149" s="63">
        <v>0.13013698630136986</v>
      </c>
      <c r="L149" s="63">
        <v>0.29626485568760613</v>
      </c>
      <c r="M149" s="63">
        <v>0.18421052631578946</v>
      </c>
      <c r="N149" s="63">
        <v>0.5386819484240688</v>
      </c>
      <c r="O149" s="63">
        <v>0.38248847926267282</v>
      </c>
      <c r="P149" s="63">
        <v>0.50937500000000002</v>
      </c>
    </row>
    <row r="150" spans="1:16" x14ac:dyDescent="0.45">
      <c r="A150" s="65">
        <v>147</v>
      </c>
      <c r="B150" s="62">
        <v>524.00000000000057</v>
      </c>
      <c r="C150" s="62">
        <v>3.56462585034014</v>
      </c>
      <c r="D150" s="67">
        <v>1.9387755102040816</v>
      </c>
      <c r="E150" s="63">
        <v>0.38775510204081631</v>
      </c>
      <c r="F150" s="63">
        <v>0.32653061224489793</v>
      </c>
      <c r="G150" s="63">
        <v>0.27387996618765847</v>
      </c>
      <c r="H150" s="63">
        <v>0.17413355874894337</v>
      </c>
      <c r="I150" s="64">
        <v>11087.037037037036</v>
      </c>
      <c r="J150" s="64">
        <v>-8384.9514563106804</v>
      </c>
      <c r="K150" s="63">
        <v>0.12925170068027211</v>
      </c>
      <c r="L150" s="63">
        <v>0.2967032967032967</v>
      </c>
      <c r="M150" s="63">
        <v>0.18427726120033813</v>
      </c>
      <c r="N150" s="63">
        <v>0.54131054131054135</v>
      </c>
      <c r="O150" s="63">
        <v>0.38532110091743121</v>
      </c>
      <c r="P150" s="63">
        <v>0.51543209876543206</v>
      </c>
    </row>
    <row r="151" spans="1:16" x14ac:dyDescent="0.45">
      <c r="A151" s="65">
        <v>148</v>
      </c>
      <c r="B151" s="62">
        <v>514.50000000000057</v>
      </c>
      <c r="C151" s="62">
        <v>3.4763513513513553</v>
      </c>
      <c r="D151" s="67">
        <v>1.9391891891891893</v>
      </c>
      <c r="E151" s="63">
        <v>0.38513513513513514</v>
      </c>
      <c r="F151" s="63">
        <v>0.32432432432432434</v>
      </c>
      <c r="G151" s="63">
        <v>0.27318718381112983</v>
      </c>
      <c r="H151" s="63">
        <v>0.17369308600337269</v>
      </c>
      <c r="I151" s="64">
        <v>11087.037037037036</v>
      </c>
      <c r="J151" s="64">
        <v>-8384.9514563106804</v>
      </c>
      <c r="K151" s="63">
        <v>0.12837837837837837</v>
      </c>
      <c r="L151" s="63">
        <v>0.29595278246205736</v>
      </c>
      <c r="M151" s="63">
        <v>0.18465430016863407</v>
      </c>
      <c r="N151" s="63">
        <v>0.54131054131054135</v>
      </c>
      <c r="O151" s="63">
        <v>0.38356164383561642</v>
      </c>
      <c r="P151" s="63">
        <v>0.51543209876543206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6FB7-C609-4FE7-A9AA-3C32C742438A}">
  <sheetPr codeName="Sheet14"/>
  <dimension ref="A1:Q10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5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5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 x14ac:dyDescent="0.45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  <row r="102" spans="1:16" x14ac:dyDescent="0.45">
      <c r="A102" s="65">
        <v>99</v>
      </c>
      <c r="B102" s="62">
        <v>-707.4</v>
      </c>
      <c r="C102" s="62">
        <v>-7.1454545454545455</v>
      </c>
      <c r="D102" s="67">
        <v>2.1818181818181817</v>
      </c>
      <c r="E102" s="63">
        <v>0.21212121212121213</v>
      </c>
      <c r="F102" s="63">
        <v>0.39393939393939392</v>
      </c>
      <c r="G102" s="63">
        <v>0.26846424384525203</v>
      </c>
      <c r="H102" s="63">
        <v>0.1817116060961313</v>
      </c>
      <c r="I102" s="64">
        <v>7835.8078602620089</v>
      </c>
      <c r="J102" s="64">
        <v>-7840.6451612903229</v>
      </c>
      <c r="K102" s="63">
        <v>7.0707070707070704E-2</v>
      </c>
      <c r="L102" s="63">
        <v>0.27549824150058616</v>
      </c>
      <c r="M102" s="63">
        <v>0.1910902696365768</v>
      </c>
      <c r="N102" s="63">
        <v>0.54042553191489362</v>
      </c>
      <c r="O102" s="63">
        <v>0.41104294478527609</v>
      </c>
      <c r="P102" s="63">
        <v>0.46724890829694321</v>
      </c>
    </row>
    <row r="103" spans="1:16" x14ac:dyDescent="0.45">
      <c r="A103" s="65">
        <v>100</v>
      </c>
      <c r="B103" s="62">
        <v>-752.69999999999993</v>
      </c>
      <c r="C103" s="62">
        <v>-7.5269999999999992</v>
      </c>
      <c r="D103" s="67">
        <v>2.19</v>
      </c>
      <c r="E103" s="63">
        <v>0.21</v>
      </c>
      <c r="F103" s="63">
        <v>0.4</v>
      </c>
      <c r="G103" s="63">
        <v>0.26535341830822712</v>
      </c>
      <c r="H103" s="63">
        <v>0.18308227114716108</v>
      </c>
      <c r="I103" s="64">
        <v>7835.8078602620089</v>
      </c>
      <c r="J103" s="64">
        <v>-7813.9240506329115</v>
      </c>
      <c r="K103" s="63">
        <v>0.08</v>
      </c>
      <c r="L103" s="63">
        <v>0.27346465816917731</v>
      </c>
      <c r="M103" s="63">
        <v>0.19119351100811124</v>
      </c>
      <c r="N103" s="63">
        <v>0.53813559322033899</v>
      </c>
      <c r="O103" s="63">
        <v>0.40606060606060607</v>
      </c>
      <c r="P103" s="63">
        <v>0.46724890829694321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3075A-1E4B-47D6-8F20-D4270AEB21DA}">
  <sheetPr codeName="Sheet12"/>
  <dimension ref="A1:Q18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5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5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5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5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5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5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5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5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5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5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5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 x14ac:dyDescent="0.45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  <row r="162" spans="1:16" x14ac:dyDescent="0.45">
      <c r="A162" s="65">
        <v>159</v>
      </c>
      <c r="B162" s="62">
        <v>18.399999999999817</v>
      </c>
      <c r="C162" s="62">
        <v>0.11572327044025042</v>
      </c>
      <c r="D162" s="67">
        <v>1.9748427672955975</v>
      </c>
      <c r="E162" s="63">
        <v>0.33962264150943394</v>
      </c>
      <c r="F162" s="63">
        <v>0.31446540880503143</v>
      </c>
      <c r="G162" s="63">
        <v>0.30769230769230771</v>
      </c>
      <c r="H162" s="63">
        <v>0.18099547511312217</v>
      </c>
      <c r="I162" s="64">
        <v>8131.1274509803925</v>
      </c>
      <c r="J162" s="64">
        <v>-7864.166666666667</v>
      </c>
      <c r="K162" s="63">
        <v>0.11320754716981132</v>
      </c>
      <c r="L162" s="63">
        <v>0.2368024132730015</v>
      </c>
      <c r="M162" s="63">
        <v>0.30015082956259426</v>
      </c>
      <c r="N162" s="63">
        <v>0.51273885350318471</v>
      </c>
      <c r="O162" s="63">
        <v>0.37688442211055279</v>
      </c>
      <c r="P162" s="63">
        <v>0.41176470588235292</v>
      </c>
    </row>
    <row r="163" spans="1:16" x14ac:dyDescent="0.45">
      <c r="A163" s="65">
        <v>160</v>
      </c>
      <c r="B163" s="62">
        <v>-25.600000000000183</v>
      </c>
      <c r="C163" s="62">
        <v>-0.16000000000000114</v>
      </c>
      <c r="D163" s="67">
        <v>1.98125</v>
      </c>
      <c r="E163" s="63">
        <v>0.33750000000000002</v>
      </c>
      <c r="F163" s="63">
        <v>0.31874999999999998</v>
      </c>
      <c r="G163" s="63">
        <v>0.30757689422355589</v>
      </c>
      <c r="H163" s="63">
        <v>0.18229557389347337</v>
      </c>
      <c r="I163" s="64">
        <v>8116.0975609756097</v>
      </c>
      <c r="J163" s="64">
        <v>-7913.5802469135806</v>
      </c>
      <c r="K163" s="63">
        <v>0.1125</v>
      </c>
      <c r="L163" s="63">
        <v>0.23630907726931732</v>
      </c>
      <c r="M163" s="63">
        <v>0.30082520630157539</v>
      </c>
      <c r="N163" s="63">
        <v>0.51111111111111107</v>
      </c>
      <c r="O163" s="63">
        <v>0.37655860349127179</v>
      </c>
      <c r="P163" s="63">
        <v>0.41463414634146339</v>
      </c>
    </row>
    <row r="164" spans="1:16" x14ac:dyDescent="0.45">
      <c r="A164" s="65">
        <v>161</v>
      </c>
      <c r="B164" s="62">
        <v>-44.500000000000185</v>
      </c>
      <c r="C164" s="62">
        <v>-0.27639751552795144</v>
      </c>
      <c r="D164" s="67">
        <v>1.9813664596273293</v>
      </c>
      <c r="E164" s="63">
        <v>0.33540372670807456</v>
      </c>
      <c r="F164" s="63">
        <v>0.31677018633540371</v>
      </c>
      <c r="G164" s="63">
        <v>0.30843913368185211</v>
      </c>
      <c r="H164" s="63">
        <v>0.18222554144884243</v>
      </c>
      <c r="I164" s="64">
        <v>8083.0508474576272</v>
      </c>
      <c r="J164" s="64">
        <v>-7920.4918032786882</v>
      </c>
      <c r="K164" s="63">
        <v>0.11180124223602485</v>
      </c>
      <c r="L164" s="63">
        <v>0.23599701269604181</v>
      </c>
      <c r="M164" s="63">
        <v>0.30246452576549665</v>
      </c>
      <c r="N164" s="63">
        <v>0.51265822784810122</v>
      </c>
      <c r="O164" s="63">
        <v>0.37777777777777777</v>
      </c>
      <c r="P164" s="63">
        <v>0.41646489104116224</v>
      </c>
    </row>
    <row r="165" spans="1:16" x14ac:dyDescent="0.45">
      <c r="A165" s="65">
        <v>162</v>
      </c>
      <c r="B165" s="62">
        <v>-22.200000000000184</v>
      </c>
      <c r="C165" s="62">
        <v>-0.13703703703703818</v>
      </c>
      <c r="D165" s="67">
        <v>1.9753086419753085</v>
      </c>
      <c r="E165" s="63">
        <v>0.33950617283950618</v>
      </c>
      <c r="F165" s="63">
        <v>0.31481481481481483</v>
      </c>
      <c r="G165" s="63">
        <v>0.30957683741648107</v>
      </c>
      <c r="H165" s="63">
        <v>0.18114328136599853</v>
      </c>
      <c r="I165" s="64">
        <v>8041.9664268585129</v>
      </c>
      <c r="J165" s="64">
        <v>-7920.4918032786882</v>
      </c>
      <c r="K165" s="63">
        <v>0.1111111111111111</v>
      </c>
      <c r="L165" s="63">
        <v>0.23459539717891612</v>
      </c>
      <c r="M165" s="63">
        <v>0.30215293244246472</v>
      </c>
      <c r="N165" s="63">
        <v>0.51265822784810122</v>
      </c>
      <c r="O165" s="63">
        <v>0.3783783783783784</v>
      </c>
      <c r="P165" s="63">
        <v>0.41247002398081534</v>
      </c>
    </row>
    <row r="166" spans="1:16" x14ac:dyDescent="0.45">
      <c r="A166" s="65">
        <v>163</v>
      </c>
      <c r="B166" s="62">
        <v>25.099999999999813</v>
      </c>
      <c r="C166" s="62">
        <v>0.15398773006134855</v>
      </c>
      <c r="D166" s="67">
        <v>1.9693251533742331</v>
      </c>
      <c r="E166" s="63">
        <v>0.34355828220858897</v>
      </c>
      <c r="F166" s="63">
        <v>0.31288343558282211</v>
      </c>
      <c r="G166" s="63">
        <v>0.31093057607090102</v>
      </c>
      <c r="H166" s="63">
        <v>0.18020679468242246</v>
      </c>
      <c r="I166" s="64">
        <v>8038.7173396674589</v>
      </c>
      <c r="J166" s="64">
        <v>-7920.4918032786882</v>
      </c>
      <c r="K166" s="63">
        <v>0.11042944785276074</v>
      </c>
      <c r="L166" s="63">
        <v>0.23338257016248154</v>
      </c>
      <c r="M166" s="63">
        <v>0.30354505169867063</v>
      </c>
      <c r="N166" s="63">
        <v>0.51265822784810122</v>
      </c>
      <c r="O166" s="63">
        <v>0.38199513381995132</v>
      </c>
      <c r="P166" s="63">
        <v>0.41567695961995249</v>
      </c>
    </row>
    <row r="167" spans="1:16" x14ac:dyDescent="0.45">
      <c r="A167" s="65">
        <v>164</v>
      </c>
      <c r="B167" s="62">
        <v>-9.4000000000001869</v>
      </c>
      <c r="C167" s="62">
        <v>-5.7317073170732848E-2</v>
      </c>
      <c r="D167" s="67">
        <v>1.975609756097561</v>
      </c>
      <c r="E167" s="63">
        <v>0.34146341463414637</v>
      </c>
      <c r="F167" s="63">
        <v>0.31707317073170732</v>
      </c>
      <c r="G167" s="63">
        <v>0.30865102639296188</v>
      </c>
      <c r="H167" s="63">
        <v>0.17961876832844575</v>
      </c>
      <c r="I167" s="64">
        <v>8038.7173396674589</v>
      </c>
      <c r="J167" s="64">
        <v>-7920.8163265306121</v>
      </c>
      <c r="K167" s="63">
        <v>0.10975609756097561</v>
      </c>
      <c r="L167" s="63">
        <v>0.23240469208211142</v>
      </c>
      <c r="M167" s="63">
        <v>0.3027859237536657</v>
      </c>
      <c r="N167" s="63">
        <v>0.51104100946372244</v>
      </c>
      <c r="O167" s="63">
        <v>0.38014527845036322</v>
      </c>
      <c r="P167" s="63">
        <v>0.41567695961995249</v>
      </c>
    </row>
    <row r="168" spans="1:16" x14ac:dyDescent="0.45">
      <c r="A168" s="65">
        <v>165</v>
      </c>
      <c r="B168" s="62">
        <v>-48.100000000000193</v>
      </c>
      <c r="C168" s="62">
        <v>-0.29151515151515267</v>
      </c>
      <c r="D168" s="67">
        <v>1.9818181818181819</v>
      </c>
      <c r="E168" s="63">
        <v>0.33939393939393941</v>
      </c>
      <c r="F168" s="63">
        <v>0.32121212121212123</v>
      </c>
      <c r="G168" s="63">
        <v>0.30976676384839652</v>
      </c>
      <c r="H168" s="63">
        <v>0.17930029154518951</v>
      </c>
      <c r="I168" s="64">
        <v>8017.8823529411766</v>
      </c>
      <c r="J168" s="64">
        <v>-8018.6991869918702</v>
      </c>
      <c r="K168" s="63">
        <v>0.10909090909090909</v>
      </c>
      <c r="L168" s="63">
        <v>0.2325072886297376</v>
      </c>
      <c r="M168" s="63">
        <v>0.30320699708454812</v>
      </c>
      <c r="N168" s="63">
        <v>0.51410658307210033</v>
      </c>
      <c r="O168" s="63">
        <v>0.37980769230769229</v>
      </c>
      <c r="P168" s="63">
        <v>0.41411764705882353</v>
      </c>
    </row>
    <row r="169" spans="1:16" x14ac:dyDescent="0.45">
      <c r="A169" s="65">
        <v>166</v>
      </c>
      <c r="B169" s="62">
        <v>-22.900000000000194</v>
      </c>
      <c r="C169" s="62">
        <v>-0.13795180722891684</v>
      </c>
      <c r="D169" s="67">
        <v>1.9759036144578312</v>
      </c>
      <c r="E169" s="63">
        <v>0.34337349397590361</v>
      </c>
      <c r="F169" s="63">
        <v>0.31927710843373491</v>
      </c>
      <c r="G169" s="63">
        <v>0.31059506531204645</v>
      </c>
      <c r="H169" s="63">
        <v>0.17851959361393324</v>
      </c>
      <c r="I169" s="64">
        <v>8027.336448598131</v>
      </c>
      <c r="J169" s="64">
        <v>-8018.6991869918702</v>
      </c>
      <c r="K169" s="63">
        <v>0.10843373493975904</v>
      </c>
      <c r="L169" s="63">
        <v>0.23149492017416545</v>
      </c>
      <c r="M169" s="63">
        <v>0.3026124818577649</v>
      </c>
      <c r="N169" s="63">
        <v>0.51410658307210033</v>
      </c>
      <c r="O169" s="63">
        <v>0.38129496402877699</v>
      </c>
      <c r="P169" s="63">
        <v>0.4135514018691589</v>
      </c>
    </row>
    <row r="170" spans="1:16" x14ac:dyDescent="0.45">
      <c r="A170" s="65">
        <v>167</v>
      </c>
      <c r="B170" s="62">
        <v>-2.8000000000001926</v>
      </c>
      <c r="C170" s="62">
        <v>-1.6766467065869418E-2</v>
      </c>
      <c r="D170" s="67">
        <v>1.9760479041916168</v>
      </c>
      <c r="E170" s="63">
        <v>0.3413173652694611</v>
      </c>
      <c r="F170" s="63">
        <v>0.31736526946107785</v>
      </c>
      <c r="G170" s="63">
        <v>0.31123919308357351</v>
      </c>
      <c r="H170" s="63">
        <v>0.17939481268011528</v>
      </c>
      <c r="I170" s="64">
        <v>8040.0462962962965</v>
      </c>
      <c r="J170" s="64">
        <v>-7984.3373493975905</v>
      </c>
      <c r="K170" s="63">
        <v>0.10778443113772455</v>
      </c>
      <c r="L170" s="63">
        <v>0.2334293948126801</v>
      </c>
      <c r="M170" s="63">
        <v>0.30115273775216139</v>
      </c>
      <c r="N170" s="63">
        <v>0.51543209876543206</v>
      </c>
      <c r="O170" s="63">
        <v>0.38277511961722488</v>
      </c>
      <c r="P170" s="63">
        <v>0.41435185185185186</v>
      </c>
    </row>
    <row r="171" spans="1:16" x14ac:dyDescent="0.45">
      <c r="A171" s="65">
        <v>168</v>
      </c>
      <c r="B171" s="62">
        <v>21.399999999999807</v>
      </c>
      <c r="C171" s="62">
        <v>0.12738095238095123</v>
      </c>
      <c r="D171" s="67">
        <v>1.9702380952380953</v>
      </c>
      <c r="E171" s="63">
        <v>0.34523809523809523</v>
      </c>
      <c r="F171" s="63">
        <v>0.31547619047619047</v>
      </c>
      <c r="G171" s="63">
        <v>0.31254480286738351</v>
      </c>
      <c r="H171" s="63">
        <v>0.17921146953405018</v>
      </c>
      <c r="I171" s="64">
        <v>8005.7339449541287</v>
      </c>
      <c r="J171" s="64">
        <v>-7960.4</v>
      </c>
      <c r="K171" s="63">
        <v>0.10714285714285714</v>
      </c>
      <c r="L171" s="63">
        <v>0.23297491039426524</v>
      </c>
      <c r="M171" s="63">
        <v>0.30035842293906811</v>
      </c>
      <c r="N171" s="63">
        <v>0.51692307692307693</v>
      </c>
      <c r="O171" s="63">
        <v>0.38424821002386633</v>
      </c>
      <c r="P171" s="63">
        <v>0.41513761467889909</v>
      </c>
    </row>
    <row r="172" spans="1:16" x14ac:dyDescent="0.45">
      <c r="A172" s="65">
        <v>169</v>
      </c>
      <c r="B172" s="62">
        <v>20.799999999999805</v>
      </c>
      <c r="C172" s="62">
        <v>0.12307692307692192</v>
      </c>
      <c r="D172" s="67">
        <v>1.970414201183432</v>
      </c>
      <c r="E172" s="63">
        <v>0.34319526627218933</v>
      </c>
      <c r="F172" s="63">
        <v>0.31360946745562129</v>
      </c>
      <c r="G172" s="63">
        <v>0.31383737517831667</v>
      </c>
      <c r="H172" s="63">
        <v>0.1783166904422254</v>
      </c>
      <c r="I172" s="64">
        <v>7976.590909090909</v>
      </c>
      <c r="J172" s="64">
        <v>-7960.4</v>
      </c>
      <c r="K172" s="63">
        <v>0.10650887573964497</v>
      </c>
      <c r="L172" s="63">
        <v>0.23323823109843081</v>
      </c>
      <c r="M172" s="63">
        <v>0.30028530670470754</v>
      </c>
      <c r="N172" s="63">
        <v>0.51681957186544347</v>
      </c>
      <c r="O172" s="63">
        <v>0.38479809976247031</v>
      </c>
      <c r="P172" s="63">
        <v>0.41590909090909089</v>
      </c>
    </row>
    <row r="173" spans="1:16" x14ac:dyDescent="0.45">
      <c r="A173" s="65">
        <v>170</v>
      </c>
      <c r="B173" s="62">
        <v>-3.0000000000001954</v>
      </c>
      <c r="C173" s="62">
        <v>-1.764705882353056E-2</v>
      </c>
      <c r="D173" s="67">
        <v>1.9764705882352942</v>
      </c>
      <c r="E173" s="63">
        <v>0.3411764705882353</v>
      </c>
      <c r="F173" s="63">
        <v>0.31764705882352939</v>
      </c>
      <c r="G173" s="63">
        <v>0.31347517730496455</v>
      </c>
      <c r="H173" s="63">
        <v>0.17801418439716313</v>
      </c>
      <c r="I173" s="64">
        <v>7967.6470588235297</v>
      </c>
      <c r="J173" s="64">
        <v>-7933.8645418326696</v>
      </c>
      <c r="K173" s="63">
        <v>0.10588235294117647</v>
      </c>
      <c r="L173" s="63">
        <v>0.23262411347517731</v>
      </c>
      <c r="M173" s="63">
        <v>0.29929078014184396</v>
      </c>
      <c r="N173" s="63">
        <v>0.51829268292682928</v>
      </c>
      <c r="O173" s="63">
        <v>0.38625592417061611</v>
      </c>
      <c r="P173" s="63">
        <v>0.41628959276018102</v>
      </c>
    </row>
    <row r="174" spans="1:16" x14ac:dyDescent="0.45">
      <c r="A174" s="65">
        <v>171</v>
      </c>
      <c r="B174" s="62">
        <v>-27.400000000000194</v>
      </c>
      <c r="C174" s="62">
        <v>-0.16023391812865612</v>
      </c>
      <c r="D174" s="67">
        <v>1.9824561403508771</v>
      </c>
      <c r="E174" s="63">
        <v>0.33918128654970758</v>
      </c>
      <c r="F174" s="63">
        <v>0.32163742690058478</v>
      </c>
      <c r="G174" s="63">
        <v>0.31289640591966172</v>
      </c>
      <c r="H174" s="63">
        <v>0.17899929527836506</v>
      </c>
      <c r="I174" s="64">
        <v>7958.1081081081084</v>
      </c>
      <c r="J174" s="64">
        <v>-7918.1102362204729</v>
      </c>
      <c r="K174" s="63">
        <v>0.10526315789473684</v>
      </c>
      <c r="L174" s="63">
        <v>0.23326286116983791</v>
      </c>
      <c r="M174" s="63">
        <v>0.29809725158562367</v>
      </c>
      <c r="N174" s="63">
        <v>0.5166163141993958</v>
      </c>
      <c r="O174" s="63">
        <v>0.38534278959810875</v>
      </c>
      <c r="P174" s="63">
        <v>0.41666666666666669</v>
      </c>
    </row>
    <row r="175" spans="1:16" x14ac:dyDescent="0.45">
      <c r="A175" s="65">
        <v>172</v>
      </c>
      <c r="B175" s="62">
        <v>-60.500000000000199</v>
      </c>
      <c r="C175" s="62">
        <v>-0.35174418604651281</v>
      </c>
      <c r="D175" s="67">
        <v>1.9883720930232558</v>
      </c>
      <c r="E175" s="63">
        <v>0.33720930232558138</v>
      </c>
      <c r="F175" s="63">
        <v>0.32558139534883723</v>
      </c>
      <c r="G175" s="63">
        <v>0.31254379817799577</v>
      </c>
      <c r="H175" s="63">
        <v>0.17939733707077785</v>
      </c>
      <c r="I175" s="64">
        <v>7948.6547085201792</v>
      </c>
      <c r="J175" s="64">
        <v>-7970.3125</v>
      </c>
      <c r="K175" s="63">
        <v>0.10465116279069768</v>
      </c>
      <c r="L175" s="63">
        <v>0.23405746320953047</v>
      </c>
      <c r="M175" s="63">
        <v>0.29852838121934128</v>
      </c>
      <c r="N175" s="63">
        <v>0.51497005988023947</v>
      </c>
      <c r="O175" s="63">
        <v>0.38497652582159625</v>
      </c>
      <c r="P175" s="63">
        <v>0.4170403587443946</v>
      </c>
    </row>
    <row r="176" spans="1:16" x14ac:dyDescent="0.45">
      <c r="A176" s="65">
        <v>173</v>
      </c>
      <c r="B176" s="62">
        <v>-71.400000000000205</v>
      </c>
      <c r="C176" s="62">
        <v>-0.41271676300578153</v>
      </c>
      <c r="D176" s="67">
        <v>1.9884393063583814</v>
      </c>
      <c r="E176" s="63">
        <v>0.33526011560693642</v>
      </c>
      <c r="F176" s="63">
        <v>0.32369942196531792</v>
      </c>
      <c r="G176" s="63">
        <v>0.31202223766504517</v>
      </c>
      <c r="H176" s="63">
        <v>0.17790132036136205</v>
      </c>
      <c r="I176" s="64">
        <v>7922.0489977728284</v>
      </c>
      <c r="J176" s="64">
        <v>-7970.3125</v>
      </c>
      <c r="K176" s="63">
        <v>0.10404624277456648</v>
      </c>
      <c r="L176" s="63">
        <v>0.23349548297428771</v>
      </c>
      <c r="M176" s="63">
        <v>0.29881862404447534</v>
      </c>
      <c r="N176" s="63">
        <v>0.51190476190476186</v>
      </c>
      <c r="O176" s="63">
        <v>0.38604651162790699</v>
      </c>
      <c r="P176" s="63">
        <v>0.41870824053452116</v>
      </c>
    </row>
    <row r="177" spans="1:16" x14ac:dyDescent="0.45">
      <c r="A177" s="65">
        <v>174</v>
      </c>
      <c r="B177" s="62">
        <v>-41.100000000000207</v>
      </c>
      <c r="C177" s="62">
        <v>-0.23620689655172533</v>
      </c>
      <c r="D177" s="67">
        <v>1.9827586206896552</v>
      </c>
      <c r="E177" s="63">
        <v>0.33908045977011492</v>
      </c>
      <c r="F177" s="63">
        <v>0.32183908045977011</v>
      </c>
      <c r="G177" s="63">
        <v>0.31353591160220995</v>
      </c>
      <c r="H177" s="63">
        <v>0.17679558011049723</v>
      </c>
      <c r="I177" s="64">
        <v>7900.4405286343608</v>
      </c>
      <c r="J177" s="64">
        <v>-7970.3125</v>
      </c>
      <c r="K177" s="63">
        <v>0.10344827586206896</v>
      </c>
      <c r="L177" s="63">
        <v>0.23273480662983426</v>
      </c>
      <c r="M177" s="63">
        <v>0.29903314917127072</v>
      </c>
      <c r="N177" s="63">
        <v>0.51335311572700293</v>
      </c>
      <c r="O177" s="63">
        <v>0.39030023094688221</v>
      </c>
      <c r="P177" s="63">
        <v>0.41629955947136565</v>
      </c>
    </row>
    <row r="178" spans="1:16" x14ac:dyDescent="0.45">
      <c r="A178" s="65">
        <v>175</v>
      </c>
      <c r="B178" s="62">
        <v>-41.100000000000207</v>
      </c>
      <c r="C178" s="62">
        <v>-0.23485714285714404</v>
      </c>
      <c r="D178" s="67">
        <v>1.9771428571428571</v>
      </c>
      <c r="E178" s="63">
        <v>0.34285714285714286</v>
      </c>
      <c r="F178" s="63">
        <v>0.32</v>
      </c>
      <c r="G178" s="63">
        <v>0.31353591160220995</v>
      </c>
      <c r="H178" s="63">
        <v>0.17679558011049723</v>
      </c>
      <c r="I178" s="64">
        <v>7900.4405286343608</v>
      </c>
      <c r="J178" s="64">
        <v>-7970.3125</v>
      </c>
      <c r="K178" s="63">
        <v>0.10285714285714286</v>
      </c>
      <c r="L178" s="63">
        <v>0.23273480662983426</v>
      </c>
      <c r="M178" s="63">
        <v>0.29903314917127072</v>
      </c>
      <c r="N178" s="63">
        <v>0.51335311572700293</v>
      </c>
      <c r="O178" s="63">
        <v>0.39030023094688221</v>
      </c>
      <c r="P178" s="63">
        <v>0.41629955947136565</v>
      </c>
    </row>
    <row r="179" spans="1:16" x14ac:dyDescent="0.45">
      <c r="A179" s="65">
        <v>176</v>
      </c>
      <c r="B179" s="62">
        <v>-68.600000000000207</v>
      </c>
      <c r="C179" s="62">
        <v>-0.38977272727272844</v>
      </c>
      <c r="D179" s="67">
        <v>1.9772727272727273</v>
      </c>
      <c r="E179" s="63">
        <v>0.34090909090909088</v>
      </c>
      <c r="F179" s="63">
        <v>0.31818181818181818</v>
      </c>
      <c r="G179" s="63">
        <v>0.31314521679284241</v>
      </c>
      <c r="H179" s="63">
        <v>0.17618719889883</v>
      </c>
      <c r="I179" s="64">
        <v>7886.3736263736264</v>
      </c>
      <c r="J179" s="64">
        <v>-7970.3125</v>
      </c>
      <c r="K179" s="63">
        <v>0.10227272727272728</v>
      </c>
      <c r="L179" s="63">
        <v>0.2326221610461115</v>
      </c>
      <c r="M179" s="63">
        <v>0.29800412938747417</v>
      </c>
      <c r="N179" s="63">
        <v>0.51183431952662717</v>
      </c>
      <c r="O179" s="63">
        <v>0.39030023094688221</v>
      </c>
      <c r="P179" s="63">
        <v>0.4175824175824176</v>
      </c>
    </row>
    <row r="180" spans="1:16" x14ac:dyDescent="0.45">
      <c r="A180" s="65">
        <v>177</v>
      </c>
      <c r="B180" s="62">
        <v>-6.0000000000002061</v>
      </c>
      <c r="C180" s="62">
        <v>-3.3898305084746928E-2</v>
      </c>
      <c r="D180" s="67">
        <v>1.9717514124293785</v>
      </c>
      <c r="E180" s="63">
        <v>0.34463276836158191</v>
      </c>
      <c r="F180" s="63">
        <v>0.31638418079096048</v>
      </c>
      <c r="G180" s="63">
        <v>0.31456043956043955</v>
      </c>
      <c r="H180" s="63">
        <v>0.17582417582417584</v>
      </c>
      <c r="I180" s="64">
        <v>7938.6462882096066</v>
      </c>
      <c r="J180" s="64">
        <v>-7970.3125</v>
      </c>
      <c r="K180" s="63">
        <v>0.10169491525423729</v>
      </c>
      <c r="L180" s="63">
        <v>0.23282967032967034</v>
      </c>
      <c r="M180" s="63">
        <v>0.29876373626373626</v>
      </c>
      <c r="N180" s="63">
        <v>0.51327433628318586</v>
      </c>
      <c r="O180" s="63">
        <v>0.39310344827586208</v>
      </c>
      <c r="P180" s="63">
        <v>0.41703056768558949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D5FA-45FB-4CCB-9247-217E70932B0C}">
  <sheetPr codeName="Sheet10"/>
  <dimension ref="A1:Q20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5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5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5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5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5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5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5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5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5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5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5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5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 x14ac:dyDescent="0.45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  <row r="182" spans="1:16" x14ac:dyDescent="0.45">
      <c r="A182" s="65">
        <v>179</v>
      </c>
      <c r="B182" s="62">
        <v>1554.0999999999997</v>
      </c>
      <c r="C182" s="62">
        <v>8.6821229050279314</v>
      </c>
      <c r="D182" s="67">
        <v>1.7877094972067038</v>
      </c>
      <c r="E182" s="63">
        <v>0.46368715083798884</v>
      </c>
      <c r="F182" s="63">
        <v>0.25139664804469275</v>
      </c>
      <c r="G182" s="63">
        <v>0.34104833219877467</v>
      </c>
      <c r="H182" s="63">
        <v>0.13002042205582029</v>
      </c>
      <c r="I182" s="64">
        <v>8235.3293413173651</v>
      </c>
      <c r="J182" s="64">
        <v>-7777.486910994764</v>
      </c>
      <c r="K182" s="63">
        <v>4.4692737430167599E-2</v>
      </c>
      <c r="L182" s="63">
        <v>0.26480599046970726</v>
      </c>
      <c r="M182" s="63">
        <v>0.23689584751531653</v>
      </c>
      <c r="N182" s="63">
        <v>0.58611825192802058</v>
      </c>
      <c r="O182" s="63">
        <v>0.48275862068965519</v>
      </c>
      <c r="P182" s="63">
        <v>0.42514970059880242</v>
      </c>
    </row>
    <row r="183" spans="1:16" x14ac:dyDescent="0.45">
      <c r="A183" s="65">
        <v>180</v>
      </c>
      <c r="B183" s="62">
        <v>1553.2999999999997</v>
      </c>
      <c r="C183" s="62">
        <v>8.6294444444444434</v>
      </c>
      <c r="D183" s="67">
        <v>1.788888888888889</v>
      </c>
      <c r="E183" s="63">
        <v>0.46111111111111114</v>
      </c>
      <c r="F183" s="63">
        <v>0.25</v>
      </c>
      <c r="G183" s="63">
        <v>0.34010840108401086</v>
      </c>
      <c r="H183" s="63">
        <v>0.12940379403794039</v>
      </c>
      <c r="I183" s="64">
        <v>8250.7968127490039</v>
      </c>
      <c r="J183" s="64">
        <v>-7777.486910994764</v>
      </c>
      <c r="K183" s="63">
        <v>4.4444444444444446E-2</v>
      </c>
      <c r="L183" s="63">
        <v>0.26422764227642276</v>
      </c>
      <c r="M183" s="63">
        <v>0.23712737127371275</v>
      </c>
      <c r="N183" s="63">
        <v>0.5871794871794872</v>
      </c>
      <c r="O183" s="63">
        <v>0.48</v>
      </c>
      <c r="P183" s="63">
        <v>0.42430278884462153</v>
      </c>
    </row>
    <row r="184" spans="1:16" x14ac:dyDescent="0.45">
      <c r="A184" s="65">
        <v>181</v>
      </c>
      <c r="B184" s="62">
        <v>1552.9999999999998</v>
      </c>
      <c r="C184" s="62">
        <v>8.5801104972375679</v>
      </c>
      <c r="D184" s="67">
        <v>1.7900552486187846</v>
      </c>
      <c r="E184" s="63">
        <v>0.4585635359116022</v>
      </c>
      <c r="F184" s="63">
        <v>0.24861878453038674</v>
      </c>
      <c r="G184" s="63">
        <v>0.33985165205664192</v>
      </c>
      <c r="H184" s="63">
        <v>0.12879298718813217</v>
      </c>
      <c r="I184" s="64">
        <v>8227.7777777777774</v>
      </c>
      <c r="J184" s="64">
        <v>-7777.486910994764</v>
      </c>
      <c r="K184" s="63">
        <v>4.4198895027624308E-2</v>
      </c>
      <c r="L184" s="63">
        <v>0.26298044504383006</v>
      </c>
      <c r="M184" s="63">
        <v>0.23735670937289277</v>
      </c>
      <c r="N184" s="63">
        <v>0.5871794871794872</v>
      </c>
      <c r="O184" s="63">
        <v>0.48295454545454547</v>
      </c>
      <c r="P184" s="63">
        <v>0.42261904761904762</v>
      </c>
    </row>
    <row r="185" spans="1:16" x14ac:dyDescent="0.45">
      <c r="A185" s="65">
        <v>182</v>
      </c>
      <c r="B185" s="62">
        <v>1600.4999999999998</v>
      </c>
      <c r="C185" s="62">
        <v>8.793956043956042</v>
      </c>
      <c r="D185" s="67">
        <v>1.7857142857142858</v>
      </c>
      <c r="E185" s="63">
        <v>0.46153846153846156</v>
      </c>
      <c r="F185" s="63">
        <v>0.24725274725274726</v>
      </c>
      <c r="G185" s="63">
        <v>0.34226389819156061</v>
      </c>
      <c r="H185" s="63">
        <v>0.12860013395847286</v>
      </c>
      <c r="I185" s="64">
        <v>8209.0019569471624</v>
      </c>
      <c r="J185" s="64">
        <v>-7820.3125</v>
      </c>
      <c r="K185" s="63">
        <v>4.3956043956043959E-2</v>
      </c>
      <c r="L185" s="63">
        <v>0.26389819156061622</v>
      </c>
      <c r="M185" s="63">
        <v>0.2377762893503014</v>
      </c>
      <c r="N185" s="63">
        <v>0.58883248730964466</v>
      </c>
      <c r="O185" s="63">
        <v>0.48732394366197185</v>
      </c>
      <c r="P185" s="63">
        <v>0.42465753424657532</v>
      </c>
    </row>
    <row r="186" spans="1:16" x14ac:dyDescent="0.45">
      <c r="A186" s="65">
        <v>183</v>
      </c>
      <c r="B186" s="62">
        <v>1578.4999999999998</v>
      </c>
      <c r="C186" s="62">
        <v>8.6256830601092886</v>
      </c>
      <c r="D186" s="67">
        <v>1.7868852459016393</v>
      </c>
      <c r="E186" s="63">
        <v>0.45901639344262296</v>
      </c>
      <c r="F186" s="63">
        <v>0.24590163934426229</v>
      </c>
      <c r="G186" s="63">
        <v>0.34110592938041306</v>
      </c>
      <c r="H186" s="63">
        <v>0.1279147235176549</v>
      </c>
      <c r="I186" s="64">
        <v>8208.59375</v>
      </c>
      <c r="J186" s="64">
        <v>-7820.3125</v>
      </c>
      <c r="K186" s="63">
        <v>4.3715846994535519E-2</v>
      </c>
      <c r="L186" s="63">
        <v>0.26382411725516325</v>
      </c>
      <c r="M186" s="63">
        <v>0.23717521652231846</v>
      </c>
      <c r="N186" s="63">
        <v>0.58838383838383834</v>
      </c>
      <c r="O186" s="63">
        <v>0.4859550561797753</v>
      </c>
      <c r="P186" s="63">
        <v>0.42578125</v>
      </c>
    </row>
    <row r="187" spans="1:16" x14ac:dyDescent="0.45">
      <c r="A187" s="65">
        <v>184</v>
      </c>
      <c r="B187" s="62">
        <v>1553.9999999999998</v>
      </c>
      <c r="C187" s="62">
        <v>8.445652173913043</v>
      </c>
      <c r="D187" s="67">
        <v>1.7934782608695652</v>
      </c>
      <c r="E187" s="63">
        <v>0.45652173913043476</v>
      </c>
      <c r="F187" s="63">
        <v>0.25</v>
      </c>
      <c r="G187" s="63">
        <v>0.34060846560846558</v>
      </c>
      <c r="H187" s="63">
        <v>0.12896825396825398</v>
      </c>
      <c r="I187" s="64">
        <v>8199.0291262135925</v>
      </c>
      <c r="J187" s="64">
        <v>-7829.2307692307695</v>
      </c>
      <c r="K187" s="63">
        <v>4.3478260869565216E-2</v>
      </c>
      <c r="L187" s="63">
        <v>0.26455026455026454</v>
      </c>
      <c r="M187" s="63">
        <v>0.23677248677248677</v>
      </c>
      <c r="N187" s="63">
        <v>0.58750000000000002</v>
      </c>
      <c r="O187" s="63">
        <v>0.48603351955307261</v>
      </c>
      <c r="P187" s="63">
        <v>0.42524271844660194</v>
      </c>
    </row>
    <row r="188" spans="1:16" x14ac:dyDescent="0.45">
      <c r="A188" s="65">
        <v>185</v>
      </c>
      <c r="B188" s="62">
        <v>1594.7999999999997</v>
      </c>
      <c r="C188" s="62">
        <v>8.6205405405405386</v>
      </c>
      <c r="D188" s="67">
        <v>1.7891891891891891</v>
      </c>
      <c r="E188" s="63">
        <v>0.45945945945945948</v>
      </c>
      <c r="F188" s="63">
        <v>0.24864864864864866</v>
      </c>
      <c r="G188" s="63">
        <v>0.34231274638633374</v>
      </c>
      <c r="H188" s="63">
        <v>0.1287779237844941</v>
      </c>
      <c r="I188" s="64">
        <v>8179.4625719769674</v>
      </c>
      <c r="J188" s="64">
        <v>-7815.8163265306121</v>
      </c>
      <c r="K188" s="63">
        <v>4.3243243243243246E-2</v>
      </c>
      <c r="L188" s="63">
        <v>0.26544021024967146</v>
      </c>
      <c r="M188" s="63">
        <v>0.23784494086727989</v>
      </c>
      <c r="N188" s="63">
        <v>0.5866336633663366</v>
      </c>
      <c r="O188" s="63">
        <v>0.48618784530386738</v>
      </c>
      <c r="P188" s="63">
        <v>0.42226487523992323</v>
      </c>
    </row>
    <row r="189" spans="1:16" x14ac:dyDescent="0.45">
      <c r="A189" s="65">
        <v>186</v>
      </c>
      <c r="B189" s="62">
        <v>1635.9999999999998</v>
      </c>
      <c r="C189" s="62">
        <v>8.7956989247311821</v>
      </c>
      <c r="D189" s="67">
        <v>1.7849462365591398</v>
      </c>
      <c r="E189" s="63">
        <v>0.46236559139784944</v>
      </c>
      <c r="F189" s="63">
        <v>0.24731182795698925</v>
      </c>
      <c r="G189" s="63">
        <v>0.34268929503916451</v>
      </c>
      <c r="H189" s="63">
        <v>0.12793733681462141</v>
      </c>
      <c r="I189" s="64">
        <v>8192.3809523809523</v>
      </c>
      <c r="J189" s="64">
        <v>-7815.8163265306121</v>
      </c>
      <c r="K189" s="63">
        <v>4.3010752688172046E-2</v>
      </c>
      <c r="L189" s="63">
        <v>0.26436031331592691</v>
      </c>
      <c r="M189" s="63">
        <v>0.23694516971279372</v>
      </c>
      <c r="N189" s="63">
        <v>0.58765432098765435</v>
      </c>
      <c r="O189" s="63">
        <v>0.48760330578512395</v>
      </c>
      <c r="P189" s="63">
        <v>0.42285714285714288</v>
      </c>
    </row>
    <row r="190" spans="1:16" x14ac:dyDescent="0.45">
      <c r="A190" s="65">
        <v>187</v>
      </c>
      <c r="B190" s="62">
        <v>1628.2999999999997</v>
      </c>
      <c r="C190" s="62">
        <v>8.7074866310160406</v>
      </c>
      <c r="D190" s="67">
        <v>1.786096256684492</v>
      </c>
      <c r="E190" s="63">
        <v>0.45989304812834225</v>
      </c>
      <c r="F190" s="63">
        <v>0.24598930481283424</v>
      </c>
      <c r="G190" s="63">
        <v>0.34350649350649348</v>
      </c>
      <c r="H190" s="63">
        <v>0.12727272727272726</v>
      </c>
      <c r="I190" s="64">
        <v>8148.5822306238188</v>
      </c>
      <c r="J190" s="64">
        <v>-7815.8163265306121</v>
      </c>
      <c r="K190" s="63">
        <v>4.2780748663101602E-2</v>
      </c>
      <c r="L190" s="63">
        <v>0.26428571428571429</v>
      </c>
      <c r="M190" s="63">
        <v>0.23831168831168831</v>
      </c>
      <c r="N190" s="63">
        <v>0.58968058968058967</v>
      </c>
      <c r="O190" s="63">
        <v>0.4877384196185286</v>
      </c>
      <c r="P190" s="63">
        <v>0.41965973534971646</v>
      </c>
    </row>
    <row r="191" spans="1:16" x14ac:dyDescent="0.45">
      <c r="A191" s="65">
        <v>188</v>
      </c>
      <c r="B191" s="62">
        <v>1659.9999999999998</v>
      </c>
      <c r="C191" s="62">
        <v>8.8297872340425521</v>
      </c>
      <c r="D191" s="67">
        <v>1.7819148936170213</v>
      </c>
      <c r="E191" s="63">
        <v>0.46276595744680848</v>
      </c>
      <c r="F191" s="63">
        <v>0.24468085106382978</v>
      </c>
      <c r="G191" s="63">
        <v>0.34431524547803616</v>
      </c>
      <c r="H191" s="63">
        <v>0.12661498708010335</v>
      </c>
      <c r="I191" s="64">
        <v>8144.0900562851784</v>
      </c>
      <c r="J191" s="64">
        <v>-7815.8163265306121</v>
      </c>
      <c r="K191" s="63">
        <v>4.2553191489361701E-2</v>
      </c>
      <c r="L191" s="63">
        <v>0.26550387596899228</v>
      </c>
      <c r="M191" s="63">
        <v>0.23772609819121446</v>
      </c>
      <c r="N191" s="63">
        <v>0.59367396593673971</v>
      </c>
      <c r="O191" s="63">
        <v>0.48641304347826086</v>
      </c>
      <c r="P191" s="63">
        <v>0.42213883677298314</v>
      </c>
    </row>
    <row r="192" spans="1:16" x14ac:dyDescent="0.45">
      <c r="A192" s="65">
        <v>189</v>
      </c>
      <c r="B192" s="62">
        <v>1692.1999999999998</v>
      </c>
      <c r="C192" s="62">
        <v>8.9534391534391524</v>
      </c>
      <c r="D192" s="67">
        <v>1.7777777777777777</v>
      </c>
      <c r="E192" s="63">
        <v>0.46560846560846558</v>
      </c>
      <c r="F192" s="63">
        <v>0.24338624338624337</v>
      </c>
      <c r="G192" s="63">
        <v>0.34553628773281952</v>
      </c>
      <c r="H192" s="63">
        <v>0.12588310854206808</v>
      </c>
      <c r="I192" s="64">
        <v>8104.0892193308546</v>
      </c>
      <c r="J192" s="64">
        <v>-7815.8163265306121</v>
      </c>
      <c r="K192" s="63">
        <v>4.2328042328042326E-2</v>
      </c>
      <c r="L192" s="63">
        <v>0.26461143224149003</v>
      </c>
      <c r="M192" s="63">
        <v>0.23827874116891459</v>
      </c>
      <c r="N192" s="63">
        <v>0.59466019417475724</v>
      </c>
      <c r="O192" s="63">
        <v>0.49056603773584906</v>
      </c>
      <c r="P192" s="63">
        <v>0.42193308550185876</v>
      </c>
    </row>
    <row r="193" spans="1:16" x14ac:dyDescent="0.45">
      <c r="A193" s="65">
        <v>190</v>
      </c>
      <c r="B193" s="62">
        <v>1689.2999999999997</v>
      </c>
      <c r="C193" s="62">
        <v>8.8910526315789458</v>
      </c>
      <c r="D193" s="67">
        <v>1.7789473684210526</v>
      </c>
      <c r="E193" s="63">
        <v>0.4631578947368421</v>
      </c>
      <c r="F193" s="63">
        <v>0.24210526315789474</v>
      </c>
      <c r="G193" s="63">
        <v>0.34504792332268369</v>
      </c>
      <c r="H193" s="63">
        <v>0.12587859424920128</v>
      </c>
      <c r="I193" s="64">
        <v>8101.4814814814818</v>
      </c>
      <c r="J193" s="64">
        <v>-7815.2284263959391</v>
      </c>
      <c r="K193" s="63">
        <v>4.2105263157894736E-2</v>
      </c>
      <c r="L193" s="63">
        <v>0.26517571884984026</v>
      </c>
      <c r="M193" s="63">
        <v>0.23706070287539935</v>
      </c>
      <c r="N193" s="63">
        <v>0.59277108433734937</v>
      </c>
      <c r="O193" s="63">
        <v>0.49056603773584906</v>
      </c>
      <c r="P193" s="63">
        <v>0.42407407407407405</v>
      </c>
    </row>
    <row r="194" spans="1:16" x14ac:dyDescent="0.45">
      <c r="A194" s="65">
        <v>191</v>
      </c>
      <c r="B194" s="62">
        <v>1721.2999999999997</v>
      </c>
      <c r="C194" s="62">
        <v>9.0120418848167532</v>
      </c>
      <c r="D194" s="67">
        <v>1.7748691099476439</v>
      </c>
      <c r="E194" s="63">
        <v>0.46596858638743455</v>
      </c>
      <c r="F194" s="63">
        <v>0.24083769633507854</v>
      </c>
      <c r="G194" s="63">
        <v>0.34456452638270818</v>
      </c>
      <c r="H194" s="63">
        <v>0.12523839796567068</v>
      </c>
      <c r="I194" s="64">
        <v>8130.6273062730625</v>
      </c>
      <c r="J194" s="64">
        <v>-7815.2284263959391</v>
      </c>
      <c r="K194" s="63">
        <v>4.1884816753926704E-2</v>
      </c>
      <c r="L194" s="63">
        <v>0.26509853782581055</v>
      </c>
      <c r="M194" s="63">
        <v>0.23712650985378259</v>
      </c>
      <c r="N194" s="63">
        <v>0.592326139088729</v>
      </c>
      <c r="O194" s="63">
        <v>0.4906166219839142</v>
      </c>
      <c r="P194" s="63">
        <v>0.42619926199261993</v>
      </c>
    </row>
    <row r="195" spans="1:16" x14ac:dyDescent="0.45">
      <c r="A195" s="65">
        <v>192</v>
      </c>
      <c r="B195" s="62">
        <v>1762.7999999999997</v>
      </c>
      <c r="C195" s="62">
        <v>9.1812499999999986</v>
      </c>
      <c r="D195" s="67">
        <v>1.7708333333333333</v>
      </c>
      <c r="E195" s="63">
        <v>0.46875</v>
      </c>
      <c r="F195" s="63">
        <v>0.23958333333333334</v>
      </c>
      <c r="G195" s="63">
        <v>0.34559289790741915</v>
      </c>
      <c r="H195" s="63">
        <v>0.12492073557387444</v>
      </c>
      <c r="I195" s="64">
        <v>8146.4220183486241</v>
      </c>
      <c r="J195" s="64">
        <v>-7815.2284263959391</v>
      </c>
      <c r="K195" s="63">
        <v>4.1666666666666664E-2</v>
      </c>
      <c r="L195" s="63">
        <v>0.26506024096385544</v>
      </c>
      <c r="M195" s="63">
        <v>0.23715916296766013</v>
      </c>
      <c r="N195" s="63">
        <v>0.59330143540669855</v>
      </c>
      <c r="O195" s="63">
        <v>0.49197860962566847</v>
      </c>
      <c r="P195" s="63">
        <v>0.42568807339449544</v>
      </c>
    </row>
    <row r="196" spans="1:16" x14ac:dyDescent="0.45">
      <c r="A196" s="65">
        <v>193</v>
      </c>
      <c r="B196" s="62">
        <v>1799.3999999999996</v>
      </c>
      <c r="C196" s="62">
        <v>9.323316062176163</v>
      </c>
      <c r="D196" s="67">
        <v>1.766839378238342</v>
      </c>
      <c r="E196" s="63">
        <v>0.47150259067357514</v>
      </c>
      <c r="F196" s="63">
        <v>0.23834196891191708</v>
      </c>
      <c r="G196" s="63">
        <v>0.34615384615384615</v>
      </c>
      <c r="H196" s="63">
        <v>0.12421185372005045</v>
      </c>
      <c r="I196" s="64">
        <v>8168.3060109289618</v>
      </c>
      <c r="J196" s="64">
        <v>-7815.2284263959391</v>
      </c>
      <c r="K196" s="63">
        <v>4.145077720207254E-2</v>
      </c>
      <c r="L196" s="63">
        <v>0.2635561160151324</v>
      </c>
      <c r="M196" s="63">
        <v>0.2364438839848676</v>
      </c>
      <c r="N196" s="63">
        <v>0.59330143540669855</v>
      </c>
      <c r="O196" s="63">
        <v>0.49333333333333335</v>
      </c>
      <c r="P196" s="63">
        <v>0.42258652094717669</v>
      </c>
    </row>
    <row r="197" spans="1:16" x14ac:dyDescent="0.45">
      <c r="A197" s="65">
        <v>194</v>
      </c>
      <c r="B197" s="62">
        <v>1831.2999999999997</v>
      </c>
      <c r="C197" s="62">
        <v>9.4396907216494839</v>
      </c>
      <c r="D197" s="67">
        <v>1.7628865979381443</v>
      </c>
      <c r="E197" s="63">
        <v>0.47422680412371132</v>
      </c>
      <c r="F197" s="63">
        <v>0.23711340206185566</v>
      </c>
      <c r="G197" s="63">
        <v>0.34651600753295669</v>
      </c>
      <c r="H197" s="63">
        <v>0.12429378531073447</v>
      </c>
      <c r="I197" s="64">
        <v>8200</v>
      </c>
      <c r="J197" s="64">
        <v>-7836.363636363636</v>
      </c>
      <c r="K197" s="63">
        <v>4.1237113402061855E-2</v>
      </c>
      <c r="L197" s="63">
        <v>0.26490897677338354</v>
      </c>
      <c r="M197" s="63">
        <v>0.23603264281230382</v>
      </c>
      <c r="N197" s="63">
        <v>0.59241706161137442</v>
      </c>
      <c r="O197" s="63">
        <v>0.49202127659574468</v>
      </c>
      <c r="P197" s="63">
        <v>0.42572463768115942</v>
      </c>
    </row>
    <row r="198" spans="1:16" x14ac:dyDescent="0.45">
      <c r="A198" s="65">
        <v>195</v>
      </c>
      <c r="B198" s="62">
        <v>1872.7999999999997</v>
      </c>
      <c r="C198" s="62">
        <v>9.604102564102563</v>
      </c>
      <c r="D198" s="67">
        <v>1.7589743589743589</v>
      </c>
      <c r="E198" s="63">
        <v>0.47692307692307695</v>
      </c>
      <c r="F198" s="63">
        <v>0.23589743589743589</v>
      </c>
      <c r="G198" s="63">
        <v>0.34625</v>
      </c>
      <c r="H198" s="63">
        <v>0.124375</v>
      </c>
      <c r="I198" s="64">
        <v>8261.73285198556</v>
      </c>
      <c r="J198" s="64">
        <v>-7855.276381909548</v>
      </c>
      <c r="K198" s="63">
        <v>4.1025641025641026E-2</v>
      </c>
      <c r="L198" s="63">
        <v>0.26437500000000003</v>
      </c>
      <c r="M198" s="63">
        <v>0.23624999999999999</v>
      </c>
      <c r="N198" s="63">
        <v>0.59101654846335694</v>
      </c>
      <c r="O198" s="63">
        <v>0.48941798941798942</v>
      </c>
      <c r="P198" s="63">
        <v>0.42418772563176893</v>
      </c>
    </row>
    <row r="199" spans="1:16" x14ac:dyDescent="0.45">
      <c r="A199" s="65">
        <v>196</v>
      </c>
      <c r="B199" s="62">
        <v>1834.0999999999997</v>
      </c>
      <c r="C199" s="62">
        <v>9.3576530612244877</v>
      </c>
      <c r="D199" s="67">
        <v>1.7653061224489797</v>
      </c>
      <c r="E199" s="63">
        <v>0.47448979591836737</v>
      </c>
      <c r="F199" s="63">
        <v>0.23979591836734693</v>
      </c>
      <c r="G199" s="63">
        <v>0.34429280397022333</v>
      </c>
      <c r="H199" s="63">
        <v>0.12406947890818859</v>
      </c>
      <c r="I199" s="64">
        <v>8254.0540540540533</v>
      </c>
      <c r="J199" s="64">
        <v>-7822.5</v>
      </c>
      <c r="K199" s="63">
        <v>4.0816326530612242E-2</v>
      </c>
      <c r="L199" s="63">
        <v>0.26426799007444168</v>
      </c>
      <c r="M199" s="63">
        <v>0.23635235732009927</v>
      </c>
      <c r="N199" s="63">
        <v>0.58920187793427226</v>
      </c>
      <c r="O199" s="63">
        <v>0.48556430446194226</v>
      </c>
      <c r="P199" s="63">
        <v>0.42522522522522521</v>
      </c>
    </row>
    <row r="200" spans="1:16" x14ac:dyDescent="0.45">
      <c r="A200" s="65">
        <v>197</v>
      </c>
      <c r="B200" s="62">
        <v>1788.5999999999997</v>
      </c>
      <c r="C200" s="62">
        <v>9.079187817258882</v>
      </c>
      <c r="D200" s="67">
        <v>1.7715736040609138</v>
      </c>
      <c r="E200" s="63">
        <v>0.4720812182741117</v>
      </c>
      <c r="F200" s="63">
        <v>0.24365482233502539</v>
      </c>
      <c r="G200" s="63">
        <v>0.34215384615384614</v>
      </c>
      <c r="H200" s="63">
        <v>0.12430769230769231</v>
      </c>
      <c r="I200" s="64">
        <v>8253.5971223021588</v>
      </c>
      <c r="J200" s="64">
        <v>-7832.1782178217818</v>
      </c>
      <c r="K200" s="63">
        <v>4.5685279187817257E-2</v>
      </c>
      <c r="L200" s="63">
        <v>0.26338461538461538</v>
      </c>
      <c r="M200" s="63">
        <v>0.2363076923076923</v>
      </c>
      <c r="N200" s="63">
        <v>0.58644859813084116</v>
      </c>
      <c r="O200" s="63">
        <v>0.484375</v>
      </c>
      <c r="P200" s="63">
        <v>0.42446043165467628</v>
      </c>
    </row>
    <row r="201" spans="1:16" x14ac:dyDescent="0.45">
      <c r="A201" s="65">
        <v>198</v>
      </c>
      <c r="B201" s="62">
        <v>1804.7999999999997</v>
      </c>
      <c r="C201" s="62">
        <v>9.1151515151515135</v>
      </c>
      <c r="D201" s="67">
        <v>1.7727272727272727</v>
      </c>
      <c r="E201" s="63">
        <v>0.46969696969696972</v>
      </c>
      <c r="F201" s="63">
        <v>0.24242424242424243</v>
      </c>
      <c r="G201" s="63">
        <v>0.34149326805385555</v>
      </c>
      <c r="H201" s="63">
        <v>0.12484700122399021</v>
      </c>
      <c r="I201" s="64">
        <v>8277.7777777777774</v>
      </c>
      <c r="J201" s="64">
        <v>-7767.6470588235297</v>
      </c>
      <c r="K201" s="63">
        <v>4.5454545454545456E-2</v>
      </c>
      <c r="L201" s="63">
        <v>0.26254589963280295</v>
      </c>
      <c r="M201" s="63">
        <v>0.2350061199510404</v>
      </c>
      <c r="N201" s="63">
        <v>0.58508158508158503</v>
      </c>
      <c r="O201" s="63">
        <v>0.484375</v>
      </c>
      <c r="P201" s="63">
        <v>0.42473118279569894</v>
      </c>
    </row>
    <row r="202" spans="1:16" x14ac:dyDescent="0.45">
      <c r="A202" s="65">
        <v>199</v>
      </c>
      <c r="B202" s="62">
        <v>1804.7999999999997</v>
      </c>
      <c r="C202" s="62">
        <v>9.0693467336683398</v>
      </c>
      <c r="D202" s="67">
        <v>1.7688442211055277</v>
      </c>
      <c r="E202" s="63">
        <v>0.47236180904522612</v>
      </c>
      <c r="F202" s="63">
        <v>0.24120603015075376</v>
      </c>
      <c r="G202" s="63">
        <v>0.34149326805385555</v>
      </c>
      <c r="H202" s="63">
        <v>0.12484700122399021</v>
      </c>
      <c r="I202" s="64">
        <v>8277.7777777777774</v>
      </c>
      <c r="J202" s="64">
        <v>-7767.6470588235297</v>
      </c>
      <c r="K202" s="63">
        <v>4.5226130653266333E-2</v>
      </c>
      <c r="L202" s="63">
        <v>0.26254589963280295</v>
      </c>
      <c r="M202" s="63">
        <v>0.2350061199510404</v>
      </c>
      <c r="N202" s="63">
        <v>0.58508158508158503</v>
      </c>
      <c r="O202" s="63">
        <v>0.484375</v>
      </c>
      <c r="P202" s="63">
        <v>0.42473118279569894</v>
      </c>
    </row>
    <row r="203" spans="1:16" x14ac:dyDescent="0.45">
      <c r="A203" s="65">
        <v>200</v>
      </c>
      <c r="B203" s="62">
        <v>1806.0999999999997</v>
      </c>
      <c r="C203" s="62">
        <v>9.0304999999999982</v>
      </c>
      <c r="D203" s="67">
        <v>1.77</v>
      </c>
      <c r="E203" s="63">
        <v>0.47</v>
      </c>
      <c r="F203" s="63">
        <v>0.24</v>
      </c>
      <c r="G203" s="63">
        <v>0.3408399269628728</v>
      </c>
      <c r="H203" s="63">
        <v>0.1241631162507608</v>
      </c>
      <c r="I203" s="64">
        <v>8258.75</v>
      </c>
      <c r="J203" s="64">
        <v>-7767.6470588235297</v>
      </c>
      <c r="K203" s="63">
        <v>4.4999999999999998E-2</v>
      </c>
      <c r="L203" s="63">
        <v>0.26293365794278756</v>
      </c>
      <c r="M203" s="63">
        <v>0.23554473524041389</v>
      </c>
      <c r="N203" s="63">
        <v>0.58101851851851849</v>
      </c>
      <c r="O203" s="63">
        <v>0.48320413436692505</v>
      </c>
      <c r="P203" s="63">
        <v>0.42321428571428571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430-9502-4421-93A8-64907F8F5247}">
  <sheetPr codeName="Sheet8"/>
  <dimension ref="A1:Q9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5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5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5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5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5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5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  <row r="85" spans="1:16" x14ac:dyDescent="0.45">
      <c r="A85" s="65">
        <v>82</v>
      </c>
      <c r="B85" s="62">
        <v>-468.40000000000026</v>
      </c>
      <c r="C85" s="62">
        <v>-5.7121951219512228</v>
      </c>
      <c r="D85" s="67">
        <v>2.1219512195121952</v>
      </c>
      <c r="E85" s="63">
        <v>0.3048780487804878</v>
      </c>
      <c r="F85" s="63">
        <v>0.42682926829268292</v>
      </c>
      <c r="G85" s="63">
        <v>0.27922971114167811</v>
      </c>
      <c r="H85" s="63">
        <v>0.15680880330123798</v>
      </c>
      <c r="I85" s="64">
        <v>7173.8916256157636</v>
      </c>
      <c r="J85" s="64">
        <v>-7748.2456140350878</v>
      </c>
      <c r="K85" s="63">
        <v>7.3170731707317069E-2</v>
      </c>
      <c r="L85" s="63">
        <v>0.14442916093535077</v>
      </c>
      <c r="M85" s="63">
        <v>0.25722145804676755</v>
      </c>
      <c r="N85" s="63">
        <v>0.54285714285714282</v>
      </c>
      <c r="O85" s="63">
        <v>0.41711229946524064</v>
      </c>
      <c r="P85" s="63">
        <v>0.42857142857142855</v>
      </c>
    </row>
    <row r="86" spans="1:16" x14ac:dyDescent="0.45">
      <c r="A86" s="65">
        <v>83</v>
      </c>
      <c r="B86" s="62">
        <v>-502.90000000000026</v>
      </c>
      <c r="C86" s="62">
        <v>-6.0590361445783163</v>
      </c>
      <c r="D86" s="67">
        <v>2.1325301204819276</v>
      </c>
      <c r="E86" s="63">
        <v>0.30120481927710846</v>
      </c>
      <c r="F86" s="63">
        <v>0.43373493975903615</v>
      </c>
      <c r="G86" s="63">
        <v>0.27755102040816326</v>
      </c>
      <c r="H86" s="63">
        <v>0.16054421768707483</v>
      </c>
      <c r="I86" s="64">
        <v>7152.9411764705883</v>
      </c>
      <c r="J86" s="64">
        <v>-7683.0508474576272</v>
      </c>
      <c r="K86" s="63">
        <v>7.2289156626506021E-2</v>
      </c>
      <c r="L86" s="63">
        <v>0.14557823129251701</v>
      </c>
      <c r="M86" s="63">
        <v>0.25578231292517006</v>
      </c>
      <c r="N86" s="63">
        <v>0.53271028037383172</v>
      </c>
      <c r="O86" s="63">
        <v>0.41489361702127658</v>
      </c>
      <c r="P86" s="63">
        <v>0.4264705882352941</v>
      </c>
    </row>
    <row r="87" spans="1:16" x14ac:dyDescent="0.45">
      <c r="A87" s="65">
        <v>84</v>
      </c>
      <c r="B87" s="62">
        <v>-564.20000000000027</v>
      </c>
      <c r="C87" s="62">
        <v>-6.7166666666666703</v>
      </c>
      <c r="D87" s="67">
        <v>2.1428571428571428</v>
      </c>
      <c r="E87" s="63">
        <v>0.29761904761904762</v>
      </c>
      <c r="F87" s="63">
        <v>0.44047619047619047</v>
      </c>
      <c r="G87" s="63">
        <v>0.27516778523489932</v>
      </c>
      <c r="H87" s="63">
        <v>0.16107382550335569</v>
      </c>
      <c r="I87" s="64">
        <v>7127.8048780487807</v>
      </c>
      <c r="J87" s="64">
        <v>-7755</v>
      </c>
      <c r="K87" s="63">
        <v>8.3333333333333329E-2</v>
      </c>
      <c r="L87" s="63">
        <v>0.1436241610738255</v>
      </c>
      <c r="M87" s="63">
        <v>0.25771812080536916</v>
      </c>
      <c r="N87" s="63">
        <v>0.53271028037383172</v>
      </c>
      <c r="O87" s="63">
        <v>0.41145833333333331</v>
      </c>
      <c r="P87" s="63">
        <v>0.42439024390243901</v>
      </c>
    </row>
    <row r="88" spans="1:16" x14ac:dyDescent="0.45">
      <c r="A88" s="65">
        <v>85</v>
      </c>
      <c r="B88" s="62">
        <v>-589.90000000000032</v>
      </c>
      <c r="C88" s="62">
        <v>-6.9400000000000039</v>
      </c>
      <c r="D88" s="67">
        <v>2.1529411764705881</v>
      </c>
      <c r="E88" s="63">
        <v>0.29411764705882354</v>
      </c>
      <c r="F88" s="63">
        <v>0.44705882352941179</v>
      </c>
      <c r="G88" s="63">
        <v>0.27357237715803451</v>
      </c>
      <c r="H88" s="63">
        <v>0.16334661354581673</v>
      </c>
      <c r="I88" s="64">
        <v>7103.3980582524273</v>
      </c>
      <c r="J88" s="64">
        <v>-7657.7235772357726</v>
      </c>
      <c r="K88" s="63">
        <v>8.2352941176470587E-2</v>
      </c>
      <c r="L88" s="63">
        <v>0.14342629482071714</v>
      </c>
      <c r="M88" s="63">
        <v>0.25896414342629481</v>
      </c>
      <c r="N88" s="63">
        <v>0.52777777777777779</v>
      </c>
      <c r="O88" s="63">
        <v>0.40512820512820513</v>
      </c>
      <c r="P88" s="63">
        <v>0.42718446601941745</v>
      </c>
    </row>
    <row r="89" spans="1:16" x14ac:dyDescent="0.45">
      <c r="A89" s="65">
        <v>86</v>
      </c>
      <c r="B89" s="62">
        <v>-582.3000000000003</v>
      </c>
      <c r="C89" s="62">
        <v>-6.7709302325581433</v>
      </c>
      <c r="D89" s="67">
        <v>2.1511627906976742</v>
      </c>
      <c r="E89" s="63">
        <v>0.29069767441860467</v>
      </c>
      <c r="F89" s="63">
        <v>0.44186046511627908</v>
      </c>
      <c r="G89" s="63">
        <v>0.27500000000000002</v>
      </c>
      <c r="H89" s="63">
        <v>0.16447368421052633</v>
      </c>
      <c r="I89" s="64">
        <v>7093.7799043062205</v>
      </c>
      <c r="J89" s="64">
        <v>-7576.8</v>
      </c>
      <c r="K89" s="63">
        <v>8.1395348837209308E-2</v>
      </c>
      <c r="L89" s="63">
        <v>0.14342105263157895</v>
      </c>
      <c r="M89" s="63">
        <v>0.26184210526315788</v>
      </c>
      <c r="N89" s="63">
        <v>0.5321100917431193</v>
      </c>
      <c r="O89" s="63">
        <v>0.40703517587939697</v>
      </c>
      <c r="P89" s="63">
        <v>0.42583732057416268</v>
      </c>
    </row>
    <row r="90" spans="1:16" x14ac:dyDescent="0.45">
      <c r="A90" s="65">
        <v>87</v>
      </c>
      <c r="B90" s="62">
        <v>-606.90000000000032</v>
      </c>
      <c r="C90" s="62">
        <v>-6.9758620689655206</v>
      </c>
      <c r="D90" s="67">
        <v>2.1609195402298851</v>
      </c>
      <c r="E90" s="63">
        <v>0.28735632183908044</v>
      </c>
      <c r="F90" s="63">
        <v>0.44827586206896552</v>
      </c>
      <c r="G90" s="63">
        <v>0.27379400260756193</v>
      </c>
      <c r="H90" s="63">
        <v>0.16427640156453716</v>
      </c>
      <c r="I90" s="64">
        <v>7096.666666666667</v>
      </c>
      <c r="J90" s="64">
        <v>-7537.3015873015875</v>
      </c>
      <c r="K90" s="63">
        <v>8.0459770114942528E-2</v>
      </c>
      <c r="L90" s="63">
        <v>0.14211212516297261</v>
      </c>
      <c r="M90" s="63">
        <v>0.26336375488917863</v>
      </c>
      <c r="N90" s="63">
        <v>0.5321100917431193</v>
      </c>
      <c r="O90" s="63">
        <v>0.40099009900990101</v>
      </c>
      <c r="P90" s="63">
        <v>0.42857142857142855</v>
      </c>
    </row>
    <row r="91" spans="1:16" x14ac:dyDescent="0.45">
      <c r="A91" s="65">
        <v>88</v>
      </c>
      <c r="B91" s="62">
        <v>-597.70000000000027</v>
      </c>
      <c r="C91" s="62">
        <v>-6.792045454545458</v>
      </c>
      <c r="D91" s="67">
        <v>2.1590909090909092</v>
      </c>
      <c r="E91" s="63">
        <v>0.28409090909090912</v>
      </c>
      <c r="F91" s="63">
        <v>0.44318181818181818</v>
      </c>
      <c r="G91" s="63">
        <v>0.27307692307692305</v>
      </c>
      <c r="H91" s="63">
        <v>0.16282051282051282</v>
      </c>
      <c r="I91" s="64">
        <v>7107.9812206572769</v>
      </c>
      <c r="J91" s="64">
        <v>-7540.9448818897636</v>
      </c>
      <c r="K91" s="63">
        <v>7.9545454545454544E-2</v>
      </c>
      <c r="L91" s="63">
        <v>0.14102564102564102</v>
      </c>
      <c r="M91" s="63">
        <v>0.26282051282051283</v>
      </c>
      <c r="N91" s="63">
        <v>0.53636363636363638</v>
      </c>
      <c r="O91" s="63">
        <v>0.39512195121951221</v>
      </c>
      <c r="P91" s="63">
        <v>0.43661971830985913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D5E0-2DD0-4180-9DC8-00F75611CD99}">
  <sheetPr codeName="Sheet6"/>
  <dimension ref="A1:Q33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5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5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5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5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5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5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5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5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5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5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5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5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5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5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5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5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5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5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5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 x14ac:dyDescent="0.45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  <row r="307" spans="1:16" x14ac:dyDescent="0.45">
      <c r="A307" s="65">
        <v>304</v>
      </c>
      <c r="B307" s="62">
        <v>-5.3290705182007514E-14</v>
      </c>
      <c r="C307" s="62">
        <v>-5.8432790769745078E-17</v>
      </c>
      <c r="D307" s="67">
        <v>2</v>
      </c>
      <c r="E307" s="63">
        <v>0.33333333333333331</v>
      </c>
      <c r="F307" s="63">
        <v>0.33333333333333331</v>
      </c>
      <c r="G307" s="63">
        <v>0.2945797329143755</v>
      </c>
      <c r="H307" s="63">
        <v>0.16090599633411887</v>
      </c>
      <c r="I307" s="64">
        <v>8381.8666666666668</v>
      </c>
      <c r="J307" s="64">
        <v>-7789.5036615134259</v>
      </c>
      <c r="K307" s="63">
        <v>9.3201754385964911E-2</v>
      </c>
      <c r="L307" s="63">
        <v>0.25320764598062317</v>
      </c>
      <c r="M307" s="63">
        <v>0.23173605655930871</v>
      </c>
      <c r="N307" s="63">
        <v>0.55170630816959665</v>
      </c>
      <c r="O307" s="63">
        <v>0.41977401129943503</v>
      </c>
      <c r="P307" s="63">
        <v>0.44844444444444442</v>
      </c>
    </row>
    <row r="308" spans="1:16" x14ac:dyDescent="0.45">
      <c r="A308" s="65">
        <v>305</v>
      </c>
      <c r="B308" s="62">
        <v>-5.9729998724833422E-14</v>
      </c>
      <c r="C308" s="62">
        <v>-6.5278687130965494E-17</v>
      </c>
      <c r="D308" s="67">
        <v>2</v>
      </c>
      <c r="E308" s="63">
        <v>0.33333333333333331</v>
      </c>
      <c r="F308" s="63">
        <v>0.33333333333333331</v>
      </c>
      <c r="G308" s="63">
        <v>0.29468599033816423</v>
      </c>
      <c r="H308" s="63">
        <v>0.16085650868259563</v>
      </c>
      <c r="I308" s="64">
        <v>8384.9800620292426</v>
      </c>
      <c r="J308" s="64">
        <v>-7799.431818181818</v>
      </c>
      <c r="K308" s="63">
        <v>9.2896174863387984E-2</v>
      </c>
      <c r="L308" s="63">
        <v>0.25316620968794884</v>
      </c>
      <c r="M308" s="63">
        <v>0.23214518866692779</v>
      </c>
      <c r="N308" s="63">
        <v>0.55183084063950494</v>
      </c>
      <c r="O308" s="63">
        <v>0.41957255343082117</v>
      </c>
      <c r="P308" s="63">
        <v>0.44882587505538324</v>
      </c>
    </row>
    <row r="309" spans="1:16" x14ac:dyDescent="0.45">
      <c r="A309" s="65">
        <v>306</v>
      </c>
      <c r="B309" s="62">
        <v>-6.3948846218409017E-14</v>
      </c>
      <c r="C309" s="62">
        <v>-6.9661052525500017E-17</v>
      </c>
      <c r="D309" s="67">
        <v>2</v>
      </c>
      <c r="E309" s="63">
        <v>0.33333333333333331</v>
      </c>
      <c r="F309" s="63">
        <v>0.33333333333333331</v>
      </c>
      <c r="G309" s="63">
        <v>0.29477660544483525</v>
      </c>
      <c r="H309" s="63">
        <v>0.16087013156180799</v>
      </c>
      <c r="I309" s="64">
        <v>8389.3946089262045</v>
      </c>
      <c r="J309" s="64">
        <v>-7797.894736842105</v>
      </c>
      <c r="K309" s="63">
        <v>9.2592592592592587E-2</v>
      </c>
      <c r="L309" s="63">
        <v>0.25283313794450957</v>
      </c>
      <c r="M309" s="63">
        <v>0.23238244105770484</v>
      </c>
      <c r="N309" s="63">
        <v>0.55229263266357542</v>
      </c>
      <c r="O309" s="63">
        <v>0.41984304932735428</v>
      </c>
      <c r="P309" s="63">
        <v>0.4489615554573575</v>
      </c>
    </row>
    <row r="310" spans="1:16" x14ac:dyDescent="0.45">
      <c r="A310" s="65">
        <v>307</v>
      </c>
      <c r="B310" s="62">
        <v>-6.3948846218409017E-14</v>
      </c>
      <c r="C310" s="62">
        <v>-6.9434143559618905E-17</v>
      </c>
      <c r="D310" s="67">
        <v>2</v>
      </c>
      <c r="E310" s="63">
        <v>0.33333333333333331</v>
      </c>
      <c r="F310" s="63">
        <v>0.33333333333333331</v>
      </c>
      <c r="G310" s="63">
        <v>0.2947669133878717</v>
      </c>
      <c r="H310" s="63">
        <v>0.16114790286975716</v>
      </c>
      <c r="I310" s="64">
        <v>8377.444933920704</v>
      </c>
      <c r="J310" s="64">
        <v>-7784.4480257856567</v>
      </c>
      <c r="K310" s="63">
        <v>9.2290988056460369E-2</v>
      </c>
      <c r="L310" s="63">
        <v>0.25230489546812102</v>
      </c>
      <c r="M310" s="63">
        <v>0.23243734579924685</v>
      </c>
      <c r="N310" s="63">
        <v>0.55172413793103448</v>
      </c>
      <c r="O310" s="63">
        <v>0.41899441340782123</v>
      </c>
      <c r="P310" s="63">
        <v>0.44801762114537447</v>
      </c>
    </row>
    <row r="311" spans="1:16" x14ac:dyDescent="0.45">
      <c r="A311" s="65">
        <v>308</v>
      </c>
      <c r="B311" s="62">
        <v>-6.3948846218409017E-14</v>
      </c>
      <c r="C311" s="62">
        <v>-6.9208708028581185E-17</v>
      </c>
      <c r="D311" s="67">
        <v>2</v>
      </c>
      <c r="E311" s="63">
        <v>0.33333333333333331</v>
      </c>
      <c r="F311" s="63">
        <v>0.33333333333333331</v>
      </c>
      <c r="G311" s="63">
        <v>0.29474229474229474</v>
      </c>
      <c r="H311" s="63">
        <v>0.16109816109816111</v>
      </c>
      <c r="I311" s="64">
        <v>8371.0456942003511</v>
      </c>
      <c r="J311" s="64">
        <v>-7779.2604501607721</v>
      </c>
      <c r="K311" s="63">
        <v>9.3073593073593072E-2</v>
      </c>
      <c r="L311" s="63">
        <v>0.25161875161875163</v>
      </c>
      <c r="M311" s="63">
        <v>0.23271173271173271</v>
      </c>
      <c r="N311" s="63">
        <v>0.55172413793103448</v>
      </c>
      <c r="O311" s="63">
        <v>0.42014468558708962</v>
      </c>
      <c r="P311" s="63">
        <v>0.44815465729349735</v>
      </c>
    </row>
    <row r="312" spans="1:16" x14ac:dyDescent="0.45">
      <c r="A312" s="65">
        <v>309</v>
      </c>
      <c r="B312" s="62">
        <v>-6.3948846218409017E-14</v>
      </c>
      <c r="C312" s="62">
        <v>-6.8984731627194187E-17</v>
      </c>
      <c r="D312" s="67">
        <v>2</v>
      </c>
      <c r="E312" s="63">
        <v>0.33333333333333331</v>
      </c>
      <c r="F312" s="63">
        <v>0.33333333333333331</v>
      </c>
      <c r="G312" s="63">
        <v>0.29463364293085653</v>
      </c>
      <c r="H312" s="63">
        <v>0.1609907120743034</v>
      </c>
      <c r="I312" s="64">
        <v>8369.7460595446591</v>
      </c>
      <c r="J312" s="64">
        <v>-7782.8525641025644</v>
      </c>
      <c r="K312" s="63">
        <v>9.2772384034519956E-2</v>
      </c>
      <c r="L312" s="63">
        <v>0.25154798761609909</v>
      </c>
      <c r="M312" s="63">
        <v>0.23271413828689372</v>
      </c>
      <c r="N312" s="63">
        <v>0.55179487179487174</v>
      </c>
      <c r="O312" s="63">
        <v>0.42017738359201773</v>
      </c>
      <c r="P312" s="63">
        <v>0.44833625218914186</v>
      </c>
    </row>
    <row r="313" spans="1:16" x14ac:dyDescent="0.45">
      <c r="A313" s="65">
        <v>310</v>
      </c>
      <c r="B313" s="62">
        <v>-6.3948846218409017E-14</v>
      </c>
      <c r="C313" s="62">
        <v>-6.8762200234848408E-17</v>
      </c>
      <c r="D313" s="67">
        <v>2</v>
      </c>
      <c r="E313" s="63">
        <v>0.33333333333333331</v>
      </c>
      <c r="F313" s="63">
        <v>0.33333333333333331</v>
      </c>
      <c r="G313" s="63">
        <v>0.29475308641975306</v>
      </c>
      <c r="H313" s="63">
        <v>0.1610082304526749</v>
      </c>
      <c r="I313" s="64">
        <v>8385.6020942408377</v>
      </c>
      <c r="J313" s="64">
        <v>-7795.766773162939</v>
      </c>
      <c r="K313" s="63">
        <v>9.2473118279569888E-2</v>
      </c>
      <c r="L313" s="63">
        <v>0.25141460905349794</v>
      </c>
      <c r="M313" s="63">
        <v>0.23251028806584362</v>
      </c>
      <c r="N313" s="63">
        <v>0.55242966751918154</v>
      </c>
      <c r="O313" s="63">
        <v>0.41980088495575218</v>
      </c>
      <c r="P313" s="63">
        <v>0.44851657940663175</v>
      </c>
    </row>
    <row r="314" spans="1:16" x14ac:dyDescent="0.45">
      <c r="A314" s="65">
        <v>311</v>
      </c>
      <c r="B314" s="62">
        <v>-6.4837024638109142E-14</v>
      </c>
      <c r="C314" s="62">
        <v>-6.9493059633557494E-17</v>
      </c>
      <c r="D314" s="67">
        <v>2</v>
      </c>
      <c r="E314" s="63">
        <v>0.33333333333333331</v>
      </c>
      <c r="F314" s="63">
        <v>0.33333333333333331</v>
      </c>
      <c r="G314" s="63">
        <v>0.29466000768344219</v>
      </c>
      <c r="H314" s="63">
        <v>0.16122422845434756</v>
      </c>
      <c r="I314" s="64">
        <v>8388.8309430682311</v>
      </c>
      <c r="J314" s="64">
        <v>-7800.7942811755365</v>
      </c>
      <c r="K314" s="63">
        <v>9.2175777063236874E-2</v>
      </c>
      <c r="L314" s="63">
        <v>0.25150467409399413</v>
      </c>
      <c r="M314" s="63">
        <v>0.2320399538993469</v>
      </c>
      <c r="N314" s="63">
        <v>0.55193482688391038</v>
      </c>
      <c r="O314" s="63">
        <v>0.41997792494481234</v>
      </c>
      <c r="P314" s="63">
        <v>0.44763146458061714</v>
      </c>
    </row>
    <row r="315" spans="1:16" x14ac:dyDescent="0.45">
      <c r="A315" s="65">
        <v>312</v>
      </c>
      <c r="B315" s="62">
        <v>-6.3948846218409017E-14</v>
      </c>
      <c r="C315" s="62">
        <v>-6.8321416900009637E-17</v>
      </c>
      <c r="D315" s="67">
        <v>2</v>
      </c>
      <c r="E315" s="63">
        <v>0.33333333333333331</v>
      </c>
      <c r="F315" s="63">
        <v>0.33333333333333331</v>
      </c>
      <c r="G315" s="63">
        <v>0.29468044393417525</v>
      </c>
      <c r="H315" s="63">
        <v>0.16150019135093763</v>
      </c>
      <c r="I315" s="64">
        <v>8383.4632034632032</v>
      </c>
      <c r="J315" s="64">
        <v>-7791.7061611374411</v>
      </c>
      <c r="K315" s="63">
        <v>9.2948717948717952E-2</v>
      </c>
      <c r="L315" s="63">
        <v>0.25143513203214696</v>
      </c>
      <c r="M315" s="63">
        <v>0.23204490368669473</v>
      </c>
      <c r="N315" s="63">
        <v>0.55149670218163371</v>
      </c>
      <c r="O315" s="63">
        <v>0.4194612424409016</v>
      </c>
      <c r="P315" s="63">
        <v>0.44675324675324674</v>
      </c>
    </row>
    <row r="316" spans="1:16" x14ac:dyDescent="0.45">
      <c r="A316" s="65">
        <v>313</v>
      </c>
      <c r="B316" s="62">
        <v>-6.3948846218409017E-14</v>
      </c>
      <c r="C316" s="62">
        <v>-6.8103137612789152E-17</v>
      </c>
      <c r="D316" s="67">
        <v>2</v>
      </c>
      <c r="E316" s="63">
        <v>0.33333333333333331</v>
      </c>
      <c r="F316" s="63">
        <v>0.33333333333333331</v>
      </c>
      <c r="G316" s="63">
        <v>0.29476899579992366</v>
      </c>
      <c r="H316" s="63">
        <v>0.16138475245004455</v>
      </c>
      <c r="I316" s="64">
        <v>8387.5647668393776</v>
      </c>
      <c r="J316" s="64">
        <v>-7800.6309148264982</v>
      </c>
      <c r="K316" s="63">
        <v>9.2651757188498399E-2</v>
      </c>
      <c r="L316" s="63">
        <v>0.25111365661193841</v>
      </c>
      <c r="M316" s="63">
        <v>0.23189512536591575</v>
      </c>
      <c r="N316" s="63">
        <v>0.55144450076026352</v>
      </c>
      <c r="O316" s="63">
        <v>0.41931942919868276</v>
      </c>
      <c r="P316" s="63">
        <v>0.44732297063903281</v>
      </c>
    </row>
    <row r="317" spans="1:16" x14ac:dyDescent="0.45">
      <c r="A317" s="65">
        <v>314</v>
      </c>
      <c r="B317" s="62">
        <v>-5.6843418860808015E-14</v>
      </c>
      <c r="C317" s="62">
        <v>-6.0343332124000015E-17</v>
      </c>
      <c r="D317" s="67">
        <v>2</v>
      </c>
      <c r="E317" s="63">
        <v>0.33333333333333331</v>
      </c>
      <c r="F317" s="63">
        <v>0.33333333333333331</v>
      </c>
      <c r="G317" s="63">
        <v>0.29478889311525297</v>
      </c>
      <c r="H317" s="63">
        <v>0.16140484341321162</v>
      </c>
      <c r="I317" s="64">
        <v>8389.1182795698933</v>
      </c>
      <c r="J317" s="64">
        <v>-7801.0212097407702</v>
      </c>
      <c r="K317" s="63">
        <v>9.3418259023354558E-2</v>
      </c>
      <c r="L317" s="63">
        <v>0.25091923418283252</v>
      </c>
      <c r="M317" s="63">
        <v>0.23177380499556233</v>
      </c>
      <c r="N317" s="63">
        <v>0.55179383527033854</v>
      </c>
      <c r="O317" s="63">
        <v>0.41958424507658643</v>
      </c>
      <c r="P317" s="63">
        <v>0.44731182795698926</v>
      </c>
    </row>
    <row r="318" spans="1:16" x14ac:dyDescent="0.45">
      <c r="A318" s="65">
        <v>315</v>
      </c>
      <c r="B318" s="62">
        <v>-5.773159728050814E-14</v>
      </c>
      <c r="C318" s="62">
        <v>-6.1091637333871044E-17</v>
      </c>
      <c r="D318" s="67">
        <v>2</v>
      </c>
      <c r="E318" s="63">
        <v>0.33333333333333331</v>
      </c>
      <c r="F318" s="63">
        <v>0.33333333333333331</v>
      </c>
      <c r="G318" s="63">
        <v>0.29477942105928456</v>
      </c>
      <c r="H318" s="63">
        <v>0.16154721274175199</v>
      </c>
      <c r="I318" s="64">
        <v>8380.102915951973</v>
      </c>
      <c r="J318" s="64">
        <v>-7784.2723004694835</v>
      </c>
      <c r="K318" s="63">
        <v>9.3121693121693119E-2</v>
      </c>
      <c r="L318" s="63">
        <v>0.25079003918594361</v>
      </c>
      <c r="M318" s="63">
        <v>0.23208191126279865</v>
      </c>
      <c r="N318" s="63">
        <v>0.55241935483870963</v>
      </c>
      <c r="O318" s="63">
        <v>0.41884531590413943</v>
      </c>
      <c r="P318" s="63">
        <v>0.44682675814751288</v>
      </c>
    </row>
    <row r="319" spans="1:16" x14ac:dyDescent="0.45">
      <c r="A319" s="65">
        <v>316</v>
      </c>
      <c r="B319" s="62">
        <v>-6.0396132539608516E-14</v>
      </c>
      <c r="C319" s="62">
        <v>-6.3709000569207294E-17</v>
      </c>
      <c r="D319" s="67">
        <v>2</v>
      </c>
      <c r="E319" s="63">
        <v>0.33333333333333331</v>
      </c>
      <c r="F319" s="63">
        <v>0.33333333333333331</v>
      </c>
      <c r="G319" s="63">
        <v>0.29488149268784669</v>
      </c>
      <c r="H319" s="63">
        <v>0.1616238023197176</v>
      </c>
      <c r="I319" s="64">
        <v>8370.6284737067126</v>
      </c>
      <c r="J319" s="64">
        <v>-7774.9609984399376</v>
      </c>
      <c r="K319" s="63">
        <v>9.2827004219409287E-2</v>
      </c>
      <c r="L319" s="63">
        <v>0.25037821482602118</v>
      </c>
      <c r="M319" s="63">
        <v>0.23234997478567826</v>
      </c>
      <c r="N319" s="63">
        <v>0.55287009063444104</v>
      </c>
      <c r="O319" s="63">
        <v>0.41888225718936517</v>
      </c>
      <c r="P319" s="63">
        <v>0.4467721248396751</v>
      </c>
    </row>
    <row r="320" spans="1:16" x14ac:dyDescent="0.45">
      <c r="A320" s="65">
        <v>317</v>
      </c>
      <c r="B320" s="62">
        <v>-6.3948846218409017E-14</v>
      </c>
      <c r="C320" s="62">
        <v>-6.7243792027769735E-17</v>
      </c>
      <c r="D320" s="67">
        <v>2</v>
      </c>
      <c r="E320" s="63">
        <v>0.33333333333333331</v>
      </c>
      <c r="F320" s="63">
        <v>0.33333333333333331</v>
      </c>
      <c r="G320" s="63">
        <v>0.29498302527348169</v>
      </c>
      <c r="H320" s="63">
        <v>0.16144850999622784</v>
      </c>
      <c r="I320" s="64">
        <v>8369.0537084398984</v>
      </c>
      <c r="J320" s="64">
        <v>-7769.3925233644859</v>
      </c>
      <c r="K320" s="63">
        <v>9.2534174553101992E-2</v>
      </c>
      <c r="L320" s="63">
        <v>0.25022004275116311</v>
      </c>
      <c r="M320" s="63">
        <v>0.23261662265811645</v>
      </c>
      <c r="N320" s="63">
        <v>0.55276381909547734</v>
      </c>
      <c r="O320" s="63">
        <v>0.41837837837837838</v>
      </c>
      <c r="P320" s="63">
        <v>0.4475703324808184</v>
      </c>
    </row>
    <row r="321" spans="1:16" x14ac:dyDescent="0.45">
      <c r="A321" s="65">
        <v>318</v>
      </c>
      <c r="B321" s="62">
        <v>-6.7501559897209518E-14</v>
      </c>
      <c r="C321" s="62">
        <v>-7.0756352093511026E-17</v>
      </c>
      <c r="D321" s="67">
        <v>2</v>
      </c>
      <c r="E321" s="63">
        <v>0.33333333333333331</v>
      </c>
      <c r="F321" s="63">
        <v>0.33333333333333331</v>
      </c>
      <c r="G321" s="63">
        <v>0.29509840792277797</v>
      </c>
      <c r="H321" s="63">
        <v>0.16121348878024319</v>
      </c>
      <c r="I321" s="64">
        <v>8366.3551401869154</v>
      </c>
      <c r="J321" s="64">
        <v>-7764.5412130637633</v>
      </c>
      <c r="K321" s="63">
        <v>9.2243186582809222E-2</v>
      </c>
      <c r="L321" s="63">
        <v>0.25047010154193305</v>
      </c>
      <c r="M321" s="63">
        <v>0.23229284192052149</v>
      </c>
      <c r="N321" s="63">
        <v>0.55355355355355351</v>
      </c>
      <c r="O321" s="63">
        <v>0.41878035617916892</v>
      </c>
      <c r="P321" s="63">
        <v>0.44859813084112149</v>
      </c>
    </row>
    <row r="322" spans="1:16" x14ac:dyDescent="0.45">
      <c r="A322" s="65">
        <v>319</v>
      </c>
      <c r="B322" s="62">
        <v>-6.3948846218409017E-14</v>
      </c>
      <c r="C322" s="62">
        <v>-6.6822200855181839E-17</v>
      </c>
      <c r="D322" s="67">
        <v>2</v>
      </c>
      <c r="E322" s="63">
        <v>0.33333333333333331</v>
      </c>
      <c r="F322" s="63">
        <v>0.33333333333333331</v>
      </c>
      <c r="G322" s="63">
        <v>0.2951024487756122</v>
      </c>
      <c r="H322" s="63">
        <v>0.1612943528235882</v>
      </c>
      <c r="I322" s="64">
        <v>8356.1812023708717</v>
      </c>
      <c r="J322" s="64">
        <v>-7760.2633617350893</v>
      </c>
      <c r="K322" s="63">
        <v>9.1954022988505746E-2</v>
      </c>
      <c r="L322" s="63">
        <v>0.25037481259370314</v>
      </c>
      <c r="M322" s="63">
        <v>0.23213393303348326</v>
      </c>
      <c r="N322" s="63">
        <v>0.55289421157684626</v>
      </c>
      <c r="O322" s="63">
        <v>0.41980624327233584</v>
      </c>
      <c r="P322" s="63">
        <v>0.4483488569009314</v>
      </c>
    </row>
    <row r="323" spans="1:16" x14ac:dyDescent="0.45">
      <c r="A323" s="65">
        <v>320</v>
      </c>
      <c r="B323" s="62">
        <v>-6.3948846218409017E-14</v>
      </c>
      <c r="C323" s="62">
        <v>-6.661338147750939E-17</v>
      </c>
      <c r="D323" s="67">
        <v>2</v>
      </c>
      <c r="E323" s="63">
        <v>0.33333333333333331</v>
      </c>
      <c r="F323" s="63">
        <v>0.33333333333333331</v>
      </c>
      <c r="G323" s="63">
        <v>0.29509217737917287</v>
      </c>
      <c r="H323" s="63">
        <v>0.16118584952665671</v>
      </c>
      <c r="I323" s="64">
        <v>8357.7036724356276</v>
      </c>
      <c r="J323" s="64">
        <v>-7770.788253477589</v>
      </c>
      <c r="K323" s="63">
        <v>9.166666666666666E-2</v>
      </c>
      <c r="L323" s="63">
        <v>0.25062282012954656</v>
      </c>
      <c r="M323" s="63">
        <v>0.23231190832087692</v>
      </c>
      <c r="N323" s="63">
        <v>0.55218687872763417</v>
      </c>
      <c r="O323" s="63">
        <v>0.41983914209115281</v>
      </c>
      <c r="P323" s="63">
        <v>0.4487125369354158</v>
      </c>
    </row>
    <row r="324" spans="1:16" x14ac:dyDescent="0.45">
      <c r="A324" s="65">
        <v>321</v>
      </c>
      <c r="B324" s="62">
        <v>-6.3948846218409017E-14</v>
      </c>
      <c r="C324" s="62">
        <v>-6.6405863155149545E-17</v>
      </c>
      <c r="D324" s="67">
        <v>2</v>
      </c>
      <c r="E324" s="63">
        <v>0.33333333333333331</v>
      </c>
      <c r="F324" s="63">
        <v>0.33333333333333331</v>
      </c>
      <c r="G324" s="63">
        <v>0.29483358171882762</v>
      </c>
      <c r="H324" s="63">
        <v>0.16082960755091902</v>
      </c>
      <c r="I324" s="64">
        <v>8375.4844144903109</v>
      </c>
      <c r="J324" s="64">
        <v>-7774.0540540540542</v>
      </c>
      <c r="K324" s="63">
        <v>9.138110072689512E-2</v>
      </c>
      <c r="L324" s="63">
        <v>0.25074515648286139</v>
      </c>
      <c r="M324" s="63">
        <v>0.23224043715846995</v>
      </c>
      <c r="N324" s="63">
        <v>0.55175829618623085</v>
      </c>
      <c r="O324" s="63">
        <v>0.41925133689839572</v>
      </c>
      <c r="P324" s="63">
        <v>0.44945240101095196</v>
      </c>
    </row>
    <row r="325" spans="1:16" x14ac:dyDescent="0.45">
      <c r="A325" s="65">
        <v>322</v>
      </c>
      <c r="B325" s="62">
        <v>-6.3948846218409017E-14</v>
      </c>
      <c r="C325" s="62">
        <v>-6.6199633766468963E-17</v>
      </c>
      <c r="D325" s="67">
        <v>2</v>
      </c>
      <c r="E325" s="63">
        <v>0.33333333333333331</v>
      </c>
      <c r="F325" s="63">
        <v>0.33333333333333331</v>
      </c>
      <c r="G325" s="63">
        <v>0.29489087301587302</v>
      </c>
      <c r="H325" s="63">
        <v>0.16083829365079366</v>
      </c>
      <c r="I325" s="64">
        <v>8380.3195962994105</v>
      </c>
      <c r="J325" s="64">
        <v>-7785.1966075558985</v>
      </c>
      <c r="K325" s="63">
        <v>9.213250517598344E-2</v>
      </c>
      <c r="L325" s="63">
        <v>0.25074404761904762</v>
      </c>
      <c r="M325" s="63">
        <v>0.23214285714285715</v>
      </c>
      <c r="N325" s="63">
        <v>0.55192878338278928</v>
      </c>
      <c r="O325" s="63">
        <v>0.41933760683760685</v>
      </c>
      <c r="P325" s="63">
        <v>0.44953742640874683</v>
      </c>
    </row>
    <row r="326" spans="1:16" x14ac:dyDescent="0.45">
      <c r="A326" s="65">
        <v>323</v>
      </c>
      <c r="B326" s="62">
        <v>-6.3948846218409017E-14</v>
      </c>
      <c r="C326" s="62">
        <v>-6.5994681339947383E-17</v>
      </c>
      <c r="D326" s="67">
        <v>2</v>
      </c>
      <c r="E326" s="63">
        <v>0.33333333333333331</v>
      </c>
      <c r="F326" s="63">
        <v>0.33333333333333331</v>
      </c>
      <c r="G326" s="63">
        <v>0.29489556297120256</v>
      </c>
      <c r="H326" s="63">
        <v>0.16104313434680509</v>
      </c>
      <c r="I326" s="64">
        <v>8399.4132439228833</v>
      </c>
      <c r="J326" s="64">
        <v>-7808.1350729086726</v>
      </c>
      <c r="K326" s="63">
        <v>9.2879256965944276E-2</v>
      </c>
      <c r="L326" s="63">
        <v>0.25052527499691013</v>
      </c>
      <c r="M326" s="63">
        <v>0.23198615745890497</v>
      </c>
      <c r="N326" s="63">
        <v>0.55155402072027626</v>
      </c>
      <c r="O326" s="63">
        <v>0.41981885988279166</v>
      </c>
      <c r="P326" s="63">
        <v>0.44886839899413244</v>
      </c>
    </row>
    <row r="327" spans="1:16" x14ac:dyDescent="0.45">
      <c r="A327" s="65">
        <v>324</v>
      </c>
      <c r="B327" s="62">
        <v>-6.3948846218409017E-14</v>
      </c>
      <c r="C327" s="62">
        <v>-6.5790994051861125E-17</v>
      </c>
      <c r="D327" s="67">
        <v>2</v>
      </c>
      <c r="E327" s="63">
        <v>0.33333333333333331</v>
      </c>
      <c r="F327" s="63">
        <v>0.33333333333333331</v>
      </c>
      <c r="G327" s="63">
        <v>0.29499506903353057</v>
      </c>
      <c r="H327" s="63">
        <v>0.16074950690335305</v>
      </c>
      <c r="I327" s="64">
        <v>8404.1788549937319</v>
      </c>
      <c r="J327" s="64">
        <v>-7811.3496932515336</v>
      </c>
      <c r="K327" s="63">
        <v>9.2592592592592587E-2</v>
      </c>
      <c r="L327" s="63">
        <v>0.25098619329388561</v>
      </c>
      <c r="M327" s="63">
        <v>0.23187869822485208</v>
      </c>
      <c r="N327" s="63">
        <v>0.55108055009823187</v>
      </c>
      <c r="O327" s="63">
        <v>0.41998936735778841</v>
      </c>
      <c r="P327" s="63">
        <v>0.45006268282490597</v>
      </c>
    </row>
    <row r="328" spans="1:16" x14ac:dyDescent="0.45">
      <c r="A328" s="65">
        <v>325</v>
      </c>
      <c r="B328" s="62">
        <v>-6.3948846218409017E-14</v>
      </c>
      <c r="C328" s="62">
        <v>-6.5588560224009254E-17</v>
      </c>
      <c r="D328" s="67">
        <v>2</v>
      </c>
      <c r="E328" s="63">
        <v>0.33333333333333331</v>
      </c>
      <c r="F328" s="63">
        <v>0.33333333333333331</v>
      </c>
      <c r="G328" s="63">
        <v>0.29497110537317101</v>
      </c>
      <c r="H328" s="63">
        <v>0.16082626337144965</v>
      </c>
      <c r="I328" s="64">
        <v>8422.4260108378494</v>
      </c>
      <c r="J328" s="64">
        <v>-7844.1896024464831</v>
      </c>
      <c r="K328" s="63">
        <v>9.3333333333333338E-2</v>
      </c>
      <c r="L328" s="63">
        <v>0.25070699618836839</v>
      </c>
      <c r="M328" s="63">
        <v>0.23189474978482724</v>
      </c>
      <c r="N328" s="63">
        <v>0.55076017655713583</v>
      </c>
      <c r="O328" s="63">
        <v>0.41993637327677624</v>
      </c>
      <c r="P328" s="63">
        <v>0.44977073780741977</v>
      </c>
    </row>
    <row r="329" spans="1:16" x14ac:dyDescent="0.45">
      <c r="A329" s="65">
        <v>326</v>
      </c>
      <c r="B329" s="62">
        <v>-6.3948846218409017E-14</v>
      </c>
      <c r="C329" s="62">
        <v>-6.5387368321481617E-17</v>
      </c>
      <c r="D329" s="67">
        <v>2</v>
      </c>
      <c r="E329" s="63">
        <v>0.33333333333333331</v>
      </c>
      <c r="F329" s="63">
        <v>0.33333333333333331</v>
      </c>
      <c r="G329" s="63">
        <v>0.29452809401395519</v>
      </c>
      <c r="H329" s="63">
        <v>0.16023993144815768</v>
      </c>
      <c r="I329" s="64">
        <v>8422.6932668329173</v>
      </c>
      <c r="J329" s="64">
        <v>-7839.1902215431628</v>
      </c>
      <c r="K329" s="63">
        <v>9.3047034764826175E-2</v>
      </c>
      <c r="L329" s="63">
        <v>0.25058146651976987</v>
      </c>
      <c r="M329" s="63">
        <v>0.23197453788713429</v>
      </c>
      <c r="N329" s="63">
        <v>0.54958475818270636</v>
      </c>
      <c r="O329" s="63">
        <v>0.41899736147757255</v>
      </c>
      <c r="P329" s="63">
        <v>0.45095594347464674</v>
      </c>
    </row>
    <row r="330" spans="1:16" x14ac:dyDescent="0.45">
      <c r="A330" s="65">
        <v>327</v>
      </c>
      <c r="B330" s="62">
        <v>-7.1054273576010019E-14</v>
      </c>
      <c r="C330" s="62">
        <v>-7.2430452167186566E-17</v>
      </c>
      <c r="D330" s="67">
        <v>2</v>
      </c>
      <c r="E330" s="63">
        <v>0.33333333333333331</v>
      </c>
      <c r="F330" s="63">
        <v>0.33333333333333331</v>
      </c>
      <c r="G330" s="63">
        <v>0.29410331384015592</v>
      </c>
      <c r="H330" s="63">
        <v>0.15984405458089668</v>
      </c>
      <c r="I330" s="64">
        <v>8423.487986743994</v>
      </c>
      <c r="J330" s="64">
        <v>-7840.7774390243903</v>
      </c>
      <c r="K330" s="63">
        <v>9.3781855249745152E-2</v>
      </c>
      <c r="L330" s="63">
        <v>0.2503654970760234</v>
      </c>
      <c r="M330" s="63">
        <v>0.23172514619883042</v>
      </c>
      <c r="N330" s="63">
        <v>0.54890510948905114</v>
      </c>
      <c r="O330" s="63">
        <v>0.41798107255520506</v>
      </c>
      <c r="P330" s="63">
        <v>0.45153272576636289</v>
      </c>
    </row>
    <row r="331" spans="1:16" x14ac:dyDescent="0.45">
      <c r="A331" s="65">
        <v>328</v>
      </c>
      <c r="B331" s="62">
        <v>-7.1054273576010019E-14</v>
      </c>
      <c r="C331" s="62">
        <v>-7.2209627617896359E-17</v>
      </c>
      <c r="D331" s="67">
        <v>2</v>
      </c>
      <c r="E331" s="63">
        <v>0.33333333333333331</v>
      </c>
      <c r="F331" s="63">
        <v>0.33333333333333331</v>
      </c>
      <c r="G331" s="63">
        <v>0.29411050394656951</v>
      </c>
      <c r="H331" s="63">
        <v>0.15992714025500912</v>
      </c>
      <c r="I331" s="64">
        <v>8422.8323699421962</v>
      </c>
      <c r="J331" s="64">
        <v>-7833.9407744874716</v>
      </c>
      <c r="K331" s="63">
        <v>9.451219512195122E-2</v>
      </c>
      <c r="L331" s="63">
        <v>0.24990892531876138</v>
      </c>
      <c r="M331" s="63">
        <v>0.2315725561627201</v>
      </c>
      <c r="N331" s="63">
        <v>0.5485908649173955</v>
      </c>
      <c r="O331" s="63">
        <v>0.41898269533298377</v>
      </c>
      <c r="P331" s="63">
        <v>0.45127993393889348</v>
      </c>
    </row>
    <row r="332" spans="1:16" x14ac:dyDescent="0.45">
      <c r="A332" s="65">
        <v>329</v>
      </c>
      <c r="B332" s="62">
        <v>-7.1054273576010019E-14</v>
      </c>
      <c r="C332" s="62">
        <v>-7.1990145467082087E-17</v>
      </c>
      <c r="D332" s="67">
        <v>1.9969604863221884</v>
      </c>
      <c r="E332" s="63">
        <v>0.3353596757852077</v>
      </c>
      <c r="F332" s="63">
        <v>0.33232016210739618</v>
      </c>
      <c r="G332" s="63">
        <v>0.29411050394656951</v>
      </c>
      <c r="H332" s="63">
        <v>0.15992714025500912</v>
      </c>
      <c r="I332" s="64">
        <v>8422.8323699421962</v>
      </c>
      <c r="J332" s="64">
        <v>-7833.9407744874716</v>
      </c>
      <c r="K332" s="63">
        <v>9.4224924012158054E-2</v>
      </c>
      <c r="L332" s="63">
        <v>0.24990892531876138</v>
      </c>
      <c r="M332" s="63">
        <v>0.2315725561627201</v>
      </c>
      <c r="N332" s="63">
        <v>0.5485908649173955</v>
      </c>
      <c r="O332" s="63">
        <v>0.41898269533298377</v>
      </c>
      <c r="P332" s="63">
        <v>0.45127993393889348</v>
      </c>
    </row>
    <row r="333" spans="1:16" x14ac:dyDescent="0.45">
      <c r="A333" s="65">
        <v>330</v>
      </c>
      <c r="B333" s="62">
        <v>-7.1054273576010019E-14</v>
      </c>
      <c r="C333" s="62">
        <v>-7.1771993511121237E-17</v>
      </c>
      <c r="D333" s="67">
        <v>1.9969696969696971</v>
      </c>
      <c r="E333" s="63">
        <v>0.33535353535353535</v>
      </c>
      <c r="F333" s="63">
        <v>0.3323232323232323</v>
      </c>
      <c r="G333" s="63">
        <v>0.29408914728682173</v>
      </c>
      <c r="H333" s="63">
        <v>0.16024709302325582</v>
      </c>
      <c r="I333" s="64">
        <v>8426.6886326194399</v>
      </c>
      <c r="J333" s="64">
        <v>-7843.6885865457298</v>
      </c>
      <c r="K333" s="63">
        <v>9.494949494949495E-2</v>
      </c>
      <c r="L333" s="63">
        <v>0.2502422480620155</v>
      </c>
      <c r="M333" s="63">
        <v>0.23146802325581395</v>
      </c>
      <c r="N333" s="63">
        <v>0.54791868344627304</v>
      </c>
      <c r="O333" s="63">
        <v>0.41967556253270538</v>
      </c>
      <c r="P333" s="63">
        <v>0.45016474464579903</v>
      </c>
    </row>
    <row r="334" spans="1:16" x14ac:dyDescent="0.45">
      <c r="A334" s="65">
        <v>331</v>
      </c>
      <c r="B334" s="62">
        <v>-7.1054273576010019E-14</v>
      </c>
      <c r="C334" s="62">
        <v>-7.1555159693867088E-17</v>
      </c>
      <c r="D334" s="67">
        <v>1.9969788519637461</v>
      </c>
      <c r="E334" s="63">
        <v>0.33534743202416917</v>
      </c>
      <c r="F334" s="63">
        <v>0.33232628398791542</v>
      </c>
      <c r="G334" s="63">
        <v>0.29414610546686021</v>
      </c>
      <c r="H334" s="63">
        <v>0.16025641025641027</v>
      </c>
      <c r="I334" s="64">
        <v>8431.4967105263149</v>
      </c>
      <c r="J334" s="64">
        <v>-7858.9433962264147</v>
      </c>
      <c r="K334" s="63">
        <v>9.5669687814702919E-2</v>
      </c>
      <c r="L334" s="63">
        <v>0.25024189646831158</v>
      </c>
      <c r="M334" s="63">
        <v>0.23113207547169812</v>
      </c>
      <c r="N334" s="63">
        <v>0.54809086515224748</v>
      </c>
      <c r="O334" s="63">
        <v>0.41967556253270538</v>
      </c>
      <c r="P334" s="63">
        <v>0.45024671052631576</v>
      </c>
    </row>
    <row r="335" spans="1:16" x14ac:dyDescent="0.45">
      <c r="A335" s="65">
        <v>332</v>
      </c>
      <c r="B335" s="62">
        <v>-7.1054273576010019E-14</v>
      </c>
      <c r="C335" s="62">
        <v>-7.1339632104427729E-17</v>
      </c>
      <c r="D335" s="67">
        <v>1.9969879518072289</v>
      </c>
      <c r="E335" s="63">
        <v>0.3353413654618474</v>
      </c>
      <c r="F335" s="63">
        <v>0.33232931726907633</v>
      </c>
      <c r="G335" s="63">
        <v>0.29415310427968655</v>
      </c>
      <c r="H335" s="63">
        <v>0.16009644364074743</v>
      </c>
      <c r="I335" s="64">
        <v>8415.7786885245896</v>
      </c>
      <c r="J335" s="64">
        <v>-7846.7620481927706</v>
      </c>
      <c r="K335" s="63">
        <v>9.5381526104417677E-2</v>
      </c>
      <c r="L335" s="63">
        <v>0.25051235684147077</v>
      </c>
      <c r="M335" s="63">
        <v>0.23122362869198312</v>
      </c>
      <c r="N335" s="63">
        <v>0.54716073147256983</v>
      </c>
      <c r="O335" s="63">
        <v>0.42022940563086547</v>
      </c>
      <c r="P335" s="63">
        <v>0.45081967213114754</v>
      </c>
    </row>
    <row r="336" spans="1:16" x14ac:dyDescent="0.45">
      <c r="A336" s="65">
        <v>333</v>
      </c>
      <c r="B336" s="62">
        <v>-7.815970093361102E-14</v>
      </c>
      <c r="C336" s="62">
        <v>-7.8237938872483503E-17</v>
      </c>
      <c r="D336" s="67">
        <v>1.996996996996997</v>
      </c>
      <c r="E336" s="63">
        <v>0.33533533533533533</v>
      </c>
      <c r="F336" s="63">
        <v>0.33233233233233234</v>
      </c>
      <c r="G336" s="63">
        <v>0.29422382671480146</v>
      </c>
      <c r="H336" s="63">
        <v>0.15980746089049339</v>
      </c>
      <c r="I336" s="64">
        <v>8423.7218813905929</v>
      </c>
      <c r="J336" s="64">
        <v>-7846.7620481927706</v>
      </c>
      <c r="K336" s="63">
        <v>9.6096096096096095E-2</v>
      </c>
      <c r="L336" s="63">
        <v>0.25054151624548737</v>
      </c>
      <c r="M336" s="63">
        <v>0.23092659446450059</v>
      </c>
      <c r="N336" s="63">
        <v>0.54707012487992313</v>
      </c>
      <c r="O336" s="63">
        <v>0.42053152683689421</v>
      </c>
      <c r="P336" s="63">
        <v>0.45194274028629855</v>
      </c>
    </row>
    <row r="337" spans="1:16" x14ac:dyDescent="0.45">
      <c r="A337" s="65">
        <v>334</v>
      </c>
      <c r="B337" s="62">
        <v>-7.815970093361102E-14</v>
      </c>
      <c r="C337" s="62">
        <v>-7.8003693546517987E-17</v>
      </c>
      <c r="D337" s="67">
        <v>1.9970059880239521</v>
      </c>
      <c r="E337" s="63">
        <v>0.33532934131736525</v>
      </c>
      <c r="F337" s="63">
        <v>0.33233532934131738</v>
      </c>
      <c r="G337" s="63">
        <v>0.29426613775694194</v>
      </c>
      <c r="H337" s="63">
        <v>0.15987498497415556</v>
      </c>
      <c r="I337" s="64">
        <v>8432.8431372549021</v>
      </c>
      <c r="J337" s="64">
        <v>-7857.2180451127815</v>
      </c>
      <c r="K337" s="63">
        <v>9.6806387225548907E-2</v>
      </c>
      <c r="L337" s="63">
        <v>0.25063108546700325</v>
      </c>
      <c r="M337" s="63">
        <v>0.23103738430099771</v>
      </c>
      <c r="N337" s="63">
        <v>0.5467625899280576</v>
      </c>
      <c r="O337" s="63">
        <v>0.42091571279916751</v>
      </c>
      <c r="P337" s="63">
        <v>0.45179738562091504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2020-01-29T15:39:31Z</dcterms:modified>
</cp:coreProperties>
</file>