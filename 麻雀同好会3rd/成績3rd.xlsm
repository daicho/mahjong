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416D874-8C06-4A61-953D-57091655D063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20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19" i="6345"/>
  <c r="O21" i="6345" l="1"/>
  <c r="O22" i="6339"/>
  <c r="O25" i="6349"/>
  <c r="O17" i="6353"/>
  <c r="O15" i="6353"/>
  <c r="O21" i="6351"/>
  <c r="O15" i="6341" l="1"/>
  <c r="O20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9" i="6339" l="1"/>
  <c r="O20" i="6343"/>
  <c r="O18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8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1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2" i="6349"/>
  <c r="H6" i="6349"/>
  <c r="C38" i="6349"/>
  <c r="C18" i="6349"/>
  <c r="H42" i="6349"/>
  <c r="H45" i="6349"/>
  <c r="C21" i="6349"/>
  <c r="H35" i="6349"/>
  <c r="H4" i="6349"/>
  <c r="H2" i="6349"/>
  <c r="H10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7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7" i="6347"/>
  <c r="H8" i="6347"/>
  <c r="H28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3" i="6347"/>
  <c r="C32" i="6347"/>
  <c r="H37" i="6347"/>
  <c r="H40" i="6347"/>
  <c r="C40" i="6347"/>
  <c r="H44" i="6347"/>
  <c r="H48" i="6347"/>
  <c r="H5" i="6347"/>
  <c r="H10" i="6347"/>
  <c r="H23" i="6347"/>
  <c r="H21" i="6347"/>
  <c r="C17" i="6347"/>
  <c r="H18" i="6347"/>
  <c r="H25" i="6347"/>
  <c r="H26" i="6347"/>
  <c r="H39" i="6347"/>
  <c r="C42" i="6347"/>
  <c r="H16" i="6347"/>
  <c r="C15" i="6347"/>
  <c r="H20" i="6347"/>
  <c r="H4" i="6347"/>
  <c r="H2" i="6347"/>
  <c r="H12" i="6347"/>
  <c r="H3" i="6347"/>
  <c r="H29" i="6347"/>
  <c r="C18" i="6347"/>
  <c r="C21" i="6347"/>
  <c r="H22" i="6347"/>
  <c r="H35" i="6347"/>
  <c r="H38" i="6347"/>
  <c r="C38" i="6347"/>
  <c r="H42" i="6347"/>
  <c r="H45" i="6347"/>
  <c r="H49" i="6347"/>
  <c r="H52" i="6347"/>
  <c r="B23" i="6347"/>
  <c r="H19" i="6347"/>
  <c r="H30" i="6347"/>
  <c r="H31" i="6347"/>
  <c r="H32" i="6347"/>
  <c r="H13" i="6347"/>
  <c r="H9" i="6347"/>
  <c r="H34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1" i="6345"/>
  <c r="H9" i="6345"/>
  <c r="H30" i="6345"/>
  <c r="C20" i="6345"/>
  <c r="H37" i="6345"/>
  <c r="C40" i="6345"/>
  <c r="H48" i="6345"/>
  <c r="H33" i="6345"/>
  <c r="C32" i="6345"/>
  <c r="H42" i="6345"/>
  <c r="H5" i="6345"/>
  <c r="H20" i="6345"/>
  <c r="C18" i="6345"/>
  <c r="H15" i="6345"/>
  <c r="H35" i="6345"/>
  <c r="H39" i="6345"/>
  <c r="H44" i="6345"/>
  <c r="H7" i="6345"/>
  <c r="H24" i="6345"/>
  <c r="C21" i="6345"/>
  <c r="H28" i="6345"/>
  <c r="H49" i="6345"/>
  <c r="C15" i="6345"/>
  <c r="H23" i="6345"/>
  <c r="H3" i="6345"/>
  <c r="H2" i="6345"/>
  <c r="H11" i="6345"/>
  <c r="H4" i="6345"/>
  <c r="H25" i="6345"/>
  <c r="C19" i="6345"/>
  <c r="H26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2" i="6345"/>
  <c r="H14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9" i="6337"/>
  <c r="H22" i="6341"/>
  <c r="H16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5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2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8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9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3" i="6339"/>
  <c r="H12" i="6339"/>
  <c r="H8" i="6339"/>
  <c r="H24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<sst xmlns="http://schemas.openxmlformats.org/spreadsheetml/2006/main" count="3823" uniqueCount="295">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</sst>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全体!$K$2:$K$845</c:f>
              <c:numCache>
                <c:formatCode>General</c:formatCode>
                <c:ptCount val="8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</c:numCache>
            </c:numRef>
          </c:xVal>
          <c:yVal>
            <c:numRef>
              <c:f>全体!$L$2:$L$845</c:f>
              <c:numCache>
                <c:formatCode>\+0.0;\-0.0;\±0</c:formatCode>
                <c:ptCount val="84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-26.19047619047619</c:v>
                </c:pt>
                <c:pt idx="1">
                  <c:v>9.6618357487922708</c:v>
                </c:pt>
                <c:pt idx="2">
                  <c:v>-7.6628352490421454</c:v>
                </c:pt>
                <c:pt idx="3">
                  <c:v>10.884353741496598</c:v>
                </c:pt>
                <c:pt idx="4">
                  <c:v>2.9498525073746311</c:v>
                </c:pt>
                <c:pt idx="5">
                  <c:v>15.873015873015873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162</c:v>
                </c:pt>
                <c:pt idx="1">
                  <c:v>351</c:v>
                </c:pt>
                <c:pt idx="2">
                  <c:v>414</c:v>
                </c:pt>
                <c:pt idx="3">
                  <c:v>367</c:v>
                </c:pt>
                <c:pt idx="4">
                  <c:v>331</c:v>
                </c:pt>
                <c:pt idx="5">
                  <c:v>219</c:v>
                </c:pt>
                <c:pt idx="6">
                  <c:v>110</c:v>
                </c:pt>
                <c:pt idx="7">
                  <c:v>59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2258.6666666666665</c:v>
                </c:pt>
                <c:pt idx="1">
                  <c:v>-1750</c:v>
                </c:pt>
                <c:pt idx="2">
                  <c:v>-1661.1111111111111</c:v>
                </c:pt>
                <c:pt idx="3">
                  <c:v>-1105.9701492537313</c:v>
                </c:pt>
                <c:pt idx="4">
                  <c:v>-201.5151515151515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37</c:v>
                </c:pt>
                <c:pt idx="2">
                  <c:v>39</c:v>
                </c:pt>
                <c:pt idx="3">
                  <c:v>26</c:v>
                </c:pt>
                <c:pt idx="4">
                  <c:v>20</c:v>
                </c:pt>
                <c:pt idx="5">
                  <c:v>15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1310.4938271604938</c:v>
                </c:pt>
                <c:pt idx="1">
                  <c:v>979.24528301886789</c:v>
                </c:pt>
                <c:pt idx="2">
                  <c:v>1090.1960784313726</c:v>
                </c:pt>
                <c:pt idx="3">
                  <c:v>359.85915492957747</c:v>
                </c:pt>
                <c:pt idx="4">
                  <c:v>1937.121212121212</c:v>
                </c:pt>
                <c:pt idx="5">
                  <c:v>1948.148148148148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43</c:v>
                </c:pt>
                <c:pt idx="1">
                  <c:v>85</c:v>
                </c:pt>
                <c:pt idx="2">
                  <c:v>94</c:v>
                </c:pt>
                <c:pt idx="3">
                  <c:v>83</c:v>
                </c:pt>
                <c:pt idx="4">
                  <c:v>67</c:v>
                </c:pt>
                <c:pt idx="5">
                  <c:v>41</c:v>
                </c:pt>
                <c:pt idx="6">
                  <c:v>23</c:v>
                </c:pt>
                <c:pt idx="7">
                  <c:v>6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ただ!$L$2:$L$146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-1483.9160839160838</c:v>
                </c:pt>
                <c:pt idx="1">
                  <c:v>1521.2765957446809</c:v>
                </c:pt>
                <c:pt idx="2">
                  <c:v>-450.76923076923077</c:v>
                </c:pt>
                <c:pt idx="3">
                  <c:v>317.07317073170731</c:v>
                </c:pt>
                <c:pt idx="4">
                  <c:v>-953.57142857142856</c:v>
                </c:pt>
                <c:pt idx="5">
                  <c:v>1219.1489361702127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25</c:v>
                </c:pt>
                <c:pt idx="1">
                  <c:v>62</c:v>
                </c:pt>
                <c:pt idx="2">
                  <c:v>77</c:v>
                </c:pt>
                <c:pt idx="3">
                  <c:v>77</c:v>
                </c:pt>
                <c:pt idx="4">
                  <c:v>54</c:v>
                </c:pt>
                <c:pt idx="5">
                  <c:v>39</c:v>
                </c:pt>
                <c:pt idx="6">
                  <c:v>12</c:v>
                </c:pt>
                <c:pt idx="7">
                  <c:v>8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りくと!$L$2:$L$97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-388.29787234042556</c:v>
                </c:pt>
                <c:pt idx="1">
                  <c:v>-554.25531914893622</c:v>
                </c:pt>
                <c:pt idx="2">
                  <c:v>462.5</c:v>
                </c:pt>
                <c:pt idx="3">
                  <c:v>-744.18604651162786</c:v>
                </c:pt>
                <c:pt idx="4">
                  <c:v>-3076.5432098765432</c:v>
                </c:pt>
                <c:pt idx="5">
                  <c:v>-1363.3802816901409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50</c:v>
                </c:pt>
                <c:pt idx="3">
                  <c:v>34</c:v>
                </c:pt>
                <c:pt idx="4">
                  <c:v>37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れんたろう!$L$2:$L$119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1589.7435897435898</c:v>
                </c:pt>
                <c:pt idx="1">
                  <c:v>-1593.9130434782608</c:v>
                </c:pt>
                <c:pt idx="2">
                  <c:v>251.88679245283018</c:v>
                </c:pt>
                <c:pt idx="3">
                  <c:v>2458</c:v>
                </c:pt>
                <c:pt idx="4">
                  <c:v>1082.2222222222222</c:v>
                </c:pt>
                <c:pt idx="5">
                  <c:v>542.25352112676057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21</c:v>
                </c:pt>
                <c:pt idx="2">
                  <c:v>39</c:v>
                </c:pt>
                <c:pt idx="3">
                  <c:v>53</c:v>
                </c:pt>
                <c:pt idx="4">
                  <c:v>62</c:v>
                </c:pt>
                <c:pt idx="5">
                  <c:v>34</c:v>
                </c:pt>
                <c:pt idx="6">
                  <c:v>21</c:v>
                </c:pt>
                <c:pt idx="7">
                  <c:v>18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まっつん!$L$2:$L$132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-313.07692307692309</c:v>
                </c:pt>
                <c:pt idx="1">
                  <c:v>-90.551181102362207</c:v>
                </c:pt>
                <c:pt idx="2">
                  <c:v>227.27272727272728</c:v>
                </c:pt>
                <c:pt idx="3">
                  <c:v>67.272727272727266</c:v>
                </c:pt>
                <c:pt idx="4">
                  <c:v>-85.858585858585855</c:v>
                </c:pt>
                <c:pt idx="5">
                  <c:v>-1177.3809523809523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53</c:v>
                </c:pt>
                <c:pt idx="2">
                  <c:v>62</c:v>
                </c:pt>
                <c:pt idx="3">
                  <c:v>54</c:v>
                </c:pt>
                <c:pt idx="4">
                  <c:v>41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のり!$L$2:$L$61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-2438.9830508474574</c:v>
                </c:pt>
                <c:pt idx="1">
                  <c:v>564.40677966101691</c:v>
                </c:pt>
                <c:pt idx="2">
                  <c:v>-1310.5263157894738</c:v>
                </c:pt>
                <c:pt idx="3">
                  <c:v>-1750.9803921568628</c:v>
                </c:pt>
                <c:pt idx="4">
                  <c:v>-1802.0408163265306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25</c:v>
                </c:pt>
                <c:pt idx="2">
                  <c:v>27</c:v>
                </c:pt>
                <c:pt idx="3">
                  <c:v>18</c:v>
                </c:pt>
                <c:pt idx="4">
                  <c:v>18</c:v>
                </c:pt>
                <c:pt idx="5">
                  <c:v>11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900117616038791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7523000707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783439490445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53.0230326295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51.3560804899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8991696322657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201698513800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308563340410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52190793122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81463112213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777351247600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AB0BD8-9D57-4A04-81F8-95B33DE396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691191-52BA-418E-B142-0FC3A08D2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6167EF-B979-4FEF-9224-0249E9657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E0AA4A-F205-4A18-9353-B6B7A2FB1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865E29-4E78-4ADF-BDBA-1B29869DA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A81598-FD8E-4068-A271-324F7DFE9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27A2CB-1BA6-4148-9FE1-2B3597DB0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765F56-A8CD-44FF-99D3-96D3C8B76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A7DB36-4522-4EED-9081-C2B590E52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2BDFE7-2C6C-49F7-B8EA-427EB645C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732D93-70AD-459A-9F71-C4773A6A84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1E265D-D5D0-4B9B-86E0-C07378D6E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2D8251-006B-4F83-986E-D34C70BE3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2DC125-76DF-42DC-A37E-DEA5412E4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7F9BB4-3EA3-44D7-B116-6C708F1EF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81B169-07CA-49E3-A484-6C7E1989A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F86E27-ED90-49B3-8828-ED5D0DDEE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6838C3-A44A-40A7-A7D0-36B7C8772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B26117-33AD-43DD-9F8C-9B25E27E3E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6B49F1-8174-462E-A90A-F5534683ED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E76ADF-20F1-40ED-96DE-B5A902CDC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9B223D-BE3B-407E-A3CC-AF2434353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73F337-19BB-4E67-B0F3-6718CB16B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6A2FF8-8691-40CD-91E4-141D4B99F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A52AE9-74F2-47EB-BCDE-204E177D9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5C0F69-1198-4291-8F3E-DA7221FE8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D558DB3-217A-45F3-960D-2BF744450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BF81A6-CAEF-4914-9E4A-27B41DE27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E3D963-AE55-4137-B585-8A75FDA26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ADADA5-7B58-422E-9338-C4A5CBFF9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2DAA2C-3A4F-4F3A-BB67-51E2FB7321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B87392-1DA6-4170-8A0B-AA125DC73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371FC0-A1A2-428F-9377-4BFD104206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CE83F6-0CD0-48D3-B30B-0D928902FA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339E3D-8FEE-4873-B256-E30DBC92B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274CD9-7C48-49AD-BF9A-A6E1E15E5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936D6C-7839-4497-AF77-F65C72BBF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377A97-E8AF-4ED8-B4D9-1E58D2DBB9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3672692-6E51-40D2-AE37-FA30BE332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069015-DC53-490A-A711-62E10072DD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E745E5-7459-459E-A8F4-ACC0E99C6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5FFB86D-9A1A-42E7-B9CF-4FB002D32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8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43735.329293981478</v>
      </c>
      <c r="C3" s="28" t="s">
        <v>128</v>
      </c>
    </row>
    <row r="4" spans="1:12" x14ac:dyDescent="0.4">
      <c r="A4" s="28" t="s">
        <v>220</v>
      </c>
      <c r="B4" s="29">
        <v>43735.329201388886</v>
      </c>
      <c r="C4" s="28" t="s">
        <v>128</v>
      </c>
    </row>
    <row r="5" spans="1:12" x14ac:dyDescent="0.4">
      <c r="A5" s="28" t="s">
        <v>221</v>
      </c>
      <c r="B5" s="29">
        <v>43737.872604166667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43737.872604166667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43737.873645833337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43739.760312500002</v>
      </c>
      <c r="C8" s="28" t="s">
        <v>128</v>
      </c>
    </row>
    <row r="9" spans="1:12" x14ac:dyDescent="0.4">
      <c r="A9" s="28" t="s">
        <v>229</v>
      </c>
      <c r="B9" s="29">
        <v>43739.760069444441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43742.090381944443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43742.090381944443</v>
      </c>
      <c r="C11" s="28" t="s">
        <v>128</v>
      </c>
    </row>
    <row r="12" spans="1:12" x14ac:dyDescent="0.4">
      <c r="A12" s="28" t="s">
        <v>232</v>
      </c>
      <c r="B12" s="29">
        <v>43742.090381944443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43745.602835648147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43745.602847222224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43745.024594907409</v>
      </c>
      <c r="C18" s="28" t="s">
        <v>128</v>
      </c>
    </row>
    <row r="19" spans="1:12" x14ac:dyDescent="0.4">
      <c r="A19" s="28" t="s">
        <v>239</v>
      </c>
      <c r="B19" s="29">
        <v>43748.026620370372</v>
      </c>
      <c r="C19" s="28" t="s">
        <v>128</v>
      </c>
    </row>
    <row r="20" spans="1:12" x14ac:dyDescent="0.4">
      <c r="A20" s="28" t="s">
        <v>240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43748.026620370372</v>
      </c>
      <c r="C21" s="28" t="s">
        <v>128</v>
      </c>
    </row>
    <row r="22" spans="1:12" x14ac:dyDescent="0.4">
      <c r="A22" s="28" t="s">
        <v>242</v>
      </c>
      <c r="B22" s="29">
        <v>43748.026620370372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43801.790567129632</v>
      </c>
      <c r="C23" s="28" t="s">
        <v>128</v>
      </c>
    </row>
    <row r="24" spans="1:12" x14ac:dyDescent="0.4">
      <c r="A24" s="28" t="s">
        <v>244</v>
      </c>
      <c r="B24" s="29">
        <v>43751.127928240741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43751.127928240741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43752.484606481485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43753.081296296295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43801.790567129632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43755.626284722224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43756.406157407408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43758.084374999999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43758.955601851849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43758.955601851849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43763.053819444445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43763.053819444445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43763.053819444445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43764.184340277781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43765.985891203702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43765.985891203702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43771.434791666667</v>
      </c>
      <c r="C41" s="28" t="s">
        <v>128</v>
      </c>
    </row>
    <row r="42" spans="1:9" x14ac:dyDescent="0.4">
      <c r="A42" s="28" t="s">
        <v>214</v>
      </c>
      <c r="B42" s="29">
        <v>43771.434791666667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43771.434791666667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43771.434791666667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43771.434791666667</v>
      </c>
      <c r="C47" s="28" t="s">
        <v>128</v>
      </c>
    </row>
    <row r="48" spans="1:9" x14ac:dyDescent="0.4">
      <c r="A48" s="28" t="s">
        <v>251</v>
      </c>
      <c r="B48" s="29">
        <v>43771.757430555554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43773.988738425927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43773.988738425927</v>
      </c>
      <c r="C50" s="28" t="s">
        <v>128</v>
      </c>
    </row>
    <row r="51" spans="1:9" x14ac:dyDescent="0.4">
      <c r="A51" s="28" t="s">
        <v>254</v>
      </c>
      <c r="B51" s="29">
        <v>43775.353136574071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43786.930289351854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43786.930289351854</v>
      </c>
      <c r="C53" s="28" t="s">
        <v>128</v>
      </c>
    </row>
    <row r="54" spans="1:9" x14ac:dyDescent="0.4">
      <c r="A54" s="28" t="s">
        <v>257</v>
      </c>
      <c r="B54" s="29">
        <v>43786.930289351854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43786.930289351854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43786.930289351854</v>
      </c>
      <c r="C56" s="28" t="s">
        <v>128</v>
      </c>
    </row>
    <row r="57" spans="1:9" x14ac:dyDescent="0.4">
      <c r="A57" s="28" t="s">
        <v>260</v>
      </c>
      <c r="B57" s="29">
        <v>43786.930289351854</v>
      </c>
      <c r="C57" s="28" t="s">
        <v>128</v>
      </c>
    </row>
    <row r="58" spans="1:9" x14ac:dyDescent="0.4">
      <c r="A58" s="28" t="s">
        <v>261</v>
      </c>
      <c r="B58" s="29">
        <v>43786.930289351854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43786.930289351854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43788.870613425926</v>
      </c>
      <c r="C60" s="28" t="s">
        <v>128</v>
      </c>
    </row>
    <row r="61" spans="1:9" x14ac:dyDescent="0.4">
      <c r="A61" s="28" t="s">
        <v>264</v>
      </c>
      <c r="B61" s="29">
        <v>43789.063784722224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43790.614351851851</v>
      </c>
      <c r="C62" s="28" t="s">
        <v>128</v>
      </c>
    </row>
    <row r="63" spans="1:9" x14ac:dyDescent="0.4">
      <c r="A63" s="28" t="s">
        <v>266</v>
      </c>
      <c r="B63" s="29">
        <v>43790.988564814812</v>
      </c>
      <c r="C63" s="28" t="s">
        <v>128</v>
      </c>
    </row>
    <row r="64" spans="1:9" x14ac:dyDescent="0.4">
      <c r="A64" s="28" t="s">
        <v>267</v>
      </c>
      <c r="B64" s="29">
        <v>43792.907395833332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43793.921354166669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43795.739641203705</v>
      </c>
      <c r="C66" s="28" t="s">
        <v>128</v>
      </c>
    </row>
    <row r="67" spans="1:12" x14ac:dyDescent="0.4">
      <c r="A67" s="28" t="s">
        <v>270</v>
      </c>
      <c r="B67" s="29">
        <v>43801.790567129632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43801.790567129632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43805.924375000002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43805.924375000002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43805.924375000002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43805.924375000002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43805.924375000002</v>
      </c>
      <c r="C73" s="28" t="s">
        <v>128</v>
      </c>
    </row>
    <row r="74" spans="1:12" x14ac:dyDescent="0.4">
      <c r="A74" s="28" t="s">
        <v>278</v>
      </c>
      <c r="B74" s="29">
        <v>43809.912534722222</v>
      </c>
      <c r="C74" s="28" t="s">
        <v>128</v>
      </c>
    </row>
    <row r="75" spans="1:12" x14ac:dyDescent="0.4">
      <c r="A75" s="28" t="s">
        <v>279</v>
      </c>
      <c r="B75" s="29">
        <v>43809.912534722222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43809.912534722222</v>
      </c>
      <c r="C76" s="28" t="s">
        <v>128</v>
      </c>
    </row>
    <row r="77" spans="1:12" x14ac:dyDescent="0.4">
      <c r="A77" s="28" t="s">
        <v>283</v>
      </c>
      <c r="B77" s="29">
        <v>43809.912534722222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43809.912534722222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43816.914398148147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43816.914398148147</v>
      </c>
      <c r="C80" s="28" t="s">
        <v>128</v>
      </c>
    </row>
    <row r="81" spans="1:8" x14ac:dyDescent="0.4">
      <c r="A81" s="28" t="s">
        <v>287</v>
      </c>
      <c r="B81" s="29">
        <v>43816.914398148147</v>
      </c>
      <c r="C81" s="28" t="s">
        <v>128</v>
      </c>
      <c r="D81" s="28" t="s">
        <v>129</v>
      </c>
      <c r="E81" s="28" t="s">
        <v>173</v>
      </c>
    </row>
    <row r="82" spans="1:8" x14ac:dyDescent="0.4">
      <c r="A82" s="28" t="s">
        <v>288</v>
      </c>
      <c r="B82" s="29">
        <v>43816.914398148147</v>
      </c>
      <c r="C82" s="28" t="s">
        <v>128</v>
      </c>
    </row>
    <row r="83" spans="1:8" x14ac:dyDescent="0.4">
      <c r="A83" s="28" t="s">
        <v>289</v>
      </c>
      <c r="B83" s="29">
        <v>43816.914398148147</v>
      </c>
      <c r="C83" s="28" t="s">
        <v>128</v>
      </c>
      <c r="D83" s="28" t="s">
        <v>129</v>
      </c>
      <c r="E83" s="28" t="s">
        <v>173</v>
      </c>
    </row>
    <row r="84" spans="1:8" x14ac:dyDescent="0.4">
      <c r="A84" s="28" t="s">
        <v>290</v>
      </c>
      <c r="B84" s="29">
        <v>43837.807129629633</v>
      </c>
      <c r="C84" s="28" t="s">
        <v>128</v>
      </c>
      <c r="D84" s="28" t="s">
        <v>129</v>
      </c>
    </row>
    <row r="85" spans="1:8" x14ac:dyDescent="0.4">
      <c r="A85" s="28" t="s">
        <v>291</v>
      </c>
      <c r="B85" s="29">
        <v>43837.807129629633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8" x14ac:dyDescent="0.4">
      <c r="A86" s="28" t="s">
        <v>292</v>
      </c>
      <c r="B86" s="29">
        <v>43837.807129629633</v>
      </c>
      <c r="C86" s="28" t="s">
        <v>128</v>
      </c>
      <c r="D86" s="28" t="s">
        <v>129</v>
      </c>
    </row>
    <row r="87" spans="1:8" x14ac:dyDescent="0.4">
      <c r="A87" s="28" t="s">
        <v>293</v>
      </c>
      <c r="B87" s="29">
        <v>43837.807129629633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8" x14ac:dyDescent="0.4">
      <c r="A88" s="28" t="s">
        <v>294</v>
      </c>
      <c r="B88" s="29">
        <v>43837.807129629633</v>
      </c>
      <c r="C88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843</v>
      </c>
    </row>
    <row r="2" spans="1:2" x14ac:dyDescent="0.4">
      <c r="A2" t="s">
        <v>161</v>
      </c>
      <c r="B2">
        <v>75</v>
      </c>
    </row>
    <row r="3" spans="1:2" x14ac:dyDescent="0.4">
      <c r="A3" t="s">
        <v>126</v>
      </c>
      <c r="B3">
        <v>163</v>
      </c>
    </row>
    <row r="4" spans="1:2" x14ac:dyDescent="0.4">
      <c r="A4" t="s">
        <v>127</v>
      </c>
      <c r="B4">
        <v>144</v>
      </c>
    </row>
    <row r="5" spans="1:2" x14ac:dyDescent="0.4">
      <c r="A5" t="s">
        <v>172</v>
      </c>
      <c r="B5">
        <v>95</v>
      </c>
    </row>
    <row r="6" spans="1:2" x14ac:dyDescent="0.4">
      <c r="A6" t="s">
        <v>170</v>
      </c>
      <c r="B6">
        <v>117</v>
      </c>
    </row>
    <row r="7" spans="1:2" x14ac:dyDescent="0.4">
      <c r="A7" t="s">
        <v>171</v>
      </c>
      <c r="B7">
        <v>130</v>
      </c>
    </row>
    <row r="8" spans="1:2" x14ac:dyDescent="0.4">
      <c r="A8" t="s">
        <v>197</v>
      </c>
      <c r="B8">
        <v>59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13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0.96615528003661577</v>
      </c>
      <c r="G2" s="167"/>
      <c r="H2" s="166">
        <v>0.84147614637729939</v>
      </c>
      <c r="I2" s="167"/>
      <c r="J2" s="166">
        <v>0.91756342514441191</v>
      </c>
      <c r="K2" s="167"/>
      <c r="L2" s="166">
        <v>0.495065763539075</v>
      </c>
      <c r="M2" s="167"/>
      <c r="N2" s="166">
        <v>0.52906462516092201</v>
      </c>
      <c r="O2" s="167"/>
      <c r="P2" s="166">
        <v>0.52015494011387853</v>
      </c>
      <c r="Q2" s="167"/>
      <c r="R2" s="166">
        <v>0.18643230061996494</v>
      </c>
      <c r="S2" s="167"/>
      <c r="T2" s="166">
        <v>0.40435648010776926</v>
      </c>
      <c r="U2" s="167"/>
      <c r="V2" s="166">
        <v>0.46450766189424414</v>
      </c>
      <c r="W2" s="167"/>
      <c r="X2" s="166">
        <v>8.1443729922873274E-3</v>
      </c>
      <c r="Y2" s="167"/>
      <c r="Z2" s="166">
        <v>0.3736015127721149</v>
      </c>
      <c r="AA2" s="167"/>
      <c r="AB2" s="166">
        <v>3.1910777060458043E-3</v>
      </c>
      <c r="AC2" s="167"/>
      <c r="AD2" s="166">
        <v>-2.7281313179889473E-2</v>
      </c>
      <c r="AE2" s="167"/>
      <c r="AF2" s="166">
        <v>0.84678188393101095</v>
      </c>
      <c r="AG2" s="167"/>
    </row>
    <row r="3" spans="1:33" x14ac:dyDescent="0.4">
      <c r="A3" s="70">
        <v>1</v>
      </c>
      <c r="B3" s="71" t="s">
        <v>126</v>
      </c>
      <c r="C3" s="72">
        <v>1425.1000000000001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10674.169741697417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619.00000000000034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0.24539877300613497</v>
      </c>
      <c r="L4" s="81" t="s">
        <v>281</v>
      </c>
      <c r="M4" s="84">
        <v>0.37681159420289856</v>
      </c>
      <c r="N4" s="81" t="s">
        <v>126</v>
      </c>
      <c r="O4" s="84">
        <v>0.13089005235602094</v>
      </c>
      <c r="P4" s="81" t="s">
        <v>281</v>
      </c>
      <c r="Q4" s="85">
        <v>9534.6153846153848</v>
      </c>
      <c r="R4" s="81" t="s">
        <v>171</v>
      </c>
      <c r="S4" s="85">
        <v>-7191.9463087248323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0.50553505535055354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126</v>
      </c>
      <c r="E5" s="93">
        <v>8.7429447852760749</v>
      </c>
      <c r="F5" s="81" t="s">
        <v>126</v>
      </c>
      <c r="G5" s="82">
        <v>1.7852760736196318</v>
      </c>
      <c r="H5" s="81" t="s">
        <v>126</v>
      </c>
      <c r="I5" s="83">
        <v>0.46012269938650308</v>
      </c>
      <c r="J5" s="81" t="s">
        <v>170</v>
      </c>
      <c r="K5" s="83">
        <v>0.29914529914529914</v>
      </c>
      <c r="L5" s="81" t="s">
        <v>274</v>
      </c>
      <c r="M5" s="84">
        <v>0.3559322033898305</v>
      </c>
      <c r="N5" s="81" t="s">
        <v>171</v>
      </c>
      <c r="O5" s="84">
        <v>0.14069877242681775</v>
      </c>
      <c r="P5" s="81" t="s">
        <v>280</v>
      </c>
      <c r="Q5" s="85">
        <v>8512.5</v>
      </c>
      <c r="R5" s="81" t="s">
        <v>126</v>
      </c>
      <c r="S5" s="85">
        <v>-7571.4285714285716</v>
      </c>
      <c r="T5" s="81" t="s">
        <v>126</v>
      </c>
      <c r="U5" s="83">
        <v>4.2944785276073622E-2</v>
      </c>
      <c r="V5" s="81" t="s">
        <v>170</v>
      </c>
      <c r="W5" s="84">
        <v>0.31171548117154813</v>
      </c>
      <c r="X5" s="81" t="s">
        <v>127</v>
      </c>
      <c r="Y5" s="84">
        <v>0.29866888519134777</v>
      </c>
      <c r="Z5" s="81" t="s">
        <v>126</v>
      </c>
      <c r="AA5" s="84">
        <v>0.60281690140845068</v>
      </c>
      <c r="AB5" s="81" t="s">
        <v>126</v>
      </c>
      <c r="AC5" s="84">
        <v>0.49839228295819937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203</v>
      </c>
      <c r="C6" s="80">
        <v>26.2</v>
      </c>
      <c r="D6" s="81" t="s">
        <v>170</v>
      </c>
      <c r="E6" s="93">
        <v>5.2905982905982931</v>
      </c>
      <c r="F6" s="81" t="s">
        <v>170</v>
      </c>
      <c r="G6" s="82">
        <v>1.8803418803418803</v>
      </c>
      <c r="H6" s="81" t="s">
        <v>228</v>
      </c>
      <c r="I6" s="83">
        <v>0.42857142857142855</v>
      </c>
      <c r="J6" s="81" t="s">
        <v>127</v>
      </c>
      <c r="K6" s="83">
        <v>0.30555555555555558</v>
      </c>
      <c r="L6" s="81" t="s">
        <v>126</v>
      </c>
      <c r="M6" s="84">
        <v>0.34480179506357517</v>
      </c>
      <c r="N6" s="81" t="s">
        <v>161</v>
      </c>
      <c r="O6" s="84">
        <v>0.15442278860569716</v>
      </c>
      <c r="P6" s="81" t="s">
        <v>196</v>
      </c>
      <c r="Q6" s="85">
        <v>8385.7142857142862</v>
      </c>
      <c r="R6" s="81" t="s">
        <v>172</v>
      </c>
      <c r="S6" s="85">
        <v>-7591.7808219178078</v>
      </c>
      <c r="T6" s="81" t="s">
        <v>161</v>
      </c>
      <c r="U6" s="83">
        <v>6.6666666666666666E-2</v>
      </c>
      <c r="V6" s="81" t="s">
        <v>274</v>
      </c>
      <c r="W6" s="84">
        <v>0.30508474576271188</v>
      </c>
      <c r="X6" s="81" t="s">
        <v>161</v>
      </c>
      <c r="Y6" s="84">
        <v>0.25337331334332835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0.46846846846846846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127</v>
      </c>
      <c r="C7" s="80">
        <v>21.799999999999812</v>
      </c>
      <c r="D7" s="81" t="s">
        <v>127</v>
      </c>
      <c r="E7" s="93">
        <v>0.15138888888888757</v>
      </c>
      <c r="F7" s="81" t="s">
        <v>127</v>
      </c>
      <c r="G7" s="82">
        <v>1.9652777777777777</v>
      </c>
      <c r="H7" s="81" t="s">
        <v>170</v>
      </c>
      <c r="I7" s="83">
        <v>0.41880341880341881</v>
      </c>
      <c r="J7" s="81" t="s">
        <v>171</v>
      </c>
      <c r="K7" s="83">
        <v>0.32307692307692309</v>
      </c>
      <c r="L7" s="81" t="s">
        <v>127</v>
      </c>
      <c r="M7" s="84">
        <v>0.30532445923460899</v>
      </c>
      <c r="N7" s="81" t="s">
        <v>141</v>
      </c>
      <c r="O7" s="84">
        <v>0.16178343949044585</v>
      </c>
      <c r="P7" s="81" t="s">
        <v>141</v>
      </c>
      <c r="Q7" s="85">
        <v>8353.0230326295587</v>
      </c>
      <c r="R7" s="81" t="s">
        <v>161</v>
      </c>
      <c r="S7" s="85">
        <v>-7741.7475728155341</v>
      </c>
      <c r="T7" s="81" t="s">
        <v>172</v>
      </c>
      <c r="U7" s="83">
        <v>7.3684210526315783E-2</v>
      </c>
      <c r="V7" s="81" t="s">
        <v>172</v>
      </c>
      <c r="W7" s="84">
        <v>0.2767527675276753</v>
      </c>
      <c r="X7" s="81" t="s">
        <v>126</v>
      </c>
      <c r="Y7" s="84">
        <v>0.23261032161555723</v>
      </c>
      <c r="Z7" s="81" t="s">
        <v>170</v>
      </c>
      <c r="AA7" s="84">
        <v>0.55704697986577179</v>
      </c>
      <c r="AB7" s="81" t="s">
        <v>197</v>
      </c>
      <c r="AC7" s="84">
        <v>0.4247787610619469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141</v>
      </c>
      <c r="C8" s="80">
        <v>-4.9737991503207013E-14</v>
      </c>
      <c r="D8" s="81" t="s">
        <v>141</v>
      </c>
      <c r="E8" s="93">
        <v>-5.9001176160387911E-17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0.29497523000707715</v>
      </c>
      <c r="N8" s="81" t="s">
        <v>170</v>
      </c>
      <c r="O8" s="84">
        <v>0.16945606694560669</v>
      </c>
      <c r="P8" s="81" t="s">
        <v>127</v>
      </c>
      <c r="Q8" s="85">
        <v>8273.0245231607623</v>
      </c>
      <c r="R8" s="81" t="s">
        <v>141</v>
      </c>
      <c r="S8" s="85">
        <v>-7751.3560804899389</v>
      </c>
      <c r="T8" s="81" t="s">
        <v>171</v>
      </c>
      <c r="U8" s="83">
        <v>7.6923076923076927E-2</v>
      </c>
      <c r="V8" s="81" t="s">
        <v>203</v>
      </c>
      <c r="W8" s="84">
        <v>0.26666666666666666</v>
      </c>
      <c r="X8" s="81" t="s">
        <v>197</v>
      </c>
      <c r="Y8" s="84">
        <v>0.23203285420944558</v>
      </c>
      <c r="Z8" s="81" t="s">
        <v>141</v>
      </c>
      <c r="AA8" s="84">
        <v>0.55352190793122569</v>
      </c>
      <c r="AB8" s="81" t="s">
        <v>141</v>
      </c>
      <c r="AC8" s="84">
        <v>0.42281463112213269</v>
      </c>
      <c r="AD8" s="81" t="s">
        <v>197</v>
      </c>
      <c r="AE8" s="84">
        <v>0.453125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196</v>
      </c>
      <c r="C9" s="80">
        <v>-45.7</v>
      </c>
      <c r="D9" s="81" t="s">
        <v>171</v>
      </c>
      <c r="E9" s="93">
        <v>-1.776153846153846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0.28347280334728031</v>
      </c>
      <c r="N9" s="81" t="s">
        <v>274</v>
      </c>
      <c r="O9" s="84">
        <v>0.16949152542372881</v>
      </c>
      <c r="P9" s="81" t="s">
        <v>171</v>
      </c>
      <c r="Q9" s="85">
        <v>8255.1369863013697</v>
      </c>
      <c r="R9" s="81" t="s">
        <v>127</v>
      </c>
      <c r="S9" s="85">
        <v>-7976.818181818182</v>
      </c>
      <c r="T9" s="81" t="s">
        <v>141</v>
      </c>
      <c r="U9" s="83">
        <v>9.4899169632265717E-2</v>
      </c>
      <c r="V9" s="81" t="s">
        <v>171</v>
      </c>
      <c r="W9" s="84">
        <v>0.26628895184135976</v>
      </c>
      <c r="X9" s="81" t="s">
        <v>141</v>
      </c>
      <c r="Y9" s="84">
        <v>0.22830856334041047</v>
      </c>
      <c r="Z9" s="81" t="s">
        <v>171</v>
      </c>
      <c r="AA9" s="84">
        <v>0.54609929078014185</v>
      </c>
      <c r="AB9" s="81" t="s">
        <v>171</v>
      </c>
      <c r="AC9" s="84">
        <v>0.41772151898734178</v>
      </c>
      <c r="AD9" s="81" t="s">
        <v>141</v>
      </c>
      <c r="AE9" s="84">
        <v>0.44577735124760076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0.34027777777777779</v>
      </c>
      <c r="J10" s="81" t="s">
        <v>172</v>
      </c>
      <c r="K10" s="83">
        <v>0.37894736842105264</v>
      </c>
      <c r="L10" s="81" t="s">
        <v>171</v>
      </c>
      <c r="M10" s="84">
        <v>0.27573182247403211</v>
      </c>
      <c r="N10" s="81" t="s">
        <v>196</v>
      </c>
      <c r="O10" s="84">
        <v>0.17499999999999999</v>
      </c>
      <c r="P10" s="81" t="s">
        <v>126</v>
      </c>
      <c r="Q10" s="85">
        <v>8136.0086767895882</v>
      </c>
      <c r="R10" s="81" t="s">
        <v>280</v>
      </c>
      <c r="S10" s="85">
        <v>-7987.5</v>
      </c>
      <c r="T10" s="81" t="s">
        <v>170</v>
      </c>
      <c r="U10" s="83">
        <v>0.10256410256410256</v>
      </c>
      <c r="V10" s="81" t="s">
        <v>126</v>
      </c>
      <c r="W10" s="84">
        <v>0.26551982049364248</v>
      </c>
      <c r="X10" s="81" t="s">
        <v>171</v>
      </c>
      <c r="Y10" s="84">
        <v>0.22379603399433429</v>
      </c>
      <c r="Z10" s="81" t="s">
        <v>172</v>
      </c>
      <c r="AA10" s="84">
        <v>0.54222222222222227</v>
      </c>
      <c r="AB10" s="81" t="s">
        <v>172</v>
      </c>
      <c r="AC10" s="84">
        <v>0.41509433962264153</v>
      </c>
      <c r="AD10" s="81" t="s">
        <v>171</v>
      </c>
      <c r="AE10" s="84">
        <v>0.4452054794520548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2.0923076923076924</v>
      </c>
      <c r="H11" s="81" t="s">
        <v>141</v>
      </c>
      <c r="I11" s="83">
        <v>0.33333333333333331</v>
      </c>
      <c r="J11" s="81" t="s">
        <v>274</v>
      </c>
      <c r="K11" s="83">
        <v>0.38461538461538464</v>
      </c>
      <c r="L11" s="81" t="s">
        <v>172</v>
      </c>
      <c r="M11" s="84">
        <v>0.27306273062730629</v>
      </c>
      <c r="N11" s="81" t="s">
        <v>172</v>
      </c>
      <c r="O11" s="84">
        <v>0.17958179581795819</v>
      </c>
      <c r="P11" s="81" t="s">
        <v>197</v>
      </c>
      <c r="Q11" s="85">
        <v>7987.5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0.19557195571955718</v>
      </c>
      <c r="Z11" s="81" t="s">
        <v>197</v>
      </c>
      <c r="AA11" s="84">
        <v>0.53846153846153844</v>
      </c>
      <c r="AB11" s="81" t="s">
        <v>161</v>
      </c>
      <c r="AC11" s="84">
        <v>0.40828402366863903</v>
      </c>
      <c r="AD11" s="81" t="s">
        <v>126</v>
      </c>
      <c r="AE11" s="84">
        <v>0.41865509761388287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-6.1626666666666701</v>
      </c>
      <c r="F12" s="81" t="s">
        <v>161</v>
      </c>
      <c r="G12" s="82">
        <v>2.1333333333333333</v>
      </c>
      <c r="H12" s="81" t="s">
        <v>161</v>
      </c>
      <c r="I12" s="83">
        <v>0.30666666666666664</v>
      </c>
      <c r="J12" s="81" t="s">
        <v>196</v>
      </c>
      <c r="K12" s="83">
        <v>0.4</v>
      </c>
      <c r="L12" s="81" t="s">
        <v>161</v>
      </c>
      <c r="M12" s="84">
        <v>0.27286356821589203</v>
      </c>
      <c r="N12" s="81" t="s">
        <v>197</v>
      </c>
      <c r="O12" s="84">
        <v>0.18275154004106775</v>
      </c>
      <c r="P12" s="81" t="s">
        <v>172</v>
      </c>
      <c r="Q12" s="85">
        <v>7830.6306306306305</v>
      </c>
      <c r="R12" s="81" t="s">
        <v>170</v>
      </c>
      <c r="S12" s="85">
        <v>-8017.2839506172841</v>
      </c>
      <c r="T12" s="81" t="s">
        <v>127</v>
      </c>
      <c r="U12" s="83">
        <v>0.125</v>
      </c>
      <c r="V12" s="81" t="s">
        <v>141</v>
      </c>
      <c r="W12" s="84">
        <v>0.25520169851380042</v>
      </c>
      <c r="X12" s="81" t="s">
        <v>170</v>
      </c>
      <c r="Y12" s="84">
        <v>0.17782426778242677</v>
      </c>
      <c r="Z12" s="81" t="s">
        <v>228</v>
      </c>
      <c r="AA12" s="84">
        <v>0.53333333333333333</v>
      </c>
      <c r="AB12" s="81" t="s">
        <v>170</v>
      </c>
      <c r="AC12" s="84">
        <v>0.39411764705882352</v>
      </c>
      <c r="AD12" s="81" t="s">
        <v>161</v>
      </c>
      <c r="AE12" s="84">
        <v>0.4175824175824176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171</v>
      </c>
      <c r="C13" s="80">
        <v>-230.89999999999998</v>
      </c>
      <c r="D13" s="81" t="s">
        <v>172</v>
      </c>
      <c r="E13" s="93">
        <v>-6.3073684210526313</v>
      </c>
      <c r="F13" s="81" t="s">
        <v>228</v>
      </c>
      <c r="G13" s="82">
        <v>2.1428571428571428</v>
      </c>
      <c r="H13" s="81" t="s">
        <v>171</v>
      </c>
      <c r="I13" s="83">
        <v>0.23076923076923078</v>
      </c>
      <c r="J13" s="81" t="s">
        <v>280</v>
      </c>
      <c r="K13" s="83">
        <v>0.4</v>
      </c>
      <c r="L13" s="81" t="s">
        <v>197</v>
      </c>
      <c r="M13" s="84">
        <v>0.26283367556468173</v>
      </c>
      <c r="N13" s="81" t="s">
        <v>127</v>
      </c>
      <c r="O13" s="84">
        <v>0.18302828618968386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0.16949152542372881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0.51546391752577314</v>
      </c>
      <c r="AB13" s="81" t="s">
        <v>127</v>
      </c>
      <c r="AC13" s="84">
        <v>0.38161559888579388</v>
      </c>
      <c r="AD13" s="81" t="s">
        <v>127</v>
      </c>
      <c r="AE13" s="84">
        <v>0.41689373297002724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-462.20000000000027</v>
      </c>
      <c r="D14" s="81" t="s">
        <v>197</v>
      </c>
      <c r="E14" s="93">
        <v>-10.633898305084747</v>
      </c>
      <c r="F14" s="81" t="s">
        <v>172</v>
      </c>
      <c r="G14" s="82">
        <v>2.1578947368421053</v>
      </c>
      <c r="H14" s="81" t="s">
        <v>172</v>
      </c>
      <c r="I14" s="83">
        <v>0.22105263157894736</v>
      </c>
      <c r="J14" s="81" t="s">
        <v>161</v>
      </c>
      <c r="K14" s="83">
        <v>0.44</v>
      </c>
      <c r="L14" s="81" t="s">
        <v>196</v>
      </c>
      <c r="M14" s="84">
        <v>0.26250000000000001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-8258.4269662921342</v>
      </c>
      <c r="T14" s="81" t="s">
        <v>280</v>
      </c>
      <c r="U14" s="83">
        <v>0.2</v>
      </c>
      <c r="V14" s="81" t="s">
        <v>127</v>
      </c>
      <c r="W14" s="84">
        <v>0.23460898502495842</v>
      </c>
      <c r="X14" s="81" t="s">
        <v>196</v>
      </c>
      <c r="Y14" s="84">
        <v>0.15</v>
      </c>
      <c r="Z14" s="81" t="s">
        <v>127</v>
      </c>
      <c r="AA14" s="84">
        <v>0.50354609929078009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172</v>
      </c>
      <c r="C15" s="80">
        <v>-599.19999999999993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0.4576271186440678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7030.7692307692305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0.2135523613963039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197</v>
      </c>
      <c r="C16" s="80">
        <v>-627.40000000000009</v>
      </c>
      <c r="D16" s="81" t="s">
        <v>280</v>
      </c>
      <c r="E16" s="93">
        <v>-16.160000000000004</v>
      </c>
      <c r="F16" s="81" t="s">
        <v>197</v>
      </c>
      <c r="G16" s="82">
        <v>2.2881355932203391</v>
      </c>
      <c r="H16" s="81" t="s">
        <v>197</v>
      </c>
      <c r="I16" s="83">
        <v>0.16949152542372881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0.14542728635682159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4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843</v>
      </c>
      <c r="C2" s="155"/>
      <c r="E2" s="58" t="s">
        <v>66</v>
      </c>
      <c r="F2" s="55" t="s">
        <v>22</v>
      </c>
      <c r="G2" s="43">
        <v>1573</v>
      </c>
      <c r="H2" s="128">
        <f>IF(B$15=0,0,G2/B$15)</f>
        <v>0.75479846449136279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-26.19047619047619</v>
      </c>
      <c r="P2" s="114">
        <v>840</v>
      </c>
      <c r="Q2" s="98">
        <v>-22000</v>
      </c>
    </row>
    <row r="3" spans="1:17" x14ac:dyDescent="0.4">
      <c r="A3" s="51" t="s">
        <v>8</v>
      </c>
      <c r="B3" s="156">
        <v>7065</v>
      </c>
      <c r="C3" s="157"/>
      <c r="E3" s="59" t="s">
        <v>72</v>
      </c>
      <c r="F3" s="56" t="s">
        <v>27</v>
      </c>
      <c r="G3" s="44">
        <v>1114</v>
      </c>
      <c r="H3" s="129">
        <f>IF(B$15=0,0,G3/B$15)</f>
        <v>0.53454894433781186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9.6618357487922708</v>
      </c>
      <c r="P3" s="115">
        <v>828</v>
      </c>
      <c r="Q3" s="99">
        <v>8000</v>
      </c>
    </row>
    <row r="4" spans="1:17" x14ac:dyDescent="0.4">
      <c r="A4" s="51" t="s">
        <v>6</v>
      </c>
      <c r="B4" s="158">
        <v>-4.9737991503207013E-14</v>
      </c>
      <c r="C4" s="159"/>
      <c r="E4" s="59" t="s">
        <v>64</v>
      </c>
      <c r="F4" s="56" t="s">
        <v>20</v>
      </c>
      <c r="G4" s="44">
        <v>962</v>
      </c>
      <c r="H4" s="129">
        <f>IF(B$15=0,0,G4/B$15)</f>
        <v>0.46161228406909788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-7.6628352490421454</v>
      </c>
      <c r="P4" s="115">
        <v>783</v>
      </c>
      <c r="Q4" s="99">
        <v>-6000</v>
      </c>
    </row>
    <row r="5" spans="1:17" x14ac:dyDescent="0.4">
      <c r="A5" s="51" t="s">
        <v>7</v>
      </c>
      <c r="B5" s="160">
        <f>IF(B$2=0,0,B$4/B$2)</f>
        <v>-5.9001176160387911E-17</v>
      </c>
      <c r="C5" s="161"/>
      <c r="E5" s="59" t="s">
        <v>166</v>
      </c>
      <c r="F5" s="56" t="s">
        <v>167</v>
      </c>
      <c r="G5" s="44">
        <v>806</v>
      </c>
      <c r="H5" s="129">
        <f>IF(B$15=0,0,G5/B$15)</f>
        <v>0.38675623800383879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10.884353741496598</v>
      </c>
      <c r="P5" s="115">
        <v>735</v>
      </c>
      <c r="Q5" s="99">
        <v>8000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647</v>
      </c>
      <c r="H6" s="129">
        <f>IF(B$15=0,0,G6/B$15)</f>
        <v>0.31046065259117084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2.9498525073746311</v>
      </c>
      <c r="P6" s="115">
        <v>678</v>
      </c>
      <c r="Q6" s="99">
        <v>2000</v>
      </c>
    </row>
    <row r="7" spans="1:17" x14ac:dyDescent="0.4">
      <c r="A7" s="51" t="s">
        <v>2</v>
      </c>
      <c r="B7" s="44">
        <v>281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590</v>
      </c>
      <c r="H7" s="129">
        <f>IF(B$15=0,0,G7/B$15)</f>
        <v>0.28310940499040305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15.873015873015873</v>
      </c>
      <c r="P7" s="116">
        <v>567</v>
      </c>
      <c r="Q7" s="100">
        <v>9000</v>
      </c>
    </row>
    <row r="8" spans="1:17" x14ac:dyDescent="0.4">
      <c r="A8" s="51" t="s">
        <v>3</v>
      </c>
      <c r="B8" s="44">
        <v>281</v>
      </c>
      <c r="C8" s="37">
        <f t="shared" si="1"/>
        <v>0.33333333333333331</v>
      </c>
      <c r="E8" s="59" t="s">
        <v>69</v>
      </c>
      <c r="F8" s="56" t="s">
        <v>24</v>
      </c>
      <c r="G8" s="44">
        <v>301</v>
      </c>
      <c r="H8" s="129">
        <f>IF(B$15=0,0,G8/B$15)</f>
        <v>0.14443378119001921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281</v>
      </c>
      <c r="C9" s="38">
        <f t="shared" si="1"/>
        <v>0.33333333333333331</v>
      </c>
      <c r="E9" s="59" t="s">
        <v>89</v>
      </c>
      <c r="F9" s="56" t="s">
        <v>44</v>
      </c>
      <c r="G9" s="44">
        <v>285</v>
      </c>
      <c r="H9" s="129">
        <f>IF(B$15=0,0,G9/B$15)</f>
        <v>0.13675623800383876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80</v>
      </c>
      <c r="C10" s="40">
        <f t="shared" si="1"/>
        <v>9.4899169632265717E-2</v>
      </c>
      <c r="E10" s="59" t="s">
        <v>65</v>
      </c>
      <c r="F10" s="56" t="s">
        <v>21</v>
      </c>
      <c r="G10" s="44">
        <v>224</v>
      </c>
      <c r="H10" s="129">
        <f>IF(B$15=0,0,G10/B$15)</f>
        <v>0.10748560460652591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-2.7441281138790043</v>
      </c>
      <c r="P10" s="114">
        <v>281</v>
      </c>
      <c r="Q10" s="102">
        <v>-771.10000000000025</v>
      </c>
    </row>
    <row r="11" spans="1:17" x14ac:dyDescent="0.4">
      <c r="A11" s="54" t="s">
        <v>121</v>
      </c>
      <c r="B11" s="47">
        <v>1803</v>
      </c>
      <c r="C11" s="42">
        <f>IF(B$3=0,0,B11/B$3)</f>
        <v>0.25520169851380042</v>
      </c>
      <c r="E11" s="59" t="s">
        <v>70</v>
      </c>
      <c r="F11" s="56" t="s">
        <v>25</v>
      </c>
      <c r="G11" s="44">
        <v>192</v>
      </c>
      <c r="H11" s="129">
        <f>IF(B$15=0,0,G11/B$15)</f>
        <v>9.2130518234165071E-2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0.65587188612099656</v>
      </c>
      <c r="P11" s="115">
        <v>281</v>
      </c>
      <c r="Q11" s="103">
        <v>184.30000000000004</v>
      </c>
    </row>
    <row r="12" spans="1:17" x14ac:dyDescent="0.4">
      <c r="A12" s="51" t="s">
        <v>118</v>
      </c>
      <c r="B12" s="44">
        <v>1613</v>
      </c>
      <c r="C12" s="37">
        <f>IF(B$3=0,0,B12/B$3)</f>
        <v>0.22830856334041047</v>
      </c>
      <c r="E12" s="59" t="s">
        <v>71</v>
      </c>
      <c r="F12" s="56" t="s">
        <v>26</v>
      </c>
      <c r="G12" s="44">
        <v>166</v>
      </c>
      <c r="H12" s="129">
        <f>IF(B$15=0,0,G12/B$15)</f>
        <v>7.9654510556621885E-2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2.088256227758007</v>
      </c>
      <c r="P12" s="116">
        <v>281</v>
      </c>
      <c r="Q12" s="104">
        <v>586.79999999999995</v>
      </c>
    </row>
    <row r="13" spans="1:17" x14ac:dyDescent="0.4">
      <c r="A13" s="50" t="s">
        <v>123</v>
      </c>
      <c r="B13" s="43">
        <f>B19</f>
        <v>998</v>
      </c>
      <c r="C13" s="35">
        <f>IF(B$11=0,0,B13/B$11)</f>
        <v>0.55352190793122569</v>
      </c>
      <c r="E13" s="59" t="s">
        <v>86</v>
      </c>
      <c r="F13" s="56" t="s">
        <v>41</v>
      </c>
      <c r="G13" s="44">
        <v>107</v>
      </c>
      <c r="H13" s="129">
        <f>IF(B$15=0,0,G13/B$15)</f>
        <v>5.1343570057581576E-2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682</v>
      </c>
      <c r="C14" s="35">
        <f>IF(B$12=0,0,B14/B$12)</f>
        <v>0.42281463112213269</v>
      </c>
      <c r="E14" s="59" t="s">
        <v>83</v>
      </c>
      <c r="F14" s="56" t="s">
        <v>38</v>
      </c>
      <c r="G14" s="44">
        <v>106</v>
      </c>
      <c r="H14" s="129">
        <f>IF(B$15=0,0,G14/B$15)</f>
        <v>5.0863723608445301E-2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2084</v>
      </c>
      <c r="C15" s="35">
        <f>IF(B$3=0,0,B15/B$3)</f>
        <v>0.29497523000707715</v>
      </c>
      <c r="E15" s="59" t="s">
        <v>78</v>
      </c>
      <c r="F15" s="56" t="s">
        <v>33</v>
      </c>
      <c r="G15" s="44">
        <v>53</v>
      </c>
      <c r="H15" s="129">
        <f>IF(B$15=0,0,G15/B$15)</f>
        <v>2.543186180422265E-2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1143</v>
      </c>
      <c r="C16" s="37">
        <f>IF(B$3=0,0,B16/B$3)</f>
        <v>0.16178343949044585</v>
      </c>
      <c r="E16" s="59" t="s">
        <v>162</v>
      </c>
      <c r="F16" s="56" t="s">
        <v>163</v>
      </c>
      <c r="G16" s="44">
        <v>47</v>
      </c>
      <c r="H16" s="129">
        <f>IF(B$15=0,0,G16/B$15)</f>
        <v>2.2552783109404992E-2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929</v>
      </c>
      <c r="C17" s="37">
        <f>IF(B$15=0,0,B17/B$15)</f>
        <v>0.44577735124760076</v>
      </c>
      <c r="E17" s="59" t="s">
        <v>81</v>
      </c>
      <c r="F17" s="56" t="s">
        <v>36</v>
      </c>
      <c r="G17" s="44">
        <v>43</v>
      </c>
      <c r="H17" s="129">
        <f>IF(B$15=0,0,G17/B$15)</f>
        <v>2.0633397312859885E-2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15.950847457627104</v>
      </c>
      <c r="P17" s="115">
        <v>118</v>
      </c>
      <c r="Q17" s="103">
        <v>1882.1999999999982</v>
      </c>
    </row>
    <row r="18" spans="1:17" x14ac:dyDescent="0.4">
      <c r="A18" s="51" t="s">
        <v>11</v>
      </c>
      <c r="B18" s="44">
        <v>1155</v>
      </c>
      <c r="C18" s="37">
        <f>IF(B$15=0,0,B18/B$15)</f>
        <v>0.55422264875239924</v>
      </c>
      <c r="E18" s="59" t="s">
        <v>91</v>
      </c>
      <c r="F18" s="56" t="s">
        <v>46</v>
      </c>
      <c r="G18" s="44">
        <v>31</v>
      </c>
      <c r="H18" s="129">
        <f>IF(B$15=0,0,G18/B$15)</f>
        <v>1.4875239923224568E-2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9.4610526315789425</v>
      </c>
      <c r="P18" s="115">
        <v>190</v>
      </c>
      <c r="Q18" s="103">
        <v>1797.5999999999992</v>
      </c>
    </row>
    <row r="19" spans="1:17" x14ac:dyDescent="0.4">
      <c r="A19" s="51" t="s">
        <v>195</v>
      </c>
      <c r="B19" s="44">
        <v>998</v>
      </c>
      <c r="C19" s="37">
        <f>IF(B$15=0,0,B19/B$15)</f>
        <v>0.47888675623800386</v>
      </c>
      <c r="E19" s="59" t="s">
        <v>79</v>
      </c>
      <c r="F19" s="56" t="s">
        <v>34</v>
      </c>
      <c r="G19" s="44">
        <v>30</v>
      </c>
      <c r="H19" s="129">
        <f>IF(B$15=0,0,G19/B$15)</f>
        <v>1.4395393474088292E-2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6.4283132530120426</v>
      </c>
      <c r="P19" s="115">
        <v>166</v>
      </c>
      <c r="Q19" s="103">
        <v>1067.099999999999</v>
      </c>
    </row>
    <row r="20" spans="1:17" x14ac:dyDescent="0.4">
      <c r="A20" s="51" t="s">
        <v>193</v>
      </c>
      <c r="B20" s="44">
        <v>682</v>
      </c>
      <c r="C20" s="37">
        <f>IF(B$15=0,0,B20/B$15)</f>
        <v>0.32725527831094048</v>
      </c>
      <c r="E20" s="59" t="s">
        <v>75</v>
      </c>
      <c r="F20" s="56" t="s">
        <v>30</v>
      </c>
      <c r="G20" s="44">
        <v>16</v>
      </c>
      <c r="H20" s="129">
        <f>IF(B$15=0,0,G20/B$15)</f>
        <v>7.677543186180422E-3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">
      <c r="A21" s="51" t="s">
        <v>194</v>
      </c>
      <c r="B21" s="44">
        <v>404</v>
      </c>
      <c r="C21" s="37">
        <f>IF(B$15=0,0,B21/B$15)</f>
        <v>0.19385796545105566</v>
      </c>
      <c r="E21" s="59" t="s">
        <v>85</v>
      </c>
      <c r="F21" s="56" t="s">
        <v>40</v>
      </c>
      <c r="G21" s="44">
        <v>11</v>
      </c>
      <c r="H21" s="129">
        <f>IF(B$15=0,0,G21/B$15)</f>
        <v>5.2783109404990402E-3</v>
      </c>
      <c r="I21" s="90">
        <v>5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">
      <c r="A22" s="51" t="s">
        <v>5</v>
      </c>
      <c r="B22" s="48">
        <f>IF(B$15=0,0,C22/B$15)</f>
        <v>8353.0230326295587</v>
      </c>
      <c r="C22" s="39">
        <v>17407700</v>
      </c>
      <c r="E22" s="59" t="s">
        <v>92</v>
      </c>
      <c r="F22" s="56" t="s">
        <v>47</v>
      </c>
      <c r="G22" s="44">
        <v>11</v>
      </c>
      <c r="H22" s="129">
        <f>IF(B$15=0,0,G22/B$15)</f>
        <v>5.2783109404990402E-3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2.6642307692307696</v>
      </c>
      <c r="P22" s="115">
        <v>260</v>
      </c>
      <c r="Q22" s="103">
        <v>692.70000000000016</v>
      </c>
    </row>
    <row r="23" spans="1:17" x14ac:dyDescent="0.4">
      <c r="A23" s="52" t="s">
        <v>177</v>
      </c>
      <c r="B23" s="136">
        <f>IF($B$15-B$14=0,0,C23/($B$15-B$14))</f>
        <v>8979.8858773181164</v>
      </c>
      <c r="C23" s="137">
        <v>12589800</v>
      </c>
      <c r="E23" s="59" t="s">
        <v>73</v>
      </c>
      <c r="F23" s="56" t="s">
        <v>28</v>
      </c>
      <c r="G23" s="44">
        <v>8</v>
      </c>
      <c r="H23" s="129">
        <f>IF(B$15=0,0,G23/B$15)</f>
        <v>3.838771593090211E-3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-0.2270833333333373</v>
      </c>
      <c r="P23" s="115">
        <v>288</v>
      </c>
      <c r="Q23" s="103">
        <v>-65.400000000001143</v>
      </c>
    </row>
    <row r="24" spans="1:17" x14ac:dyDescent="0.4">
      <c r="A24" s="52" t="s">
        <v>178</v>
      </c>
      <c r="B24" s="136">
        <f>IF(B$14=0,0,C24/B$14)</f>
        <v>7064.3695014662753</v>
      </c>
      <c r="C24" s="137">
        <v>4817900</v>
      </c>
      <c r="E24" s="59" t="s">
        <v>74</v>
      </c>
      <c r="F24" s="56" t="s">
        <v>29</v>
      </c>
      <c r="G24" s="44">
        <v>8</v>
      </c>
      <c r="H24" s="129">
        <f>IF(B$15=0,0,G24/B$15)</f>
        <v>3.838771593090211E-3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-7.9358974358974299</v>
      </c>
      <c r="P24" s="115">
        <v>234</v>
      </c>
      <c r="Q24" s="103">
        <v>-1856.9999999999986</v>
      </c>
    </row>
    <row r="25" spans="1:17" x14ac:dyDescent="0.4">
      <c r="A25" s="52" t="s">
        <v>176</v>
      </c>
      <c r="B25" s="136">
        <f>IF(B$16=0,0,C25/B$16)</f>
        <v>-7751.3560804899389</v>
      </c>
      <c r="C25" s="137">
        <v>-8859800</v>
      </c>
      <c r="E25" s="59" t="s">
        <v>84</v>
      </c>
      <c r="F25" s="56" t="s">
        <v>39</v>
      </c>
      <c r="G25" s="44">
        <v>7</v>
      </c>
      <c r="H25" s="129">
        <f>IF(B$15=0,0,G25/B$15)</f>
        <v>3.3589251439539347E-3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-13.114417177914106</v>
      </c>
      <c r="P25" s="115">
        <v>326</v>
      </c>
      <c r="Q25" s="103">
        <v>-4275.2999999999984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2.8790786948176585E-3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2.3992322456813818E-3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1.9193857965451055E-3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1.9193857965451055E-3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20</v>
      </c>
      <c r="C30" s="40">
        <f>IF(B$3=0,0,B30/B$3)</f>
        <v>2.8308563340410475E-3</v>
      </c>
      <c r="E30" s="59" t="s">
        <v>93</v>
      </c>
      <c r="F30" s="56" t="s">
        <v>48</v>
      </c>
      <c r="G30" s="44">
        <v>4</v>
      </c>
      <c r="H30" s="129">
        <f>IF(B$15=0,0,G30/B$15)</f>
        <v>1.9193857965451055E-3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4</v>
      </c>
      <c r="H31" s="129">
        <f>IF(B$15=0,0,G31/B$15)</f>
        <v>1.9193857965451055E-3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162</v>
      </c>
      <c r="C32" s="141">
        <f>IF(B$15=0,0,B32/B$15)</f>
        <v>7.7735124760076782E-2</v>
      </c>
      <c r="E32" s="59" t="s">
        <v>97</v>
      </c>
      <c r="F32" s="56" t="s">
        <v>52</v>
      </c>
      <c r="G32" s="44">
        <v>1</v>
      </c>
      <c r="H32" s="129">
        <f>IF(B$15=0,0,G32/B$15)</f>
        <v>4.7984644913627637E-4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351</v>
      </c>
      <c r="C33" s="37">
        <f t="shared" ref="C33:C44" si="2">IF(B$15=0,0,B33/B$15)</f>
        <v>0.16842610364683303</v>
      </c>
      <c r="E33" s="59" t="s">
        <v>101</v>
      </c>
      <c r="F33" s="56" t="s">
        <v>56</v>
      </c>
      <c r="G33" s="44">
        <v>1</v>
      </c>
      <c r="H33" s="129">
        <f>IF(B$15=0,0,G33/B$15)</f>
        <v>4.7984644913627637E-4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414</v>
      </c>
      <c r="C34" s="37">
        <f>IF(B$15=0,0,B34/B$15)</f>
        <v>0.19865642994241842</v>
      </c>
      <c r="E34" s="59" t="s">
        <v>106</v>
      </c>
      <c r="F34" s="56" t="s">
        <v>113</v>
      </c>
      <c r="G34" s="44">
        <v>1</v>
      </c>
      <c r="H34" s="129">
        <f>IF(B$15=0,0,G34/B$15)</f>
        <v>4.7984644913627637E-4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367</v>
      </c>
      <c r="C35" s="37">
        <f t="shared" si="2"/>
        <v>0.17610364683301344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331</v>
      </c>
      <c r="C36" s="37">
        <f t="shared" si="2"/>
        <v>0.15882917466410748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219</v>
      </c>
      <c r="C37" s="37">
        <f t="shared" si="2"/>
        <v>0.10508637236084453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110</v>
      </c>
      <c r="C38" s="37">
        <f t="shared" si="2"/>
        <v>5.2783109404990404E-2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59</v>
      </c>
      <c r="C39" s="37">
        <f t="shared" si="2"/>
        <v>2.8310940499040309E-2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28</v>
      </c>
      <c r="C40" s="37">
        <f t="shared" si="2"/>
        <v>1.3435700575815739E-2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9</v>
      </c>
      <c r="C41" s="37">
        <f t="shared" si="2"/>
        <v>4.3186180422264877E-3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2.8790786948176585E-3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2.8790786948176585E-3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22</v>
      </c>
      <c r="C44" s="40">
        <f t="shared" si="2"/>
        <v>1.055662188099808E-2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75</v>
      </c>
      <c r="C2" s="155"/>
      <c r="E2" s="58" t="s">
        <v>66</v>
      </c>
      <c r="F2" s="55" t="s">
        <v>22</v>
      </c>
      <c r="G2" s="43">
        <v>131</v>
      </c>
      <c r="H2" s="128">
        <f>IF(B$15=0,0,G2/B$15)</f>
        <v>0.71978021978021978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2258.6666666666665</v>
      </c>
      <c r="P2" s="114">
        <v>75</v>
      </c>
      <c r="Q2" s="98">
        <v>169400</v>
      </c>
    </row>
    <row r="3" spans="1:17" x14ac:dyDescent="0.4">
      <c r="A3" s="51" t="s">
        <v>8</v>
      </c>
      <c r="B3" s="156">
        <v>667</v>
      </c>
      <c r="C3" s="157"/>
      <c r="E3" s="59" t="s">
        <v>72</v>
      </c>
      <c r="F3" s="56" t="s">
        <v>27</v>
      </c>
      <c r="G3" s="44">
        <v>101</v>
      </c>
      <c r="H3" s="129">
        <f>IF(B$15=0,0,G3/B$15)</f>
        <v>0.55494505494505497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-1750</v>
      </c>
      <c r="P3" s="115">
        <v>74</v>
      </c>
      <c r="Q3" s="99">
        <v>-129500</v>
      </c>
    </row>
    <row r="4" spans="1:17" x14ac:dyDescent="0.4">
      <c r="A4" s="51" t="s">
        <v>6</v>
      </c>
      <c r="B4" s="158">
        <v>-462.20000000000027</v>
      </c>
      <c r="C4" s="159"/>
      <c r="E4" s="59" t="s">
        <v>166</v>
      </c>
      <c r="F4" s="56" t="s">
        <v>167</v>
      </c>
      <c r="G4" s="44">
        <v>68</v>
      </c>
      <c r="H4" s="129">
        <f>IF(B$15=0,0,G4/B$15)</f>
        <v>0.37362637362637363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-1661.1111111111111</v>
      </c>
      <c r="P4" s="115">
        <v>72</v>
      </c>
      <c r="Q4" s="99">
        <v>-119600</v>
      </c>
    </row>
    <row r="5" spans="1:17" x14ac:dyDescent="0.4">
      <c r="A5" s="51" t="s">
        <v>7</v>
      </c>
      <c r="B5" s="160">
        <f>IF(B$2=0,0,B$4/B$2)</f>
        <v>-6.1626666666666701</v>
      </c>
      <c r="C5" s="161"/>
      <c r="E5" s="59" t="s">
        <v>64</v>
      </c>
      <c r="F5" s="56" t="s">
        <v>20</v>
      </c>
      <c r="G5" s="44">
        <v>48</v>
      </c>
      <c r="H5" s="129">
        <f>IF(B$15=0,0,G5/B$15)</f>
        <v>0.26373626373626374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-1105.9701492537313</v>
      </c>
      <c r="P5" s="115">
        <v>67</v>
      </c>
      <c r="Q5" s="99">
        <v>-74100</v>
      </c>
    </row>
    <row r="6" spans="1:17" x14ac:dyDescent="0.4">
      <c r="A6" s="51" t="s">
        <v>1</v>
      </c>
      <c r="B6" s="150">
        <f>IF(B$2=0,0,(B$7*1+B$8*2+B$9*3)/B$2)</f>
        <v>2.1333333333333333</v>
      </c>
      <c r="C6" s="151"/>
      <c r="E6" s="59" t="s">
        <v>68</v>
      </c>
      <c r="F6" s="56" t="s">
        <v>12</v>
      </c>
      <c r="G6" s="44">
        <v>48</v>
      </c>
      <c r="H6" s="129">
        <f>IF(B$15=0,0,G6/B$15)</f>
        <v>0.26373626373626374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-201.5151515151515</v>
      </c>
      <c r="P6" s="115">
        <v>66</v>
      </c>
      <c r="Q6" s="99">
        <v>-13300</v>
      </c>
    </row>
    <row r="7" spans="1:17" x14ac:dyDescent="0.4">
      <c r="A7" s="51" t="s">
        <v>2</v>
      </c>
      <c r="B7" s="44">
        <v>23</v>
      </c>
      <c r="C7" s="37">
        <f t="shared" ref="C7:C10" si="1">IF(B$2=0,0,B7/B$2)</f>
        <v>0.30666666666666664</v>
      </c>
      <c r="E7" s="59" t="s">
        <v>67</v>
      </c>
      <c r="F7" s="56" t="s">
        <v>23</v>
      </c>
      <c r="G7" s="44">
        <v>32</v>
      </c>
      <c r="H7" s="129">
        <f>IF(B$15=0,0,G7/B$15)</f>
        <v>0.17582417582417584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">
      <c r="A8" s="51" t="s">
        <v>3</v>
      </c>
      <c r="B8" s="44">
        <v>19</v>
      </c>
      <c r="C8" s="37">
        <f t="shared" si="1"/>
        <v>0.25333333333333335</v>
      </c>
      <c r="E8" s="59" t="s">
        <v>69</v>
      </c>
      <c r="F8" s="56" t="s">
        <v>24</v>
      </c>
      <c r="G8" s="44">
        <v>32</v>
      </c>
      <c r="H8" s="129">
        <f>IF(B$15=0,0,G8/B$15)</f>
        <v>0.17582417582417584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0.44</v>
      </c>
      <c r="E9" s="59" t="s">
        <v>71</v>
      </c>
      <c r="F9" s="56" t="s">
        <v>26</v>
      </c>
      <c r="G9" s="44">
        <v>22</v>
      </c>
      <c r="H9" s="129">
        <f>IF(B$15=0,0,G9/B$15)</f>
        <v>0.12087912087912088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6.6666666666666666E-2</v>
      </c>
      <c r="E10" s="59" t="s">
        <v>70</v>
      </c>
      <c r="F10" s="56" t="s">
        <v>25</v>
      </c>
      <c r="G10" s="44">
        <v>21</v>
      </c>
      <c r="H10" s="129">
        <f>IF(B$15=0,0,G10/B$15)</f>
        <v>0.11538461538461539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">
      <c r="A11" s="54" t="s">
        <v>121</v>
      </c>
      <c r="B11" s="47">
        <v>97</v>
      </c>
      <c r="C11" s="42">
        <f>IF(B$3=0,0,B11/B$3)</f>
        <v>0.14542728635682159</v>
      </c>
      <c r="E11" s="59" t="s">
        <v>83</v>
      </c>
      <c r="F11" s="56" t="s">
        <v>38</v>
      </c>
      <c r="G11" s="44">
        <v>16</v>
      </c>
      <c r="H11" s="129">
        <f>IF(B$15=0,0,G11/B$15)</f>
        <v>8.7912087912087919E-2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-5.8818181818181809</v>
      </c>
      <c r="P11" s="115">
        <v>22</v>
      </c>
      <c r="Q11" s="103">
        <v>-129.39999999999998</v>
      </c>
    </row>
    <row r="12" spans="1:17" x14ac:dyDescent="0.4">
      <c r="A12" s="51" t="s">
        <v>118</v>
      </c>
      <c r="B12" s="44">
        <v>169</v>
      </c>
      <c r="C12" s="37">
        <f>IF(B$3=0,0,B12/B$3)</f>
        <v>0.25337331334332835</v>
      </c>
      <c r="E12" s="59" t="s">
        <v>65</v>
      </c>
      <c r="F12" s="56" t="s">
        <v>21</v>
      </c>
      <c r="G12" s="44">
        <v>11</v>
      </c>
      <c r="H12" s="129">
        <f>IF(B$15=0,0,G12/B$15)</f>
        <v>6.043956043956044E-2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-0.76153846153846116</v>
      </c>
      <c r="P12" s="116">
        <v>26</v>
      </c>
      <c r="Q12" s="104">
        <v>-19.79999999999999</v>
      </c>
    </row>
    <row r="13" spans="1:17" x14ac:dyDescent="0.4">
      <c r="A13" s="50" t="s">
        <v>123</v>
      </c>
      <c r="B13" s="43">
        <f>B19</f>
        <v>50</v>
      </c>
      <c r="C13" s="35">
        <f>IF(B$11=0,0,B13/B$11)</f>
        <v>0.51546391752577314</v>
      </c>
      <c r="E13" s="59" t="s">
        <v>89</v>
      </c>
      <c r="F13" s="56" t="s">
        <v>44</v>
      </c>
      <c r="G13" s="44">
        <v>11</v>
      </c>
      <c r="H13" s="129">
        <f>IF(B$15=0,0,G13/B$15)</f>
        <v>6.043956043956044E-2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69</v>
      </c>
      <c r="C14" s="35">
        <f>IF(B$12=0,0,B14/B$12)</f>
        <v>0.40828402366863903</v>
      </c>
      <c r="E14" s="59" t="s">
        <v>81</v>
      </c>
      <c r="F14" s="56" t="s">
        <v>36</v>
      </c>
      <c r="G14" s="44">
        <v>8</v>
      </c>
      <c r="H14" s="129">
        <f>IF(B$15=0,0,G14/B$15)</f>
        <v>4.3956043956043959E-2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182</v>
      </c>
      <c r="C15" s="35">
        <f>IF(B$3=0,0,B15/B$3)</f>
        <v>0.27286356821589203</v>
      </c>
      <c r="E15" s="59" t="s">
        <v>86</v>
      </c>
      <c r="F15" s="56" t="s">
        <v>41</v>
      </c>
      <c r="G15" s="44">
        <v>5</v>
      </c>
      <c r="H15" s="129">
        <f>IF(B$15=0,0,G15/B$15)</f>
        <v>2.7472527472527472E-2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13</v>
      </c>
      <c r="B16" s="44">
        <v>103</v>
      </c>
      <c r="C16" s="37">
        <f>IF(B$3=0,0,B16/B$3)</f>
        <v>0.15442278860569716</v>
      </c>
      <c r="E16" s="59" t="s">
        <v>79</v>
      </c>
      <c r="F16" s="56" t="s">
        <v>34</v>
      </c>
      <c r="G16" s="44">
        <v>4</v>
      </c>
      <c r="H16" s="129">
        <f>IF(B$15=0,0,G16/B$15)</f>
        <v>2.197802197802198E-2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76</v>
      </c>
      <c r="C17" s="37">
        <f>IF(B$15=0,0,B17/B$15)</f>
        <v>0.4175824175824176</v>
      </c>
      <c r="E17" s="59" t="s">
        <v>91</v>
      </c>
      <c r="F17" s="56" t="s">
        <v>46</v>
      </c>
      <c r="G17" s="44">
        <v>3</v>
      </c>
      <c r="H17" s="129">
        <f>IF(B$15=0,0,G17/B$15)</f>
        <v>1.6483516483516484E-2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4.4185185185185185</v>
      </c>
      <c r="P17" s="115">
        <v>27</v>
      </c>
      <c r="Q17" s="103">
        <v>119.3</v>
      </c>
    </row>
    <row r="18" spans="1:17" x14ac:dyDescent="0.4">
      <c r="A18" s="51" t="s">
        <v>11</v>
      </c>
      <c r="B18" s="44">
        <v>106</v>
      </c>
      <c r="C18" s="37">
        <f>IF(B$15=0,0,B18/B$15)</f>
        <v>0.58241758241758246</v>
      </c>
      <c r="E18" s="59" t="s">
        <v>74</v>
      </c>
      <c r="F18" s="56" t="s">
        <v>29</v>
      </c>
      <c r="G18" s="44">
        <v>2</v>
      </c>
      <c r="H18" s="129">
        <f>IF(B$15=0,0,G18/B$15)</f>
        <v>1.098901098901099E-2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">
      <c r="A19" s="51" t="s">
        <v>195</v>
      </c>
      <c r="B19" s="44">
        <v>50</v>
      </c>
      <c r="C19" s="37">
        <f>IF(B$15=0,0,B19/B$15)</f>
        <v>0.27472527472527475</v>
      </c>
      <c r="E19" s="59" t="s">
        <v>78</v>
      </c>
      <c r="F19" s="56" t="s">
        <v>33</v>
      </c>
      <c r="G19" s="44">
        <v>2</v>
      </c>
      <c r="H19" s="129">
        <f>IF(B$15=0,0,G19/B$15)</f>
        <v>1.098901098901099E-2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>IF(P19=0,0,Q19/P19)</f>
        <v>-5.5300000000000011</v>
      </c>
      <c r="P19" s="115">
        <v>30</v>
      </c>
      <c r="Q19" s="103">
        <v>-165.90000000000003</v>
      </c>
    </row>
    <row r="20" spans="1:17" x14ac:dyDescent="0.4">
      <c r="A20" s="51" t="s">
        <v>193</v>
      </c>
      <c r="B20" s="44">
        <v>69</v>
      </c>
      <c r="C20" s="37">
        <f>IF(B$15=0,0,B20/B$15)</f>
        <v>0.37912087912087911</v>
      </c>
      <c r="E20" s="59" t="s">
        <v>88</v>
      </c>
      <c r="F20" s="56" t="s">
        <v>43</v>
      </c>
      <c r="G20" s="44">
        <v>2</v>
      </c>
      <c r="H20" s="129">
        <f>IF(B$15=0,0,G20/B$15)</f>
        <v>1.098901098901099E-2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>IF(P20=0,0,Q20/P20)</f>
        <v>-12.572222222222225</v>
      </c>
      <c r="P20" s="115">
        <v>36</v>
      </c>
      <c r="Q20" s="103">
        <v>-452.60000000000008</v>
      </c>
    </row>
    <row r="21" spans="1:17" x14ac:dyDescent="0.4">
      <c r="A21" s="51" t="s">
        <v>194</v>
      </c>
      <c r="B21" s="44">
        <v>63</v>
      </c>
      <c r="C21" s="37">
        <f>IF(B$15=0,0,B21/B$15)</f>
        <v>0.34615384615384615</v>
      </c>
      <c r="E21" s="59" t="s">
        <v>93</v>
      </c>
      <c r="F21" s="56" t="s">
        <v>48</v>
      </c>
      <c r="G21" s="44">
        <v>2</v>
      </c>
      <c r="H21" s="129">
        <f>IF(B$15=0,0,G21/B$15)</f>
        <v>1.098901098901099E-2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-32.455555555555549</v>
      </c>
      <c r="P21" s="115">
        <v>9</v>
      </c>
      <c r="Q21" s="103">
        <v>-292.09999999999997</v>
      </c>
    </row>
    <row r="22" spans="1:17" x14ac:dyDescent="0.4">
      <c r="A22" s="51" t="s">
        <v>5</v>
      </c>
      <c r="B22" s="48">
        <f>IF(B$15=0,0,C22/B$15)</f>
        <v>7030.7692307692305</v>
      </c>
      <c r="C22" s="39">
        <v>1279600</v>
      </c>
      <c r="E22" s="59" t="s">
        <v>75</v>
      </c>
      <c r="F22" s="56" t="s">
        <v>30</v>
      </c>
      <c r="G22" s="44">
        <v>1</v>
      </c>
      <c r="H22" s="129">
        <f>IF(B$15=0,0,G22/B$15)</f>
        <v>5.4945054945054949E-3</v>
      </c>
      <c r="I22" s="90">
        <v>7</v>
      </c>
      <c r="K22" s="36">
        <v>20</v>
      </c>
      <c r="L22" s="95">
        <v>-88.8</v>
      </c>
      <c r="N22" s="111" t="s">
        <v>170</v>
      </c>
      <c r="O22" s="121">
        <f>IF(P22=0,0,Q22/P22)</f>
        <v>-37.36</v>
      </c>
      <c r="P22" s="115">
        <v>20</v>
      </c>
      <c r="Q22" s="103">
        <v>-747.19999999999993</v>
      </c>
    </row>
    <row r="23" spans="1:17" x14ac:dyDescent="0.4">
      <c r="A23" s="52" t="s">
        <v>177</v>
      </c>
      <c r="B23" s="136">
        <f>IF($B$15-B$14=0,0,C23/($B$15-B$14))</f>
        <v>7582.3008849557518</v>
      </c>
      <c r="C23" s="137">
        <v>856800</v>
      </c>
      <c r="E23" s="59" t="s">
        <v>77</v>
      </c>
      <c r="F23" s="56" t="s">
        <v>32</v>
      </c>
      <c r="G23" s="44">
        <v>1</v>
      </c>
      <c r="H23" s="129">
        <f>IF(B$15=0,0,G23/B$15)</f>
        <v>5.4945054945054949E-3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6127.536231884058</v>
      </c>
      <c r="C24" s="137">
        <v>422800</v>
      </c>
      <c r="E24" s="59" t="s">
        <v>84</v>
      </c>
      <c r="F24" s="56" t="s">
        <v>39</v>
      </c>
      <c r="G24" s="44">
        <v>1</v>
      </c>
      <c r="H24" s="129">
        <f>IF(B$15=0,0,G24/B$15)</f>
        <v>5.4945054945054949E-3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-7741.7475728155341</v>
      </c>
      <c r="C25" s="137">
        <v>-797400</v>
      </c>
      <c r="E25" s="59" t="s">
        <v>87</v>
      </c>
      <c r="F25" s="56" t="s">
        <v>42</v>
      </c>
      <c r="G25" s="44">
        <v>1</v>
      </c>
      <c r="H25" s="129">
        <f>IF(B$15=0,0,G25/B$15)</f>
        <v>5.4945054945054949E-3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10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2.9985007496251873E-3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26</v>
      </c>
      <c r="C32" s="141">
        <f>IF(B$15=0,0,B32/B$15)</f>
        <v>0.14285714285714285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37</v>
      </c>
      <c r="C33" s="37">
        <f t="shared" ref="C33:C44" si="2">IF(B$15=0,0,B33/B$15)</f>
        <v>0.2032967032967033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39</v>
      </c>
      <c r="C34" s="37">
        <f>IF(B$15=0,0,B34/B$15)</f>
        <v>0.21428571428571427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26</v>
      </c>
      <c r="C35" s="37">
        <f t="shared" si="2"/>
        <v>0.14285714285714285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20</v>
      </c>
      <c r="C36" s="37">
        <f t="shared" si="2"/>
        <v>0.10989010989010989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15</v>
      </c>
      <c r="C37" s="37">
        <f t="shared" si="2"/>
        <v>8.2417582417582416E-2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10</v>
      </c>
      <c r="C38" s="37">
        <f t="shared" si="2"/>
        <v>5.4945054945054944E-2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2"/>
        <v>3.2967032967032968E-2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2"/>
        <v>5.4945054945054949E-3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2</v>
      </c>
      <c r="C44" s="40">
        <f t="shared" si="2"/>
        <v>1.098901098901099E-2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163</v>
      </c>
      <c r="C2" s="155"/>
      <c r="E2" s="58" t="s">
        <v>66</v>
      </c>
      <c r="F2" s="55" t="s">
        <v>22</v>
      </c>
      <c r="G2" s="43">
        <v>307</v>
      </c>
      <c r="H2" s="128">
        <f>IF(B$15=0,0,G2/B$15)</f>
        <v>0.66594360086767901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1310.4938271604938</v>
      </c>
      <c r="P2" s="114">
        <v>162</v>
      </c>
      <c r="Q2" s="98">
        <v>212300</v>
      </c>
    </row>
    <row r="3" spans="1:17" x14ac:dyDescent="0.4">
      <c r="A3" s="51" t="s">
        <v>8</v>
      </c>
      <c r="B3" s="156">
        <v>1337</v>
      </c>
      <c r="C3" s="157"/>
      <c r="E3" s="59" t="s">
        <v>72</v>
      </c>
      <c r="F3" s="56" t="s">
        <v>27</v>
      </c>
      <c r="G3" s="44">
        <v>245</v>
      </c>
      <c r="H3" s="129">
        <f>IF(B$15=0,0,G3/B$15)</f>
        <v>0.53145336225596529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979.24528301886789</v>
      </c>
      <c r="P3" s="115">
        <v>159</v>
      </c>
      <c r="Q3" s="99">
        <v>155700</v>
      </c>
    </row>
    <row r="4" spans="1:17" x14ac:dyDescent="0.4">
      <c r="A4" s="51" t="s">
        <v>6</v>
      </c>
      <c r="B4" s="158">
        <v>1425.1000000000001</v>
      </c>
      <c r="C4" s="159"/>
      <c r="E4" s="59" t="s">
        <v>64</v>
      </c>
      <c r="F4" s="56" t="s">
        <v>20</v>
      </c>
      <c r="G4" s="44">
        <v>204</v>
      </c>
      <c r="H4" s="129">
        <f>IF(B$15=0,0,G4/B$15)</f>
        <v>0.44251626898047725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1090.1960784313726</v>
      </c>
      <c r="P4" s="115">
        <v>153</v>
      </c>
      <c r="Q4" s="99">
        <v>166800</v>
      </c>
    </row>
    <row r="5" spans="1:17" x14ac:dyDescent="0.4">
      <c r="A5" s="51" t="s">
        <v>7</v>
      </c>
      <c r="B5" s="160">
        <f>IF(B$2=0,0,B$4/B$2)</f>
        <v>8.7429447852760749</v>
      </c>
      <c r="C5" s="161"/>
      <c r="E5" s="59" t="s">
        <v>166</v>
      </c>
      <c r="F5" s="56" t="s">
        <v>167</v>
      </c>
      <c r="G5" s="44">
        <v>173</v>
      </c>
      <c r="H5" s="129">
        <f>IF(B$15=0,0,G5/B$15)</f>
        <v>0.37527114967462039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359.85915492957747</v>
      </c>
      <c r="P5" s="115">
        <v>142</v>
      </c>
      <c r="Q5" s="99">
        <v>51100</v>
      </c>
    </row>
    <row r="6" spans="1:17" x14ac:dyDescent="0.4">
      <c r="A6" s="51" t="s">
        <v>1</v>
      </c>
      <c r="B6" s="150">
        <f>IF(B$2=0,0,(B$7*1+B$8*2+B$9*3)/B$2)</f>
        <v>1.7852760736196318</v>
      </c>
      <c r="C6" s="151"/>
      <c r="E6" s="59" t="s">
        <v>68</v>
      </c>
      <c r="F6" s="56" t="s">
        <v>12</v>
      </c>
      <c r="G6" s="44">
        <v>126</v>
      </c>
      <c r="H6" s="129">
        <f>IF(B$15=0,0,G6/B$15)</f>
        <v>0.27331887201735355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1937.121212121212</v>
      </c>
      <c r="P6" s="115">
        <v>132</v>
      </c>
      <c r="Q6" s="99">
        <v>255700</v>
      </c>
    </row>
    <row r="7" spans="1:17" x14ac:dyDescent="0.4">
      <c r="A7" s="51" t="s">
        <v>2</v>
      </c>
      <c r="B7" s="44">
        <v>75</v>
      </c>
      <c r="C7" s="37">
        <f t="shared" ref="C7:C10" si="1">IF(B$2=0,0,B7/B$2)</f>
        <v>0.46012269938650308</v>
      </c>
      <c r="E7" s="59" t="s">
        <v>67</v>
      </c>
      <c r="F7" s="56" t="s">
        <v>23</v>
      </c>
      <c r="G7" s="44">
        <v>113</v>
      </c>
      <c r="H7" s="129">
        <f>IF(B$15=0,0,G7/B$15)</f>
        <v>0.24511930585683298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1948.148148148148</v>
      </c>
      <c r="P7" s="116">
        <v>108</v>
      </c>
      <c r="Q7" s="100">
        <v>210400</v>
      </c>
    </row>
    <row r="8" spans="1:17" x14ac:dyDescent="0.4">
      <c r="A8" s="51" t="s">
        <v>3</v>
      </c>
      <c r="B8" s="44">
        <v>48</v>
      </c>
      <c r="C8" s="37">
        <f t="shared" si="1"/>
        <v>0.29447852760736198</v>
      </c>
      <c r="E8" s="59" t="s">
        <v>89</v>
      </c>
      <c r="F8" s="56" t="s">
        <v>44</v>
      </c>
      <c r="G8" s="44">
        <v>67</v>
      </c>
      <c r="H8" s="129">
        <f>IF(B$15=0,0,G8/B$15)</f>
        <v>0.14533622559652928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40</v>
      </c>
      <c r="C9" s="38">
        <f t="shared" si="1"/>
        <v>0.24539877300613497</v>
      </c>
      <c r="E9" s="59" t="s">
        <v>69</v>
      </c>
      <c r="F9" s="56" t="s">
        <v>24</v>
      </c>
      <c r="G9" s="44">
        <v>59</v>
      </c>
      <c r="H9" s="129">
        <f>IF(B$15=0,0,G9/B$15)</f>
        <v>0.1279826464208243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4.2944785276073622E-2</v>
      </c>
      <c r="E10" s="59" t="s">
        <v>65</v>
      </c>
      <c r="F10" s="56" t="s">
        <v>21</v>
      </c>
      <c r="G10" s="44">
        <v>53</v>
      </c>
      <c r="H10" s="129">
        <f>IF(B$15=0,0,G10/B$15)</f>
        <v>0.11496746203904555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13.322916666666663</v>
      </c>
      <c r="P10" s="114">
        <v>48</v>
      </c>
      <c r="Q10" s="102">
        <v>639.49999999999977</v>
      </c>
    </row>
    <row r="11" spans="1:17" x14ac:dyDescent="0.4">
      <c r="A11" s="54" t="s">
        <v>121</v>
      </c>
      <c r="B11" s="47">
        <v>355</v>
      </c>
      <c r="C11" s="42">
        <f>IF(B$3=0,0,B11/B$3)</f>
        <v>0.26551982049364248</v>
      </c>
      <c r="E11" s="59" t="s">
        <v>71</v>
      </c>
      <c r="F11" s="56" t="s">
        <v>26</v>
      </c>
      <c r="G11" s="44">
        <v>32</v>
      </c>
      <c r="H11" s="129">
        <f>IF(B$15=0,0,G11/B$15)</f>
        <v>6.9414316702819959E-2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2.5370370370370363</v>
      </c>
      <c r="P11" s="115">
        <v>54</v>
      </c>
      <c r="Q11" s="103">
        <v>136.99999999999997</v>
      </c>
    </row>
    <row r="12" spans="1:17" x14ac:dyDescent="0.4">
      <c r="A12" s="51" t="s">
        <v>118</v>
      </c>
      <c r="B12" s="44">
        <v>311</v>
      </c>
      <c r="C12" s="37">
        <f>IF(B$3=0,0,B12/B$3)</f>
        <v>0.23261032161555723</v>
      </c>
      <c r="E12" s="59" t="s">
        <v>86</v>
      </c>
      <c r="F12" s="56" t="s">
        <v>41</v>
      </c>
      <c r="G12" s="44">
        <v>31</v>
      </c>
      <c r="H12" s="129">
        <f>IF(B$15=0,0,G12/B$15)</f>
        <v>6.7245119305856832E-2</v>
      </c>
      <c r="I12" s="90">
        <v>1</v>
      </c>
      <c r="K12" s="36">
        <v>10</v>
      </c>
      <c r="L12" s="95">
        <v>158.19999999999999</v>
      </c>
      <c r="N12" s="112" t="s">
        <v>159</v>
      </c>
      <c r="O12" s="122">
        <f>IF(P12=0,0,Q12/P12)</f>
        <v>10.632786885245901</v>
      </c>
      <c r="P12" s="116">
        <v>61</v>
      </c>
      <c r="Q12" s="104">
        <v>648.59999999999991</v>
      </c>
    </row>
    <row r="13" spans="1:17" x14ac:dyDescent="0.4">
      <c r="A13" s="50" t="s">
        <v>123</v>
      </c>
      <c r="B13" s="43">
        <f>B19</f>
        <v>214</v>
      </c>
      <c r="C13" s="35">
        <f>IF(B$11=0,0,B13/B$11)</f>
        <v>0.60281690140845068</v>
      </c>
      <c r="E13" s="59" t="s">
        <v>70</v>
      </c>
      <c r="F13" s="56" t="s">
        <v>25</v>
      </c>
      <c r="G13" s="44">
        <v>25</v>
      </c>
      <c r="H13" s="129">
        <f>IF(B$15=0,0,G13/B$15)</f>
        <v>5.4229934924078092E-2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155</v>
      </c>
      <c r="C14" s="35">
        <f>IF(B$12=0,0,B14/B$12)</f>
        <v>0.49839228295819937</v>
      </c>
      <c r="E14" s="59" t="s">
        <v>83</v>
      </c>
      <c r="F14" s="56" t="s">
        <v>38</v>
      </c>
      <c r="G14" s="44">
        <v>23</v>
      </c>
      <c r="H14" s="129">
        <f>IF(B$15=0,0,G14/B$15)</f>
        <v>4.9891540130151846E-2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461</v>
      </c>
      <c r="C15" s="35">
        <f>IF(B$3=0,0,B15/B$3)</f>
        <v>0.34480179506357517</v>
      </c>
      <c r="E15" s="59" t="s">
        <v>78</v>
      </c>
      <c r="F15" s="56" t="s">
        <v>33</v>
      </c>
      <c r="G15" s="44">
        <v>19</v>
      </c>
      <c r="H15" s="129">
        <f>IF(B$15=0,0,G15/B$15)</f>
        <v>4.1214750542299353E-2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">
      <c r="A16" s="51" t="s">
        <v>13</v>
      </c>
      <c r="B16" s="44">
        <v>175</v>
      </c>
      <c r="C16" s="37">
        <f>IF(B$3=0,0,B16/B$3)</f>
        <v>0.13089005235602094</v>
      </c>
      <c r="E16" s="59" t="s">
        <v>162</v>
      </c>
      <c r="F16" s="56" t="s">
        <v>163</v>
      </c>
      <c r="G16" s="44">
        <v>13</v>
      </c>
      <c r="H16" s="129">
        <f>IF(B$15=0,0,G16/B$15)</f>
        <v>2.8199566160520606E-2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">
      <c r="A17" s="51" t="s">
        <v>12</v>
      </c>
      <c r="B17" s="44">
        <v>193</v>
      </c>
      <c r="C17" s="37">
        <f>IF(B$15=0,0,B17/B$15)</f>
        <v>0.41865509761388287</v>
      </c>
      <c r="E17" s="59" t="s">
        <v>81</v>
      </c>
      <c r="F17" s="56" t="s">
        <v>36</v>
      </c>
      <c r="G17" s="44">
        <v>6</v>
      </c>
      <c r="H17" s="129">
        <f>IF(B$15=0,0,G17/B$15)</f>
        <v>1.3015184381778741E-2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">
      <c r="A18" s="51" t="s">
        <v>11</v>
      </c>
      <c r="B18" s="44">
        <v>268</v>
      </c>
      <c r="C18" s="37">
        <f>IF(B$15=0,0,B18/B$15)</f>
        <v>0.58134490238611713</v>
      </c>
      <c r="E18" s="59" t="s">
        <v>75</v>
      </c>
      <c r="F18" s="56" t="s">
        <v>30</v>
      </c>
      <c r="G18" s="44">
        <v>5</v>
      </c>
      <c r="H18" s="129">
        <f>IF(B$15=0,0,G18/B$15)</f>
        <v>1.0845986984815618E-2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>IF(P18=0,0,Q18/P18)</f>
        <v>14.101724137931035</v>
      </c>
      <c r="P18" s="115">
        <v>58</v>
      </c>
      <c r="Q18" s="103">
        <v>817.9</v>
      </c>
    </row>
    <row r="19" spans="1:17" x14ac:dyDescent="0.4">
      <c r="A19" s="51" t="s">
        <v>195</v>
      </c>
      <c r="B19" s="44">
        <v>214</v>
      </c>
      <c r="C19" s="37">
        <f>IF(B$15=0,0,B19/B$15)</f>
        <v>0.46420824295010849</v>
      </c>
      <c r="E19" s="59" t="s">
        <v>91</v>
      </c>
      <c r="F19" s="56" t="s">
        <v>46</v>
      </c>
      <c r="G19" s="44">
        <v>5</v>
      </c>
      <c r="H19" s="129">
        <f>IF(B$15=0,0,G19/B$15)</f>
        <v>1.0845986984815618E-2</v>
      </c>
      <c r="I19" s="90">
        <v>7</v>
      </c>
      <c r="K19" s="36">
        <v>17</v>
      </c>
      <c r="L19" s="95">
        <v>359.09999999999991</v>
      </c>
      <c r="N19" s="111" t="s">
        <v>172</v>
      </c>
      <c r="O19" s="121">
        <f>IF(P19=0,0,Q19/P19)</f>
        <v>13.408474576271187</v>
      </c>
      <c r="P19" s="115">
        <v>59</v>
      </c>
      <c r="Q19" s="103">
        <v>791.1</v>
      </c>
    </row>
    <row r="20" spans="1:17" x14ac:dyDescent="0.4">
      <c r="A20" s="51" t="s">
        <v>193</v>
      </c>
      <c r="B20" s="44">
        <v>155</v>
      </c>
      <c r="C20" s="37">
        <f>IF(B$15=0,0,B20/B$15)</f>
        <v>0.33622559652928419</v>
      </c>
      <c r="E20" s="59" t="s">
        <v>79</v>
      </c>
      <c r="F20" s="56" t="s">
        <v>34</v>
      </c>
      <c r="G20" s="44">
        <v>4</v>
      </c>
      <c r="H20" s="129">
        <f>IF(B$15=0,0,G20/B$15)</f>
        <v>8.6767895878524948E-3</v>
      </c>
      <c r="I20" s="90">
        <v>8</v>
      </c>
      <c r="K20" s="36">
        <v>18</v>
      </c>
      <c r="L20" s="95">
        <v>352.39999999999992</v>
      </c>
      <c r="N20" s="111" t="s">
        <v>161</v>
      </c>
      <c r="O20" s="121">
        <f>IF(P20=0,0,Q20/P20)</f>
        <v>13.075675675675678</v>
      </c>
      <c r="P20" s="115">
        <v>37</v>
      </c>
      <c r="Q20" s="103">
        <v>483.80000000000007</v>
      </c>
    </row>
    <row r="21" spans="1:17" x14ac:dyDescent="0.4">
      <c r="A21" s="51" t="s">
        <v>194</v>
      </c>
      <c r="B21" s="44">
        <v>92</v>
      </c>
      <c r="C21" s="37">
        <f>IF(B$15=0,0,B21/B$15)</f>
        <v>0.19956616052060738</v>
      </c>
      <c r="E21" s="59" t="s">
        <v>85</v>
      </c>
      <c r="F21" s="56" t="s">
        <v>40</v>
      </c>
      <c r="G21" s="44">
        <v>4</v>
      </c>
      <c r="H21" s="129">
        <f>IF(B$15=0,0,G21/B$15)</f>
        <v>8.6767895878524948E-3</v>
      </c>
      <c r="I21" s="90">
        <v>4</v>
      </c>
      <c r="K21" s="36">
        <v>19</v>
      </c>
      <c r="L21" s="95">
        <v>383.19999999999993</v>
      </c>
      <c r="N21" s="111" t="s">
        <v>127</v>
      </c>
      <c r="O21" s="121">
        <f>IF(P21=0,0,Q21/P21)</f>
        <v>12.921052631578947</v>
      </c>
      <c r="P21" s="115">
        <v>95</v>
      </c>
      <c r="Q21" s="103">
        <v>1227.5</v>
      </c>
    </row>
    <row r="22" spans="1:17" x14ac:dyDescent="0.4">
      <c r="A22" s="51" t="s">
        <v>5</v>
      </c>
      <c r="B22" s="48">
        <f>IF(B$15=0,0,C22/B$15)</f>
        <v>8136.0086767895882</v>
      </c>
      <c r="C22" s="39">
        <v>3750700</v>
      </c>
      <c r="E22" s="59" t="s">
        <v>77</v>
      </c>
      <c r="F22" s="56" t="s">
        <v>32</v>
      </c>
      <c r="G22" s="44">
        <v>3</v>
      </c>
      <c r="H22" s="129">
        <f>IF(B$15=0,0,G22/B$15)</f>
        <v>6.5075921908893707E-3</v>
      </c>
      <c r="I22" s="90">
        <v>1</v>
      </c>
      <c r="K22" s="36">
        <v>20</v>
      </c>
      <c r="L22" s="95">
        <v>365.49999999999994</v>
      </c>
      <c r="N22" s="111" t="s">
        <v>170</v>
      </c>
      <c r="O22" s="121">
        <f>IF(P22=0,0,Q22/P22)</f>
        <v>1.1456521739130441</v>
      </c>
      <c r="P22" s="115">
        <v>46</v>
      </c>
      <c r="Q22" s="103">
        <v>52.700000000000031</v>
      </c>
    </row>
    <row r="23" spans="1:17" x14ac:dyDescent="0.4">
      <c r="A23" s="52" t="s">
        <v>177</v>
      </c>
      <c r="B23" s="136">
        <f>IF($B$15-B$14=0,0,C23/($B$15-B$14))</f>
        <v>8561.1111111111113</v>
      </c>
      <c r="C23" s="137">
        <v>2619700</v>
      </c>
      <c r="E23" s="59" t="s">
        <v>84</v>
      </c>
      <c r="F23" s="56" t="s">
        <v>39</v>
      </c>
      <c r="G23" s="44">
        <v>3</v>
      </c>
      <c r="H23" s="129">
        <f>IF(B$15=0,0,G23/B$15)</f>
        <v>6.5075921908893707E-3</v>
      </c>
      <c r="I23" s="90">
        <v>2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7296.7741935483873</v>
      </c>
      <c r="C24" s="137">
        <v>1131000</v>
      </c>
      <c r="E24" s="59" t="s">
        <v>92</v>
      </c>
      <c r="F24" s="56" t="s">
        <v>47</v>
      </c>
      <c r="G24" s="44">
        <v>3</v>
      </c>
      <c r="H24" s="129">
        <f>IF(B$15=0,0,G24/B$15)</f>
        <v>6.5075921908893707E-3</v>
      </c>
      <c r="I24" s="90">
        <v>4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-7571.4285714285716</v>
      </c>
      <c r="C25" s="137">
        <v>-1325000</v>
      </c>
      <c r="E25" s="59" t="s">
        <v>74</v>
      </c>
      <c r="F25" s="56" t="s">
        <v>29</v>
      </c>
      <c r="G25" s="44">
        <v>2</v>
      </c>
      <c r="H25" s="129">
        <f>IF(B$15=0,0,G25/B$15)</f>
        <v>4.3383947939262474E-3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4.3383947939262474E-3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1</v>
      </c>
      <c r="E27" s="59" t="s">
        <v>95</v>
      </c>
      <c r="F27" s="56" t="s">
        <v>50</v>
      </c>
      <c r="G27" s="44">
        <v>2</v>
      </c>
      <c r="H27" s="129">
        <f>IF(B$15=0,0,G27/B$15)</f>
        <v>4.3383947939262474E-3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2.1691973969631237E-3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2.1691973969631237E-3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7.4794315632011965E-4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43</v>
      </c>
      <c r="C32" s="141">
        <f>IF(B$15=0,0,B32/B$15)</f>
        <v>9.3275488069414311E-2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85</v>
      </c>
      <c r="C33" s="37">
        <f t="shared" ref="C33:C44" si="2">IF(B$15=0,0,B33/B$15)</f>
        <v>0.18438177874186551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94</v>
      </c>
      <c r="C34" s="37">
        <f>IF(B$15=0,0,B34/B$15)</f>
        <v>0.20390455531453361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83</v>
      </c>
      <c r="C35" s="37">
        <f t="shared" si="2"/>
        <v>0.18004338394793926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67</v>
      </c>
      <c r="C36" s="37">
        <f t="shared" si="2"/>
        <v>0.14533622559652928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41</v>
      </c>
      <c r="C37" s="37">
        <f t="shared" si="2"/>
        <v>8.8937093275488072E-2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23</v>
      </c>
      <c r="C38" s="37">
        <f t="shared" si="2"/>
        <v>4.9891540130151846E-2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6</v>
      </c>
      <c r="C39" s="37">
        <f t="shared" si="2"/>
        <v>1.3015184381778741E-2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2"/>
        <v>2.1691973969631236E-2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2</v>
      </c>
      <c r="C41" s="37">
        <f t="shared" si="2"/>
        <v>4.3383947939262474E-3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2"/>
        <v>2.1691973969631237E-3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6</v>
      </c>
      <c r="C44" s="40">
        <f t="shared" si="2"/>
        <v>1.3015184381778741E-2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4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144</v>
      </c>
      <c r="C2" s="155"/>
      <c r="E2" s="58" t="s">
        <v>66</v>
      </c>
      <c r="F2" s="55" t="s">
        <v>22</v>
      </c>
      <c r="G2" s="43">
        <v>290</v>
      </c>
      <c r="H2" s="128">
        <f>IF(B$15=0,0,G2/B$15)</f>
        <v>0.7901907356948229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-1483.9160839160838</v>
      </c>
      <c r="P2" s="114">
        <v>143</v>
      </c>
      <c r="Q2" s="98">
        <v>-212200</v>
      </c>
    </row>
    <row r="3" spans="1:17" x14ac:dyDescent="0.4">
      <c r="A3" s="51" t="s">
        <v>8</v>
      </c>
      <c r="B3" s="156">
        <v>1202</v>
      </c>
      <c r="C3" s="157"/>
      <c r="E3" s="59" t="s">
        <v>72</v>
      </c>
      <c r="F3" s="56" t="s">
        <v>27</v>
      </c>
      <c r="G3" s="44">
        <v>205</v>
      </c>
      <c r="H3" s="129">
        <f>IF(B$15=0,0,G3/B$15)</f>
        <v>0.55858310626703001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1521.2765957446809</v>
      </c>
      <c r="P3" s="115">
        <v>141</v>
      </c>
      <c r="Q3" s="99">
        <v>214500</v>
      </c>
    </row>
    <row r="4" spans="1:17" x14ac:dyDescent="0.4">
      <c r="A4" s="51" t="s">
        <v>6</v>
      </c>
      <c r="B4" s="158">
        <v>21.799999999999812</v>
      </c>
      <c r="C4" s="159"/>
      <c r="E4" s="59" t="s">
        <v>166</v>
      </c>
      <c r="F4" s="56" t="s">
        <v>167</v>
      </c>
      <c r="G4" s="44">
        <v>143</v>
      </c>
      <c r="H4" s="129">
        <f>IF(B$15=0,0,G4/B$15)</f>
        <v>0.38964577656675747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-450.76923076923077</v>
      </c>
      <c r="P4" s="115">
        <v>130</v>
      </c>
      <c r="Q4" s="99">
        <v>-58600</v>
      </c>
    </row>
    <row r="5" spans="1:17" x14ac:dyDescent="0.4">
      <c r="A5" s="51" t="s">
        <v>7</v>
      </c>
      <c r="B5" s="160">
        <f>IF(B$2=0,0,B$4/B$2)</f>
        <v>0.15138888888888757</v>
      </c>
      <c r="C5" s="161"/>
      <c r="E5" s="59" t="s">
        <v>64</v>
      </c>
      <c r="F5" s="56" t="s">
        <v>20</v>
      </c>
      <c r="G5" s="44">
        <v>142</v>
      </c>
      <c r="H5" s="129">
        <f>IF(B$15=0,0,G5/B$15)</f>
        <v>0.38692098092643051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317.07317073170731</v>
      </c>
      <c r="P5" s="115">
        <v>123</v>
      </c>
      <c r="Q5" s="99">
        <v>39000</v>
      </c>
    </row>
    <row r="6" spans="1:17" x14ac:dyDescent="0.4">
      <c r="A6" s="51" t="s">
        <v>1</v>
      </c>
      <c r="B6" s="150">
        <f>IF(B$2=0,0,(B$7*1+B$8*2+B$9*3)/B$2)</f>
        <v>1.9652777777777777</v>
      </c>
      <c r="C6" s="151"/>
      <c r="E6" s="59" t="s">
        <v>68</v>
      </c>
      <c r="F6" s="56" t="s">
        <v>12</v>
      </c>
      <c r="G6" s="44">
        <v>102</v>
      </c>
      <c r="H6" s="129">
        <f>IF(B$15=0,0,G6/B$15)</f>
        <v>0.27792915531335149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-953.57142857142856</v>
      </c>
      <c r="P6" s="115">
        <v>112</v>
      </c>
      <c r="Q6" s="99">
        <v>-106800</v>
      </c>
    </row>
    <row r="7" spans="1:17" x14ac:dyDescent="0.4">
      <c r="A7" s="51" t="s">
        <v>2</v>
      </c>
      <c r="B7" s="44">
        <v>49</v>
      </c>
      <c r="C7" s="37">
        <f t="shared" ref="C7:C10" si="1">IF(B$2=0,0,B7/B$2)</f>
        <v>0.34027777777777779</v>
      </c>
      <c r="E7" s="59" t="s">
        <v>67</v>
      </c>
      <c r="F7" s="56" t="s">
        <v>23</v>
      </c>
      <c r="G7" s="44">
        <v>77</v>
      </c>
      <c r="H7" s="129">
        <f>IF(B$15=0,0,G7/B$15)</f>
        <v>0.2098092643051771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1219.1489361702127</v>
      </c>
      <c r="P7" s="116">
        <v>94</v>
      </c>
      <c r="Q7" s="100">
        <v>114600</v>
      </c>
    </row>
    <row r="8" spans="1:17" x14ac:dyDescent="0.4">
      <c r="A8" s="51" t="s">
        <v>3</v>
      </c>
      <c r="B8" s="44">
        <v>51</v>
      </c>
      <c r="C8" s="37">
        <f t="shared" si="1"/>
        <v>0.35416666666666669</v>
      </c>
      <c r="E8" s="59" t="s">
        <v>69</v>
      </c>
      <c r="F8" s="56" t="s">
        <v>24</v>
      </c>
      <c r="G8" s="44">
        <v>45</v>
      </c>
      <c r="H8" s="129">
        <f>IF(B$15=0,0,G8/B$15)</f>
        <v>0.1226158038147139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44</v>
      </c>
      <c r="C9" s="38">
        <f t="shared" si="1"/>
        <v>0.30555555555555558</v>
      </c>
      <c r="E9" s="59" t="s">
        <v>89</v>
      </c>
      <c r="F9" s="56" t="s">
        <v>44</v>
      </c>
      <c r="G9" s="44">
        <v>41</v>
      </c>
      <c r="H9" s="129">
        <f>IF(B$15=0,0,G9/B$15)</f>
        <v>0.11171662125340599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0.125</v>
      </c>
      <c r="E10" s="59" t="s">
        <v>70</v>
      </c>
      <c r="F10" s="56" t="s">
        <v>25</v>
      </c>
      <c r="G10" s="44">
        <v>36</v>
      </c>
      <c r="H10" s="129">
        <f>IF(B$15=0,0,G10/B$15)</f>
        <v>9.8092643051771122E-2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1.0024390243902443</v>
      </c>
      <c r="P10" s="114">
        <v>41</v>
      </c>
      <c r="Q10" s="102">
        <v>41.100000000000016</v>
      </c>
    </row>
    <row r="11" spans="1:17" x14ac:dyDescent="0.4">
      <c r="A11" s="54" t="s">
        <v>121</v>
      </c>
      <c r="B11" s="47">
        <v>282</v>
      </c>
      <c r="C11" s="42">
        <f>IF(B$3=0,0,B11/B$3)</f>
        <v>0.23460898502495842</v>
      </c>
      <c r="E11" s="59" t="s">
        <v>71</v>
      </c>
      <c r="F11" s="56" t="s">
        <v>26</v>
      </c>
      <c r="G11" s="44">
        <v>35</v>
      </c>
      <c r="H11" s="129">
        <f>IF(B$15=0,0,G11/B$15)</f>
        <v>9.5367847411444148E-2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">
      <c r="A12" s="51" t="s">
        <v>118</v>
      </c>
      <c r="B12" s="44">
        <v>359</v>
      </c>
      <c r="C12" s="37">
        <f>IF(B$3=0,0,B12/B$3)</f>
        <v>0.29866888519134777</v>
      </c>
      <c r="E12" s="59" t="s">
        <v>65</v>
      </c>
      <c r="F12" s="56" t="s">
        <v>21</v>
      </c>
      <c r="G12" s="44">
        <v>31</v>
      </c>
      <c r="H12" s="129">
        <f>IF(B$15=0,0,G12/B$15)</f>
        <v>8.4468664850136238E-2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-3.9581818181818189</v>
      </c>
      <c r="P12" s="116">
        <v>55</v>
      </c>
      <c r="Q12" s="104">
        <v>-217.70000000000005</v>
      </c>
    </row>
    <row r="13" spans="1:17" x14ac:dyDescent="0.4">
      <c r="A13" s="50" t="s">
        <v>123</v>
      </c>
      <c r="B13" s="43">
        <f>B19</f>
        <v>142</v>
      </c>
      <c r="C13" s="35">
        <f>IF(B$11=0,0,B13/B$11)</f>
        <v>0.50354609929078009</v>
      </c>
      <c r="E13" s="59" t="s">
        <v>86</v>
      </c>
      <c r="F13" s="56" t="s">
        <v>41</v>
      </c>
      <c r="G13" s="44">
        <v>24</v>
      </c>
      <c r="H13" s="129">
        <f>IF(B$15=0,0,G13/B$15)</f>
        <v>6.5395095367847406E-2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137</v>
      </c>
      <c r="C14" s="35">
        <f>IF(B$12=0,0,B14/B$12)</f>
        <v>0.38161559888579388</v>
      </c>
      <c r="E14" s="59" t="s">
        <v>83</v>
      </c>
      <c r="F14" s="56" t="s">
        <v>38</v>
      </c>
      <c r="G14" s="44">
        <v>19</v>
      </c>
      <c r="H14" s="129">
        <f>IF(B$15=0,0,G14/B$15)</f>
        <v>5.1771117166212535E-2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367</v>
      </c>
      <c r="C15" s="35">
        <f>IF(B$3=0,0,B15/B$3)</f>
        <v>0.30532445923460899</v>
      </c>
      <c r="E15" s="59" t="s">
        <v>91</v>
      </c>
      <c r="F15" s="56" t="s">
        <v>46</v>
      </c>
      <c r="G15" s="44">
        <v>13</v>
      </c>
      <c r="H15" s="129">
        <f>IF(B$15=0,0,G15/B$15)</f>
        <v>3.5422343324250684E-2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220</v>
      </c>
      <c r="C16" s="37">
        <f>IF(B$3=0,0,B16/B$3)</f>
        <v>0.18302828618968386</v>
      </c>
      <c r="E16" s="59" t="s">
        <v>78</v>
      </c>
      <c r="F16" s="56" t="s">
        <v>33</v>
      </c>
      <c r="G16" s="44">
        <v>11</v>
      </c>
      <c r="H16" s="129">
        <f>IF(B$15=0,0,G16/B$15)</f>
        <v>2.9972752043596729E-2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">
      <c r="A17" s="51" t="s">
        <v>12</v>
      </c>
      <c r="B17" s="44">
        <v>153</v>
      </c>
      <c r="C17" s="37">
        <f>IF(B$15=0,0,B17/B$15)</f>
        <v>0.41689373297002724</v>
      </c>
      <c r="E17" s="59" t="s">
        <v>81</v>
      </c>
      <c r="F17" s="56" t="s">
        <v>36</v>
      </c>
      <c r="G17" s="44">
        <v>8</v>
      </c>
      <c r="H17" s="129">
        <f>IF(B$15=0,0,G17/B$15)</f>
        <v>2.1798365122615803E-2</v>
      </c>
      <c r="I17" s="90">
        <v>4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">
      <c r="A18" s="51" t="s">
        <v>11</v>
      </c>
      <c r="B18" s="44">
        <v>214</v>
      </c>
      <c r="C18" s="37">
        <f>IF(B$15=0,0,B18/B$15)</f>
        <v>0.5831062670299727</v>
      </c>
      <c r="E18" s="59" t="s">
        <v>79</v>
      </c>
      <c r="F18" s="56" t="s">
        <v>34</v>
      </c>
      <c r="G18" s="44">
        <v>7</v>
      </c>
      <c r="H18" s="129">
        <f>IF(B$15=0,0,G18/B$15)</f>
        <v>1.9073569482288829E-2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142</v>
      </c>
      <c r="C19" s="37">
        <f>IF(B$15=0,0,B19/B$15)</f>
        <v>0.38692098092643051</v>
      </c>
      <c r="E19" s="59" t="s">
        <v>162</v>
      </c>
      <c r="F19" s="56" t="s">
        <v>163</v>
      </c>
      <c r="G19" s="44">
        <v>5</v>
      </c>
      <c r="H19" s="129">
        <f>IF(B$15=0,0,G19/B$15)</f>
        <v>1.3623978201634877E-2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5.5299999999999994</v>
      </c>
      <c r="P19" s="115">
        <v>30</v>
      </c>
      <c r="Q19" s="103">
        <v>165.89999999999998</v>
      </c>
    </row>
    <row r="20" spans="1:17" x14ac:dyDescent="0.4">
      <c r="A20" s="51" t="s">
        <v>193</v>
      </c>
      <c r="B20" s="44">
        <v>137</v>
      </c>
      <c r="C20" s="37">
        <f>IF(B$15=0,0,B20/B$15)</f>
        <v>0.37329700272479566</v>
      </c>
      <c r="E20" s="59" t="s">
        <v>92</v>
      </c>
      <c r="F20" s="56" t="s">
        <v>47</v>
      </c>
      <c r="G20" s="44">
        <v>3</v>
      </c>
      <c r="H20" s="129">
        <f>IF(B$15=0,0,G20/B$15)</f>
        <v>8.1743869209809257E-3</v>
      </c>
      <c r="I20" s="90">
        <v>2</v>
      </c>
      <c r="K20" s="36">
        <v>18</v>
      </c>
      <c r="L20" s="95">
        <v>-112.90000000000002</v>
      </c>
      <c r="N20" s="111" t="s">
        <v>171</v>
      </c>
      <c r="O20" s="121">
        <f>IF(P20=0,0,Q20/P20)</f>
        <v>1.9173913043478277</v>
      </c>
      <c r="P20" s="115">
        <v>46</v>
      </c>
      <c r="Q20" s="103">
        <v>88.200000000000074</v>
      </c>
    </row>
    <row r="21" spans="1:17" x14ac:dyDescent="0.4">
      <c r="A21" s="51" t="s">
        <v>194</v>
      </c>
      <c r="B21" s="44">
        <v>88</v>
      </c>
      <c r="C21" s="37">
        <f>IF(B$15=0,0,B21/B$15)</f>
        <v>0.23978201634877383</v>
      </c>
      <c r="E21" s="59" t="s">
        <v>74</v>
      </c>
      <c r="F21" s="56" t="s">
        <v>29</v>
      </c>
      <c r="G21" s="44">
        <v>2</v>
      </c>
      <c r="H21" s="129">
        <f>IF(B$15=0,0,G21/B$15)</f>
        <v>5.4495912806539508E-3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>IF(P21=0,0,Q21/P21)</f>
        <v>0.40000000000000036</v>
      </c>
      <c r="P21" s="115">
        <v>4</v>
      </c>
      <c r="Q21" s="103">
        <v>1.6000000000000014</v>
      </c>
    </row>
    <row r="22" spans="1:17" x14ac:dyDescent="0.4">
      <c r="A22" s="51" t="s">
        <v>5</v>
      </c>
      <c r="B22" s="48">
        <f>IF(B$15=0,0,C22/B$15)</f>
        <v>8273.0245231607623</v>
      </c>
      <c r="C22" s="39">
        <v>3036200</v>
      </c>
      <c r="E22" s="59" t="s">
        <v>75</v>
      </c>
      <c r="F22" s="56" t="s">
        <v>30</v>
      </c>
      <c r="G22" s="44">
        <v>2</v>
      </c>
      <c r="H22" s="129">
        <f>IF(B$15=0,0,G22/B$15)</f>
        <v>5.4495912806539508E-3</v>
      </c>
      <c r="I22" s="90">
        <v>8</v>
      </c>
      <c r="K22" s="36">
        <v>20</v>
      </c>
      <c r="L22" s="95">
        <v>-96.000000000000028</v>
      </c>
      <c r="N22" s="111" t="s">
        <v>170</v>
      </c>
      <c r="O22" s="121">
        <f>IF(P22=0,0,Q22/P22)</f>
        <v>-5.7181818181818134</v>
      </c>
      <c r="P22" s="115">
        <v>44</v>
      </c>
      <c r="Q22" s="103">
        <v>-251.5999999999998</v>
      </c>
    </row>
    <row r="23" spans="1:17" x14ac:dyDescent="0.4">
      <c r="A23" s="52" t="s">
        <v>177</v>
      </c>
      <c r="B23" s="136">
        <f>IF($B$15-B$14=0,0,C23/($B$15-B$14))</f>
        <v>8894.782608695652</v>
      </c>
      <c r="C23" s="137">
        <v>2045800</v>
      </c>
      <c r="E23" s="59" t="s">
        <v>73</v>
      </c>
      <c r="F23" s="56" t="s">
        <v>28</v>
      </c>
      <c r="G23" s="44">
        <v>1</v>
      </c>
      <c r="H23" s="129">
        <f>IF(B$15=0,0,G23/B$15)</f>
        <v>2.7247956403269754E-3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-12.921052631578947</v>
      </c>
      <c r="P23" s="115">
        <v>95</v>
      </c>
      <c r="Q23" s="103">
        <v>-1227.5</v>
      </c>
    </row>
    <row r="24" spans="1:17" x14ac:dyDescent="0.4">
      <c r="A24" s="52" t="s">
        <v>178</v>
      </c>
      <c r="B24" s="136">
        <f>IF(B$14=0,0,C24/B$14)</f>
        <v>7229.1970802919705</v>
      </c>
      <c r="C24" s="137">
        <v>990400</v>
      </c>
      <c r="E24" s="59" t="s">
        <v>77</v>
      </c>
      <c r="F24" s="56" t="s">
        <v>32</v>
      </c>
      <c r="G24" s="44">
        <v>1</v>
      </c>
      <c r="H24" s="129">
        <f>IF(B$15=0,0,G24/B$15)</f>
        <v>2.7247956403269754E-3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-7976.818181818182</v>
      </c>
      <c r="C25" s="137">
        <v>-1754900</v>
      </c>
      <c r="E25" s="59" t="s">
        <v>84</v>
      </c>
      <c r="F25" s="56" t="s">
        <v>39</v>
      </c>
      <c r="G25" s="44">
        <v>1</v>
      </c>
      <c r="H25" s="129">
        <f>IF(B$15=0,0,G25/B$15)</f>
        <v>2.7247956403269754E-3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2.7247956403269754E-3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2</v>
      </c>
      <c r="E27" s="59" t="s">
        <v>95</v>
      </c>
      <c r="F27" s="56" t="s">
        <v>50</v>
      </c>
      <c r="G27" s="44">
        <v>1</v>
      </c>
      <c r="H27" s="129">
        <f>IF(B$15=0,0,G27/B$15)</f>
        <v>2.7247956403269754E-3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5</v>
      </c>
      <c r="C30" s="40">
        <f>IF(B$3=0,0,B30/B$3)</f>
        <v>4.1597337770382693E-3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25</v>
      </c>
      <c r="C32" s="141">
        <f>IF(B$15=0,0,B32/B$15)</f>
        <v>6.8119891008174394E-2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62</v>
      </c>
      <c r="C33" s="37">
        <f t="shared" ref="C33:C44" si="2">IF(B$15=0,0,B33/B$15)</f>
        <v>0.16893732970027248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77</v>
      </c>
      <c r="C34" s="37">
        <f>IF(B$15=0,0,B34/B$15)</f>
        <v>0.2098092643051771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77</v>
      </c>
      <c r="C35" s="37">
        <f t="shared" si="2"/>
        <v>0.2098092643051771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54</v>
      </c>
      <c r="C36" s="37">
        <f t="shared" si="2"/>
        <v>0.14713896457765668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39</v>
      </c>
      <c r="C37" s="37">
        <f t="shared" si="2"/>
        <v>0.10626702997275204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12</v>
      </c>
      <c r="C38" s="37">
        <f t="shared" si="2"/>
        <v>3.2697547683923703E-2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8</v>
      </c>
      <c r="C39" s="37">
        <f t="shared" si="2"/>
        <v>2.1798365122615803E-2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6</v>
      </c>
      <c r="C40" s="37">
        <f t="shared" si="2"/>
        <v>1.6348773841961851E-2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2"/>
        <v>2.7247956403269754E-3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2"/>
        <v>5.4495912806539508E-3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2"/>
        <v>1.0899182561307902E-2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95</v>
      </c>
      <c r="C2" s="155"/>
      <c r="E2" s="58" t="s">
        <v>66</v>
      </c>
      <c r="F2" s="55" t="s">
        <v>22</v>
      </c>
      <c r="G2" s="43">
        <v>174</v>
      </c>
      <c r="H2" s="128">
        <f>IF(B$15=0,0,G2/B$15)</f>
        <v>0.78378378378378377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-388.29787234042556</v>
      </c>
      <c r="P2" s="114">
        <v>94</v>
      </c>
      <c r="Q2" s="98">
        <v>-36500</v>
      </c>
    </row>
    <row r="3" spans="1:17" x14ac:dyDescent="0.4">
      <c r="A3" s="51" t="s">
        <v>8</v>
      </c>
      <c r="B3" s="156">
        <v>813</v>
      </c>
      <c r="C3" s="157"/>
      <c r="E3" s="59" t="s">
        <v>64</v>
      </c>
      <c r="F3" s="56" t="s">
        <v>20</v>
      </c>
      <c r="G3" s="44">
        <v>123</v>
      </c>
      <c r="H3" s="129">
        <f>IF(B$15=0,0,G3/B$15)</f>
        <v>0.55405405405405406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-554.25531914893622</v>
      </c>
      <c r="P3" s="115">
        <v>94</v>
      </c>
      <c r="Q3" s="99">
        <v>-52100</v>
      </c>
    </row>
    <row r="4" spans="1:17" x14ac:dyDescent="0.4">
      <c r="A4" s="51" t="s">
        <v>6</v>
      </c>
      <c r="B4" s="158">
        <v>-599.19999999999993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0.49549549549549549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462.5</v>
      </c>
      <c r="P4" s="115">
        <v>88</v>
      </c>
      <c r="Q4" s="99">
        <v>40700</v>
      </c>
    </row>
    <row r="5" spans="1:17" x14ac:dyDescent="0.4">
      <c r="A5" s="51" t="s">
        <v>7</v>
      </c>
      <c r="B5" s="160">
        <f>IF(B$2=0,0,B$4/B$2)</f>
        <v>-6.3073684210526313</v>
      </c>
      <c r="C5" s="161"/>
      <c r="E5" s="59" t="s">
        <v>166</v>
      </c>
      <c r="F5" s="56" t="s">
        <v>167</v>
      </c>
      <c r="G5" s="44">
        <v>94</v>
      </c>
      <c r="H5" s="129">
        <f>IF(B$15=0,0,G5/B$15)</f>
        <v>0.42342342342342343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-744.18604651162786</v>
      </c>
      <c r="P5" s="115">
        <v>86</v>
      </c>
      <c r="Q5" s="99">
        <v>-64000</v>
      </c>
    </row>
    <row r="6" spans="1:17" x14ac:dyDescent="0.4">
      <c r="A6" s="51" t="s">
        <v>1</v>
      </c>
      <c r="B6" s="150">
        <f>IF(B$2=0,0,(B$7*1+B$8*2+B$9*3)/B$2)</f>
        <v>2.1578947368421053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0.35135135135135137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-3076.5432098765432</v>
      </c>
      <c r="P6" s="115">
        <v>81</v>
      </c>
      <c r="Q6" s="99">
        <v>-249200</v>
      </c>
    </row>
    <row r="7" spans="1:17" x14ac:dyDescent="0.4">
      <c r="A7" s="51" t="s">
        <v>2</v>
      </c>
      <c r="B7" s="44">
        <v>21</v>
      </c>
      <c r="C7" s="37">
        <f t="shared" ref="C7:C10" si="1">IF(B$2=0,0,B7/B$2)</f>
        <v>0.22105263157894736</v>
      </c>
      <c r="E7" s="59" t="s">
        <v>67</v>
      </c>
      <c r="F7" s="56" t="s">
        <v>23</v>
      </c>
      <c r="G7" s="44">
        <v>68</v>
      </c>
      <c r="H7" s="129">
        <f>IF(B$15=0,0,G7/B$15)</f>
        <v>0.30630630630630629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-1363.3802816901409</v>
      </c>
      <c r="P7" s="116">
        <v>71</v>
      </c>
      <c r="Q7" s="100">
        <v>-96800</v>
      </c>
    </row>
    <row r="8" spans="1:17" x14ac:dyDescent="0.4">
      <c r="A8" s="51" t="s">
        <v>3</v>
      </c>
      <c r="B8" s="44">
        <v>38</v>
      </c>
      <c r="C8" s="37">
        <f t="shared" si="1"/>
        <v>0.4</v>
      </c>
      <c r="E8" s="59" t="s">
        <v>69</v>
      </c>
      <c r="F8" s="56" t="s">
        <v>24</v>
      </c>
      <c r="G8" s="44">
        <v>32</v>
      </c>
      <c r="H8" s="129">
        <f>IF(B$15=0,0,G8/B$15)</f>
        <v>0.14414414414414414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36</v>
      </c>
      <c r="C9" s="38">
        <f t="shared" si="1"/>
        <v>0.37894736842105264</v>
      </c>
      <c r="E9" s="59" t="s">
        <v>70</v>
      </c>
      <c r="F9" s="56" t="s">
        <v>25</v>
      </c>
      <c r="G9" s="44">
        <v>27</v>
      </c>
      <c r="H9" s="129">
        <f>IF(B$15=0,0,G9/B$15)</f>
        <v>0.12162162162162163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7.3684210526315783E-2</v>
      </c>
      <c r="E10" s="59" t="s">
        <v>65</v>
      </c>
      <c r="F10" s="56" t="s">
        <v>21</v>
      </c>
      <c r="G10" s="44">
        <v>26</v>
      </c>
      <c r="H10" s="129">
        <f>IF(B$15=0,0,G10/B$15)</f>
        <v>0.11711711711711711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">
      <c r="A11" s="54" t="s">
        <v>121</v>
      </c>
      <c r="B11" s="47">
        <v>225</v>
      </c>
      <c r="C11" s="42">
        <f>IF(B$3=0,0,B11/B$3)</f>
        <v>0.2767527675276753</v>
      </c>
      <c r="E11" s="59" t="s">
        <v>89</v>
      </c>
      <c r="F11" s="56" t="s">
        <v>44</v>
      </c>
      <c r="G11" s="44">
        <v>25</v>
      </c>
      <c r="H11" s="129">
        <f>IF(B$15=0,0,G11/B$15)</f>
        <v>0.11261261261261261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-5.3035714285714306</v>
      </c>
      <c r="P11" s="115">
        <v>28</v>
      </c>
      <c r="Q11" s="103">
        <v>-148.50000000000006</v>
      </c>
    </row>
    <row r="12" spans="1:17" x14ac:dyDescent="0.4">
      <c r="A12" s="51" t="s">
        <v>118</v>
      </c>
      <c r="B12" s="44">
        <v>159</v>
      </c>
      <c r="C12" s="37">
        <f>IF(B$3=0,0,B12/B$3)</f>
        <v>0.19557195571955718</v>
      </c>
      <c r="E12" s="59" t="s">
        <v>83</v>
      </c>
      <c r="F12" s="56" t="s">
        <v>38</v>
      </c>
      <c r="G12" s="44">
        <v>13</v>
      </c>
      <c r="H12" s="129">
        <f>IF(B$15=0,0,G12/B$15)</f>
        <v>5.8558558558558557E-2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0.54222222222222227</v>
      </c>
      <c r="E13" s="59" t="s">
        <v>86</v>
      </c>
      <c r="F13" s="56" t="s">
        <v>41</v>
      </c>
      <c r="G13" s="44">
        <v>10</v>
      </c>
      <c r="H13" s="129">
        <f>IF(B$15=0,0,G13/B$15)</f>
        <v>4.5045045045045043E-2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4.0540540540540543E-2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222</v>
      </c>
      <c r="C15" s="35">
        <f>IF(B$3=0,0,B15/B$3)</f>
        <v>0.27306273062730629</v>
      </c>
      <c r="E15" s="59" t="s">
        <v>78</v>
      </c>
      <c r="F15" s="56" t="s">
        <v>33</v>
      </c>
      <c r="G15" s="44">
        <v>7</v>
      </c>
      <c r="H15" s="129">
        <f>IF(B$15=0,0,G15/B$15)</f>
        <v>3.1531531531531529E-2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146</v>
      </c>
      <c r="C16" s="37">
        <f>IF(B$3=0,0,B16/B$3)</f>
        <v>0.17958179581795819</v>
      </c>
      <c r="E16" s="59" t="s">
        <v>79</v>
      </c>
      <c r="F16" s="56" t="s">
        <v>34</v>
      </c>
      <c r="G16" s="44">
        <v>4</v>
      </c>
      <c r="H16" s="129">
        <f>IF(B$15=0,0,G16/B$15)</f>
        <v>1.8018018018018018E-2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>IF(P16=0,0,Q16/P16)</f>
        <v>7.1727272727272746</v>
      </c>
      <c r="P16" s="115">
        <v>22</v>
      </c>
      <c r="Q16" s="103">
        <v>157.80000000000004</v>
      </c>
    </row>
    <row r="17" spans="1:17" x14ac:dyDescent="0.4">
      <c r="A17" s="51" t="s">
        <v>12</v>
      </c>
      <c r="B17" s="44">
        <v>104</v>
      </c>
      <c r="C17" s="37">
        <f>IF(B$15=0,0,B17/B$15)</f>
        <v>0.46846846846846846</v>
      </c>
      <c r="E17" s="59" t="s">
        <v>81</v>
      </c>
      <c r="F17" s="56" t="s">
        <v>36</v>
      </c>
      <c r="G17" s="44">
        <v>4</v>
      </c>
      <c r="H17" s="129">
        <f>IF(B$15=0,0,G17/B$15)</f>
        <v>1.8018018018018018E-2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>IF(P17=0,0,Q17/P17)</f>
        <v>1.4666666666666697</v>
      </c>
      <c r="P17" s="115">
        <v>18</v>
      </c>
      <c r="Q17" s="103">
        <v>26.400000000000055</v>
      </c>
    </row>
    <row r="18" spans="1:17" x14ac:dyDescent="0.4">
      <c r="A18" s="51" t="s">
        <v>11</v>
      </c>
      <c r="B18" s="44">
        <v>118</v>
      </c>
      <c r="C18" s="37">
        <f>IF(B$15=0,0,B18/B$15)</f>
        <v>0.53153153153153154</v>
      </c>
      <c r="E18" s="59" t="s">
        <v>162</v>
      </c>
      <c r="F18" s="56" t="s">
        <v>163</v>
      </c>
      <c r="G18" s="44">
        <v>4</v>
      </c>
      <c r="H18" s="129">
        <f>IF(B$15=0,0,G18/B$15)</f>
        <v>1.8018018018018018E-2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122</v>
      </c>
      <c r="C19" s="37">
        <f>IF(B$15=0,0,B19/B$15)</f>
        <v>0.5495495495495496</v>
      </c>
      <c r="E19" s="59" t="s">
        <v>75</v>
      </c>
      <c r="F19" s="56" t="s">
        <v>30</v>
      </c>
      <c r="G19" s="44">
        <v>3</v>
      </c>
      <c r="H19" s="129">
        <f>IF(B$15=0,0,G19/B$15)</f>
        <v>1.3513513513513514E-2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>IF(P19=0,0,Q19/P19)</f>
        <v>-13.237499999999999</v>
      </c>
      <c r="P19" s="115">
        <v>24</v>
      </c>
      <c r="Q19" s="103">
        <v>-317.7</v>
      </c>
    </row>
    <row r="20" spans="1:17" x14ac:dyDescent="0.4">
      <c r="A20" s="51" t="s">
        <v>193</v>
      </c>
      <c r="B20" s="44">
        <v>66</v>
      </c>
      <c r="C20" s="37">
        <f>IF(B$15=0,0,B20/B$15)</f>
        <v>0.29729729729729731</v>
      </c>
      <c r="E20" s="59" t="s">
        <v>91</v>
      </c>
      <c r="F20" s="56" t="s">
        <v>46</v>
      </c>
      <c r="G20" s="44">
        <v>1</v>
      </c>
      <c r="H20" s="129">
        <f>IF(B$15=0,0,G20/B$15)</f>
        <v>4.5045045045045045E-3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>IF(P20=0,0,Q20/P20)</f>
        <v>-13.408474576271189</v>
      </c>
      <c r="P20" s="115">
        <v>59</v>
      </c>
      <c r="Q20" s="103">
        <v>-791.10000000000014</v>
      </c>
    </row>
    <row r="21" spans="1:17" x14ac:dyDescent="0.4">
      <c r="A21" s="51" t="s">
        <v>194</v>
      </c>
      <c r="B21" s="44">
        <v>34</v>
      </c>
      <c r="C21" s="37">
        <f>IF(B$15=0,0,B21/B$15)</f>
        <v>0.15315315315315314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-17.456249999999994</v>
      </c>
      <c r="P21" s="115">
        <v>48</v>
      </c>
      <c r="Q21" s="103">
        <v>-837.89999999999964</v>
      </c>
    </row>
    <row r="22" spans="1:17" x14ac:dyDescent="0.4">
      <c r="A22" s="51" t="s">
        <v>5</v>
      </c>
      <c r="B22" s="48">
        <f>IF(B$15=0,0,C22/B$15)</f>
        <v>7830.6306306306305</v>
      </c>
      <c r="C22" s="39">
        <v>1738400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-19.25</v>
      </c>
      <c r="P22" s="115">
        <v>4</v>
      </c>
      <c r="Q22" s="103">
        <v>-77</v>
      </c>
    </row>
    <row r="23" spans="1:17" x14ac:dyDescent="0.4">
      <c r="A23" s="52" t="s">
        <v>177</v>
      </c>
      <c r="B23" s="136">
        <f>IF($B$15-B$14=0,0,C23/($B$15-B$14))</f>
        <v>8491.0256410256407</v>
      </c>
      <c r="C23" s="137">
        <v>1324600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-7591.7808219178078</v>
      </c>
      <c r="C25" s="137">
        <v>-1108400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3.6900369003690036E-3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16</v>
      </c>
      <c r="C32" s="141">
        <f>IF(B$15=0,0,B32/B$15)</f>
        <v>7.2072072072072071E-2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2">IF(B$15=0,0,B33/B$15)</f>
        <v>0.17567567567567569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50</v>
      </c>
      <c r="C34" s="37">
        <f>IF(B$15=0,0,B34/B$15)</f>
        <v>0.22522522522522523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34</v>
      </c>
      <c r="C35" s="37">
        <f t="shared" si="2"/>
        <v>0.15315315315315314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37</v>
      </c>
      <c r="C36" s="37">
        <f t="shared" si="2"/>
        <v>0.16666666666666666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23</v>
      </c>
      <c r="C37" s="37">
        <f t="shared" si="2"/>
        <v>0.1036036036036036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2"/>
        <v>5.8558558558558557E-2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6</v>
      </c>
      <c r="C39" s="37">
        <f t="shared" si="2"/>
        <v>2.7027027027027029E-2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2"/>
        <v>4.5045045045045045E-3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2"/>
        <v>4.5045045045045045E-3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2"/>
        <v>9.0090090090090089E-3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1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117</v>
      </c>
      <c r="C2" s="155"/>
      <c r="E2" s="58" t="s">
        <v>66</v>
      </c>
      <c r="F2" s="55" t="s">
        <v>22</v>
      </c>
      <c r="G2" s="43">
        <v>239</v>
      </c>
      <c r="H2" s="128">
        <f>IF(B$15=0,0,G2/B$15)</f>
        <v>0.88191881918819193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1589.7435897435898</v>
      </c>
      <c r="P2" s="114">
        <v>117</v>
      </c>
      <c r="Q2" s="98">
        <v>186000</v>
      </c>
    </row>
    <row r="3" spans="1:17" x14ac:dyDescent="0.4">
      <c r="A3" s="51" t="s">
        <v>8</v>
      </c>
      <c r="B3" s="156">
        <v>956</v>
      </c>
      <c r="C3" s="157"/>
      <c r="E3" s="59" t="s">
        <v>64</v>
      </c>
      <c r="F3" s="56" t="s">
        <v>20</v>
      </c>
      <c r="G3" s="44">
        <v>148</v>
      </c>
      <c r="H3" s="129">
        <f>IF(B$15=0,0,G3/B$15)</f>
        <v>0.54612546125461259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-1593.9130434782608</v>
      </c>
      <c r="P3" s="115">
        <v>115</v>
      </c>
      <c r="Q3" s="99">
        <v>-183300</v>
      </c>
    </row>
    <row r="4" spans="1:17" x14ac:dyDescent="0.4">
      <c r="A4" s="51" t="s">
        <v>6</v>
      </c>
      <c r="B4" s="158">
        <v>619.00000000000034</v>
      </c>
      <c r="C4" s="159"/>
      <c r="E4" s="59" t="s">
        <v>72</v>
      </c>
      <c r="F4" s="56" t="s">
        <v>27</v>
      </c>
      <c r="G4" s="44">
        <v>147</v>
      </c>
      <c r="H4" s="129">
        <f>IF(B$15=0,0,G4/B$15)</f>
        <v>0.54243542435424352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251.88679245283018</v>
      </c>
      <c r="P4" s="115">
        <v>106</v>
      </c>
      <c r="Q4" s="99">
        <v>26700</v>
      </c>
    </row>
    <row r="5" spans="1:17" x14ac:dyDescent="0.4">
      <c r="A5" s="51" t="s">
        <v>7</v>
      </c>
      <c r="B5" s="160">
        <f>IF(B$2=0,0,B$4/B$2)</f>
        <v>5.2905982905982931</v>
      </c>
      <c r="C5" s="161"/>
      <c r="E5" s="59" t="s">
        <v>67</v>
      </c>
      <c r="F5" s="56" t="s">
        <v>23</v>
      </c>
      <c r="G5" s="44">
        <v>110</v>
      </c>
      <c r="H5" s="129">
        <f>IF(B$15=0,0,G5/B$15)</f>
        <v>0.4059040590405904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2458</v>
      </c>
      <c r="P5" s="115">
        <v>100</v>
      </c>
      <c r="Q5" s="99">
        <v>245800</v>
      </c>
    </row>
    <row r="6" spans="1:17" x14ac:dyDescent="0.4">
      <c r="A6" s="51" t="s">
        <v>1</v>
      </c>
      <c r="B6" s="150">
        <f>IF(B$2=0,0,(B$7*1+B$8*2+B$9*3)/B$2)</f>
        <v>1.8803418803418803</v>
      </c>
      <c r="C6" s="151"/>
      <c r="E6" s="59" t="s">
        <v>68</v>
      </c>
      <c r="F6" s="56" t="s">
        <v>12</v>
      </c>
      <c r="G6" s="44">
        <v>108</v>
      </c>
      <c r="H6" s="129">
        <f>IF(B$15=0,0,G6/B$15)</f>
        <v>0.39852398523985239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1082.2222222222222</v>
      </c>
      <c r="P6" s="115">
        <v>90</v>
      </c>
      <c r="Q6" s="99">
        <v>97400</v>
      </c>
    </row>
    <row r="7" spans="1:17" x14ac:dyDescent="0.4">
      <c r="A7" s="51" t="s">
        <v>2</v>
      </c>
      <c r="B7" s="44">
        <v>49</v>
      </c>
      <c r="C7" s="37">
        <f t="shared" ref="C7:C10" si="1">IF(B$2=0,0,B7/B$2)</f>
        <v>0.41880341880341881</v>
      </c>
      <c r="E7" s="59" t="s">
        <v>166</v>
      </c>
      <c r="F7" s="56" t="s">
        <v>167</v>
      </c>
      <c r="G7" s="44">
        <v>100</v>
      </c>
      <c r="H7" s="129">
        <f>IF(B$15=0,0,G7/B$15)</f>
        <v>0.36900369003690037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542.25352112676057</v>
      </c>
      <c r="P7" s="116">
        <v>71</v>
      </c>
      <c r="Q7" s="100">
        <v>38500</v>
      </c>
    </row>
    <row r="8" spans="1:17" x14ac:dyDescent="0.4">
      <c r="A8" s="51" t="s">
        <v>3</v>
      </c>
      <c r="B8" s="44">
        <v>33</v>
      </c>
      <c r="C8" s="37">
        <f t="shared" si="1"/>
        <v>0.28205128205128205</v>
      </c>
      <c r="E8" s="59" t="s">
        <v>89</v>
      </c>
      <c r="F8" s="56" t="s">
        <v>44</v>
      </c>
      <c r="G8" s="44">
        <v>69</v>
      </c>
      <c r="H8" s="129">
        <f>IF(B$15=0,0,G8/B$15)</f>
        <v>0.25461254612546125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1"/>
        <v>0.29914529914529914</v>
      </c>
      <c r="E9" s="59" t="s">
        <v>69</v>
      </c>
      <c r="F9" s="56" t="s">
        <v>24</v>
      </c>
      <c r="G9" s="44">
        <v>57</v>
      </c>
      <c r="H9" s="129">
        <f>IF(B$15=0,0,G9/B$15)</f>
        <v>0.21033210332103322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12</v>
      </c>
      <c r="C10" s="40">
        <f t="shared" si="1"/>
        <v>0.10256410256410256</v>
      </c>
      <c r="E10" s="59" t="s">
        <v>65</v>
      </c>
      <c r="F10" s="56" t="s">
        <v>21</v>
      </c>
      <c r="G10" s="44">
        <v>40</v>
      </c>
      <c r="H10" s="129">
        <f>IF(B$15=0,0,G10/B$15)</f>
        <v>0.14760147601476015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-2.6903225806451609</v>
      </c>
      <c r="P10" s="114">
        <v>31</v>
      </c>
      <c r="Q10" s="102">
        <v>-83.399999999999991</v>
      </c>
    </row>
    <row r="11" spans="1:17" x14ac:dyDescent="0.4">
      <c r="A11" s="54" t="s">
        <v>121</v>
      </c>
      <c r="B11" s="47">
        <v>298</v>
      </c>
      <c r="C11" s="42">
        <f>IF(B$3=0,0,B11/B$3)</f>
        <v>0.31171548117154813</v>
      </c>
      <c r="E11" s="59" t="s">
        <v>70</v>
      </c>
      <c r="F11" s="56" t="s">
        <v>25</v>
      </c>
      <c r="G11" s="44">
        <v>31</v>
      </c>
      <c r="H11" s="129">
        <f>IF(B$15=0,0,G11/B$15)</f>
        <v>0.11439114391143912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8.0829787234042545</v>
      </c>
      <c r="P11" s="115">
        <v>47</v>
      </c>
      <c r="Q11" s="103">
        <v>379.89999999999992</v>
      </c>
    </row>
    <row r="12" spans="1:17" x14ac:dyDescent="0.4">
      <c r="A12" s="51" t="s">
        <v>118</v>
      </c>
      <c r="B12" s="44">
        <v>170</v>
      </c>
      <c r="C12" s="37">
        <f>IF(B$3=0,0,B12/B$3)</f>
        <v>0.17782426778242677</v>
      </c>
      <c r="E12" s="59" t="s">
        <v>162</v>
      </c>
      <c r="F12" s="56" t="s">
        <v>163</v>
      </c>
      <c r="G12" s="44">
        <v>17</v>
      </c>
      <c r="H12" s="129">
        <f>IF(B$15=0,0,G12/B$15)</f>
        <v>6.273062730627306E-2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8.2692307692307701</v>
      </c>
      <c r="P12" s="116">
        <v>39</v>
      </c>
      <c r="Q12" s="104">
        <v>322.5</v>
      </c>
    </row>
    <row r="13" spans="1:17" x14ac:dyDescent="0.4">
      <c r="A13" s="50" t="s">
        <v>123</v>
      </c>
      <c r="B13" s="43">
        <f>B19</f>
        <v>166</v>
      </c>
      <c r="C13" s="35">
        <f>IF(B$11=0,0,B13/B$11)</f>
        <v>0.55704697986577179</v>
      </c>
      <c r="E13" s="59" t="s">
        <v>71</v>
      </c>
      <c r="F13" s="56" t="s">
        <v>26</v>
      </c>
      <c r="G13" s="44">
        <v>14</v>
      </c>
      <c r="H13" s="129">
        <f>IF(B$15=0,0,G13/B$15)</f>
        <v>5.1660516605166053E-2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67</v>
      </c>
      <c r="C14" s="35">
        <f>IF(B$12=0,0,B14/B$12)</f>
        <v>0.39411764705882352</v>
      </c>
      <c r="E14" s="59" t="s">
        <v>86</v>
      </c>
      <c r="F14" s="56" t="s">
        <v>41</v>
      </c>
      <c r="G14" s="44">
        <v>10</v>
      </c>
      <c r="H14" s="129">
        <f>IF(B$15=0,0,G14/B$15)</f>
        <v>3.6900369003690037E-2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271</v>
      </c>
      <c r="C15" s="35">
        <f>IF(B$3=0,0,B15/B$3)</f>
        <v>0.28347280334728031</v>
      </c>
      <c r="E15" s="59" t="s">
        <v>83</v>
      </c>
      <c r="F15" s="56" t="s">
        <v>38</v>
      </c>
      <c r="G15" s="44">
        <v>8</v>
      </c>
      <c r="H15" s="129">
        <f>IF(B$15=0,0,G15/B$15)</f>
        <v>2.9520295202952029E-2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162</v>
      </c>
      <c r="C16" s="37">
        <f>IF(B$3=0,0,B16/B$3)</f>
        <v>0.16945606694560669</v>
      </c>
      <c r="E16" s="59" t="s">
        <v>78</v>
      </c>
      <c r="F16" s="56" t="s">
        <v>33</v>
      </c>
      <c r="G16" s="44">
        <v>4</v>
      </c>
      <c r="H16" s="129">
        <f>IF(B$15=0,0,G16/B$15)</f>
        <v>1.4760147601476014E-2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37.36</v>
      </c>
      <c r="P16" s="115">
        <v>20</v>
      </c>
      <c r="Q16" s="103">
        <v>747.19999999999993</v>
      </c>
    </row>
    <row r="17" spans="1:17" x14ac:dyDescent="0.4">
      <c r="A17" s="51" t="s">
        <v>12</v>
      </c>
      <c r="B17" s="44">
        <v>137</v>
      </c>
      <c r="C17" s="37">
        <f>IF(B$15=0,0,B17/B$15)</f>
        <v>0.50553505535055354</v>
      </c>
      <c r="E17" s="59" t="s">
        <v>81</v>
      </c>
      <c r="F17" s="56" t="s">
        <v>36</v>
      </c>
      <c r="G17" s="44">
        <v>4</v>
      </c>
      <c r="H17" s="129">
        <f>IF(B$15=0,0,G17/B$15)</f>
        <v>1.4760147601476014E-2</v>
      </c>
      <c r="I17" s="90">
        <v>9</v>
      </c>
      <c r="K17" s="36">
        <v>15</v>
      </c>
      <c r="L17" s="95">
        <v>-101.79999999999997</v>
      </c>
      <c r="N17" s="111" t="s">
        <v>171</v>
      </c>
      <c r="O17" s="121">
        <f>IF(P17=0,0,Q17/P17)</f>
        <v>12.623728813559321</v>
      </c>
      <c r="P17" s="115">
        <v>59</v>
      </c>
      <c r="Q17" s="103">
        <v>744.8</v>
      </c>
    </row>
    <row r="18" spans="1:17" x14ac:dyDescent="0.4">
      <c r="A18" s="51" t="s">
        <v>11</v>
      </c>
      <c r="B18" s="44">
        <v>134</v>
      </c>
      <c r="C18" s="37">
        <f>IF(B$15=0,0,B18/B$15)</f>
        <v>0.49446494464944651</v>
      </c>
      <c r="E18" s="59" t="s">
        <v>91</v>
      </c>
      <c r="F18" s="56" t="s">
        <v>46</v>
      </c>
      <c r="G18" s="44">
        <v>4</v>
      </c>
      <c r="H18" s="129">
        <f>IF(B$15=0,0,G18/B$15)</f>
        <v>1.4760147601476014E-2</v>
      </c>
      <c r="I18" s="90">
        <v>6</v>
      </c>
      <c r="K18" s="36">
        <v>16</v>
      </c>
      <c r="L18" s="95">
        <v>-63.099999999999966</v>
      </c>
      <c r="N18" s="111" t="s">
        <v>197</v>
      </c>
      <c r="O18" s="121">
        <f>IF(P18=0,0,Q18/P18)</f>
        <v>10.864000000000003</v>
      </c>
      <c r="P18" s="115">
        <v>25</v>
      </c>
      <c r="Q18" s="103">
        <v>271.60000000000008</v>
      </c>
    </row>
    <row r="19" spans="1:17" x14ac:dyDescent="0.4">
      <c r="A19" s="51" t="s">
        <v>195</v>
      </c>
      <c r="B19" s="44">
        <v>166</v>
      </c>
      <c r="C19" s="37">
        <f>IF(B$15=0,0,B19/B$15)</f>
        <v>0.61254612546125464</v>
      </c>
      <c r="E19" s="59" t="s">
        <v>92</v>
      </c>
      <c r="F19" s="56" t="s">
        <v>47</v>
      </c>
      <c r="G19" s="44">
        <v>4</v>
      </c>
      <c r="H19" s="129">
        <f>IF(B$15=0,0,G19/B$15)</f>
        <v>1.4760147601476014E-2</v>
      </c>
      <c r="I19" s="90">
        <v>1</v>
      </c>
      <c r="K19" s="36">
        <v>17</v>
      </c>
      <c r="L19" s="95">
        <v>-55.799999999999969</v>
      </c>
      <c r="N19" s="111" t="s">
        <v>127</v>
      </c>
      <c r="O19" s="121">
        <f>IF(P19=0,0,Q19/P19)</f>
        <v>5.7181818181818151</v>
      </c>
      <c r="P19" s="115">
        <v>44</v>
      </c>
      <c r="Q19" s="103">
        <v>251.59999999999988</v>
      </c>
    </row>
    <row r="20" spans="1:17" x14ac:dyDescent="0.4">
      <c r="A20" s="51" t="s">
        <v>193</v>
      </c>
      <c r="B20" s="44">
        <v>67</v>
      </c>
      <c r="C20" s="37">
        <f>IF(B$15=0,0,B20/B$15)</f>
        <v>0.24723247232472326</v>
      </c>
      <c r="E20" s="59" t="s">
        <v>73</v>
      </c>
      <c r="F20" s="56" t="s">
        <v>28</v>
      </c>
      <c r="G20" s="44">
        <v>2</v>
      </c>
      <c r="H20" s="129">
        <f>IF(B$15=0,0,G20/B$15)</f>
        <v>7.3800738007380072E-3</v>
      </c>
      <c r="I20" s="90">
        <v>2</v>
      </c>
      <c r="K20" s="36">
        <v>18</v>
      </c>
      <c r="L20" s="95">
        <v>-24.999999999999968</v>
      </c>
      <c r="N20" s="111" t="s">
        <v>274</v>
      </c>
      <c r="O20" s="121">
        <f>IF(P20=0,0,Q20/P20)</f>
        <v>5.4749999999999988</v>
      </c>
      <c r="P20" s="115">
        <v>8</v>
      </c>
      <c r="Q20" s="103">
        <v>43.79999999999999</v>
      </c>
    </row>
    <row r="21" spans="1:17" x14ac:dyDescent="0.4">
      <c r="A21" s="51" t="s">
        <v>194</v>
      </c>
      <c r="B21" s="44">
        <v>38</v>
      </c>
      <c r="C21" s="37">
        <f>IF(B$15=0,0,B21/B$15)</f>
        <v>0.14022140221402213</v>
      </c>
      <c r="E21" s="59" t="s">
        <v>79</v>
      </c>
      <c r="F21" s="56" t="s">
        <v>34</v>
      </c>
      <c r="G21" s="44">
        <v>2</v>
      </c>
      <c r="H21" s="129">
        <f>IF(B$15=0,0,G21/B$15)</f>
        <v>7.3800738007380072E-3</v>
      </c>
      <c r="I21" s="90">
        <v>9</v>
      </c>
      <c r="K21" s="36">
        <v>19</v>
      </c>
      <c r="L21" s="95">
        <v>-27.799999999999969</v>
      </c>
      <c r="N21" s="111" t="s">
        <v>126</v>
      </c>
      <c r="O21" s="121">
        <f>IF(P21=0,0,Q21/P21)</f>
        <v>-1.1456521739130461</v>
      </c>
      <c r="P21" s="115">
        <v>46</v>
      </c>
      <c r="Q21" s="103">
        <v>-52.700000000000117</v>
      </c>
    </row>
    <row r="22" spans="1:17" x14ac:dyDescent="0.4">
      <c r="A22" s="51" t="s">
        <v>5</v>
      </c>
      <c r="B22" s="48">
        <f>IF(B$15=0,0,C22/B$15)</f>
        <v>10674.169741697417</v>
      </c>
      <c r="C22" s="39">
        <v>2892700</v>
      </c>
      <c r="E22" s="59" t="s">
        <v>84</v>
      </c>
      <c r="F22" s="56" t="s">
        <v>39</v>
      </c>
      <c r="G22" s="44">
        <v>2</v>
      </c>
      <c r="H22" s="129">
        <f>IF(B$15=0,0,G22/B$15)</f>
        <v>7.3800738007380072E-3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">
      <c r="A23" s="52" t="s">
        <v>177</v>
      </c>
      <c r="B23" s="136">
        <f>IF($B$15-B$14=0,0,C23/($B$15-B$14))</f>
        <v>11323.039215686274</v>
      </c>
      <c r="C23" s="137">
        <v>2309900</v>
      </c>
      <c r="E23" s="59" t="s">
        <v>90</v>
      </c>
      <c r="F23" s="56" t="s">
        <v>45</v>
      </c>
      <c r="G23" s="44">
        <v>2</v>
      </c>
      <c r="H23" s="129">
        <f>IF(B$15=0,0,G23/B$15)</f>
        <v>7.3800738007380072E-3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">
      <c r="A24" s="52" t="s">
        <v>178</v>
      </c>
      <c r="B24" s="136">
        <f>IF(B$14=0,0,C24/B$14)</f>
        <v>8698.507462686568</v>
      </c>
      <c r="C24" s="137">
        <v>582800</v>
      </c>
      <c r="E24" s="59" t="s">
        <v>75</v>
      </c>
      <c r="F24" s="56" t="s">
        <v>30</v>
      </c>
      <c r="G24" s="44">
        <v>1</v>
      </c>
      <c r="H24" s="129">
        <f>IF(B$15=0,0,G24/B$15)</f>
        <v>3.6900369003690036E-3</v>
      </c>
      <c r="I24" s="90">
        <v>9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-8017.2839506172841</v>
      </c>
      <c r="C25" s="137">
        <v>-1298800</v>
      </c>
      <c r="E25" s="59" t="s">
        <v>77</v>
      </c>
      <c r="F25" s="56" t="s">
        <v>32</v>
      </c>
      <c r="G25" s="44">
        <v>1</v>
      </c>
      <c r="H25" s="129">
        <f>IF(B$15=0,0,G25/B$15)</f>
        <v>3.6900369003690036E-3</v>
      </c>
      <c r="I25" s="90">
        <v>3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1</v>
      </c>
      <c r="H26" s="129">
        <f>IF(B$15=0,0,G26/B$15)</f>
        <v>3.6900369003690036E-3</v>
      </c>
      <c r="I26" s="90">
        <v>6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3.6900369003690036E-3</v>
      </c>
      <c r="I27" s="90">
        <v>2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3.6900369003690036E-3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1</v>
      </c>
      <c r="C30" s="40">
        <f>IF(B$3=0,0,B30/B$3)</f>
        <v>1.0460251046025104E-3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6</v>
      </c>
      <c r="C32" s="141">
        <f>IF(B$15=0,0,B32/B$15)</f>
        <v>2.2140221402214021E-2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21</v>
      </c>
      <c r="C33" s="37">
        <f t="shared" ref="C33:C44" si="2">IF(B$15=0,0,B33/B$15)</f>
        <v>7.7490774907749083E-2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39</v>
      </c>
      <c r="C34" s="37">
        <f>IF(B$15=0,0,B34/B$15)</f>
        <v>0.14391143911439114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53</v>
      </c>
      <c r="C35" s="37">
        <f t="shared" si="2"/>
        <v>0.19557195571955718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62</v>
      </c>
      <c r="C36" s="37">
        <f t="shared" si="2"/>
        <v>0.22878228782287824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34</v>
      </c>
      <c r="C37" s="37">
        <f t="shared" si="2"/>
        <v>0.12546125461254612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21</v>
      </c>
      <c r="C38" s="37">
        <f t="shared" si="2"/>
        <v>7.7490774907749083E-2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18</v>
      </c>
      <c r="C39" s="37">
        <f t="shared" si="2"/>
        <v>6.6420664206642069E-2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6</v>
      </c>
      <c r="C40" s="37">
        <f t="shared" si="2"/>
        <v>2.2140221402214021E-2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2</v>
      </c>
      <c r="C41" s="37">
        <f t="shared" si="2"/>
        <v>7.3800738007380072E-3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2"/>
        <v>7.3800738007380072E-3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2"/>
        <v>3.6900369003690036E-3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6</v>
      </c>
      <c r="C44" s="40">
        <f t="shared" si="2"/>
        <v>2.2140221402214021E-2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3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130</v>
      </c>
      <c r="C2" s="155"/>
      <c r="E2" s="58" t="s">
        <v>66</v>
      </c>
      <c r="F2" s="55" t="s">
        <v>22</v>
      </c>
      <c r="G2" s="43">
        <v>219</v>
      </c>
      <c r="H2" s="128">
        <f>IF(B$15=0,0,G2/B$15)</f>
        <v>0.75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-313.07692307692309</v>
      </c>
      <c r="P2" s="114">
        <v>130</v>
      </c>
      <c r="Q2" s="98">
        <v>-40700</v>
      </c>
    </row>
    <row r="3" spans="1:17" x14ac:dyDescent="0.4">
      <c r="A3" s="51" t="s">
        <v>8</v>
      </c>
      <c r="B3" s="156">
        <v>1059</v>
      </c>
      <c r="C3" s="157"/>
      <c r="E3" s="59" t="s">
        <v>72</v>
      </c>
      <c r="F3" s="56" t="s">
        <v>27</v>
      </c>
      <c r="G3" s="44">
        <v>162</v>
      </c>
      <c r="H3" s="129">
        <f>IF(B$15=0,0,G3/B$15)</f>
        <v>0.5547945205479452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-90.551181102362207</v>
      </c>
      <c r="P3" s="115">
        <v>127</v>
      </c>
      <c r="Q3" s="99">
        <v>-11500</v>
      </c>
    </row>
    <row r="4" spans="1:17" x14ac:dyDescent="0.4">
      <c r="A4" s="51" t="s">
        <v>6</v>
      </c>
      <c r="B4" s="158">
        <v>-230.89999999999998</v>
      </c>
      <c r="C4" s="159"/>
      <c r="E4" s="59" t="s">
        <v>64</v>
      </c>
      <c r="F4" s="56" t="s">
        <v>20</v>
      </c>
      <c r="G4" s="44">
        <v>148</v>
      </c>
      <c r="H4" s="129">
        <f>IF(B$15=0,0,G4/B$15)</f>
        <v>0.50684931506849318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227.27272727272728</v>
      </c>
      <c r="P4" s="115">
        <v>121</v>
      </c>
      <c r="Q4" s="99">
        <v>27500</v>
      </c>
    </row>
    <row r="5" spans="1:17" x14ac:dyDescent="0.4">
      <c r="A5" s="51" t="s">
        <v>7</v>
      </c>
      <c r="B5" s="160">
        <f>IF(B$2=0,0,B$4/B$2)</f>
        <v>-1.776153846153846</v>
      </c>
      <c r="C5" s="161"/>
      <c r="E5" s="59" t="s">
        <v>166</v>
      </c>
      <c r="F5" s="56" t="s">
        <v>167</v>
      </c>
      <c r="G5" s="44">
        <v>126</v>
      </c>
      <c r="H5" s="129">
        <f>IF(B$15=0,0,G5/B$15)</f>
        <v>0.4315068493150685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67.272727272727266</v>
      </c>
      <c r="P5" s="115">
        <v>110</v>
      </c>
      <c r="Q5" s="99">
        <v>7400</v>
      </c>
    </row>
    <row r="6" spans="1:17" x14ac:dyDescent="0.4">
      <c r="A6" s="51" t="s">
        <v>1</v>
      </c>
      <c r="B6" s="150">
        <f>IF(B$2=0,0,(B$7*1+B$8*2+B$9*3)/B$2)</f>
        <v>2.0923076923076924</v>
      </c>
      <c r="C6" s="151"/>
      <c r="E6" s="59" t="s">
        <v>67</v>
      </c>
      <c r="F6" s="56" t="s">
        <v>23</v>
      </c>
      <c r="G6" s="44">
        <v>103</v>
      </c>
      <c r="H6" s="129">
        <f>IF(B$15=0,0,G6/B$15)</f>
        <v>0.35273972602739728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-85.858585858585855</v>
      </c>
      <c r="P6" s="115">
        <v>99</v>
      </c>
      <c r="Q6" s="99">
        <v>-8500</v>
      </c>
    </row>
    <row r="7" spans="1:17" x14ac:dyDescent="0.4">
      <c r="A7" s="51" t="s">
        <v>2</v>
      </c>
      <c r="B7" s="44">
        <v>30</v>
      </c>
      <c r="C7" s="37">
        <f t="shared" ref="C7:C10" si="1">IF(B$2=0,0,B7/B$2)</f>
        <v>0.23076923076923078</v>
      </c>
      <c r="E7" s="59" t="s">
        <v>68</v>
      </c>
      <c r="F7" s="56" t="s">
        <v>12</v>
      </c>
      <c r="G7" s="44">
        <v>92</v>
      </c>
      <c r="H7" s="129">
        <f>IF(B$15=0,0,G7/B$15)</f>
        <v>0.31506849315068491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-1177.3809523809523</v>
      </c>
      <c r="P7" s="116">
        <v>84</v>
      </c>
      <c r="Q7" s="100">
        <v>-98900</v>
      </c>
    </row>
    <row r="8" spans="1:17" x14ac:dyDescent="0.4">
      <c r="A8" s="51" t="s">
        <v>3</v>
      </c>
      <c r="B8" s="44">
        <v>58</v>
      </c>
      <c r="C8" s="37">
        <f t="shared" si="1"/>
        <v>0.44615384615384618</v>
      </c>
      <c r="E8" s="59" t="s">
        <v>69</v>
      </c>
      <c r="F8" s="56" t="s">
        <v>24</v>
      </c>
      <c r="G8" s="44">
        <v>38</v>
      </c>
      <c r="H8" s="129">
        <f>IF(B$15=0,0,G8/B$15)</f>
        <v>0.13013698630136986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42</v>
      </c>
      <c r="C9" s="38">
        <f t="shared" si="1"/>
        <v>0.32307692307692309</v>
      </c>
      <c r="E9" s="59" t="s">
        <v>89</v>
      </c>
      <c r="F9" s="56" t="s">
        <v>44</v>
      </c>
      <c r="G9" s="44">
        <v>36</v>
      </c>
      <c r="H9" s="129">
        <f>IF(B$15=0,0,G9/B$15)</f>
        <v>0.12328767123287671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7.6923076923076927E-2</v>
      </c>
      <c r="E10" s="59" t="s">
        <v>71</v>
      </c>
      <c r="F10" s="56" t="s">
        <v>26</v>
      </c>
      <c r="G10" s="44">
        <v>30</v>
      </c>
      <c r="H10" s="129">
        <f>IF(B$15=0,0,G10/B$15)</f>
        <v>0.10273972602739725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-2.7777777777777777</v>
      </c>
      <c r="P10" s="114">
        <v>54</v>
      </c>
      <c r="Q10" s="102">
        <v>-150</v>
      </c>
    </row>
    <row r="11" spans="1:17" x14ac:dyDescent="0.4">
      <c r="A11" s="54" t="s">
        <v>121</v>
      </c>
      <c r="B11" s="47">
        <v>282</v>
      </c>
      <c r="C11" s="42">
        <f>IF(B$3=0,0,B11/B$3)</f>
        <v>0.26628895184135976</v>
      </c>
      <c r="E11" s="59" t="s">
        <v>65</v>
      </c>
      <c r="F11" s="56" t="s">
        <v>21</v>
      </c>
      <c r="G11" s="44">
        <v>24</v>
      </c>
      <c r="H11" s="129">
        <f>IF(B$15=0,0,G11/B$15)</f>
        <v>8.2191780821917804E-2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-0.66499999999999937</v>
      </c>
      <c r="P11" s="115">
        <v>40</v>
      </c>
      <c r="Q11" s="103">
        <v>-26.599999999999973</v>
      </c>
    </row>
    <row r="12" spans="1:17" x14ac:dyDescent="0.4">
      <c r="A12" s="51" t="s">
        <v>118</v>
      </c>
      <c r="B12" s="44">
        <v>237</v>
      </c>
      <c r="C12" s="37">
        <f>IF(B$3=0,0,B12/B$3)</f>
        <v>0.22379603399433429</v>
      </c>
      <c r="E12" s="59" t="s">
        <v>70</v>
      </c>
      <c r="F12" s="56" t="s">
        <v>25</v>
      </c>
      <c r="G12" s="44">
        <v>23</v>
      </c>
      <c r="H12" s="129">
        <f>IF(B$15=0,0,G12/B$15)</f>
        <v>7.8767123287671229E-2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">
      <c r="A13" s="50" t="s">
        <v>123</v>
      </c>
      <c r="B13" s="43">
        <f>B19</f>
        <v>154</v>
      </c>
      <c r="C13" s="35">
        <f>IF(B$11=0,0,B13/B$11)</f>
        <v>0.54609929078014185</v>
      </c>
      <c r="E13" s="59" t="s">
        <v>86</v>
      </c>
      <c r="F13" s="56" t="s">
        <v>41</v>
      </c>
      <c r="G13" s="44">
        <v>14</v>
      </c>
      <c r="H13" s="129">
        <f>IF(B$15=0,0,G13/B$15)</f>
        <v>4.7945205479452052E-2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99</v>
      </c>
      <c r="C14" s="35">
        <f>IF(B$12=0,0,B14/B$12)</f>
        <v>0.41772151898734178</v>
      </c>
      <c r="E14" s="59" t="s">
        <v>83</v>
      </c>
      <c r="F14" s="56" t="s">
        <v>38</v>
      </c>
      <c r="G14" s="44">
        <v>12</v>
      </c>
      <c r="H14" s="129">
        <f>IF(B$15=0,0,G14/B$15)</f>
        <v>4.1095890410958902E-2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292</v>
      </c>
      <c r="C15" s="35">
        <f>IF(B$3=0,0,B15/B$3)</f>
        <v>0.27573182247403211</v>
      </c>
      <c r="E15" s="59" t="s">
        <v>79</v>
      </c>
      <c r="F15" s="56" t="s">
        <v>34</v>
      </c>
      <c r="G15" s="44">
        <v>7</v>
      </c>
      <c r="H15" s="129">
        <f>IF(B$15=0,0,G15/B$15)</f>
        <v>2.3972602739726026E-2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149</v>
      </c>
      <c r="C16" s="37">
        <f>IF(B$3=0,0,B16/B$3)</f>
        <v>0.14069877242681775</v>
      </c>
      <c r="E16" s="59" t="s">
        <v>162</v>
      </c>
      <c r="F16" s="56" t="s">
        <v>163</v>
      </c>
      <c r="G16" s="44">
        <v>6</v>
      </c>
      <c r="H16" s="129">
        <f>IF(B$15=0,0,G16/B$15)</f>
        <v>2.0547945205479451E-2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130</v>
      </c>
      <c r="C17" s="37">
        <f>IF(B$15=0,0,B17/B$15)</f>
        <v>0.4452054794520548</v>
      </c>
      <c r="E17" s="59" t="s">
        <v>73</v>
      </c>
      <c r="F17" s="56" t="s">
        <v>28</v>
      </c>
      <c r="G17" s="44">
        <v>5</v>
      </c>
      <c r="H17" s="129">
        <f>IF(B$15=0,0,G17/B$15)</f>
        <v>1.7123287671232876E-2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">
      <c r="A18" s="51" t="s">
        <v>11</v>
      </c>
      <c r="B18" s="44">
        <v>162</v>
      </c>
      <c r="C18" s="37">
        <f>IF(B$15=0,0,B18/B$15)</f>
        <v>0.5547945205479452</v>
      </c>
      <c r="E18" s="59" t="s">
        <v>81</v>
      </c>
      <c r="F18" s="56" t="s">
        <v>36</v>
      </c>
      <c r="G18" s="44">
        <v>5</v>
      </c>
      <c r="H18" s="129">
        <f>IF(B$15=0,0,G18/B$15)</f>
        <v>1.7123287671232876E-2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">
      <c r="A19" s="51" t="s">
        <v>195</v>
      </c>
      <c r="B19" s="44">
        <v>154</v>
      </c>
      <c r="C19" s="37">
        <f>IF(B$15=0,0,B19/B$15)</f>
        <v>0.5273972602739726</v>
      </c>
      <c r="E19" s="59" t="s">
        <v>78</v>
      </c>
      <c r="F19" s="56" t="s">
        <v>33</v>
      </c>
      <c r="G19" s="44">
        <v>3</v>
      </c>
      <c r="H19" s="129">
        <f>IF(B$15=0,0,G19/B$15)</f>
        <v>1.0273972602739725E-2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99</v>
      </c>
      <c r="C20" s="37">
        <f>IF(B$15=0,0,B20/B$15)</f>
        <v>0.33904109589041098</v>
      </c>
      <c r="E20" s="59" t="s">
        <v>85</v>
      </c>
      <c r="F20" s="56" t="s">
        <v>40</v>
      </c>
      <c r="G20" s="44">
        <v>3</v>
      </c>
      <c r="H20" s="129">
        <f>IF(B$15=0,0,G20/B$15)</f>
        <v>1.0273972602739725E-2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39</v>
      </c>
      <c r="C21" s="37">
        <f>IF(B$15=0,0,B21/B$15)</f>
        <v>0.13356164383561644</v>
      </c>
      <c r="E21" s="59" t="s">
        <v>75</v>
      </c>
      <c r="F21" s="56" t="s">
        <v>30</v>
      </c>
      <c r="G21" s="44">
        <v>2</v>
      </c>
      <c r="H21" s="129">
        <f>IF(B$15=0,0,G21/B$15)</f>
        <v>6.8493150684931503E-3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-1.9173913043478259</v>
      </c>
      <c r="P21" s="115">
        <v>46</v>
      </c>
      <c r="Q21" s="103">
        <v>-88.199999999999989</v>
      </c>
    </row>
    <row r="22" spans="1:17" x14ac:dyDescent="0.4">
      <c r="A22" s="51" t="s">
        <v>5</v>
      </c>
      <c r="B22" s="48">
        <f>IF(B$15=0,0,C22/B$15)</f>
        <v>8255.1369863013697</v>
      </c>
      <c r="C22" s="39">
        <v>2410500</v>
      </c>
      <c r="E22" s="59" t="s">
        <v>91</v>
      </c>
      <c r="F22" s="56" t="s">
        <v>46</v>
      </c>
      <c r="G22" s="44">
        <v>2</v>
      </c>
      <c r="H22" s="129">
        <f>IF(B$15=0,0,G22/B$15)</f>
        <v>6.8493150684931503E-3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-2.876666666666666</v>
      </c>
      <c r="P22" s="115">
        <v>30</v>
      </c>
      <c r="Q22" s="103">
        <v>-86.299999999999983</v>
      </c>
    </row>
    <row r="23" spans="1:17" x14ac:dyDescent="0.4">
      <c r="A23" s="52" t="s">
        <v>177</v>
      </c>
      <c r="B23" s="136">
        <f>IF($B$15-B$14=0,0,C23/($B$15-B$14))</f>
        <v>9066.8393782383428</v>
      </c>
      <c r="C23" s="137">
        <v>1749900</v>
      </c>
      <c r="E23" s="59" t="s">
        <v>74</v>
      </c>
      <c r="F23" s="56" t="s">
        <v>29</v>
      </c>
      <c r="G23" s="44">
        <v>1</v>
      </c>
      <c r="H23" s="129">
        <f>IF(B$15=0,0,G23/B$15)</f>
        <v>3.4246575342465752E-3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-12.623728813559321</v>
      </c>
      <c r="P23" s="115">
        <v>59</v>
      </c>
      <c r="Q23" s="103">
        <v>-744.8</v>
      </c>
    </row>
    <row r="24" spans="1:17" x14ac:dyDescent="0.4">
      <c r="A24" s="52" t="s">
        <v>178</v>
      </c>
      <c r="B24" s="136">
        <f>IF(B$14=0,0,C24/B$14)</f>
        <v>6672.727272727273</v>
      </c>
      <c r="C24" s="137">
        <v>660600</v>
      </c>
      <c r="E24" s="59" t="s">
        <v>87</v>
      </c>
      <c r="F24" s="56" t="s">
        <v>42</v>
      </c>
      <c r="G24" s="44">
        <v>1</v>
      </c>
      <c r="H24" s="129">
        <f>IF(B$15=0,0,G24/B$15)</f>
        <v>3.4246575342465752E-3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-14.101724137931035</v>
      </c>
      <c r="P24" s="115">
        <v>58</v>
      </c>
      <c r="Q24" s="103">
        <v>-817.9</v>
      </c>
    </row>
    <row r="25" spans="1:17" x14ac:dyDescent="0.4">
      <c r="A25" s="52" t="s">
        <v>176</v>
      </c>
      <c r="B25" s="136">
        <f>IF(B$16=0,0,C25/B$16)</f>
        <v>-7191.9463087248323</v>
      </c>
      <c r="C25" s="137">
        <v>-1071600</v>
      </c>
      <c r="E25" s="59" t="s">
        <v>88</v>
      </c>
      <c r="F25" s="56" t="s">
        <v>43</v>
      </c>
      <c r="G25" s="44">
        <v>1</v>
      </c>
      <c r="H25" s="129">
        <f>IF(B$15=0,0,G25/B$15)</f>
        <v>3.4246575342465752E-3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3.4246575342465752E-3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14</v>
      </c>
      <c r="E27" s="59" t="s">
        <v>101</v>
      </c>
      <c r="F27" s="56" t="s">
        <v>56</v>
      </c>
      <c r="G27" s="44">
        <v>1</v>
      </c>
      <c r="H27" s="129">
        <f>IF(B$15=0,0,G27/B$15)</f>
        <v>3.4246575342465752E-3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1.8885741265344666E-3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18</v>
      </c>
      <c r="C32" s="141">
        <f>IF(B$15=0,0,B32/B$15)</f>
        <v>6.1643835616438353E-2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53</v>
      </c>
      <c r="C33" s="37">
        <f t="shared" ref="C33:C44" si="2">IF(B$15=0,0,B33/B$15)</f>
        <v>0.1815068493150685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62</v>
      </c>
      <c r="C34" s="37">
        <f>IF(B$15=0,0,B34/B$15)</f>
        <v>0.21232876712328766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54</v>
      </c>
      <c r="C35" s="37">
        <f t="shared" si="2"/>
        <v>0.18493150684931506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41</v>
      </c>
      <c r="C36" s="37">
        <f t="shared" si="2"/>
        <v>0.1404109589041096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33</v>
      </c>
      <c r="C37" s="37">
        <f t="shared" si="2"/>
        <v>0.11301369863013698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14</v>
      </c>
      <c r="C38" s="37">
        <f t="shared" si="2"/>
        <v>4.7945205479452052E-2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2"/>
        <v>2.3972602739726026E-2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2"/>
        <v>1.0273972602739725E-2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2"/>
        <v>6.8493150684931503E-3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2"/>
        <v>3.4246575342465752E-3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2"/>
        <v>6.8493150684931503E-3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2</v>
      </c>
      <c r="C44" s="40">
        <f t="shared" si="2"/>
        <v>6.8493150684931503E-3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59</v>
      </c>
      <c r="C2" s="155"/>
      <c r="E2" s="58" t="s">
        <v>66</v>
      </c>
      <c r="F2" s="55" t="s">
        <v>22</v>
      </c>
      <c r="G2" s="43">
        <v>83</v>
      </c>
      <c r="H2" s="128">
        <f>IF(B$15=0,0,G2/B$15)</f>
        <v>0.6484375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-2438.9830508474574</v>
      </c>
      <c r="P2" s="114">
        <v>59</v>
      </c>
      <c r="Q2" s="98">
        <v>-143900</v>
      </c>
    </row>
    <row r="3" spans="1:17" x14ac:dyDescent="0.4">
      <c r="A3" s="51" t="s">
        <v>8</v>
      </c>
      <c r="B3" s="156">
        <v>487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0.640625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564.40677966101691</v>
      </c>
      <c r="P3" s="115">
        <v>59</v>
      </c>
      <c r="Q3" s="99">
        <v>33300</v>
      </c>
    </row>
    <row r="4" spans="1:17" x14ac:dyDescent="0.4">
      <c r="A4" s="51" t="s">
        <v>6</v>
      </c>
      <c r="B4" s="158">
        <v>-627.40000000000009</v>
      </c>
      <c r="C4" s="159"/>
      <c r="E4" s="59" t="s">
        <v>64</v>
      </c>
      <c r="F4" s="56" t="s">
        <v>20</v>
      </c>
      <c r="G4" s="44">
        <v>54</v>
      </c>
      <c r="H4" s="129">
        <f>IF(B$15=0,0,G4/B$15)</f>
        <v>0.421875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-1310.5263157894738</v>
      </c>
      <c r="P4" s="115">
        <v>57</v>
      </c>
      <c r="Q4" s="99">
        <v>-74700</v>
      </c>
    </row>
    <row r="5" spans="1:17" x14ac:dyDescent="0.4">
      <c r="A5" s="51" t="s">
        <v>7</v>
      </c>
      <c r="B5" s="160">
        <f>IF(B$2=0,0,B$4/B$2)</f>
        <v>-10.633898305084747</v>
      </c>
      <c r="C5" s="161"/>
      <c r="E5" s="59" t="s">
        <v>166</v>
      </c>
      <c r="F5" s="56" t="s">
        <v>167</v>
      </c>
      <c r="G5" s="44">
        <v>45</v>
      </c>
      <c r="H5" s="129">
        <f>IF(B$15=0,0,G5/B$15)</f>
        <v>0.3515625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-1750.9803921568628</v>
      </c>
      <c r="P5" s="115">
        <v>51</v>
      </c>
      <c r="Q5" s="99">
        <v>-89300</v>
      </c>
    </row>
    <row r="6" spans="1:17" x14ac:dyDescent="0.4">
      <c r="A6" s="51" t="s">
        <v>1</v>
      </c>
      <c r="B6" s="150">
        <f>IF(B$2=0,0,(B$7*1+B$8*2+B$9*3)/B$2)</f>
        <v>2.2881355932203391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0.265625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-1802.0408163265306</v>
      </c>
      <c r="P6" s="115">
        <v>49</v>
      </c>
      <c r="Q6" s="99">
        <v>-88300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0.16949152542372881</v>
      </c>
      <c r="E7" s="59" t="s">
        <v>67</v>
      </c>
      <c r="F7" s="56" t="s">
        <v>23</v>
      </c>
      <c r="G7" s="44">
        <v>30</v>
      </c>
      <c r="H7" s="129">
        <f>IF(B$15=0,0,G7/B$15)</f>
        <v>0.234375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">
      <c r="A8" s="51" t="s">
        <v>3</v>
      </c>
      <c r="B8" s="44">
        <v>22</v>
      </c>
      <c r="C8" s="37">
        <f t="shared" si="1"/>
        <v>0.3728813559322034</v>
      </c>
      <c r="E8" s="59" t="s">
        <v>89</v>
      </c>
      <c r="F8" s="56" t="s">
        <v>44</v>
      </c>
      <c r="G8" s="44">
        <v>20</v>
      </c>
      <c r="H8" s="129">
        <f>IF(B$15=0,0,G8/B$15)</f>
        <v>0.15625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0.4576271186440678</v>
      </c>
      <c r="E9" s="59" t="s">
        <v>65</v>
      </c>
      <c r="F9" s="56" t="s">
        <v>21</v>
      </c>
      <c r="G9" s="44">
        <v>15</v>
      </c>
      <c r="H9" s="129">
        <f>IF(B$15=0,0,G9/B$15)</f>
        <v>0.1171875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0.16949152542372881</v>
      </c>
      <c r="E10" s="59" t="s">
        <v>69</v>
      </c>
      <c r="F10" s="56" t="s">
        <v>24</v>
      </c>
      <c r="G10" s="44">
        <v>12</v>
      </c>
      <c r="H10" s="129">
        <f>IF(B$15=0,0,G10/B$15)</f>
        <v>9.375E-2</v>
      </c>
      <c r="I10" s="90">
        <v>12</v>
      </c>
      <c r="K10" s="36">
        <v>8</v>
      </c>
      <c r="L10" s="95">
        <v>-152.6</v>
      </c>
      <c r="N10" s="110" t="s">
        <v>157</v>
      </c>
      <c r="O10" s="120">
        <f>IF(P10=0,0,Q10/P10)</f>
        <v>-18.315999999999999</v>
      </c>
      <c r="P10" s="114">
        <v>25</v>
      </c>
      <c r="Q10" s="102">
        <v>-457.9</v>
      </c>
    </row>
    <row r="11" spans="1:17" x14ac:dyDescent="0.4">
      <c r="A11" s="54" t="s">
        <v>121</v>
      </c>
      <c r="B11" s="47">
        <v>104</v>
      </c>
      <c r="C11" s="42">
        <f>IF(B$3=0,0,B11/B$3)</f>
        <v>0.2135523613963039</v>
      </c>
      <c r="E11" s="59" t="s">
        <v>70</v>
      </c>
      <c r="F11" s="56" t="s">
        <v>25</v>
      </c>
      <c r="G11" s="44">
        <v>12</v>
      </c>
      <c r="H11" s="129">
        <f>IF(B$15=0,0,G11/B$15)</f>
        <v>9.375E-2</v>
      </c>
      <c r="I11" s="90">
        <v>9</v>
      </c>
      <c r="K11" s="36">
        <v>9</v>
      </c>
      <c r="L11" s="95">
        <v>-150.6</v>
      </c>
      <c r="N11" s="111" t="s">
        <v>158</v>
      </c>
      <c r="O11" s="121">
        <f>IF(P11=0,0,Q11/P11)</f>
        <v>-3.1882352941176464</v>
      </c>
      <c r="P11" s="115">
        <v>17</v>
      </c>
      <c r="Q11" s="103">
        <v>-54.199999999999989</v>
      </c>
    </row>
    <row r="12" spans="1:17" x14ac:dyDescent="0.4">
      <c r="A12" s="51" t="s">
        <v>118</v>
      </c>
      <c r="B12" s="44">
        <v>113</v>
      </c>
      <c r="C12" s="37">
        <f>IF(B$3=0,0,B12/B$3)</f>
        <v>0.23203285420944558</v>
      </c>
      <c r="E12" s="59" t="s">
        <v>71</v>
      </c>
      <c r="F12" s="56" t="s">
        <v>26</v>
      </c>
      <c r="G12" s="44">
        <v>12</v>
      </c>
      <c r="H12" s="129">
        <f>IF(B$15=0,0,G12/B$15)</f>
        <v>9.375E-2</v>
      </c>
      <c r="I12" s="90">
        <v>7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">
      <c r="A13" s="50" t="s">
        <v>123</v>
      </c>
      <c r="B13" s="43">
        <f>B19</f>
        <v>56</v>
      </c>
      <c r="C13" s="35">
        <f>IF(B$11=0,0,B13/B$11)</f>
        <v>0.53846153846153844</v>
      </c>
      <c r="E13" s="59" t="s">
        <v>83</v>
      </c>
      <c r="F13" s="56" t="s">
        <v>38</v>
      </c>
      <c r="G13" s="44">
        <v>8</v>
      </c>
      <c r="H13" s="129">
        <f>IF(B$15=0,0,G13/B$15)</f>
        <v>6.25E-2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48</v>
      </c>
      <c r="C14" s="35">
        <f>IF(B$12=0,0,B14/B$12)</f>
        <v>0.4247787610619469</v>
      </c>
      <c r="E14" s="59" t="s">
        <v>86</v>
      </c>
      <c r="F14" s="56" t="s">
        <v>41</v>
      </c>
      <c r="G14" s="44">
        <v>8</v>
      </c>
      <c r="H14" s="129">
        <f>IF(B$15=0,0,G14/B$15)</f>
        <v>6.25E-2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128</v>
      </c>
      <c r="C15" s="35">
        <f>IF(B$3=0,0,B15/B$3)</f>
        <v>0.26283367556468173</v>
      </c>
      <c r="E15" s="59" t="s">
        <v>81</v>
      </c>
      <c r="F15" s="56" t="s">
        <v>36</v>
      </c>
      <c r="G15" s="44">
        <v>5</v>
      </c>
      <c r="H15" s="129">
        <f>IF(B$15=0,0,G15/B$15)</f>
        <v>3.90625E-2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11.526666666666662</v>
      </c>
      <c r="P15" s="114">
        <v>15</v>
      </c>
      <c r="Q15" s="102">
        <v>172.89999999999992</v>
      </c>
    </row>
    <row r="16" spans="1:17" x14ac:dyDescent="0.4">
      <c r="A16" s="51" t="s">
        <v>13</v>
      </c>
      <c r="B16" s="44">
        <v>89</v>
      </c>
      <c r="C16" s="37">
        <f>IF(B$3=0,0,B16/B$3)</f>
        <v>0.18275154004106775</v>
      </c>
      <c r="E16" s="59" t="s">
        <v>91</v>
      </c>
      <c r="F16" s="56" t="s">
        <v>46</v>
      </c>
      <c r="G16" s="44">
        <v>2</v>
      </c>
      <c r="H16" s="129">
        <f>IF(B$15=0,0,G16/B$15)</f>
        <v>1.5625E-2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58</v>
      </c>
      <c r="C17" s="37">
        <f>IF(B$15=0,0,B17/B$15)</f>
        <v>0.453125</v>
      </c>
      <c r="E17" s="59" t="s">
        <v>74</v>
      </c>
      <c r="F17" s="56" t="s">
        <v>29</v>
      </c>
      <c r="G17" s="44">
        <v>1</v>
      </c>
      <c r="H17" s="129">
        <f>IF(B$15=0,0,G17/B$15)</f>
        <v>7.8125E-3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>IF(P17=0,0,Q17/P17)</f>
        <v>-10.864000000000001</v>
      </c>
      <c r="P17" s="115">
        <v>25</v>
      </c>
      <c r="Q17" s="103">
        <v>-271.60000000000002</v>
      </c>
    </row>
    <row r="18" spans="1:17" x14ac:dyDescent="0.4">
      <c r="A18" s="51" t="s">
        <v>11</v>
      </c>
      <c r="B18" s="44">
        <v>70</v>
      </c>
      <c r="C18" s="37">
        <f>IF(B$15=0,0,B18/B$15)</f>
        <v>0.546875</v>
      </c>
      <c r="E18" s="59" t="s">
        <v>78</v>
      </c>
      <c r="F18" s="56" t="s">
        <v>33</v>
      </c>
      <c r="G18" s="44">
        <v>1</v>
      </c>
      <c r="H18" s="129">
        <f>IF(B$15=0,0,G18/B$15)</f>
        <v>7.8125E-3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56</v>
      </c>
      <c r="C19" s="37">
        <f>IF(B$15=0,0,B19/B$15)</f>
        <v>0.4375</v>
      </c>
      <c r="E19" s="59" t="s">
        <v>92</v>
      </c>
      <c r="F19" s="56" t="s">
        <v>47</v>
      </c>
      <c r="G19" s="44">
        <v>1</v>
      </c>
      <c r="H19" s="129">
        <f>IF(B$15=0,0,G19/B$15)</f>
        <v>7.8125E-3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48</v>
      </c>
      <c r="C20" s="37">
        <f>IF(B$15=0,0,B20/B$15)</f>
        <v>0.375</v>
      </c>
      <c r="E20" s="59" t="s">
        <v>95</v>
      </c>
      <c r="F20" s="56" t="s">
        <v>50</v>
      </c>
      <c r="G20" s="44">
        <v>1</v>
      </c>
      <c r="H20" s="129">
        <f>IF(B$15=0,0,G20/B$15)</f>
        <v>7.8125E-3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">
      <c r="A21" s="51" t="s">
        <v>194</v>
      </c>
      <c r="B21" s="44">
        <v>24</v>
      </c>
      <c r="C21" s="37">
        <f>IF(B$15=0,0,B21/B$15)</f>
        <v>0.1875</v>
      </c>
      <c r="E21" s="59" t="s">
        <v>162</v>
      </c>
      <c r="F21" s="56" t="s">
        <v>163</v>
      </c>
      <c r="G21" s="44">
        <v>1</v>
      </c>
      <c r="H21" s="129">
        <f>IF(B$15=0,0,G21/B$15)</f>
        <v>7.8125E-3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">
      <c r="A22" s="51" t="s">
        <v>5</v>
      </c>
      <c r="B22" s="48">
        <f>IF(B$15=0,0,C22/B$15)</f>
        <v>7987.5</v>
      </c>
      <c r="C22" s="39">
        <v>1022400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8442.5</v>
      </c>
      <c r="C23" s="137">
        <v>675400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>IF(P23=0,0,Q23/P23)</f>
        <v>-26.642105263157902</v>
      </c>
      <c r="P23" s="115">
        <v>19</v>
      </c>
      <c r="Q23" s="103">
        <v>-506.2000000000001</v>
      </c>
    </row>
    <row r="24" spans="1:17" x14ac:dyDescent="0.4">
      <c r="A24" s="52" t="s">
        <v>178</v>
      </c>
      <c r="B24" s="136">
        <f>IF(B$14=0,0,C24/B$14)</f>
        <v>7229.166666666667</v>
      </c>
      <c r="C24" s="137">
        <v>347000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-8258.4269662921342</v>
      </c>
      <c r="C25" s="137">
        <v>-735000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6.1601642710472282E-3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12</v>
      </c>
      <c r="C32" s="141">
        <f>IF(B$15=0,0,B32/B$15)</f>
        <v>9.375E-2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25</v>
      </c>
      <c r="C33" s="37">
        <f t="shared" ref="C33:C44" si="2">IF(B$15=0,0,B33/B$15)</f>
        <v>0.1953125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27</v>
      </c>
      <c r="C34" s="37">
        <f>IF(B$15=0,0,B34/B$15)</f>
        <v>0.2109375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18</v>
      </c>
      <c r="C35" s="37">
        <f t="shared" si="2"/>
        <v>0.140625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18</v>
      </c>
      <c r="C36" s="37">
        <f t="shared" si="2"/>
        <v>0.140625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11</v>
      </c>
      <c r="C37" s="37">
        <f t="shared" si="2"/>
        <v>8.59375E-2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9</v>
      </c>
      <c r="C38" s="37">
        <f t="shared" si="2"/>
        <v>7.03125E-2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2"/>
        <v>3.90625E-2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2"/>
        <v>7.8125E-3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2"/>
        <v>1.5625E-2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>IF(P16=0,0,Q16/P16)</f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>IF(P17=0,0,Q17/P17)</f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>IF(P18=0,0,Q18/P18)</f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>IF(P19=0,0,Q19/P19)</f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>IF(P20=0,0,Q20/P20)</f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>IF(P22=0,0,Q22/P22)</f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>IF(P23=0,0,Q23/P23)</f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">
      <c r="A33" s="51" t="s">
        <v>179</v>
      </c>
      <c r="B33" s="44">
        <v>9</v>
      </c>
      <c r="C33" s="37">
        <f t="shared" ref="C33:C44" si="2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2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2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2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2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2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2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2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>IF(P16=0,0,Q16/P16)</f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>IF(P17=0,0,Q17/P17)</f>
        <v>19.249999999999996</v>
      </c>
      <c r="P17" s="115">
        <v>4</v>
      </c>
      <c r="Q17" s="103">
        <v>76.999999999999986</v>
      </c>
    </row>
    <row r="18" spans="1:17" x14ac:dyDescent="0.4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>IF(P19=0,0,Q19/P19)</f>
        <v>-0.39999999999999858</v>
      </c>
      <c r="P19" s="115">
        <v>4</v>
      </c>
      <c r="Q19" s="103">
        <v>-1.5999999999999943</v>
      </c>
    </row>
    <row r="20" spans="1:17" x14ac:dyDescent="0.4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>IF(P20=0,0,Q20/P20)</f>
        <v>-5.4749999999999988</v>
      </c>
      <c r="P20" s="115">
        <v>8</v>
      </c>
      <c r="Q20" s="103">
        <v>-43.79999999999999</v>
      </c>
    </row>
    <row r="21" spans="1:17" x14ac:dyDescent="0.4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>IF(P21=0,0,Q21/P21)</f>
        <v>-49.766666666666659</v>
      </c>
      <c r="P21" s="115">
        <v>3</v>
      </c>
      <c r="Q21" s="103">
        <v>-149.29999999999998</v>
      </c>
    </row>
    <row r="22" spans="1:17" x14ac:dyDescent="0.4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>IF(P22=0,0,Q22/P22)</f>
        <v>-57.233333333333327</v>
      </c>
      <c r="P22" s="115">
        <v>3</v>
      </c>
      <c r="Q22" s="103">
        <v>-171.7</v>
      </c>
    </row>
    <row r="23" spans="1:17" x14ac:dyDescent="0.4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12</v>
      </c>
      <c r="C33" s="37">
        <f t="shared" ref="C33:C44" si="2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2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2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2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2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7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3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2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9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4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28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2020-01-07T10:26:56Z</dcterms:modified>
</cp:coreProperties>
</file>