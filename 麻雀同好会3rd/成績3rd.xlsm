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ECFC0A8-AF92-4A0F-850B-3163B196DAF2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りくと" sheetId="5819" r:id="rId9"/>
    <sheet name="ただ" sheetId="5817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いっしー" sheetId="5831" r:id="rId16"/>
    <sheet name="いっしー2" sheetId="5832" state="hidden" r:id="rId17"/>
    <sheet name="ほたに2" sheetId="5830" state="hidden" r:id="rId18"/>
    <sheet name="ぱぱ2" sheetId="5828" state="hidden" r:id="rId19"/>
    <sheet name="のり2" sheetId="5826" state="hidden" r:id="rId20"/>
    <sheet name="まっつん2" sheetId="5824" state="hidden" r:id="rId21"/>
    <sheet name="れんたろう2" sheetId="5822" state="hidden" r:id="rId22"/>
    <sheet name="りくと2" sheetId="5820" state="hidden" r:id="rId23"/>
    <sheet name="ただ2" sheetId="5818" state="hidden" r:id="rId24"/>
    <sheet name="だいち2" sheetId="5816" state="hidden" r:id="rId25"/>
    <sheet name="たかの2" sheetId="5814" state="hidden" r:id="rId26"/>
    <sheet name="全体2" sheetId="581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9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8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9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8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9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8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9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8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9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8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9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8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9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8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9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8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9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8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9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8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9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8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9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8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9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8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9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8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9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8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9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8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9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8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9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8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9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8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9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8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9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8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9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8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9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8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9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8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9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8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9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8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9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8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9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8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9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8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9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8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9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8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9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8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9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8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9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8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9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8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9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8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9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8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9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8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9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8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5823" l="1"/>
  <c r="O17" i="5831"/>
  <c r="O22" i="5815" l="1"/>
  <c r="O16" i="5831"/>
  <c r="O15" i="5831"/>
  <c r="C29" i="5831"/>
  <c r="B26" i="5831"/>
  <c r="B25" i="5831"/>
  <c r="C20" i="5831"/>
  <c r="B17" i="5831"/>
  <c r="H50" i="5831" s="1"/>
  <c r="C16" i="5831"/>
  <c r="C15" i="5831"/>
  <c r="C14" i="5831"/>
  <c r="C13" i="5831"/>
  <c r="O12" i="5831"/>
  <c r="C12" i="5831"/>
  <c r="O11" i="5831"/>
  <c r="C11" i="5831"/>
  <c r="O10" i="5831"/>
  <c r="C10" i="5831"/>
  <c r="C9" i="5831"/>
  <c r="C8" i="5831"/>
  <c r="O7" i="5831"/>
  <c r="C7" i="5831"/>
  <c r="O6" i="5831"/>
  <c r="B6" i="5831"/>
  <c r="O5" i="5831"/>
  <c r="B5" i="5831"/>
  <c r="O4" i="5831"/>
  <c r="O3" i="5831"/>
  <c r="O2" i="5831"/>
  <c r="O16" i="5825"/>
  <c r="O24" i="5811"/>
  <c r="H19" i="5831" l="1"/>
  <c r="H31" i="5831"/>
  <c r="B23" i="5831"/>
  <c r="H25" i="5831"/>
  <c r="H17" i="5831"/>
  <c r="H14" i="5831"/>
  <c r="H35" i="5831"/>
  <c r="H3" i="5831"/>
  <c r="H36" i="5831"/>
  <c r="H44" i="5831"/>
  <c r="H9" i="5831"/>
  <c r="C17" i="5831"/>
  <c r="H29" i="5831"/>
  <c r="H47" i="5831"/>
  <c r="H39" i="5831"/>
  <c r="H43" i="5831"/>
  <c r="H4" i="5831"/>
  <c r="H5" i="5831"/>
  <c r="C18" i="5831"/>
  <c r="H6" i="5831"/>
  <c r="H2" i="5831"/>
  <c r="H21" i="5831"/>
  <c r="H51" i="5831"/>
  <c r="H11" i="5831"/>
  <c r="H18" i="5831"/>
  <c r="C19" i="5831"/>
  <c r="B24" i="5831"/>
  <c r="H37" i="5831"/>
  <c r="H45" i="5831"/>
  <c r="H52" i="5831"/>
  <c r="H12" i="5831"/>
  <c r="H7" i="5831"/>
  <c r="H10" i="5831"/>
  <c r="H15" i="5831"/>
  <c r="H22" i="5831"/>
  <c r="H26" i="5831"/>
  <c r="H30" i="5831"/>
  <c r="H38" i="5831"/>
  <c r="H46" i="5831"/>
  <c r="H23" i="5831"/>
  <c r="H27" i="5831"/>
  <c r="H32" i="5831"/>
  <c r="H40" i="5831"/>
  <c r="H48" i="5831"/>
  <c r="H13" i="5831"/>
  <c r="H16" i="5831"/>
  <c r="H8" i="5831"/>
  <c r="H33" i="5831"/>
  <c r="H41" i="5831"/>
  <c r="H49" i="5831"/>
  <c r="H20" i="5831"/>
  <c r="H24" i="5831"/>
  <c r="H28" i="5831"/>
  <c r="H34" i="5831"/>
  <c r="H42" i="5831"/>
  <c r="O21" i="5813" l="1"/>
  <c r="O16" i="5821"/>
  <c r="O15" i="5821" l="1"/>
  <c r="O19" i="5829"/>
  <c r="O15" i="5819" l="1"/>
  <c r="O19" i="5825"/>
  <c r="O16" i="5829" l="1"/>
  <c r="O22" i="5819"/>
  <c r="O20" i="5813" l="1"/>
  <c r="O16" i="5815"/>
  <c r="O15" i="5825"/>
  <c r="O20" i="5825"/>
  <c r="O22" i="5823" l="1"/>
  <c r="O17" i="5827"/>
  <c r="O16" i="5817" l="1"/>
  <c r="O18" i="5823"/>
  <c r="O22" i="5825"/>
  <c r="O18" i="5825"/>
  <c r="O16" i="5813" l="1"/>
  <c r="O19" i="5827"/>
  <c r="O18" i="5827"/>
  <c r="O17" i="5819"/>
  <c r="O18" i="5817" l="1"/>
  <c r="O21" i="5821"/>
  <c r="O20" i="5821" l="1"/>
  <c r="O21" i="5815"/>
  <c r="O23" i="5825"/>
  <c r="O17" i="5829"/>
  <c r="O15" i="5829"/>
  <c r="O20" i="5827"/>
  <c r="O15" i="5817" l="1"/>
  <c r="O19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0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20" i="5819"/>
  <c r="O17" i="5815" l="1"/>
  <c r="O19" i="5823"/>
  <c r="O23" i="5823"/>
  <c r="O17" i="5813"/>
  <c r="O21" i="5817"/>
  <c r="O16" i="5819"/>
  <c r="O18" i="5819"/>
  <c r="O18" i="5813"/>
  <c r="O17" i="5817"/>
  <c r="O15" i="5815"/>
  <c r="O21" i="5827"/>
  <c r="O22" i="5827"/>
  <c r="O22" i="5821" l="1"/>
  <c r="O17" i="582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7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1" i="5811"/>
  <c r="H23" i="5827" l="1"/>
  <c r="H11" i="5827"/>
  <c r="H52" i="5827"/>
  <c r="H21" i="5827"/>
  <c r="C17" i="5827"/>
  <c r="H32" i="5827"/>
  <c r="C19" i="5827"/>
  <c r="H38" i="5827"/>
  <c r="H10" i="5827"/>
  <c r="H16" i="5827"/>
  <c r="H46" i="5827"/>
  <c r="H40" i="5827"/>
  <c r="H4" i="5827"/>
  <c r="B24" i="5827"/>
  <c r="H48" i="5827"/>
  <c r="H15" i="5827"/>
  <c r="H13" i="5827"/>
  <c r="H31" i="5827"/>
  <c r="H39" i="5827"/>
  <c r="H47" i="5827"/>
  <c r="H49" i="5827"/>
  <c r="H14" i="5827"/>
  <c r="H27" i="5827"/>
  <c r="H34" i="5827"/>
  <c r="H42" i="5827"/>
  <c r="H50" i="5827"/>
  <c r="H6" i="5827"/>
  <c r="H33" i="5827"/>
  <c r="H24" i="5827"/>
  <c r="H28" i="5827"/>
  <c r="H29" i="5827"/>
  <c r="H35" i="5827"/>
  <c r="H43" i="5827"/>
  <c r="H51" i="5827"/>
  <c r="H18" i="5827"/>
  <c r="H8" i="5827"/>
  <c r="H7" i="5827"/>
  <c r="H20" i="5827"/>
  <c r="H22" i="5827"/>
  <c r="C18" i="5827"/>
  <c r="B23" i="5827"/>
  <c r="H12" i="5827"/>
  <c r="H36" i="5827"/>
  <c r="H44" i="5827"/>
  <c r="H19" i="5827"/>
  <c r="H2" i="5827"/>
  <c r="H26" i="5827"/>
  <c r="H41" i="5827"/>
  <c r="H3" i="5827"/>
  <c r="H9" i="5827"/>
  <c r="H25" i="5827"/>
  <c r="H17" i="5827"/>
  <c r="H30" i="5827"/>
  <c r="H37" i="5827"/>
  <c r="H45" i="5827"/>
  <c r="H8" i="5825"/>
  <c r="H3" i="5825"/>
  <c r="H4" i="5825"/>
  <c r="H7" i="5825"/>
  <c r="H29" i="5825"/>
  <c r="H2" i="5825"/>
  <c r="H44" i="5825"/>
  <c r="H6" i="5825"/>
  <c r="H16" i="5825"/>
  <c r="H23" i="5825"/>
  <c r="H10" i="5825"/>
  <c r="H26" i="5825"/>
  <c r="H12" i="5825"/>
  <c r="C17" i="5825"/>
  <c r="H36" i="5825"/>
  <c r="H15" i="5825"/>
  <c r="H13" i="5825"/>
  <c r="H30" i="5825"/>
  <c r="H38" i="5825"/>
  <c r="H46" i="5825"/>
  <c r="H17" i="5825"/>
  <c r="H31" i="5825"/>
  <c r="H39" i="5825"/>
  <c r="H47" i="5825"/>
  <c r="H24" i="5825"/>
  <c r="H19" i="5825"/>
  <c r="H11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4" i="5825"/>
  <c r="H5" i="5825"/>
  <c r="H18" i="5825"/>
  <c r="H20" i="5825"/>
  <c r="C18" i="5825"/>
  <c r="B23" i="5825"/>
  <c r="H9" i="5825"/>
  <c r="H35" i="5825"/>
  <c r="H43" i="5825"/>
  <c r="H51" i="5825"/>
  <c r="H21" i="5825"/>
  <c r="C19" i="5825"/>
  <c r="B24" i="5825"/>
  <c r="H37" i="5825"/>
  <c r="H45" i="5825"/>
  <c r="O21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19" i="5821"/>
  <c r="O18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19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6" i="5819"/>
  <c r="H18" i="5819"/>
  <c r="H7" i="5819"/>
  <c r="H10" i="5819"/>
  <c r="H48" i="5819"/>
  <c r="H31" i="5819"/>
  <c r="H47" i="5819"/>
  <c r="H4" i="5823"/>
  <c r="H27" i="5823"/>
  <c r="H20" i="5823"/>
  <c r="H10" i="5823"/>
  <c r="H12" i="5823"/>
  <c r="H11" i="5823"/>
  <c r="H7" i="5823"/>
  <c r="C17" i="5823"/>
  <c r="H23" i="5823"/>
  <c r="H19" i="5823"/>
  <c r="H13" i="5823"/>
  <c r="H21" i="5823"/>
  <c r="H40" i="5823"/>
  <c r="H47" i="5823"/>
  <c r="H16" i="5823"/>
  <c r="H33" i="5823"/>
  <c r="H41" i="5823"/>
  <c r="H48" i="5823"/>
  <c r="H2" i="5823"/>
  <c r="H34" i="5823"/>
  <c r="H8" i="5823"/>
  <c r="H24" i="5823"/>
  <c r="H15" i="5823"/>
  <c r="H35" i="5823"/>
  <c r="H42" i="5823"/>
  <c r="H50" i="5823"/>
  <c r="H22" i="5823"/>
  <c r="H14" i="5823"/>
  <c r="H29" i="5823"/>
  <c r="H31" i="5823"/>
  <c r="H36" i="5823"/>
  <c r="H43" i="5823"/>
  <c r="H51" i="5823"/>
  <c r="H3" i="5823"/>
  <c r="H28" i="5823"/>
  <c r="H30" i="5823"/>
  <c r="H49" i="5823"/>
  <c r="H6" i="5823"/>
  <c r="H18" i="5823"/>
  <c r="H25" i="5823"/>
  <c r="C18" i="5823"/>
  <c r="B23" i="5823"/>
  <c r="H9" i="5823"/>
  <c r="H37" i="5823"/>
  <c r="H44" i="5823"/>
  <c r="H17" i="5823"/>
  <c r="H32" i="5823"/>
  <c r="H38" i="5823"/>
  <c r="H45" i="5823"/>
  <c r="H5" i="5823"/>
  <c r="H26" i="5823"/>
  <c r="C19" i="5823"/>
  <c r="B24" i="5823"/>
  <c r="H39" i="5823"/>
  <c r="H46" i="5823"/>
  <c r="H19" i="5821"/>
  <c r="H13" i="5821"/>
  <c r="H2" i="5821"/>
  <c r="H40" i="5821"/>
  <c r="H14" i="5821"/>
  <c r="H47" i="5821"/>
  <c r="H6" i="5821"/>
  <c r="H48" i="5821"/>
  <c r="H10" i="5821"/>
  <c r="H17" i="5821"/>
  <c r="H24" i="5821"/>
  <c r="C17" i="5821"/>
  <c r="H15" i="5821"/>
  <c r="H16" i="5821"/>
  <c r="H39" i="5821"/>
  <c r="H49" i="5821"/>
  <c r="H9" i="5821"/>
  <c r="H18" i="5821"/>
  <c r="H11" i="5821"/>
  <c r="H34" i="5821"/>
  <c r="H42" i="5821"/>
  <c r="H50" i="5821"/>
  <c r="H29" i="5821"/>
  <c r="H27" i="5821"/>
  <c r="H30" i="5821"/>
  <c r="H32" i="5821"/>
  <c r="H35" i="5821"/>
  <c r="H43" i="5821"/>
  <c r="H51" i="5821"/>
  <c r="H31" i="5821"/>
  <c r="H5" i="5821"/>
  <c r="H23" i="5821"/>
  <c r="H25" i="5821"/>
  <c r="C18" i="5821"/>
  <c r="B23" i="5821"/>
  <c r="H8" i="5821"/>
  <c r="H36" i="5821"/>
  <c r="H44" i="5821"/>
  <c r="H22" i="5821"/>
  <c r="H3" i="5821"/>
  <c r="H33" i="5821"/>
  <c r="H4" i="5821"/>
  <c r="H12" i="5821"/>
  <c r="H28" i="5821"/>
  <c r="H20" i="5821"/>
  <c r="H21" i="5821"/>
  <c r="H37" i="5821"/>
  <c r="H45" i="5821"/>
  <c r="H7" i="5821"/>
  <c r="H41" i="5821"/>
  <c r="H26" i="5821"/>
  <c r="C19" i="5821"/>
  <c r="B24" i="5821"/>
  <c r="H38" i="5821"/>
  <c r="H46" i="5821"/>
  <c r="H3" i="5819"/>
  <c r="H8" i="5819"/>
  <c r="H12" i="5819"/>
  <c r="H19" i="5819"/>
  <c r="H22" i="5819"/>
  <c r="H16" i="5819"/>
  <c r="H28" i="5819"/>
  <c r="H32" i="5819"/>
  <c r="H13" i="5819"/>
  <c r="B24" i="5819"/>
  <c r="H37" i="5819"/>
  <c r="H14" i="5819"/>
  <c r="H15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7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2" i="5817" l="1"/>
  <c r="O20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9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2" i="5811"/>
  <c r="O23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3" i="5817"/>
  <c r="H10" i="5817"/>
  <c r="H3" i="5817"/>
  <c r="H6" i="5813"/>
  <c r="H47" i="5817"/>
  <c r="H19" i="5817"/>
  <c r="C17" i="5817"/>
  <c r="H11" i="5817"/>
  <c r="H18" i="5817"/>
  <c r="H2" i="5817"/>
  <c r="H9" i="5817"/>
  <c r="H15" i="5817"/>
  <c r="H39" i="5817"/>
  <c r="H16" i="5817"/>
  <c r="H20" i="5817"/>
  <c r="H40" i="5817"/>
  <c r="H48" i="5817"/>
  <c r="H27" i="5817"/>
  <c r="H30" i="5817"/>
  <c r="H33" i="5817"/>
  <c r="H41" i="5817"/>
  <c r="H49" i="5817"/>
  <c r="H14" i="5817"/>
  <c r="H34" i="5817"/>
  <c r="H42" i="5817"/>
  <c r="H50" i="5817"/>
  <c r="H17" i="5817"/>
  <c r="H28" i="5817"/>
  <c r="H31" i="5817"/>
  <c r="H35" i="5817"/>
  <c r="H43" i="5817"/>
  <c r="H51" i="5817"/>
  <c r="H7" i="5817"/>
  <c r="H22" i="5817"/>
  <c r="H24" i="5817"/>
  <c r="C18" i="5817"/>
  <c r="B23" i="5817"/>
  <c r="H8" i="5817"/>
  <c r="H36" i="5817"/>
  <c r="H44" i="5817"/>
  <c r="H21" i="5817"/>
  <c r="H5" i="5817"/>
  <c r="H12" i="5817"/>
  <c r="H26" i="5817"/>
  <c r="H29" i="5817"/>
  <c r="H32" i="5817"/>
  <c r="H37" i="5817"/>
  <c r="H45" i="5817"/>
  <c r="H4" i="5817"/>
  <c r="H25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2" i="5815"/>
  <c r="H5" i="5815"/>
  <c r="H10" i="5815"/>
  <c r="H6" i="5815"/>
  <c r="H11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7" i="5813"/>
  <c r="H12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16" i="5813"/>
  <c r="C17" i="5813"/>
  <c r="H52" i="5813"/>
  <c r="H18" i="5813"/>
  <c r="H19" i="5813"/>
  <c r="H38" i="5813"/>
  <c r="H46" i="5813"/>
  <c r="H24" i="5813"/>
  <c r="H32" i="5813"/>
  <c r="H39" i="5813"/>
  <c r="H47" i="5813"/>
  <c r="H30" i="5813"/>
  <c r="H48" i="5813"/>
  <c r="H22" i="5813"/>
  <c r="H11" i="5813"/>
  <c r="H41" i="5813"/>
  <c r="H25" i="5813"/>
  <c r="H28" i="5813"/>
  <c r="H15" i="5813"/>
  <c r="H34" i="5813"/>
  <c r="H42" i="5813"/>
  <c r="H50" i="5813"/>
  <c r="H27" i="5813"/>
  <c r="H20" i="5813"/>
  <c r="H40" i="5813"/>
  <c r="H7" i="5813"/>
  <c r="H33" i="5813"/>
  <c r="H49" i="5813"/>
  <c r="H9" i="5813"/>
  <c r="H21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3" i="5811"/>
  <c r="C19" i="5811"/>
  <c r="B24" i="5811"/>
  <c r="H10" i="5811"/>
  <c r="H6" i="5811"/>
  <c r="H12" i="5811"/>
  <c r="H22" i="5811"/>
  <c r="H16" i="5811"/>
  <c r="H14" i="5811"/>
  <c r="H19" i="5811"/>
  <c r="H40" i="5811"/>
  <c r="H47" i="5811"/>
  <c r="H35" i="5811"/>
  <c r="H29" i="5811"/>
  <c r="H30" i="5811"/>
  <c r="H32" i="5811"/>
  <c r="H49" i="5811"/>
  <c r="H3" i="5811"/>
  <c r="H8" i="5811"/>
  <c r="H21" i="5811"/>
  <c r="H13" i="5811"/>
  <c r="H36" i="5811"/>
  <c r="H42" i="5811"/>
  <c r="H50" i="5811"/>
  <c r="H18" i="5811"/>
  <c r="H51" i="5811"/>
  <c r="H26" i="5811"/>
  <c r="H25" i="5811"/>
  <c r="H31" i="5811"/>
  <c r="H43" i="5811"/>
  <c r="H7" i="5811"/>
  <c r="H28" i="5811"/>
  <c r="H33" i="5811"/>
  <c r="C18" i="5811"/>
  <c r="B23" i="5811"/>
  <c r="H9" i="5811"/>
  <c r="H37" i="5811"/>
  <c r="H44" i="5811"/>
  <c r="H17" i="5811"/>
  <c r="H34" i="5811"/>
  <c r="H24" i="5811"/>
  <c r="H27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<sst xmlns="http://schemas.openxmlformats.org/spreadsheetml/2006/main" count="2755" uniqueCount="223">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</sst>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全体!$K$2:$K$347</c:f>
              <c:numCache>
                <c:formatCode>General</c:formatCode>
                <c:ptCount val="3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</c:numCache>
            </c:numRef>
          </c:xVal>
          <c:yVal>
            <c:numRef>
              <c:f>全体!$L$2:$L$347</c:f>
              <c:numCache>
                <c:formatCode>\+0.0;\-0.0;\±0</c:formatCode>
                <c:ptCount val="34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-20.467836257309941</c:v>
                </c:pt>
                <c:pt idx="1">
                  <c:v>15.151515151515152</c:v>
                </c:pt>
                <c:pt idx="2">
                  <c:v>-34.591194968553459</c:v>
                </c:pt>
                <c:pt idx="3">
                  <c:v>30.303030303030305</c:v>
                </c:pt>
                <c:pt idx="4">
                  <c:v>10.75268817204301</c:v>
                </c:pt>
                <c:pt idx="5">
                  <c:v>4.3859649122807021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1557.5757575757575</c:v>
                </c:pt>
                <c:pt idx="1">
                  <c:v>-759.375</c:v>
                </c:pt>
                <c:pt idx="2">
                  <c:v>600</c:v>
                </c:pt>
                <c:pt idx="3">
                  <c:v>-2712.9032258064517</c:v>
                </c:pt>
                <c:pt idx="4">
                  <c:v>-1293.5483870967741</c:v>
                </c:pt>
                <c:pt idx="5">
                  <c:v>-2203.7037037037039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だいち!$L$2:$L$73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355.71428571428572</c:v>
                </c:pt>
                <c:pt idx="1">
                  <c:v>334.32835820895525</c:v>
                </c:pt>
                <c:pt idx="2">
                  <c:v>-240.90909090909091</c:v>
                </c:pt>
                <c:pt idx="3">
                  <c:v>-627.11864406779659</c:v>
                </c:pt>
                <c:pt idx="4">
                  <c:v>3115.7894736842104</c:v>
                </c:pt>
                <c:pt idx="5">
                  <c:v>3197.8260869565215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146.15384615384616</c:v>
                </c:pt>
                <c:pt idx="1">
                  <c:v>-1407.6923076923076</c:v>
                </c:pt>
                <c:pt idx="2">
                  <c:v>1864.8648648648648</c:v>
                </c:pt>
                <c:pt idx="3">
                  <c:v>-1711.4285714285713</c:v>
                </c:pt>
                <c:pt idx="4">
                  <c:v>-3194.1176470588234</c:v>
                </c:pt>
                <c:pt idx="5">
                  <c:v>-2520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-1500</c:v>
                </c:pt>
                <c:pt idx="1">
                  <c:v>1462.5</c:v>
                </c:pt>
                <c:pt idx="2">
                  <c:v>501.63934426229508</c:v>
                </c:pt>
                <c:pt idx="3">
                  <c:v>3178.9473684210525</c:v>
                </c:pt>
                <c:pt idx="4">
                  <c:v>-453.7037037037037</c:v>
                </c:pt>
                <c:pt idx="5">
                  <c:v>1847.7272727272727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れんたろう!$L$2:$L$40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2563.1578947368421</c:v>
                </c:pt>
                <c:pt idx="1">
                  <c:v>-2341.6666666666665</c:v>
                </c:pt>
                <c:pt idx="2">
                  <c:v>1414.7058823529412</c:v>
                </c:pt>
                <c:pt idx="3">
                  <c:v>3190.625</c:v>
                </c:pt>
                <c:pt idx="4">
                  <c:v>-2306.8965517241381</c:v>
                </c:pt>
                <c:pt idx="5">
                  <c:v>-722.72727272727275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まっつん!$L$2:$L$51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1173.4693877551019</c:v>
                </c:pt>
                <c:pt idx="1">
                  <c:v>1304.3478260869565</c:v>
                </c:pt>
                <c:pt idx="2">
                  <c:v>-1904.6511627906978</c:v>
                </c:pt>
                <c:pt idx="3">
                  <c:v>425.64102564102564</c:v>
                </c:pt>
                <c:pt idx="4">
                  <c:v>-32.352941176470587</c:v>
                </c:pt>
                <c:pt idx="5">
                  <c:v>-486.20689655172413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のり!$L$2:$L$26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-3791.6666666666665</c:v>
                </c:pt>
                <c:pt idx="1">
                  <c:v>-637.5</c:v>
                </c:pt>
                <c:pt idx="2">
                  <c:v>-1729.1666666666667</c:v>
                </c:pt>
                <c:pt idx="3">
                  <c:v>-3756.521739130435</c:v>
                </c:pt>
                <c:pt idx="4">
                  <c:v>-1813.6363636363637</c:v>
                </c:pt>
                <c:pt idx="5">
                  <c:v>-3527.7777777777778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-1492.3076923076924</c:v>
                </c:pt>
                <c:pt idx="4">
                  <c:v>6215.3846153846152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A-4C52-B42E-15E47B189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C-4B40-8AEC-110CCD27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059544161623478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866941015089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1.75644028103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1.19341563786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5507246376811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5507246376811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8559670781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74074074074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302521008403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10541310541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5058548009367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C646EF-718F-4C00-8DE0-302AAA233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255C4D-BEA0-4E72-A1A2-13545A8A7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8"/>
      <c r="C1" s="149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0">
        <v>0</v>
      </c>
      <c r="C2" s="151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2">
        <v>0</v>
      </c>
      <c r="C3" s="153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4">
        <v>0</v>
      </c>
      <c r="C4" s="155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6">
        <f>IF(B$2=0,0,B$4/B$2)</f>
        <v>0</v>
      </c>
      <c r="C5" s="157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6">
        <f>IF(B$2=0,0,(B$7*1+B$8*2+B$9*3)/B$2)</f>
        <v>0</v>
      </c>
      <c r="C6" s="147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4">
        <v>0</v>
      </c>
      <c r="C27" s="145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2">
        <v>-1000000</v>
      </c>
      <c r="C28" s="143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345</v>
      </c>
    </row>
    <row r="2" spans="1:2" x14ac:dyDescent="0.4">
      <c r="A2" t="s">
        <v>166</v>
      </c>
      <c r="B2">
        <v>33</v>
      </c>
    </row>
    <row r="3" spans="1:2" x14ac:dyDescent="0.4">
      <c r="A3" t="s">
        <v>126</v>
      </c>
      <c r="B3">
        <v>71</v>
      </c>
    </row>
    <row r="4" spans="1:2" x14ac:dyDescent="0.4">
      <c r="A4" t="s">
        <v>127</v>
      </c>
      <c r="B4">
        <v>67</v>
      </c>
    </row>
    <row r="5" spans="1:2" x14ac:dyDescent="0.4">
      <c r="A5" t="s">
        <v>179</v>
      </c>
      <c r="B5">
        <v>40</v>
      </c>
    </row>
    <row r="6" spans="1:2" x14ac:dyDescent="0.4">
      <c r="A6" t="s">
        <v>177</v>
      </c>
      <c r="B6">
        <v>38</v>
      </c>
    </row>
    <row r="7" spans="1:2" x14ac:dyDescent="0.4">
      <c r="A7" t="s">
        <v>178</v>
      </c>
      <c r="B7">
        <v>49</v>
      </c>
    </row>
    <row r="8" spans="1:2" x14ac:dyDescent="0.4">
      <c r="A8" t="s">
        <v>182</v>
      </c>
      <c r="B8">
        <v>24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62">
        <v>0.98864001680207303</v>
      </c>
      <c r="G2" s="163"/>
      <c r="H2" s="162">
        <v>0.92414841676700099</v>
      </c>
      <c r="I2" s="163"/>
      <c r="J2" s="162">
        <v>0.98473787065067253</v>
      </c>
      <c r="K2" s="163"/>
      <c r="L2" s="162">
        <v>0.89673145417049505</v>
      </c>
      <c r="M2" s="163"/>
      <c r="N2" s="162">
        <v>0.6396327131731272</v>
      </c>
      <c r="O2" s="163"/>
      <c r="P2" s="162">
        <v>0.4702575384378353</v>
      </c>
      <c r="Q2" s="163"/>
      <c r="R2" s="162">
        <v>0.43198621406511795</v>
      </c>
      <c r="S2" s="163"/>
      <c r="T2" s="162">
        <v>0.37004264877030962</v>
      </c>
      <c r="U2" s="163"/>
      <c r="V2" s="162">
        <v>0.73196527934695865</v>
      </c>
      <c r="W2" s="163"/>
      <c r="X2" s="162">
        <v>0.4813793409460122</v>
      </c>
      <c r="Y2" s="163"/>
      <c r="Z2" s="162">
        <v>0.30561152691936111</v>
      </c>
      <c r="AA2" s="163"/>
      <c r="AB2" s="162">
        <v>0.29644524357317348</v>
      </c>
      <c r="AC2" s="163"/>
      <c r="AD2" s="162">
        <v>0.46924142557864829</v>
      </c>
      <c r="AE2" s="163"/>
      <c r="AF2" s="162">
        <v>2.068897109923493E-2</v>
      </c>
      <c r="AG2" s="163"/>
      <c r="AH2" s="162">
        <v>0.36201986215098164</v>
      </c>
      <c r="AI2" s="163"/>
    </row>
    <row r="3" spans="1:35" x14ac:dyDescent="0.4">
      <c r="A3" s="70">
        <v>1</v>
      </c>
      <c r="B3" s="71" t="s">
        <v>126</v>
      </c>
      <c r="C3" s="72">
        <v>502.09999999999997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10071.764705882353</v>
      </c>
      <c r="R3" s="73" t="s">
        <v>181</v>
      </c>
      <c r="S3" s="77">
        <v>-6800</v>
      </c>
      <c r="T3" s="73" t="s">
        <v>166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0.29180327868852457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315.7999999999999</v>
      </c>
      <c r="D4" s="81" t="s">
        <v>126</v>
      </c>
      <c r="E4" s="93">
        <v>7.0718309859154926</v>
      </c>
      <c r="F4" s="81" t="s">
        <v>126</v>
      </c>
      <c r="G4" s="82">
        <v>1.8028169014084507</v>
      </c>
      <c r="H4" s="81" t="s">
        <v>126</v>
      </c>
      <c r="I4" s="83">
        <v>0.45070422535211269</v>
      </c>
      <c r="J4" s="81" t="s">
        <v>126</v>
      </c>
      <c r="K4" s="83">
        <v>0.25352112676056338</v>
      </c>
      <c r="L4" s="81" t="s">
        <v>126</v>
      </c>
      <c r="M4" s="84">
        <v>0.33390705679862304</v>
      </c>
      <c r="N4" s="81" t="s">
        <v>181</v>
      </c>
      <c r="O4" s="84">
        <v>0.13380281690140844</v>
      </c>
      <c r="P4" s="81" t="s">
        <v>127</v>
      </c>
      <c r="Q4" s="85">
        <v>8629.72972972973</v>
      </c>
      <c r="R4" s="81" t="s">
        <v>166</v>
      </c>
      <c r="S4" s="85">
        <v>-6820.833333333333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0.29142857142857143</v>
      </c>
      <c r="Z4" s="81" t="s">
        <v>222</v>
      </c>
      <c r="AA4" s="84">
        <v>0.33333333333333331</v>
      </c>
      <c r="AB4" s="81" t="s">
        <v>126</v>
      </c>
      <c r="AC4" s="84">
        <v>0.60273972602739723</v>
      </c>
      <c r="AD4" s="81" t="s">
        <v>177</v>
      </c>
      <c r="AE4" s="84">
        <v>0.4838709677419355</v>
      </c>
      <c r="AF4" s="81" t="s">
        <v>177</v>
      </c>
      <c r="AG4" s="84">
        <v>0.47058823529411764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129.30000000000007</v>
      </c>
      <c r="D5" s="81" t="s">
        <v>127</v>
      </c>
      <c r="E5" s="93">
        <v>4.7134328358208943</v>
      </c>
      <c r="F5" s="81" t="s">
        <v>127</v>
      </c>
      <c r="G5" s="82">
        <v>1.8507462686567164</v>
      </c>
      <c r="H5" s="81" t="s">
        <v>127</v>
      </c>
      <c r="I5" s="83">
        <v>0.43283582089552236</v>
      </c>
      <c r="J5" s="81" t="s">
        <v>127</v>
      </c>
      <c r="K5" s="83">
        <v>0.28358208955223879</v>
      </c>
      <c r="L5" s="81" t="s">
        <v>127</v>
      </c>
      <c r="M5" s="84">
        <v>0.31896551724137934</v>
      </c>
      <c r="N5" s="81" t="s">
        <v>178</v>
      </c>
      <c r="O5" s="84">
        <v>0.14000000000000001</v>
      </c>
      <c r="P5" s="81" t="s">
        <v>178</v>
      </c>
      <c r="Q5" s="85">
        <v>8429.8245614035095</v>
      </c>
      <c r="R5" s="81" t="s">
        <v>179</v>
      </c>
      <c r="S5" s="85">
        <v>-7313.04347826087</v>
      </c>
      <c r="T5" s="81" t="s">
        <v>126</v>
      </c>
      <c r="U5" s="83">
        <v>4.2253521126760563E-2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0.32241379310344825</v>
      </c>
      <c r="AB5" s="81" t="s">
        <v>179</v>
      </c>
      <c r="AC5" s="84">
        <v>0.59803921568627449</v>
      </c>
      <c r="AD5" s="81" t="s">
        <v>126</v>
      </c>
      <c r="AE5" s="84">
        <v>0.48175182481751827</v>
      </c>
      <c r="AF5" s="81" t="s">
        <v>182</v>
      </c>
      <c r="AG5" s="84">
        <v>0.45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1.868421052631579</v>
      </c>
      <c r="H6" s="81" t="s">
        <v>195</v>
      </c>
      <c r="I6" s="83">
        <v>0.42857142857142855</v>
      </c>
      <c r="J6" s="81" t="s">
        <v>178</v>
      </c>
      <c r="K6" s="83">
        <v>0.2857142857142857</v>
      </c>
      <c r="L6" s="81" t="s">
        <v>143</v>
      </c>
      <c r="M6" s="84">
        <v>0.29286694101508914</v>
      </c>
      <c r="N6" s="81" t="s">
        <v>126</v>
      </c>
      <c r="O6" s="84">
        <v>0.14285714285714285</v>
      </c>
      <c r="P6" s="81" t="s">
        <v>143</v>
      </c>
      <c r="Q6" s="85">
        <v>8201.7564402810312</v>
      </c>
      <c r="R6" s="81" t="s">
        <v>126</v>
      </c>
      <c r="S6" s="85">
        <v>-7468.674698795181</v>
      </c>
      <c r="T6" s="81" t="s">
        <v>179</v>
      </c>
      <c r="U6" s="83">
        <v>0.05</v>
      </c>
      <c r="V6" s="81" t="s">
        <v>127</v>
      </c>
      <c r="W6" s="83">
        <v>0.11940298507462686</v>
      </c>
      <c r="X6" s="81" t="s">
        <v>222</v>
      </c>
      <c r="Y6" s="84">
        <v>0.26666666666666666</v>
      </c>
      <c r="Z6" s="81" t="s">
        <v>178</v>
      </c>
      <c r="AA6" s="84">
        <v>0.255</v>
      </c>
      <c r="AB6" s="81" t="s">
        <v>178</v>
      </c>
      <c r="AC6" s="84">
        <v>0.59405940594059403</v>
      </c>
      <c r="AD6" s="81" t="s">
        <v>179</v>
      </c>
      <c r="AE6" s="84">
        <v>0.42372881355932202</v>
      </c>
      <c r="AF6" s="81" t="s">
        <v>166</v>
      </c>
      <c r="AG6" s="84">
        <v>0.43835616438356162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3.40263157894737</v>
      </c>
      <c r="F7" s="81" t="s">
        <v>181</v>
      </c>
      <c r="G7" s="82">
        <v>1.9285714285714286</v>
      </c>
      <c r="H7" s="81" t="s">
        <v>177</v>
      </c>
      <c r="I7" s="83">
        <v>0.42105263157894735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177</v>
      </c>
      <c r="O7" s="84">
        <v>0.16393442622950818</v>
      </c>
      <c r="P7" s="81" t="s">
        <v>126</v>
      </c>
      <c r="Q7" s="85">
        <v>7860.3092783505153</v>
      </c>
      <c r="R7" s="81" t="s">
        <v>143</v>
      </c>
      <c r="S7" s="85">
        <v>-7671.1934156378602</v>
      </c>
      <c r="T7" s="81" t="s">
        <v>181</v>
      </c>
      <c r="U7" s="83">
        <v>7.1428571428571425E-2</v>
      </c>
      <c r="V7" s="81" t="s">
        <v>126</v>
      </c>
      <c r="W7" s="83">
        <v>0.11267605633802817</v>
      </c>
      <c r="X7" s="81" t="s">
        <v>178</v>
      </c>
      <c r="Y7" s="84">
        <v>0.2525</v>
      </c>
      <c r="Z7" s="81" t="s">
        <v>143</v>
      </c>
      <c r="AA7" s="84">
        <v>0.24074074074074073</v>
      </c>
      <c r="AB7" s="81" t="s">
        <v>143</v>
      </c>
      <c r="AC7" s="84">
        <v>0.56302521008403361</v>
      </c>
      <c r="AD7" s="81" t="s">
        <v>143</v>
      </c>
      <c r="AE7" s="84">
        <v>0.4131054131054131</v>
      </c>
      <c r="AF7" s="81" t="s">
        <v>178</v>
      </c>
      <c r="AG7" s="84">
        <v>0.42982456140350878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178</v>
      </c>
      <c r="C8" s="80">
        <v>7.1000000000000227</v>
      </c>
      <c r="D8" s="81" t="s">
        <v>178</v>
      </c>
      <c r="E8" s="93">
        <v>0.14489795918367393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0.28947368421052633</v>
      </c>
      <c r="L8" s="81" t="s">
        <v>179</v>
      </c>
      <c r="M8" s="84">
        <v>0.2857142857142857</v>
      </c>
      <c r="N8" s="81" t="s">
        <v>166</v>
      </c>
      <c r="O8" s="84">
        <v>0.16494845360824742</v>
      </c>
      <c r="P8" s="81" t="s">
        <v>181</v>
      </c>
      <c r="Q8" s="85">
        <v>7782.9268292682927</v>
      </c>
      <c r="R8" s="81" t="s">
        <v>127</v>
      </c>
      <c r="S8" s="85">
        <v>-7733.636363636364</v>
      </c>
      <c r="T8" s="81" t="s">
        <v>178</v>
      </c>
      <c r="U8" s="83">
        <v>8.1632653061224483E-2</v>
      </c>
      <c r="V8" s="81" t="s">
        <v>143</v>
      </c>
      <c r="W8" s="83">
        <v>9.8550724637681164E-2</v>
      </c>
      <c r="X8" s="81" t="s">
        <v>126</v>
      </c>
      <c r="Y8" s="84">
        <v>0.2512908777969019</v>
      </c>
      <c r="Z8" s="81" t="s">
        <v>126</v>
      </c>
      <c r="AA8" s="84">
        <v>0.23580034423407917</v>
      </c>
      <c r="AB8" s="81" t="s">
        <v>127</v>
      </c>
      <c r="AC8" s="84">
        <v>0.55303030303030298</v>
      </c>
      <c r="AD8" s="81" t="s">
        <v>127</v>
      </c>
      <c r="AE8" s="84">
        <v>0.39572192513368987</v>
      </c>
      <c r="AF8" s="81" t="s">
        <v>143</v>
      </c>
      <c r="AG8" s="84">
        <v>0.42505854800936765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143</v>
      </c>
      <c r="C9" s="80">
        <v>-7.1054273576010019E-15</v>
      </c>
      <c r="D9" s="81" t="s">
        <v>143</v>
      </c>
      <c r="E9" s="93">
        <v>-2.0595441616234788E-17</v>
      </c>
      <c r="F9" s="81" t="s">
        <v>178</v>
      </c>
      <c r="G9" s="82">
        <v>2.0816326530612246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0.28499999999999998</v>
      </c>
      <c r="N9" s="81" t="s">
        <v>143</v>
      </c>
      <c r="O9" s="84">
        <v>0.16666666666666666</v>
      </c>
      <c r="P9" s="81" t="s">
        <v>182</v>
      </c>
      <c r="Q9" s="85">
        <v>7562.5</v>
      </c>
      <c r="R9" s="81" t="s">
        <v>178</v>
      </c>
      <c r="S9" s="85">
        <v>-7757.1428571428569</v>
      </c>
      <c r="T9" s="81" t="s">
        <v>143</v>
      </c>
      <c r="U9" s="83">
        <v>9.8550724637681164E-2</v>
      </c>
      <c r="V9" s="81" t="s">
        <v>178</v>
      </c>
      <c r="W9" s="83">
        <v>8.1632653061224483E-2</v>
      </c>
      <c r="X9" s="81" t="s">
        <v>143</v>
      </c>
      <c r="Y9" s="84">
        <v>0.2448559670781893</v>
      </c>
      <c r="Z9" s="81" t="s">
        <v>166</v>
      </c>
      <c r="AA9" s="84">
        <v>0.23367697594501718</v>
      </c>
      <c r="AB9" s="81" t="s">
        <v>195</v>
      </c>
      <c r="AC9" s="84">
        <v>0.53333333333333333</v>
      </c>
      <c r="AD9" s="81" t="s">
        <v>178</v>
      </c>
      <c r="AE9" s="84">
        <v>0.39215686274509803</v>
      </c>
      <c r="AF9" s="81" t="s">
        <v>126</v>
      </c>
      <c r="AG9" s="84">
        <v>0.42268041237113402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-5.5484848484848488</v>
      </c>
      <c r="F10" s="81" t="s">
        <v>195</v>
      </c>
      <c r="G10" s="82">
        <v>2.1428571428571428</v>
      </c>
      <c r="H10" s="81" t="s">
        <v>166</v>
      </c>
      <c r="I10" s="83">
        <v>0.27272727272727271</v>
      </c>
      <c r="J10" s="81" t="s">
        <v>166</v>
      </c>
      <c r="K10" s="83">
        <v>0.42424242424242425</v>
      </c>
      <c r="L10" s="81" t="s">
        <v>177</v>
      </c>
      <c r="M10" s="84">
        <v>0.27868852459016391</v>
      </c>
      <c r="N10" s="81" t="s">
        <v>127</v>
      </c>
      <c r="O10" s="84">
        <v>0.18965517241379309</v>
      </c>
      <c r="P10" s="81" t="s">
        <v>195</v>
      </c>
      <c r="Q10" s="85">
        <v>7473.333333333333</v>
      </c>
      <c r="R10" s="81" t="s">
        <v>222</v>
      </c>
      <c r="S10" s="85">
        <v>-8000</v>
      </c>
      <c r="T10" s="81" t="s">
        <v>177</v>
      </c>
      <c r="U10" s="83">
        <v>0.13157894736842105</v>
      </c>
      <c r="V10" s="81" t="s">
        <v>179</v>
      </c>
      <c r="W10" s="83">
        <v>0.05</v>
      </c>
      <c r="X10" s="81" t="s">
        <v>195</v>
      </c>
      <c r="Y10" s="84">
        <v>0.24193548387096775</v>
      </c>
      <c r="Z10" s="81" t="s">
        <v>177</v>
      </c>
      <c r="AA10" s="84">
        <v>0.20327868852459016</v>
      </c>
      <c r="AB10" s="81" t="s">
        <v>166</v>
      </c>
      <c r="AC10" s="84">
        <v>0.52083333333333337</v>
      </c>
      <c r="AD10" s="81" t="s">
        <v>166</v>
      </c>
      <c r="AE10" s="84">
        <v>0.35294117647058826</v>
      </c>
      <c r="AF10" s="81" t="s">
        <v>179</v>
      </c>
      <c r="AG10" s="84">
        <v>0.42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166</v>
      </c>
      <c r="C11" s="80">
        <v>-183.10000000000002</v>
      </c>
      <c r="D11" s="81" t="s">
        <v>179</v>
      </c>
      <c r="E11" s="93">
        <v>-6.7099999999999991</v>
      </c>
      <c r="F11" s="81" t="s">
        <v>166</v>
      </c>
      <c r="G11" s="82">
        <v>2.1515151515151514</v>
      </c>
      <c r="H11" s="81" t="s">
        <v>179</v>
      </c>
      <c r="I11" s="83">
        <v>0.22500000000000001</v>
      </c>
      <c r="J11" s="81" t="s">
        <v>179</v>
      </c>
      <c r="K11" s="83">
        <v>0.42499999999999999</v>
      </c>
      <c r="L11" s="81" t="s">
        <v>166</v>
      </c>
      <c r="M11" s="84">
        <v>0.25085910652920962</v>
      </c>
      <c r="N11" s="81" t="s">
        <v>195</v>
      </c>
      <c r="O11" s="84">
        <v>0.19354838709677419</v>
      </c>
      <c r="P11" s="81" t="s">
        <v>179</v>
      </c>
      <c r="Q11" s="85">
        <v>7463</v>
      </c>
      <c r="R11" s="81" t="s">
        <v>177</v>
      </c>
      <c r="S11" s="85">
        <v>-8228</v>
      </c>
      <c r="T11" s="81" t="s">
        <v>127</v>
      </c>
      <c r="U11" s="83">
        <v>0.14925373134328357</v>
      </c>
      <c r="V11" s="81" t="s">
        <v>182</v>
      </c>
      <c r="W11" s="83">
        <v>4.1666666666666664E-2</v>
      </c>
      <c r="X11" s="81" t="s">
        <v>127</v>
      </c>
      <c r="Y11" s="84">
        <v>0.22758620689655173</v>
      </c>
      <c r="Z11" s="81" t="s">
        <v>182</v>
      </c>
      <c r="AA11" s="84">
        <v>0.2</v>
      </c>
      <c r="AB11" s="81" t="s">
        <v>182</v>
      </c>
      <c r="AC11" s="84">
        <v>0.51351351351351349</v>
      </c>
      <c r="AD11" s="81" t="s">
        <v>182</v>
      </c>
      <c r="AE11" s="84">
        <v>0.34210526315789475</v>
      </c>
      <c r="AF11" s="81" t="s">
        <v>127</v>
      </c>
      <c r="AG11" s="84">
        <v>0.38378378378378381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-268.39999999999998</v>
      </c>
      <c r="D12" s="81" t="s">
        <v>195</v>
      </c>
      <c r="E12" s="93">
        <v>-14.971428571428573</v>
      </c>
      <c r="F12" s="81" t="s">
        <v>179</v>
      </c>
      <c r="G12" s="82">
        <v>2.2000000000000002</v>
      </c>
      <c r="H12" s="81" t="s">
        <v>178</v>
      </c>
      <c r="I12" s="83">
        <v>0.20408163265306123</v>
      </c>
      <c r="J12" s="81" t="s">
        <v>195</v>
      </c>
      <c r="K12" s="83">
        <v>0.5714285714285714</v>
      </c>
      <c r="L12" s="81" t="s">
        <v>195</v>
      </c>
      <c r="M12" s="84">
        <v>0.24193548387096775</v>
      </c>
      <c r="N12" s="81" t="s">
        <v>179</v>
      </c>
      <c r="O12" s="84">
        <v>0.19714285714285715</v>
      </c>
      <c r="P12" s="81" t="s">
        <v>222</v>
      </c>
      <c r="Q12" s="85">
        <v>7385.7142857142853</v>
      </c>
      <c r="R12" s="81" t="s">
        <v>182</v>
      </c>
      <c r="S12" s="85">
        <v>-8781.5789473684217</v>
      </c>
      <c r="T12" s="81" t="s">
        <v>182</v>
      </c>
      <c r="U12" s="83">
        <v>0.20833333333333334</v>
      </c>
      <c r="V12" s="81" t="s">
        <v>166</v>
      </c>
      <c r="W12" s="83">
        <v>3.0303030303030304E-2</v>
      </c>
      <c r="X12" s="81" t="s">
        <v>182</v>
      </c>
      <c r="Y12" s="84">
        <v>0.19473684210526315</v>
      </c>
      <c r="Z12" s="81" t="s">
        <v>179</v>
      </c>
      <c r="AA12" s="84">
        <v>0.16857142857142857</v>
      </c>
      <c r="AB12" s="81" t="s">
        <v>222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-474.10000000000014</v>
      </c>
      <c r="D13" s="81" t="s">
        <v>182</v>
      </c>
      <c r="E13" s="93">
        <v>-19.754166666666674</v>
      </c>
      <c r="F13" s="81" t="s">
        <v>182</v>
      </c>
      <c r="G13" s="82">
        <v>2.5416666666666665</v>
      </c>
      <c r="H13" s="81" t="s">
        <v>182</v>
      </c>
      <c r="I13" s="83">
        <v>4.1666666666666664E-2</v>
      </c>
      <c r="J13" s="81" t="s">
        <v>182</v>
      </c>
      <c r="K13" s="83">
        <v>0.58333333333333337</v>
      </c>
      <c r="L13" s="81" t="s">
        <v>182</v>
      </c>
      <c r="M13" s="84">
        <v>0.21052631578947367</v>
      </c>
      <c r="N13" s="81" t="s">
        <v>182</v>
      </c>
      <c r="O13" s="84">
        <v>0.2</v>
      </c>
      <c r="P13" s="81" t="s">
        <v>166</v>
      </c>
      <c r="Q13" s="85">
        <v>7316.4383561643835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0.16494845360824742</v>
      </c>
      <c r="Z13" s="81" t="s">
        <v>181</v>
      </c>
      <c r="AA13" s="84">
        <v>0.15492957746478872</v>
      </c>
      <c r="AB13" s="81" t="s">
        <v>177</v>
      </c>
      <c r="AC13" s="84">
        <v>0.4606741573033708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4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143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345</v>
      </c>
      <c r="C2" s="151"/>
      <c r="E2" s="58" t="s">
        <v>66</v>
      </c>
      <c r="F2" s="55" t="s">
        <v>22</v>
      </c>
      <c r="G2" s="43">
        <v>653</v>
      </c>
      <c r="H2" s="128">
        <f>IF(B$17=0,0,G2/B$17)</f>
        <v>0.76463700234192034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-20.467836257309941</v>
      </c>
      <c r="P2" s="114">
        <v>342</v>
      </c>
      <c r="Q2" s="98">
        <v>-7000</v>
      </c>
    </row>
    <row r="3" spans="1:17" x14ac:dyDescent="0.4">
      <c r="A3" s="51" t="s">
        <v>8</v>
      </c>
      <c r="B3" s="152">
        <v>2916</v>
      </c>
      <c r="C3" s="153"/>
      <c r="E3" s="59" t="s">
        <v>72</v>
      </c>
      <c r="F3" s="56" t="s">
        <v>27</v>
      </c>
      <c r="G3" s="44">
        <v>465</v>
      </c>
      <c r="H3" s="129">
        <f>IF(B$17=0,0,G3/B$17)</f>
        <v>0.54449648711943799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15.151515151515152</v>
      </c>
      <c r="P3" s="115">
        <v>330</v>
      </c>
      <c r="Q3" s="99">
        <v>5000</v>
      </c>
    </row>
    <row r="4" spans="1:17" x14ac:dyDescent="0.4">
      <c r="A4" s="51" t="s">
        <v>6</v>
      </c>
      <c r="B4" s="154">
        <v>-7.1054273576010019E-15</v>
      </c>
      <c r="C4" s="155"/>
      <c r="E4" s="59" t="s">
        <v>64</v>
      </c>
      <c r="F4" s="56" t="s">
        <v>20</v>
      </c>
      <c r="G4" s="44">
        <v>389</v>
      </c>
      <c r="H4" s="129">
        <f>IF(B$17=0,0,G4/B$17)</f>
        <v>0.45550351288056207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-34.591194968553459</v>
      </c>
      <c r="P4" s="115">
        <v>318</v>
      </c>
      <c r="Q4" s="99">
        <v>-11000</v>
      </c>
    </row>
    <row r="5" spans="1:17" x14ac:dyDescent="0.4">
      <c r="A5" s="51" t="s">
        <v>7</v>
      </c>
      <c r="B5" s="156">
        <f>IF(B$2=0,0,B$4/B$2)</f>
        <v>-2.0595441616234788E-17</v>
      </c>
      <c r="C5" s="157"/>
      <c r="E5" s="59" t="s">
        <v>171</v>
      </c>
      <c r="F5" s="56" t="s">
        <v>172</v>
      </c>
      <c r="G5" s="44">
        <v>324</v>
      </c>
      <c r="H5" s="129">
        <f>IF(B$17=0,0,G5/B$17)</f>
        <v>0.37939110070257609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30.303030303030305</v>
      </c>
      <c r="P5" s="115">
        <v>297</v>
      </c>
      <c r="Q5" s="99">
        <v>9000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68</v>
      </c>
      <c r="F6" s="56" t="s">
        <v>12</v>
      </c>
      <c r="G6" s="44">
        <v>258</v>
      </c>
      <c r="H6" s="129">
        <f>IF(B$17=0,0,G6/B$17)</f>
        <v>0.30210772833723654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10.75268817204301</v>
      </c>
      <c r="P6" s="115">
        <v>279</v>
      </c>
      <c r="Q6" s="99">
        <v>3000</v>
      </c>
    </row>
    <row r="7" spans="1:17" x14ac:dyDescent="0.4">
      <c r="A7" s="51" t="s">
        <v>2</v>
      </c>
      <c r="B7" s="44">
        <v>115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253</v>
      </c>
      <c r="H7" s="129">
        <f>IF(B$17=0,0,G7/B$17)</f>
        <v>0.29625292740046838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4.3859649122807021</v>
      </c>
      <c r="P7" s="116">
        <v>228</v>
      </c>
      <c r="Q7" s="100">
        <v>1000</v>
      </c>
    </row>
    <row r="8" spans="1:17" x14ac:dyDescent="0.4">
      <c r="A8" s="51" t="s">
        <v>3</v>
      </c>
      <c r="B8" s="44">
        <v>115</v>
      </c>
      <c r="C8" s="37">
        <f t="shared" si="1"/>
        <v>0.33333333333333331</v>
      </c>
      <c r="E8" s="59" t="s">
        <v>69</v>
      </c>
      <c r="F8" s="56" t="s">
        <v>24</v>
      </c>
      <c r="G8" s="44">
        <v>119</v>
      </c>
      <c r="H8" s="129">
        <f>IF(B$17=0,0,G8/B$17)</f>
        <v>0.13934426229508196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115</v>
      </c>
      <c r="C9" s="38">
        <f t="shared" si="1"/>
        <v>0.33333333333333331</v>
      </c>
      <c r="E9" s="59" t="s">
        <v>89</v>
      </c>
      <c r="F9" s="56" t="s">
        <v>44</v>
      </c>
      <c r="G9" s="44">
        <v>114</v>
      </c>
      <c r="H9" s="129">
        <f>IF(B$17=0,0,G9/B$17)</f>
        <v>0.13348946135831383</v>
      </c>
      <c r="I9" s="90">
        <v>4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34</v>
      </c>
      <c r="C10" s="38">
        <f t="shared" si="1"/>
        <v>9.8550724637681164E-2</v>
      </c>
      <c r="E10" s="59" t="s">
        <v>65</v>
      </c>
      <c r="F10" s="56" t="s">
        <v>21</v>
      </c>
      <c r="G10" s="44">
        <v>85</v>
      </c>
      <c r="H10" s="129">
        <f>IF(B$17=0,0,G10/B$17)</f>
        <v>9.9531615925058547E-2</v>
      </c>
      <c r="I10" s="90">
        <v>5</v>
      </c>
      <c r="K10" s="36">
        <v>8</v>
      </c>
      <c r="L10" s="95">
        <v>-46.9</v>
      </c>
      <c r="N10" s="110" t="s">
        <v>162</v>
      </c>
      <c r="O10" s="120">
        <f>IF(P10=0,0,Q10/P10)</f>
        <v>0.7286956521739123</v>
      </c>
      <c r="P10" s="114">
        <v>115</v>
      </c>
      <c r="Q10" s="102">
        <v>83.799999999999912</v>
      </c>
    </row>
    <row r="11" spans="1:17" x14ac:dyDescent="0.4">
      <c r="A11" s="52" t="s">
        <v>138</v>
      </c>
      <c r="B11" s="45">
        <v>34</v>
      </c>
      <c r="C11" s="38">
        <f t="shared" si="1"/>
        <v>9.8550724637681164E-2</v>
      </c>
      <c r="E11" s="59" t="s">
        <v>70</v>
      </c>
      <c r="F11" s="56" t="s">
        <v>25</v>
      </c>
      <c r="G11" s="44">
        <v>76</v>
      </c>
      <c r="H11" s="129">
        <f>IF(B$17=0,0,G11/B$17)</f>
        <v>8.899297423887588E-2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0.81478260869565244</v>
      </c>
      <c r="P11" s="115">
        <v>115</v>
      </c>
      <c r="Q11" s="103">
        <v>93.700000000000031</v>
      </c>
    </row>
    <row r="12" spans="1:17" x14ac:dyDescent="0.4">
      <c r="A12" s="53" t="s">
        <v>158</v>
      </c>
      <c r="B12" s="46">
        <v>35</v>
      </c>
      <c r="C12" s="40">
        <f t="shared" si="1"/>
        <v>0.10144927536231885</v>
      </c>
      <c r="E12" s="59" t="s">
        <v>71</v>
      </c>
      <c r="F12" s="56" t="s">
        <v>26</v>
      </c>
      <c r="G12" s="44">
        <v>66</v>
      </c>
      <c r="H12" s="129">
        <f>IF(B$17=0,0,G12/B$17)</f>
        <v>7.7283372365339581E-2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-1.5434782608695654</v>
      </c>
      <c r="P12" s="116">
        <v>115</v>
      </c>
      <c r="Q12" s="104">
        <v>-177.50000000000003</v>
      </c>
    </row>
    <row r="13" spans="1:17" x14ac:dyDescent="0.4">
      <c r="A13" s="54" t="s">
        <v>121</v>
      </c>
      <c r="B13" s="47">
        <v>714</v>
      </c>
      <c r="C13" s="42">
        <f>IF(B$3=0,0,B13/B$3)</f>
        <v>0.2448559670781893</v>
      </c>
      <c r="E13" s="59" t="s">
        <v>83</v>
      </c>
      <c r="F13" s="56" t="s">
        <v>38</v>
      </c>
      <c r="G13" s="44">
        <v>52</v>
      </c>
      <c r="H13" s="129">
        <f>IF(B$17=0,0,G13/B$17)</f>
        <v>6.0889929742388757E-2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702</v>
      </c>
      <c r="C14" s="37">
        <f>IF(B$3=0,0,B14/B$3)</f>
        <v>0.24074074074074073</v>
      </c>
      <c r="E14" s="59" t="s">
        <v>86</v>
      </c>
      <c r="F14" s="56" t="s">
        <v>41</v>
      </c>
      <c r="G14" s="44">
        <v>37</v>
      </c>
      <c r="H14" s="129">
        <f>IF(B$17=0,0,G14/B$17)</f>
        <v>4.3325526932084309E-2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402</v>
      </c>
      <c r="C15" s="35">
        <f>IF(B$13=0,0,B15/B$13)</f>
        <v>0.56302521008403361</v>
      </c>
      <c r="E15" s="59" t="s">
        <v>78</v>
      </c>
      <c r="F15" s="56" t="s">
        <v>33</v>
      </c>
      <c r="G15" s="44">
        <v>18</v>
      </c>
      <c r="H15" s="129">
        <f>IF(B$17=0,0,G15/B$17)</f>
        <v>2.1077283372365339E-2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29.631249999999984</v>
      </c>
      <c r="P15" s="114">
        <v>48</v>
      </c>
      <c r="Q15" s="102">
        <v>1422.2999999999993</v>
      </c>
    </row>
    <row r="16" spans="1:17" x14ac:dyDescent="0.4">
      <c r="A16" s="50" t="s">
        <v>124</v>
      </c>
      <c r="B16" s="43">
        <v>290</v>
      </c>
      <c r="C16" s="35">
        <f>IF(B$14=0,0,B16/B$14)</f>
        <v>0.4131054131054131</v>
      </c>
      <c r="E16" s="59" t="s">
        <v>81</v>
      </c>
      <c r="F16" s="56" t="s">
        <v>36</v>
      </c>
      <c r="G16" s="44">
        <v>16</v>
      </c>
      <c r="H16" s="129">
        <f>IF(B$17=0,0,G16/B$17)</f>
        <v>1.873536299765808E-2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854</v>
      </c>
      <c r="C17" s="35">
        <f>IF(B$3=0,0,B17/B$3)</f>
        <v>0.29286694101508914</v>
      </c>
      <c r="E17" s="59" t="s">
        <v>167</v>
      </c>
      <c r="F17" s="56" t="s">
        <v>168</v>
      </c>
      <c r="G17" s="44">
        <v>14</v>
      </c>
      <c r="H17" s="129">
        <f>IF(B$17=0,0,G17/B$17)</f>
        <v>1.6393442622950821E-2</v>
      </c>
      <c r="I17" s="90">
        <v>4</v>
      </c>
      <c r="K17" s="36">
        <v>15</v>
      </c>
      <c r="L17" s="95">
        <v>0</v>
      </c>
      <c r="N17" s="111" t="s">
        <v>179</v>
      </c>
      <c r="O17" s="121">
        <f>IF(P17=0,0,Q17/P17)</f>
        <v>10.065000000000001</v>
      </c>
      <c r="P17" s="115">
        <v>80</v>
      </c>
      <c r="Q17" s="103">
        <v>805.20000000000016</v>
      </c>
    </row>
    <row r="18" spans="1:17" x14ac:dyDescent="0.4">
      <c r="A18" s="51" t="s">
        <v>12</v>
      </c>
      <c r="B18" s="44">
        <v>363</v>
      </c>
      <c r="C18" s="37">
        <f>IF(B$17=0,0,B18/B$17)</f>
        <v>0.42505854800936765</v>
      </c>
      <c r="E18" s="59" t="s">
        <v>79</v>
      </c>
      <c r="F18" s="56" t="s">
        <v>34</v>
      </c>
      <c r="G18" s="44">
        <v>13</v>
      </c>
      <c r="H18" s="129">
        <f>IF(B$17=0,0,G18/B$17)</f>
        <v>1.5222482435597189E-2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8.3227272727272741</v>
      </c>
      <c r="P18" s="115">
        <v>66</v>
      </c>
      <c r="Q18" s="103">
        <v>549.30000000000007</v>
      </c>
    </row>
    <row r="19" spans="1:17" x14ac:dyDescent="0.4">
      <c r="A19" s="51" t="s">
        <v>11</v>
      </c>
      <c r="B19" s="44">
        <v>491</v>
      </c>
      <c r="C19" s="37">
        <f>IF(B$17=0,0,B19/B$17)</f>
        <v>0.57494145199063229</v>
      </c>
      <c r="E19" s="59" t="s">
        <v>91</v>
      </c>
      <c r="F19" s="56" t="s">
        <v>46</v>
      </c>
      <c r="G19" s="44">
        <v>13</v>
      </c>
      <c r="H19" s="129">
        <f>IF(B$17=0,0,G19/B$17)</f>
        <v>1.5222482435597189E-2</v>
      </c>
      <c r="I19" s="90">
        <v>3</v>
      </c>
      <c r="K19" s="36">
        <v>17</v>
      </c>
      <c r="L19" s="95">
        <v>-20.5</v>
      </c>
      <c r="N19" s="111" t="s">
        <v>178</v>
      </c>
      <c r="O19" s="121">
        <f>IF(P19=0,0,Q19/P19)</f>
        <v>-0.21734693877551103</v>
      </c>
      <c r="P19" s="115">
        <v>98</v>
      </c>
      <c r="Q19" s="103">
        <v>-21.300000000000082</v>
      </c>
    </row>
    <row r="20" spans="1:17" x14ac:dyDescent="0.4">
      <c r="A20" s="51" t="s">
        <v>13</v>
      </c>
      <c r="B20" s="44">
        <v>486</v>
      </c>
      <c r="C20" s="37">
        <f>IF(B$3=0,0,B20/B$3)</f>
        <v>0.16666666666666666</v>
      </c>
      <c r="E20" s="59" t="s">
        <v>92</v>
      </c>
      <c r="F20" s="56" t="s">
        <v>47</v>
      </c>
      <c r="G20" s="44">
        <v>6</v>
      </c>
      <c r="H20" s="129">
        <f>IF(B$17=0,0,G20/B$17)</f>
        <v>7.0257611241217799E-3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-5.1039473684210508</v>
      </c>
      <c r="P20" s="115">
        <v>76</v>
      </c>
      <c r="Q20" s="103">
        <v>-387.89999999999986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5</v>
      </c>
      <c r="H21" s="129">
        <f>IF(B$17=0,0,G21/B$17)</f>
        <v>5.8548009367681503E-3</v>
      </c>
      <c r="I21" s="90">
        <v>4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26</v>
      </c>
      <c r="C22" s="131">
        <v>2</v>
      </c>
      <c r="E22" s="59" t="s">
        <v>74</v>
      </c>
      <c r="F22" s="56" t="s">
        <v>29</v>
      </c>
      <c r="G22" s="44">
        <v>4</v>
      </c>
      <c r="H22" s="129">
        <f>IF(B$17=0,0,G22/B$17)</f>
        <v>4.6838407494145199E-3</v>
      </c>
      <c r="I22" s="90">
        <v>5</v>
      </c>
      <c r="K22" s="36">
        <v>20</v>
      </c>
      <c r="L22" s="95">
        <v>-61.199999999999996</v>
      </c>
      <c r="N22" s="111" t="s">
        <v>127</v>
      </c>
      <c r="O22" s="121">
        <f>IF(P22=0,0,Q22/P22)</f>
        <v>-7.0701492537313486</v>
      </c>
      <c r="P22" s="115">
        <v>134</v>
      </c>
      <c r="Q22" s="103">
        <v>-947.40000000000077</v>
      </c>
    </row>
    <row r="23" spans="1:17" x14ac:dyDescent="0.4">
      <c r="A23" s="51" t="s">
        <v>5</v>
      </c>
      <c r="B23" s="48">
        <f>IF(B$17=0,0,C23/B$17)</f>
        <v>8201.7564402810312</v>
      </c>
      <c r="C23" s="39">
        <v>7004300</v>
      </c>
      <c r="E23" s="59" t="s">
        <v>77</v>
      </c>
      <c r="F23" s="56" t="s">
        <v>32</v>
      </c>
      <c r="G23" s="44">
        <v>4</v>
      </c>
      <c r="H23" s="129">
        <f>IF(B$17=0,0,G23/B$17)</f>
        <v>4.6838407494145199E-3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-10.607746478873233</v>
      </c>
      <c r="P23" s="115">
        <v>142</v>
      </c>
      <c r="Q23" s="103">
        <v>-1506.299999999999</v>
      </c>
    </row>
    <row r="24" spans="1:17" x14ac:dyDescent="0.4">
      <c r="A24" s="52" t="s">
        <v>216</v>
      </c>
      <c r="B24" s="136">
        <f>IF($B$17-B$16=0,0,C24/($B$17-B$16))</f>
        <v>8745.3900709219852</v>
      </c>
      <c r="C24" s="137">
        <v>4932400</v>
      </c>
      <c r="E24" s="59" t="s">
        <v>85</v>
      </c>
      <c r="F24" s="56" t="s">
        <v>40</v>
      </c>
      <c r="G24" s="44">
        <v>4</v>
      </c>
      <c r="H24" s="129">
        <f>IF(B$17=0,0,G24/B$17)</f>
        <v>4.6838407494145199E-3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7144.4827586206893</v>
      </c>
      <c r="C25" s="137">
        <v>2071900</v>
      </c>
      <c r="E25" s="59" t="s">
        <v>88</v>
      </c>
      <c r="F25" s="56" t="s">
        <v>43</v>
      </c>
      <c r="G25" s="44">
        <v>4</v>
      </c>
      <c r="H25" s="129">
        <f>IF(B$17=0,0,G25/B$17)</f>
        <v>4.6838407494145199E-3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-7671.1934156378602</v>
      </c>
      <c r="C26" s="137">
        <v>-3728200</v>
      </c>
      <c r="E26" s="59" t="s">
        <v>84</v>
      </c>
      <c r="F26" s="56" t="s">
        <v>39</v>
      </c>
      <c r="G26" s="44">
        <v>3</v>
      </c>
      <c r="H26" s="129">
        <f>IF(B$17=0,0,G26/B$17)</f>
        <v>3.5128805620608899E-3</v>
      </c>
      <c r="I26" s="90">
        <v>2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4">
        <v>8</v>
      </c>
      <c r="C27" s="145"/>
      <c r="E27" s="59" t="s">
        <v>90</v>
      </c>
      <c r="F27" s="56" t="s">
        <v>45</v>
      </c>
      <c r="G27" s="44">
        <v>2</v>
      </c>
      <c r="H27" s="129">
        <f>IF(B$17=0,0,G27/B$17)</f>
        <v>2.34192037470726E-3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2">
        <v>95200</v>
      </c>
      <c r="C28" s="143"/>
      <c r="E28" s="59" t="s">
        <v>73</v>
      </c>
      <c r="F28" s="56" t="s">
        <v>28</v>
      </c>
      <c r="G28" s="44">
        <v>1</v>
      </c>
      <c r="H28" s="129">
        <f>IF(B$17=0,0,G28/B$17)</f>
        <v>1.17096018735363E-3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4.11522633744856E-3</v>
      </c>
      <c r="E29" s="59" t="s">
        <v>87</v>
      </c>
      <c r="F29" s="56" t="s">
        <v>42</v>
      </c>
      <c r="G29" s="44">
        <v>1</v>
      </c>
      <c r="H29" s="129">
        <f>IF(B$17=0,0,G29/B$17)</f>
        <v>1.17096018735363E-3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93</v>
      </c>
      <c r="F30" s="56" t="s">
        <v>48</v>
      </c>
      <c r="G30" s="44">
        <v>1</v>
      </c>
      <c r="H30" s="129">
        <f>IF(B$17=0,0,G30/B$17)</f>
        <v>1.17096018735363E-3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1</v>
      </c>
      <c r="H31" s="129">
        <f>IF(B$17=0,0,G31/B$17)</f>
        <v>1.17096018735363E-3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1.17096018735363E-3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166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33</v>
      </c>
      <c r="C2" s="151"/>
      <c r="E2" s="58" t="s">
        <v>66</v>
      </c>
      <c r="F2" s="55" t="s">
        <v>22</v>
      </c>
      <c r="G2" s="43">
        <v>43</v>
      </c>
      <c r="H2" s="128">
        <f>IF(B$17=0,0,G2/B$17)</f>
        <v>0.58904109589041098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1557.5757575757575</v>
      </c>
      <c r="P2" s="114">
        <v>33</v>
      </c>
      <c r="Q2" s="98">
        <v>51400</v>
      </c>
    </row>
    <row r="3" spans="1:17" x14ac:dyDescent="0.4">
      <c r="A3" s="51" t="s">
        <v>8</v>
      </c>
      <c r="B3" s="152">
        <v>291</v>
      </c>
      <c r="C3" s="153"/>
      <c r="E3" s="59" t="s">
        <v>72</v>
      </c>
      <c r="F3" s="56" t="s">
        <v>27</v>
      </c>
      <c r="G3" s="44">
        <v>39</v>
      </c>
      <c r="H3" s="129">
        <f>IF(B$17=0,0,G3/B$17)</f>
        <v>0.53424657534246578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-759.375</v>
      </c>
      <c r="P3" s="115">
        <v>32</v>
      </c>
      <c r="Q3" s="99">
        <v>-24300</v>
      </c>
    </row>
    <row r="4" spans="1:17" x14ac:dyDescent="0.4">
      <c r="A4" s="51" t="s">
        <v>6</v>
      </c>
      <c r="B4" s="154">
        <v>-183.10000000000002</v>
      </c>
      <c r="C4" s="155"/>
      <c r="E4" s="59" t="s">
        <v>171</v>
      </c>
      <c r="F4" s="56" t="s">
        <v>172</v>
      </c>
      <c r="G4" s="44">
        <v>30</v>
      </c>
      <c r="H4" s="129">
        <f>IF(B$17=0,0,G4/B$17)</f>
        <v>0.41095890410958902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600</v>
      </c>
      <c r="P4" s="115">
        <v>31</v>
      </c>
      <c r="Q4" s="99">
        <v>18600</v>
      </c>
    </row>
    <row r="5" spans="1:17" x14ac:dyDescent="0.4">
      <c r="A5" s="51" t="s">
        <v>7</v>
      </c>
      <c r="B5" s="156">
        <f>IF(B$2=0,0,B$4/B$2)</f>
        <v>-5.5484848484848488</v>
      </c>
      <c r="C5" s="157"/>
      <c r="E5" s="59" t="s">
        <v>64</v>
      </c>
      <c r="F5" s="56" t="s">
        <v>20</v>
      </c>
      <c r="G5" s="44">
        <v>23</v>
      </c>
      <c r="H5" s="129">
        <f>IF(B$17=0,0,G5/B$17)</f>
        <v>0.31506849315068491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-2712.9032258064517</v>
      </c>
      <c r="P5" s="115">
        <v>31</v>
      </c>
      <c r="Q5" s="99">
        <v>-84100</v>
      </c>
    </row>
    <row r="6" spans="1:17" x14ac:dyDescent="0.4">
      <c r="A6" s="51" t="s">
        <v>1</v>
      </c>
      <c r="B6" s="146">
        <f>IF(B$2=0,0,(B$7*1+B$8*2+B$9*3)/B$2)</f>
        <v>2.1515151515151514</v>
      </c>
      <c r="C6" s="147"/>
      <c r="E6" s="59" t="s">
        <v>68</v>
      </c>
      <c r="F6" s="56" t="s">
        <v>12</v>
      </c>
      <c r="G6" s="44">
        <v>22</v>
      </c>
      <c r="H6" s="129">
        <f>IF(B$17=0,0,G6/B$17)</f>
        <v>0.30136986301369861</v>
      </c>
      <c r="I6" s="90">
        <v>6</v>
      </c>
      <c r="K6" s="36">
        <v>4</v>
      </c>
      <c r="L6" s="95">
        <v>-30.7</v>
      </c>
      <c r="N6" s="111" t="s">
        <v>134</v>
      </c>
      <c r="O6" s="118">
        <f t="shared" si="0"/>
        <v>-1293.5483870967741</v>
      </c>
      <c r="P6" s="115">
        <v>31</v>
      </c>
      <c r="Q6" s="99">
        <v>-40100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0.27272727272727271</v>
      </c>
      <c r="E7" s="59" t="s">
        <v>69</v>
      </c>
      <c r="F7" s="56" t="s">
        <v>24</v>
      </c>
      <c r="G7" s="44">
        <v>18</v>
      </c>
      <c r="H7" s="129">
        <f>IF(B$17=0,0,G7/B$17)</f>
        <v>0.24657534246575341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-2203.7037037037039</v>
      </c>
      <c r="P7" s="116">
        <v>27</v>
      </c>
      <c r="Q7" s="100">
        <v>-59500</v>
      </c>
    </row>
    <row r="8" spans="1:17" x14ac:dyDescent="0.4">
      <c r="A8" s="51" t="s">
        <v>3</v>
      </c>
      <c r="B8" s="44">
        <v>10</v>
      </c>
      <c r="C8" s="37">
        <f t="shared" si="1"/>
        <v>0.30303030303030304</v>
      </c>
      <c r="E8" s="59" t="s">
        <v>70</v>
      </c>
      <c r="F8" s="56" t="s">
        <v>25</v>
      </c>
      <c r="G8" s="44">
        <v>11</v>
      </c>
      <c r="H8" s="129">
        <f>IF(B$17=0,0,G8/B$17)</f>
        <v>0.15068493150684931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0.42424242424242425</v>
      </c>
      <c r="E9" s="59" t="s">
        <v>67</v>
      </c>
      <c r="F9" s="56" t="s">
        <v>23</v>
      </c>
      <c r="G9" s="44">
        <v>10</v>
      </c>
      <c r="H9" s="129">
        <f>IF(B$17=0,0,G9/B$17)</f>
        <v>0.13698630136986301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0.1095890410958904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3.0636363636363639</v>
      </c>
      <c r="P10" s="114">
        <v>11</v>
      </c>
      <c r="Q10" s="102">
        <v>33.700000000000003</v>
      </c>
    </row>
    <row r="11" spans="1:17" x14ac:dyDescent="0.4">
      <c r="A11" s="52" t="s">
        <v>138</v>
      </c>
      <c r="B11" s="45">
        <v>1</v>
      </c>
      <c r="C11" s="38">
        <f t="shared" si="1"/>
        <v>3.0303030303030304E-2</v>
      </c>
      <c r="E11" s="59" t="s">
        <v>83</v>
      </c>
      <c r="F11" s="56" t="s">
        <v>38</v>
      </c>
      <c r="G11" s="44">
        <v>8</v>
      </c>
      <c r="H11" s="129">
        <f>IF(B$17=0,0,G11/B$17)</f>
        <v>0.1095890410958904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-19.425000000000001</v>
      </c>
      <c r="P11" s="115">
        <v>8</v>
      </c>
      <c r="Q11" s="103">
        <v>-155.4</v>
      </c>
    </row>
    <row r="12" spans="1:17" x14ac:dyDescent="0.4">
      <c r="A12" s="53" t="s">
        <v>158</v>
      </c>
      <c r="B12" s="46">
        <v>4</v>
      </c>
      <c r="C12" s="40">
        <f t="shared" si="1"/>
        <v>0.12121212121212122</v>
      </c>
      <c r="E12" s="59" t="s">
        <v>65</v>
      </c>
      <c r="F12" s="56" t="s">
        <v>21</v>
      </c>
      <c r="G12" s="44">
        <v>7</v>
      </c>
      <c r="H12" s="129">
        <f>IF(B$17=0,0,G12/B$17)</f>
        <v>9.5890410958904104E-2</v>
      </c>
      <c r="I12" s="90">
        <v>7</v>
      </c>
      <c r="K12" s="36">
        <v>10</v>
      </c>
      <c r="L12" s="95">
        <v>-32.700000000000003</v>
      </c>
      <c r="N12" s="112" t="s">
        <v>164</v>
      </c>
      <c r="O12" s="122">
        <f>IF(P12=0,0,Q12/P12)</f>
        <v>-4.3857142857142852</v>
      </c>
      <c r="P12" s="116">
        <v>14</v>
      </c>
      <c r="Q12" s="104">
        <v>-61.399999999999991</v>
      </c>
    </row>
    <row r="13" spans="1:17" x14ac:dyDescent="0.4">
      <c r="A13" s="54" t="s">
        <v>121</v>
      </c>
      <c r="B13" s="47">
        <v>48</v>
      </c>
      <c r="C13" s="42">
        <f>IF(B$3=0,0,B13/B$3)</f>
        <v>0.16494845360824742</v>
      </c>
      <c r="E13" s="59" t="s">
        <v>89</v>
      </c>
      <c r="F13" s="56" t="s">
        <v>44</v>
      </c>
      <c r="G13" s="44">
        <v>5</v>
      </c>
      <c r="H13" s="129">
        <f>IF(B$17=0,0,G13/B$17)</f>
        <v>6.8493150684931503E-2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68</v>
      </c>
      <c r="C14" s="37">
        <f>IF(B$3=0,0,B14/B$3)</f>
        <v>0.23367697594501718</v>
      </c>
      <c r="E14" s="59" t="s">
        <v>81</v>
      </c>
      <c r="F14" s="56" t="s">
        <v>36</v>
      </c>
      <c r="G14" s="44">
        <v>4</v>
      </c>
      <c r="H14" s="129">
        <f>IF(B$17=0,0,G14/B$17)</f>
        <v>5.4794520547945202E-2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0.52083333333333337</v>
      </c>
      <c r="E15" s="59" t="s">
        <v>88</v>
      </c>
      <c r="F15" s="56" t="s">
        <v>43</v>
      </c>
      <c r="G15" s="44">
        <v>2</v>
      </c>
      <c r="H15" s="129">
        <f>IF(B$17=0,0,G15/B$17)</f>
        <v>2.7397260273972601E-2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 t="shared" ref="O15:O21" si="2"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24</v>
      </c>
      <c r="C16" s="35">
        <f>IF(B$14=0,0,B16/B$14)</f>
        <v>0.35294117647058826</v>
      </c>
      <c r="E16" s="59" t="s">
        <v>74</v>
      </c>
      <c r="F16" s="56" t="s">
        <v>29</v>
      </c>
      <c r="G16" s="44">
        <v>1</v>
      </c>
      <c r="H16" s="129">
        <f>IF(B$17=0,0,G16/B$17)</f>
        <v>1.3698630136986301E-2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 t="shared" si="2"/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73</v>
      </c>
      <c r="C17" s="35">
        <f>IF(B$3=0,0,B17/B$3)</f>
        <v>0.25085910652920962</v>
      </c>
      <c r="E17" s="59" t="s">
        <v>77</v>
      </c>
      <c r="F17" s="56" t="s">
        <v>32</v>
      </c>
      <c r="G17" s="44">
        <v>1</v>
      </c>
      <c r="H17" s="129">
        <f>IF(B$17=0,0,G17/B$17)</f>
        <v>1.3698630136986301E-2</v>
      </c>
      <c r="I17" s="90">
        <v>2</v>
      </c>
      <c r="K17" s="36">
        <v>15</v>
      </c>
      <c r="L17" s="95">
        <v>-65.2</v>
      </c>
      <c r="N17" s="111" t="s">
        <v>178</v>
      </c>
      <c r="O17" s="121">
        <f t="shared" si="2"/>
        <v>-5.3124999999999991</v>
      </c>
      <c r="P17" s="115">
        <v>8</v>
      </c>
      <c r="Q17" s="103">
        <v>-42.499999999999993</v>
      </c>
    </row>
    <row r="18" spans="1:17" x14ac:dyDescent="0.4">
      <c r="A18" s="51" t="s">
        <v>12</v>
      </c>
      <c r="B18" s="44">
        <v>32</v>
      </c>
      <c r="C18" s="37">
        <f>IF(B$17=0,0,B18/B$17)</f>
        <v>0.43835616438356162</v>
      </c>
      <c r="E18" s="59" t="s">
        <v>86</v>
      </c>
      <c r="F18" s="56" t="s">
        <v>41</v>
      </c>
      <c r="G18" s="44">
        <v>1</v>
      </c>
      <c r="H18" s="129">
        <f>IF(B$17=0,0,G18/B$17)</f>
        <v>1.3698630136986301E-2</v>
      </c>
      <c r="I18" s="90">
        <v>10</v>
      </c>
      <c r="K18" s="36">
        <v>16</v>
      </c>
      <c r="L18" s="95">
        <v>-70.600000000000009</v>
      </c>
      <c r="N18" s="111" t="s">
        <v>179</v>
      </c>
      <c r="O18" s="121">
        <f t="shared" si="2"/>
        <v>-10.390909090909092</v>
      </c>
      <c r="P18" s="115">
        <v>11</v>
      </c>
      <c r="Q18" s="103">
        <v>-114.30000000000001</v>
      </c>
    </row>
    <row r="19" spans="1:17" x14ac:dyDescent="0.4">
      <c r="A19" s="51" t="s">
        <v>11</v>
      </c>
      <c r="B19" s="44">
        <v>41</v>
      </c>
      <c r="C19" s="37">
        <f>IF(B$17=0,0,B19/B$17)</f>
        <v>0.56164383561643838</v>
      </c>
      <c r="E19" s="59" t="s">
        <v>91</v>
      </c>
      <c r="F19" s="56" t="s">
        <v>46</v>
      </c>
      <c r="G19" s="44">
        <v>1</v>
      </c>
      <c r="H19" s="129">
        <f>IF(B$17=0,0,G19/B$17)</f>
        <v>1.3698630136986301E-2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-10.6</v>
      </c>
      <c r="P19" s="115">
        <v>16</v>
      </c>
      <c r="Q19" s="103">
        <v>-169.6</v>
      </c>
    </row>
    <row r="20" spans="1:17" x14ac:dyDescent="0.4">
      <c r="A20" s="51" t="s">
        <v>13</v>
      </c>
      <c r="B20" s="44">
        <v>48</v>
      </c>
      <c r="C20" s="37">
        <f>IF(B$3=0,0,B20/B$3)</f>
        <v>0.16494845360824742</v>
      </c>
      <c r="E20" s="59" t="s">
        <v>93</v>
      </c>
      <c r="F20" s="56" t="s">
        <v>48</v>
      </c>
      <c r="G20" s="44">
        <v>1</v>
      </c>
      <c r="H20" s="129">
        <f>IF(B$17=0,0,G20/B$17)</f>
        <v>1.3698630136986301E-2</v>
      </c>
      <c r="I20" s="90">
        <v>1</v>
      </c>
      <c r="K20" s="36">
        <v>18</v>
      </c>
      <c r="L20" s="95">
        <v>-80.2</v>
      </c>
      <c r="N20" s="111" t="s">
        <v>182</v>
      </c>
      <c r="O20" s="121">
        <f t="shared" si="2"/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-115.1</v>
      </c>
      <c r="N21" s="111" t="s">
        <v>177</v>
      </c>
      <c r="O21" s="121">
        <f t="shared" si="2"/>
        <v>-53.050000000000004</v>
      </c>
      <c r="P21" s="115">
        <v>2</v>
      </c>
      <c r="Q21" s="103">
        <v>-106.10000000000001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7316.4383561643835</v>
      </c>
      <c r="C23" s="39">
        <v>534100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7851.0204081632655</v>
      </c>
      <c r="C24" s="137">
        <v>384700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6225</v>
      </c>
      <c r="C25" s="137">
        <v>149400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-6820.833333333333</v>
      </c>
      <c r="C26" s="137">
        <v>-327400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4">
        <v>3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2">
        <v>86900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6.8728522336769758E-3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71</v>
      </c>
      <c r="C2" s="151"/>
      <c r="E2" s="58" t="s">
        <v>66</v>
      </c>
      <c r="F2" s="55" t="s">
        <v>22</v>
      </c>
      <c r="G2" s="43">
        <v>130</v>
      </c>
      <c r="H2" s="128">
        <f>IF(B$17=0,0,G2/B$17)</f>
        <v>0.67010309278350511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355.71428571428572</v>
      </c>
      <c r="P2" s="114">
        <v>70</v>
      </c>
      <c r="Q2" s="98">
        <v>24900</v>
      </c>
    </row>
    <row r="3" spans="1:17" x14ac:dyDescent="0.4">
      <c r="A3" s="51" t="s">
        <v>8</v>
      </c>
      <c r="B3" s="152">
        <v>581</v>
      </c>
      <c r="C3" s="153"/>
      <c r="E3" s="59" t="s">
        <v>72</v>
      </c>
      <c r="F3" s="56" t="s">
        <v>27</v>
      </c>
      <c r="G3" s="44">
        <v>98</v>
      </c>
      <c r="H3" s="129">
        <f>IF(B$17=0,0,G3/B$17)</f>
        <v>0.50515463917525771</v>
      </c>
      <c r="I3" s="90">
        <v>7</v>
      </c>
      <c r="K3" s="36">
        <v>1</v>
      </c>
      <c r="L3" s="95">
        <v>50.2</v>
      </c>
      <c r="N3" s="111" t="s">
        <v>131</v>
      </c>
      <c r="O3" s="118">
        <f t="shared" si="0"/>
        <v>334.32835820895525</v>
      </c>
      <c r="P3" s="115">
        <v>67</v>
      </c>
      <c r="Q3" s="99">
        <v>22400</v>
      </c>
    </row>
    <row r="4" spans="1:17" x14ac:dyDescent="0.4">
      <c r="A4" s="51" t="s">
        <v>6</v>
      </c>
      <c r="B4" s="154">
        <v>502.09999999999997</v>
      </c>
      <c r="C4" s="155"/>
      <c r="E4" s="59" t="s">
        <v>64</v>
      </c>
      <c r="F4" s="56" t="s">
        <v>20</v>
      </c>
      <c r="G4" s="44">
        <v>81</v>
      </c>
      <c r="H4" s="129">
        <f>IF(B$17=0,0,G4/B$17)</f>
        <v>0.4175257731958763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-240.90909090909091</v>
      </c>
      <c r="P4" s="115">
        <v>66</v>
      </c>
      <c r="Q4" s="99">
        <v>-15900</v>
      </c>
    </row>
    <row r="5" spans="1:17" x14ac:dyDescent="0.4">
      <c r="A5" s="51" t="s">
        <v>7</v>
      </c>
      <c r="B5" s="156">
        <f>IF(B$2=0,0,B$4/B$2)</f>
        <v>7.0718309859154926</v>
      </c>
      <c r="C5" s="157"/>
      <c r="E5" s="59" t="s">
        <v>171</v>
      </c>
      <c r="F5" s="56" t="s">
        <v>172</v>
      </c>
      <c r="G5" s="44">
        <v>64</v>
      </c>
      <c r="H5" s="129">
        <f>IF(B$17=0,0,G5/B$17)</f>
        <v>0.32989690721649484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-627.11864406779659</v>
      </c>
      <c r="P5" s="115">
        <v>59</v>
      </c>
      <c r="Q5" s="99">
        <v>-37000</v>
      </c>
    </row>
    <row r="6" spans="1:17" x14ac:dyDescent="0.4">
      <c r="A6" s="51" t="s">
        <v>1</v>
      </c>
      <c r="B6" s="146">
        <f>IF(B$2=0,0,(B$7*1+B$8*2+B$9*3)/B$2)</f>
        <v>1.8028169014084507</v>
      </c>
      <c r="C6" s="147"/>
      <c r="E6" s="59" t="s">
        <v>68</v>
      </c>
      <c r="F6" s="56" t="s">
        <v>12</v>
      </c>
      <c r="G6" s="44">
        <v>55</v>
      </c>
      <c r="H6" s="129">
        <f>IF(B$17=0,0,G6/B$17)</f>
        <v>0.28350515463917525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3115.7894736842104</v>
      </c>
      <c r="P6" s="115">
        <v>57</v>
      </c>
      <c r="Q6" s="99">
        <v>177600</v>
      </c>
    </row>
    <row r="7" spans="1:17" x14ac:dyDescent="0.4">
      <c r="A7" s="51" t="s">
        <v>2</v>
      </c>
      <c r="B7" s="44">
        <v>32</v>
      </c>
      <c r="C7" s="37">
        <f t="shared" ref="C7:C12" si="1">IF(B$2=0,0,B7/B$2)</f>
        <v>0.45070422535211269</v>
      </c>
      <c r="E7" s="59" t="s">
        <v>67</v>
      </c>
      <c r="F7" s="56" t="s">
        <v>23</v>
      </c>
      <c r="G7" s="44">
        <v>52</v>
      </c>
      <c r="H7" s="129">
        <f>IF(B$17=0,0,G7/B$17)</f>
        <v>0.26804123711340205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3197.8260869565215</v>
      </c>
      <c r="P7" s="116">
        <v>46</v>
      </c>
      <c r="Q7" s="100">
        <v>147100</v>
      </c>
    </row>
    <row r="8" spans="1:17" x14ac:dyDescent="0.4">
      <c r="A8" s="51" t="s">
        <v>3</v>
      </c>
      <c r="B8" s="44">
        <v>21</v>
      </c>
      <c r="C8" s="37">
        <f t="shared" si="1"/>
        <v>0.29577464788732394</v>
      </c>
      <c r="E8" s="59" t="s">
        <v>89</v>
      </c>
      <c r="F8" s="56" t="s">
        <v>44</v>
      </c>
      <c r="G8" s="44">
        <v>34</v>
      </c>
      <c r="H8" s="129">
        <f>IF(B$17=0,0,G8/B$17)</f>
        <v>0.17525773195876287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0.25352112676056338</v>
      </c>
      <c r="E9" s="59" t="s">
        <v>69</v>
      </c>
      <c r="F9" s="56" t="s">
        <v>24</v>
      </c>
      <c r="G9" s="44">
        <v>24</v>
      </c>
      <c r="H9" s="129">
        <f>IF(B$17=0,0,G9/B$17)</f>
        <v>0.12371134020618557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4.2253521126760563E-2</v>
      </c>
      <c r="E10" s="59" t="s">
        <v>65</v>
      </c>
      <c r="F10" s="56" t="s">
        <v>21</v>
      </c>
      <c r="G10" s="44">
        <v>21</v>
      </c>
      <c r="H10" s="129">
        <f>IF(B$17=0,0,G10/B$17)</f>
        <v>0.10824742268041238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8.9176470588235315</v>
      </c>
      <c r="P10" s="114">
        <v>17</v>
      </c>
      <c r="Q10" s="102">
        <v>151.60000000000002</v>
      </c>
    </row>
    <row r="11" spans="1:17" x14ac:dyDescent="0.4">
      <c r="A11" s="52" t="s">
        <v>138</v>
      </c>
      <c r="B11" s="45">
        <v>8</v>
      </c>
      <c r="C11" s="38">
        <f t="shared" si="1"/>
        <v>0.11267605633802817</v>
      </c>
      <c r="E11" s="59" t="s">
        <v>71</v>
      </c>
      <c r="F11" s="56" t="s">
        <v>26</v>
      </c>
      <c r="G11" s="44">
        <v>13</v>
      </c>
      <c r="H11" s="129">
        <f>IF(B$17=0,0,G11/B$17)</f>
        <v>6.7010309278350513E-2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3.5935483870967748</v>
      </c>
      <c r="P11" s="115">
        <v>31</v>
      </c>
      <c r="Q11" s="103">
        <v>111.40000000000002</v>
      </c>
    </row>
    <row r="12" spans="1:17" x14ac:dyDescent="0.4">
      <c r="A12" s="53" t="s">
        <v>158</v>
      </c>
      <c r="B12" s="46">
        <v>9</v>
      </c>
      <c r="C12" s="40">
        <f t="shared" si="1"/>
        <v>0.12676056338028169</v>
      </c>
      <c r="E12" s="59" t="s">
        <v>70</v>
      </c>
      <c r="F12" s="56" t="s">
        <v>25</v>
      </c>
      <c r="G12" s="44">
        <v>11</v>
      </c>
      <c r="H12" s="129">
        <f>IF(B$17=0,0,G12/B$17)</f>
        <v>5.6701030927835051E-2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10.395652173913041</v>
      </c>
      <c r="P12" s="116">
        <v>23</v>
      </c>
      <c r="Q12" s="104">
        <v>239.09999999999994</v>
      </c>
    </row>
    <row r="13" spans="1:17" x14ac:dyDescent="0.4">
      <c r="A13" s="54" t="s">
        <v>121</v>
      </c>
      <c r="B13" s="47">
        <v>146</v>
      </c>
      <c r="C13" s="42">
        <f>IF(B$3=0,0,B13/B$3)</f>
        <v>0.2512908777969019</v>
      </c>
      <c r="E13" s="59" t="s">
        <v>83</v>
      </c>
      <c r="F13" s="56" t="s">
        <v>38</v>
      </c>
      <c r="G13" s="44">
        <v>10</v>
      </c>
      <c r="H13" s="129">
        <f>IF(B$17=0,0,G13/B$17)</f>
        <v>5.1546391752577317E-2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137</v>
      </c>
      <c r="C14" s="37">
        <f>IF(B$3=0,0,B14/B$3)</f>
        <v>0.23580034423407917</v>
      </c>
      <c r="E14" s="59" t="s">
        <v>86</v>
      </c>
      <c r="F14" s="56" t="s">
        <v>41</v>
      </c>
      <c r="G14" s="44">
        <v>8</v>
      </c>
      <c r="H14" s="129">
        <f>IF(B$17=0,0,G14/B$17)</f>
        <v>4.1237113402061855E-2</v>
      </c>
      <c r="I14" s="90">
        <v>7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88</v>
      </c>
      <c r="C15" s="35">
        <f>IF(B$13=0,0,B15/B$13)</f>
        <v>0.60273972602739723</v>
      </c>
      <c r="E15" s="59" t="s">
        <v>167</v>
      </c>
      <c r="F15" s="56" t="s">
        <v>168</v>
      </c>
      <c r="G15" s="44">
        <v>7</v>
      </c>
      <c r="H15" s="129">
        <f>IF(B$17=0,0,G15/B$17)</f>
        <v>3.608247422680412E-2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66</v>
      </c>
      <c r="C16" s="35">
        <f>IF(B$14=0,0,B16/B$14)</f>
        <v>0.48175182481751827</v>
      </c>
      <c r="E16" s="59" t="s">
        <v>78</v>
      </c>
      <c r="F16" s="56" t="s">
        <v>33</v>
      </c>
      <c r="G16" s="44">
        <v>5</v>
      </c>
      <c r="H16" s="129">
        <f>IF(B$17=0,0,G16/B$17)</f>
        <v>2.5773195876288658E-2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32.228571428571421</v>
      </c>
      <c r="P16" s="115">
        <v>7</v>
      </c>
      <c r="Q16" s="103">
        <v>225.59999999999994</v>
      </c>
    </row>
    <row r="17" spans="1:17" x14ac:dyDescent="0.4">
      <c r="A17" s="50" t="s">
        <v>10</v>
      </c>
      <c r="B17" s="43">
        <f>B19+B18</f>
        <v>194</v>
      </c>
      <c r="C17" s="35">
        <f>IF(B$3=0,0,B17/B$3)</f>
        <v>0.33390705679862304</v>
      </c>
      <c r="E17" s="59" t="s">
        <v>77</v>
      </c>
      <c r="F17" s="56" t="s">
        <v>32</v>
      </c>
      <c r="G17" s="44">
        <v>3</v>
      </c>
      <c r="H17" s="129">
        <f>IF(B$17=0,0,G17/B$17)</f>
        <v>1.5463917525773196E-2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18.563157894736854</v>
      </c>
      <c r="P17" s="115">
        <v>19</v>
      </c>
      <c r="Q17" s="103">
        <v>352.70000000000022</v>
      </c>
    </row>
    <row r="18" spans="1:17" x14ac:dyDescent="0.4">
      <c r="A18" s="51" t="s">
        <v>12</v>
      </c>
      <c r="B18" s="44">
        <v>82</v>
      </c>
      <c r="C18" s="37">
        <f>IF(B$17=0,0,B18/B$17)</f>
        <v>0.42268041237113402</v>
      </c>
      <c r="E18" s="59" t="s">
        <v>84</v>
      </c>
      <c r="F18" s="56" t="s">
        <v>39</v>
      </c>
      <c r="G18" s="44">
        <v>3</v>
      </c>
      <c r="H18" s="129">
        <f>IF(B$17=0,0,G18/B$17)</f>
        <v>1.5463917525773196E-2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16.326923076923077</v>
      </c>
      <c r="P18" s="115">
        <v>26</v>
      </c>
      <c r="Q18" s="103">
        <v>424.5</v>
      </c>
    </row>
    <row r="19" spans="1:17" x14ac:dyDescent="0.4">
      <c r="A19" s="51" t="s">
        <v>11</v>
      </c>
      <c r="B19" s="44">
        <v>112</v>
      </c>
      <c r="C19" s="37">
        <f>IF(B$17=0,0,B19/B$17)</f>
        <v>0.57731958762886593</v>
      </c>
      <c r="E19" s="59" t="s">
        <v>88</v>
      </c>
      <c r="F19" s="56" t="s">
        <v>43</v>
      </c>
      <c r="G19" s="44">
        <v>2</v>
      </c>
      <c r="H19" s="129">
        <f>IF(B$17=0,0,G19/B$17)</f>
        <v>1.0309278350515464E-2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7.8770833333333341</v>
      </c>
      <c r="P19" s="115">
        <v>48</v>
      </c>
      <c r="Q19" s="103">
        <v>378.1</v>
      </c>
    </row>
    <row r="20" spans="1:17" x14ac:dyDescent="0.4">
      <c r="A20" s="51" t="s">
        <v>13</v>
      </c>
      <c r="B20" s="44">
        <v>83</v>
      </c>
      <c r="C20" s="37">
        <f>IF(B$3=0,0,B20/B$3)</f>
        <v>0.14285714285714285</v>
      </c>
      <c r="E20" s="59" t="s">
        <v>92</v>
      </c>
      <c r="F20" s="56" t="s">
        <v>47</v>
      </c>
      <c r="G20" s="44">
        <v>2</v>
      </c>
      <c r="H20" s="129">
        <f>IF(B$17=0,0,G20/B$17)</f>
        <v>1.0309278350515464E-2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5.1546391752577319E-3</v>
      </c>
      <c r="I21" s="90">
        <v>4</v>
      </c>
      <c r="K21" s="36">
        <v>19</v>
      </c>
      <c r="L21" s="95">
        <v>383.19999999999993</v>
      </c>
      <c r="N21" s="111" t="s">
        <v>177</v>
      </c>
      <c r="O21" s="121">
        <f>IF(P21=0,0,Q21/P21)</f>
        <v>-4.9266666666666667</v>
      </c>
      <c r="P21" s="115">
        <v>15</v>
      </c>
      <c r="Q21" s="103">
        <v>-73.900000000000006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75</v>
      </c>
      <c r="F22" s="56" t="s">
        <v>30</v>
      </c>
      <c r="G22" s="44">
        <v>1</v>
      </c>
      <c r="H22" s="129">
        <f>IF(B$17=0,0,G22/B$17)</f>
        <v>5.1546391752577319E-3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7860.3092783505153</v>
      </c>
      <c r="C23" s="39">
        <v>1524900</v>
      </c>
      <c r="E23" s="59" t="s">
        <v>79</v>
      </c>
      <c r="F23" s="56" t="s">
        <v>34</v>
      </c>
      <c r="G23" s="44">
        <v>1</v>
      </c>
      <c r="H23" s="129">
        <f>IF(B$17=0,0,G23/B$17)</f>
        <v>5.1546391752577319E-3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7747.65625</v>
      </c>
      <c r="C24" s="137">
        <v>991700</v>
      </c>
      <c r="E24" s="59" t="s">
        <v>81</v>
      </c>
      <c r="F24" s="56" t="s">
        <v>36</v>
      </c>
      <c r="G24" s="44">
        <v>1</v>
      </c>
      <c r="H24" s="129">
        <f>IF(B$17=0,0,G24/B$17)</f>
        <v>5.1546391752577319E-3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8078.787878787879</v>
      </c>
      <c r="C25" s="137">
        <v>533200</v>
      </c>
      <c r="E25" s="59" t="s">
        <v>85</v>
      </c>
      <c r="F25" s="56" t="s">
        <v>40</v>
      </c>
      <c r="G25" s="44">
        <v>1</v>
      </c>
      <c r="H25" s="129">
        <f>IF(B$17=0,0,G25/B$17)</f>
        <v>5.1546391752577319E-3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-7468.674698795181</v>
      </c>
      <c r="C26" s="137">
        <v>-619900</v>
      </c>
      <c r="E26" s="59" t="s">
        <v>90</v>
      </c>
      <c r="F26" s="56" t="s">
        <v>45</v>
      </c>
      <c r="G26" s="44">
        <v>1</v>
      </c>
      <c r="H26" s="129">
        <f>IF(B$17=0,0,G26/B$17)</f>
        <v>5.1546391752577319E-3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4">
        <v>7</v>
      </c>
      <c r="C27" s="145"/>
      <c r="E27" s="59" t="s">
        <v>91</v>
      </c>
      <c r="F27" s="56" t="s">
        <v>46</v>
      </c>
      <c r="G27" s="44">
        <v>1</v>
      </c>
      <c r="H27" s="129">
        <f>IF(B$17=0,0,G27/B$17)</f>
        <v>5.1546391752577319E-3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2">
        <v>86200</v>
      </c>
      <c r="C28" s="143"/>
      <c r="E28" s="59" t="s">
        <v>95</v>
      </c>
      <c r="F28" s="56" t="s">
        <v>50</v>
      </c>
      <c r="G28" s="44">
        <v>1</v>
      </c>
      <c r="H28" s="129">
        <f>IF(B$17=0,0,G28/B$17)</f>
        <v>5.1546391752577319E-3</v>
      </c>
      <c r="I28" s="90">
        <v>1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1.7211703958691911E-3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</sheetData>
  <sortState xmlns:xlrd2="http://schemas.microsoft.com/office/spreadsheetml/2017/richdata2" ref="E2:I7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179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40</v>
      </c>
      <c r="C2" s="151"/>
      <c r="E2" s="58" t="s">
        <v>66</v>
      </c>
      <c r="F2" s="55" t="s">
        <v>22</v>
      </c>
      <c r="G2" s="43">
        <v>70</v>
      </c>
      <c r="H2" s="128">
        <f>IF(B$17=0,0,G2/B$17)</f>
        <v>0.7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146.15384615384616</v>
      </c>
      <c r="P2" s="114">
        <v>39</v>
      </c>
      <c r="Q2" s="98">
        <v>5700</v>
      </c>
    </row>
    <row r="3" spans="1:17" x14ac:dyDescent="0.4">
      <c r="A3" s="51" t="s">
        <v>8</v>
      </c>
      <c r="B3" s="152">
        <v>350</v>
      </c>
      <c r="C3" s="153"/>
      <c r="E3" s="59" t="s">
        <v>64</v>
      </c>
      <c r="F3" s="56" t="s">
        <v>20</v>
      </c>
      <c r="G3" s="44">
        <v>60</v>
      </c>
      <c r="H3" s="129">
        <f>IF(B$17=0,0,G3/B$17)</f>
        <v>0.6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-1407.6923076923076</v>
      </c>
      <c r="P3" s="115">
        <v>39</v>
      </c>
      <c r="Q3" s="99">
        <v>-54900</v>
      </c>
    </row>
    <row r="4" spans="1:17" x14ac:dyDescent="0.4">
      <c r="A4" s="51" t="s">
        <v>6</v>
      </c>
      <c r="B4" s="154">
        <v>-268.39999999999998</v>
      </c>
      <c r="C4" s="155"/>
      <c r="E4" s="59" t="s">
        <v>72</v>
      </c>
      <c r="F4" s="56" t="s">
        <v>27</v>
      </c>
      <c r="G4" s="44">
        <v>50</v>
      </c>
      <c r="H4" s="129">
        <f>IF(B$17=0,0,G4/B$17)</f>
        <v>0.5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1864.8648648648648</v>
      </c>
      <c r="P4" s="115">
        <v>37</v>
      </c>
      <c r="Q4" s="99">
        <v>69000</v>
      </c>
    </row>
    <row r="5" spans="1:17" x14ac:dyDescent="0.4">
      <c r="A5" s="51" t="s">
        <v>7</v>
      </c>
      <c r="B5" s="156">
        <f>IF(B$2=0,0,B$4/B$2)</f>
        <v>-6.7099999999999991</v>
      </c>
      <c r="C5" s="157"/>
      <c r="E5" s="59" t="s">
        <v>171</v>
      </c>
      <c r="F5" s="56" t="s">
        <v>172</v>
      </c>
      <c r="G5" s="44">
        <v>36</v>
      </c>
      <c r="H5" s="129">
        <f>IF(B$17=0,0,G5/B$17)</f>
        <v>0.36</v>
      </c>
      <c r="I5" s="90">
        <v>6</v>
      </c>
      <c r="K5" s="36">
        <v>3</v>
      </c>
      <c r="L5" s="95">
        <v>-17.599999999999998</v>
      </c>
      <c r="N5" s="111" t="s">
        <v>133</v>
      </c>
      <c r="O5" s="118">
        <f t="shared" si="0"/>
        <v>-1711.4285714285713</v>
      </c>
      <c r="P5" s="115">
        <v>35</v>
      </c>
      <c r="Q5" s="99">
        <v>-59900</v>
      </c>
    </row>
    <row r="6" spans="1:17" x14ac:dyDescent="0.4">
      <c r="A6" s="51" t="s">
        <v>1</v>
      </c>
      <c r="B6" s="146">
        <f>IF(B$2=0,0,(B$7*1+B$8*2+B$9*3)/B$2)</f>
        <v>2.2000000000000002</v>
      </c>
      <c r="C6" s="147"/>
      <c r="E6" s="59" t="s">
        <v>68</v>
      </c>
      <c r="F6" s="56" t="s">
        <v>12</v>
      </c>
      <c r="G6" s="44">
        <v>31</v>
      </c>
      <c r="H6" s="129">
        <f>IF(B$17=0,0,G6/B$17)</f>
        <v>0.31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-3194.1176470588234</v>
      </c>
      <c r="P6" s="115">
        <v>34</v>
      </c>
      <c r="Q6" s="99">
        <v>-108600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0.22500000000000001</v>
      </c>
      <c r="E7" s="59" t="s">
        <v>67</v>
      </c>
      <c r="F7" s="56" t="s">
        <v>23</v>
      </c>
      <c r="G7" s="44">
        <v>30</v>
      </c>
      <c r="H7" s="129">
        <f>IF(B$17=0,0,G7/B$17)</f>
        <v>0.3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-2520</v>
      </c>
      <c r="P7" s="116">
        <v>30</v>
      </c>
      <c r="Q7" s="100">
        <v>-75600</v>
      </c>
    </row>
    <row r="8" spans="1:17" x14ac:dyDescent="0.4">
      <c r="A8" s="51" t="s">
        <v>3</v>
      </c>
      <c r="B8" s="44">
        <v>14</v>
      </c>
      <c r="C8" s="37">
        <f t="shared" si="1"/>
        <v>0.35</v>
      </c>
      <c r="E8" s="59" t="s">
        <v>70</v>
      </c>
      <c r="F8" s="56" t="s">
        <v>25</v>
      </c>
      <c r="G8" s="44">
        <v>16</v>
      </c>
      <c r="H8" s="129">
        <f>IF(B$17=0,0,G8/B$17)</f>
        <v>0.16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0.42499999999999999</v>
      </c>
      <c r="E9" s="59" t="s">
        <v>69</v>
      </c>
      <c r="F9" s="56" t="s">
        <v>24</v>
      </c>
      <c r="G9" s="44">
        <v>14</v>
      </c>
      <c r="H9" s="129">
        <f>IF(B$17=0,0,G9/B$17)</f>
        <v>0.14000000000000001</v>
      </c>
      <c r="I9" s="90">
        <v>4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0.05</v>
      </c>
      <c r="E10" s="59" t="s">
        <v>65</v>
      </c>
      <c r="F10" s="56" t="s">
        <v>21</v>
      </c>
      <c r="G10" s="44">
        <v>11</v>
      </c>
      <c r="H10" s="129">
        <f>IF(B$17=0,0,G10/B$17)</f>
        <v>0.11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2.7533333333333321</v>
      </c>
      <c r="P10" s="114">
        <v>15</v>
      </c>
      <c r="Q10" s="102">
        <v>41.299999999999983</v>
      </c>
    </row>
    <row r="11" spans="1:17" x14ac:dyDescent="0.4">
      <c r="A11" s="52" t="s">
        <v>138</v>
      </c>
      <c r="B11" s="45">
        <v>2</v>
      </c>
      <c r="C11" s="38">
        <f t="shared" si="1"/>
        <v>0.05</v>
      </c>
      <c r="E11" s="59" t="s">
        <v>89</v>
      </c>
      <c r="F11" s="56" t="s">
        <v>44</v>
      </c>
      <c r="G11" s="44">
        <v>8</v>
      </c>
      <c r="H11" s="129">
        <f>IF(B$17=0,0,G11/B$17)</f>
        <v>0.08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-10.75</v>
      </c>
      <c r="P11" s="115">
        <v>12</v>
      </c>
      <c r="Q11" s="103">
        <v>-129</v>
      </c>
    </row>
    <row r="12" spans="1:17" x14ac:dyDescent="0.4">
      <c r="A12" s="53" t="s">
        <v>158</v>
      </c>
      <c r="B12" s="46">
        <v>3</v>
      </c>
      <c r="C12" s="40">
        <f t="shared" si="1"/>
        <v>7.4999999999999997E-2</v>
      </c>
      <c r="E12" s="59" t="s">
        <v>83</v>
      </c>
      <c r="F12" s="56" t="s">
        <v>38</v>
      </c>
      <c r="G12" s="44">
        <v>7</v>
      </c>
      <c r="H12" s="129">
        <f>IF(B$17=0,0,G12/B$17)</f>
        <v>7.0000000000000007E-2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-13.899999999999999</v>
      </c>
      <c r="P12" s="116">
        <v>13</v>
      </c>
      <c r="Q12" s="104">
        <v>-180.7</v>
      </c>
    </row>
    <row r="13" spans="1:17" x14ac:dyDescent="0.4">
      <c r="A13" s="54" t="s">
        <v>121</v>
      </c>
      <c r="B13" s="47">
        <v>102</v>
      </c>
      <c r="C13" s="42">
        <f>IF(B$3=0,0,B13/B$3)</f>
        <v>0.29142857142857143</v>
      </c>
      <c r="E13" s="59" t="s">
        <v>71</v>
      </c>
      <c r="F13" s="56" t="s">
        <v>26</v>
      </c>
      <c r="G13" s="44">
        <v>5</v>
      </c>
      <c r="H13" s="129">
        <f>IF(B$17=0,0,G13/B$17)</f>
        <v>0.05</v>
      </c>
      <c r="I13" s="90">
        <v>10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59</v>
      </c>
      <c r="C14" s="37">
        <f>IF(B$3=0,0,B14/B$3)</f>
        <v>0.16857142857142857</v>
      </c>
      <c r="E14" s="59" t="s">
        <v>86</v>
      </c>
      <c r="F14" s="56" t="s">
        <v>41</v>
      </c>
      <c r="G14" s="44">
        <v>3</v>
      </c>
      <c r="H14" s="129">
        <f>IF(B$17=0,0,G14/B$17)</f>
        <v>0.03</v>
      </c>
      <c r="I14" s="90">
        <v>9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61</v>
      </c>
      <c r="C15" s="35">
        <f>IF(B$13=0,0,B15/B$13)</f>
        <v>0.59803921568627449</v>
      </c>
      <c r="E15" s="59" t="s">
        <v>75</v>
      </c>
      <c r="F15" s="56" t="s">
        <v>30</v>
      </c>
      <c r="G15" s="44">
        <v>2</v>
      </c>
      <c r="H15" s="129">
        <f>IF(B$17=0,0,G15/B$17)</f>
        <v>0.02</v>
      </c>
      <c r="I15" s="90">
        <v>2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25</v>
      </c>
      <c r="C16" s="35">
        <f>IF(B$14=0,0,B16/B$14)</f>
        <v>0.42372881355932202</v>
      </c>
      <c r="E16" s="59" t="s">
        <v>78</v>
      </c>
      <c r="F16" s="56" t="s">
        <v>33</v>
      </c>
      <c r="G16" s="44">
        <v>2</v>
      </c>
      <c r="H16" s="129">
        <f>IF(B$17=0,0,G16/B$17)</f>
        <v>0.02</v>
      </c>
      <c r="I16" s="90">
        <v>7</v>
      </c>
      <c r="K16" s="36">
        <v>14</v>
      </c>
      <c r="L16" s="95">
        <v>-204.8</v>
      </c>
      <c r="N16" s="111" t="s">
        <v>166</v>
      </c>
      <c r="O16" s="121">
        <f t="shared" si="2"/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100</v>
      </c>
      <c r="C17" s="35">
        <f>IF(B$3=0,0,B17/B$3)</f>
        <v>0.2857142857142857</v>
      </c>
      <c r="E17" s="59" t="s">
        <v>79</v>
      </c>
      <c r="F17" s="56" t="s">
        <v>34</v>
      </c>
      <c r="G17" s="44">
        <v>2</v>
      </c>
      <c r="H17" s="129">
        <f>IF(B$17=0,0,G17/B$17)</f>
        <v>0.02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42</v>
      </c>
      <c r="C18" s="37">
        <f>IF(B$17=0,0,B18/B$17)</f>
        <v>0.42</v>
      </c>
      <c r="E18" s="59" t="s">
        <v>81</v>
      </c>
      <c r="F18" s="56" t="s">
        <v>36</v>
      </c>
      <c r="G18" s="44">
        <v>2</v>
      </c>
      <c r="H18" s="129">
        <f>IF(B$17=0,0,G18/B$17)</f>
        <v>0.02</v>
      </c>
      <c r="I18" s="90">
        <v>5</v>
      </c>
      <c r="K18" s="36">
        <v>16</v>
      </c>
      <c r="L18" s="95">
        <v>-224.3</v>
      </c>
      <c r="N18" s="111" t="s">
        <v>127</v>
      </c>
      <c r="O18" s="121">
        <f t="shared" si="2"/>
        <v>-7.0857142857142863</v>
      </c>
      <c r="P18" s="115">
        <v>21</v>
      </c>
      <c r="Q18" s="103">
        <v>-148.80000000000001</v>
      </c>
    </row>
    <row r="19" spans="1:17" x14ac:dyDescent="0.4">
      <c r="A19" s="51" t="s">
        <v>11</v>
      </c>
      <c r="B19" s="44">
        <v>58</v>
      </c>
      <c r="C19" s="37">
        <f>IF(B$17=0,0,B19/B$17)</f>
        <v>0.57999999999999996</v>
      </c>
      <c r="E19" s="59" t="s">
        <v>91</v>
      </c>
      <c r="F19" s="56" t="s">
        <v>46</v>
      </c>
      <c r="G19" s="44">
        <v>1</v>
      </c>
      <c r="H19" s="129">
        <f>IF(B$17=0,0,G19/B$17)</f>
        <v>0.01</v>
      </c>
      <c r="I19" s="90">
        <v>5</v>
      </c>
      <c r="K19" s="36">
        <v>17</v>
      </c>
      <c r="L19" s="95">
        <v>-251.4</v>
      </c>
      <c r="N19" s="111" t="s">
        <v>177</v>
      </c>
      <c r="O19" s="121">
        <f t="shared" si="2"/>
        <v>-8.1333333333333329</v>
      </c>
      <c r="P19" s="115">
        <v>3</v>
      </c>
      <c r="Q19" s="103">
        <v>-24.4</v>
      </c>
    </row>
    <row r="20" spans="1:17" x14ac:dyDescent="0.4">
      <c r="A20" s="51" t="s">
        <v>13</v>
      </c>
      <c r="B20" s="44">
        <v>69</v>
      </c>
      <c r="C20" s="37">
        <f>IF(B$3=0,0,B20/B$3)</f>
        <v>0.19714285714285715</v>
      </c>
      <c r="E20" s="59" t="s">
        <v>167</v>
      </c>
      <c r="F20" s="56" t="s">
        <v>168</v>
      </c>
      <c r="G20" s="44">
        <v>1</v>
      </c>
      <c r="H20" s="129">
        <f>IF(B$17=0,0,G20/B$17)</f>
        <v>0.01</v>
      </c>
      <c r="I20" s="90">
        <v>6</v>
      </c>
      <c r="K20" s="36">
        <v>18</v>
      </c>
      <c r="L20" s="95">
        <v>-240</v>
      </c>
      <c r="N20" s="111" t="s">
        <v>126</v>
      </c>
      <c r="O20" s="121">
        <f t="shared" si="2"/>
        <v>-16.32692307692308</v>
      </c>
      <c r="P20" s="115">
        <v>26</v>
      </c>
      <c r="Q20" s="103">
        <v>-424.50000000000006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 t="shared" si="2"/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7463</v>
      </c>
      <c r="C23" s="39">
        <v>746300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8034.666666666667</v>
      </c>
      <c r="C24" s="137">
        <v>602600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5748</v>
      </c>
      <c r="C25" s="137">
        <v>143700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-7313.04347826087</v>
      </c>
      <c r="C26" s="137">
        <v>-504600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2">
        <v>69300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5.7142857142857143E-3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6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67</v>
      </c>
      <c r="C2" s="151"/>
      <c r="E2" s="58" t="s">
        <v>66</v>
      </c>
      <c r="F2" s="55" t="s">
        <v>22</v>
      </c>
      <c r="G2" s="43">
        <v>169</v>
      </c>
      <c r="H2" s="128">
        <f>IF(B$17=0,0,G2/B$17)</f>
        <v>0.91351351351351351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-1500</v>
      </c>
      <c r="P2" s="114">
        <v>66</v>
      </c>
      <c r="Q2" s="98">
        <v>-99000</v>
      </c>
    </row>
    <row r="3" spans="1:17" x14ac:dyDescent="0.4">
      <c r="A3" s="51" t="s">
        <v>8</v>
      </c>
      <c r="B3" s="152">
        <v>580</v>
      </c>
      <c r="C3" s="153"/>
      <c r="E3" s="59" t="s">
        <v>72</v>
      </c>
      <c r="F3" s="56" t="s">
        <v>27</v>
      </c>
      <c r="G3" s="44">
        <v>104</v>
      </c>
      <c r="H3" s="129">
        <f>IF(B$17=0,0,G3/B$17)</f>
        <v>0.56216216216216219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1462.5</v>
      </c>
      <c r="P3" s="115">
        <v>64</v>
      </c>
      <c r="Q3" s="99">
        <v>93600</v>
      </c>
    </row>
    <row r="4" spans="1:17" x14ac:dyDescent="0.4">
      <c r="A4" s="51" t="s">
        <v>6</v>
      </c>
      <c r="B4" s="154">
        <v>315.7999999999999</v>
      </c>
      <c r="C4" s="155"/>
      <c r="E4" s="59" t="s">
        <v>171</v>
      </c>
      <c r="F4" s="56" t="s">
        <v>172</v>
      </c>
      <c r="G4" s="44">
        <v>82</v>
      </c>
      <c r="H4" s="129">
        <f>IF(B$17=0,0,G4/B$17)</f>
        <v>0.44324324324324327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501.63934426229508</v>
      </c>
      <c r="P4" s="115">
        <v>61</v>
      </c>
      <c r="Q4" s="99">
        <v>30600</v>
      </c>
    </row>
    <row r="5" spans="1:17" x14ac:dyDescent="0.4">
      <c r="A5" s="51" t="s">
        <v>7</v>
      </c>
      <c r="B5" s="156">
        <f>IF(B$2=0,0,B$4/B$2)</f>
        <v>4.7134328358208943</v>
      </c>
      <c r="C5" s="157"/>
      <c r="E5" s="59" t="s">
        <v>64</v>
      </c>
      <c r="F5" s="56" t="s">
        <v>20</v>
      </c>
      <c r="G5" s="44">
        <v>75</v>
      </c>
      <c r="H5" s="129">
        <f>IF(B$17=0,0,G5/B$17)</f>
        <v>0.40540540540540543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3178.9473684210525</v>
      </c>
      <c r="P5" s="115">
        <v>57</v>
      </c>
      <c r="Q5" s="99">
        <v>181200</v>
      </c>
    </row>
    <row r="6" spans="1:17" x14ac:dyDescent="0.4">
      <c r="A6" s="51" t="s">
        <v>1</v>
      </c>
      <c r="B6" s="146">
        <f>IF(B$2=0,0,(B$7*1+B$8*2+B$9*3)/B$2)</f>
        <v>1.8507462686567164</v>
      </c>
      <c r="C6" s="147"/>
      <c r="E6" s="59" t="s">
        <v>68</v>
      </c>
      <c r="F6" s="56" t="s">
        <v>12</v>
      </c>
      <c r="G6" s="44">
        <v>50</v>
      </c>
      <c r="H6" s="129">
        <f>IF(B$17=0,0,G6/B$17)</f>
        <v>0.27027027027027029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-453.7037037037037</v>
      </c>
      <c r="P6" s="115">
        <v>54</v>
      </c>
      <c r="Q6" s="99">
        <v>-24500</v>
      </c>
    </row>
    <row r="7" spans="1:17" x14ac:dyDescent="0.4">
      <c r="A7" s="51" t="s">
        <v>2</v>
      </c>
      <c r="B7" s="44">
        <v>29</v>
      </c>
      <c r="C7" s="37">
        <f t="shared" ref="C7:C12" si="1">IF(B$2=0,0,B7/B$2)</f>
        <v>0.43283582089552236</v>
      </c>
      <c r="E7" s="59" t="s">
        <v>67</v>
      </c>
      <c r="F7" s="56" t="s">
        <v>23</v>
      </c>
      <c r="G7" s="44">
        <v>46</v>
      </c>
      <c r="H7" s="129">
        <f>IF(B$17=0,0,G7/B$17)</f>
        <v>0.24864864864864866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1847.7272727272727</v>
      </c>
      <c r="P7" s="116">
        <v>44</v>
      </c>
      <c r="Q7" s="100">
        <v>81300</v>
      </c>
    </row>
    <row r="8" spans="1:17" x14ac:dyDescent="0.4">
      <c r="A8" s="51" t="s">
        <v>3</v>
      </c>
      <c r="B8" s="44">
        <v>19</v>
      </c>
      <c r="C8" s="37">
        <f t="shared" si="1"/>
        <v>0.28358208955223879</v>
      </c>
      <c r="E8" s="59" t="s">
        <v>89</v>
      </c>
      <c r="F8" s="56" t="s">
        <v>44</v>
      </c>
      <c r="G8" s="44">
        <v>23</v>
      </c>
      <c r="H8" s="129">
        <f>IF(B$17=0,0,G8/B$17)</f>
        <v>0.12432432432432433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0.28358208955223879</v>
      </c>
      <c r="E9" s="59" t="s">
        <v>69</v>
      </c>
      <c r="F9" s="56" t="s">
        <v>24</v>
      </c>
      <c r="G9" s="44">
        <v>21</v>
      </c>
      <c r="H9" s="129">
        <f>IF(B$17=0,0,G9/B$17)</f>
        <v>0.11351351351351352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10</v>
      </c>
      <c r="C10" s="38">
        <f t="shared" si="1"/>
        <v>0.14925373134328357</v>
      </c>
      <c r="E10" s="59" t="s">
        <v>65</v>
      </c>
      <c r="F10" s="56" t="s">
        <v>21</v>
      </c>
      <c r="G10" s="44">
        <v>16</v>
      </c>
      <c r="H10" s="129">
        <f>IF(B$17=0,0,G10/B$17)</f>
        <v>8.6486486486486491E-2</v>
      </c>
      <c r="I10" s="90">
        <v>9</v>
      </c>
      <c r="K10" s="36">
        <v>8</v>
      </c>
      <c r="L10" s="95">
        <v>-56.79999999999999</v>
      </c>
      <c r="N10" s="110" t="s">
        <v>162</v>
      </c>
      <c r="O10" s="120">
        <f>IF(P10=0,0,Q10/P10)</f>
        <v>7.541176470588236</v>
      </c>
      <c r="P10" s="114">
        <v>17</v>
      </c>
      <c r="Q10" s="102">
        <v>128.20000000000002</v>
      </c>
    </row>
    <row r="11" spans="1:17" x14ac:dyDescent="0.4">
      <c r="A11" s="52" t="s">
        <v>138</v>
      </c>
      <c r="B11" s="45">
        <v>8</v>
      </c>
      <c r="C11" s="38">
        <f t="shared" si="1"/>
        <v>0.11940298507462686</v>
      </c>
      <c r="E11" s="59" t="s">
        <v>71</v>
      </c>
      <c r="F11" s="56" t="s">
        <v>26</v>
      </c>
      <c r="G11" s="44">
        <v>16</v>
      </c>
      <c r="H11" s="129">
        <f>IF(B$17=0,0,G11/B$17)</f>
        <v>8.6486486486486491E-2</v>
      </c>
      <c r="I11" s="90">
        <v>5</v>
      </c>
      <c r="K11" s="36">
        <v>9</v>
      </c>
      <c r="L11" s="95">
        <v>-83.699999999999989</v>
      </c>
      <c r="N11" s="111" t="s">
        <v>163</v>
      </c>
      <c r="O11" s="121">
        <f>IF(P11=0,0,Q11/P11)</f>
        <v>10.38421052631579</v>
      </c>
      <c r="P11" s="115">
        <v>19</v>
      </c>
      <c r="Q11" s="103">
        <v>197.3</v>
      </c>
    </row>
    <row r="12" spans="1:17" x14ac:dyDescent="0.4">
      <c r="A12" s="53" t="s">
        <v>158</v>
      </c>
      <c r="B12" s="46">
        <v>15</v>
      </c>
      <c r="C12" s="40">
        <f t="shared" si="1"/>
        <v>0.22388059701492538</v>
      </c>
      <c r="E12" s="59" t="s">
        <v>70</v>
      </c>
      <c r="F12" s="56" t="s">
        <v>25</v>
      </c>
      <c r="G12" s="44">
        <v>15</v>
      </c>
      <c r="H12" s="129">
        <f>IF(B$17=0,0,G12/B$17)</f>
        <v>8.1081081081081086E-2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-0.3129032258064523</v>
      </c>
      <c r="P12" s="116">
        <v>31</v>
      </c>
      <c r="Q12" s="104">
        <v>-9.7000000000000206</v>
      </c>
    </row>
    <row r="13" spans="1:17" x14ac:dyDescent="0.4">
      <c r="A13" s="54" t="s">
        <v>121</v>
      </c>
      <c r="B13" s="47">
        <v>132</v>
      </c>
      <c r="C13" s="42">
        <f>IF(B$3=0,0,B13/B$3)</f>
        <v>0.22758620689655173</v>
      </c>
      <c r="E13" s="59" t="s">
        <v>86</v>
      </c>
      <c r="F13" s="56" t="s">
        <v>41</v>
      </c>
      <c r="G13" s="44">
        <v>11</v>
      </c>
      <c r="H13" s="129">
        <f>IF(B$17=0,0,G13/B$17)</f>
        <v>5.9459459459459463E-2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187</v>
      </c>
      <c r="C14" s="37">
        <f>IF(B$3=0,0,B14/B$3)</f>
        <v>0.32241379310344825</v>
      </c>
      <c r="E14" s="59" t="s">
        <v>83</v>
      </c>
      <c r="F14" s="56" t="s">
        <v>38</v>
      </c>
      <c r="G14" s="44">
        <v>10</v>
      </c>
      <c r="H14" s="129">
        <f>IF(B$17=0,0,G14/B$17)</f>
        <v>5.4054054054054057E-2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73</v>
      </c>
      <c r="C15" s="35">
        <f>IF(B$13=0,0,B15/B$13)</f>
        <v>0.55303030303030298</v>
      </c>
      <c r="E15" s="59" t="s">
        <v>91</v>
      </c>
      <c r="F15" s="56" t="s">
        <v>46</v>
      </c>
      <c r="G15" s="44">
        <v>7</v>
      </c>
      <c r="H15" s="129">
        <f>IF(B$17=0,0,G15/B$17)</f>
        <v>3.783783783783784E-2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74</v>
      </c>
      <c r="C16" s="35">
        <f>IF(B$14=0,0,B16/B$14)</f>
        <v>0.39572192513368987</v>
      </c>
      <c r="E16" s="59" t="s">
        <v>78</v>
      </c>
      <c r="F16" s="56" t="s">
        <v>33</v>
      </c>
      <c r="G16" s="44">
        <v>5</v>
      </c>
      <c r="H16" s="129">
        <f>IF(B$17=0,0,G16/B$17)</f>
        <v>2.7027027027027029E-2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52.783333333333331</v>
      </c>
      <c r="P16" s="115">
        <v>6</v>
      </c>
      <c r="Q16" s="103">
        <v>316.7</v>
      </c>
    </row>
    <row r="17" spans="1:17" x14ac:dyDescent="0.4">
      <c r="A17" s="50" t="s">
        <v>10</v>
      </c>
      <c r="B17" s="43">
        <f>B19+B18</f>
        <v>185</v>
      </c>
      <c r="C17" s="35">
        <f>IF(B$3=0,0,B17/B$3)</f>
        <v>0.31896551724137934</v>
      </c>
      <c r="E17" s="59" t="s">
        <v>79</v>
      </c>
      <c r="F17" s="56" t="s">
        <v>34</v>
      </c>
      <c r="G17" s="44">
        <v>5</v>
      </c>
      <c r="H17" s="129">
        <f>IF(B$17=0,0,G17/B$17)</f>
        <v>2.7027027027027029E-2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71</v>
      </c>
      <c r="C18" s="37">
        <f>IF(B$17=0,0,B18/B$17)</f>
        <v>0.38378378378378381</v>
      </c>
      <c r="E18" s="59" t="s">
        <v>81</v>
      </c>
      <c r="F18" s="56" t="s">
        <v>36</v>
      </c>
      <c r="G18" s="44">
        <v>3</v>
      </c>
      <c r="H18" s="129">
        <f>IF(B$17=0,0,G18/B$17)</f>
        <v>1.6216216216216217E-2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14.138888888888893</v>
      </c>
      <c r="P18" s="115">
        <v>18</v>
      </c>
      <c r="Q18" s="103">
        <v>254.50000000000009</v>
      </c>
    </row>
    <row r="19" spans="1:17" x14ac:dyDescent="0.4">
      <c r="A19" s="51" t="s">
        <v>11</v>
      </c>
      <c r="B19" s="44">
        <v>114</v>
      </c>
      <c r="C19" s="37">
        <f>IF(B$17=0,0,B19/B$17)</f>
        <v>0.61621621621621625</v>
      </c>
      <c r="E19" s="59" t="s">
        <v>74</v>
      </c>
      <c r="F19" s="56" t="s">
        <v>29</v>
      </c>
      <c r="G19" s="44">
        <v>1</v>
      </c>
      <c r="H19" s="129">
        <f>IF(B$17=0,0,G19/B$17)</f>
        <v>5.4054054054054057E-3</v>
      </c>
      <c r="I19" s="90">
        <v>3</v>
      </c>
      <c r="K19" s="36">
        <v>17</v>
      </c>
      <c r="L19" s="95">
        <v>-179.70000000000002</v>
      </c>
      <c r="N19" s="111" t="s">
        <v>178</v>
      </c>
      <c r="O19" s="121">
        <f>IF(P19=0,0,Q19/P19)</f>
        <v>11.6952380952381</v>
      </c>
      <c r="P19" s="115">
        <v>21</v>
      </c>
      <c r="Q19" s="103">
        <v>245.60000000000011</v>
      </c>
    </row>
    <row r="20" spans="1:17" x14ac:dyDescent="0.4">
      <c r="A20" s="51" t="s">
        <v>13</v>
      </c>
      <c r="B20" s="44">
        <v>110</v>
      </c>
      <c r="C20" s="37">
        <f>IF(B$3=0,0,B20/B$3)</f>
        <v>0.18965517241379309</v>
      </c>
      <c r="E20" s="59" t="s">
        <v>92</v>
      </c>
      <c r="F20" s="56" t="s">
        <v>47</v>
      </c>
      <c r="G20" s="44">
        <v>1</v>
      </c>
      <c r="H20" s="129">
        <f>IF(B$17=0,0,G20/B$17)</f>
        <v>5.4054054054054057E-3</v>
      </c>
      <c r="I20" s="90">
        <v>4</v>
      </c>
      <c r="K20" s="36">
        <v>18</v>
      </c>
      <c r="L20" s="95">
        <v>-112.90000000000002</v>
      </c>
      <c r="N20" s="111" t="s">
        <v>166</v>
      </c>
      <c r="O20" s="121">
        <f>IF(P20=0,0,Q20/P20)</f>
        <v>10.599999999999998</v>
      </c>
      <c r="P20" s="115">
        <v>16</v>
      </c>
      <c r="Q20" s="103">
        <v>169.59999999999997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167</v>
      </c>
      <c r="F21" s="56" t="s">
        <v>168</v>
      </c>
      <c r="G21" s="44">
        <v>1</v>
      </c>
      <c r="H21" s="129">
        <f>IF(B$17=0,0,G21/B$17)</f>
        <v>5.4054054054054057E-3</v>
      </c>
      <c r="I21" s="90">
        <v>7</v>
      </c>
      <c r="K21" s="36">
        <v>19</v>
      </c>
      <c r="L21" s="95">
        <v>-162.40000000000003</v>
      </c>
      <c r="N21" s="111" t="s">
        <v>179</v>
      </c>
      <c r="O21" s="121">
        <f>IF(P21=0,0,Q21/P21)</f>
        <v>7.0857142857142863</v>
      </c>
      <c r="P21" s="115">
        <v>21</v>
      </c>
      <c r="Q21" s="103">
        <v>148.80000000000001</v>
      </c>
    </row>
    <row r="22" spans="1:17" x14ac:dyDescent="0.4">
      <c r="A22" s="51" t="s">
        <v>170</v>
      </c>
      <c r="B22" s="44">
        <v>23</v>
      </c>
      <c r="C22" s="131">
        <v>5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-7.8770833333333323</v>
      </c>
      <c r="P22" s="115">
        <v>48</v>
      </c>
      <c r="Q22" s="103">
        <v>-378.09999999999997</v>
      </c>
    </row>
    <row r="23" spans="1:17" x14ac:dyDescent="0.4">
      <c r="A23" s="51" t="s">
        <v>5</v>
      </c>
      <c r="B23" s="48">
        <f>IF(B$17=0,0,C23/B$17)</f>
        <v>8629.72972972973</v>
      </c>
      <c r="C23" s="39">
        <v>1596500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9076.5765765765773</v>
      </c>
      <c r="C24" s="137">
        <v>1007500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7959.4594594594591</v>
      </c>
      <c r="C25" s="137">
        <v>589000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-7733.636363636364</v>
      </c>
      <c r="C26" s="137">
        <v>-850700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4">
        <v>8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2">
        <v>91800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5.1724137931034482E-3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-34.100000000000037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-16.100000000000037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</sheetData>
  <sortState xmlns:xlrd2="http://schemas.microsoft.com/office/spreadsheetml/2017/richdata2" ref="E2:I7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38</v>
      </c>
      <c r="C2" s="151"/>
      <c r="E2" s="58" t="s">
        <v>66</v>
      </c>
      <c r="F2" s="55" t="s">
        <v>22</v>
      </c>
      <c r="G2" s="43">
        <v>71</v>
      </c>
      <c r="H2" s="128">
        <f>IF(B$17=0,0,G2/B$17)</f>
        <v>0.83529411764705885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2563.1578947368421</v>
      </c>
      <c r="P2" s="114">
        <v>38</v>
      </c>
      <c r="Q2" s="98">
        <v>97400</v>
      </c>
    </row>
    <row r="3" spans="1:17" x14ac:dyDescent="0.4">
      <c r="A3" s="51" t="s">
        <v>8</v>
      </c>
      <c r="B3" s="152">
        <v>305</v>
      </c>
      <c r="C3" s="153"/>
      <c r="E3" s="59" t="s">
        <v>72</v>
      </c>
      <c r="F3" s="56" t="s">
        <v>27</v>
      </c>
      <c r="G3" s="44">
        <v>53</v>
      </c>
      <c r="H3" s="129">
        <f>IF(B$17=0,0,G3/B$17)</f>
        <v>0.62352941176470589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-2341.6666666666665</v>
      </c>
      <c r="P3" s="115">
        <v>36</v>
      </c>
      <c r="Q3" s="99">
        <v>-84300</v>
      </c>
    </row>
    <row r="4" spans="1:17" x14ac:dyDescent="0.4">
      <c r="A4" s="51" t="s">
        <v>6</v>
      </c>
      <c r="B4" s="154">
        <v>129.30000000000007</v>
      </c>
      <c r="C4" s="155"/>
      <c r="E4" s="59" t="s">
        <v>64</v>
      </c>
      <c r="F4" s="56" t="s">
        <v>20</v>
      </c>
      <c r="G4" s="44">
        <v>40</v>
      </c>
      <c r="H4" s="129">
        <f>IF(B$17=0,0,G4/B$17)</f>
        <v>0.47058823529411764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1414.7058823529412</v>
      </c>
      <c r="P4" s="115">
        <v>34</v>
      </c>
      <c r="Q4" s="99">
        <v>48100</v>
      </c>
    </row>
    <row r="5" spans="1:17" x14ac:dyDescent="0.4">
      <c r="A5" s="51" t="s">
        <v>7</v>
      </c>
      <c r="B5" s="156">
        <f>IF(B$2=0,0,B$4/B$2)</f>
        <v>3.40263157894737</v>
      </c>
      <c r="C5" s="157"/>
      <c r="E5" s="59" t="s">
        <v>67</v>
      </c>
      <c r="F5" s="56" t="s">
        <v>23</v>
      </c>
      <c r="G5" s="44">
        <v>33</v>
      </c>
      <c r="H5" s="129">
        <f>IF(B$17=0,0,G5/B$17)</f>
        <v>0.38823529411764707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3190.625</v>
      </c>
      <c r="P5" s="115">
        <v>32</v>
      </c>
      <c r="Q5" s="99">
        <v>102100</v>
      </c>
    </row>
    <row r="6" spans="1:17" x14ac:dyDescent="0.4">
      <c r="A6" s="51" t="s">
        <v>1</v>
      </c>
      <c r="B6" s="146">
        <f>IF(B$2=0,0,(B$7*1+B$8*2+B$9*3)/B$2)</f>
        <v>1.868421052631579</v>
      </c>
      <c r="C6" s="147"/>
      <c r="E6" s="59" t="s">
        <v>68</v>
      </c>
      <c r="F6" s="56" t="s">
        <v>12</v>
      </c>
      <c r="G6" s="44">
        <v>30</v>
      </c>
      <c r="H6" s="129">
        <f>IF(B$17=0,0,G6/B$17)</f>
        <v>0.35294117647058826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-2306.8965517241381</v>
      </c>
      <c r="P6" s="115">
        <v>29</v>
      </c>
      <c r="Q6" s="99">
        <v>-66900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0.42105263157894735</v>
      </c>
      <c r="E7" s="59" t="s">
        <v>171</v>
      </c>
      <c r="F7" s="56" t="s">
        <v>172</v>
      </c>
      <c r="G7" s="44">
        <v>29</v>
      </c>
      <c r="H7" s="129">
        <f>IF(B$17=0,0,G7/B$17)</f>
        <v>0.3411764705882353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-722.72727272727275</v>
      </c>
      <c r="P7" s="116">
        <v>22</v>
      </c>
      <c r="Q7" s="100">
        <v>-15900</v>
      </c>
    </row>
    <row r="8" spans="1:17" x14ac:dyDescent="0.4">
      <c r="A8" s="51" t="s">
        <v>3</v>
      </c>
      <c r="B8" s="44">
        <v>11</v>
      </c>
      <c r="C8" s="37">
        <f t="shared" si="1"/>
        <v>0.28947368421052633</v>
      </c>
      <c r="E8" s="59" t="s">
        <v>89</v>
      </c>
      <c r="F8" s="56" t="s">
        <v>44</v>
      </c>
      <c r="G8" s="44">
        <v>21</v>
      </c>
      <c r="H8" s="129">
        <f>IF(B$17=0,0,G8/B$17)</f>
        <v>0.24705882352941178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11</v>
      </c>
      <c r="C9" s="38">
        <f t="shared" si="1"/>
        <v>0.28947368421052633</v>
      </c>
      <c r="E9" s="59" t="s">
        <v>69</v>
      </c>
      <c r="F9" s="56" t="s">
        <v>24</v>
      </c>
      <c r="G9" s="44">
        <v>18</v>
      </c>
      <c r="H9" s="129">
        <f>IF(B$17=0,0,G9/B$17)</f>
        <v>0.21176470588235294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0.13157894736842105</v>
      </c>
      <c r="E10" s="59" t="s">
        <v>65</v>
      </c>
      <c r="F10" s="56" t="s">
        <v>21</v>
      </c>
      <c r="G10" s="44">
        <v>8</v>
      </c>
      <c r="H10" s="129">
        <f>IF(B$17=0,0,G10/B$17)</f>
        <v>9.4117647058823528E-2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5.392857142857145</v>
      </c>
      <c r="P10" s="114">
        <v>14</v>
      </c>
      <c r="Q10" s="102">
        <v>75.500000000000028</v>
      </c>
    </row>
    <row r="11" spans="1:17" x14ac:dyDescent="0.4">
      <c r="A11" s="52" t="s">
        <v>138</v>
      </c>
      <c r="B11" s="45">
        <v>7</v>
      </c>
      <c r="C11" s="38">
        <f t="shared" si="1"/>
        <v>0.18421052631578946</v>
      </c>
      <c r="E11" s="59" t="s">
        <v>83</v>
      </c>
      <c r="F11" s="56" t="s">
        <v>38</v>
      </c>
      <c r="G11" s="44">
        <v>6</v>
      </c>
      <c r="H11" s="129">
        <f>IF(B$17=0,0,G11/B$17)</f>
        <v>7.0588235294117646E-2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5.3187499999999996</v>
      </c>
      <c r="P11" s="115">
        <v>16</v>
      </c>
      <c r="Q11" s="103">
        <v>85.1</v>
      </c>
    </row>
    <row r="12" spans="1:17" x14ac:dyDescent="0.4">
      <c r="A12" s="53" t="s">
        <v>158</v>
      </c>
      <c r="B12" s="46">
        <v>3</v>
      </c>
      <c r="C12" s="40">
        <f t="shared" si="1"/>
        <v>7.8947368421052627E-2</v>
      </c>
      <c r="E12" s="59" t="s">
        <v>70</v>
      </c>
      <c r="F12" s="56" t="s">
        <v>25</v>
      </c>
      <c r="G12" s="44">
        <v>5</v>
      </c>
      <c r="H12" s="129">
        <f>IF(B$17=0,0,G12/B$17)</f>
        <v>5.8823529411764705E-2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-3.9124999999999983</v>
      </c>
      <c r="P12" s="116">
        <v>8</v>
      </c>
      <c r="Q12" s="104">
        <v>-31.299999999999986</v>
      </c>
    </row>
    <row r="13" spans="1:17" x14ac:dyDescent="0.4">
      <c r="A13" s="54" t="s">
        <v>121</v>
      </c>
      <c r="B13" s="47">
        <v>89</v>
      </c>
      <c r="C13" s="42">
        <f>IF(B$3=0,0,B13/B$3)</f>
        <v>0.29180327868852457</v>
      </c>
      <c r="E13" s="59" t="s">
        <v>71</v>
      </c>
      <c r="F13" s="56" t="s">
        <v>26</v>
      </c>
      <c r="G13" s="44">
        <v>4</v>
      </c>
      <c r="H13" s="129">
        <f>IF(B$17=0,0,G13/B$17)</f>
        <v>4.7058823529411764E-2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62</v>
      </c>
      <c r="C14" s="37">
        <f>IF(B$3=0,0,B14/B$3)</f>
        <v>0.20327868852459016</v>
      </c>
      <c r="E14" s="59" t="s">
        <v>86</v>
      </c>
      <c r="F14" s="56" t="s">
        <v>41</v>
      </c>
      <c r="G14" s="44">
        <v>3</v>
      </c>
      <c r="H14" s="129">
        <f>IF(B$17=0,0,G14/B$17)</f>
        <v>3.5294117647058823E-2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41</v>
      </c>
      <c r="C15" s="35">
        <f>IF(B$13=0,0,B15/B$13)</f>
        <v>0.4606741573033708</v>
      </c>
      <c r="E15" s="59" t="s">
        <v>92</v>
      </c>
      <c r="F15" s="56" t="s">
        <v>47</v>
      </c>
      <c r="G15" s="44">
        <v>3</v>
      </c>
      <c r="H15" s="129">
        <f>IF(B$17=0,0,G15/B$17)</f>
        <v>3.5294117647058823E-2</v>
      </c>
      <c r="I15" s="90">
        <v>1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30</v>
      </c>
      <c r="C16" s="35">
        <f>IF(B$14=0,0,B16/B$14)</f>
        <v>0.4838709677419355</v>
      </c>
      <c r="E16" s="59" t="s">
        <v>81</v>
      </c>
      <c r="F16" s="56" t="s">
        <v>36</v>
      </c>
      <c r="G16" s="44">
        <v>2</v>
      </c>
      <c r="H16" s="129">
        <f>IF(B$17=0,0,G16/B$17)</f>
        <v>2.3529411764705882E-2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53.050000000000004</v>
      </c>
      <c r="P16" s="115">
        <v>2</v>
      </c>
      <c r="Q16" s="103">
        <v>106.10000000000001</v>
      </c>
    </row>
    <row r="17" spans="1:17" x14ac:dyDescent="0.4">
      <c r="A17" s="50" t="s">
        <v>10</v>
      </c>
      <c r="B17" s="43">
        <f>B19+B18</f>
        <v>85</v>
      </c>
      <c r="C17" s="35">
        <f>IF(B$3=0,0,B17/B$3)</f>
        <v>0.27868852459016391</v>
      </c>
      <c r="E17" s="59" t="s">
        <v>91</v>
      </c>
      <c r="F17" s="56" t="s">
        <v>46</v>
      </c>
      <c r="G17" s="44">
        <v>2</v>
      </c>
      <c r="H17" s="129">
        <f>IF(B$17=0,0,G17/B$17)</f>
        <v>2.3529411764705882E-2</v>
      </c>
      <c r="I17" s="90">
        <v>2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40</v>
      </c>
      <c r="C18" s="37">
        <f>IF(B$17=0,0,B18/B$17)</f>
        <v>0.47058823529411764</v>
      </c>
      <c r="E18" s="59" t="s">
        <v>75</v>
      </c>
      <c r="F18" s="56" t="s">
        <v>30</v>
      </c>
      <c r="G18" s="44">
        <v>1</v>
      </c>
      <c r="H18" s="129">
        <f>IF(B$17=0,0,G18/B$17)</f>
        <v>1.1764705882352941E-2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14.204761904761902</v>
      </c>
      <c r="P18" s="115">
        <v>21</v>
      </c>
      <c r="Q18" s="103">
        <v>298.29999999999995</v>
      </c>
    </row>
    <row r="19" spans="1:17" x14ac:dyDescent="0.4">
      <c r="A19" s="51" t="s">
        <v>11</v>
      </c>
      <c r="B19" s="44">
        <v>45</v>
      </c>
      <c r="C19" s="37">
        <f>IF(B$17=0,0,B19/B$17)</f>
        <v>0.52941176470588236</v>
      </c>
      <c r="E19" s="59" t="s">
        <v>78</v>
      </c>
      <c r="F19" s="56" t="s">
        <v>33</v>
      </c>
      <c r="G19" s="44">
        <v>1</v>
      </c>
      <c r="H19" s="129">
        <f>IF(B$17=0,0,G19/B$17)</f>
        <v>1.1764705882352941E-2</v>
      </c>
      <c r="I19" s="90">
        <v>8</v>
      </c>
      <c r="K19" s="36">
        <v>17</v>
      </c>
      <c r="L19" s="95">
        <v>-55.799999999999969</v>
      </c>
      <c r="N19" s="111" t="s">
        <v>179</v>
      </c>
      <c r="O19" s="121">
        <f t="shared" si="2"/>
        <v>8.1333333333333329</v>
      </c>
      <c r="P19" s="115">
        <v>3</v>
      </c>
      <c r="Q19" s="103">
        <v>24.4</v>
      </c>
    </row>
    <row r="20" spans="1:17" x14ac:dyDescent="0.4">
      <c r="A20" s="51" t="s">
        <v>13</v>
      </c>
      <c r="B20" s="44">
        <v>50</v>
      </c>
      <c r="C20" s="37">
        <f>IF(B$3=0,0,B20/B$3)</f>
        <v>0.16393442622950818</v>
      </c>
      <c r="E20" s="59" t="s">
        <v>85</v>
      </c>
      <c r="F20" s="56" t="s">
        <v>40</v>
      </c>
      <c r="G20" s="44">
        <v>1</v>
      </c>
      <c r="H20" s="129">
        <f>IF(B$17=0,0,G20/B$17)</f>
        <v>1.1764705882352941E-2</v>
      </c>
      <c r="I20" s="90">
        <v>2</v>
      </c>
      <c r="K20" s="36">
        <v>18</v>
      </c>
      <c r="L20" s="95">
        <v>-24.999999999999968</v>
      </c>
      <c r="N20" s="111" t="s">
        <v>126</v>
      </c>
      <c r="O20" s="121">
        <f t="shared" si="2"/>
        <v>4.926666666666665</v>
      </c>
      <c r="P20" s="115">
        <v>15</v>
      </c>
      <c r="Q20" s="103">
        <v>73.899999999999977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90</v>
      </c>
      <c r="F21" s="56" t="s">
        <v>45</v>
      </c>
      <c r="G21" s="44">
        <v>1</v>
      </c>
      <c r="H21" s="129">
        <f>IF(B$17=0,0,G21/B$17)</f>
        <v>1.1764705882352941E-2</v>
      </c>
      <c r="I21" s="90">
        <v>1</v>
      </c>
      <c r="K21" s="36">
        <v>19</v>
      </c>
      <c r="L21" s="95">
        <v>-27.799999999999969</v>
      </c>
      <c r="N21" s="111" t="s">
        <v>127</v>
      </c>
      <c r="O21" s="121">
        <f t="shared" si="2"/>
        <v>-14.138888888888893</v>
      </c>
      <c r="P21" s="115">
        <v>18</v>
      </c>
      <c r="Q21" s="103">
        <v>-254.50000000000006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167</v>
      </c>
      <c r="F22" s="56" t="s">
        <v>168</v>
      </c>
      <c r="G22" s="44">
        <v>1</v>
      </c>
      <c r="H22" s="129">
        <f>IF(B$17=0,0,G22/B$17)</f>
        <v>1.1764705882352941E-2</v>
      </c>
      <c r="I22" s="90">
        <v>5</v>
      </c>
      <c r="K22" s="36">
        <v>20</v>
      </c>
      <c r="L22" s="95">
        <v>-50.39999999999997</v>
      </c>
      <c r="N22" s="111" t="s">
        <v>181</v>
      </c>
      <c r="O22" s="121">
        <f t="shared" si="2"/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10071.764705882353</v>
      </c>
      <c r="C23" s="39">
        <v>856100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11607.272727272728</v>
      </c>
      <c r="C24" s="137">
        <v>638400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7256.666666666667</v>
      </c>
      <c r="C25" s="137">
        <v>217700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-8228</v>
      </c>
      <c r="C26" s="137">
        <v>-411400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4">
        <v>8</v>
      </c>
      <c r="C27" s="145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2">
        <v>83000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178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49</v>
      </c>
      <c r="C2" s="151"/>
      <c r="E2" s="58" t="s">
        <v>66</v>
      </c>
      <c r="F2" s="55" t="s">
        <v>22</v>
      </c>
      <c r="G2" s="43">
        <v>88</v>
      </c>
      <c r="H2" s="128">
        <f>IF(B$17=0,0,G2/B$17)</f>
        <v>0.77192982456140347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1173.4693877551019</v>
      </c>
      <c r="P2" s="114">
        <v>49</v>
      </c>
      <c r="Q2" s="98">
        <v>57500</v>
      </c>
    </row>
    <row r="3" spans="1:17" x14ac:dyDescent="0.4">
      <c r="A3" s="51" t="s">
        <v>8</v>
      </c>
      <c r="B3" s="152">
        <v>400</v>
      </c>
      <c r="C3" s="153"/>
      <c r="E3" s="59" t="s">
        <v>72</v>
      </c>
      <c r="F3" s="56" t="s">
        <v>27</v>
      </c>
      <c r="G3" s="44">
        <v>75</v>
      </c>
      <c r="H3" s="129">
        <f>IF(B$17=0,0,G3/B$17)</f>
        <v>0.65789473684210531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1304.3478260869565</v>
      </c>
      <c r="P3" s="115">
        <v>46</v>
      </c>
      <c r="Q3" s="99">
        <v>60000</v>
      </c>
    </row>
    <row r="4" spans="1:17" x14ac:dyDescent="0.4">
      <c r="A4" s="51" t="s">
        <v>6</v>
      </c>
      <c r="B4" s="154">
        <v>7.1000000000000227</v>
      </c>
      <c r="C4" s="155"/>
      <c r="E4" s="59" t="s">
        <v>64</v>
      </c>
      <c r="F4" s="56" t="s">
        <v>20</v>
      </c>
      <c r="G4" s="44">
        <v>56</v>
      </c>
      <c r="H4" s="129">
        <f>IF(B$17=0,0,G4/B$17)</f>
        <v>0.49122807017543857</v>
      </c>
      <c r="I4" s="90">
        <v>4</v>
      </c>
      <c r="K4" s="36">
        <v>2</v>
      </c>
      <c r="L4" s="95">
        <v>8.1000000000000014</v>
      </c>
      <c r="N4" s="111" t="s">
        <v>132</v>
      </c>
      <c r="O4" s="118">
        <f t="shared" si="0"/>
        <v>-1904.6511627906978</v>
      </c>
      <c r="P4" s="115">
        <v>43</v>
      </c>
      <c r="Q4" s="99">
        <v>-81900</v>
      </c>
    </row>
    <row r="5" spans="1:17" x14ac:dyDescent="0.4">
      <c r="A5" s="51" t="s">
        <v>7</v>
      </c>
      <c r="B5" s="156">
        <f>IF(B$2=0,0,B$4/B$2)</f>
        <v>0.14489795918367393</v>
      </c>
      <c r="C5" s="157"/>
      <c r="E5" s="59" t="s">
        <v>171</v>
      </c>
      <c r="F5" s="56" t="s">
        <v>172</v>
      </c>
      <c r="G5" s="44">
        <v>49</v>
      </c>
      <c r="H5" s="129">
        <f>IF(B$17=0,0,G5/B$17)</f>
        <v>0.42982456140350878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425.64102564102564</v>
      </c>
      <c r="P5" s="115">
        <v>39</v>
      </c>
      <c r="Q5" s="99">
        <v>16600</v>
      </c>
    </row>
    <row r="6" spans="1:17" x14ac:dyDescent="0.4">
      <c r="A6" s="51" t="s">
        <v>1</v>
      </c>
      <c r="B6" s="146">
        <f>IF(B$2=0,0,(B$7*1+B$8*2+B$9*3)/B$2)</f>
        <v>2.0816326530612246</v>
      </c>
      <c r="C6" s="147"/>
      <c r="E6" s="59" t="s">
        <v>67</v>
      </c>
      <c r="F6" s="56" t="s">
        <v>23</v>
      </c>
      <c r="G6" s="44">
        <v>46</v>
      </c>
      <c r="H6" s="129">
        <f>IF(B$17=0,0,G6/B$17)</f>
        <v>0.40350877192982454</v>
      </c>
      <c r="I6" s="90">
        <v>3</v>
      </c>
      <c r="K6" s="36">
        <v>4</v>
      </c>
      <c r="L6" s="95">
        <v>-19.3</v>
      </c>
      <c r="N6" s="111" t="s">
        <v>134</v>
      </c>
      <c r="O6" s="118">
        <f t="shared" si="0"/>
        <v>-32.352941176470587</v>
      </c>
      <c r="P6" s="115">
        <v>34</v>
      </c>
      <c r="Q6" s="99">
        <v>-1100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0.20408163265306123</v>
      </c>
      <c r="E7" s="59" t="s">
        <v>68</v>
      </c>
      <c r="F7" s="56" t="s">
        <v>12</v>
      </c>
      <c r="G7" s="44">
        <v>37</v>
      </c>
      <c r="H7" s="129">
        <f>IF(B$17=0,0,G7/B$17)</f>
        <v>0.32456140350877194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-486.20689655172413</v>
      </c>
      <c r="P7" s="116">
        <v>29</v>
      </c>
      <c r="Q7" s="100">
        <v>-14100</v>
      </c>
    </row>
    <row r="8" spans="1:17" x14ac:dyDescent="0.4">
      <c r="A8" s="51" t="s">
        <v>3</v>
      </c>
      <c r="B8" s="44">
        <v>25</v>
      </c>
      <c r="C8" s="37">
        <f t="shared" si="1"/>
        <v>0.51020408163265307</v>
      </c>
      <c r="E8" s="59" t="s">
        <v>69</v>
      </c>
      <c r="F8" s="56" t="s">
        <v>24</v>
      </c>
      <c r="G8" s="44">
        <v>13</v>
      </c>
      <c r="H8" s="129">
        <f>IF(B$17=0,0,G8/B$17)</f>
        <v>0.11403508771929824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0.2857142857142857</v>
      </c>
      <c r="E9" s="59" t="s">
        <v>89</v>
      </c>
      <c r="F9" s="56" t="s">
        <v>44</v>
      </c>
      <c r="G9" s="44">
        <v>10</v>
      </c>
      <c r="H9" s="129">
        <f>IF(B$17=0,0,G9/B$17)</f>
        <v>8.771929824561403E-2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8.1632653061224483E-2</v>
      </c>
      <c r="E10" s="59" t="s">
        <v>65</v>
      </c>
      <c r="F10" s="56" t="s">
        <v>21</v>
      </c>
      <c r="G10" s="44">
        <v>9</v>
      </c>
      <c r="H10" s="129">
        <f>IF(B$17=0,0,G10/B$17)</f>
        <v>7.8947368421052627E-2</v>
      </c>
      <c r="I10" s="90">
        <v>10</v>
      </c>
      <c r="K10" s="36">
        <v>8</v>
      </c>
      <c r="L10" s="95">
        <v>-46.7</v>
      </c>
      <c r="N10" s="110" t="s">
        <v>162</v>
      </c>
      <c r="O10" s="120">
        <f>IF(P10=0,0,Q10/P10)</f>
        <v>1.7899999999999998</v>
      </c>
      <c r="P10" s="114">
        <v>20</v>
      </c>
      <c r="Q10" s="102">
        <v>35.799999999999997</v>
      </c>
    </row>
    <row r="11" spans="1:17" x14ac:dyDescent="0.4">
      <c r="A11" s="52" t="s">
        <v>138</v>
      </c>
      <c r="B11" s="45">
        <v>4</v>
      </c>
      <c r="C11" s="38">
        <f t="shared" si="1"/>
        <v>8.1632653061224483E-2</v>
      </c>
      <c r="E11" s="59" t="s">
        <v>71</v>
      </c>
      <c r="F11" s="56" t="s">
        <v>26</v>
      </c>
      <c r="G11" s="44">
        <v>9</v>
      </c>
      <c r="H11" s="129">
        <f>IF(B$17=0,0,G11/B$17)</f>
        <v>7.8947368421052627E-2</v>
      </c>
      <c r="I11" s="90">
        <v>6</v>
      </c>
      <c r="K11" s="36">
        <v>9</v>
      </c>
      <c r="L11" s="95">
        <v>-90.9</v>
      </c>
      <c r="N11" s="111" t="s">
        <v>163</v>
      </c>
      <c r="O11" s="121">
        <f>IF(P11=0,0,Q11/P11)</f>
        <v>3.3249999999999997</v>
      </c>
      <c r="P11" s="115">
        <v>12</v>
      </c>
      <c r="Q11" s="103">
        <v>39.9</v>
      </c>
    </row>
    <row r="12" spans="1:17" x14ac:dyDescent="0.4">
      <c r="A12" s="53" t="s">
        <v>158</v>
      </c>
      <c r="B12" s="46">
        <v>1</v>
      </c>
      <c r="C12" s="40">
        <f t="shared" si="1"/>
        <v>2.0408163265306121E-2</v>
      </c>
      <c r="E12" s="59" t="s">
        <v>70</v>
      </c>
      <c r="F12" s="56" t="s">
        <v>25</v>
      </c>
      <c r="G12" s="44">
        <v>8</v>
      </c>
      <c r="H12" s="129">
        <f>IF(B$17=0,0,G12/B$17)</f>
        <v>7.0175438596491224E-2</v>
      </c>
      <c r="I12" s="90">
        <v>8</v>
      </c>
      <c r="K12" s="36">
        <v>10</v>
      </c>
      <c r="L12" s="95">
        <v>-146.69999999999999</v>
      </c>
      <c r="N12" s="112" t="s">
        <v>164</v>
      </c>
      <c r="O12" s="122">
        <f>IF(P12=0,0,Q12/P12)</f>
        <v>-4.0352941176470587</v>
      </c>
      <c r="P12" s="116">
        <v>17</v>
      </c>
      <c r="Q12" s="104">
        <v>-68.599999999999994</v>
      </c>
    </row>
    <row r="13" spans="1:17" x14ac:dyDescent="0.4">
      <c r="A13" s="54" t="s">
        <v>121</v>
      </c>
      <c r="B13" s="47">
        <v>101</v>
      </c>
      <c r="C13" s="42">
        <f>IF(B$3=0,0,B13/B$3)</f>
        <v>0.2525</v>
      </c>
      <c r="E13" s="59" t="s">
        <v>86</v>
      </c>
      <c r="F13" s="56" t="s">
        <v>41</v>
      </c>
      <c r="G13" s="44">
        <v>5</v>
      </c>
      <c r="H13" s="129">
        <f>IF(B$17=0,0,G13/B$17)</f>
        <v>4.3859649122807015E-2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</v>
      </c>
      <c r="C14" s="37">
        <f>IF(B$3=0,0,B14/B$3)</f>
        <v>0.255</v>
      </c>
      <c r="E14" s="59" t="s">
        <v>79</v>
      </c>
      <c r="F14" s="56" t="s">
        <v>34</v>
      </c>
      <c r="G14" s="44">
        <v>4</v>
      </c>
      <c r="H14" s="129">
        <f>IF(B$17=0,0,G14/B$17)</f>
        <v>3.5087719298245612E-2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60</v>
      </c>
      <c r="C15" s="35">
        <f>IF(B$13=0,0,B15/B$13)</f>
        <v>0.59405940594059403</v>
      </c>
      <c r="E15" s="59" t="s">
        <v>83</v>
      </c>
      <c r="F15" s="56" t="s">
        <v>38</v>
      </c>
      <c r="G15" s="44">
        <v>4</v>
      </c>
      <c r="H15" s="129">
        <f>IF(B$17=0,0,G15/B$17)</f>
        <v>3.5087719298245612E-2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40</v>
      </c>
      <c r="C16" s="35">
        <f>IF(B$14=0,0,B16/B$14)</f>
        <v>0.39215686274509803</v>
      </c>
      <c r="E16" s="59" t="s">
        <v>78</v>
      </c>
      <c r="F16" s="56" t="s">
        <v>33</v>
      </c>
      <c r="G16" s="44">
        <v>3</v>
      </c>
      <c r="H16" s="129">
        <f>IF(B$17=0,0,G16/B$17)</f>
        <v>2.6315789473684209E-2</v>
      </c>
      <c r="I16" s="90">
        <v>2</v>
      </c>
      <c r="K16" s="36">
        <v>14</v>
      </c>
      <c r="L16" s="95">
        <v>-25.79999999999999</v>
      </c>
      <c r="N16" s="111" t="s">
        <v>179</v>
      </c>
      <c r="O16" s="121">
        <f>IF(P16=0,0,Q16/P16)</f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114</v>
      </c>
      <c r="C17" s="35">
        <f>IF(B$3=0,0,B17/B$3)</f>
        <v>0.28499999999999998</v>
      </c>
      <c r="E17" s="59" t="s">
        <v>167</v>
      </c>
      <c r="F17" s="56" t="s">
        <v>168</v>
      </c>
      <c r="G17" s="44">
        <v>3</v>
      </c>
      <c r="H17" s="129">
        <f>IF(B$17=0,0,G17/B$17)</f>
        <v>2.6315789473684209E-2</v>
      </c>
      <c r="I17" s="90">
        <v>2</v>
      </c>
      <c r="K17" s="36">
        <v>15</v>
      </c>
      <c r="L17" s="95">
        <v>-35.499999999999986</v>
      </c>
      <c r="N17" s="111" t="s">
        <v>222</v>
      </c>
      <c r="O17" s="121">
        <f>IF(P17=0,0,Q17/P17)</f>
        <v>27.200000000000003</v>
      </c>
      <c r="P17" s="115">
        <v>1</v>
      </c>
      <c r="Q17" s="103">
        <v>27.200000000000003</v>
      </c>
    </row>
    <row r="18" spans="1:17" x14ac:dyDescent="0.4">
      <c r="A18" s="51" t="s">
        <v>12</v>
      </c>
      <c r="B18" s="44">
        <v>49</v>
      </c>
      <c r="C18" s="37">
        <f>IF(B$17=0,0,B18/B$17)</f>
        <v>0.42982456140350878</v>
      </c>
      <c r="E18" s="59" t="s">
        <v>73</v>
      </c>
      <c r="F18" s="56" t="s">
        <v>28</v>
      </c>
      <c r="G18" s="44">
        <v>1</v>
      </c>
      <c r="H18" s="129">
        <f>IF(B$17=0,0,G18/B$17)</f>
        <v>8.771929824561403E-3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>IF(P18=0,0,Q18/P18)</f>
        <v>23.391666666666666</v>
      </c>
      <c r="P18" s="115">
        <v>12</v>
      </c>
      <c r="Q18" s="103">
        <v>280.7</v>
      </c>
    </row>
    <row r="19" spans="1:17" x14ac:dyDescent="0.4">
      <c r="A19" s="51" t="s">
        <v>11</v>
      </c>
      <c r="B19" s="44">
        <v>65</v>
      </c>
      <c r="C19" s="37">
        <f>IF(B$17=0,0,B19/B$17)</f>
        <v>0.57017543859649122</v>
      </c>
      <c r="E19" s="59" t="s">
        <v>81</v>
      </c>
      <c r="F19" s="56" t="s">
        <v>36</v>
      </c>
      <c r="G19" s="44">
        <v>1</v>
      </c>
      <c r="H19" s="129">
        <f>IF(B$17=0,0,G19/B$17)</f>
        <v>8.771929824561403E-3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5.3125</v>
      </c>
      <c r="P19" s="115">
        <v>8</v>
      </c>
      <c r="Q19" s="103">
        <v>42.5</v>
      </c>
    </row>
    <row r="20" spans="1:17" x14ac:dyDescent="0.4">
      <c r="A20" s="51" t="s">
        <v>13</v>
      </c>
      <c r="B20" s="44">
        <v>56</v>
      </c>
      <c r="C20" s="37">
        <f>IF(B$3=0,0,B20/B$3)</f>
        <v>0.14000000000000001</v>
      </c>
      <c r="E20" s="59" t="s">
        <v>85</v>
      </c>
      <c r="F20" s="56" t="s">
        <v>40</v>
      </c>
      <c r="G20" s="44">
        <v>1</v>
      </c>
      <c r="H20" s="129">
        <f>IF(B$17=0,0,G20/B$17)</f>
        <v>8.771929824561403E-3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>IF(P20=0,0,Q20/P20)</f>
        <v>-11.695238095238096</v>
      </c>
      <c r="P20" s="115">
        <v>21</v>
      </c>
      <c r="Q20" s="103">
        <v>-245.60000000000002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91</v>
      </c>
      <c r="F21" s="56" t="s">
        <v>46</v>
      </c>
      <c r="G21" s="44">
        <v>1</v>
      </c>
      <c r="H21" s="129">
        <f>IF(B$17=0,0,G21/B$17)</f>
        <v>8.771929824561403E-3</v>
      </c>
      <c r="I21" s="90">
        <v>6</v>
      </c>
      <c r="K21" s="36">
        <v>19</v>
      </c>
      <c r="L21" s="95">
        <v>-56.399999999999991</v>
      </c>
      <c r="N21" s="111" t="s">
        <v>177</v>
      </c>
      <c r="O21" s="121">
        <f>IF(P21=0,0,Q21/P21)</f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2</v>
      </c>
      <c r="E22" s="59" t="s">
        <v>101</v>
      </c>
      <c r="F22" s="56" t="s">
        <v>56</v>
      </c>
      <c r="G22" s="44">
        <v>1</v>
      </c>
      <c r="H22" s="129">
        <f>IF(B$17=0,0,G22/B$17)</f>
        <v>8.771929824561403E-3</v>
      </c>
      <c r="I22" s="90">
        <v>1</v>
      </c>
      <c r="K22" s="36">
        <v>20</v>
      </c>
      <c r="L22" s="95">
        <v>-93.199999999999989</v>
      </c>
      <c r="N22" s="111" t="s">
        <v>181</v>
      </c>
      <c r="O22" s="121">
        <f>IF(P22=0,0,Q22/P22)</f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8429.8245614035095</v>
      </c>
      <c r="C23" s="39">
        <v>961000</v>
      </c>
      <c r="E23" s="59" t="s">
        <v>74</v>
      </c>
      <c r="F23" s="56" t="s">
        <v>29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  <c r="N23" s="111" t="s">
        <v>126</v>
      </c>
      <c r="O23" s="121">
        <f>IF(P23=0,0,Q23/P23)</f>
        <v>-18.563157894736847</v>
      </c>
      <c r="P23" s="115">
        <v>19</v>
      </c>
      <c r="Q23" s="103">
        <v>-352.7000000000001</v>
      </c>
    </row>
    <row r="24" spans="1:17" x14ac:dyDescent="0.4">
      <c r="A24" s="52" t="s">
        <v>216</v>
      </c>
      <c r="B24" s="136">
        <f>IF($B$17-B$16=0,0,C24/($B$17-B$16))</f>
        <v>9585.135135135135</v>
      </c>
      <c r="C24" s="137">
        <v>709300</v>
      </c>
      <c r="E24" s="59" t="s">
        <v>75</v>
      </c>
      <c r="F24" s="56" t="s">
        <v>30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6292.5</v>
      </c>
      <c r="C25" s="137">
        <v>251700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-7757.1428571428569</v>
      </c>
      <c r="C26" s="137">
        <v>-434400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4">
        <v>6</v>
      </c>
      <c r="C27" s="145"/>
      <c r="E27" s="59" t="s">
        <v>80</v>
      </c>
      <c r="F27" s="56" t="s">
        <v>35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2">
        <v>86500</v>
      </c>
      <c r="C28" s="143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5.0000000000000001E-3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24</v>
      </c>
      <c r="C2" s="151"/>
      <c r="E2" s="58" t="s">
        <v>66</v>
      </c>
      <c r="F2" s="55" t="s">
        <v>22</v>
      </c>
      <c r="G2" s="43">
        <v>28</v>
      </c>
      <c r="H2" s="128">
        <f>IF(B$17=0,0,G2/B$17)</f>
        <v>0.7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-3791.6666666666665</v>
      </c>
      <c r="P2" s="114">
        <v>24</v>
      </c>
      <c r="Q2" s="98">
        <v>-91000</v>
      </c>
    </row>
    <row r="3" spans="1:17" x14ac:dyDescent="0.4">
      <c r="A3" s="51" t="s">
        <v>8</v>
      </c>
      <c r="B3" s="152">
        <v>190</v>
      </c>
      <c r="C3" s="153"/>
      <c r="E3" s="59" t="s">
        <v>64</v>
      </c>
      <c r="F3" s="56" t="s">
        <v>20</v>
      </c>
      <c r="G3" s="44">
        <v>19</v>
      </c>
      <c r="H3" s="129">
        <f>IF(B$17=0,0,G3/B$17)</f>
        <v>0.47499999999999998</v>
      </c>
      <c r="I3" s="90">
        <v>5</v>
      </c>
      <c r="K3" s="36">
        <v>1</v>
      </c>
      <c r="L3" s="95">
        <v>-12</v>
      </c>
      <c r="N3" s="111" t="s">
        <v>131</v>
      </c>
      <c r="O3" s="118">
        <f t="shared" si="0"/>
        <v>-637.5</v>
      </c>
      <c r="P3" s="115">
        <v>24</v>
      </c>
      <c r="Q3" s="99">
        <v>-15300</v>
      </c>
    </row>
    <row r="4" spans="1:17" x14ac:dyDescent="0.4">
      <c r="A4" s="51" t="s">
        <v>6</v>
      </c>
      <c r="B4" s="154">
        <v>-474.10000000000014</v>
      </c>
      <c r="C4" s="155"/>
      <c r="E4" s="59" t="s">
        <v>72</v>
      </c>
      <c r="F4" s="56" t="s">
        <v>27</v>
      </c>
      <c r="G4" s="44">
        <v>19</v>
      </c>
      <c r="H4" s="129">
        <f>IF(B$17=0,0,G4/B$17)</f>
        <v>0.47499999999999998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-1729.1666666666667</v>
      </c>
      <c r="P4" s="115">
        <v>24</v>
      </c>
      <c r="Q4" s="99">
        <v>-41500</v>
      </c>
    </row>
    <row r="5" spans="1:17" x14ac:dyDescent="0.4">
      <c r="A5" s="51" t="s">
        <v>7</v>
      </c>
      <c r="B5" s="156">
        <f>IF(B$2=0,0,B$4/B$2)</f>
        <v>-19.754166666666674</v>
      </c>
      <c r="C5" s="157"/>
      <c r="E5" s="59" t="s">
        <v>67</v>
      </c>
      <c r="F5" s="56" t="s">
        <v>23</v>
      </c>
      <c r="G5" s="44">
        <v>16</v>
      </c>
      <c r="H5" s="129">
        <f>IF(B$17=0,0,G5/B$17)</f>
        <v>0.4</v>
      </c>
      <c r="I5" s="90">
        <v>4</v>
      </c>
      <c r="K5" s="36">
        <v>3</v>
      </c>
      <c r="L5" s="95">
        <v>-33.6</v>
      </c>
      <c r="N5" s="111" t="s">
        <v>133</v>
      </c>
      <c r="O5" s="118">
        <f t="shared" si="0"/>
        <v>-3756.521739130435</v>
      </c>
      <c r="P5" s="115">
        <v>23</v>
      </c>
      <c r="Q5" s="99">
        <v>-86400</v>
      </c>
    </row>
    <row r="6" spans="1:17" x14ac:dyDescent="0.4">
      <c r="A6" s="51" t="s">
        <v>1</v>
      </c>
      <c r="B6" s="146">
        <f>IF(B$2=0,0,(B$7*1+B$8*2+B$9*3)/B$2)</f>
        <v>2.5416666666666665</v>
      </c>
      <c r="C6" s="147"/>
      <c r="E6" s="59" t="s">
        <v>171</v>
      </c>
      <c r="F6" s="56" t="s">
        <v>172</v>
      </c>
      <c r="G6" s="44">
        <v>13</v>
      </c>
      <c r="H6" s="129">
        <f>IF(B$17=0,0,G6/B$17)</f>
        <v>0.32500000000000001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-1813.6363636363637</v>
      </c>
      <c r="P6" s="115">
        <v>22</v>
      </c>
      <c r="Q6" s="99">
        <v>-39900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4.1666666666666664E-2</v>
      </c>
      <c r="E7" s="59" t="s">
        <v>68</v>
      </c>
      <c r="F7" s="56" t="s">
        <v>12</v>
      </c>
      <c r="G7" s="44">
        <v>11</v>
      </c>
      <c r="H7" s="129">
        <f>IF(B$17=0,0,G7/B$17)</f>
        <v>0.27500000000000002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-3527.7777777777778</v>
      </c>
      <c r="P7" s="116">
        <v>18</v>
      </c>
      <c r="Q7" s="100">
        <v>-63500</v>
      </c>
    </row>
    <row r="8" spans="1:17" x14ac:dyDescent="0.4">
      <c r="A8" s="51" t="s">
        <v>3</v>
      </c>
      <c r="B8" s="44">
        <v>9</v>
      </c>
      <c r="C8" s="37">
        <f t="shared" si="1"/>
        <v>0.375</v>
      </c>
      <c r="E8" s="59" t="s">
        <v>65</v>
      </c>
      <c r="F8" s="56" t="s">
        <v>21</v>
      </c>
      <c r="G8" s="44">
        <v>6</v>
      </c>
      <c r="H8" s="129">
        <f>IF(B$17=0,0,G8/B$17)</f>
        <v>0.15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0.58333333333333337</v>
      </c>
      <c r="E9" s="59" t="s">
        <v>89</v>
      </c>
      <c r="F9" s="56" t="s">
        <v>44</v>
      </c>
      <c r="G9" s="44">
        <v>5</v>
      </c>
      <c r="H9" s="129">
        <f>IF(B$17=0,0,G9/B$17)</f>
        <v>0.125</v>
      </c>
      <c r="I9" s="90">
        <v>6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0.20833333333333334</v>
      </c>
      <c r="E10" s="59" t="s">
        <v>71</v>
      </c>
      <c r="F10" s="56" t="s">
        <v>26</v>
      </c>
      <c r="G10" s="44">
        <v>4</v>
      </c>
      <c r="H10" s="129">
        <f>IF(B$17=0,0,G10/B$17)</f>
        <v>0.1</v>
      </c>
      <c r="I10" s="90">
        <v>4</v>
      </c>
      <c r="K10" s="36">
        <v>8</v>
      </c>
      <c r="L10" s="95">
        <v>-152.6</v>
      </c>
      <c r="N10" s="110" t="s">
        <v>162</v>
      </c>
      <c r="O10" s="120">
        <f>IF(P10=0,0,Q10/P10)</f>
        <v>-26.87857142857143</v>
      </c>
      <c r="P10" s="114">
        <v>14</v>
      </c>
      <c r="Q10" s="102">
        <v>-376.3</v>
      </c>
    </row>
    <row r="11" spans="1:17" x14ac:dyDescent="0.4">
      <c r="A11" s="52" t="s">
        <v>138</v>
      </c>
      <c r="B11" s="45">
        <v>1</v>
      </c>
      <c r="C11" s="38">
        <f t="shared" si="1"/>
        <v>4.1666666666666664E-2</v>
      </c>
      <c r="E11" s="59" t="s">
        <v>83</v>
      </c>
      <c r="F11" s="56" t="s">
        <v>38</v>
      </c>
      <c r="G11" s="44">
        <v>4</v>
      </c>
      <c r="H11" s="129">
        <f>IF(B$17=0,0,G11/B$17)</f>
        <v>0.1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-4.2571428571428553</v>
      </c>
      <c r="P11" s="115">
        <v>7</v>
      </c>
      <c r="Q11" s="103">
        <v>-29.79999999999999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70</v>
      </c>
      <c r="F12" s="56" t="s">
        <v>25</v>
      </c>
      <c r="G12" s="44">
        <v>3</v>
      </c>
      <c r="H12" s="129">
        <f>IF(B$17=0,0,G12/B$17)</f>
        <v>7.4999999999999997E-2</v>
      </c>
      <c r="I12" s="90">
        <v>7</v>
      </c>
      <c r="K12" s="36">
        <v>10</v>
      </c>
      <c r="L12" s="95">
        <v>-151.1</v>
      </c>
      <c r="N12" s="112" t="s">
        <v>164</v>
      </c>
      <c r="O12" s="122">
        <f>IF(P12=0,0,Q12/P12)</f>
        <v>-22.666666666666668</v>
      </c>
      <c r="P12" s="116">
        <v>3</v>
      </c>
      <c r="Q12" s="104">
        <v>-68</v>
      </c>
    </row>
    <row r="13" spans="1:17" x14ac:dyDescent="0.4">
      <c r="A13" s="54" t="s">
        <v>121</v>
      </c>
      <c r="B13" s="47">
        <v>37</v>
      </c>
      <c r="C13" s="42">
        <f>IF(B$3=0,0,B13/B$3)</f>
        <v>0.19473684210526315</v>
      </c>
      <c r="E13" s="59" t="s">
        <v>86</v>
      </c>
      <c r="F13" s="56" t="s">
        <v>41</v>
      </c>
      <c r="G13" s="44">
        <v>3</v>
      </c>
      <c r="H13" s="129">
        <f>IF(B$17=0,0,G13/B$17)</f>
        <v>7.4999999999999997E-2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38</v>
      </c>
      <c r="C14" s="37">
        <f>IF(B$3=0,0,B14/B$3)</f>
        <v>0.2</v>
      </c>
      <c r="E14" s="59" t="s">
        <v>69</v>
      </c>
      <c r="F14" s="56" t="s">
        <v>24</v>
      </c>
      <c r="G14" s="44">
        <v>2</v>
      </c>
      <c r="H14" s="129">
        <f>IF(B$17=0,0,G14/B$17)</f>
        <v>0.05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19</v>
      </c>
      <c r="C15" s="35">
        <f>IF(B$13=0,0,B15/B$13)</f>
        <v>0.51351351351351349</v>
      </c>
      <c r="E15" s="59" t="s">
        <v>81</v>
      </c>
      <c r="F15" s="56" t="s">
        <v>36</v>
      </c>
      <c r="G15" s="44">
        <v>2</v>
      </c>
      <c r="H15" s="129">
        <f>IF(B$17=0,0,G15/B$17)</f>
        <v>0.05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13</v>
      </c>
      <c r="C16" s="35">
        <f>IF(B$14=0,0,B16/B$14)</f>
        <v>0.34210526315789475</v>
      </c>
      <c r="E16" s="59" t="s">
        <v>74</v>
      </c>
      <c r="F16" s="56" t="s">
        <v>29</v>
      </c>
      <c r="G16" s="44">
        <v>1</v>
      </c>
      <c r="H16" s="129">
        <f>IF(B$17=0,0,G16/B$17)</f>
        <v>2.5000000000000001E-2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>IF(P16=0,0,Q16/P16)</f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40</v>
      </c>
      <c r="C17" s="35">
        <f>IF(B$3=0,0,B17/B$3)</f>
        <v>0.21052631578947367</v>
      </c>
      <c r="E17" s="59" t="s">
        <v>78</v>
      </c>
      <c r="F17" s="56" t="s">
        <v>33</v>
      </c>
      <c r="G17" s="44">
        <v>1</v>
      </c>
      <c r="H17" s="129">
        <f>IF(B$17=0,0,G17/B$17)</f>
        <v>2.5000000000000001E-2</v>
      </c>
      <c r="I17" s="90">
        <v>4</v>
      </c>
      <c r="K17" s="36">
        <v>15</v>
      </c>
      <c r="L17" s="95">
        <v>-272.50000000000006</v>
      </c>
      <c r="N17" s="111" t="s">
        <v>177</v>
      </c>
      <c r="O17" s="121">
        <f>IF(P17=0,0,Q17/P17)</f>
        <v>-20.7</v>
      </c>
      <c r="P17" s="115">
        <v>12</v>
      </c>
      <c r="Q17" s="103">
        <v>-248.39999999999998</v>
      </c>
    </row>
    <row r="18" spans="1:17" x14ac:dyDescent="0.4">
      <c r="A18" s="51" t="s">
        <v>12</v>
      </c>
      <c r="B18" s="44">
        <v>18</v>
      </c>
      <c r="C18" s="37">
        <f>IF(B$17=0,0,B18/B$17)</f>
        <v>0.45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3</v>
      </c>
      <c r="K18" s="36">
        <v>16</v>
      </c>
      <c r="L18" s="95">
        <v>-320.30000000000007</v>
      </c>
      <c r="N18" s="111" t="s">
        <v>178</v>
      </c>
      <c r="O18" s="121">
        <f>IF(P18=0,0,Q18/P18)</f>
        <v>-23.391666666666666</v>
      </c>
      <c r="P18" s="115">
        <v>12</v>
      </c>
      <c r="Q18" s="103">
        <v>-280.7</v>
      </c>
    </row>
    <row r="19" spans="1:17" x14ac:dyDescent="0.4">
      <c r="A19" s="51" t="s">
        <v>11</v>
      </c>
      <c r="B19" s="44">
        <v>22</v>
      </c>
      <c r="C19" s="37">
        <f>IF(B$17=0,0,B19/B$17)</f>
        <v>0.55000000000000004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6</v>
      </c>
      <c r="K19" s="36">
        <v>17</v>
      </c>
      <c r="L19" s="95">
        <v>-352.60000000000008</v>
      </c>
      <c r="N19" s="111" t="s">
        <v>179</v>
      </c>
      <c r="O19" s="121">
        <f>IF(P19=0,0,Q19/P19)</f>
        <v>-25.799999999999997</v>
      </c>
      <c r="P19" s="115">
        <v>1</v>
      </c>
      <c r="Q19" s="103">
        <v>-25.799999999999997</v>
      </c>
    </row>
    <row r="20" spans="1:17" x14ac:dyDescent="0.4">
      <c r="A20" s="51" t="s">
        <v>13</v>
      </c>
      <c r="B20" s="44">
        <v>38</v>
      </c>
      <c r="C20" s="37">
        <f>IF(B$3=0,0,B20/B$3)</f>
        <v>0.2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126</v>
      </c>
      <c r="O20" s="121">
        <f>IF(P20=0,0,Q20/P20)</f>
        <v>-32.228571428571435</v>
      </c>
      <c r="P20" s="115">
        <v>7</v>
      </c>
      <c r="Q20" s="103">
        <v>-225.60000000000002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11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-428.10000000000008</v>
      </c>
      <c r="N22" s="111" t="s">
        <v>127</v>
      </c>
      <c r="O22" s="121">
        <f>IF(P22=0,0,Q22/P22)</f>
        <v>-52.783333333333331</v>
      </c>
      <c r="P22" s="115">
        <v>6</v>
      </c>
      <c r="Q22" s="103">
        <v>-316.7</v>
      </c>
    </row>
    <row r="23" spans="1:17" x14ac:dyDescent="0.4">
      <c r="A23" s="51" t="s">
        <v>5</v>
      </c>
      <c r="B23" s="48">
        <f>IF(B$17=0,0,C23/B$17)</f>
        <v>7562.5</v>
      </c>
      <c r="C23" s="39">
        <v>302500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8655.5555555555547</v>
      </c>
      <c r="C24" s="137">
        <v>233700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5292.3076923076924</v>
      </c>
      <c r="C25" s="137">
        <v>68800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-8781.5789473684217</v>
      </c>
      <c r="C26" s="137">
        <v>-333700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4">
        <v>6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85100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5.263157894736842E-3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181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14</v>
      </c>
      <c r="C2" s="151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2">
        <v>142</v>
      </c>
      <c r="C3" s="153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4">
        <v>49.900000000000006</v>
      </c>
      <c r="C4" s="155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6">
        <f>IF(B$2=0,0,B$4/B$2)</f>
        <v>3.5642857142857145</v>
      </c>
      <c r="C5" s="157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-1492.3076923076924</v>
      </c>
      <c r="P5" s="115">
        <v>13</v>
      </c>
      <c r="Q5" s="99">
        <v>-19400</v>
      </c>
    </row>
    <row r="6" spans="1:17" x14ac:dyDescent="0.4">
      <c r="A6" s="51" t="s">
        <v>1</v>
      </c>
      <c r="B6" s="146">
        <f>IF(B$2=0,0,(B$7*1+B$8*2+B$9*3)/B$2)</f>
        <v>1.9285714285714286</v>
      </c>
      <c r="C6" s="147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1300</v>
      </c>
      <c r="P7" s="116">
        <v>9</v>
      </c>
      <c r="Q7" s="100">
        <v>11700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6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3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4">
        <v>7</v>
      </c>
      <c r="C27" s="145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2">
        <v>95200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195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</v>
      </c>
      <c r="C2" s="151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2">
        <v>62</v>
      </c>
      <c r="C3" s="153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4">
        <v>-104.80000000000001</v>
      </c>
      <c r="C4" s="155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6">
        <f>IF(B$2=0,0,B$4/B$2)</f>
        <v>-14.971428571428573</v>
      </c>
      <c r="C5" s="157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6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59500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F58B-23C7-4D1F-A96B-F1A8166E7C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222</v>
      </c>
      <c r="C1" s="149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</v>
      </c>
      <c r="C2" s="151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2">
        <v>15</v>
      </c>
      <c r="C3" s="153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4">
        <v>26.2</v>
      </c>
      <c r="C4" s="155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6">
        <f>IF(B$2=0,0,B$4/B$2)</f>
        <v>13.1</v>
      </c>
      <c r="C5" s="157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6">
        <f>IF(B$2=0,0,(B$7*1+B$8*2+B$9*3)/B$2)</f>
        <v>1.5</v>
      </c>
      <c r="C6" s="147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6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3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52800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E266-DC58-4F11-894D-64199DBCB0D1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5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4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4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りくと</vt:lpstr>
      <vt:lpstr>ただ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2019-10-18T16:45:13Z</dcterms:modified>
</cp:coreProperties>
</file>