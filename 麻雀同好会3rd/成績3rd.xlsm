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5997FF5-5A09-48B3-9DEA-3AB4BA13FC96}" xr6:coauthVersionLast="41" xr6:coauthVersionMax="41" xr10:uidLastSave="{00000000-0000-0000-0000-000000000000}"/>
  <bookViews>
    <workbookView xWindow="-120" yWindow="-120" windowWidth="20730" windowHeight="11310" tabRatio="663" firstSheet="4" activeTab="7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6" i="5857"/>
  <c r="O17" i="5861"/>
  <c r="O16" i="5863"/>
  <c r="O20" i="5863"/>
  <c r="O19" i="5857"/>
  <c r="O18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19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0" i="5869"/>
  <c r="H6" i="5869"/>
  <c r="H11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8" i="5855"/>
  <c r="O19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3" i="5867"/>
  <c r="H24" i="5867"/>
  <c r="H33" i="5867"/>
  <c r="H26" i="5867"/>
  <c r="H38" i="5867"/>
  <c r="H27" i="5867"/>
  <c r="H45" i="5867"/>
  <c r="H49" i="5867"/>
  <c r="H5" i="5867"/>
  <c r="H8" i="5867"/>
  <c r="H22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9" i="5867"/>
  <c r="H21" i="5867"/>
  <c r="H15" i="5867"/>
  <c r="H19" i="5867"/>
  <c r="H32" i="5867"/>
  <c r="H13" i="5867"/>
  <c r="H25" i="5867"/>
  <c r="H20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0" i="5863"/>
  <c r="H18" i="5863"/>
  <c r="C17" i="5863"/>
  <c r="B24" i="5863"/>
  <c r="H11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7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6" i="5855"/>
  <c r="H24" i="5857"/>
  <c r="H5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20" i="5861"/>
  <c r="H18" i="5861"/>
  <c r="H17" i="5861"/>
  <c r="H25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4" i="5861"/>
  <c r="C19" i="5861"/>
  <c r="H14" i="5861"/>
  <c r="H35" i="5861"/>
  <c r="H42" i="5861"/>
  <c r="H50" i="5861"/>
  <c r="H7" i="5861"/>
  <c r="H23" i="5861"/>
  <c r="H27" i="5861"/>
  <c r="H15" i="5861"/>
  <c r="C18" i="5861"/>
  <c r="B23" i="5861"/>
  <c r="H8" i="5861"/>
  <c r="H22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5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<sst xmlns="http://schemas.openxmlformats.org/spreadsheetml/2006/main" count="2868" uniqueCount="251">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</sst>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全体!$L$2:$L$602</c:f>
              <c:numCache>
                <c:formatCode>\+0.0;\-0.0;\±0</c:formatCode>
                <c:ptCount val="60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-21.775544388609717</c:v>
                </c:pt>
                <c:pt idx="1">
                  <c:v>8.5910652920962196</c:v>
                </c:pt>
                <c:pt idx="2">
                  <c:v>-14.492753623188406</c:v>
                </c:pt>
                <c:pt idx="3">
                  <c:v>9.6339113680154149</c:v>
                </c:pt>
                <c:pt idx="4">
                  <c:v>10.482180293501049</c:v>
                </c:pt>
                <c:pt idx="5">
                  <c:v>15.384615384615385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1258.4905660377358</c:v>
                </c:pt>
                <c:pt idx="1">
                  <c:v>-1067.3076923076924</c:v>
                </c:pt>
                <c:pt idx="2">
                  <c:v>-1968</c:v>
                </c:pt>
                <c:pt idx="3">
                  <c:v>-1389.795918367347</c:v>
                </c:pt>
                <c:pt idx="4">
                  <c:v>-150</c:v>
                </c:pt>
                <c:pt idx="5">
                  <c:v>-1839.0243902439024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1340.8333333333333</c:v>
                </c:pt>
                <c:pt idx="1">
                  <c:v>922.22222222222217</c:v>
                </c:pt>
                <c:pt idx="2">
                  <c:v>986.72566371681421</c:v>
                </c:pt>
                <c:pt idx="3">
                  <c:v>175.96153846153845</c:v>
                </c:pt>
                <c:pt idx="4">
                  <c:v>1991.7525773195875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ただ!$L$2:$L$113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-1837.2727272727273</c:v>
                </c:pt>
                <c:pt idx="1">
                  <c:v>1638.3177570093458</c:v>
                </c:pt>
                <c:pt idx="2">
                  <c:v>-92</c:v>
                </c:pt>
                <c:pt idx="3">
                  <c:v>738.29787234042556</c:v>
                </c:pt>
                <c:pt idx="4">
                  <c:v>-911.62790697674416</c:v>
                </c:pt>
                <c:pt idx="5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りくと!$K$2:$K$72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りくと!$L$2:$L$72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-869.11764705882354</c:v>
                </c:pt>
                <c:pt idx="2">
                  <c:v>846.03174603174602</c:v>
                </c:pt>
                <c:pt idx="3">
                  <c:v>-1324.1935483870968</c:v>
                </c:pt>
                <c:pt idx="4">
                  <c:v>-3210.1694915254238</c:v>
                </c:pt>
                <c:pt idx="5">
                  <c:v>-1372.5490196078431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1388</c:v>
                </c:pt>
                <c:pt idx="1">
                  <c:v>-2555.5555555555557</c:v>
                </c:pt>
                <c:pt idx="2">
                  <c:v>641.79104477611941</c:v>
                </c:pt>
                <c:pt idx="3">
                  <c:v>3474.6031746031745</c:v>
                </c:pt>
                <c:pt idx="4">
                  <c:v>728.07017543859649</c:v>
                </c:pt>
                <c:pt idx="5">
                  <c:v>-83.720930232558146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912.5</c:v>
                </c:pt>
                <c:pt idx="1">
                  <c:v>652.68817204301081</c:v>
                </c:pt>
                <c:pt idx="2">
                  <c:v>-358.62068965517244</c:v>
                </c:pt>
                <c:pt idx="3">
                  <c:v>64.556962025316452</c:v>
                </c:pt>
                <c:pt idx="4">
                  <c:v>-671.01449275362324</c:v>
                </c:pt>
                <c:pt idx="5">
                  <c:v>-579.66101694915255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れんたろう2!$B$3:$B$78</c:f>
              <c:numCache>
                <c:formatCode>\+0.0;\-0.0;\±0</c:formatCode>
                <c:ptCount val="7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れんたろう2!$C$3:$C$78</c:f>
              <c:numCache>
                <c:formatCode>\+0.0;\-0.0;\±0</c:formatCode>
                <c:ptCount val="76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289665250534502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れんたろう2!$D$3:$D$78</c:f>
              <c:numCache>
                <c:formatCode>0.00\ "位"</c:formatCode>
                <c:ptCount val="76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れんたろう2!$E$3:$E$78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れんたろう2!$F$3:$F$78</c:f>
              <c:numCache>
                <c:formatCode>0.0%</c:formatCode>
                <c:ptCount val="7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れんたろう2!$G$3:$G$78</c:f>
              <c:numCache>
                <c:formatCode>0.0%</c:formatCode>
                <c:ptCount val="76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02327914910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れんたろう2!$H$3:$H$78</c:f>
              <c:numCache>
                <c:formatCode>0.0%</c:formatCode>
                <c:ptCount val="76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95404374874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れんたろう2!$I$3:$I$78</c:f>
              <c:numCache>
                <c:formatCode>0</c:formatCode>
                <c:ptCount val="76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96.86861810755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れんたろう2!$J$3:$J$78</c:f>
              <c:numCache>
                <c:formatCode>0</c:formatCode>
                <c:ptCount val="76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29.92610837438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れんたろう2!$K$3:$K$78</c:f>
              <c:numCache>
                <c:formatCode>0.0%</c:formatCode>
                <c:ptCount val="7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33333333333332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れんたろう2!$L$3:$L$78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0.19117647058823528</c:v>
                </c:pt>
                <c:pt idx="69">
                  <c:v>0.18840579710144928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0.19444444444444445</c:v>
                </c:pt>
                <c:pt idx="73">
                  <c:v>0.19178082191780821</c:v>
                </c:pt>
                <c:pt idx="74">
                  <c:v>0.1891891891891892</c:v>
                </c:pt>
                <c:pt idx="75">
                  <c:v>0.18666666666666668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33333333333332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れんたろう2!$M$3:$M$78</c:f>
              <c:numCache>
                <c:formatCode>0.0%</c:formatCode>
                <c:ptCount val="76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063816977724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れんたろう2!$N$3:$N$78</c:f>
              <c:numCache>
                <c:formatCode>0.0%</c:formatCode>
                <c:ptCount val="76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978526991772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れんたろう2!$O$3:$O$78</c:f>
              <c:numCache>
                <c:formatCode>0.0%</c:formatCode>
                <c:ptCount val="76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66192733017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れんたろう2!$P$3:$P$78</c:f>
              <c:numCache>
                <c:formatCode>0.0%</c:formatCode>
                <c:ptCount val="76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79579316389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れんたろう2!$Q$3:$Q$78</c:f>
              <c:numCache>
                <c:formatCode>0.0%</c:formatCode>
                <c:ptCount val="76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797140912185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43773.722453703704</v>
      </c>
      <c r="C50" s="28" t="s">
        <v>128</v>
      </c>
    </row>
    <row r="51" spans="1:9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43781.637499999997</v>
      </c>
      <c r="C53" s="28" t="s">
        <v>128</v>
      </c>
    </row>
    <row r="54" spans="1:9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43783.744745370372</v>
      </c>
      <c r="C56" s="28" t="s">
        <v>128</v>
      </c>
    </row>
    <row r="57" spans="1:9" x14ac:dyDescent="0.4">
      <c r="A57" s="28" t="s">
        <v>248</v>
      </c>
      <c r="B57" s="29">
        <v>43784.974247685182</v>
      </c>
      <c r="C57" s="28" t="s">
        <v>128</v>
      </c>
    </row>
    <row r="58" spans="1:9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43786.909467592595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600</v>
      </c>
    </row>
    <row r="2" spans="1:2" x14ac:dyDescent="0.4">
      <c r="A2" t="s">
        <v>166</v>
      </c>
      <c r="B2">
        <v>53</v>
      </c>
    </row>
    <row r="3" spans="1:2" x14ac:dyDescent="0.4">
      <c r="A3" t="s">
        <v>126</v>
      </c>
      <c r="B3">
        <v>121</v>
      </c>
    </row>
    <row r="4" spans="1:2" x14ac:dyDescent="0.4">
      <c r="A4" t="s">
        <v>127</v>
      </c>
      <c r="B4">
        <v>111</v>
      </c>
    </row>
    <row r="5" spans="1:2" x14ac:dyDescent="0.4">
      <c r="A5" t="s">
        <v>179</v>
      </c>
      <c r="B5">
        <v>70</v>
      </c>
    </row>
    <row r="6" spans="1:2" x14ac:dyDescent="0.4">
      <c r="A6" t="s">
        <v>177</v>
      </c>
      <c r="B6">
        <v>75</v>
      </c>
    </row>
    <row r="7" spans="1:2" x14ac:dyDescent="0.4">
      <c r="A7" t="s">
        <v>178</v>
      </c>
      <c r="B7">
        <v>96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opLeftCell="AA1" zoomScale="130" zoomScaleNormal="130" workbookViewId="0">
      <selection activeCell="AC16" sqref="AC16"/>
    </sheetView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0.99181599580895674</v>
      </c>
      <c r="G2" s="161"/>
      <c r="H2" s="160">
        <v>0.87937390127637161</v>
      </c>
      <c r="I2" s="161"/>
      <c r="J2" s="160">
        <v>0.92302527294401127</v>
      </c>
      <c r="K2" s="161"/>
      <c r="L2" s="160">
        <v>0.84279576926360189</v>
      </c>
      <c r="M2" s="161"/>
      <c r="N2" s="160">
        <v>0.56205187095747433</v>
      </c>
      <c r="O2" s="161"/>
      <c r="P2" s="160">
        <v>0.55895602644104858</v>
      </c>
      <c r="Q2" s="161"/>
      <c r="R2" s="160">
        <v>9.5251477432492473E-2</v>
      </c>
      <c r="S2" s="161"/>
      <c r="T2" s="160">
        <v>0.57305501403640047</v>
      </c>
      <c r="U2" s="161"/>
      <c r="V2" s="160">
        <v>0.8401275904938843</v>
      </c>
      <c r="W2" s="161"/>
      <c r="X2" s="160">
        <v>0.58808750667813903</v>
      </c>
      <c r="Y2" s="161"/>
      <c r="Z2" s="160">
        <v>-4.0917330714298622E-2</v>
      </c>
      <c r="AA2" s="161"/>
      <c r="AB2" s="160">
        <v>0.50908927748600685</v>
      </c>
      <c r="AC2" s="161"/>
      <c r="AD2" s="160">
        <v>0.34201188658559045</v>
      </c>
      <c r="AE2" s="161"/>
      <c r="AF2" s="160">
        <v>-0.10122761223647496</v>
      </c>
      <c r="AG2" s="161"/>
      <c r="AH2" s="160">
        <v>0.7603683216687348</v>
      </c>
      <c r="AI2" s="161"/>
    </row>
    <row r="3" spans="1:35" x14ac:dyDescent="0.4">
      <c r="A3" s="70">
        <v>1</v>
      </c>
      <c r="B3" s="71" t="s">
        <v>126</v>
      </c>
      <c r="C3" s="72">
        <v>1071.8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10850.581395348838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0.18666666666666668</v>
      </c>
      <c r="X3" s="73" t="s">
        <v>177</v>
      </c>
      <c r="Y3" s="76">
        <v>0.31788079470198677</v>
      </c>
      <c r="Z3" s="73" t="s">
        <v>195</v>
      </c>
      <c r="AA3" s="76">
        <v>0.35483870967741937</v>
      </c>
      <c r="AB3" s="73" t="s">
        <v>126</v>
      </c>
      <c r="AC3" s="76">
        <v>0.59774436090225569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332.60000000000008</v>
      </c>
      <c r="D4" s="81" t="s">
        <v>126</v>
      </c>
      <c r="E4" s="93">
        <v>8.8578512396694205</v>
      </c>
      <c r="F4" s="81" t="s">
        <v>126</v>
      </c>
      <c r="G4" s="82">
        <v>1.7851239669421488</v>
      </c>
      <c r="H4" s="81" t="s">
        <v>126</v>
      </c>
      <c r="I4" s="83">
        <v>0.45454545454545453</v>
      </c>
      <c r="J4" s="81" t="s">
        <v>126</v>
      </c>
      <c r="K4" s="83">
        <v>0.23966942148760331</v>
      </c>
      <c r="L4" s="81" t="s">
        <v>126</v>
      </c>
      <c r="M4" s="84">
        <v>0.34282807731434384</v>
      </c>
      <c r="N4" s="81" t="s">
        <v>126</v>
      </c>
      <c r="O4" s="84">
        <v>0.12919633774160733</v>
      </c>
      <c r="P4" s="81" t="s">
        <v>127</v>
      </c>
      <c r="Q4" s="85">
        <v>8542.7561837455833</v>
      </c>
      <c r="R4" s="81" t="s">
        <v>166</v>
      </c>
      <c r="S4" s="85">
        <v>-7594.4444444444443</v>
      </c>
      <c r="T4" s="81" t="s">
        <v>166</v>
      </c>
      <c r="U4" s="83">
        <v>3.7735849056603772E-2</v>
      </c>
      <c r="V4" s="81" t="s">
        <v>195</v>
      </c>
      <c r="W4" s="83">
        <v>0.14285714285714285</v>
      </c>
      <c r="X4" s="81" t="s">
        <v>179</v>
      </c>
      <c r="Y4" s="84">
        <v>0.28499156829679595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0.48636363636363639</v>
      </c>
      <c r="AF4" s="81" t="s">
        <v>182</v>
      </c>
      <c r="AG4" s="84">
        <v>0.48192771084337349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85.999999999999787</v>
      </c>
      <c r="D5" s="81" t="s">
        <v>177</v>
      </c>
      <c r="E5" s="93">
        <v>4.4346666666666676</v>
      </c>
      <c r="F5" s="81" t="s">
        <v>177</v>
      </c>
      <c r="G5" s="82">
        <v>1.92</v>
      </c>
      <c r="H5" s="81" t="s">
        <v>195</v>
      </c>
      <c r="I5" s="83">
        <v>0.42857142857142855</v>
      </c>
      <c r="J5" s="81" t="s">
        <v>178</v>
      </c>
      <c r="K5" s="83">
        <v>0.26041666666666669</v>
      </c>
      <c r="L5" s="81" t="s">
        <v>127</v>
      </c>
      <c r="M5" s="84">
        <v>0.30495689655172414</v>
      </c>
      <c r="N5" s="81" t="s">
        <v>178</v>
      </c>
      <c r="O5" s="84">
        <v>0.13403416557161629</v>
      </c>
      <c r="P5" s="81" t="s">
        <v>143</v>
      </c>
      <c r="Q5" s="85">
        <v>8496.8686181075554</v>
      </c>
      <c r="R5" s="81" t="s">
        <v>179</v>
      </c>
      <c r="S5" s="85">
        <v>-7667.226890756303</v>
      </c>
      <c r="T5" s="81" t="s">
        <v>126</v>
      </c>
      <c r="U5" s="83">
        <v>4.1322314049586778E-2</v>
      </c>
      <c r="V5" s="81" t="s">
        <v>181</v>
      </c>
      <c r="W5" s="83">
        <v>0.125</v>
      </c>
      <c r="X5" s="81" t="s">
        <v>126</v>
      </c>
      <c r="Y5" s="84">
        <v>0.27060020345879959</v>
      </c>
      <c r="Z5" s="81" t="s">
        <v>127</v>
      </c>
      <c r="AA5" s="84">
        <v>0.30926724137931033</v>
      </c>
      <c r="AB5" s="81" t="s">
        <v>178</v>
      </c>
      <c r="AC5" s="84">
        <v>0.58536585365853655</v>
      </c>
      <c r="AD5" s="81" t="s">
        <v>177</v>
      </c>
      <c r="AE5" s="84">
        <v>0.42452830188679247</v>
      </c>
      <c r="AF5" s="81" t="s">
        <v>177</v>
      </c>
      <c r="AG5" s="84">
        <v>0.47674418604651164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178</v>
      </c>
      <c r="C6" s="80">
        <v>52.29999999999999</v>
      </c>
      <c r="D6" s="81" t="s">
        <v>127</v>
      </c>
      <c r="E6" s="93">
        <v>0.77477477477477286</v>
      </c>
      <c r="F6" s="81" t="s">
        <v>127</v>
      </c>
      <c r="G6" s="82">
        <v>1.954954954954955</v>
      </c>
      <c r="H6" s="81" t="s">
        <v>177</v>
      </c>
      <c r="I6" s="83">
        <v>0.4</v>
      </c>
      <c r="J6" s="81" t="s">
        <v>127</v>
      </c>
      <c r="K6" s="83">
        <v>0.30630630630630629</v>
      </c>
      <c r="L6" s="81" t="s">
        <v>143</v>
      </c>
      <c r="M6" s="84">
        <v>0.29480232791491068</v>
      </c>
      <c r="N6" s="81" t="s">
        <v>166</v>
      </c>
      <c r="O6" s="84">
        <v>0.15189873417721519</v>
      </c>
      <c r="P6" s="81" t="s">
        <v>181</v>
      </c>
      <c r="Q6" s="85">
        <v>8456.4516129032254</v>
      </c>
      <c r="R6" s="81" t="s">
        <v>126</v>
      </c>
      <c r="S6" s="85">
        <v>-7880.3149606299212</v>
      </c>
      <c r="T6" s="81" t="s">
        <v>178</v>
      </c>
      <c r="U6" s="83">
        <v>8.3333333333333329E-2</v>
      </c>
      <c r="V6" s="81" t="s">
        <v>126</v>
      </c>
      <c r="W6" s="83">
        <v>0.12396694214876033</v>
      </c>
      <c r="X6" s="81" t="s">
        <v>178</v>
      </c>
      <c r="Y6" s="84">
        <v>0.26938239159001315</v>
      </c>
      <c r="Z6" s="81" t="s">
        <v>166</v>
      </c>
      <c r="AA6" s="84">
        <v>0.23417721518987342</v>
      </c>
      <c r="AB6" s="81" t="s">
        <v>179</v>
      </c>
      <c r="AC6" s="84">
        <v>0.57396449704142016</v>
      </c>
      <c r="AD6" s="81" t="s">
        <v>182</v>
      </c>
      <c r="AE6" s="84">
        <v>0.41891891891891891</v>
      </c>
      <c r="AF6" s="81" t="s">
        <v>179</v>
      </c>
      <c r="AG6" s="84">
        <v>0.45783132530120479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178</v>
      </c>
      <c r="E7" s="93">
        <v>0.54479166666666656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0.32</v>
      </c>
      <c r="L7" s="81" t="s">
        <v>178</v>
      </c>
      <c r="M7" s="84">
        <v>0.29040735873850199</v>
      </c>
      <c r="N7" s="81" t="s">
        <v>143</v>
      </c>
      <c r="O7" s="84">
        <v>0.16295404374874572</v>
      </c>
      <c r="P7" s="81" t="s">
        <v>178</v>
      </c>
      <c r="Q7" s="85">
        <v>8432.1266968325799</v>
      </c>
      <c r="R7" s="81" t="s">
        <v>178</v>
      </c>
      <c r="S7" s="85">
        <v>-7909.8039215686276</v>
      </c>
      <c r="T7" s="81" t="s">
        <v>181</v>
      </c>
      <c r="U7" s="83">
        <v>8.3333333333333329E-2</v>
      </c>
      <c r="V7" s="81" t="s">
        <v>127</v>
      </c>
      <c r="W7" s="83">
        <v>0.10810810810810811</v>
      </c>
      <c r="X7" s="81" t="s">
        <v>222</v>
      </c>
      <c r="Y7" s="84">
        <v>0.26666666666666666</v>
      </c>
      <c r="Z7" s="81" t="s">
        <v>143</v>
      </c>
      <c r="AA7" s="84">
        <v>0.22897852699177201</v>
      </c>
      <c r="AB7" s="81" t="s">
        <v>143</v>
      </c>
      <c r="AC7" s="84">
        <v>0.55766192733017372</v>
      </c>
      <c r="AD7" s="81" t="s">
        <v>178</v>
      </c>
      <c r="AE7" s="84">
        <v>0.41317365269461076</v>
      </c>
      <c r="AF7" s="81" t="s">
        <v>178</v>
      </c>
      <c r="AG7" s="84">
        <v>0.45248868778280543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2.1999999999999957</v>
      </c>
      <c r="D8" s="81" t="s">
        <v>181</v>
      </c>
      <c r="E8" s="93">
        <v>9.1666666666666494E-2</v>
      </c>
      <c r="F8" s="81" t="s">
        <v>143</v>
      </c>
      <c r="G8" s="82">
        <v>2</v>
      </c>
      <c r="H8" s="81" t="s">
        <v>127</v>
      </c>
      <c r="I8" s="83">
        <v>0.35135135135135137</v>
      </c>
      <c r="J8" s="81" t="s">
        <v>143</v>
      </c>
      <c r="K8" s="83">
        <v>0.33333333333333331</v>
      </c>
      <c r="L8" s="81" t="s">
        <v>177</v>
      </c>
      <c r="M8" s="84">
        <v>0.28476821192052981</v>
      </c>
      <c r="N8" s="81" t="s">
        <v>181</v>
      </c>
      <c r="O8" s="84">
        <v>0.16593886462882096</v>
      </c>
      <c r="P8" s="81" t="s">
        <v>126</v>
      </c>
      <c r="Q8" s="85">
        <v>8289.0207715133529</v>
      </c>
      <c r="R8" s="81" t="s">
        <v>143</v>
      </c>
      <c r="S8" s="85">
        <v>-7929.9261083743841</v>
      </c>
      <c r="T8" s="81" t="s">
        <v>179</v>
      </c>
      <c r="U8" s="83">
        <v>8.5714285714285715E-2</v>
      </c>
      <c r="V8" s="81" t="s">
        <v>143</v>
      </c>
      <c r="W8" s="83">
        <v>9.8333333333333328E-2</v>
      </c>
      <c r="X8" s="81" t="s">
        <v>181</v>
      </c>
      <c r="Y8" s="84">
        <v>0.26637554585152839</v>
      </c>
      <c r="Z8" s="81" t="s">
        <v>126</v>
      </c>
      <c r="AA8" s="84">
        <v>0.22380467955239064</v>
      </c>
      <c r="AB8" s="81" t="s">
        <v>177</v>
      </c>
      <c r="AC8" s="84">
        <v>0.55208333333333337</v>
      </c>
      <c r="AD8" s="81" t="s">
        <v>143</v>
      </c>
      <c r="AE8" s="84">
        <v>0.41279579316389131</v>
      </c>
      <c r="AF8" s="81" t="s">
        <v>143</v>
      </c>
      <c r="AG8" s="84">
        <v>0.44179714091218514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143</v>
      </c>
      <c r="C9" s="80">
        <v>-4.9737991503207013E-14</v>
      </c>
      <c r="D9" s="81" t="s">
        <v>143</v>
      </c>
      <c r="E9" s="93">
        <v>-8.2896652505345025E-17</v>
      </c>
      <c r="F9" s="81" t="s">
        <v>178</v>
      </c>
      <c r="G9" s="82">
        <v>2.0104166666666665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0.2799325463743676</v>
      </c>
      <c r="N9" s="81" t="s">
        <v>177</v>
      </c>
      <c r="O9" s="84">
        <v>0.16721854304635761</v>
      </c>
      <c r="P9" s="81" t="s">
        <v>179</v>
      </c>
      <c r="Q9" s="85">
        <v>8094.5783132530123</v>
      </c>
      <c r="R9" s="81" t="s">
        <v>222</v>
      </c>
      <c r="S9" s="85">
        <v>-8000</v>
      </c>
      <c r="T9" s="81" t="s">
        <v>143</v>
      </c>
      <c r="U9" s="83">
        <v>9.8333333333333328E-2</v>
      </c>
      <c r="V9" s="81" t="s">
        <v>178</v>
      </c>
      <c r="W9" s="83">
        <v>9.375E-2</v>
      </c>
      <c r="X9" s="81" t="s">
        <v>143</v>
      </c>
      <c r="Y9" s="84">
        <v>0.25406381697772429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0.41228070175438597</v>
      </c>
      <c r="AF9" s="81" t="s">
        <v>126</v>
      </c>
      <c r="AG9" s="84">
        <v>0.42433234421364985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179</v>
      </c>
      <c r="E10" s="93">
        <v>-6.5428571428571427</v>
      </c>
      <c r="F10" s="81" t="s">
        <v>195</v>
      </c>
      <c r="G10" s="82">
        <v>2.1428571428571428</v>
      </c>
      <c r="H10" s="81" t="s">
        <v>166</v>
      </c>
      <c r="I10" s="83">
        <v>0.32075471698113206</v>
      </c>
      <c r="J10" s="81" t="s">
        <v>179</v>
      </c>
      <c r="K10" s="83">
        <v>0.38571428571428573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-8149.1525423728817</v>
      </c>
      <c r="T10" s="81" t="s">
        <v>177</v>
      </c>
      <c r="U10" s="83">
        <v>0.10666666666666667</v>
      </c>
      <c r="V10" s="81" t="s">
        <v>166</v>
      </c>
      <c r="W10" s="83">
        <v>3.7735849056603772E-2</v>
      </c>
      <c r="X10" s="81" t="s">
        <v>195</v>
      </c>
      <c r="Y10" s="84">
        <v>0.24193548387096775</v>
      </c>
      <c r="Z10" s="81" t="s">
        <v>178</v>
      </c>
      <c r="AA10" s="84">
        <v>0.21944809461235218</v>
      </c>
      <c r="AB10" s="81" t="s">
        <v>182</v>
      </c>
      <c r="AC10" s="84">
        <v>0.52173913043478259</v>
      </c>
      <c r="AD10" s="81" t="s">
        <v>127</v>
      </c>
      <c r="AE10" s="84">
        <v>0.37630662020905925</v>
      </c>
      <c r="AF10" s="81" t="s">
        <v>166</v>
      </c>
      <c r="AG10" s="84">
        <v>0.41463414634146339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-383.50000000000011</v>
      </c>
      <c r="D11" s="81" t="s">
        <v>166</v>
      </c>
      <c r="E11" s="93">
        <v>-7.2358490566037759</v>
      </c>
      <c r="F11" s="81" t="s">
        <v>166</v>
      </c>
      <c r="G11" s="82">
        <v>2.1509433962264151</v>
      </c>
      <c r="H11" s="81" t="s">
        <v>178</v>
      </c>
      <c r="I11" s="83">
        <v>0.25</v>
      </c>
      <c r="J11" s="81" t="s">
        <v>166</v>
      </c>
      <c r="K11" s="83">
        <v>0.47169811320754718</v>
      </c>
      <c r="L11" s="81" t="s">
        <v>166</v>
      </c>
      <c r="M11" s="84">
        <v>0.25949367088607594</v>
      </c>
      <c r="N11" s="81" t="s">
        <v>127</v>
      </c>
      <c r="O11" s="84">
        <v>0.19073275862068967</v>
      </c>
      <c r="P11" s="81" t="s">
        <v>195</v>
      </c>
      <c r="Q11" s="85">
        <v>7473.333333333333</v>
      </c>
      <c r="R11" s="81" t="s">
        <v>177</v>
      </c>
      <c r="S11" s="85">
        <v>-8212.8712871287134</v>
      </c>
      <c r="T11" s="81" t="s">
        <v>127</v>
      </c>
      <c r="U11" s="83">
        <v>0.13513513513513514</v>
      </c>
      <c r="V11" s="81" t="s">
        <v>179</v>
      </c>
      <c r="W11" s="83">
        <v>2.8571428571428571E-2</v>
      </c>
      <c r="X11" s="81" t="s">
        <v>127</v>
      </c>
      <c r="Y11" s="84">
        <v>0.23060344827586207</v>
      </c>
      <c r="Z11" s="81" t="s">
        <v>179</v>
      </c>
      <c r="AA11" s="84">
        <v>0.19224283305227655</v>
      </c>
      <c r="AB11" s="81" t="s">
        <v>127</v>
      </c>
      <c r="AC11" s="84">
        <v>0.5</v>
      </c>
      <c r="AD11" s="81" t="s">
        <v>166</v>
      </c>
      <c r="AE11" s="84">
        <v>0.36936936936936937</v>
      </c>
      <c r="AF11" s="81" t="s">
        <v>127</v>
      </c>
      <c r="AG11" s="84">
        <v>0.40636042402826855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-458</v>
      </c>
      <c r="D12" s="81" t="s">
        <v>195</v>
      </c>
      <c r="E12" s="93">
        <v>-14.971428571428573</v>
      </c>
      <c r="F12" s="81" t="s">
        <v>179</v>
      </c>
      <c r="G12" s="82">
        <v>2.157142857142857</v>
      </c>
      <c r="H12" s="81" t="s">
        <v>179</v>
      </c>
      <c r="I12" s="83">
        <v>0.22857142857142856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0.17549668874172186</v>
      </c>
      <c r="AB12" s="81" t="s">
        <v>222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0.20067453625632378</v>
      </c>
      <c r="P13" s="81" t="s">
        <v>166</v>
      </c>
      <c r="Q13" s="85">
        <v>7054.4715447154467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0.14978902953586498</v>
      </c>
      <c r="Z13" s="81" t="s">
        <v>181</v>
      </c>
      <c r="AA13" s="84">
        <v>0.15283842794759825</v>
      </c>
      <c r="AB13" s="81" t="s">
        <v>166</v>
      </c>
      <c r="AC13" s="84">
        <v>0.49295774647887325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6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600</v>
      </c>
      <c r="C2" s="149"/>
      <c r="E2" s="58" t="s">
        <v>66</v>
      </c>
      <c r="F2" s="55" t="s">
        <v>22</v>
      </c>
      <c r="G2" s="43">
        <v>1134</v>
      </c>
      <c r="H2" s="128">
        <f>IF(B$17=0,0,G2/B$17)</f>
        <v>0.77195371000680735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-21.775544388609717</v>
      </c>
      <c r="P2" s="114">
        <v>597</v>
      </c>
      <c r="Q2" s="98">
        <v>-13000</v>
      </c>
    </row>
    <row r="3" spans="1:17" x14ac:dyDescent="0.4">
      <c r="A3" s="51" t="s">
        <v>8</v>
      </c>
      <c r="B3" s="150">
        <v>4983</v>
      </c>
      <c r="C3" s="151"/>
      <c r="E3" s="59" t="s">
        <v>72</v>
      </c>
      <c r="F3" s="56" t="s">
        <v>27</v>
      </c>
      <c r="G3" s="44">
        <v>785</v>
      </c>
      <c r="H3" s="129">
        <f>IF(B$17=0,0,G3/B$17)</f>
        <v>0.53437712729748132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8.5910652920962196</v>
      </c>
      <c r="P3" s="115">
        <v>582</v>
      </c>
      <c r="Q3" s="99">
        <v>5000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675</v>
      </c>
      <c r="H4" s="129">
        <f>IF(B$17=0,0,G4/B$17)</f>
        <v>0.45949625595643295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-14.492753623188406</v>
      </c>
      <c r="P4" s="115">
        <v>552</v>
      </c>
      <c r="Q4" s="99">
        <v>-8000</v>
      </c>
    </row>
    <row r="5" spans="1:17" x14ac:dyDescent="0.4">
      <c r="A5" s="51" t="s">
        <v>7</v>
      </c>
      <c r="B5" s="154">
        <f>IF(B$2=0,0,B$4/B$2)</f>
        <v>-8.2896652505345025E-17</v>
      </c>
      <c r="C5" s="155"/>
      <c r="E5" s="59" t="s">
        <v>171</v>
      </c>
      <c r="F5" s="56" t="s">
        <v>172</v>
      </c>
      <c r="G5" s="44">
        <v>592</v>
      </c>
      <c r="H5" s="129">
        <f>IF(B$17=0,0,G5/B$17)</f>
        <v>0.40299523485364191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9.6339113680154149</v>
      </c>
      <c r="P5" s="115">
        <v>519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460</v>
      </c>
      <c r="H6" s="129">
        <f>IF(B$17=0,0,G6/B$17)</f>
        <v>0.31313818924438391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10.482180293501049</v>
      </c>
      <c r="P6" s="115">
        <v>477</v>
      </c>
      <c r="Q6" s="99">
        <v>5000</v>
      </c>
    </row>
    <row r="7" spans="1:17" x14ac:dyDescent="0.4">
      <c r="A7" s="51" t="s">
        <v>2</v>
      </c>
      <c r="B7" s="44">
        <v>200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415</v>
      </c>
      <c r="H7" s="129">
        <f>IF(B$17=0,0,G7/B$17)</f>
        <v>0.28250510551395508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15.384615384615385</v>
      </c>
      <c r="P7" s="116">
        <v>390</v>
      </c>
      <c r="Q7" s="100">
        <v>6000</v>
      </c>
    </row>
    <row r="8" spans="1:17" x14ac:dyDescent="0.4">
      <c r="A8" s="51" t="s">
        <v>3</v>
      </c>
      <c r="B8" s="44">
        <v>200</v>
      </c>
      <c r="C8" s="37">
        <f t="shared" si="1"/>
        <v>0.33333333333333331</v>
      </c>
      <c r="E8" s="59" t="s">
        <v>69</v>
      </c>
      <c r="F8" s="56" t="s">
        <v>24</v>
      </c>
      <c r="G8" s="44">
        <v>221</v>
      </c>
      <c r="H8" s="129">
        <f>IF(B$17=0,0,G8/B$17)</f>
        <v>0.15044247787610621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200</v>
      </c>
      <c r="C9" s="38">
        <f t="shared" si="1"/>
        <v>0.33333333333333331</v>
      </c>
      <c r="E9" s="59" t="s">
        <v>89</v>
      </c>
      <c r="F9" s="56" t="s">
        <v>44</v>
      </c>
      <c r="G9" s="44">
        <v>197</v>
      </c>
      <c r="H9" s="129">
        <f>IF(B$17=0,0,G9/B$17)</f>
        <v>0.13410483321987746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9.8333333333333328E-2</v>
      </c>
      <c r="E10" s="59" t="s">
        <v>65</v>
      </c>
      <c r="F10" s="56" t="s">
        <v>21</v>
      </c>
      <c r="G10" s="44">
        <v>157</v>
      </c>
      <c r="H10" s="129">
        <f>IF(B$17=0,0,G10/B$17)</f>
        <v>0.10687542545949626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-1.5095000000000005</v>
      </c>
      <c r="P10" s="114">
        <v>200</v>
      </c>
      <c r="Q10" s="102">
        <v>-301.90000000000009</v>
      </c>
    </row>
    <row r="11" spans="1:17" x14ac:dyDescent="0.4">
      <c r="A11" s="52" t="s">
        <v>138</v>
      </c>
      <c r="B11" s="45">
        <v>59</v>
      </c>
      <c r="C11" s="38">
        <f t="shared" si="1"/>
        <v>9.8333333333333328E-2</v>
      </c>
      <c r="E11" s="59" t="s">
        <v>70</v>
      </c>
      <c r="F11" s="56" t="s">
        <v>25</v>
      </c>
      <c r="G11" s="44">
        <v>141</v>
      </c>
      <c r="H11" s="129">
        <f>IF(B$17=0,0,G11/B$17)</f>
        <v>9.5983662355343766E-2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1.9654999999999996</v>
      </c>
      <c r="P11" s="115">
        <v>200</v>
      </c>
      <c r="Q11" s="103">
        <v>393.09999999999991</v>
      </c>
    </row>
    <row r="12" spans="1:17" x14ac:dyDescent="0.4">
      <c r="A12" s="53" t="s">
        <v>158</v>
      </c>
      <c r="B12" s="46">
        <v>60</v>
      </c>
      <c r="C12" s="40">
        <f t="shared" si="1"/>
        <v>0.1</v>
      </c>
      <c r="E12" s="59" t="s">
        <v>71</v>
      </c>
      <c r="F12" s="56" t="s">
        <v>26</v>
      </c>
      <c r="G12" s="44">
        <v>115</v>
      </c>
      <c r="H12" s="129">
        <f>IF(B$17=0,0,G12/B$17)</f>
        <v>7.8284547311095978E-2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-0.45600000000000063</v>
      </c>
      <c r="P12" s="116">
        <v>200</v>
      </c>
      <c r="Q12" s="104">
        <v>-91.200000000000131</v>
      </c>
    </row>
    <row r="13" spans="1:17" x14ac:dyDescent="0.4">
      <c r="A13" s="54" t="s">
        <v>121</v>
      </c>
      <c r="B13" s="47">
        <v>1266</v>
      </c>
      <c r="C13" s="42">
        <f>IF(B$3=0,0,B13/B$3)</f>
        <v>0.25406381697772429</v>
      </c>
      <c r="E13" s="59" t="s">
        <v>83</v>
      </c>
      <c r="F13" s="56" t="s">
        <v>38</v>
      </c>
      <c r="G13" s="44">
        <v>80</v>
      </c>
      <c r="H13" s="129">
        <f>IF(B$17=0,0,G13/B$17)</f>
        <v>5.445881552076242E-2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1141</v>
      </c>
      <c r="C14" s="37">
        <f>IF(B$3=0,0,B14/B$3)</f>
        <v>0.22897852699177201</v>
      </c>
      <c r="E14" s="59" t="s">
        <v>86</v>
      </c>
      <c r="F14" s="56" t="s">
        <v>41</v>
      </c>
      <c r="G14" s="44">
        <v>72</v>
      </c>
      <c r="H14" s="129">
        <f>IF(B$17=0,0,G14/B$17)</f>
        <v>4.9012933968686181E-2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706</v>
      </c>
      <c r="C15" s="35">
        <f>IF(B$13=0,0,B15/B$13)</f>
        <v>0.55766192733017372</v>
      </c>
      <c r="E15" s="59" t="s">
        <v>167</v>
      </c>
      <c r="F15" s="56" t="s">
        <v>168</v>
      </c>
      <c r="G15" s="44">
        <v>39</v>
      </c>
      <c r="H15" s="129">
        <f>IF(B$17=0,0,G15/B$17)</f>
        <v>2.6548672566371681E-2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471</v>
      </c>
      <c r="C16" s="35">
        <f>IF(B$14=0,0,B16/B$14)</f>
        <v>0.41279579316389131</v>
      </c>
      <c r="E16" s="59" t="s">
        <v>78</v>
      </c>
      <c r="F16" s="56" t="s">
        <v>33</v>
      </c>
      <c r="G16" s="44">
        <v>37</v>
      </c>
      <c r="H16" s="129">
        <f>IF(B$17=0,0,G16/B$17)</f>
        <v>2.518720217835262E-2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1469</v>
      </c>
      <c r="C17" s="35">
        <f>IF(B$3=0,0,B17/B$3)</f>
        <v>0.29480232791491068</v>
      </c>
      <c r="E17" s="59" t="s">
        <v>81</v>
      </c>
      <c r="F17" s="56" t="s">
        <v>36</v>
      </c>
      <c r="G17" s="44">
        <v>25</v>
      </c>
      <c r="H17" s="129">
        <f>IF(B$17=0,0,G17/B$17)</f>
        <v>1.7018379850238258E-2</v>
      </c>
      <c r="I17" s="90">
        <v>6</v>
      </c>
      <c r="K17" s="36">
        <v>15</v>
      </c>
      <c r="L17" s="95">
        <v>0</v>
      </c>
      <c r="N17" s="111" t="s">
        <v>166</v>
      </c>
      <c r="O17" s="121">
        <f>IF(P17=0,0,Q17/P17)</f>
        <v>10.853773584905658</v>
      </c>
      <c r="P17" s="115">
        <v>106</v>
      </c>
      <c r="Q17" s="103">
        <v>1150.4999999999998</v>
      </c>
    </row>
    <row r="18" spans="1:17" x14ac:dyDescent="0.4">
      <c r="A18" s="51" t="s">
        <v>12</v>
      </c>
      <c r="B18" s="44">
        <v>649</v>
      </c>
      <c r="C18" s="37">
        <f>IF(B$17=0,0,B18/B$17)</f>
        <v>0.44179714091218514</v>
      </c>
      <c r="E18" s="59" t="s">
        <v>91</v>
      </c>
      <c r="F18" s="56" t="s">
        <v>46</v>
      </c>
      <c r="G18" s="44">
        <v>21</v>
      </c>
      <c r="H18" s="129">
        <f>IF(B$17=0,0,G18/B$17)</f>
        <v>1.4295439074200136E-2</v>
      </c>
      <c r="I18" s="90">
        <v>4</v>
      </c>
      <c r="K18" s="36">
        <v>16</v>
      </c>
      <c r="L18" s="95">
        <v>-28.2</v>
      </c>
      <c r="N18" s="111" t="s">
        <v>179</v>
      </c>
      <c r="O18" s="121">
        <f>IF(P18=0,0,Q18/P18)</f>
        <v>9.8142857142857132</v>
      </c>
      <c r="P18" s="115">
        <v>140</v>
      </c>
      <c r="Q18" s="103">
        <v>1373.9999999999998</v>
      </c>
    </row>
    <row r="19" spans="1:17" x14ac:dyDescent="0.4">
      <c r="A19" s="51" t="s">
        <v>11</v>
      </c>
      <c r="B19" s="44">
        <v>820</v>
      </c>
      <c r="C19" s="37">
        <f>IF(B$17=0,0,B19/B$17)</f>
        <v>0.55820285908781486</v>
      </c>
      <c r="E19" s="59" t="s">
        <v>79</v>
      </c>
      <c r="F19" s="56" t="s">
        <v>34</v>
      </c>
      <c r="G19" s="44">
        <v>17</v>
      </c>
      <c r="H19" s="129">
        <f>IF(B$17=0,0,G19/B$17)</f>
        <v>1.1572498298162015E-2</v>
      </c>
      <c r="I19" s="90">
        <v>5</v>
      </c>
      <c r="K19" s="36">
        <v>17</v>
      </c>
      <c r="L19" s="95">
        <v>-20.5</v>
      </c>
      <c r="N19" s="111" t="s">
        <v>181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">
      <c r="A20" s="51" t="s">
        <v>13</v>
      </c>
      <c r="B20" s="44">
        <v>812</v>
      </c>
      <c r="C20" s="37">
        <f>IF(B$3=0,0,B20/B$3)</f>
        <v>0.16295404374874572</v>
      </c>
      <c r="E20" s="59" t="s">
        <v>75</v>
      </c>
      <c r="F20" s="56" t="s">
        <v>30</v>
      </c>
      <c r="G20" s="44">
        <v>10</v>
      </c>
      <c r="H20" s="129">
        <f>IF(B$17=0,0,G20/B$17)</f>
        <v>6.8073519400953025E-3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-0.81718750000000107</v>
      </c>
      <c r="P20" s="115">
        <v>192</v>
      </c>
      <c r="Q20" s="103">
        <v>-156.9000000000002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9</v>
      </c>
      <c r="H21" s="129">
        <f>IF(B$17=0,0,G21/B$17)</f>
        <v>6.1266167460857727E-3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-1.1621621621621678</v>
      </c>
      <c r="P21" s="115">
        <v>222</v>
      </c>
      <c r="Q21" s="103">
        <v>-258.00000000000125</v>
      </c>
    </row>
    <row r="22" spans="1:17" x14ac:dyDescent="0.4">
      <c r="A22" s="51" t="s">
        <v>170</v>
      </c>
      <c r="B22" s="44">
        <v>31</v>
      </c>
      <c r="C22" s="131">
        <v>4</v>
      </c>
      <c r="E22" s="59" t="s">
        <v>74</v>
      </c>
      <c r="F22" s="56" t="s">
        <v>29</v>
      </c>
      <c r="G22" s="44">
        <v>6</v>
      </c>
      <c r="H22" s="129">
        <f>IF(B$17=0,0,G22/B$17)</f>
        <v>4.0844111640571815E-3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-6.6519999999999948</v>
      </c>
      <c r="P22" s="115">
        <v>150</v>
      </c>
      <c r="Q22" s="103">
        <v>-997.79999999999916</v>
      </c>
    </row>
    <row r="23" spans="1:17" x14ac:dyDescent="0.4">
      <c r="A23" s="51" t="s">
        <v>5</v>
      </c>
      <c r="B23" s="48">
        <f>IF(B$17=0,0,C23/B$17)</f>
        <v>8496.8686181075554</v>
      </c>
      <c r="C23" s="39">
        <v>12481900</v>
      </c>
      <c r="E23" s="59" t="s">
        <v>73</v>
      </c>
      <c r="F23" s="56" t="s">
        <v>28</v>
      </c>
      <c r="G23" s="44">
        <v>5</v>
      </c>
      <c r="H23" s="129">
        <f>IF(B$17=0,0,G23/B$17)</f>
        <v>3.4036759700476512E-3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-13.286776859504132</v>
      </c>
      <c r="P23" s="115">
        <v>242</v>
      </c>
      <c r="Q23" s="103">
        <v>-3215.3999999999996</v>
      </c>
    </row>
    <row r="24" spans="1:17" x14ac:dyDescent="0.4">
      <c r="A24" s="52" t="s">
        <v>216</v>
      </c>
      <c r="B24" s="136">
        <f>IF($B$17-B$16=0,0,C24/($B$17-B$16))</f>
        <v>9072.5450901803615</v>
      </c>
      <c r="C24" s="137">
        <v>9054400</v>
      </c>
      <c r="E24" s="59" t="s">
        <v>77</v>
      </c>
      <c r="F24" s="56" t="s">
        <v>32</v>
      </c>
      <c r="G24" s="44">
        <v>5</v>
      </c>
      <c r="H24" s="129">
        <f>IF(B$17=0,0,G24/B$17)</f>
        <v>3.4036759700476512E-3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7277.0700636942674</v>
      </c>
      <c r="C25" s="137">
        <v>3427500</v>
      </c>
      <c r="E25" s="59" t="s">
        <v>85</v>
      </c>
      <c r="F25" s="56" t="s">
        <v>40</v>
      </c>
      <c r="G25" s="44">
        <v>5</v>
      </c>
      <c r="H25" s="129">
        <f>IF(B$17=0,0,G25/B$17)</f>
        <v>3.4036759700476512E-3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-7929.9261083743841</v>
      </c>
      <c r="C26" s="137">
        <v>-6439100</v>
      </c>
      <c r="E26" s="59" t="s">
        <v>88</v>
      </c>
      <c r="F26" s="56" t="s">
        <v>43</v>
      </c>
      <c r="G26" s="44">
        <v>5</v>
      </c>
      <c r="H26" s="129">
        <f>IF(B$17=0,0,G26/B$17)</f>
        <v>3.4036759700476512E-3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2.722940776038121E-3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2.0422055820285907E-3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2.8095524784266506E-3</v>
      </c>
      <c r="E29" s="59" t="s">
        <v>95</v>
      </c>
      <c r="F29" s="56" t="s">
        <v>50</v>
      </c>
      <c r="G29" s="44">
        <v>3</v>
      </c>
      <c r="H29" s="129">
        <f>IF(B$17=0,0,G29/B$17)</f>
        <v>2.0422055820285907E-3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1.3614703880190605E-3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1.3614703880190605E-3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6.8073519400953025E-4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6.8073519400953025E-4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6.8073519400953025E-4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53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0.68292682926829273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1258.4905660377358</v>
      </c>
      <c r="P2" s="114">
        <v>53</v>
      </c>
      <c r="Q2" s="98">
        <v>66700</v>
      </c>
    </row>
    <row r="3" spans="1:17" x14ac:dyDescent="0.4">
      <c r="A3" s="51" t="s">
        <v>8</v>
      </c>
      <c r="B3" s="150">
        <v>474</v>
      </c>
      <c r="C3" s="151"/>
      <c r="E3" s="59" t="s">
        <v>72</v>
      </c>
      <c r="F3" s="56" t="s">
        <v>27</v>
      </c>
      <c r="G3" s="44">
        <v>66</v>
      </c>
      <c r="H3" s="129">
        <f>IF(B$17=0,0,G3/B$17)</f>
        <v>0.53658536585365857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-1067.3076923076924</v>
      </c>
      <c r="P3" s="115">
        <v>52</v>
      </c>
      <c r="Q3" s="99">
        <v>-55500</v>
      </c>
    </row>
    <row r="4" spans="1:17" x14ac:dyDescent="0.4">
      <c r="A4" s="51" t="s">
        <v>6</v>
      </c>
      <c r="B4" s="152">
        <v>-383.50000000000011</v>
      </c>
      <c r="C4" s="153"/>
      <c r="E4" s="59" t="s">
        <v>171</v>
      </c>
      <c r="F4" s="56" t="s">
        <v>172</v>
      </c>
      <c r="G4" s="44">
        <v>47</v>
      </c>
      <c r="H4" s="129">
        <f>IF(B$17=0,0,G4/B$17)</f>
        <v>0.38211382113821141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-1968</v>
      </c>
      <c r="P4" s="115">
        <v>50</v>
      </c>
      <c r="Q4" s="99">
        <v>-98400</v>
      </c>
    </row>
    <row r="5" spans="1:17" x14ac:dyDescent="0.4">
      <c r="A5" s="51" t="s">
        <v>7</v>
      </c>
      <c r="B5" s="154">
        <f>IF(B$2=0,0,B$4/B$2)</f>
        <v>-7.2358490566037759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0.27642276422764228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-1389.795918367347</v>
      </c>
      <c r="P5" s="115">
        <v>49</v>
      </c>
      <c r="Q5" s="99">
        <v>-68100</v>
      </c>
    </row>
    <row r="6" spans="1:17" x14ac:dyDescent="0.4">
      <c r="A6" s="51" t="s">
        <v>1</v>
      </c>
      <c r="B6" s="144">
        <f>IF(B$2=0,0,(B$7*1+B$8*2+B$9*3)/B$2)</f>
        <v>2.1509433962264151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0.27642276422764228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-150</v>
      </c>
      <c r="P6" s="115">
        <v>48</v>
      </c>
      <c r="Q6" s="99">
        <v>-7200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0.32075471698113206</v>
      </c>
      <c r="E7" s="59" t="s">
        <v>69</v>
      </c>
      <c r="F7" s="56" t="s">
        <v>24</v>
      </c>
      <c r="G7" s="44">
        <v>26</v>
      </c>
      <c r="H7" s="129">
        <f>IF(B$17=0,0,G7/B$17)</f>
        <v>0.21138211382113822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-1839.0243902439024</v>
      </c>
      <c r="P7" s="116">
        <v>41</v>
      </c>
      <c r="Q7" s="100">
        <v>-75400</v>
      </c>
    </row>
    <row r="8" spans="1:17" x14ac:dyDescent="0.4">
      <c r="A8" s="51" t="s">
        <v>3</v>
      </c>
      <c r="B8" s="44">
        <v>11</v>
      </c>
      <c r="C8" s="37">
        <f t="shared" si="1"/>
        <v>0.20754716981132076</v>
      </c>
      <c r="E8" s="59" t="s">
        <v>67</v>
      </c>
      <c r="F8" s="56" t="s">
        <v>23</v>
      </c>
      <c r="G8" s="44">
        <v>18</v>
      </c>
      <c r="H8" s="129">
        <f>IF(B$17=0,0,G8/B$17)</f>
        <v>0.14634146341463414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0.47169811320754718</v>
      </c>
      <c r="E9" s="59" t="s">
        <v>70</v>
      </c>
      <c r="F9" s="56" t="s">
        <v>25</v>
      </c>
      <c r="G9" s="44">
        <v>18</v>
      </c>
      <c r="H9" s="129">
        <f>IF(B$17=0,0,G9/B$17)</f>
        <v>0.14634146341463414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3.7735849056603772E-2</v>
      </c>
      <c r="E10" s="59" t="s">
        <v>71</v>
      </c>
      <c r="F10" s="56" t="s">
        <v>26</v>
      </c>
      <c r="G10" s="44">
        <v>12</v>
      </c>
      <c r="H10" s="129">
        <f>IF(B$17=0,0,G10/B$17)</f>
        <v>9.7560975609756101E-2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-11.321052631578945</v>
      </c>
      <c r="P10" s="114">
        <v>19</v>
      </c>
      <c r="Q10" s="102">
        <v>-215.09999999999997</v>
      </c>
    </row>
    <row r="11" spans="1:17" x14ac:dyDescent="0.4">
      <c r="A11" s="52" t="s">
        <v>138</v>
      </c>
      <c r="B11" s="45">
        <v>2</v>
      </c>
      <c r="C11" s="38">
        <f t="shared" si="1"/>
        <v>3.7735849056603772E-2</v>
      </c>
      <c r="E11" s="59" t="s">
        <v>83</v>
      </c>
      <c r="F11" s="56" t="s">
        <v>38</v>
      </c>
      <c r="G11" s="44">
        <v>12</v>
      </c>
      <c r="H11" s="129">
        <f>IF(B$17=0,0,G11/B$17)</f>
        <v>9.7560975609756101E-2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0.15094339622641509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-6.2105263157894726</v>
      </c>
      <c r="P12" s="116">
        <v>19</v>
      </c>
      <c r="Q12" s="104">
        <v>-117.99999999999999</v>
      </c>
    </row>
    <row r="13" spans="1:17" x14ac:dyDescent="0.4">
      <c r="A13" s="54" t="s">
        <v>121</v>
      </c>
      <c r="B13" s="47">
        <v>71</v>
      </c>
      <c r="C13" s="42">
        <f>IF(B$3=0,0,B13/B$3)</f>
        <v>0.14978902953586498</v>
      </c>
      <c r="E13" s="59" t="s">
        <v>89</v>
      </c>
      <c r="F13" s="56" t="s">
        <v>44</v>
      </c>
      <c r="G13" s="44">
        <v>8</v>
      </c>
      <c r="H13" s="129">
        <f>IF(B$17=0,0,G13/B$17)</f>
        <v>6.5040650406504072E-2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111</v>
      </c>
      <c r="C14" s="37">
        <f>IF(B$3=0,0,B14/B$3)</f>
        <v>0.23417721518987342</v>
      </c>
      <c r="E14" s="59" t="s">
        <v>81</v>
      </c>
      <c r="F14" s="56" t="s">
        <v>36</v>
      </c>
      <c r="G14" s="44">
        <v>4</v>
      </c>
      <c r="H14" s="129">
        <f>IF(B$17=0,0,G14/B$17)</f>
        <v>3.2520325203252036E-2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0.49295774647887325</v>
      </c>
      <c r="E15" s="59" t="s">
        <v>86</v>
      </c>
      <c r="F15" s="56" t="s">
        <v>41</v>
      </c>
      <c r="G15" s="44">
        <v>4</v>
      </c>
      <c r="H15" s="129">
        <f>IF(B$17=0,0,G15/B$17)</f>
        <v>3.2520325203252036E-2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41</v>
      </c>
      <c r="C16" s="35">
        <f>IF(B$14=0,0,B16/B$14)</f>
        <v>0.36936936936936937</v>
      </c>
      <c r="E16" s="59" t="s">
        <v>91</v>
      </c>
      <c r="F16" s="56" t="s">
        <v>46</v>
      </c>
      <c r="G16" s="44">
        <v>3</v>
      </c>
      <c r="H16" s="129">
        <f>IF(B$17=0,0,G16/B$17)</f>
        <v>2.4390243902439025E-2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-4.7411764705882362</v>
      </c>
      <c r="P16" s="115">
        <v>17</v>
      </c>
      <c r="Q16" s="103">
        <v>-80.600000000000009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0.25949367088607594</v>
      </c>
      <c r="E17" s="59" t="s">
        <v>88</v>
      </c>
      <c r="F17" s="56" t="s">
        <v>43</v>
      </c>
      <c r="G17" s="44">
        <v>2</v>
      </c>
      <c r="H17" s="129">
        <f>IF(B$17=0,0,G17/B$17)</f>
        <v>1.6260162601626018E-2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-5.2892857142857155</v>
      </c>
      <c r="P17" s="115">
        <v>28</v>
      </c>
      <c r="Q17" s="103">
        <v>-148.10000000000002</v>
      </c>
    </row>
    <row r="18" spans="1:17" x14ac:dyDescent="0.4">
      <c r="A18" s="51" t="s">
        <v>12</v>
      </c>
      <c r="B18" s="44">
        <v>51</v>
      </c>
      <c r="C18" s="37">
        <f>IF(B$17=0,0,B18/B$17)</f>
        <v>0.41463414634146339</v>
      </c>
      <c r="E18" s="59" t="s">
        <v>74</v>
      </c>
      <c r="F18" s="56" t="s">
        <v>29</v>
      </c>
      <c r="G18" s="44">
        <v>1</v>
      </c>
      <c r="H18" s="129">
        <f>IF(B$17=0,0,G18/B$17)</f>
        <v>8.130081300813009E-3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-7.7958333333333343</v>
      </c>
      <c r="P18" s="115">
        <v>24</v>
      </c>
      <c r="Q18" s="103">
        <v>-187.10000000000002</v>
      </c>
    </row>
    <row r="19" spans="1:17" x14ac:dyDescent="0.4">
      <c r="A19" s="51" t="s">
        <v>11</v>
      </c>
      <c r="B19" s="44">
        <v>72</v>
      </c>
      <c r="C19" s="37">
        <f>IF(B$17=0,0,B19/B$17)</f>
        <v>0.58536585365853655</v>
      </c>
      <c r="E19" s="59" t="s">
        <v>75</v>
      </c>
      <c r="F19" s="56" t="s">
        <v>30</v>
      </c>
      <c r="G19" s="44">
        <v>1</v>
      </c>
      <c r="H19" s="129">
        <f>IF(B$17=0,0,G19/B$17)</f>
        <v>8.130081300813009E-3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72</v>
      </c>
      <c r="C20" s="37">
        <f>IF(B$3=0,0,B20/B$3)</f>
        <v>0.15189873417721519</v>
      </c>
      <c r="E20" s="59" t="s">
        <v>77</v>
      </c>
      <c r="F20" s="56" t="s">
        <v>32</v>
      </c>
      <c r="G20" s="44">
        <v>1</v>
      </c>
      <c r="H20" s="129">
        <f>IF(B$17=0,0,G20/B$17)</f>
        <v>8.130081300813009E-3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8.130081300813009E-3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-40.299999999999997</v>
      </c>
      <c r="P21" s="115">
        <v>11</v>
      </c>
      <c r="Q21" s="103">
        <v>-443.29999999999995</v>
      </c>
    </row>
    <row r="22" spans="1:17" x14ac:dyDescent="0.4">
      <c r="A22" s="51" t="s">
        <v>170</v>
      </c>
      <c r="B22" s="44">
        <v>32</v>
      </c>
      <c r="C22" s="131">
        <v>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7054.4715447154467</v>
      </c>
      <c r="C23" s="39">
        <v>867700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7352.4390243902435</v>
      </c>
      <c r="C24" s="137">
        <v>602900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6458.5365853658541</v>
      </c>
      <c r="C25" s="137">
        <v>264800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-7594.4444444444443</v>
      </c>
      <c r="C26" s="137">
        <v>-546800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4.2194092827004216E-3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</sheetData>
  <sortState xmlns:xlrd2="http://schemas.microsoft.com/office/spreadsheetml/2017/richdata2" ref="E2:I5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3"/>
  <sheetViews>
    <sheetView showGridLines="0" tabSelected="1" topLeftCell="G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121</v>
      </c>
      <c r="C2" s="149"/>
      <c r="E2" s="58" t="s">
        <v>66</v>
      </c>
      <c r="F2" s="55" t="s">
        <v>22</v>
      </c>
      <c r="G2" s="43">
        <v>227</v>
      </c>
      <c r="H2" s="128">
        <f>IF(B$17=0,0,G2/B$17)</f>
        <v>0.67359050445103863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1340.8333333333333</v>
      </c>
      <c r="P2" s="114">
        <v>120</v>
      </c>
      <c r="Q2" s="98">
        <v>160900</v>
      </c>
    </row>
    <row r="3" spans="1:17" x14ac:dyDescent="0.4">
      <c r="A3" s="51" t="s">
        <v>8</v>
      </c>
      <c r="B3" s="150">
        <v>983</v>
      </c>
      <c r="C3" s="151"/>
      <c r="E3" s="59" t="s">
        <v>72</v>
      </c>
      <c r="F3" s="56" t="s">
        <v>27</v>
      </c>
      <c r="G3" s="44">
        <v>169</v>
      </c>
      <c r="H3" s="129">
        <f>IF(B$17=0,0,G3/B$17)</f>
        <v>0.50148367952522255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922.22222222222217</v>
      </c>
      <c r="P3" s="115">
        <v>117</v>
      </c>
      <c r="Q3" s="99">
        <v>107900</v>
      </c>
    </row>
    <row r="4" spans="1:17" x14ac:dyDescent="0.4">
      <c r="A4" s="51" t="s">
        <v>6</v>
      </c>
      <c r="B4" s="152">
        <v>1071.8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0.44213649851632048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986.72566371681421</v>
      </c>
      <c r="P4" s="115">
        <v>113</v>
      </c>
      <c r="Q4" s="99">
        <v>111500</v>
      </c>
    </row>
    <row r="5" spans="1:17" x14ac:dyDescent="0.4">
      <c r="A5" s="51" t="s">
        <v>7</v>
      </c>
      <c r="B5" s="154">
        <f>IF(B$2=0,0,B$4/B$2)</f>
        <v>8.8578512396694205</v>
      </c>
      <c r="C5" s="155"/>
      <c r="E5" s="59" t="s">
        <v>171</v>
      </c>
      <c r="F5" s="56" t="s">
        <v>172</v>
      </c>
      <c r="G5" s="44">
        <v>127</v>
      </c>
      <c r="H5" s="129">
        <f>IF(B$17=0,0,G5/B$17)</f>
        <v>0.37685459940652821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175.96153846153845</v>
      </c>
      <c r="P5" s="115">
        <v>104</v>
      </c>
      <c r="Q5" s="99">
        <v>18300</v>
      </c>
    </row>
    <row r="6" spans="1:17" x14ac:dyDescent="0.4">
      <c r="A6" s="51" t="s">
        <v>1</v>
      </c>
      <c r="B6" s="144">
        <f>IF(B$2=0,0,(B$7*1+B$8*2+B$9*3)/B$2)</f>
        <v>1.7851239669421488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0.29376854599406527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1991.7525773195875</v>
      </c>
      <c r="P6" s="115">
        <v>97</v>
      </c>
      <c r="Q6" s="99">
        <v>193200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83</v>
      </c>
      <c r="H7" s="129">
        <f>IF(B$17=0,0,G7/B$17)</f>
        <v>0.24629080118694363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0.30578512396694213</v>
      </c>
      <c r="E8" s="59" t="s">
        <v>89</v>
      </c>
      <c r="F8" s="56" t="s">
        <v>44</v>
      </c>
      <c r="G8" s="44">
        <v>53</v>
      </c>
      <c r="H8" s="129">
        <f>IF(B$17=0,0,G8/B$17)</f>
        <v>0.15727002967359049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0.23966942148760331</v>
      </c>
      <c r="E9" s="59" t="s">
        <v>69</v>
      </c>
      <c r="F9" s="56" t="s">
        <v>24</v>
      </c>
      <c r="G9" s="44">
        <v>52</v>
      </c>
      <c r="H9" s="129">
        <f>IF(B$17=0,0,G9/B$17)</f>
        <v>0.1543026706231454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4.1322314049586778E-2</v>
      </c>
      <c r="E10" s="59" t="s">
        <v>65</v>
      </c>
      <c r="F10" s="56" t="s">
        <v>21</v>
      </c>
      <c r="G10" s="44">
        <v>40</v>
      </c>
      <c r="H10" s="129">
        <f>IF(B$17=0,0,G10/B$17)</f>
        <v>0.11869436201780416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0.12396694214876033</v>
      </c>
      <c r="E11" s="59" t="s">
        <v>71</v>
      </c>
      <c r="F11" s="56" t="s">
        <v>26</v>
      </c>
      <c r="G11" s="44">
        <v>23</v>
      </c>
      <c r="H11" s="129">
        <f>IF(B$17=0,0,G11/B$17)</f>
        <v>6.8249258160237386E-2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0.10743801652892562</v>
      </c>
      <c r="E12" s="59" t="s">
        <v>86</v>
      </c>
      <c r="F12" s="56" t="s">
        <v>41</v>
      </c>
      <c r="G12" s="44">
        <v>19</v>
      </c>
      <c r="H12" s="129">
        <f>IF(B$17=0,0,G12/B$17)</f>
        <v>5.637982195845697E-2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266</v>
      </c>
      <c r="C13" s="42">
        <f>IF(B$3=0,0,B13/B$3)</f>
        <v>0.27060020345879959</v>
      </c>
      <c r="E13" s="59" t="s">
        <v>70</v>
      </c>
      <c r="F13" s="56" t="s">
        <v>25</v>
      </c>
      <c r="G13" s="44">
        <v>18</v>
      </c>
      <c r="H13" s="129">
        <f>IF(B$17=0,0,G13/B$17)</f>
        <v>5.3412462908011868E-2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220</v>
      </c>
      <c r="C14" s="37">
        <f>IF(B$3=0,0,B14/B$3)</f>
        <v>0.22380467955239064</v>
      </c>
      <c r="E14" s="59" t="s">
        <v>83</v>
      </c>
      <c r="F14" s="56" t="s">
        <v>38</v>
      </c>
      <c r="G14" s="44">
        <v>15</v>
      </c>
      <c r="H14" s="129">
        <f>IF(B$17=0,0,G14/B$17)</f>
        <v>4.4510385756676561E-2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159</v>
      </c>
      <c r="C15" s="35">
        <f>IF(B$13=0,0,B15/B$13)</f>
        <v>0.59774436090225569</v>
      </c>
      <c r="E15" s="59" t="s">
        <v>78</v>
      </c>
      <c r="F15" s="56" t="s">
        <v>33</v>
      </c>
      <c r="G15" s="44">
        <v>14</v>
      </c>
      <c r="H15" s="129">
        <f>IF(B$17=0,0,G15/B$17)</f>
        <v>4.1543026706231452E-2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107</v>
      </c>
      <c r="C16" s="35">
        <f>IF(B$14=0,0,B16/B$14)</f>
        <v>0.48636363636363639</v>
      </c>
      <c r="E16" s="59" t="s">
        <v>167</v>
      </c>
      <c r="F16" s="56" t="s">
        <v>168</v>
      </c>
      <c r="G16" s="44">
        <v>13</v>
      </c>
      <c r="H16" s="129">
        <f>IF(B$17=0,0,G16/B$17)</f>
        <v>3.857566765578635E-2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337</v>
      </c>
      <c r="C17" s="35">
        <f>IF(B$3=0,0,B17/B$3)</f>
        <v>0.34282807731434384</v>
      </c>
      <c r="E17" s="59" t="s">
        <v>77</v>
      </c>
      <c r="F17" s="56" t="s">
        <v>32</v>
      </c>
      <c r="G17" s="44">
        <v>3</v>
      </c>
      <c r="H17" s="129">
        <f>IF(B$17=0,0,G17/B$17)</f>
        <v>8.9020771513353119E-3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0.42433234421364985</v>
      </c>
      <c r="E18" s="59" t="s">
        <v>84</v>
      </c>
      <c r="F18" s="56" t="s">
        <v>39</v>
      </c>
      <c r="G18" s="44">
        <v>3</v>
      </c>
      <c r="H18" s="129">
        <f>IF(B$17=0,0,G18/B$17)</f>
        <v>8.9020771513353119E-3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194</v>
      </c>
      <c r="C19" s="37">
        <f>IF(B$17=0,0,B19/B$17)</f>
        <v>0.57566765578635015</v>
      </c>
      <c r="E19" s="59" t="s">
        <v>92</v>
      </c>
      <c r="F19" s="56" t="s">
        <v>47</v>
      </c>
      <c r="G19" s="44">
        <v>3</v>
      </c>
      <c r="H19" s="129">
        <f>IF(B$17=0,0,G19/B$17)</f>
        <v>8.9020771513353119E-3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0.12919633774160733</v>
      </c>
      <c r="E20" s="59" t="s">
        <v>75</v>
      </c>
      <c r="F20" s="56" t="s">
        <v>30</v>
      </c>
      <c r="G20" s="44">
        <v>2</v>
      </c>
      <c r="H20" s="129">
        <f>IF(B$17=0,0,G20/B$17)</f>
        <v>5.9347181008902079E-3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 t="shared" si="2"/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5.9347181008902079E-3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 t="shared" si="2"/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81</v>
      </c>
      <c r="F22" s="56" t="s">
        <v>36</v>
      </c>
      <c r="G22" s="44">
        <v>2</v>
      </c>
      <c r="H22" s="129">
        <f>IF(B$17=0,0,G22/B$17)</f>
        <v>5.9347181008902079E-3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8289.0207715133529</v>
      </c>
      <c r="C23" s="39">
        <v>2793400</v>
      </c>
      <c r="E23" s="59" t="s">
        <v>85</v>
      </c>
      <c r="F23" s="56" t="s">
        <v>40</v>
      </c>
      <c r="G23" s="44">
        <v>2</v>
      </c>
      <c r="H23" s="129">
        <f>IF(B$17=0,0,G23/B$17)</f>
        <v>5.9347181008902079E-3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8550.434782608696</v>
      </c>
      <c r="C24" s="137">
        <v>1966600</v>
      </c>
      <c r="E24" s="59" t="s">
        <v>88</v>
      </c>
      <c r="F24" s="56" t="s">
        <v>43</v>
      </c>
      <c r="G24" s="44">
        <v>2</v>
      </c>
      <c r="H24" s="129">
        <f>IF(B$17=0,0,G24/B$17)</f>
        <v>5.9347181008902079E-3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7727.1028037383176</v>
      </c>
      <c r="C25" s="137">
        <v>826800</v>
      </c>
      <c r="E25" s="59" t="s">
        <v>91</v>
      </c>
      <c r="F25" s="56" t="s">
        <v>46</v>
      </c>
      <c r="G25" s="44">
        <v>2</v>
      </c>
      <c r="H25" s="129">
        <f>IF(B$17=0,0,G25/B$17)</f>
        <v>5.9347181008902079E-3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2.967359050445104E-3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2.967359050445104E-3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2.967359050445104E-3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1.017293997965412E-3</v>
      </c>
      <c r="E29" s="59" t="s">
        <v>106</v>
      </c>
      <c r="F29" s="56" t="s">
        <v>113</v>
      </c>
      <c r="G29" s="44">
        <v>1</v>
      </c>
      <c r="H29" s="129">
        <f>IF(B$17=0,0,G29/B$17)</f>
        <v>2.967359050445104E-3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</sheetData>
  <sortState xmlns:xlrd2="http://schemas.microsoft.com/office/spreadsheetml/2017/richdata2" ref="E2:I12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3"/>
  <sheetViews>
    <sheetView showGridLines="0" topLeftCell="D1" zoomScale="96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111</v>
      </c>
      <c r="C2" s="149"/>
      <c r="E2" s="58" t="s">
        <v>66</v>
      </c>
      <c r="F2" s="55" t="s">
        <v>22</v>
      </c>
      <c r="G2" s="43">
        <v>251</v>
      </c>
      <c r="H2" s="128">
        <f>IF(B$17=0,0,G2/B$17)</f>
        <v>0.88692579505300351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-1837.2727272727273</v>
      </c>
      <c r="P2" s="114">
        <v>110</v>
      </c>
      <c r="Q2" s="98">
        <v>-202100</v>
      </c>
    </row>
    <row r="3" spans="1:17" x14ac:dyDescent="0.4">
      <c r="A3" s="51" t="s">
        <v>8</v>
      </c>
      <c r="B3" s="150">
        <v>928</v>
      </c>
      <c r="C3" s="151"/>
      <c r="E3" s="59" t="s">
        <v>72</v>
      </c>
      <c r="F3" s="56" t="s">
        <v>27</v>
      </c>
      <c r="G3" s="44">
        <v>162</v>
      </c>
      <c r="H3" s="129">
        <f>IF(B$17=0,0,G3/B$17)</f>
        <v>0.57243816254416957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1638.3177570093458</v>
      </c>
      <c r="P3" s="115">
        <v>107</v>
      </c>
      <c r="Q3" s="99">
        <v>175300</v>
      </c>
    </row>
    <row r="4" spans="1:17" x14ac:dyDescent="0.4">
      <c r="A4" s="51" t="s">
        <v>6</v>
      </c>
      <c r="B4" s="152">
        <v>85.999999999999787</v>
      </c>
      <c r="C4" s="153"/>
      <c r="E4" s="59" t="s">
        <v>171</v>
      </c>
      <c r="F4" s="56" t="s">
        <v>172</v>
      </c>
      <c r="G4" s="44">
        <v>118</v>
      </c>
      <c r="H4" s="129">
        <f>IF(B$17=0,0,G4/B$17)</f>
        <v>0.41696113074204949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-92</v>
      </c>
      <c r="P4" s="115">
        <v>100</v>
      </c>
      <c r="Q4" s="99">
        <v>-9200</v>
      </c>
    </row>
    <row r="5" spans="1:17" x14ac:dyDescent="0.4">
      <c r="A5" s="51" t="s">
        <v>7</v>
      </c>
      <c r="B5" s="154">
        <f>IF(B$2=0,0,B$4/B$2)</f>
        <v>0.77477477477477286</v>
      </c>
      <c r="C5" s="155"/>
      <c r="E5" s="59" t="s">
        <v>64</v>
      </c>
      <c r="F5" s="56" t="s">
        <v>20</v>
      </c>
      <c r="G5" s="44">
        <v>109</v>
      </c>
      <c r="H5" s="129">
        <f>IF(B$17=0,0,G5/B$17)</f>
        <v>0.38515901060070673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738.29787234042556</v>
      </c>
      <c r="P5" s="115">
        <v>94</v>
      </c>
      <c r="Q5" s="99">
        <v>69400</v>
      </c>
    </row>
    <row r="6" spans="1:17" x14ac:dyDescent="0.4">
      <c r="A6" s="51" t="s">
        <v>1</v>
      </c>
      <c r="B6" s="144">
        <f>IF(B$2=0,0,(B$7*1+B$8*2+B$9*3)/B$2)</f>
        <v>1.954954954954955</v>
      </c>
      <c r="C6" s="145"/>
      <c r="E6" s="59" t="s">
        <v>68</v>
      </c>
      <c r="F6" s="56" t="s">
        <v>12</v>
      </c>
      <c r="G6" s="44">
        <v>76</v>
      </c>
      <c r="H6" s="129">
        <f>IF(B$17=0,0,G6/B$17)</f>
        <v>0.26855123674911663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-911.62790697674416</v>
      </c>
      <c r="P6" s="115">
        <v>86</v>
      </c>
      <c r="Q6" s="99">
        <v>-78400</v>
      </c>
    </row>
    <row r="7" spans="1:17" x14ac:dyDescent="0.4">
      <c r="A7" s="51" t="s">
        <v>2</v>
      </c>
      <c r="B7" s="44">
        <v>39</v>
      </c>
      <c r="C7" s="37">
        <f t="shared" ref="C7:C12" si="1">IF(B$2=0,0,B7/B$2)</f>
        <v>0.35135135135135137</v>
      </c>
      <c r="E7" s="59" t="s">
        <v>67</v>
      </c>
      <c r="F7" s="56" t="s">
        <v>23</v>
      </c>
      <c r="G7" s="44">
        <v>58</v>
      </c>
      <c r="H7" s="129">
        <f>IF(B$17=0,0,G7/B$17)</f>
        <v>0.20494699646643111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1350</v>
      </c>
      <c r="P7" s="116">
        <v>72</v>
      </c>
      <c r="Q7" s="100">
        <v>97200</v>
      </c>
    </row>
    <row r="8" spans="1:17" x14ac:dyDescent="0.4">
      <c r="A8" s="51" t="s">
        <v>3</v>
      </c>
      <c r="B8" s="44">
        <v>38</v>
      </c>
      <c r="C8" s="37">
        <f t="shared" si="1"/>
        <v>0.34234234234234234</v>
      </c>
      <c r="E8" s="59" t="s">
        <v>89</v>
      </c>
      <c r="F8" s="56" t="s">
        <v>44</v>
      </c>
      <c r="G8" s="44">
        <v>34</v>
      </c>
      <c r="H8" s="129">
        <f>IF(B$17=0,0,G8/B$17)</f>
        <v>0.12014134275618374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0.30630630630630629</v>
      </c>
      <c r="E9" s="59" t="s">
        <v>69</v>
      </c>
      <c r="F9" s="56" t="s">
        <v>24</v>
      </c>
      <c r="G9" s="44">
        <v>33</v>
      </c>
      <c r="H9" s="129">
        <f>IF(B$17=0,0,G9/B$17)</f>
        <v>0.1166077738515901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0.13513513513513514</v>
      </c>
      <c r="E10" s="59" t="s">
        <v>65</v>
      </c>
      <c r="F10" s="56" t="s">
        <v>21</v>
      </c>
      <c r="G10" s="44">
        <v>26</v>
      </c>
      <c r="H10" s="129">
        <f>IF(B$17=0,0,G10/B$17)</f>
        <v>9.187279151943463E-2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1.257142857142858</v>
      </c>
      <c r="P10" s="114">
        <v>28</v>
      </c>
      <c r="Q10" s="102">
        <v>35.200000000000024</v>
      </c>
    </row>
    <row r="11" spans="1:17" x14ac:dyDescent="0.4">
      <c r="A11" s="52" t="s">
        <v>138</v>
      </c>
      <c r="B11" s="45">
        <v>12</v>
      </c>
      <c r="C11" s="38">
        <f t="shared" si="1"/>
        <v>0.10810810810810811</v>
      </c>
      <c r="E11" s="59" t="s">
        <v>71</v>
      </c>
      <c r="F11" s="56" t="s">
        <v>26</v>
      </c>
      <c r="G11" s="44">
        <v>26</v>
      </c>
      <c r="H11" s="129">
        <f>IF(B$17=0,0,G11/B$17)</f>
        <v>9.187279151943463E-2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7.6142857142857157</v>
      </c>
      <c r="P11" s="115">
        <v>35</v>
      </c>
      <c r="Q11" s="103">
        <v>266.50000000000006</v>
      </c>
    </row>
    <row r="12" spans="1:17" x14ac:dyDescent="0.4">
      <c r="A12" s="53" t="s">
        <v>158</v>
      </c>
      <c r="B12" s="46">
        <v>19</v>
      </c>
      <c r="C12" s="40">
        <f t="shared" si="1"/>
        <v>0.17117117117117117</v>
      </c>
      <c r="E12" s="59" t="s">
        <v>70</v>
      </c>
      <c r="F12" s="56" t="s">
        <v>25</v>
      </c>
      <c r="G12" s="44">
        <v>24</v>
      </c>
      <c r="H12" s="129">
        <f>IF(B$17=0,0,G12/B$17)</f>
        <v>8.4805653710247356E-2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-4.4937500000000012</v>
      </c>
      <c r="P12" s="116">
        <v>48</v>
      </c>
      <c r="Q12" s="104">
        <v>-215.70000000000005</v>
      </c>
    </row>
    <row r="13" spans="1:17" x14ac:dyDescent="0.4">
      <c r="A13" s="54" t="s">
        <v>121</v>
      </c>
      <c r="B13" s="47">
        <v>214</v>
      </c>
      <c r="C13" s="42">
        <f>IF(B$3=0,0,B13/B$3)</f>
        <v>0.23060344827586207</v>
      </c>
      <c r="E13" s="59" t="s">
        <v>86</v>
      </c>
      <c r="F13" s="56" t="s">
        <v>41</v>
      </c>
      <c r="G13" s="44">
        <v>19</v>
      </c>
      <c r="H13" s="129">
        <f>IF(B$17=0,0,G13/B$17)</f>
        <v>6.7137809187279157E-2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287</v>
      </c>
      <c r="C14" s="37">
        <f>IF(B$3=0,0,B14/B$3)</f>
        <v>0.30926724137931033</v>
      </c>
      <c r="E14" s="59" t="s">
        <v>83</v>
      </c>
      <c r="F14" s="56" t="s">
        <v>38</v>
      </c>
      <c r="G14" s="44">
        <v>17</v>
      </c>
      <c r="H14" s="129">
        <f>IF(B$17=0,0,G14/B$17)</f>
        <v>6.0070671378091869E-2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107</v>
      </c>
      <c r="C15" s="35">
        <f>IF(B$13=0,0,B15/B$13)</f>
        <v>0.5</v>
      </c>
      <c r="E15" s="59" t="s">
        <v>78</v>
      </c>
      <c r="F15" s="56" t="s">
        <v>33</v>
      </c>
      <c r="G15" s="44">
        <v>9</v>
      </c>
      <c r="H15" s="129">
        <f>IF(B$17=0,0,G15/B$17)</f>
        <v>3.1802120141342753E-2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108</v>
      </c>
      <c r="C16" s="35">
        <f>IF(B$14=0,0,B16/B$14)</f>
        <v>0.37630662020905925</v>
      </c>
      <c r="E16" s="59" t="s">
        <v>91</v>
      </c>
      <c r="F16" s="56" t="s">
        <v>46</v>
      </c>
      <c r="G16" s="44">
        <v>9</v>
      </c>
      <c r="H16" s="129">
        <f>IF(B$17=0,0,G16/B$17)</f>
        <v>3.1802120141342753E-2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283</v>
      </c>
      <c r="C17" s="35">
        <f>IF(B$3=0,0,B17/B$3)</f>
        <v>0.30495689655172414</v>
      </c>
      <c r="E17" s="59" t="s">
        <v>81</v>
      </c>
      <c r="F17" s="56" t="s">
        <v>36</v>
      </c>
      <c r="G17" s="44">
        <v>6</v>
      </c>
      <c r="H17" s="129">
        <f>IF(B$17=0,0,G17/B$17)</f>
        <v>2.1201413427561839E-2</v>
      </c>
      <c r="I17" s="90">
        <v>4</v>
      </c>
      <c r="K17" s="36">
        <v>15</v>
      </c>
      <c r="L17" s="95">
        <v>-144.30000000000001</v>
      </c>
      <c r="N17" s="111" t="s">
        <v>179</v>
      </c>
      <c r="O17" s="121">
        <f>IF(P17=0,0,Q17/P17)</f>
        <v>14.68333333333333</v>
      </c>
      <c r="P17" s="115">
        <v>36</v>
      </c>
      <c r="Q17" s="103">
        <v>528.59999999999991</v>
      </c>
    </row>
    <row r="18" spans="1:17" x14ac:dyDescent="0.4">
      <c r="A18" s="51" t="s">
        <v>12</v>
      </c>
      <c r="B18" s="44">
        <v>115</v>
      </c>
      <c r="C18" s="37">
        <f>IF(B$17=0,0,B18/B$17)</f>
        <v>0.40636042402826855</v>
      </c>
      <c r="E18" s="59" t="s">
        <v>79</v>
      </c>
      <c r="F18" s="56" t="s">
        <v>34</v>
      </c>
      <c r="G18" s="44">
        <v>5</v>
      </c>
      <c r="H18" s="129">
        <f>IF(B$17=0,0,G18/B$17)</f>
        <v>1.7667844522968199E-2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168</v>
      </c>
      <c r="C19" s="37">
        <f>IF(B$17=0,0,B19/B$17)</f>
        <v>0.59363957597173145</v>
      </c>
      <c r="E19" s="59" t="s">
        <v>167</v>
      </c>
      <c r="F19" s="56" t="s">
        <v>168</v>
      </c>
      <c r="G19" s="44">
        <v>3</v>
      </c>
      <c r="H19" s="129">
        <f>IF(B$17=0,0,G19/B$17)</f>
        <v>1.0600706713780919E-2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177</v>
      </c>
      <c r="C20" s="37">
        <f>IF(B$3=0,0,B20/B$3)</f>
        <v>0.19073275862068967</v>
      </c>
      <c r="E20" s="59" t="s">
        <v>74</v>
      </c>
      <c r="F20" s="56" t="s">
        <v>29</v>
      </c>
      <c r="G20" s="44">
        <v>2</v>
      </c>
      <c r="H20" s="129">
        <f>IF(B$17=0,0,G20/B$17)</f>
        <v>7.0671378091872791E-3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7.7958333333333316</v>
      </c>
      <c r="P20" s="115">
        <v>24</v>
      </c>
      <c r="Q20" s="103">
        <v>187.09999999999997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2</v>
      </c>
      <c r="H21" s="129">
        <f>IF(B$17=0,0,G21/B$17)</f>
        <v>7.0671378091872791E-3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2</v>
      </c>
      <c r="E22" s="59" t="s">
        <v>92</v>
      </c>
      <c r="F22" s="56" t="s">
        <v>47</v>
      </c>
      <c r="G22" s="44">
        <v>2</v>
      </c>
      <c r="H22" s="129">
        <f>IF(B$17=0,0,G22/B$17)</f>
        <v>7.0671378091872791E-3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8542.7561837455833</v>
      </c>
      <c r="C23" s="39">
        <v>2417600</v>
      </c>
      <c r="E23" s="59" t="s">
        <v>73</v>
      </c>
      <c r="F23" s="56" t="s">
        <v>28</v>
      </c>
      <c r="G23" s="44">
        <v>1</v>
      </c>
      <c r="H23" s="129">
        <f>IF(B$17=0,0,G23/B$17)</f>
        <v>3.5335689045936395E-3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9056</v>
      </c>
      <c r="C24" s="137">
        <v>1584800</v>
      </c>
      <c r="E24" s="59" t="s">
        <v>77</v>
      </c>
      <c r="F24" s="56" t="s">
        <v>32</v>
      </c>
      <c r="G24" s="44">
        <v>1</v>
      </c>
      <c r="H24" s="129">
        <f>IF(B$17=0,0,G24/B$17)</f>
        <v>3.5335689045936395E-3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7711.1111111111113</v>
      </c>
      <c r="C25" s="137">
        <v>832800</v>
      </c>
      <c r="E25" s="59" t="s">
        <v>84</v>
      </c>
      <c r="F25" s="56" t="s">
        <v>39</v>
      </c>
      <c r="G25" s="44">
        <v>1</v>
      </c>
      <c r="H25" s="129">
        <f>IF(B$17=0,0,G25/B$17)</f>
        <v>3.5335689045936395E-3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-8149.1525423728817</v>
      </c>
      <c r="C26" s="137">
        <v>-1442400</v>
      </c>
      <c r="E26" s="59" t="s">
        <v>95</v>
      </c>
      <c r="F26" s="56" t="s">
        <v>50</v>
      </c>
      <c r="G26" s="44">
        <v>1</v>
      </c>
      <c r="H26" s="129">
        <f>IF(B$17=0,0,G26/B$17)</f>
        <v>3.5335689045936395E-3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3.2327586206896551E-3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72"/>
  <sheetViews>
    <sheetView showGridLines="0" topLeftCell="C1" zoomScale="97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70</v>
      </c>
      <c r="C2" s="149"/>
      <c r="E2" s="58" t="s">
        <v>66</v>
      </c>
      <c r="F2" s="55" t="s">
        <v>22</v>
      </c>
      <c r="G2" s="43">
        <v>131</v>
      </c>
      <c r="H2" s="128">
        <f>IF(B$17=0,0,G2/B$17)</f>
        <v>0.78915662650602414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-33.333333333333336</v>
      </c>
      <c r="P2" s="114">
        <v>69</v>
      </c>
      <c r="Q2" s="98">
        <v>-2300</v>
      </c>
    </row>
    <row r="3" spans="1:17" x14ac:dyDescent="0.4">
      <c r="A3" s="51" t="s">
        <v>8</v>
      </c>
      <c r="B3" s="150">
        <v>593</v>
      </c>
      <c r="C3" s="151"/>
      <c r="E3" s="59" t="s">
        <v>64</v>
      </c>
      <c r="F3" s="56" t="s">
        <v>20</v>
      </c>
      <c r="G3" s="44">
        <v>96</v>
      </c>
      <c r="H3" s="129">
        <f>IF(B$17=0,0,G3/B$17)</f>
        <v>0.57831325301204817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-869.11764705882354</v>
      </c>
      <c r="P3" s="115">
        <v>68</v>
      </c>
      <c r="Q3" s="99">
        <v>-59100</v>
      </c>
    </row>
    <row r="4" spans="1:17" x14ac:dyDescent="0.4">
      <c r="A4" s="51" t="s">
        <v>6</v>
      </c>
      <c r="B4" s="152">
        <v>-458</v>
      </c>
      <c r="C4" s="153"/>
      <c r="E4" s="59" t="s">
        <v>72</v>
      </c>
      <c r="F4" s="56" t="s">
        <v>27</v>
      </c>
      <c r="G4" s="44">
        <v>84</v>
      </c>
      <c r="H4" s="129">
        <f>IF(B$17=0,0,G4/B$17)</f>
        <v>0.50602409638554213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846.03174603174602</v>
      </c>
      <c r="P4" s="115">
        <v>63</v>
      </c>
      <c r="Q4" s="99">
        <v>53300</v>
      </c>
    </row>
    <row r="5" spans="1:17" x14ac:dyDescent="0.4">
      <c r="A5" s="51" t="s">
        <v>7</v>
      </c>
      <c r="B5" s="154">
        <f>IF(B$2=0,0,B$4/B$2)</f>
        <v>-6.5428571428571427</v>
      </c>
      <c r="C5" s="155"/>
      <c r="E5" s="59" t="s">
        <v>171</v>
      </c>
      <c r="F5" s="56" t="s">
        <v>172</v>
      </c>
      <c r="G5" s="44">
        <v>70</v>
      </c>
      <c r="H5" s="129">
        <f>IF(B$17=0,0,G5/B$17)</f>
        <v>0.42168674698795183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-1324.1935483870968</v>
      </c>
      <c r="P5" s="115">
        <v>62</v>
      </c>
      <c r="Q5" s="99">
        <v>-82100</v>
      </c>
    </row>
    <row r="6" spans="1:17" x14ac:dyDescent="0.4">
      <c r="A6" s="51" t="s">
        <v>1</v>
      </c>
      <c r="B6" s="144">
        <f>IF(B$2=0,0,(B$7*1+B$8*2+B$9*3)/B$2)</f>
        <v>2.157142857142857</v>
      </c>
      <c r="C6" s="145"/>
      <c r="E6" s="59" t="s">
        <v>68</v>
      </c>
      <c r="F6" s="56" t="s">
        <v>12</v>
      </c>
      <c r="G6" s="44">
        <v>58</v>
      </c>
      <c r="H6" s="129">
        <f>IF(B$17=0,0,G6/B$17)</f>
        <v>0.3493975903614458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-3210.1694915254238</v>
      </c>
      <c r="P6" s="115">
        <v>59</v>
      </c>
      <c r="Q6" s="99">
        <v>-189400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0.22857142857142856</v>
      </c>
      <c r="E7" s="59" t="s">
        <v>67</v>
      </c>
      <c r="F7" s="56" t="s">
        <v>23</v>
      </c>
      <c r="G7" s="44">
        <v>49</v>
      </c>
      <c r="H7" s="129">
        <f>IF(B$17=0,0,G7/B$17)</f>
        <v>0.29518072289156627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-1372.5490196078431</v>
      </c>
      <c r="P7" s="116">
        <v>51</v>
      </c>
      <c r="Q7" s="100">
        <v>-70000</v>
      </c>
    </row>
    <row r="8" spans="1:17" x14ac:dyDescent="0.4">
      <c r="A8" s="51" t="s">
        <v>3</v>
      </c>
      <c r="B8" s="44">
        <v>27</v>
      </c>
      <c r="C8" s="37">
        <f t="shared" si="1"/>
        <v>0.38571428571428573</v>
      </c>
      <c r="E8" s="59" t="s">
        <v>70</v>
      </c>
      <c r="F8" s="56" t="s">
        <v>25</v>
      </c>
      <c r="G8" s="44">
        <v>25</v>
      </c>
      <c r="H8" s="129">
        <f>IF(B$17=0,0,G8/B$17)</f>
        <v>0.15060240963855423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0.38571428571428573</v>
      </c>
      <c r="E9" s="59" t="s">
        <v>69</v>
      </c>
      <c r="F9" s="56" t="s">
        <v>24</v>
      </c>
      <c r="G9" s="44">
        <v>24</v>
      </c>
      <c r="H9" s="129">
        <f>IF(B$17=0,0,G9/B$17)</f>
        <v>0.14457831325301204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8.5714285714285715E-2</v>
      </c>
      <c r="E10" s="59" t="s">
        <v>89</v>
      </c>
      <c r="F10" s="56" t="s">
        <v>44</v>
      </c>
      <c r="G10" s="44">
        <v>20</v>
      </c>
      <c r="H10" s="129">
        <f>IF(B$17=0,0,G10/B$17)</f>
        <v>0.12048192771084337</v>
      </c>
      <c r="I10" s="90">
        <v>7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2.8571428571428571E-2</v>
      </c>
      <c r="E11" s="59" t="s">
        <v>65</v>
      </c>
      <c r="F11" s="56" t="s">
        <v>21</v>
      </c>
      <c r="G11" s="44">
        <v>19</v>
      </c>
      <c r="H11" s="129">
        <f>IF(B$17=0,0,G11/B$17)</f>
        <v>0.1144578313253012</v>
      </c>
      <c r="I11" s="90">
        <v>5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7.1428571428571425E-2</v>
      </c>
      <c r="E12" s="59" t="s">
        <v>83</v>
      </c>
      <c r="F12" s="56" t="s">
        <v>38</v>
      </c>
      <c r="G12" s="44">
        <v>10</v>
      </c>
      <c r="H12" s="129">
        <f>IF(B$17=0,0,G12/B$17)</f>
        <v>6.0240963855421686E-2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169</v>
      </c>
      <c r="C13" s="42">
        <f>IF(B$3=0,0,B13/B$3)</f>
        <v>0.28499156829679595</v>
      </c>
      <c r="E13" s="59" t="s">
        <v>71</v>
      </c>
      <c r="F13" s="56" t="s">
        <v>26</v>
      </c>
      <c r="G13" s="44">
        <v>7</v>
      </c>
      <c r="H13" s="129">
        <f>IF(B$17=0,0,G13/B$17)</f>
        <v>4.2168674698795178E-2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114</v>
      </c>
      <c r="C14" s="37">
        <f>IF(B$3=0,0,B14/B$3)</f>
        <v>0.19224283305227655</v>
      </c>
      <c r="E14" s="59" t="s">
        <v>78</v>
      </c>
      <c r="F14" s="56" t="s">
        <v>33</v>
      </c>
      <c r="G14" s="44">
        <v>6</v>
      </c>
      <c r="H14" s="129">
        <f>IF(B$17=0,0,G14/B$17)</f>
        <v>3.614457831325301E-2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97</v>
      </c>
      <c r="C15" s="35">
        <f>IF(B$13=0,0,B15/B$13)</f>
        <v>0.57396449704142016</v>
      </c>
      <c r="E15" s="59" t="s">
        <v>86</v>
      </c>
      <c r="F15" s="56" t="s">
        <v>41</v>
      </c>
      <c r="G15" s="44">
        <v>4</v>
      </c>
      <c r="H15" s="129">
        <f>IF(B$17=0,0,G15/B$17)</f>
        <v>2.4096385542168676E-2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0.41228070175438597</v>
      </c>
      <c r="E16" s="59" t="s">
        <v>81</v>
      </c>
      <c r="F16" s="56" t="s">
        <v>36</v>
      </c>
      <c r="G16" s="44">
        <v>3</v>
      </c>
      <c r="H16" s="129">
        <f>IF(B$17=0,0,G16/B$17)</f>
        <v>1.8072289156626505E-2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166</v>
      </c>
      <c r="C17" s="35">
        <f>IF(B$3=0,0,B17/B$3)</f>
        <v>0.2799325463743676</v>
      </c>
      <c r="E17" s="59" t="s">
        <v>167</v>
      </c>
      <c r="F17" s="56" t="s">
        <v>168</v>
      </c>
      <c r="G17" s="44">
        <v>3</v>
      </c>
      <c r="H17" s="129">
        <f>IF(B$17=0,0,G17/B$17)</f>
        <v>1.8072289156626505E-2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76</v>
      </c>
      <c r="C18" s="37">
        <f>IF(B$17=0,0,B18/B$17)</f>
        <v>0.45783132530120479</v>
      </c>
      <c r="E18" s="59" t="s">
        <v>75</v>
      </c>
      <c r="F18" s="56" t="s">
        <v>30</v>
      </c>
      <c r="G18" s="44">
        <v>2</v>
      </c>
      <c r="H18" s="129">
        <f>IF(B$17=0,0,G18/B$17)</f>
        <v>1.2048192771084338E-2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0.54216867469879515</v>
      </c>
      <c r="E19" s="59" t="s">
        <v>79</v>
      </c>
      <c r="F19" s="56" t="s">
        <v>34</v>
      </c>
      <c r="G19" s="44">
        <v>2</v>
      </c>
      <c r="H19" s="129">
        <f>IF(B$17=0,0,G19/B$17)</f>
        <v>1.2048192771084338E-2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119</v>
      </c>
      <c r="C20" s="37">
        <f>IF(B$3=0,0,B20/B$3)</f>
        <v>0.20067453625632378</v>
      </c>
      <c r="E20" s="59" t="s">
        <v>91</v>
      </c>
      <c r="F20" s="56" t="s">
        <v>46</v>
      </c>
      <c r="G20" s="44">
        <v>1</v>
      </c>
      <c r="H20" s="129">
        <f>IF(B$17=0,0,G20/B$17)</f>
        <v>6.024096385542169E-3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-14.68333333333333</v>
      </c>
      <c r="P20" s="115">
        <v>36</v>
      </c>
      <c r="Q20" s="103">
        <v>-528.59999999999991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8094.5783132530123</v>
      </c>
      <c r="C23" s="39">
        <v>1343700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8694.1176470588234</v>
      </c>
      <c r="C24" s="137">
        <v>1034600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-7667.226890756303</v>
      </c>
      <c r="C26" s="137">
        <v>-912400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5.0590219224283303E-3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75</v>
      </c>
      <c r="C2" s="149"/>
      <c r="E2" s="58" t="s">
        <v>66</v>
      </c>
      <c r="F2" s="55" t="s">
        <v>22</v>
      </c>
      <c r="G2" s="43">
        <v>144</v>
      </c>
      <c r="H2" s="128">
        <f>IF(B$17=0,0,G2/B$17)</f>
        <v>0.83720930232558144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1388</v>
      </c>
      <c r="P2" s="114">
        <v>75</v>
      </c>
      <c r="Q2" s="98">
        <v>104100</v>
      </c>
    </row>
    <row r="3" spans="1:17" x14ac:dyDescent="0.4">
      <c r="A3" s="51" t="s">
        <v>8</v>
      </c>
      <c r="B3" s="150">
        <v>604</v>
      </c>
      <c r="C3" s="151"/>
      <c r="E3" s="59" t="s">
        <v>72</v>
      </c>
      <c r="F3" s="56" t="s">
        <v>27</v>
      </c>
      <c r="G3" s="44">
        <v>97</v>
      </c>
      <c r="H3" s="129">
        <f>IF(B$17=0,0,G3/B$17)</f>
        <v>0.56395348837209303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-2555.5555555555557</v>
      </c>
      <c r="P3" s="115">
        <v>72</v>
      </c>
      <c r="Q3" s="99">
        <v>-184000</v>
      </c>
    </row>
    <row r="4" spans="1:17" x14ac:dyDescent="0.4">
      <c r="A4" s="51" t="s">
        <v>6</v>
      </c>
      <c r="B4" s="152">
        <v>332.60000000000008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0.54069767441860461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641.79104477611941</v>
      </c>
      <c r="P4" s="115">
        <v>67</v>
      </c>
      <c r="Q4" s="99">
        <v>43000</v>
      </c>
    </row>
    <row r="5" spans="1:17" x14ac:dyDescent="0.4">
      <c r="A5" s="51" t="s">
        <v>7</v>
      </c>
      <c r="B5" s="154">
        <f>IF(B$2=0,0,B$4/B$2)</f>
        <v>4.4346666666666676</v>
      </c>
      <c r="C5" s="155"/>
      <c r="E5" s="59" t="s">
        <v>67</v>
      </c>
      <c r="F5" s="56" t="s">
        <v>23</v>
      </c>
      <c r="G5" s="44">
        <v>72</v>
      </c>
      <c r="H5" s="129">
        <f>IF(B$17=0,0,G5/B$17)</f>
        <v>0.41860465116279072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3474.6031746031745</v>
      </c>
      <c r="P5" s="115">
        <v>63</v>
      </c>
      <c r="Q5" s="99">
        <v>218900</v>
      </c>
    </row>
    <row r="6" spans="1:17" x14ac:dyDescent="0.4">
      <c r="A6" s="51" t="s">
        <v>1</v>
      </c>
      <c r="B6" s="144">
        <f>IF(B$2=0,0,(B$7*1+B$8*2+B$9*3)/B$2)</f>
        <v>1.92</v>
      </c>
      <c r="C6" s="145"/>
      <c r="E6" s="59" t="s">
        <v>171</v>
      </c>
      <c r="F6" s="56" t="s">
        <v>172</v>
      </c>
      <c r="G6" s="44">
        <v>65</v>
      </c>
      <c r="H6" s="129">
        <f>IF(B$17=0,0,G6/B$17)</f>
        <v>0.37790697674418605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728.07017543859649</v>
      </c>
      <c r="P6" s="115">
        <v>57</v>
      </c>
      <c r="Q6" s="99">
        <v>41500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0.4</v>
      </c>
      <c r="E7" s="59" t="s">
        <v>68</v>
      </c>
      <c r="F7" s="56" t="s">
        <v>12</v>
      </c>
      <c r="G7" s="44">
        <v>63</v>
      </c>
      <c r="H7" s="129">
        <f>IF(B$17=0,0,G7/B$17)</f>
        <v>0.36627906976744184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-83.720930232558146</v>
      </c>
      <c r="P7" s="116">
        <v>43</v>
      </c>
      <c r="Q7" s="100">
        <v>-3600</v>
      </c>
    </row>
    <row r="8" spans="1:17" x14ac:dyDescent="0.4">
      <c r="A8" s="51" t="s">
        <v>3</v>
      </c>
      <c r="B8" s="44">
        <v>21</v>
      </c>
      <c r="C8" s="37">
        <f t="shared" si="1"/>
        <v>0.28000000000000003</v>
      </c>
      <c r="E8" s="59" t="s">
        <v>89</v>
      </c>
      <c r="F8" s="56" t="s">
        <v>44</v>
      </c>
      <c r="G8" s="44">
        <v>39</v>
      </c>
      <c r="H8" s="129">
        <f>IF(B$17=0,0,G8/B$17)</f>
        <v>0.22674418604651161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0.32</v>
      </c>
      <c r="E9" s="59" t="s">
        <v>69</v>
      </c>
      <c r="F9" s="56" t="s">
        <v>24</v>
      </c>
      <c r="G9" s="44">
        <v>35</v>
      </c>
      <c r="H9" s="129">
        <f>IF(B$17=0,0,G9/B$17)</f>
        <v>0.20348837209302326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0.10666666666666667</v>
      </c>
      <c r="E10" s="59" t="s">
        <v>65</v>
      </c>
      <c r="F10" s="56" t="s">
        <v>21</v>
      </c>
      <c r="G10" s="44">
        <v>25</v>
      </c>
      <c r="H10" s="129">
        <f>IF(B$17=0,0,G10/B$17)</f>
        <v>0.14534883720930233</v>
      </c>
      <c r="I10" s="90">
        <v>2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0.18666666666666668</v>
      </c>
      <c r="E11" s="59" t="s">
        <v>70</v>
      </c>
      <c r="F11" s="56" t="s">
        <v>25</v>
      </c>
      <c r="G11" s="44">
        <v>20</v>
      </c>
      <c r="H11" s="129">
        <f>IF(B$17=0,0,G11/B$17)</f>
        <v>0.11627906976744186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6.7636363636363628</v>
      </c>
      <c r="P11" s="115">
        <v>33</v>
      </c>
      <c r="Q11" s="103">
        <v>223.19999999999996</v>
      </c>
    </row>
    <row r="12" spans="1:17" x14ac:dyDescent="0.4">
      <c r="A12" s="53" t="s">
        <v>158</v>
      </c>
      <c r="B12" s="46">
        <v>8</v>
      </c>
      <c r="C12" s="40">
        <f t="shared" si="1"/>
        <v>0.10666666666666667</v>
      </c>
      <c r="E12" s="59" t="s">
        <v>167</v>
      </c>
      <c r="F12" s="56" t="s">
        <v>168</v>
      </c>
      <c r="G12" s="44">
        <v>13</v>
      </c>
      <c r="H12" s="129">
        <f>IF(B$17=0,0,G12/B$17)</f>
        <v>7.5581395348837205E-2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192</v>
      </c>
      <c r="C13" s="42">
        <f>IF(B$3=0,0,B13/B$3)</f>
        <v>0.31788079470198677</v>
      </c>
      <c r="E13" s="59" t="s">
        <v>71</v>
      </c>
      <c r="F13" s="56" t="s">
        <v>26</v>
      </c>
      <c r="G13" s="44">
        <v>9</v>
      </c>
      <c r="H13" s="129">
        <f>IF(B$17=0,0,G13/B$17)</f>
        <v>5.232558139534884E-2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106</v>
      </c>
      <c r="C14" s="37">
        <f>IF(B$3=0,0,B14/B$3)</f>
        <v>0.17549668874172186</v>
      </c>
      <c r="E14" s="59" t="s">
        <v>83</v>
      </c>
      <c r="F14" s="56" t="s">
        <v>38</v>
      </c>
      <c r="G14" s="44">
        <v>7</v>
      </c>
      <c r="H14" s="129">
        <f>IF(B$17=0,0,G14/B$17)</f>
        <v>4.0697674418604654E-2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0.55208333333333337</v>
      </c>
      <c r="E15" s="59" t="s">
        <v>86</v>
      </c>
      <c r="F15" s="56" t="s">
        <v>41</v>
      </c>
      <c r="G15" s="44">
        <v>5</v>
      </c>
      <c r="H15" s="129">
        <f>IF(B$17=0,0,G15/B$17)</f>
        <v>2.9069767441860465E-2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45</v>
      </c>
      <c r="C16" s="35">
        <f>IF(B$14=0,0,B16/B$14)</f>
        <v>0.42452830188679247</v>
      </c>
      <c r="E16" s="59" t="s">
        <v>81</v>
      </c>
      <c r="F16" s="56" t="s">
        <v>36</v>
      </c>
      <c r="G16" s="44">
        <v>4</v>
      </c>
      <c r="H16" s="129">
        <f>IF(B$17=0,0,G16/B$17)</f>
        <v>2.3255813953488372E-2</v>
      </c>
      <c r="I16" s="90">
        <v>3</v>
      </c>
      <c r="K16" s="36">
        <v>14</v>
      </c>
      <c r="L16" s="95">
        <v>-86.499999999999972</v>
      </c>
      <c r="N16" s="111" t="s">
        <v>166</v>
      </c>
      <c r="O16" s="121">
        <f>IF(P16=0,0,Q16/P16)</f>
        <v>40.299999999999997</v>
      </c>
      <c r="P16" s="115">
        <v>11</v>
      </c>
      <c r="Q16" s="103">
        <v>443.29999999999995</v>
      </c>
    </row>
    <row r="17" spans="1:17" x14ac:dyDescent="0.4">
      <c r="A17" s="50" t="s">
        <v>10</v>
      </c>
      <c r="B17" s="43">
        <f>B19+B18</f>
        <v>172</v>
      </c>
      <c r="C17" s="35">
        <f>IF(B$3=0,0,B17/B$3)</f>
        <v>0.28476821192052981</v>
      </c>
      <c r="E17" s="59" t="s">
        <v>92</v>
      </c>
      <c r="F17" s="56" t="s">
        <v>47</v>
      </c>
      <c r="G17" s="44">
        <v>4</v>
      </c>
      <c r="H17" s="129">
        <f>IF(B$17=0,0,G17/B$17)</f>
        <v>2.3255813953488372E-2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82</v>
      </c>
      <c r="C18" s="37">
        <f>IF(B$17=0,0,B18/B$17)</f>
        <v>0.47674418604651164</v>
      </c>
      <c r="E18" s="59" t="s">
        <v>91</v>
      </c>
      <c r="F18" s="56" t="s">
        <v>46</v>
      </c>
      <c r="G18" s="44">
        <v>3</v>
      </c>
      <c r="H18" s="129">
        <f>IF(B$17=0,0,G18/B$17)</f>
        <v>1.7441860465116279E-2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0.52325581395348841</v>
      </c>
      <c r="E19" s="59" t="s">
        <v>73</v>
      </c>
      <c r="F19" s="56" t="s">
        <v>28</v>
      </c>
      <c r="G19" s="44">
        <v>1</v>
      </c>
      <c r="H19" s="129">
        <f>IF(B$17=0,0,G19/B$17)</f>
        <v>5.8139534883720929E-3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8.0814814814814788</v>
      </c>
      <c r="P19" s="115">
        <v>27</v>
      </c>
      <c r="Q19" s="103">
        <v>218.19999999999993</v>
      </c>
    </row>
    <row r="20" spans="1:17" x14ac:dyDescent="0.4">
      <c r="A20" s="51" t="s">
        <v>13</v>
      </c>
      <c r="B20" s="44">
        <v>101</v>
      </c>
      <c r="C20" s="37">
        <f>IF(B$3=0,0,B20/B$3)</f>
        <v>0.16721854304635761</v>
      </c>
      <c r="E20" s="59" t="s">
        <v>75</v>
      </c>
      <c r="F20" s="56" t="s">
        <v>30</v>
      </c>
      <c r="G20" s="44">
        <v>1</v>
      </c>
      <c r="H20" s="129">
        <f>IF(B$17=0,0,G20/B$17)</f>
        <v>5.8139534883720929E-3</v>
      </c>
      <c r="I20" s="90">
        <v>7</v>
      </c>
      <c r="K20" s="36">
        <v>18</v>
      </c>
      <c r="L20" s="95">
        <v>-24.999999999999968</v>
      </c>
      <c r="N20" s="111" t="s">
        <v>179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5.8139534883720929E-3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4</v>
      </c>
      <c r="E22" s="59" t="s">
        <v>79</v>
      </c>
      <c r="F22" s="56" t="s">
        <v>34</v>
      </c>
      <c r="G22" s="44">
        <v>1</v>
      </c>
      <c r="H22" s="129">
        <f>IF(B$17=0,0,G22/B$17)</f>
        <v>5.8139534883720929E-3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10850.581395348838</v>
      </c>
      <c r="C23" s="39">
        <v>1866300</v>
      </c>
      <c r="E23" s="59" t="s">
        <v>85</v>
      </c>
      <c r="F23" s="56" t="s">
        <v>40</v>
      </c>
      <c r="G23" s="44">
        <v>1</v>
      </c>
      <c r="H23" s="129">
        <f>IF(B$17=0,0,G23/B$17)</f>
        <v>5.8139534883720929E-3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11776.377952755905</v>
      </c>
      <c r="C24" s="137">
        <v>1495600</v>
      </c>
      <c r="E24" s="59" t="s">
        <v>90</v>
      </c>
      <c r="F24" s="56" t="s">
        <v>45</v>
      </c>
      <c r="G24" s="44">
        <v>1</v>
      </c>
      <c r="H24" s="129">
        <f>IF(B$17=0,0,G24/B$17)</f>
        <v>5.8139534883720929E-3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8237.7777777777774</v>
      </c>
      <c r="C25" s="137">
        <v>370700</v>
      </c>
      <c r="E25" s="59" t="s">
        <v>93</v>
      </c>
      <c r="F25" s="56" t="s">
        <v>48</v>
      </c>
      <c r="G25" s="44">
        <v>1</v>
      </c>
      <c r="H25" s="129">
        <f>IF(B$17=0,0,G25/B$17)</f>
        <v>5.8139534883720929E-3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-8212.8712871287134</v>
      </c>
      <c r="C26" s="137">
        <v>-829500</v>
      </c>
      <c r="E26" s="59" t="s">
        <v>97</v>
      </c>
      <c r="F26" s="56" t="s">
        <v>52</v>
      </c>
      <c r="G26" s="44">
        <v>1</v>
      </c>
      <c r="H26" s="129">
        <f>IF(B$17=0,0,G26/B$17)</f>
        <v>5.8139534883720929E-3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166</v>
      </c>
      <c r="H2" s="128">
        <f>IF(B$17=0,0,G2/B$17)</f>
        <v>0.75113122171945701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912.5</v>
      </c>
      <c r="P2" s="114">
        <v>96</v>
      </c>
      <c r="Q2" s="98">
        <v>87600</v>
      </c>
    </row>
    <row r="3" spans="1:17" x14ac:dyDescent="0.4">
      <c r="A3" s="51" t="s">
        <v>8</v>
      </c>
      <c r="B3" s="150">
        <v>761</v>
      </c>
      <c r="C3" s="151"/>
      <c r="E3" s="59" t="s">
        <v>72</v>
      </c>
      <c r="F3" s="56" t="s">
        <v>27</v>
      </c>
      <c r="G3" s="44">
        <v>122</v>
      </c>
      <c r="H3" s="129">
        <f>IF(B$17=0,0,G3/B$17)</f>
        <v>0.55203619909502266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652.68817204301081</v>
      </c>
      <c r="P3" s="115">
        <v>93</v>
      </c>
      <c r="Q3" s="99">
        <v>60700</v>
      </c>
    </row>
    <row r="4" spans="1:17" x14ac:dyDescent="0.4">
      <c r="A4" s="51" t="s">
        <v>6</v>
      </c>
      <c r="B4" s="152">
        <v>52.29999999999999</v>
      </c>
      <c r="C4" s="153"/>
      <c r="E4" s="59" t="s">
        <v>64</v>
      </c>
      <c r="F4" s="56" t="s">
        <v>20</v>
      </c>
      <c r="G4" s="44">
        <v>113</v>
      </c>
      <c r="H4" s="129">
        <f>IF(B$17=0,0,G4/B$17)</f>
        <v>0.5113122171945701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-358.62068965517244</v>
      </c>
      <c r="P4" s="115">
        <v>87</v>
      </c>
      <c r="Q4" s="99">
        <v>-31200</v>
      </c>
    </row>
    <row r="5" spans="1:17" x14ac:dyDescent="0.4">
      <c r="A5" s="51" t="s">
        <v>7</v>
      </c>
      <c r="B5" s="154">
        <f>IF(B$2=0,0,B$4/B$2)</f>
        <v>0.54479166666666656</v>
      </c>
      <c r="C5" s="155"/>
      <c r="E5" s="59" t="s">
        <v>171</v>
      </c>
      <c r="F5" s="56" t="s">
        <v>172</v>
      </c>
      <c r="G5" s="44">
        <v>105</v>
      </c>
      <c r="H5" s="129">
        <f>IF(B$17=0,0,G5/B$17)</f>
        <v>0.47511312217194568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64.556962025316452</v>
      </c>
      <c r="P5" s="115">
        <v>79</v>
      </c>
      <c r="Q5" s="99">
        <v>5100</v>
      </c>
    </row>
    <row r="6" spans="1:17" x14ac:dyDescent="0.4">
      <c r="A6" s="51" t="s">
        <v>1</v>
      </c>
      <c r="B6" s="144">
        <f>IF(B$2=0,0,(B$7*1+B$8*2+B$9*3)/B$2)</f>
        <v>2.0104166666666665</v>
      </c>
      <c r="C6" s="145"/>
      <c r="E6" s="59" t="s">
        <v>67</v>
      </c>
      <c r="F6" s="56" t="s">
        <v>23</v>
      </c>
      <c r="G6" s="44">
        <v>88</v>
      </c>
      <c r="H6" s="129">
        <f>IF(B$17=0,0,G6/B$17)</f>
        <v>0.39819004524886875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-671.01449275362324</v>
      </c>
      <c r="P6" s="115">
        <v>69</v>
      </c>
      <c r="Q6" s="99">
        <v>-46300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0.25</v>
      </c>
      <c r="E7" s="59" t="s">
        <v>68</v>
      </c>
      <c r="F7" s="56" t="s">
        <v>12</v>
      </c>
      <c r="G7" s="44">
        <v>74</v>
      </c>
      <c r="H7" s="129">
        <f>IF(B$17=0,0,G7/B$17)</f>
        <v>0.33484162895927599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-579.66101694915255</v>
      </c>
      <c r="P7" s="116">
        <v>59</v>
      </c>
      <c r="Q7" s="100">
        <v>-34200</v>
      </c>
    </row>
    <row r="8" spans="1:17" x14ac:dyDescent="0.4">
      <c r="A8" s="51" t="s">
        <v>3</v>
      </c>
      <c r="B8" s="44">
        <v>47</v>
      </c>
      <c r="C8" s="37">
        <f t="shared" si="1"/>
        <v>0.48958333333333331</v>
      </c>
      <c r="E8" s="59" t="s">
        <v>69</v>
      </c>
      <c r="F8" s="56" t="s">
        <v>24</v>
      </c>
      <c r="G8" s="44">
        <v>31</v>
      </c>
      <c r="H8" s="129">
        <f>IF(B$17=0,0,G8/B$17)</f>
        <v>0.14027149321266968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0.26041666666666669</v>
      </c>
      <c r="E9" s="59" t="s">
        <v>71</v>
      </c>
      <c r="F9" s="56" t="s">
        <v>26</v>
      </c>
      <c r="G9" s="44">
        <v>22</v>
      </c>
      <c r="H9" s="129">
        <f>IF(B$17=0,0,G9/B$17)</f>
        <v>9.9547511312217188E-2</v>
      </c>
      <c r="I9" s="90">
        <v>2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8.3333333333333329E-2</v>
      </c>
      <c r="E10" s="59" t="s">
        <v>89</v>
      </c>
      <c r="F10" s="56" t="s">
        <v>44</v>
      </c>
      <c r="G10" s="44">
        <v>21</v>
      </c>
      <c r="H10" s="129">
        <f>IF(B$17=0,0,G10/B$17)</f>
        <v>9.5022624434389136E-2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0.74390243902439002</v>
      </c>
      <c r="P10" s="114">
        <v>41</v>
      </c>
      <c r="Q10" s="102">
        <v>30.499999999999993</v>
      </c>
    </row>
    <row r="11" spans="1:17" x14ac:dyDescent="0.4">
      <c r="A11" s="52" t="s">
        <v>138</v>
      </c>
      <c r="B11" s="45">
        <v>9</v>
      </c>
      <c r="C11" s="38">
        <f t="shared" si="1"/>
        <v>9.375E-2</v>
      </c>
      <c r="E11" s="59" t="s">
        <v>70</v>
      </c>
      <c r="F11" s="56" t="s">
        <v>25</v>
      </c>
      <c r="G11" s="44">
        <v>18</v>
      </c>
      <c r="H11" s="129">
        <f>IF(B$17=0,0,G11/B$17)</f>
        <v>8.1447963800904979E-2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3.1172413793103448</v>
      </c>
      <c r="P11" s="115">
        <v>29</v>
      </c>
      <c r="Q11" s="103">
        <v>90.4</v>
      </c>
    </row>
    <row r="12" spans="1:17" x14ac:dyDescent="0.4">
      <c r="A12" s="53" t="s">
        <v>158</v>
      </c>
      <c r="B12" s="46">
        <v>5</v>
      </c>
      <c r="C12" s="40">
        <f t="shared" si="1"/>
        <v>5.2083333333333336E-2</v>
      </c>
      <c r="E12" s="59" t="s">
        <v>65</v>
      </c>
      <c r="F12" s="56" t="s">
        <v>21</v>
      </c>
      <c r="G12" s="44">
        <v>17</v>
      </c>
      <c r="H12" s="129">
        <f>IF(B$17=0,0,G12/B$17)</f>
        <v>7.6923076923076927E-2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205</v>
      </c>
      <c r="C13" s="42">
        <f>IF(B$3=0,0,B13/B$3)</f>
        <v>0.26938239159001315</v>
      </c>
      <c r="E13" s="59" t="s">
        <v>86</v>
      </c>
      <c r="F13" s="56" t="s">
        <v>41</v>
      </c>
      <c r="G13" s="44">
        <v>12</v>
      </c>
      <c r="H13" s="129">
        <f>IF(B$17=0,0,G13/B$17)</f>
        <v>5.4298642533936653E-2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167</v>
      </c>
      <c r="C14" s="37">
        <f>IF(B$3=0,0,B14/B$3)</f>
        <v>0.21944809461235218</v>
      </c>
      <c r="E14" s="59" t="s">
        <v>83</v>
      </c>
      <c r="F14" s="56" t="s">
        <v>38</v>
      </c>
      <c r="G14" s="44">
        <v>8</v>
      </c>
      <c r="H14" s="129">
        <f>IF(B$17=0,0,G14/B$17)</f>
        <v>3.6199095022624438E-2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120</v>
      </c>
      <c r="C15" s="35">
        <f>IF(B$13=0,0,B15/B$13)</f>
        <v>0.58536585365853655</v>
      </c>
      <c r="E15" s="59" t="s">
        <v>79</v>
      </c>
      <c r="F15" s="56" t="s">
        <v>34</v>
      </c>
      <c r="G15" s="44">
        <v>6</v>
      </c>
      <c r="H15" s="129">
        <f>IF(B$17=0,0,G15/B$17)</f>
        <v>2.7149321266968326E-2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69</v>
      </c>
      <c r="C16" s="35">
        <f>IF(B$14=0,0,B16/B$14)</f>
        <v>0.41317365269461076</v>
      </c>
      <c r="E16" s="59" t="s">
        <v>167</v>
      </c>
      <c r="F16" s="56" t="s">
        <v>168</v>
      </c>
      <c r="G16" s="44">
        <v>6</v>
      </c>
      <c r="H16" s="129">
        <f>IF(B$17=0,0,G16/B$17)</f>
        <v>2.7149321266968326E-2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221</v>
      </c>
      <c r="C17" s="35">
        <f>IF(B$3=0,0,B17/B$3)</f>
        <v>0.29040735873850199</v>
      </c>
      <c r="E17" s="59" t="s">
        <v>73</v>
      </c>
      <c r="F17" s="56" t="s">
        <v>28</v>
      </c>
      <c r="G17" s="44">
        <v>3</v>
      </c>
      <c r="H17" s="129">
        <f>IF(B$17=0,0,G17/B$17)</f>
        <v>1.3574660633484163E-2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100</v>
      </c>
      <c r="C18" s="37">
        <f>IF(B$17=0,0,B18/B$17)</f>
        <v>0.45248868778280543</v>
      </c>
      <c r="E18" s="59" t="s">
        <v>78</v>
      </c>
      <c r="F18" s="56" t="s">
        <v>33</v>
      </c>
      <c r="G18" s="44">
        <v>3</v>
      </c>
      <c r="H18" s="129">
        <f>IF(B$17=0,0,G18/B$17)</f>
        <v>1.3574660633484163E-2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121</v>
      </c>
      <c r="C19" s="37">
        <f>IF(B$17=0,0,B19/B$17)</f>
        <v>0.54751131221719462</v>
      </c>
      <c r="E19" s="59" t="s">
        <v>81</v>
      </c>
      <c r="F19" s="56" t="s">
        <v>36</v>
      </c>
      <c r="G19" s="44">
        <v>3</v>
      </c>
      <c r="H19" s="129">
        <f>IF(B$17=0,0,G19/B$17)</f>
        <v>1.3574660633484163E-2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102</v>
      </c>
      <c r="C20" s="37">
        <f>IF(B$3=0,0,B20/B$3)</f>
        <v>0.13403416557161629</v>
      </c>
      <c r="E20" s="59" t="s">
        <v>91</v>
      </c>
      <c r="F20" s="56" t="s">
        <v>46</v>
      </c>
      <c r="G20" s="44">
        <v>2</v>
      </c>
      <c r="H20" s="129">
        <f>IF(B$17=0,0,G20/B$17)</f>
        <v>9.0497737556561094E-3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74</v>
      </c>
      <c r="F21" s="56" t="s">
        <v>29</v>
      </c>
      <c r="G21" s="44">
        <v>1</v>
      </c>
      <c r="H21" s="129">
        <f>IF(B$17=0,0,G21/B$17)</f>
        <v>4.5248868778280547E-3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4</v>
      </c>
      <c r="E22" s="59" t="s">
        <v>75</v>
      </c>
      <c r="F22" s="56" t="s">
        <v>30</v>
      </c>
      <c r="G22" s="44">
        <v>1</v>
      </c>
      <c r="H22" s="129">
        <f>IF(B$17=0,0,G22/B$17)</f>
        <v>4.5248868778280547E-3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8432.1266968325799</v>
      </c>
      <c r="C23" s="39">
        <v>1863500</v>
      </c>
      <c r="E23" s="59" t="s">
        <v>85</v>
      </c>
      <c r="F23" s="56" t="s">
        <v>40</v>
      </c>
      <c r="G23" s="44">
        <v>1</v>
      </c>
      <c r="H23" s="129">
        <f>IF(B$17=0,0,G23/B$17)</f>
        <v>4.5248868778280547E-3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9348.6842105263149</v>
      </c>
      <c r="C24" s="137">
        <v>1421000</v>
      </c>
      <c r="E24" s="59" t="s">
        <v>87</v>
      </c>
      <c r="F24" s="56" t="s">
        <v>42</v>
      </c>
      <c r="G24" s="44">
        <v>1</v>
      </c>
      <c r="H24" s="129">
        <f>IF(B$17=0,0,G24/B$17)</f>
        <v>4.5248868778280547E-3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6413.04347826087</v>
      </c>
      <c r="C25" s="137">
        <v>442500</v>
      </c>
      <c r="E25" s="59" t="s">
        <v>88</v>
      </c>
      <c r="F25" s="56" t="s">
        <v>43</v>
      </c>
      <c r="G25" s="44">
        <v>1</v>
      </c>
      <c r="H25" s="129">
        <f>IF(B$17=0,0,G25/B$17)</f>
        <v>4.5248868778280547E-3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-7909.8039215686276</v>
      </c>
      <c r="C26" s="137">
        <v>-806800</v>
      </c>
      <c r="E26" s="59" t="s">
        <v>93</v>
      </c>
      <c r="F26" s="56" t="s">
        <v>48</v>
      </c>
      <c r="G26" s="44">
        <v>1</v>
      </c>
      <c r="H26" s="129">
        <f>IF(B$17=0,0,G26/B$17)</f>
        <v>4.5248868778280547E-3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4.5248868778280547E-3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2.6281208935611039E-3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</sheetData>
  <sortState xmlns:xlrd2="http://schemas.microsoft.com/office/spreadsheetml/2017/richdata2" ref="E2:I9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2">
        <v>-624.80000000000007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4">
        <f>IF(B$2=0,0,B$4/B$2)</f>
        <v>-15.239024390243904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4">
        <f>IF(B$2=0,0,(B$7*1+B$8*2+B$9*3)/B$2)</f>
        <v>2.4146341463414633</v>
      </c>
      <c r="C6" s="145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-3571.4285714285716</v>
      </c>
      <c r="P7" s="116">
        <v>28</v>
      </c>
      <c r="Q7" s="100">
        <v>-100000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5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 t="shared" si="2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8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3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8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2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2019-11-17T12:56:49Z</dcterms:modified>
</cp:coreProperties>
</file>