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9E2922E7-46BE-4D01-AF3E-43289F096C72}" xr6:coauthVersionLast="41" xr6:coauthVersionMax="41" xr10:uidLastSave="{00000000-0000-0000-0000-000000000000}"/>
  <bookViews>
    <workbookView xWindow="-120" yWindow="-120" windowWidth="20730" windowHeight="1131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811" r:id="rId6"/>
    <sheet name="たかの" sheetId="5813" r:id="rId7"/>
    <sheet name="だいち" sheetId="5815" r:id="rId8"/>
    <sheet name="りくと" sheetId="5819" r:id="rId9"/>
    <sheet name="ただ" sheetId="5817" r:id="rId10"/>
    <sheet name="れんたろう" sheetId="5821" r:id="rId11"/>
    <sheet name="まっつん" sheetId="5823" r:id="rId12"/>
    <sheet name="のり" sheetId="5825" r:id="rId13"/>
    <sheet name="ぱぱ" sheetId="5827" r:id="rId14"/>
    <sheet name="ほたに" sheetId="5829" r:id="rId15"/>
    <sheet name="いっしー" sheetId="5831" r:id="rId16"/>
    <sheet name="いっしー2" sheetId="5832" state="hidden" r:id="rId17"/>
    <sheet name="ほたに2" sheetId="5830" state="hidden" r:id="rId18"/>
    <sheet name="ぱぱ2" sheetId="5828" state="hidden" r:id="rId19"/>
    <sheet name="のり2" sheetId="5826" state="hidden" r:id="rId20"/>
    <sheet name="まっつん2" sheetId="5824" state="hidden" r:id="rId21"/>
    <sheet name="れんたろう2" sheetId="5822" state="hidden" r:id="rId22"/>
    <sheet name="りくと2" sheetId="5820" state="hidden" r:id="rId23"/>
    <sheet name="ただ2" sheetId="5818" state="hidden" r:id="rId24"/>
    <sheet name="だいち2" sheetId="5816" state="hidden" r:id="rId25"/>
    <sheet name="たかの2" sheetId="5814" state="hidden" r:id="rId26"/>
    <sheet name="全体2" sheetId="5812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5">いっしー!$B$17</definedName>
    <definedName name="アガリ数" localSheetId="7">だいち!$B$17</definedName>
    <definedName name="アガリ数" localSheetId="6">たかの!$B$17</definedName>
    <definedName name="アガリ数" localSheetId="9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8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15">いっしー!$C$17</definedName>
    <definedName name="アガリ率" localSheetId="7">だいち!$C$17</definedName>
    <definedName name="アガリ率" localSheetId="6">たかの!$C$17</definedName>
    <definedName name="アガリ率" localSheetId="9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8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15">いっしー!$B$29</definedName>
    <definedName name="チョンボ数" localSheetId="7">だいち!$B$29</definedName>
    <definedName name="チョンボ数" localSheetId="6">たかの!$B$29</definedName>
    <definedName name="チョンボ数" localSheetId="9">ただ!$B$29</definedName>
    <definedName name="チョンボ数" localSheetId="12">のり!$B$29</definedName>
    <definedName name="チョンボ数" localSheetId="13">ぱぱ!$B$29</definedName>
    <definedName name="チョンボ数" localSheetId="14">ほたに!$B$29</definedName>
    <definedName name="チョンボ数" localSheetId="11">まっつん!$B$29</definedName>
    <definedName name="チョンボ数" localSheetId="8">りくと!$B$29</definedName>
    <definedName name="チョンボ数" localSheetId="10">れんたろう!$B$29</definedName>
    <definedName name="チョンボ数" localSheetId="5">全体!$B$29</definedName>
    <definedName name="チョンボ数">Template1!$B$29</definedName>
    <definedName name="チョンボ率" localSheetId="15">いっしー!$C$29</definedName>
    <definedName name="チョンボ率" localSheetId="7">だいち!$C$29</definedName>
    <definedName name="チョンボ率" localSheetId="6">たかの!$C$29</definedName>
    <definedName name="チョンボ率" localSheetId="9">ただ!$C$29</definedName>
    <definedName name="チョンボ率" localSheetId="12">のり!$C$29</definedName>
    <definedName name="チョンボ率" localSheetId="13">ぱぱ!$C$29</definedName>
    <definedName name="チョンボ率" localSheetId="14">ほたに!$C$29</definedName>
    <definedName name="チョンボ率" localSheetId="11">まっつん!$C$29</definedName>
    <definedName name="チョンボ率" localSheetId="8">りくと!$C$29</definedName>
    <definedName name="チョンボ率" localSheetId="10">れんたろう!$C$29</definedName>
    <definedName name="チョンボ率" localSheetId="5">全体!$C$29</definedName>
    <definedName name="チョンボ率">Template1!$C$29</definedName>
    <definedName name="ツモ数" localSheetId="15">いっしー!$B$18</definedName>
    <definedName name="ツモ数" localSheetId="7">だいち!$B$18</definedName>
    <definedName name="ツモ数" localSheetId="6">たかの!$B$18</definedName>
    <definedName name="ツモ数" localSheetId="9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8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15">いっしー!$C$18</definedName>
    <definedName name="ツモ率" localSheetId="7">だいち!$C$18</definedName>
    <definedName name="ツモ率" localSheetId="6">たかの!$C$18</definedName>
    <definedName name="ツモ率" localSheetId="9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8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15">いっしー!$B$7</definedName>
    <definedName name="トップ数" localSheetId="7">だいち!$B$7</definedName>
    <definedName name="トップ数" localSheetId="6">たかの!$B$7</definedName>
    <definedName name="トップ数" localSheetId="9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8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6">たかの!$C$7</definedName>
    <definedName name="トップ率" localSheetId="9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8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いっしー!$B$11</definedName>
    <definedName name="ふっとばし数" localSheetId="7">だいち!$B$11</definedName>
    <definedName name="ふっとばし数" localSheetId="6">たかの!$B$11</definedName>
    <definedName name="ふっとばし数" localSheetId="9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8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15">いっしー!$C$11</definedName>
    <definedName name="ふっとばし率" localSheetId="7">だいち!$C$11</definedName>
    <definedName name="ふっとばし率" localSheetId="6">たかの!$C$11</definedName>
    <definedName name="ふっとばし率" localSheetId="9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8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15">いっしー!$B$10</definedName>
    <definedName name="ふっとび数" localSheetId="7">だいち!$B$10</definedName>
    <definedName name="ふっとび数" localSheetId="6">たかの!$B$10</definedName>
    <definedName name="ふっとび数" localSheetId="9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8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6">たかの!$C$10</definedName>
    <definedName name="ふっとび率" localSheetId="9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8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6">たかの!$B$9</definedName>
    <definedName name="ラス数" localSheetId="9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8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6">たかの!$C$9</definedName>
    <definedName name="ラス率" localSheetId="9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8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15">いっしー!$B$13</definedName>
    <definedName name="リーチ数" localSheetId="7">だいち!$B$13</definedName>
    <definedName name="リーチ数" localSheetId="6">たかの!$B$13</definedName>
    <definedName name="リーチ数" localSheetId="9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8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15">いっしー!$B$15</definedName>
    <definedName name="リーチ成功数" localSheetId="7">だいち!$B$15</definedName>
    <definedName name="リーチ成功数" localSheetId="6">たかの!$B$15</definedName>
    <definedName name="リーチ成功数" localSheetId="9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8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15">いっしー!$C$15</definedName>
    <definedName name="リーチ成功率" localSheetId="7">だいち!$C$15</definedName>
    <definedName name="リーチ成功率" localSheetId="6">たかの!$C$15</definedName>
    <definedName name="リーチ成功率" localSheetId="9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8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15">いっしー!$C$13</definedName>
    <definedName name="リーチ率" localSheetId="7">だいち!$C$13</definedName>
    <definedName name="リーチ率" localSheetId="6">たかの!$C$13</definedName>
    <definedName name="リーチ率" localSheetId="9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8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15">いっしー!$B$19</definedName>
    <definedName name="ロン数" localSheetId="7">だいち!$B$19</definedName>
    <definedName name="ロン数" localSheetId="6">たかの!$B$19</definedName>
    <definedName name="ロン数" localSheetId="9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8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15">いっしー!$C$19</definedName>
    <definedName name="ロン率" localSheetId="7">だいち!$C$19</definedName>
    <definedName name="ロン率" localSheetId="6">たかの!$C$19</definedName>
    <definedName name="ロン率" localSheetId="9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8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15">いっしー!$B$12</definedName>
    <definedName name="逆転数" localSheetId="7">だいち!$B$12</definedName>
    <definedName name="逆転数" localSheetId="6">たかの!$B$12</definedName>
    <definedName name="逆転数" localSheetId="9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8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15">いっしー!$C$12</definedName>
    <definedName name="逆転率" localSheetId="7">だいち!$C$12</definedName>
    <definedName name="逆転率" localSheetId="6">たかの!$C$12</definedName>
    <definedName name="逆転率" localSheetId="9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8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15">いっしー!$B$27</definedName>
    <definedName name="最大ドラ数" localSheetId="7">だいち!$B$27</definedName>
    <definedName name="最大ドラ数" localSheetId="6">たかの!$B$27</definedName>
    <definedName name="最大ドラ数" localSheetId="9">ただ!$B$27</definedName>
    <definedName name="最大ドラ数" localSheetId="12">のり!$B$27</definedName>
    <definedName name="最大ドラ数" localSheetId="13">ぱぱ!$B$27</definedName>
    <definedName name="最大ドラ数" localSheetId="14">ほたに!$B$27</definedName>
    <definedName name="最大ドラ数" localSheetId="11">まっつん!$B$27</definedName>
    <definedName name="最大ドラ数" localSheetId="8">りくと!$B$27</definedName>
    <definedName name="最大ドラ数" localSheetId="10">れんたろう!$B$27</definedName>
    <definedName name="最大ドラ数" localSheetId="5">全体!$B$27</definedName>
    <definedName name="最大ドラ数">Template1!$B$27</definedName>
    <definedName name="最大点数" localSheetId="15">いっしー!$B$28</definedName>
    <definedName name="最大点数" localSheetId="7">だいち!$B$28</definedName>
    <definedName name="最大点数" localSheetId="6">たかの!$B$28</definedName>
    <definedName name="最大点数" localSheetId="9">ただ!$B$28</definedName>
    <definedName name="最大点数" localSheetId="12">のり!$B$28</definedName>
    <definedName name="最大点数" localSheetId="13">ぱぱ!$B$28</definedName>
    <definedName name="最大点数" localSheetId="14">ほたに!$B$28</definedName>
    <definedName name="最大点数" localSheetId="11">まっつん!$B$28</definedName>
    <definedName name="最大点数" localSheetId="8">りくと!$B$28</definedName>
    <definedName name="最大点数" localSheetId="10">れんたろう!$B$28</definedName>
    <definedName name="最大点数" localSheetId="5">全体!$B$28</definedName>
    <definedName name="最大点数">Template1!$B$28</definedName>
    <definedName name="総局数" localSheetId="15">いっしー!$B$3</definedName>
    <definedName name="総局数" localSheetId="7">だいち!$B$3</definedName>
    <definedName name="総局数" localSheetId="6">たかの!$B$3</definedName>
    <definedName name="総局数" localSheetId="9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8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6">たかの!$B$2</definedName>
    <definedName name="対戦数" localSheetId="9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8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15">いっしー!$B$4</definedName>
    <definedName name="通算スコア" localSheetId="7">だいち!$B$4</definedName>
    <definedName name="通算スコア" localSheetId="6">たかの!$B$4</definedName>
    <definedName name="通算スコア" localSheetId="9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8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15">いっしー!$B$14</definedName>
    <definedName name="副露数" localSheetId="7">だいち!$B$14</definedName>
    <definedName name="副露数" localSheetId="6">たかの!$B$14</definedName>
    <definedName name="副露数" localSheetId="9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8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15">いっしー!$B$16</definedName>
    <definedName name="副露成功数" localSheetId="7">だいち!$B$16</definedName>
    <definedName name="副露成功数" localSheetId="6">たかの!$B$16</definedName>
    <definedName name="副露成功数" localSheetId="9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8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15">いっしー!$C$16</definedName>
    <definedName name="副露成功率" localSheetId="7">だいち!$C$16</definedName>
    <definedName name="副露成功率" localSheetId="6">たかの!$C$16</definedName>
    <definedName name="副露成功率" localSheetId="9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8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15">いっしー!$C$14</definedName>
    <definedName name="副露率" localSheetId="7">だいち!$C$14</definedName>
    <definedName name="副露率" localSheetId="6">たかの!$C$14</definedName>
    <definedName name="副露率" localSheetId="9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8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15">いっしー!$B$23</definedName>
    <definedName name="平均アガリ点" localSheetId="7">だいち!$B$23</definedName>
    <definedName name="平均アガリ点" localSheetId="6">たかの!$B$23</definedName>
    <definedName name="平均アガリ点" localSheetId="9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8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15">いっしー!$B$5</definedName>
    <definedName name="平均スコア" localSheetId="7">だいち!$B$5</definedName>
    <definedName name="平均スコア" localSheetId="6">たかの!$B$5</definedName>
    <definedName name="平均スコア" localSheetId="9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8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6">たかの!$B$6</definedName>
    <definedName name="平均順位" localSheetId="9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8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いっしー!$B$26</definedName>
    <definedName name="平均放銃点" localSheetId="7">だいち!$B$26</definedName>
    <definedName name="平均放銃点" localSheetId="6">たかの!$B$26</definedName>
    <definedName name="平均放銃点" localSheetId="9">ただ!$B$26</definedName>
    <definedName name="平均放銃点" localSheetId="12">のり!$B$26</definedName>
    <definedName name="平均放銃点" localSheetId="13">ぱぱ!$B$26</definedName>
    <definedName name="平均放銃点" localSheetId="14">ほたに!$B$26</definedName>
    <definedName name="平均放銃点" localSheetId="11">まっつん!$B$26</definedName>
    <definedName name="平均放銃点" localSheetId="8">りくと!$B$26</definedName>
    <definedName name="平均放銃点" localSheetId="10">れんたろう!$B$26</definedName>
    <definedName name="平均放銃点" localSheetId="5">全体!$B$26</definedName>
    <definedName name="平均放銃点">Template1!$B$26</definedName>
    <definedName name="放銃数" localSheetId="15">いっしー!$B$20</definedName>
    <definedName name="放銃数" localSheetId="7">だいち!$B$20</definedName>
    <definedName name="放銃数" localSheetId="6">たかの!$B$20</definedName>
    <definedName name="放銃数" localSheetId="9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8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15">いっしー!$C$20</definedName>
    <definedName name="放銃率" localSheetId="7">だいち!$C$20</definedName>
    <definedName name="放銃率" localSheetId="6">たかの!$C$20</definedName>
    <definedName name="放銃率" localSheetId="9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8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15">いっしー!$B$21</definedName>
    <definedName name="連続アガリ" localSheetId="7">だいち!$B$21</definedName>
    <definedName name="連続アガリ" localSheetId="6">たかの!$B$21</definedName>
    <definedName name="連続アガリ" localSheetId="9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8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15">いっしー!$B$22</definedName>
    <definedName name="連続無放銃" localSheetId="7">だいち!$B$22</definedName>
    <definedName name="連続無放銃" localSheetId="6">たかの!$B$22</definedName>
    <definedName name="連続無放銃" localSheetId="9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8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8" i="5821" l="1"/>
  <c r="O17" i="5821"/>
  <c r="O15" i="5821"/>
  <c r="O17" i="5823" l="1"/>
  <c r="O17" i="5831"/>
  <c r="O22" i="5815" l="1"/>
  <c r="O16" i="5831"/>
  <c r="O15" i="5831"/>
  <c r="C29" i="5831"/>
  <c r="B26" i="5831"/>
  <c r="B25" i="5831"/>
  <c r="C20" i="5831"/>
  <c r="B17" i="5831"/>
  <c r="H50" i="5831" s="1"/>
  <c r="C16" i="5831"/>
  <c r="C15" i="5831"/>
  <c r="C14" i="5831"/>
  <c r="C13" i="5831"/>
  <c r="O12" i="5831"/>
  <c r="C12" i="5831"/>
  <c r="O11" i="5831"/>
  <c r="C11" i="5831"/>
  <c r="O10" i="5831"/>
  <c r="C10" i="5831"/>
  <c r="C9" i="5831"/>
  <c r="C8" i="5831"/>
  <c r="O7" i="5831"/>
  <c r="C7" i="5831"/>
  <c r="O6" i="5831"/>
  <c r="B6" i="5831"/>
  <c r="O5" i="5831"/>
  <c r="B5" i="5831"/>
  <c r="O4" i="5831"/>
  <c r="O3" i="5831"/>
  <c r="O2" i="5831"/>
  <c r="O17" i="5825"/>
  <c r="O24" i="5811"/>
  <c r="H19" i="5831" l="1"/>
  <c r="H31" i="5831"/>
  <c r="B23" i="5831"/>
  <c r="H25" i="5831"/>
  <c r="H17" i="5831"/>
  <c r="H14" i="5831"/>
  <c r="H35" i="5831"/>
  <c r="H3" i="5831"/>
  <c r="H36" i="5831"/>
  <c r="H44" i="5831"/>
  <c r="H9" i="5831"/>
  <c r="C17" i="5831"/>
  <c r="H29" i="5831"/>
  <c r="H47" i="5831"/>
  <c r="H39" i="5831"/>
  <c r="H43" i="5831"/>
  <c r="H4" i="5831"/>
  <c r="H5" i="5831"/>
  <c r="C18" i="5831"/>
  <c r="H6" i="5831"/>
  <c r="H2" i="5831"/>
  <c r="H21" i="5831"/>
  <c r="H51" i="5831"/>
  <c r="H11" i="5831"/>
  <c r="H18" i="5831"/>
  <c r="C19" i="5831"/>
  <c r="B24" i="5831"/>
  <c r="H37" i="5831"/>
  <c r="H45" i="5831"/>
  <c r="H52" i="5831"/>
  <c r="H12" i="5831"/>
  <c r="H7" i="5831"/>
  <c r="H10" i="5831"/>
  <c r="H15" i="5831"/>
  <c r="H22" i="5831"/>
  <c r="H26" i="5831"/>
  <c r="H30" i="5831"/>
  <c r="H38" i="5831"/>
  <c r="H46" i="5831"/>
  <c r="H23" i="5831"/>
  <c r="H27" i="5831"/>
  <c r="H32" i="5831"/>
  <c r="H40" i="5831"/>
  <c r="H48" i="5831"/>
  <c r="H13" i="5831"/>
  <c r="H16" i="5831"/>
  <c r="H8" i="5831"/>
  <c r="H33" i="5831"/>
  <c r="H41" i="5831"/>
  <c r="H49" i="5831"/>
  <c r="H20" i="5831"/>
  <c r="H24" i="5831"/>
  <c r="H28" i="5831"/>
  <c r="H34" i="5831"/>
  <c r="H42" i="5831"/>
  <c r="O21" i="5813" l="1"/>
  <c r="O16" i="5821"/>
  <c r="O19" i="5829" l="1"/>
  <c r="O15" i="5819" l="1"/>
  <c r="O19" i="5825"/>
  <c r="O16" i="5829" l="1"/>
  <c r="O22" i="5819"/>
  <c r="O20" i="5813" l="1"/>
  <c r="O16" i="5815"/>
  <c r="O15" i="5825"/>
  <c r="O20" i="5825"/>
  <c r="O22" i="5823" l="1"/>
  <c r="O17" i="5827"/>
  <c r="O16" i="5817" l="1"/>
  <c r="O18" i="5823"/>
  <c r="O22" i="5825"/>
  <c r="O16" i="5825"/>
  <c r="O16" i="5813" l="1"/>
  <c r="O19" i="5827"/>
  <c r="O18" i="5827"/>
  <c r="O17" i="5819"/>
  <c r="O18" i="5817" l="1"/>
  <c r="O21" i="5821"/>
  <c r="O19" i="5821" l="1"/>
  <c r="O21" i="5815"/>
  <c r="O23" i="5825"/>
  <c r="O17" i="5829"/>
  <c r="O15" i="5829"/>
  <c r="O20" i="5827"/>
  <c r="O15" i="5817" l="1"/>
  <c r="O19" i="5817"/>
  <c r="O18" i="5829"/>
  <c r="O20" i="5829"/>
  <c r="C29" i="5829"/>
  <c r="B26" i="5829"/>
  <c r="B25" i="5829"/>
  <c r="C20" i="5829"/>
  <c r="B17" i="5829"/>
  <c r="H51" i="5829" s="1"/>
  <c r="C16" i="5829"/>
  <c r="C15" i="5829"/>
  <c r="C14" i="5829"/>
  <c r="C13" i="5829"/>
  <c r="O12" i="5829"/>
  <c r="C12" i="5829"/>
  <c r="O11" i="5829"/>
  <c r="C11" i="5829"/>
  <c r="O10" i="5829"/>
  <c r="C10" i="5829"/>
  <c r="C9" i="5829"/>
  <c r="C8" i="5829"/>
  <c r="O7" i="5829"/>
  <c r="C7" i="5829"/>
  <c r="O6" i="5829"/>
  <c r="B6" i="5829"/>
  <c r="O5" i="5829"/>
  <c r="B5" i="5829"/>
  <c r="O4" i="5829"/>
  <c r="O3" i="5829"/>
  <c r="O2" i="5829"/>
  <c r="O20" i="5823"/>
  <c r="O15" i="5823"/>
  <c r="O16" i="5811"/>
  <c r="H20" i="5829" l="1"/>
  <c r="H6" i="5829"/>
  <c r="B24" i="5829"/>
  <c r="H5" i="5829"/>
  <c r="H7" i="5829"/>
  <c r="H44" i="5829"/>
  <c r="H8" i="5829"/>
  <c r="H36" i="5829"/>
  <c r="H2" i="5829"/>
  <c r="C19" i="5829"/>
  <c r="H37" i="5829"/>
  <c r="H26" i="5829"/>
  <c r="H45" i="5829"/>
  <c r="H11" i="5829"/>
  <c r="H52" i="5829"/>
  <c r="C17" i="5829"/>
  <c r="H29" i="5829"/>
  <c r="H17" i="5829"/>
  <c r="H3" i="5829"/>
  <c r="H12" i="5829"/>
  <c r="H22" i="5829"/>
  <c r="H23" i="5829"/>
  <c r="H15" i="5829"/>
  <c r="H30" i="5829"/>
  <c r="H38" i="5829"/>
  <c r="H46" i="5829"/>
  <c r="H21" i="5829"/>
  <c r="H31" i="5829"/>
  <c r="H39" i="5829"/>
  <c r="H47" i="5829"/>
  <c r="H27" i="5829"/>
  <c r="H48" i="5829"/>
  <c r="H10" i="5829"/>
  <c r="H18" i="5829"/>
  <c r="H14" i="5829"/>
  <c r="H41" i="5829"/>
  <c r="H13" i="5829"/>
  <c r="H25" i="5829"/>
  <c r="H28" i="5829"/>
  <c r="H34" i="5829"/>
  <c r="H42" i="5829"/>
  <c r="H50" i="5829"/>
  <c r="H24" i="5829"/>
  <c r="H32" i="5829"/>
  <c r="H40" i="5829"/>
  <c r="H33" i="5829"/>
  <c r="H49" i="5829"/>
  <c r="H4" i="5829"/>
  <c r="H16" i="5829"/>
  <c r="H19" i="5829"/>
  <c r="C18" i="5829"/>
  <c r="B23" i="5829"/>
  <c r="H9" i="5829"/>
  <c r="H35" i="5829"/>
  <c r="H43" i="5829"/>
  <c r="O18" i="5815" l="1"/>
  <c r="O20" i="5819"/>
  <c r="O17" i="5815" l="1"/>
  <c r="O19" i="5823"/>
  <c r="O23" i="5823"/>
  <c r="O17" i="5813"/>
  <c r="O20" i="5817"/>
  <c r="O16" i="5819"/>
  <c r="O19" i="5819"/>
  <c r="O18" i="5813"/>
  <c r="O17" i="5817"/>
  <c r="O15" i="5815"/>
  <c r="O21" i="5827"/>
  <c r="O22" i="5827"/>
  <c r="O22" i="5821" l="1"/>
  <c r="O16" i="5827"/>
  <c r="O15" i="5827"/>
  <c r="C29" i="5827"/>
  <c r="B26" i="5827"/>
  <c r="B25" i="5827"/>
  <c r="C20" i="5827"/>
  <c r="B17" i="5827"/>
  <c r="H5" i="5827" s="1"/>
  <c r="C16" i="5827"/>
  <c r="C15" i="5827"/>
  <c r="C14" i="5827"/>
  <c r="C13" i="5827"/>
  <c r="O12" i="5827"/>
  <c r="C12" i="5827"/>
  <c r="O11" i="5827"/>
  <c r="C11" i="5827"/>
  <c r="O10" i="5827"/>
  <c r="C10" i="5827"/>
  <c r="C9" i="5827"/>
  <c r="C8" i="5827"/>
  <c r="O7" i="5827"/>
  <c r="C7" i="5827"/>
  <c r="O6" i="5827"/>
  <c r="B6" i="5827"/>
  <c r="O5" i="5827"/>
  <c r="B5" i="5827"/>
  <c r="O4" i="5827"/>
  <c r="O3" i="5827"/>
  <c r="O2" i="5827"/>
  <c r="O15" i="5811"/>
  <c r="O18" i="5825"/>
  <c r="O21" i="5825"/>
  <c r="C29" i="5825"/>
  <c r="B26" i="5825"/>
  <c r="B25" i="5825"/>
  <c r="C20" i="5825"/>
  <c r="B17" i="5825"/>
  <c r="H52" i="5825" s="1"/>
  <c r="C16" i="5825"/>
  <c r="C15" i="5825"/>
  <c r="C14" i="5825"/>
  <c r="C13" i="5825"/>
  <c r="O12" i="5825"/>
  <c r="C12" i="5825"/>
  <c r="O11" i="5825"/>
  <c r="C11" i="5825"/>
  <c r="O10" i="5825"/>
  <c r="C10" i="5825"/>
  <c r="C9" i="5825"/>
  <c r="C8" i="5825"/>
  <c r="O7" i="5825"/>
  <c r="C7" i="5825"/>
  <c r="O6" i="5825"/>
  <c r="B6" i="5825"/>
  <c r="O5" i="5825"/>
  <c r="B5" i="5825"/>
  <c r="O4" i="5825"/>
  <c r="O3" i="5825"/>
  <c r="O2" i="5825"/>
  <c r="O21" i="5811"/>
  <c r="H23" i="5827" l="1"/>
  <c r="H11" i="5827"/>
  <c r="H52" i="5827"/>
  <c r="H21" i="5827"/>
  <c r="C17" i="5827"/>
  <c r="H32" i="5827"/>
  <c r="C19" i="5827"/>
  <c r="H38" i="5827"/>
  <c r="H10" i="5827"/>
  <c r="H16" i="5827"/>
  <c r="H46" i="5827"/>
  <c r="H40" i="5827"/>
  <c r="H4" i="5827"/>
  <c r="B24" i="5827"/>
  <c r="H48" i="5827"/>
  <c r="H15" i="5827"/>
  <c r="H13" i="5827"/>
  <c r="H31" i="5827"/>
  <c r="H39" i="5827"/>
  <c r="H47" i="5827"/>
  <c r="H49" i="5827"/>
  <c r="H14" i="5827"/>
  <c r="H27" i="5827"/>
  <c r="H34" i="5827"/>
  <c r="H42" i="5827"/>
  <c r="H50" i="5827"/>
  <c r="H6" i="5827"/>
  <c r="H33" i="5827"/>
  <c r="H24" i="5827"/>
  <c r="H28" i="5827"/>
  <c r="H29" i="5827"/>
  <c r="H35" i="5827"/>
  <c r="H43" i="5827"/>
  <c r="H51" i="5827"/>
  <c r="H18" i="5827"/>
  <c r="H8" i="5827"/>
  <c r="H7" i="5827"/>
  <c r="H20" i="5827"/>
  <c r="H22" i="5827"/>
  <c r="C18" i="5827"/>
  <c r="B23" i="5827"/>
  <c r="H12" i="5827"/>
  <c r="H36" i="5827"/>
  <c r="H44" i="5827"/>
  <c r="H19" i="5827"/>
  <c r="H2" i="5827"/>
  <c r="H26" i="5827"/>
  <c r="H41" i="5827"/>
  <c r="H3" i="5827"/>
  <c r="H9" i="5827"/>
  <c r="H25" i="5827"/>
  <c r="H17" i="5827"/>
  <c r="H30" i="5827"/>
  <c r="H37" i="5827"/>
  <c r="H45" i="5827"/>
  <c r="H9" i="5825"/>
  <c r="H4" i="5825"/>
  <c r="H3" i="5825"/>
  <c r="H6" i="5825"/>
  <c r="H29" i="5825"/>
  <c r="H2" i="5825"/>
  <c r="H44" i="5825"/>
  <c r="H7" i="5825"/>
  <c r="H16" i="5825"/>
  <c r="H23" i="5825"/>
  <c r="H10" i="5825"/>
  <c r="H26" i="5825"/>
  <c r="H14" i="5825"/>
  <c r="C17" i="5825"/>
  <c r="H36" i="5825"/>
  <c r="H15" i="5825"/>
  <c r="H13" i="5825"/>
  <c r="H30" i="5825"/>
  <c r="H38" i="5825"/>
  <c r="H46" i="5825"/>
  <c r="H17" i="5825"/>
  <c r="H31" i="5825"/>
  <c r="H39" i="5825"/>
  <c r="H47" i="5825"/>
  <c r="H24" i="5825"/>
  <c r="H19" i="5825"/>
  <c r="H12" i="5825"/>
  <c r="H33" i="5825"/>
  <c r="H41" i="5825"/>
  <c r="H49" i="5825"/>
  <c r="H27" i="5825"/>
  <c r="H40" i="5825"/>
  <c r="H22" i="5825"/>
  <c r="H25" i="5825"/>
  <c r="H28" i="5825"/>
  <c r="H34" i="5825"/>
  <c r="H42" i="5825"/>
  <c r="H50" i="5825"/>
  <c r="H32" i="5825"/>
  <c r="H48" i="5825"/>
  <c r="H11" i="5825"/>
  <c r="H5" i="5825"/>
  <c r="H18" i="5825"/>
  <c r="H20" i="5825"/>
  <c r="C18" i="5825"/>
  <c r="B23" i="5825"/>
  <c r="H8" i="5825"/>
  <c r="H35" i="5825"/>
  <c r="H43" i="5825"/>
  <c r="H51" i="5825"/>
  <c r="H21" i="5825"/>
  <c r="C19" i="5825"/>
  <c r="B24" i="5825"/>
  <c r="H37" i="5825"/>
  <c r="H45" i="5825"/>
  <c r="O21" i="5823" l="1"/>
  <c r="O16" i="5823"/>
  <c r="C29" i="5823"/>
  <c r="B26" i="5823"/>
  <c r="B25" i="5823"/>
  <c r="C20" i="5823"/>
  <c r="B17" i="5823"/>
  <c r="H52" i="5823" s="1"/>
  <c r="C16" i="5823"/>
  <c r="C15" i="5823"/>
  <c r="C14" i="5823"/>
  <c r="C13" i="5823"/>
  <c r="O12" i="5823"/>
  <c r="C12" i="5823"/>
  <c r="O11" i="5823"/>
  <c r="C11" i="5823"/>
  <c r="O10" i="5823"/>
  <c r="C10" i="5823"/>
  <c r="C9" i="5823"/>
  <c r="C8" i="5823"/>
  <c r="O7" i="5823"/>
  <c r="C7" i="5823"/>
  <c r="O6" i="5823"/>
  <c r="B6" i="5823"/>
  <c r="O5" i="5823"/>
  <c r="B5" i="5823"/>
  <c r="O4" i="5823"/>
  <c r="O3" i="5823"/>
  <c r="O2" i="5823"/>
  <c r="O20" i="5821"/>
  <c r="C29" i="5821"/>
  <c r="B26" i="5821"/>
  <c r="B25" i="5821"/>
  <c r="C20" i="5821"/>
  <c r="B17" i="5821"/>
  <c r="H52" i="5821" s="1"/>
  <c r="C16" i="5821"/>
  <c r="C15" i="5821"/>
  <c r="C14" i="5821"/>
  <c r="C13" i="5821"/>
  <c r="O12" i="5821"/>
  <c r="C12" i="5821"/>
  <c r="O11" i="5821"/>
  <c r="C11" i="5821"/>
  <c r="O10" i="5821"/>
  <c r="C10" i="5821"/>
  <c r="C9" i="5821"/>
  <c r="C8" i="5821"/>
  <c r="O7" i="5821"/>
  <c r="C7" i="5821"/>
  <c r="O6" i="5821"/>
  <c r="B6" i="5821"/>
  <c r="O5" i="5821"/>
  <c r="B5" i="5821"/>
  <c r="O4" i="5821"/>
  <c r="O3" i="5821"/>
  <c r="O2" i="5821"/>
  <c r="O17" i="5811"/>
  <c r="O21" i="5819"/>
  <c r="O18" i="5819"/>
  <c r="C29" i="5819"/>
  <c r="B26" i="5819"/>
  <c r="B25" i="5819"/>
  <c r="C20" i="5819"/>
  <c r="B17" i="5819"/>
  <c r="H52" i="5819" s="1"/>
  <c r="C16" i="5819"/>
  <c r="C15" i="5819"/>
  <c r="C14" i="5819"/>
  <c r="C13" i="5819"/>
  <c r="O12" i="5819"/>
  <c r="C12" i="5819"/>
  <c r="O11" i="5819"/>
  <c r="C11" i="5819"/>
  <c r="O10" i="5819"/>
  <c r="C10" i="5819"/>
  <c r="C9" i="5819"/>
  <c r="C8" i="5819"/>
  <c r="O7" i="5819"/>
  <c r="C7" i="5819"/>
  <c r="O6" i="5819"/>
  <c r="B6" i="5819"/>
  <c r="O5" i="5819"/>
  <c r="B5" i="5819"/>
  <c r="O4" i="5819"/>
  <c r="O3" i="5819"/>
  <c r="O2" i="5819"/>
  <c r="O19" i="5811"/>
  <c r="O20" i="5811"/>
  <c r="H24" i="5819" l="1"/>
  <c r="H6" i="5819"/>
  <c r="H18" i="5819"/>
  <c r="H7" i="5819"/>
  <c r="H10" i="5819"/>
  <c r="H48" i="5819"/>
  <c r="H31" i="5819"/>
  <c r="H47" i="5819"/>
  <c r="H4" i="5823"/>
  <c r="H27" i="5823"/>
  <c r="H20" i="5823"/>
  <c r="H11" i="5823"/>
  <c r="H12" i="5823"/>
  <c r="H9" i="5823"/>
  <c r="H7" i="5823"/>
  <c r="C17" i="5823"/>
  <c r="H23" i="5823"/>
  <c r="H19" i="5823"/>
  <c r="H13" i="5823"/>
  <c r="H21" i="5823"/>
  <c r="H40" i="5823"/>
  <c r="H47" i="5823"/>
  <c r="H16" i="5823"/>
  <c r="H33" i="5823"/>
  <c r="H41" i="5823"/>
  <c r="H48" i="5823"/>
  <c r="H2" i="5823"/>
  <c r="H34" i="5823"/>
  <c r="H8" i="5823"/>
  <c r="H24" i="5823"/>
  <c r="H15" i="5823"/>
  <c r="H35" i="5823"/>
  <c r="H42" i="5823"/>
  <c r="H50" i="5823"/>
  <c r="H22" i="5823"/>
  <c r="H14" i="5823"/>
  <c r="H29" i="5823"/>
  <c r="H31" i="5823"/>
  <c r="H36" i="5823"/>
  <c r="H43" i="5823"/>
  <c r="H51" i="5823"/>
  <c r="H3" i="5823"/>
  <c r="H28" i="5823"/>
  <c r="H30" i="5823"/>
  <c r="H49" i="5823"/>
  <c r="H6" i="5823"/>
  <c r="H18" i="5823"/>
  <c r="H25" i="5823"/>
  <c r="C18" i="5823"/>
  <c r="B23" i="5823"/>
  <c r="H10" i="5823"/>
  <c r="H37" i="5823"/>
  <c r="H44" i="5823"/>
  <c r="H17" i="5823"/>
  <c r="H32" i="5823"/>
  <c r="H38" i="5823"/>
  <c r="H45" i="5823"/>
  <c r="H5" i="5823"/>
  <c r="H26" i="5823"/>
  <c r="C19" i="5823"/>
  <c r="B24" i="5823"/>
  <c r="H39" i="5823"/>
  <c r="H46" i="5823"/>
  <c r="H20" i="5821"/>
  <c r="H12" i="5821"/>
  <c r="H2" i="5821"/>
  <c r="H40" i="5821"/>
  <c r="H14" i="5821"/>
  <c r="H47" i="5821"/>
  <c r="H6" i="5821"/>
  <c r="H48" i="5821"/>
  <c r="H10" i="5821"/>
  <c r="H18" i="5821"/>
  <c r="H24" i="5821"/>
  <c r="C17" i="5821"/>
  <c r="H15" i="5821"/>
  <c r="H17" i="5821"/>
  <c r="H39" i="5821"/>
  <c r="H49" i="5821"/>
  <c r="H9" i="5821"/>
  <c r="H19" i="5821"/>
  <c r="H13" i="5821"/>
  <c r="H34" i="5821"/>
  <c r="H42" i="5821"/>
  <c r="H50" i="5821"/>
  <c r="H29" i="5821"/>
  <c r="H27" i="5821"/>
  <c r="H30" i="5821"/>
  <c r="H32" i="5821"/>
  <c r="H35" i="5821"/>
  <c r="H43" i="5821"/>
  <c r="H51" i="5821"/>
  <c r="H31" i="5821"/>
  <c r="H5" i="5821"/>
  <c r="H23" i="5821"/>
  <c r="H25" i="5821"/>
  <c r="C18" i="5821"/>
  <c r="B23" i="5821"/>
  <c r="H8" i="5821"/>
  <c r="H36" i="5821"/>
  <c r="H44" i="5821"/>
  <c r="H16" i="5821"/>
  <c r="H3" i="5821"/>
  <c r="H33" i="5821"/>
  <c r="H4" i="5821"/>
  <c r="H11" i="5821"/>
  <c r="H28" i="5821"/>
  <c r="H21" i="5821"/>
  <c r="H22" i="5821"/>
  <c r="H37" i="5821"/>
  <c r="H45" i="5821"/>
  <c r="H7" i="5821"/>
  <c r="H41" i="5821"/>
  <c r="H26" i="5821"/>
  <c r="C19" i="5821"/>
  <c r="B24" i="5821"/>
  <c r="H38" i="5821"/>
  <c r="H46" i="5821"/>
  <c r="H3" i="5819"/>
  <c r="H8" i="5819"/>
  <c r="H12" i="5819"/>
  <c r="H19" i="5819"/>
  <c r="H22" i="5819"/>
  <c r="H14" i="5819"/>
  <c r="H28" i="5819"/>
  <c r="H32" i="5819"/>
  <c r="H13" i="5819"/>
  <c r="B24" i="5819"/>
  <c r="H37" i="5819"/>
  <c r="H15" i="5819"/>
  <c r="H16" i="5819"/>
  <c r="H39" i="5819"/>
  <c r="C17" i="5819"/>
  <c r="H38" i="5819"/>
  <c r="H2" i="5819"/>
  <c r="H4" i="5819"/>
  <c r="H25" i="5819"/>
  <c r="H9" i="5819"/>
  <c r="C19" i="5819"/>
  <c r="H40" i="5819"/>
  <c r="H26" i="5819"/>
  <c r="H29" i="5819"/>
  <c r="H33" i="5819"/>
  <c r="H41" i="5819"/>
  <c r="H49" i="5819"/>
  <c r="H34" i="5819"/>
  <c r="H42" i="5819"/>
  <c r="H50" i="5819"/>
  <c r="H17" i="5819"/>
  <c r="H27" i="5819"/>
  <c r="H30" i="5819"/>
  <c r="H35" i="5819"/>
  <c r="H43" i="5819"/>
  <c r="H51" i="5819"/>
  <c r="H21" i="5819"/>
  <c r="H23" i="5819"/>
  <c r="C18" i="5819"/>
  <c r="B23" i="5819"/>
  <c r="H11" i="5819"/>
  <c r="H36" i="5819"/>
  <c r="H44" i="5819"/>
  <c r="H20" i="5819"/>
  <c r="H45" i="5819"/>
  <c r="H5" i="5819"/>
  <c r="H46" i="5819"/>
  <c r="O22" i="5817" l="1"/>
  <c r="O21" i="5817"/>
  <c r="C29" i="5817"/>
  <c r="B26" i="5817"/>
  <c r="B25" i="5817"/>
  <c r="C20" i="5817"/>
  <c r="B17" i="5817"/>
  <c r="H52" i="5817" s="1"/>
  <c r="C16" i="5817"/>
  <c r="C15" i="5817"/>
  <c r="C14" i="5817"/>
  <c r="C13" i="5817"/>
  <c r="O12" i="5817"/>
  <c r="C12" i="5817"/>
  <c r="O11" i="5817"/>
  <c r="C11" i="5817"/>
  <c r="O10" i="5817"/>
  <c r="C10" i="5817"/>
  <c r="C9" i="5817"/>
  <c r="C8" i="5817"/>
  <c r="O7" i="5817"/>
  <c r="C7" i="5817"/>
  <c r="O6" i="5817"/>
  <c r="B6" i="5817"/>
  <c r="O5" i="5817"/>
  <c r="B5" i="5817"/>
  <c r="O4" i="5817"/>
  <c r="O3" i="5817"/>
  <c r="O2" i="5817"/>
  <c r="O20" i="5815"/>
  <c r="O19" i="5815"/>
  <c r="C29" i="5815"/>
  <c r="B26" i="5815"/>
  <c r="B25" i="5815"/>
  <c r="C20" i="5815"/>
  <c r="B17" i="5815"/>
  <c r="H52" i="5815" s="1"/>
  <c r="C16" i="5815"/>
  <c r="C15" i="5815"/>
  <c r="C14" i="5815"/>
  <c r="C13" i="5815"/>
  <c r="O12" i="5815"/>
  <c r="C12" i="5815"/>
  <c r="O11" i="5815"/>
  <c r="C11" i="5815"/>
  <c r="O10" i="5815"/>
  <c r="C10" i="5815"/>
  <c r="C9" i="5815"/>
  <c r="C8" i="5815"/>
  <c r="O7" i="5815"/>
  <c r="C7" i="5815"/>
  <c r="O6" i="5815"/>
  <c r="B6" i="5815"/>
  <c r="O5" i="5815"/>
  <c r="B5" i="5815"/>
  <c r="O4" i="5815"/>
  <c r="O3" i="5815"/>
  <c r="O2" i="5815"/>
  <c r="O18" i="5811"/>
  <c r="O19" i="5813"/>
  <c r="O15" i="5813"/>
  <c r="C29" i="5813"/>
  <c r="B26" i="5813"/>
  <c r="B25" i="5813"/>
  <c r="C20" i="5813"/>
  <c r="B17" i="5813"/>
  <c r="H51" i="5813" s="1"/>
  <c r="C16" i="5813"/>
  <c r="C15" i="5813"/>
  <c r="C14" i="5813"/>
  <c r="C13" i="5813"/>
  <c r="O12" i="5813"/>
  <c r="C12" i="5813"/>
  <c r="O11" i="5813"/>
  <c r="C11" i="5813"/>
  <c r="O10" i="5813"/>
  <c r="C10" i="5813"/>
  <c r="C9" i="5813"/>
  <c r="C8" i="5813"/>
  <c r="O7" i="5813"/>
  <c r="C7" i="5813"/>
  <c r="O6" i="5813"/>
  <c r="B6" i="5813"/>
  <c r="O5" i="5813"/>
  <c r="B5" i="5813"/>
  <c r="O4" i="5813"/>
  <c r="O3" i="5813"/>
  <c r="O2" i="5813"/>
  <c r="O22" i="5811"/>
  <c r="O23" i="5811"/>
  <c r="C29" i="5811"/>
  <c r="B26" i="5811"/>
  <c r="B25" i="5811"/>
  <c r="C20" i="5811"/>
  <c r="B17" i="5811"/>
  <c r="H52" i="5811" s="1"/>
  <c r="C16" i="5811"/>
  <c r="C15" i="5811"/>
  <c r="C14" i="5811"/>
  <c r="C13" i="5811"/>
  <c r="O12" i="5811"/>
  <c r="C12" i="5811"/>
  <c r="O11" i="5811"/>
  <c r="C11" i="5811"/>
  <c r="O10" i="5811"/>
  <c r="C10" i="5811"/>
  <c r="C9" i="5811"/>
  <c r="C8" i="5811"/>
  <c r="O7" i="5811"/>
  <c r="C7" i="5811"/>
  <c r="O6" i="5811"/>
  <c r="B6" i="5811"/>
  <c r="O5" i="5811"/>
  <c r="B5" i="5811"/>
  <c r="O4" i="5811"/>
  <c r="O3" i="5811"/>
  <c r="O2" i="5811"/>
  <c r="H6" i="5817" l="1"/>
  <c r="H13" i="5817"/>
  <c r="H25" i="5817"/>
  <c r="H11" i="5817"/>
  <c r="H3" i="5817"/>
  <c r="H5" i="5813"/>
  <c r="H47" i="5817"/>
  <c r="H19" i="5817"/>
  <c r="C17" i="5817"/>
  <c r="H10" i="5817"/>
  <c r="H18" i="5817"/>
  <c r="H2" i="5817"/>
  <c r="H9" i="5817"/>
  <c r="H15" i="5817"/>
  <c r="H39" i="5817"/>
  <c r="H16" i="5817"/>
  <c r="H21" i="5817"/>
  <c r="H40" i="5817"/>
  <c r="H48" i="5817"/>
  <c r="H29" i="5817"/>
  <c r="H31" i="5817"/>
  <c r="H34" i="5817"/>
  <c r="H41" i="5817"/>
  <c r="H49" i="5817"/>
  <c r="H14" i="5817"/>
  <c r="H35" i="5817"/>
  <c r="H42" i="5817"/>
  <c r="H50" i="5817"/>
  <c r="H17" i="5817"/>
  <c r="H20" i="5817"/>
  <c r="H32" i="5817"/>
  <c r="H22" i="5817"/>
  <c r="H43" i="5817"/>
  <c r="H51" i="5817"/>
  <c r="H7" i="5817"/>
  <c r="H24" i="5817"/>
  <c r="H26" i="5817"/>
  <c r="C18" i="5817"/>
  <c r="B23" i="5817"/>
  <c r="H8" i="5817"/>
  <c r="H36" i="5817"/>
  <c r="H44" i="5817"/>
  <c r="H23" i="5817"/>
  <c r="H5" i="5817"/>
  <c r="H12" i="5817"/>
  <c r="H28" i="5817"/>
  <c r="H30" i="5817"/>
  <c r="H33" i="5817"/>
  <c r="H37" i="5817"/>
  <c r="H45" i="5817"/>
  <c r="H4" i="5817"/>
  <c r="H27" i="5817"/>
  <c r="C19" i="5817"/>
  <c r="B24" i="5817"/>
  <c r="H38" i="5817"/>
  <c r="H46" i="5817"/>
  <c r="H25" i="5815"/>
  <c r="H3" i="5815"/>
  <c r="H4" i="5815"/>
  <c r="H26" i="5815"/>
  <c r="C17" i="5815"/>
  <c r="H37" i="5815"/>
  <c r="H2" i="5815"/>
  <c r="H31" i="5815"/>
  <c r="H45" i="5815"/>
  <c r="H12" i="5815"/>
  <c r="H5" i="5815"/>
  <c r="H10" i="5815"/>
  <c r="H6" i="5815"/>
  <c r="H11" i="5815"/>
  <c r="H21" i="5815"/>
  <c r="H24" i="5815"/>
  <c r="H14" i="5815"/>
  <c r="H27" i="5815"/>
  <c r="H39" i="5815"/>
  <c r="H47" i="5815"/>
  <c r="H16" i="5815"/>
  <c r="H20" i="5815"/>
  <c r="H40" i="5815"/>
  <c r="H48" i="5815"/>
  <c r="H32" i="5815"/>
  <c r="H33" i="5815"/>
  <c r="H34" i="5815"/>
  <c r="H41" i="5815"/>
  <c r="H49" i="5815"/>
  <c r="H9" i="5815"/>
  <c r="H22" i="5815"/>
  <c r="H13" i="5815"/>
  <c r="H35" i="5815"/>
  <c r="H42" i="5815"/>
  <c r="H50" i="5815"/>
  <c r="H23" i="5815"/>
  <c r="H18" i="5815"/>
  <c r="H19" i="5815"/>
  <c r="H28" i="5815"/>
  <c r="H43" i="5815"/>
  <c r="H51" i="5815"/>
  <c r="H7" i="5815"/>
  <c r="H29" i="5815"/>
  <c r="H30" i="5815"/>
  <c r="C18" i="5815"/>
  <c r="B23" i="5815"/>
  <c r="H8" i="5815"/>
  <c r="H36" i="5815"/>
  <c r="H44" i="5815"/>
  <c r="H15" i="5815"/>
  <c r="H17" i="5815"/>
  <c r="C19" i="5815"/>
  <c r="B24" i="5815"/>
  <c r="H38" i="5815"/>
  <c r="H46" i="5815"/>
  <c r="H15" i="5811"/>
  <c r="H2" i="5813"/>
  <c r="H18" i="5813"/>
  <c r="H12" i="5813"/>
  <c r="H29" i="5813"/>
  <c r="H3" i="5813"/>
  <c r="H31" i="5813"/>
  <c r="C19" i="5813"/>
  <c r="H36" i="5813"/>
  <c r="H8" i="5813"/>
  <c r="H26" i="5813"/>
  <c r="H6" i="5813"/>
  <c r="H10" i="5813"/>
  <c r="H14" i="5813"/>
  <c r="H37" i="5813"/>
  <c r="H44" i="5813"/>
  <c r="B24" i="5813"/>
  <c r="H45" i="5813"/>
  <c r="H4" i="5813"/>
  <c r="H16" i="5813"/>
  <c r="C17" i="5813"/>
  <c r="H52" i="5813"/>
  <c r="H19" i="5813"/>
  <c r="H20" i="5813"/>
  <c r="H38" i="5813"/>
  <c r="H46" i="5813"/>
  <c r="H24" i="5813"/>
  <c r="H32" i="5813"/>
  <c r="H39" i="5813"/>
  <c r="H47" i="5813"/>
  <c r="H30" i="5813"/>
  <c r="H48" i="5813"/>
  <c r="H17" i="5813"/>
  <c r="H11" i="5813"/>
  <c r="H41" i="5813"/>
  <c r="H25" i="5813"/>
  <c r="H28" i="5813"/>
  <c r="H15" i="5813"/>
  <c r="H34" i="5813"/>
  <c r="H42" i="5813"/>
  <c r="H50" i="5813"/>
  <c r="H27" i="5813"/>
  <c r="H21" i="5813"/>
  <c r="H40" i="5813"/>
  <c r="H7" i="5813"/>
  <c r="H33" i="5813"/>
  <c r="H49" i="5813"/>
  <c r="H9" i="5813"/>
  <c r="H22" i="5813"/>
  <c r="H23" i="5813"/>
  <c r="C18" i="5813"/>
  <c r="B23" i="5813"/>
  <c r="H13" i="5813"/>
  <c r="H35" i="5813"/>
  <c r="H43" i="5813"/>
  <c r="H4" i="5811"/>
  <c r="H21" i="5811"/>
  <c r="H11" i="5811"/>
  <c r="C17" i="5811"/>
  <c r="H41" i="5811"/>
  <c r="H48" i="5811"/>
  <c r="H2" i="5811"/>
  <c r="H23" i="5811"/>
  <c r="C19" i="5811"/>
  <c r="B24" i="5811"/>
  <c r="H10" i="5811"/>
  <c r="H6" i="5811"/>
  <c r="H12" i="5811"/>
  <c r="H22" i="5811"/>
  <c r="H17" i="5811"/>
  <c r="H14" i="5811"/>
  <c r="H19" i="5811"/>
  <c r="H40" i="5811"/>
  <c r="H47" i="5811"/>
  <c r="H35" i="5811"/>
  <c r="H30" i="5811"/>
  <c r="H31" i="5811"/>
  <c r="H32" i="5811"/>
  <c r="H49" i="5811"/>
  <c r="H3" i="5811"/>
  <c r="H8" i="5811"/>
  <c r="H20" i="5811"/>
  <c r="H13" i="5811"/>
  <c r="H36" i="5811"/>
  <c r="H42" i="5811"/>
  <c r="H50" i="5811"/>
  <c r="H18" i="5811"/>
  <c r="H51" i="5811"/>
  <c r="H24" i="5811"/>
  <c r="H26" i="5811"/>
  <c r="H28" i="5811"/>
  <c r="H43" i="5811"/>
  <c r="H7" i="5811"/>
  <c r="H29" i="5811"/>
  <c r="H33" i="5811"/>
  <c r="C18" i="5811"/>
  <c r="B23" i="5811"/>
  <c r="H9" i="5811"/>
  <c r="H37" i="5811"/>
  <c r="H44" i="5811"/>
  <c r="H16" i="5811"/>
  <c r="H34" i="5811"/>
  <c r="H25" i="5811"/>
  <c r="H27" i="5811"/>
  <c r="H38" i="5811"/>
  <c r="H45" i="5811"/>
  <c r="H5" i="5811"/>
  <c r="H39" i="5811"/>
  <c r="H46" i="5811"/>
  <c r="B25" i="2228" l="1"/>
  <c r="C16" i="2228"/>
  <c r="B26" i="2228"/>
  <c r="C29" i="2228" l="1"/>
  <c r="C20" i="2228"/>
  <c r="C17" i="2228"/>
  <c r="B17" i="2228"/>
  <c r="C15" i="2228"/>
  <c r="C14" i="2228"/>
  <c r="C13" i="2228"/>
  <c r="O12" i="2228"/>
  <c r="C12" i="2228"/>
  <c r="O11" i="2228"/>
  <c r="C11" i="2228"/>
  <c r="O10" i="2228"/>
  <c r="C10" i="2228"/>
  <c r="H9" i="2228"/>
  <c r="C9" i="2228"/>
  <c r="C8" i="2228"/>
  <c r="O7" i="2228"/>
  <c r="C7" i="2228"/>
  <c r="O6" i="2228"/>
  <c r="H6" i="2228"/>
  <c r="B6" i="2228"/>
  <c r="O5" i="2228"/>
  <c r="B5" i="2228"/>
  <c r="O4" i="2228"/>
  <c r="O3" i="2228"/>
  <c r="H3" i="2228"/>
  <c r="O2" i="2228"/>
  <c r="H52" i="2228" l="1"/>
  <c r="B24" i="2228"/>
  <c r="B23" i="2228"/>
  <c r="H5" i="2228"/>
  <c r="H13" i="2228"/>
  <c r="H2" i="2228"/>
  <c r="H4" i="2228"/>
  <c r="H8" i="2228"/>
  <c r="H10" i="2228"/>
  <c r="H7" i="2228"/>
  <c r="H15" i="2228"/>
  <c r="H21" i="2228"/>
  <c r="H12" i="2228"/>
  <c r="C18" i="2228"/>
  <c r="H11" i="2228"/>
  <c r="H14" i="2228"/>
  <c r="H16" i="2228"/>
  <c r="C19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<sst xmlns="http://schemas.openxmlformats.org/spreadsheetml/2006/main" count="2767" uniqueCount="226">
  <si>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</si>
  <si>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</si>
  <si>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</si>
  <si>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</si>
  <si>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</si>
  <si>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</si>
  <si>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</si>
  <si>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</si>
  <si>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</si>
  <si>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</si>
  <si>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</si>
  <si>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</si>
  <si>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</si>
  <si>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</si>
  <si>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</si>
  <si>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</si>
  <si>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</si>
  <si>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</si>
  <si>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</si>
  <si>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</si>
  <si>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</si>
  <si>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</si>
  <si>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</si>
  <si>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</si>
  <si>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</si>
  <si>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</si>
  <si>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</si>
  <si>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</si>
  <si>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</si>
  <si>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</si>
  <si>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</si>
  <si>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</si>
  <si>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</si>
  <si>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</si>
  <si>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</si>
  <si>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</si>
  <si>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</si>
  <si>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</si>
  <si>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</si>
  <si>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</si>
  <si>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</si>
  <si>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</si>
  <si>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</si>
  <si>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</si>
  <si>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</si>
  <si>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</si>
  <si>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</si>
  <si>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</si>
  <si>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</si>
  <si>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</si>
  <si>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</si>
  <si>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</si>
  <si>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</si>
  <si>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</si>
  <si>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</si>
  <si>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</si>
  <si>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</si>
  <si>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</si>
  <si>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</si>
  <si>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</si>
  <si>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</si>
  <si>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</si>
  <si>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</si>
  <si>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</si>
  <si>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</si>
  <si>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</si>
  <si>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</si>
  <si>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</si>
  <si>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</si>
  <si>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</si>
  <si>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</si>
  <si>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</si>
  <si>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</si>
  <si>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</si>
  <si>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</si>
  <si>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</si>
  <si>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</si>
  <si>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</si>
  <si>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</si>
  <si>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</si>
  <si>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</si>
  <si>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</si>
  <si>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</si>
  <si>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</si>
  <si>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</si>
  <si>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</si>
  <si>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</si>
  <si>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</si>
  <si>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</si>
  <si>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</si>
  <si>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</si>
  <si>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</si>
  <si>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</si>
  <si>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</si>
  <si>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</si>
  <si>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</si>
  <si>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</si>
  <si>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</si>
  <si>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</si>
  <si>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</si>
  <si>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</si>
  <si>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</si>
  <si>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</si>
  <si>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</si>
  <si>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</si>
  <si>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</si>
  <si>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</si>
  <si>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</si>
  <si>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</si>
  <si>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</si>
  <si>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</si>
  <si>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</si>
  <si>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</si>
  <si>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</si>
  <si>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</si>
  <si>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</si>
  <si>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</si>
  <si>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</si>
  <si>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</si>
  <si>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</si>
  <si>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</si>
  <si>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</si>
  <si>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</si>
  <si>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</si>
  <si>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</si>
  <si>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</si>
  <si>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</si>
  <si>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</si>
  <si>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</si>
  <si>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</si>
  <si>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</si>
  <si>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</si>
  <si>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</si>
  <si>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</si>
  <si>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</si>
  <si>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</si>
  <si>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</si>
  <si>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</si>
  <si>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</si>
  <si>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</si>
  <si>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</si>
  <si>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</si>
  <si>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</si>
  <si>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</si>
  <si>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</si>
  <si>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</si>
  <si>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</si>
  <si>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</si>
  <si>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</si>
  <si>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</si>
  <si>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</si>
  <si>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</si>
  <si>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</si>
  <si>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</si>
  <si>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</si>
  <si>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</si>
  <si>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</si>
  <si>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</si>
  <si>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</si>
  <si>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</si>
  <si>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</si>
  <si>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</si>
  <si>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</si>
  <si>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</si>
  <si>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</si>
  <si>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</si>
  <si>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</si>
  <si>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</si>
  <si>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</si>
  <si>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</si>
  <si>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</si>
  <si>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</si>
  <si>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</si>
  <si>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</si>
  <si>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</si>
  <si>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</si>
  <si>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</si>
  <si>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</si>
  <si>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</si>
  <si>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</si>
  <si>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</si>
  <si>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</si>
  <si>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</si>
  <si>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</si>
  <si>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</si>
  <si>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</si>
  <si>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</si>
  <si>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</si>
  <si>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</si>
  <si>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</si>
  <si>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</si>
  <si>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</si>
  <si>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</si>
  <si>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</si>
  <si>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</si>
  <si>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</si>
  <si>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</si>
  <si>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</si>
  <si>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</si>
  <si>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</si>
  <si>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</si>
  <si>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</si>
  <si>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</si>
  <si>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</si>
  <si>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</si>
  <si>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</si>
  <si>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</si>
  <si>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</si>
  <si>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</si>
  <si>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</si>
  <si>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</si>
  <si>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</si>
  <si>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</si>
  <si>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</si>
  <si>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</si>
  <si>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</si>
  <si>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</si>
  <si>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</si>
  <si>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2019-10-15@2.xlsm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</si>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</sst>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全体!$K$2:$K$374</c:f>
              <c:numCache>
                <c:formatCode>General</c:formatCode>
                <c:ptCount val="3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</c:numCache>
            </c:numRef>
          </c:xVal>
          <c:yVal>
            <c:numRef>
              <c:f>全体!$L$2:$L$374</c:f>
              <c:numCache>
                <c:formatCode>\+0.0;\-0.0;\±0</c:formatCode>
                <c:ptCount val="373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79-4439-8870-33D5D8ED0F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-21.680216802168022</c:v>
                </c:pt>
                <c:pt idx="1">
                  <c:v>14.005602240896359</c:v>
                </c:pt>
                <c:pt idx="2">
                  <c:v>-28.985507246376812</c:v>
                </c:pt>
                <c:pt idx="3">
                  <c:v>21.604938271604937</c:v>
                </c:pt>
                <c:pt idx="4">
                  <c:v>16.33986928104575</c:v>
                </c:pt>
                <c:pt idx="5">
                  <c:v>4.0160642570281126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62-4B7B-A386-67229E6222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たかの!$L$2:$L$37</c:f>
              <c:numCache>
                <c:formatCode>\+0.0;\-0.0;\±0</c:formatCode>
                <c:ptCount val="36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BC-4E6F-90EC-508BA326E0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1711.4285714285713</c:v>
                </c:pt>
                <c:pt idx="1">
                  <c:v>-1258.8235294117646</c:v>
                </c:pt>
                <c:pt idx="2">
                  <c:v>251.5151515151515</c:v>
                </c:pt>
                <c:pt idx="3">
                  <c:v>-2663.6363636363635</c:v>
                </c:pt>
                <c:pt idx="4">
                  <c:v>-1227.2727272727273</c:v>
                </c:pt>
                <c:pt idx="5">
                  <c:v>-2125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8D-4375-B82B-C29F9ED98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だいち!$K$2:$K$78</c:f>
              <c:numCache>
                <c:formatCode>General</c:formatCode>
                <c:ptCount val="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</c:numCache>
            </c:numRef>
          </c:xVal>
          <c:yVal>
            <c:numRef>
              <c:f>だいち!$L$2:$L$78</c:f>
              <c:numCache>
                <c:formatCode>\+0.0;\-0.0;\±0</c:formatCode>
                <c:ptCount val="77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AB-41B4-8A7E-9D77219EC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590.66666666666663</c:v>
                </c:pt>
                <c:pt idx="1">
                  <c:v>193.05555555555554</c:v>
                </c:pt>
                <c:pt idx="2">
                  <c:v>139.43661971830986</c:v>
                </c:pt>
                <c:pt idx="3">
                  <c:v>-732.8125</c:v>
                </c:pt>
                <c:pt idx="4">
                  <c:v>3006.4516129032259</c:v>
                </c:pt>
                <c:pt idx="5">
                  <c:v>3052.9411764705883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15-4DB8-AC04-91A42DBA4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りくと!$K$2:$K$49</c:f>
              <c:numCache>
                <c:formatCode>General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りくと!$L$2:$L$49</c:f>
              <c:numCache>
                <c:formatCode>\+0.0;\-0.0;\±0</c:formatCode>
                <c:ptCount val="48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4A-4936-ABD6-26BA5750A3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432.60869565217394</c:v>
                </c:pt>
                <c:pt idx="1">
                  <c:v>-547.82608695652175</c:v>
                </c:pt>
                <c:pt idx="2">
                  <c:v>981.81818181818187</c:v>
                </c:pt>
                <c:pt idx="3">
                  <c:v>-1930.952380952381</c:v>
                </c:pt>
                <c:pt idx="4">
                  <c:v>-3119.5121951219512</c:v>
                </c:pt>
                <c:pt idx="5">
                  <c:v>-2638.8888888888887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F2-4780-9D73-2130D3AC6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ただ!$K$2:$K$75</c:f>
              <c:numCache>
                <c:formatCode>General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ただ!$L$2:$L$75</c:f>
              <c:numCache>
                <c:formatCode>\+0.0;\-0.0;\±0</c:formatCode>
                <c:ptCount val="74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AA-4400-89A7-B8AD6D28A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-1500</c:v>
                </c:pt>
                <c:pt idx="1">
                  <c:v>1415.7142857142858</c:v>
                </c:pt>
                <c:pt idx="2">
                  <c:v>371.64179104477614</c:v>
                </c:pt>
                <c:pt idx="3">
                  <c:v>2882.5396825396824</c:v>
                </c:pt>
                <c:pt idx="4">
                  <c:v>188.33333333333334</c:v>
                </c:pt>
                <c:pt idx="5">
                  <c:v>1781.6326530612246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C8-4D06-8CC0-3C80EFE29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れんたろう!$K$2:$K$43</c:f>
              <c:numCache>
                <c:formatCode>General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れんたろう!$L$2:$L$43</c:f>
              <c:numCache>
                <c:formatCode>\+0.0;\-0.0;\±0</c:formatCode>
                <c:ptCount val="42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05-4DC1-9422-595056523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1751.219512195122</c:v>
                </c:pt>
                <c:pt idx="1">
                  <c:v>-2846.1538461538462</c:v>
                </c:pt>
                <c:pt idx="2">
                  <c:v>1481.081081081081</c:v>
                </c:pt>
                <c:pt idx="3">
                  <c:v>3737.1428571428573</c:v>
                </c:pt>
                <c:pt idx="4">
                  <c:v>-2818.75</c:v>
                </c:pt>
                <c:pt idx="5">
                  <c:v>-462.5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A5-41FB-A751-8532F73EDE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まっつん!$L$2:$L$53</c:f>
              <c:numCache>
                <c:formatCode>\+0.0;\-0.0;\±0</c:formatCode>
                <c:ptCount val="52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59-4AE7-AC9C-D933498EA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921.56862745098044</c:v>
                </c:pt>
                <c:pt idx="1">
                  <c:v>1812.5</c:v>
                </c:pt>
                <c:pt idx="2">
                  <c:v>-2248.8888888888887</c:v>
                </c:pt>
                <c:pt idx="3">
                  <c:v>214.63414634146341</c:v>
                </c:pt>
                <c:pt idx="4">
                  <c:v>16.666666666666668</c:v>
                </c:pt>
                <c:pt idx="5">
                  <c:v>-470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7F-432F-BD9A-B08E9588A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のり!$L$2:$L$28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24-4A75-AC04-6D4019E2B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-3423.0769230769229</c:v>
                </c:pt>
                <c:pt idx="1">
                  <c:v>-915.38461538461536</c:v>
                </c:pt>
                <c:pt idx="2">
                  <c:v>-457.69230769230768</c:v>
                </c:pt>
                <c:pt idx="3">
                  <c:v>-2992</c:v>
                </c:pt>
                <c:pt idx="4">
                  <c:v>-1716.6666666666667</c:v>
                </c:pt>
                <c:pt idx="5">
                  <c:v>-3342.1052631578946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2C-41BE-ADAB-D67A815FD7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ぱぱ!$L$2:$L$16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4E-49F3-AD06-13ED6259B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-1321.4285714285713</c:v>
                </c:pt>
                <c:pt idx="1">
                  <c:v>800</c:v>
                </c:pt>
                <c:pt idx="2">
                  <c:v>385.71428571428572</c:v>
                </c:pt>
                <c:pt idx="3">
                  <c:v>-1492.3076923076924</c:v>
                </c:pt>
                <c:pt idx="4">
                  <c:v>6215.3846153846152</c:v>
                </c:pt>
                <c:pt idx="5">
                  <c:v>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08-4A06-8ADB-F9C84B082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41-4307-B37D-8E50C2A127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37-4868-BB73-D277C5370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3A-4C52-B42E-15E47B1898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8C-4B40-8AEC-110CCD27F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のり2!$B$1:$B$2</c:f>
              <c:strCache>
                <c:ptCount val="2"/>
                <c:pt idx="0">
                  <c:v>のり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のり2!$A$3:$A$29</c:f>
              <c:numCache>
                <c:formatCode>0\ "回"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のり2!$B$3:$B$29</c:f>
              <c:numCache>
                <c:formatCode>\+0.0;\-0.0;\±0</c:formatCode>
                <c:ptCount val="27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のり2!$C$1:$C$2</c:f>
              <c:strCache>
                <c:ptCount val="2"/>
                <c:pt idx="0">
                  <c:v>のり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のり2!$A$3:$A$29</c:f>
              <c:numCache>
                <c:formatCode>0\ "回"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のり2!$C$3:$C$29</c:f>
              <c:numCache>
                <c:formatCode>\+0.0;\-0.0;\±0</c:formatCode>
                <c:ptCount val="27"/>
                <c:pt idx="1">
                  <c:v>-12</c:v>
                </c:pt>
                <c:pt idx="2">
                  <c:v>-20.3</c:v>
                </c:pt>
                <c:pt idx="3">
                  <c:v>-11.200000000000001</c:v>
                </c:pt>
                <c:pt idx="4">
                  <c:v>-20.125</c:v>
                </c:pt>
                <c:pt idx="5">
                  <c:v>-24.86</c:v>
                </c:pt>
                <c:pt idx="6">
                  <c:v>-26.599999999999998</c:v>
                </c:pt>
                <c:pt idx="7">
                  <c:v>-14.214285714285714</c:v>
                </c:pt>
                <c:pt idx="8">
                  <c:v>-19.074999999999999</c:v>
                </c:pt>
                <c:pt idx="9">
                  <c:v>-16.733333333333334</c:v>
                </c:pt>
                <c:pt idx="10">
                  <c:v>-15.11</c:v>
                </c:pt>
                <c:pt idx="11">
                  <c:v>-15.909090909090908</c:v>
                </c:pt>
                <c:pt idx="12">
                  <c:v>-14.741666666666667</c:v>
                </c:pt>
                <c:pt idx="13">
                  <c:v>-16.738461538461539</c:v>
                </c:pt>
                <c:pt idx="14">
                  <c:v>-19.064285714285717</c:v>
                </c:pt>
                <c:pt idx="15">
                  <c:v>-18.166666666666671</c:v>
                </c:pt>
                <c:pt idx="16">
                  <c:v>-20.018750000000004</c:v>
                </c:pt>
                <c:pt idx="17">
                  <c:v>-20.74117647058824</c:v>
                </c:pt>
                <c:pt idx="18">
                  <c:v>-19.750000000000004</c:v>
                </c:pt>
                <c:pt idx="19">
                  <c:v>-21.084210526315793</c:v>
                </c:pt>
                <c:pt idx="20">
                  <c:v>-21.405000000000005</c:v>
                </c:pt>
                <c:pt idx="21">
                  <c:v>-20.176190476190481</c:v>
                </c:pt>
                <c:pt idx="22">
                  <c:v>-21.13636363636364</c:v>
                </c:pt>
                <c:pt idx="23">
                  <c:v>-19.569565217391311</c:v>
                </c:pt>
                <c:pt idx="24">
                  <c:v>-19.754166666666674</c:v>
                </c:pt>
                <c:pt idx="25">
                  <c:v>-19.532000000000004</c:v>
                </c:pt>
                <c:pt idx="26">
                  <c:v>-16.892307692307696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のり2!$D$1:$D$2</c:f>
              <c:strCache>
                <c:ptCount val="2"/>
                <c:pt idx="0">
                  <c:v>のり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のり2!$A$3:$A$29</c:f>
              <c:numCache>
                <c:formatCode>0\ "回"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のり2!$D$3:$D$29</c:f>
              <c:numCache>
                <c:formatCode>0.00\ "位"</c:formatCode>
                <c:ptCount val="27"/>
                <c:pt idx="1">
                  <c:v>2</c:v>
                </c:pt>
                <c:pt idx="2">
                  <c:v>2.5</c:v>
                </c:pt>
                <c:pt idx="3">
                  <c:v>2.3333333333333335</c:v>
                </c:pt>
                <c:pt idx="4">
                  <c:v>2.5</c:v>
                </c:pt>
                <c:pt idx="5">
                  <c:v>2.6</c:v>
                </c:pt>
                <c:pt idx="6">
                  <c:v>2.6666666666666665</c:v>
                </c:pt>
                <c:pt idx="7">
                  <c:v>2.4285714285714284</c:v>
                </c:pt>
                <c:pt idx="8">
                  <c:v>2.5</c:v>
                </c:pt>
                <c:pt idx="9">
                  <c:v>2.4444444444444446</c:v>
                </c:pt>
                <c:pt idx="10">
                  <c:v>2.4</c:v>
                </c:pt>
                <c:pt idx="11">
                  <c:v>2.4545454545454546</c:v>
                </c:pt>
                <c:pt idx="12">
                  <c:v>2.4166666666666665</c:v>
                </c:pt>
                <c:pt idx="13">
                  <c:v>2.4615384615384617</c:v>
                </c:pt>
                <c:pt idx="14">
                  <c:v>2.5</c:v>
                </c:pt>
                <c:pt idx="15">
                  <c:v>2.4666666666666668</c:v>
                </c:pt>
                <c:pt idx="16">
                  <c:v>2.5</c:v>
                </c:pt>
                <c:pt idx="17">
                  <c:v>2.5294117647058822</c:v>
                </c:pt>
                <c:pt idx="18">
                  <c:v>2.5</c:v>
                </c:pt>
                <c:pt idx="19">
                  <c:v>2.5263157894736841</c:v>
                </c:pt>
                <c:pt idx="20">
                  <c:v>2.5499999999999998</c:v>
                </c:pt>
                <c:pt idx="21">
                  <c:v>2.5238095238095237</c:v>
                </c:pt>
                <c:pt idx="22">
                  <c:v>2.5454545454545454</c:v>
                </c:pt>
                <c:pt idx="23">
                  <c:v>2.5217391304347827</c:v>
                </c:pt>
                <c:pt idx="24">
                  <c:v>2.5416666666666665</c:v>
                </c:pt>
                <c:pt idx="25">
                  <c:v>2.56</c:v>
                </c:pt>
                <c:pt idx="26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のり2!$E$1:$E$2</c:f>
              <c:strCache>
                <c:ptCount val="2"/>
                <c:pt idx="0">
                  <c:v>のり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のり2!$A$3:$A$29</c:f>
              <c:numCache>
                <c:formatCode>0\ "回"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のり2!$E$3:$E$29</c:f>
              <c:numCache>
                <c:formatCode>0.0%</c:formatCode>
                <c:ptCount val="2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  <c:pt idx="22">
                  <c:v>4.5454545454545456E-2</c:v>
                </c:pt>
                <c:pt idx="23">
                  <c:v>4.3478260869565216E-2</c:v>
                </c:pt>
                <c:pt idx="24">
                  <c:v>4.1666666666666664E-2</c:v>
                </c:pt>
                <c:pt idx="25">
                  <c:v>0.04</c:v>
                </c:pt>
                <c:pt idx="26">
                  <c:v>7.6923076923076927E-2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のり2!$F$1:$F$2</c:f>
              <c:strCache>
                <c:ptCount val="2"/>
                <c:pt idx="0">
                  <c:v>のり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のり2!$A$3:$A$29</c:f>
              <c:numCache>
                <c:formatCode>0\ "回"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のり2!$F$3:$F$29</c:f>
              <c:numCache>
                <c:formatCode>0.0%</c:formatCode>
                <c:ptCount val="27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0.6</c:v>
                </c:pt>
                <c:pt idx="6">
                  <c:v>0.66666666666666663</c:v>
                </c:pt>
                <c:pt idx="7">
                  <c:v>0.5714285714285714</c:v>
                </c:pt>
                <c:pt idx="8">
                  <c:v>0.625</c:v>
                </c:pt>
                <c:pt idx="9">
                  <c:v>0.55555555555555558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0.53846153846153844</c:v>
                </c:pt>
                <c:pt idx="14">
                  <c:v>0.5714285714285714</c:v>
                </c:pt>
                <c:pt idx="15">
                  <c:v>0.53333333333333333</c:v>
                </c:pt>
                <c:pt idx="16">
                  <c:v>0.5625</c:v>
                </c:pt>
                <c:pt idx="17">
                  <c:v>0.58823529411764708</c:v>
                </c:pt>
                <c:pt idx="18">
                  <c:v>0.55555555555555558</c:v>
                </c:pt>
                <c:pt idx="19">
                  <c:v>0.57894736842105265</c:v>
                </c:pt>
                <c:pt idx="20">
                  <c:v>0.6</c:v>
                </c:pt>
                <c:pt idx="21">
                  <c:v>0.5714285714285714</c:v>
                </c:pt>
                <c:pt idx="22">
                  <c:v>0.59090909090909094</c:v>
                </c:pt>
                <c:pt idx="23">
                  <c:v>0.56521739130434778</c:v>
                </c:pt>
                <c:pt idx="24">
                  <c:v>0.58333333333333337</c:v>
                </c:pt>
                <c:pt idx="25">
                  <c:v>0.6</c:v>
                </c:pt>
                <c:pt idx="26">
                  <c:v>0.57692307692307687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のり2!$G$1:$G$2</c:f>
              <c:strCache>
                <c:ptCount val="2"/>
                <c:pt idx="0">
                  <c:v>のり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のり2!$A$3:$A$29</c:f>
              <c:numCache>
                <c:formatCode>0\ "回"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のり2!$G$3:$G$29</c:f>
              <c:numCache>
                <c:formatCode>0.0%</c:formatCode>
                <c:ptCount val="27"/>
                <c:pt idx="1">
                  <c:v>0.33333333333333331</c:v>
                </c:pt>
                <c:pt idx="2">
                  <c:v>0.25</c:v>
                </c:pt>
                <c:pt idx="3">
                  <c:v>0.23076923076923078</c:v>
                </c:pt>
                <c:pt idx="4">
                  <c:v>0.1891891891891892</c:v>
                </c:pt>
                <c:pt idx="5">
                  <c:v>0.14893617021276595</c:v>
                </c:pt>
                <c:pt idx="6">
                  <c:v>0.12727272727272726</c:v>
                </c:pt>
                <c:pt idx="7">
                  <c:v>0.19047619047619047</c:v>
                </c:pt>
                <c:pt idx="8">
                  <c:v>0.20289855072463769</c:v>
                </c:pt>
                <c:pt idx="9">
                  <c:v>0.21333333333333335</c:v>
                </c:pt>
                <c:pt idx="10">
                  <c:v>0.2289156626506024</c:v>
                </c:pt>
                <c:pt idx="11">
                  <c:v>0.22222222222222221</c:v>
                </c:pt>
                <c:pt idx="12">
                  <c:v>0.23711340206185566</c:v>
                </c:pt>
                <c:pt idx="13">
                  <c:v>0.22857142857142856</c:v>
                </c:pt>
                <c:pt idx="14">
                  <c:v>0.22413793103448276</c:v>
                </c:pt>
                <c:pt idx="15">
                  <c:v>0.22131147540983606</c:v>
                </c:pt>
                <c:pt idx="16">
                  <c:v>0.21875</c:v>
                </c:pt>
                <c:pt idx="17">
                  <c:v>0.22058823529411764</c:v>
                </c:pt>
                <c:pt idx="18">
                  <c:v>0.22377622377622378</c:v>
                </c:pt>
                <c:pt idx="19">
                  <c:v>0.2119205298013245</c:v>
                </c:pt>
                <c:pt idx="20">
                  <c:v>0.20382165605095542</c:v>
                </c:pt>
                <c:pt idx="21">
                  <c:v>0.20833333333333334</c:v>
                </c:pt>
                <c:pt idx="22">
                  <c:v>0.20571428571428571</c:v>
                </c:pt>
                <c:pt idx="23">
                  <c:v>0.21311475409836064</c:v>
                </c:pt>
                <c:pt idx="24">
                  <c:v>0.21052631578947367</c:v>
                </c:pt>
                <c:pt idx="25">
                  <c:v>0.21717171717171718</c:v>
                </c:pt>
                <c:pt idx="26">
                  <c:v>0.23076923076923078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3077169388408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のり2!$H$1:$H$2</c:f>
              <c:strCache>
                <c:ptCount val="2"/>
                <c:pt idx="0">
                  <c:v>のり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のり2!$A$3:$A$29</c:f>
              <c:numCache>
                <c:formatCode>0\ "回"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のり2!$H$3:$H$29</c:f>
              <c:numCache>
                <c:formatCode>0.0%</c:formatCode>
                <c:ptCount val="27"/>
                <c:pt idx="1">
                  <c:v>0.33333333333333331</c:v>
                </c:pt>
                <c:pt idx="2">
                  <c:v>0.25</c:v>
                </c:pt>
                <c:pt idx="3">
                  <c:v>0.19230769230769232</c:v>
                </c:pt>
                <c:pt idx="4">
                  <c:v>0.24324324324324326</c:v>
                </c:pt>
                <c:pt idx="5">
                  <c:v>0.23404255319148937</c:v>
                </c:pt>
                <c:pt idx="6">
                  <c:v>0.23636363636363636</c:v>
                </c:pt>
                <c:pt idx="7">
                  <c:v>0.23809523809523808</c:v>
                </c:pt>
                <c:pt idx="8">
                  <c:v>0.24637681159420291</c:v>
                </c:pt>
                <c:pt idx="9">
                  <c:v>0.25333333333333335</c:v>
                </c:pt>
                <c:pt idx="10">
                  <c:v>0.2289156626506024</c:v>
                </c:pt>
                <c:pt idx="11">
                  <c:v>0.22222222222222221</c:v>
                </c:pt>
                <c:pt idx="12">
                  <c:v>0.21649484536082475</c:v>
                </c:pt>
                <c:pt idx="13">
                  <c:v>0.21904761904761905</c:v>
                </c:pt>
                <c:pt idx="14">
                  <c:v>0.21551724137931033</c:v>
                </c:pt>
                <c:pt idx="15">
                  <c:v>0.20491803278688525</c:v>
                </c:pt>
                <c:pt idx="16">
                  <c:v>0.21875</c:v>
                </c:pt>
                <c:pt idx="17">
                  <c:v>0.22794117647058823</c:v>
                </c:pt>
                <c:pt idx="18">
                  <c:v>0.21678321678321677</c:v>
                </c:pt>
                <c:pt idx="19">
                  <c:v>0.2251655629139073</c:v>
                </c:pt>
                <c:pt idx="20">
                  <c:v>0.21656050955414013</c:v>
                </c:pt>
                <c:pt idx="21">
                  <c:v>0.20833333333333334</c:v>
                </c:pt>
                <c:pt idx="22">
                  <c:v>0.20571428571428571</c:v>
                </c:pt>
                <c:pt idx="23">
                  <c:v>0.20765027322404372</c:v>
                </c:pt>
                <c:pt idx="24">
                  <c:v>0.2</c:v>
                </c:pt>
                <c:pt idx="25">
                  <c:v>0.19696969696969696</c:v>
                </c:pt>
                <c:pt idx="26">
                  <c:v>0.1875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55459494076208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のり2!$I$1:$I$2</c:f>
              <c:strCache>
                <c:ptCount val="2"/>
                <c:pt idx="0">
                  <c:v>のり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のり2!$A$3:$A$29</c:f>
              <c:numCache>
                <c:formatCode>0\ "回"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のり2!$I$3:$I$29</c:f>
              <c:numCache>
                <c:formatCode>0</c:formatCode>
                <c:ptCount val="27"/>
                <c:pt idx="1">
                  <c:v>8400</c:v>
                </c:pt>
                <c:pt idx="2">
                  <c:v>8300</c:v>
                </c:pt>
                <c:pt idx="3">
                  <c:v>9533.3333333333339</c:v>
                </c:pt>
                <c:pt idx="4">
                  <c:v>9028.5714285714294</c:v>
                </c:pt>
                <c:pt idx="5">
                  <c:v>9028.5714285714294</c:v>
                </c:pt>
                <c:pt idx="6">
                  <c:v>9028.5714285714294</c:v>
                </c:pt>
                <c:pt idx="7">
                  <c:v>10583.333333333334</c:v>
                </c:pt>
                <c:pt idx="8">
                  <c:v>9742.8571428571431</c:v>
                </c:pt>
                <c:pt idx="9">
                  <c:v>9350</c:v>
                </c:pt>
                <c:pt idx="10">
                  <c:v>8273.6842105263149</c:v>
                </c:pt>
                <c:pt idx="11">
                  <c:v>8760</c:v>
                </c:pt>
                <c:pt idx="12">
                  <c:v>8543.4782608695659</c:v>
                </c:pt>
                <c:pt idx="13">
                  <c:v>8354.1666666666661</c:v>
                </c:pt>
                <c:pt idx="14">
                  <c:v>8296.1538461538457</c:v>
                </c:pt>
                <c:pt idx="15">
                  <c:v>8133.333333333333</c:v>
                </c:pt>
                <c:pt idx="16">
                  <c:v>7917.8571428571431</c:v>
                </c:pt>
                <c:pt idx="17">
                  <c:v>7876.666666666667</c:v>
                </c:pt>
                <c:pt idx="18">
                  <c:v>7496.875</c:v>
                </c:pt>
                <c:pt idx="19">
                  <c:v>7496.875</c:v>
                </c:pt>
                <c:pt idx="20">
                  <c:v>7496.875</c:v>
                </c:pt>
                <c:pt idx="21">
                  <c:v>7562.8571428571431</c:v>
                </c:pt>
                <c:pt idx="22">
                  <c:v>7411.1111111111113</c:v>
                </c:pt>
                <c:pt idx="23">
                  <c:v>7551.2820512820517</c:v>
                </c:pt>
                <c:pt idx="24">
                  <c:v>7562.5</c:v>
                </c:pt>
                <c:pt idx="25">
                  <c:v>7330.2325581395353</c:v>
                </c:pt>
                <c:pt idx="26">
                  <c:v>7606.25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241.703056768559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のり2!$J$1:$J$2</c:f>
              <c:strCache>
                <c:ptCount val="2"/>
                <c:pt idx="0">
                  <c:v>のり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のり2!$A$3:$A$29</c:f>
              <c:numCache>
                <c:formatCode>0\ "回"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のり2!$J$3:$J$29</c:f>
              <c:numCache>
                <c:formatCode>0</c:formatCode>
                <c:ptCount val="27"/>
                <c:pt idx="1">
                  <c:v>-9233.3333333333339</c:v>
                </c:pt>
                <c:pt idx="2">
                  <c:v>-8925</c:v>
                </c:pt>
                <c:pt idx="3">
                  <c:v>-9540</c:v>
                </c:pt>
                <c:pt idx="4">
                  <c:v>-8566.6666666666661</c:v>
                </c:pt>
                <c:pt idx="5">
                  <c:v>-8827.2727272727279</c:v>
                </c:pt>
                <c:pt idx="6">
                  <c:v>-8069.2307692307695</c:v>
                </c:pt>
                <c:pt idx="7">
                  <c:v>-8040</c:v>
                </c:pt>
                <c:pt idx="8">
                  <c:v>-10035.294117647059</c:v>
                </c:pt>
                <c:pt idx="9">
                  <c:v>-9452.6315789473683</c:v>
                </c:pt>
                <c:pt idx="10">
                  <c:v>-9452.6315789473683</c:v>
                </c:pt>
                <c:pt idx="11">
                  <c:v>-10180</c:v>
                </c:pt>
                <c:pt idx="12">
                  <c:v>-10061.904761904761</c:v>
                </c:pt>
                <c:pt idx="13">
                  <c:v>-9747.826086956522</c:v>
                </c:pt>
                <c:pt idx="14">
                  <c:v>-9804</c:v>
                </c:pt>
                <c:pt idx="15">
                  <c:v>-9804</c:v>
                </c:pt>
                <c:pt idx="16">
                  <c:v>-9821.4285714285706</c:v>
                </c:pt>
                <c:pt idx="17">
                  <c:v>-9593.5483870967746</c:v>
                </c:pt>
                <c:pt idx="18">
                  <c:v>-9593.5483870967746</c:v>
                </c:pt>
                <c:pt idx="19">
                  <c:v>-9173.5294117647063</c:v>
                </c:pt>
                <c:pt idx="20">
                  <c:v>-9173.5294117647063</c:v>
                </c:pt>
                <c:pt idx="21">
                  <c:v>-8968.5714285714294</c:v>
                </c:pt>
                <c:pt idx="22">
                  <c:v>-9052.7777777777774</c:v>
                </c:pt>
                <c:pt idx="23">
                  <c:v>-8781.5789473684217</c:v>
                </c:pt>
                <c:pt idx="24">
                  <c:v>-8781.5789473684217</c:v>
                </c:pt>
                <c:pt idx="25">
                  <c:v>-8656.4102564102559</c:v>
                </c:pt>
                <c:pt idx="26">
                  <c:v>-8656.4102564102559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10.25145067698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のり2!$K$1:$K$2</c:f>
              <c:strCache>
                <c:ptCount val="2"/>
                <c:pt idx="0">
                  <c:v>のり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のり2!$A$3:$A$29</c:f>
              <c:numCache>
                <c:formatCode>0\ "回"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のり2!$K$3:$K$29</c:f>
              <c:numCache>
                <c:formatCode>0.0%</c:formatCode>
                <c:ptCount val="2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0.22727272727272727</c:v>
                </c:pt>
                <c:pt idx="23">
                  <c:v>0.21739130434782608</c:v>
                </c:pt>
                <c:pt idx="24">
                  <c:v>0.20833333333333334</c:v>
                </c:pt>
                <c:pt idx="25">
                  <c:v>0.2</c:v>
                </c:pt>
                <c:pt idx="26">
                  <c:v>0.19230769230769232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1397849462365593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のり2!$L$1:$L$2</c:f>
              <c:strCache>
                <c:ptCount val="2"/>
                <c:pt idx="0">
                  <c:v>のり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のり2!$A$3:$A$29</c:f>
              <c:numCache>
                <c:formatCode>0\ "回"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のり2!$L$3:$L$29</c:f>
              <c:numCache>
                <c:formatCode>0.0%</c:formatCode>
                <c:ptCount val="2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  <c:pt idx="22">
                  <c:v>4.5454545454545456E-2</c:v>
                </c:pt>
                <c:pt idx="23">
                  <c:v>4.3478260869565216E-2</c:v>
                </c:pt>
                <c:pt idx="24">
                  <c:v>4.1666666666666664E-2</c:v>
                </c:pt>
                <c:pt idx="25">
                  <c:v>0.04</c:v>
                </c:pt>
                <c:pt idx="26">
                  <c:v>3.8461538461538464E-2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1397849462365593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のり2!$M$1:$M$2</c:f>
              <c:strCache>
                <c:ptCount val="2"/>
                <c:pt idx="0">
                  <c:v>のり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のり2!$A$3:$A$29</c:f>
              <c:numCache>
                <c:formatCode>0\ "回"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のり2!$M$3:$M$29</c:f>
              <c:numCache>
                <c:formatCode>0.0%</c:formatCode>
                <c:ptCount val="27"/>
                <c:pt idx="1">
                  <c:v>0.44444444444444442</c:v>
                </c:pt>
                <c:pt idx="2">
                  <c:v>0.3125</c:v>
                </c:pt>
                <c:pt idx="3">
                  <c:v>0.34615384615384615</c:v>
                </c:pt>
                <c:pt idx="4">
                  <c:v>0.27027027027027029</c:v>
                </c:pt>
                <c:pt idx="5">
                  <c:v>0.27659574468085107</c:v>
                </c:pt>
                <c:pt idx="6">
                  <c:v>0.25454545454545452</c:v>
                </c:pt>
                <c:pt idx="7">
                  <c:v>0.26984126984126983</c:v>
                </c:pt>
                <c:pt idx="8">
                  <c:v>0.27536231884057971</c:v>
                </c:pt>
                <c:pt idx="9">
                  <c:v>0.26666666666666666</c:v>
                </c:pt>
                <c:pt idx="10">
                  <c:v>0.25301204819277107</c:v>
                </c:pt>
                <c:pt idx="11">
                  <c:v>0.24444444444444444</c:v>
                </c:pt>
                <c:pt idx="12">
                  <c:v>0.24742268041237114</c:v>
                </c:pt>
                <c:pt idx="13">
                  <c:v>0.24761904761904763</c:v>
                </c:pt>
                <c:pt idx="14">
                  <c:v>0.26724137931034481</c:v>
                </c:pt>
                <c:pt idx="15">
                  <c:v>0.25409836065573771</c:v>
                </c:pt>
                <c:pt idx="16">
                  <c:v>0.2421875</c:v>
                </c:pt>
                <c:pt idx="17">
                  <c:v>0.23529411764705882</c:v>
                </c:pt>
                <c:pt idx="18">
                  <c:v>0.23076923076923078</c:v>
                </c:pt>
                <c:pt idx="19">
                  <c:v>0.2185430463576159</c:v>
                </c:pt>
                <c:pt idx="20">
                  <c:v>0.21019108280254778</c:v>
                </c:pt>
                <c:pt idx="21">
                  <c:v>0.20238095238095238</c:v>
                </c:pt>
                <c:pt idx="22">
                  <c:v>0.2</c:v>
                </c:pt>
                <c:pt idx="23">
                  <c:v>0.20218579234972678</c:v>
                </c:pt>
                <c:pt idx="24">
                  <c:v>0.19473684210526315</c:v>
                </c:pt>
                <c:pt idx="25">
                  <c:v>0.19696969696969696</c:v>
                </c:pt>
                <c:pt idx="26">
                  <c:v>0.20192307692307693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59173871277617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のり2!$N$1:$N$2</c:f>
              <c:strCache>
                <c:ptCount val="2"/>
                <c:pt idx="0">
                  <c:v>のり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のり2!$A$3:$A$29</c:f>
              <c:numCache>
                <c:formatCode>0\ "回"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のり2!$N$3:$N$29</c:f>
              <c:numCache>
                <c:formatCode>0.0%</c:formatCode>
                <c:ptCount val="27"/>
                <c:pt idx="1">
                  <c:v>0.22222222222222221</c:v>
                </c:pt>
                <c:pt idx="2">
                  <c:v>0.1875</c:v>
                </c:pt>
                <c:pt idx="3">
                  <c:v>0.23076923076923078</c:v>
                </c:pt>
                <c:pt idx="4">
                  <c:v>0.24324324324324326</c:v>
                </c:pt>
                <c:pt idx="5">
                  <c:v>0.23404255319148937</c:v>
                </c:pt>
                <c:pt idx="6">
                  <c:v>0.2</c:v>
                </c:pt>
                <c:pt idx="7">
                  <c:v>0.22222222222222221</c:v>
                </c:pt>
                <c:pt idx="8">
                  <c:v>0.21739130434782608</c:v>
                </c:pt>
                <c:pt idx="9">
                  <c:v>0.21333333333333335</c:v>
                </c:pt>
                <c:pt idx="10">
                  <c:v>0.2289156626506024</c:v>
                </c:pt>
                <c:pt idx="11">
                  <c:v>0.23333333333333334</c:v>
                </c:pt>
                <c:pt idx="12">
                  <c:v>0.22680412371134021</c:v>
                </c:pt>
                <c:pt idx="13">
                  <c:v>0.22857142857142856</c:v>
                </c:pt>
                <c:pt idx="14">
                  <c:v>0.21551724137931033</c:v>
                </c:pt>
                <c:pt idx="15">
                  <c:v>0.22950819672131148</c:v>
                </c:pt>
                <c:pt idx="16">
                  <c:v>0.234375</c:v>
                </c:pt>
                <c:pt idx="17">
                  <c:v>0.22794117647058823</c:v>
                </c:pt>
                <c:pt idx="18">
                  <c:v>0.23076923076923078</c:v>
                </c:pt>
                <c:pt idx="19">
                  <c:v>0.2185430463576159</c:v>
                </c:pt>
                <c:pt idx="20">
                  <c:v>0.21019108280254778</c:v>
                </c:pt>
                <c:pt idx="21">
                  <c:v>0.20833333333333334</c:v>
                </c:pt>
                <c:pt idx="22">
                  <c:v>0.20571428571428571</c:v>
                </c:pt>
                <c:pt idx="23">
                  <c:v>0.20765027322404372</c:v>
                </c:pt>
                <c:pt idx="24">
                  <c:v>0.2</c:v>
                </c:pt>
                <c:pt idx="25">
                  <c:v>0.20202020202020202</c:v>
                </c:pt>
                <c:pt idx="26">
                  <c:v>0.20192307692307693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98334934357989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のり2!$O$1:$O$2</c:f>
              <c:strCache>
                <c:ptCount val="2"/>
                <c:pt idx="0">
                  <c:v>のり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のり2!$A$3:$A$29</c:f>
              <c:numCache>
                <c:formatCode>0\ "回"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のり2!$O$3:$O$29</c:f>
              <c:numCache>
                <c:formatCode>0.0%</c:formatCode>
                <c:ptCount val="27"/>
                <c:pt idx="1">
                  <c:v>0.5</c:v>
                </c:pt>
                <c:pt idx="2">
                  <c:v>0.6</c:v>
                </c:pt>
                <c:pt idx="3">
                  <c:v>0.55555555555555558</c:v>
                </c:pt>
                <c:pt idx="4">
                  <c:v>0.6</c:v>
                </c:pt>
                <c:pt idx="5">
                  <c:v>0.46153846153846156</c:v>
                </c:pt>
                <c:pt idx="6">
                  <c:v>0.42857142857142855</c:v>
                </c:pt>
                <c:pt idx="7">
                  <c:v>0.47058823529411764</c:v>
                </c:pt>
                <c:pt idx="8">
                  <c:v>0.47368421052631576</c:v>
                </c:pt>
                <c:pt idx="9">
                  <c:v>0.5</c:v>
                </c:pt>
                <c:pt idx="10">
                  <c:v>0.52380952380952384</c:v>
                </c:pt>
                <c:pt idx="11">
                  <c:v>0.54545454545454541</c:v>
                </c:pt>
                <c:pt idx="12">
                  <c:v>0.58333333333333337</c:v>
                </c:pt>
                <c:pt idx="13">
                  <c:v>0.57692307692307687</c:v>
                </c:pt>
                <c:pt idx="14">
                  <c:v>0.5161290322580645</c:v>
                </c:pt>
                <c:pt idx="15">
                  <c:v>0.5161290322580645</c:v>
                </c:pt>
                <c:pt idx="16">
                  <c:v>0.5161290322580645</c:v>
                </c:pt>
                <c:pt idx="17">
                  <c:v>0.53125</c:v>
                </c:pt>
                <c:pt idx="18">
                  <c:v>0.51515151515151514</c:v>
                </c:pt>
                <c:pt idx="19">
                  <c:v>0.51515151515151514</c:v>
                </c:pt>
                <c:pt idx="20">
                  <c:v>0.51515151515151514</c:v>
                </c:pt>
                <c:pt idx="21">
                  <c:v>0.52941176470588236</c:v>
                </c:pt>
                <c:pt idx="22">
                  <c:v>0.51428571428571423</c:v>
                </c:pt>
                <c:pt idx="23">
                  <c:v>0.51351351351351349</c:v>
                </c:pt>
                <c:pt idx="24">
                  <c:v>0.51351351351351349</c:v>
                </c:pt>
                <c:pt idx="25">
                  <c:v>0.53846153846153844</c:v>
                </c:pt>
                <c:pt idx="26">
                  <c:v>0.5714285714285714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664062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のり2!$P$1:$P$2</c:f>
              <c:strCache>
                <c:ptCount val="2"/>
                <c:pt idx="0">
                  <c:v>のり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のり2!$A$3:$A$29</c:f>
              <c:numCache>
                <c:formatCode>0\ "回"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のり2!$P$3:$P$29</c:f>
              <c:numCache>
                <c:formatCode>0.0%</c:formatCode>
                <c:ptCount val="27"/>
                <c:pt idx="1">
                  <c:v>0.5</c:v>
                </c:pt>
                <c:pt idx="2">
                  <c:v>0.33333333333333331</c:v>
                </c:pt>
                <c:pt idx="3">
                  <c:v>0.16666666666666666</c:v>
                </c:pt>
                <c:pt idx="4">
                  <c:v>0.1111111111111111</c:v>
                </c:pt>
                <c:pt idx="5">
                  <c:v>9.0909090909090912E-2</c:v>
                </c:pt>
                <c:pt idx="6">
                  <c:v>9.0909090909090912E-2</c:v>
                </c:pt>
                <c:pt idx="7">
                  <c:v>0.2857142857142857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0.42105263157894735</c:v>
                </c:pt>
                <c:pt idx="11">
                  <c:v>0.38095238095238093</c:v>
                </c:pt>
                <c:pt idx="12">
                  <c:v>0.36363636363636365</c:v>
                </c:pt>
                <c:pt idx="13">
                  <c:v>0.33333333333333331</c:v>
                </c:pt>
                <c:pt idx="14">
                  <c:v>0.36</c:v>
                </c:pt>
                <c:pt idx="15">
                  <c:v>0.35714285714285715</c:v>
                </c:pt>
                <c:pt idx="16">
                  <c:v>0.33333333333333331</c:v>
                </c:pt>
                <c:pt idx="17">
                  <c:v>0.32258064516129031</c:v>
                </c:pt>
                <c:pt idx="18">
                  <c:v>0.33333333333333331</c:v>
                </c:pt>
                <c:pt idx="19">
                  <c:v>0.33333333333333331</c:v>
                </c:pt>
                <c:pt idx="20">
                  <c:v>0.33333333333333331</c:v>
                </c:pt>
                <c:pt idx="21">
                  <c:v>0.34285714285714286</c:v>
                </c:pt>
                <c:pt idx="22">
                  <c:v>0.3611111111111111</c:v>
                </c:pt>
                <c:pt idx="23">
                  <c:v>0.34210526315789475</c:v>
                </c:pt>
                <c:pt idx="24">
                  <c:v>0.34210526315789475</c:v>
                </c:pt>
                <c:pt idx="25">
                  <c:v>0.35</c:v>
                </c:pt>
                <c:pt idx="26">
                  <c:v>0.35714285714285715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72096128170894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のり2!$Q$1:$Q$2</c:f>
              <c:strCache>
                <c:ptCount val="2"/>
                <c:pt idx="0">
                  <c:v>のり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のり2!$A$3:$A$29</c:f>
              <c:numCache>
                <c:formatCode>0\ "回"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のり2!$Q$3:$Q$29</c:f>
              <c:numCache>
                <c:formatCode>0.0%</c:formatCode>
                <c:ptCount val="27"/>
                <c:pt idx="1">
                  <c:v>0.33333333333333331</c:v>
                </c:pt>
                <c:pt idx="2">
                  <c:v>0.5</c:v>
                </c:pt>
                <c:pt idx="3">
                  <c:v>0.5</c:v>
                </c:pt>
                <c:pt idx="4">
                  <c:v>0.5714285714285714</c:v>
                </c:pt>
                <c:pt idx="5">
                  <c:v>0.5714285714285714</c:v>
                </c:pt>
                <c:pt idx="6">
                  <c:v>0.5714285714285714</c:v>
                </c:pt>
                <c:pt idx="7">
                  <c:v>0.5</c:v>
                </c:pt>
                <c:pt idx="8">
                  <c:v>0.5714285714285714</c:v>
                </c:pt>
                <c:pt idx="9">
                  <c:v>0.5625</c:v>
                </c:pt>
                <c:pt idx="10">
                  <c:v>0.52631578947368418</c:v>
                </c:pt>
                <c:pt idx="11">
                  <c:v>0.5</c:v>
                </c:pt>
                <c:pt idx="12">
                  <c:v>0.47826086956521741</c:v>
                </c:pt>
                <c:pt idx="13">
                  <c:v>0.5</c:v>
                </c:pt>
                <c:pt idx="14">
                  <c:v>0.5</c:v>
                </c:pt>
                <c:pt idx="15">
                  <c:v>0.48148148148148145</c:v>
                </c:pt>
                <c:pt idx="16">
                  <c:v>0.5</c:v>
                </c:pt>
                <c:pt idx="17">
                  <c:v>0.46666666666666667</c:v>
                </c:pt>
                <c:pt idx="18">
                  <c:v>0.4375</c:v>
                </c:pt>
                <c:pt idx="19">
                  <c:v>0.4375</c:v>
                </c:pt>
                <c:pt idx="20">
                  <c:v>0.4375</c:v>
                </c:pt>
                <c:pt idx="21">
                  <c:v>0.48571428571428571</c:v>
                </c:pt>
                <c:pt idx="22">
                  <c:v>0.5</c:v>
                </c:pt>
                <c:pt idx="23">
                  <c:v>0.46153846153846156</c:v>
                </c:pt>
                <c:pt idx="24">
                  <c:v>0.45</c:v>
                </c:pt>
                <c:pt idx="25">
                  <c:v>0.44186046511627908</c:v>
                </c:pt>
                <c:pt idx="26">
                  <c:v>0.47916666666666669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90393013100436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48"/>
      <c r="C1" s="149"/>
      <c r="E1" s="125" t="s">
        <v>165</v>
      </c>
      <c r="F1" s="12" t="s">
        <v>115</v>
      </c>
      <c r="G1" s="24" t="s">
        <v>116</v>
      </c>
      <c r="H1" s="126" t="s">
        <v>117</v>
      </c>
      <c r="I1" s="96" t="s">
        <v>152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157</v>
      </c>
    </row>
    <row r="2" spans="1:17" x14ac:dyDescent="0.4">
      <c r="A2" s="19" t="s">
        <v>9</v>
      </c>
      <c r="B2" s="150">
        <v>0</v>
      </c>
      <c r="C2" s="151"/>
      <c r="E2" s="58" t="s">
        <v>64</v>
      </c>
      <c r="F2" s="25" t="s">
        <v>20</v>
      </c>
      <c r="G2" s="13">
        <v>0</v>
      </c>
      <c r="H2" s="128">
        <f>IF(B$17=0,0,G2/B$17)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0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2">
        <v>0</v>
      </c>
      <c r="C3" s="153"/>
      <c r="E3" s="59" t="s">
        <v>65</v>
      </c>
      <c r="F3" s="26" t="s">
        <v>21</v>
      </c>
      <c r="G3" s="14">
        <v>0</v>
      </c>
      <c r="H3" s="129">
        <f t="shared" ref="H3:H50" si="1">IF(B$17=0,0,G3/B$17)</f>
        <v>0</v>
      </c>
      <c r="I3" s="90"/>
      <c r="N3" s="111" t="s">
        <v>131</v>
      </c>
      <c r="O3" s="118">
        <f t="shared" si="0"/>
        <v>0</v>
      </c>
      <c r="P3" s="115">
        <v>0</v>
      </c>
      <c r="Q3" s="99">
        <v>0</v>
      </c>
    </row>
    <row r="4" spans="1:17" x14ac:dyDescent="0.4">
      <c r="A4" s="20" t="s">
        <v>6</v>
      </c>
      <c r="B4" s="154">
        <v>0</v>
      </c>
      <c r="C4" s="155"/>
      <c r="E4" s="59" t="s">
        <v>66</v>
      </c>
      <c r="F4" s="26" t="s">
        <v>22</v>
      </c>
      <c r="G4" s="14">
        <v>0</v>
      </c>
      <c r="H4" s="129">
        <f t="shared" si="1"/>
        <v>0</v>
      </c>
      <c r="I4" s="90"/>
      <c r="N4" s="111" t="s">
        <v>132</v>
      </c>
      <c r="O4" s="118">
        <f t="shared" si="0"/>
        <v>0</v>
      </c>
      <c r="P4" s="115">
        <v>0</v>
      </c>
      <c r="Q4" s="99">
        <v>0</v>
      </c>
    </row>
    <row r="5" spans="1:17" x14ac:dyDescent="0.4">
      <c r="A5" s="20" t="s">
        <v>7</v>
      </c>
      <c r="B5" s="156">
        <f>IF(B$2=0,0,B$4/B$2)</f>
        <v>0</v>
      </c>
      <c r="C5" s="157"/>
      <c r="E5" s="59" t="s">
        <v>67</v>
      </c>
      <c r="F5" s="26" t="s">
        <v>23</v>
      </c>
      <c r="G5" s="14">
        <v>0</v>
      </c>
      <c r="H5" s="129">
        <f>IF(B$17=0,0,G5/B$17)</f>
        <v>0</v>
      </c>
      <c r="I5" s="90"/>
      <c r="N5" s="111" t="s">
        <v>133</v>
      </c>
      <c r="O5" s="118">
        <f t="shared" si="0"/>
        <v>0</v>
      </c>
      <c r="P5" s="115">
        <v>0</v>
      </c>
      <c r="Q5" s="99">
        <v>0</v>
      </c>
    </row>
    <row r="6" spans="1:17" x14ac:dyDescent="0.4">
      <c r="A6" s="20" t="s">
        <v>1</v>
      </c>
      <c r="B6" s="146">
        <f>IF(B$2=0,0,(B$7*1+B$8*2+B$9*3)/B$2)</f>
        <v>0</v>
      </c>
      <c r="C6" s="147"/>
      <c r="E6" s="59" t="s">
        <v>68</v>
      </c>
      <c r="F6" s="26" t="s">
        <v>12</v>
      </c>
      <c r="G6" s="14">
        <v>0</v>
      </c>
      <c r="H6" s="129">
        <f t="shared" si="1"/>
        <v>0</v>
      </c>
      <c r="I6" s="90"/>
      <c r="N6" s="111" t="s">
        <v>134</v>
      </c>
      <c r="O6" s="118">
        <f t="shared" si="0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2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1"/>
        <v>0</v>
      </c>
      <c r="I7" s="90"/>
      <c r="N7" s="112" t="s">
        <v>135</v>
      </c>
      <c r="O7" s="119">
        <f t="shared" si="0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6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1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1"/>
        <v>0</v>
      </c>
      <c r="I9" s="90"/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21" t="s">
        <v>18</v>
      </c>
      <c r="B10" s="15">
        <v>0</v>
      </c>
      <c r="C10" s="7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1"/>
        <v>0</v>
      </c>
      <c r="I10" s="90"/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2"/>
        <v>0</v>
      </c>
      <c r="E11" s="59" t="s">
        <v>73</v>
      </c>
      <c r="F11" s="26" t="s">
        <v>28</v>
      </c>
      <c r="G11" s="14">
        <v>0</v>
      </c>
      <c r="H11" s="129">
        <f t="shared" si="1"/>
        <v>0</v>
      </c>
      <c r="I11" s="90"/>
      <c r="N11" s="111" t="s">
        <v>163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53" t="s">
        <v>158</v>
      </c>
      <c r="B12" s="46">
        <v>0</v>
      </c>
      <c r="C12" s="40">
        <f t="shared" si="2"/>
        <v>0</v>
      </c>
      <c r="E12" s="59" t="s">
        <v>74</v>
      </c>
      <c r="F12" s="26" t="s">
        <v>29</v>
      </c>
      <c r="G12" s="14">
        <v>0</v>
      </c>
      <c r="H12" s="129">
        <f t="shared" si="1"/>
        <v>0</v>
      </c>
      <c r="I12" s="90"/>
      <c r="N12" s="112" t="s">
        <v>164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23" t="s">
        <v>121</v>
      </c>
      <c r="B13" s="16">
        <v>0</v>
      </c>
      <c r="C13" s="11">
        <f>IF(B$3=0,0,B13/B$3)</f>
        <v>0</v>
      </c>
      <c r="E13" s="59" t="s">
        <v>75</v>
      </c>
      <c r="F13" s="26" t="s">
        <v>30</v>
      </c>
      <c r="G13" s="14">
        <v>0</v>
      </c>
      <c r="H13" s="129">
        <f t="shared" si="1"/>
        <v>0</v>
      </c>
      <c r="I13" s="90"/>
      <c r="N13" s="31"/>
      <c r="O13" s="106"/>
      <c r="P13" s="108"/>
      <c r="Q13" s="106"/>
    </row>
    <row r="14" spans="1:17" x14ac:dyDescent="0.4">
      <c r="A14" s="20" t="s">
        <v>118</v>
      </c>
      <c r="B14" s="14">
        <v>0</v>
      </c>
      <c r="C14" s="6">
        <f>IF(B$3=0,0,B14/B$3)</f>
        <v>0</v>
      </c>
      <c r="E14" s="59" t="s">
        <v>76</v>
      </c>
      <c r="F14" s="26" t="s">
        <v>31</v>
      </c>
      <c r="G14" s="14">
        <v>0</v>
      </c>
      <c r="H14" s="129">
        <f t="shared" si="1"/>
        <v>0</v>
      </c>
      <c r="I14" s="90"/>
      <c r="N14" s="109" t="s">
        <v>153</v>
      </c>
      <c r="O14" s="32" t="s">
        <v>154</v>
      </c>
      <c r="P14" s="113" t="s">
        <v>155</v>
      </c>
      <c r="Q14" s="101" t="s">
        <v>156</v>
      </c>
    </row>
    <row r="15" spans="1:17" x14ac:dyDescent="0.4">
      <c r="A15" s="19" t="s">
        <v>123</v>
      </c>
      <c r="B15" s="13">
        <v>0</v>
      </c>
      <c r="C15" s="4">
        <f>IF(B$13=0,0,B15/B$13)</f>
        <v>0</v>
      </c>
      <c r="E15" s="59" t="s">
        <v>77</v>
      </c>
      <c r="F15" s="26" t="s">
        <v>32</v>
      </c>
      <c r="G15" s="14">
        <v>0</v>
      </c>
      <c r="H15" s="129">
        <f t="shared" si="1"/>
        <v>0</v>
      </c>
      <c r="I15" s="90"/>
      <c r="N15" s="110"/>
      <c r="O15" s="120"/>
      <c r="P15" s="114"/>
      <c r="Q15" s="102"/>
    </row>
    <row r="16" spans="1:17" x14ac:dyDescent="0.4">
      <c r="A16" s="19" t="s">
        <v>124</v>
      </c>
      <c r="B16" s="13">
        <v>0</v>
      </c>
      <c r="C16" s="4">
        <f>IF(B$14=0,0,B16/B$14)</f>
        <v>0</v>
      </c>
      <c r="E16" s="59" t="s">
        <v>78</v>
      </c>
      <c r="F16" s="26" t="s">
        <v>33</v>
      </c>
      <c r="G16" s="14">
        <v>0</v>
      </c>
      <c r="H16" s="129">
        <f t="shared" si="1"/>
        <v>0</v>
      </c>
      <c r="I16" s="90"/>
    </row>
    <row r="17" spans="1:9" x14ac:dyDescent="0.4">
      <c r="A17" s="19" t="s">
        <v>10</v>
      </c>
      <c r="B17" s="13">
        <f>B19+B18</f>
        <v>0</v>
      </c>
      <c r="C17" s="4">
        <f>IF(B$3=0,0,B17/B$3)</f>
        <v>0</v>
      </c>
      <c r="E17" s="59" t="s">
        <v>79</v>
      </c>
      <c r="F17" s="26" t="s">
        <v>34</v>
      </c>
      <c r="G17" s="14">
        <v>0</v>
      </c>
      <c r="H17" s="129">
        <f t="shared" si="1"/>
        <v>0</v>
      </c>
      <c r="I17" s="90"/>
    </row>
    <row r="18" spans="1:9" x14ac:dyDescent="0.4">
      <c r="A18" s="20" t="s">
        <v>12</v>
      </c>
      <c r="B18" s="14">
        <v>0</v>
      </c>
      <c r="C18" s="6">
        <f>IF(B$17=0,0,B18/B$17)</f>
        <v>0</v>
      </c>
      <c r="E18" s="59" t="s">
        <v>80</v>
      </c>
      <c r="F18" s="26" t="s">
        <v>35</v>
      </c>
      <c r="G18" s="14">
        <v>0</v>
      </c>
      <c r="H18" s="129">
        <f t="shared" si="1"/>
        <v>0</v>
      </c>
      <c r="I18" s="90"/>
    </row>
    <row r="19" spans="1:9" x14ac:dyDescent="0.4">
      <c r="A19" s="20" t="s">
        <v>11</v>
      </c>
      <c r="B19" s="14">
        <v>0</v>
      </c>
      <c r="C19" s="6">
        <f>IF(B$17=0,0,B19/B$17)</f>
        <v>0</v>
      </c>
      <c r="E19" s="59" t="s">
        <v>81</v>
      </c>
      <c r="F19" s="26" t="s">
        <v>36</v>
      </c>
      <c r="G19" s="14">
        <v>0</v>
      </c>
      <c r="H19" s="129">
        <f t="shared" si="1"/>
        <v>0</v>
      </c>
      <c r="I19" s="90"/>
    </row>
    <row r="20" spans="1:9" x14ac:dyDescent="0.4">
      <c r="A20" s="51" t="s">
        <v>13</v>
      </c>
      <c r="B20" s="44">
        <v>0</v>
      </c>
      <c r="C20" s="37">
        <f>IF(B$3=0,0,B20/B$3)</f>
        <v>0</v>
      </c>
      <c r="E20" s="59" t="s">
        <v>82</v>
      </c>
      <c r="F20" s="26" t="s">
        <v>37</v>
      </c>
      <c r="G20" s="14">
        <v>0</v>
      </c>
      <c r="H20" s="129">
        <f t="shared" si="1"/>
        <v>0</v>
      </c>
      <c r="I20" s="90"/>
    </row>
    <row r="21" spans="1:9" x14ac:dyDescent="0.4">
      <c r="A21" s="51" t="s">
        <v>169</v>
      </c>
      <c r="B21" s="44">
        <v>0</v>
      </c>
      <c r="C21" s="131">
        <v>0</v>
      </c>
      <c r="E21" s="59" t="s">
        <v>83</v>
      </c>
      <c r="F21" s="26" t="s">
        <v>38</v>
      </c>
      <c r="G21" s="14">
        <v>0</v>
      </c>
      <c r="H21" s="129">
        <f t="shared" si="1"/>
        <v>0</v>
      </c>
      <c r="I21" s="90"/>
    </row>
    <row r="22" spans="1:9" x14ac:dyDescent="0.4">
      <c r="A22" s="20" t="s">
        <v>170</v>
      </c>
      <c r="B22" s="14">
        <v>0</v>
      </c>
      <c r="C22" s="131">
        <v>0</v>
      </c>
      <c r="E22" s="59" t="s">
        <v>84</v>
      </c>
      <c r="F22" s="26" t="s">
        <v>39</v>
      </c>
      <c r="G22" s="14">
        <v>0</v>
      </c>
      <c r="H22" s="129">
        <f t="shared" si="1"/>
        <v>0</v>
      </c>
      <c r="I22" s="90"/>
    </row>
    <row r="23" spans="1:9" x14ac:dyDescent="0.4">
      <c r="A23" s="20" t="s">
        <v>5</v>
      </c>
      <c r="B23" s="17">
        <f>IF(B$17=0,0,C23/B$17)</f>
        <v>0</v>
      </c>
      <c r="C23" s="8">
        <v>0</v>
      </c>
      <c r="E23" s="59" t="s">
        <v>85</v>
      </c>
      <c r="F23" s="26" t="s">
        <v>40</v>
      </c>
      <c r="G23" s="14">
        <v>0</v>
      </c>
      <c r="H23" s="129">
        <f t="shared" si="1"/>
        <v>0</v>
      </c>
      <c r="I23" s="90"/>
    </row>
    <row r="24" spans="1:9" x14ac:dyDescent="0.4">
      <c r="A24" s="52" t="s">
        <v>216</v>
      </c>
      <c r="B24" s="136">
        <f>IF($B$17-B$16=0,0,C24/($B$17-B$16))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1"/>
        <v>0</v>
      </c>
      <c r="I24" s="90"/>
    </row>
    <row r="25" spans="1:9" x14ac:dyDescent="0.4">
      <c r="A25" s="52" t="s">
        <v>217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1"/>
        <v>0</v>
      </c>
      <c r="I25" s="90"/>
    </row>
    <row r="26" spans="1:9" x14ac:dyDescent="0.4">
      <c r="A26" s="52" t="s">
        <v>215</v>
      </c>
      <c r="B26" s="136">
        <f>IF(B$20=0,0,C26/B$20)</f>
        <v>0</v>
      </c>
      <c r="C26" s="137">
        <v>0</v>
      </c>
      <c r="E26" s="59" t="s">
        <v>88</v>
      </c>
      <c r="F26" s="26" t="s">
        <v>43</v>
      </c>
      <c r="G26" s="14">
        <v>0</v>
      </c>
      <c r="H26" s="129">
        <f t="shared" si="1"/>
        <v>0</v>
      </c>
      <c r="I26" s="90"/>
    </row>
    <row r="27" spans="1:9" x14ac:dyDescent="0.4">
      <c r="A27" s="86" t="s">
        <v>140</v>
      </c>
      <c r="B27" s="144">
        <v>0</v>
      </c>
      <c r="C27" s="145"/>
      <c r="E27" s="59" t="s">
        <v>89</v>
      </c>
      <c r="F27" s="26" t="s">
        <v>44</v>
      </c>
      <c r="G27" s="14">
        <v>0</v>
      </c>
      <c r="H27" s="129">
        <f t="shared" si="1"/>
        <v>0</v>
      </c>
      <c r="I27" s="90"/>
    </row>
    <row r="28" spans="1:9" x14ac:dyDescent="0.4">
      <c r="A28" s="54" t="s">
        <v>150</v>
      </c>
      <c r="B28" s="142">
        <v>-1000000</v>
      </c>
      <c r="C28" s="143"/>
      <c r="E28" s="59" t="s">
        <v>90</v>
      </c>
      <c r="F28" s="26" t="s">
        <v>45</v>
      </c>
      <c r="G28" s="14">
        <v>0</v>
      </c>
      <c r="H28" s="129">
        <f t="shared" si="1"/>
        <v>0</v>
      </c>
      <c r="I28" s="90"/>
    </row>
    <row r="29" spans="1:9" x14ac:dyDescent="0.4">
      <c r="A29" s="22" t="s">
        <v>141</v>
      </c>
      <c r="B29" s="30">
        <v>0</v>
      </c>
      <c r="C29" s="9">
        <f>IF(B$3=0,0,B29/B$3)</f>
        <v>0</v>
      </c>
      <c r="E29" s="59" t="s">
        <v>91</v>
      </c>
      <c r="F29" s="26" t="s">
        <v>46</v>
      </c>
      <c r="G29" s="14">
        <v>0</v>
      </c>
      <c r="H29" s="129">
        <f t="shared" si="1"/>
        <v>0</v>
      </c>
      <c r="I29" s="90"/>
    </row>
    <row r="30" spans="1:9" x14ac:dyDescent="0.4">
      <c r="E30" s="59" t="s">
        <v>92</v>
      </c>
      <c r="F30" s="26" t="s">
        <v>47</v>
      </c>
      <c r="G30" s="14">
        <v>0</v>
      </c>
      <c r="H30" s="129">
        <f t="shared" si="1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1"/>
        <v>0</v>
      </c>
      <c r="I31" s="90"/>
    </row>
    <row r="32" spans="1:9" x14ac:dyDescent="0.4">
      <c r="E32" s="59" t="s">
        <v>94</v>
      </c>
      <c r="F32" s="26" t="s">
        <v>49</v>
      </c>
      <c r="G32" s="14">
        <v>0</v>
      </c>
      <c r="H32" s="129">
        <f t="shared" si="1"/>
        <v>0</v>
      </c>
      <c r="I32" s="90"/>
    </row>
    <row r="33" spans="5:9" x14ac:dyDescent="0.4">
      <c r="E33" s="59" t="s">
        <v>95</v>
      </c>
      <c r="F33" s="26" t="s">
        <v>50</v>
      </c>
      <c r="G33" s="14">
        <v>0</v>
      </c>
      <c r="H33" s="129">
        <f t="shared" si="1"/>
        <v>0</v>
      </c>
      <c r="I33" s="90"/>
    </row>
    <row r="34" spans="5:9" x14ac:dyDescent="0.4">
      <c r="E34" s="59" t="s">
        <v>96</v>
      </c>
      <c r="F34" s="26" t="s">
        <v>51</v>
      </c>
      <c r="G34" s="14">
        <v>0</v>
      </c>
      <c r="H34" s="129">
        <f t="shared" si="1"/>
        <v>0</v>
      </c>
      <c r="I34" s="90"/>
    </row>
    <row r="35" spans="5:9" x14ac:dyDescent="0.4">
      <c r="E35" s="59" t="s">
        <v>97</v>
      </c>
      <c r="F35" s="26" t="s">
        <v>52</v>
      </c>
      <c r="G35" s="14">
        <v>0</v>
      </c>
      <c r="H35" s="129">
        <f t="shared" si="1"/>
        <v>0</v>
      </c>
      <c r="I35" s="90"/>
    </row>
    <row r="36" spans="5:9" x14ac:dyDescent="0.4">
      <c r="E36" s="59" t="s">
        <v>98</v>
      </c>
      <c r="F36" s="26" t="s">
        <v>53</v>
      </c>
      <c r="G36" s="14">
        <v>0</v>
      </c>
      <c r="H36" s="129">
        <f t="shared" si="1"/>
        <v>0</v>
      </c>
      <c r="I36" s="90"/>
    </row>
    <row r="37" spans="5:9" x14ac:dyDescent="0.4">
      <c r="E37" s="59" t="s">
        <v>99</v>
      </c>
      <c r="F37" s="26" t="s">
        <v>54</v>
      </c>
      <c r="G37" s="14">
        <v>0</v>
      </c>
      <c r="H37" s="129">
        <f t="shared" si="1"/>
        <v>0</v>
      </c>
      <c r="I37" s="90"/>
    </row>
    <row r="38" spans="5:9" x14ac:dyDescent="0.4">
      <c r="E38" s="59" t="s">
        <v>100</v>
      </c>
      <c r="F38" s="26" t="s">
        <v>55</v>
      </c>
      <c r="G38" s="14">
        <v>0</v>
      </c>
      <c r="H38" s="129">
        <f t="shared" si="1"/>
        <v>0</v>
      </c>
      <c r="I38" s="90"/>
    </row>
    <row r="39" spans="5:9" x14ac:dyDescent="0.4">
      <c r="E39" s="59" t="s">
        <v>101</v>
      </c>
      <c r="F39" s="26" t="s">
        <v>56</v>
      </c>
      <c r="G39" s="14">
        <v>0</v>
      </c>
      <c r="H39" s="129">
        <f t="shared" si="1"/>
        <v>0</v>
      </c>
      <c r="I39" s="90"/>
    </row>
    <row r="40" spans="5:9" x14ac:dyDescent="0.4">
      <c r="E40" s="59" t="s">
        <v>102</v>
      </c>
      <c r="F40" s="26" t="s">
        <v>57</v>
      </c>
      <c r="G40" s="14">
        <v>0</v>
      </c>
      <c r="H40" s="129">
        <f t="shared" si="1"/>
        <v>0</v>
      </c>
      <c r="I40" s="90"/>
    </row>
    <row r="41" spans="5:9" x14ac:dyDescent="0.4">
      <c r="E41" s="59" t="s">
        <v>103</v>
      </c>
      <c r="F41" s="26" t="s">
        <v>58</v>
      </c>
      <c r="G41" s="14">
        <v>0</v>
      </c>
      <c r="H41" s="129">
        <f t="shared" si="1"/>
        <v>0</v>
      </c>
      <c r="I41" s="90"/>
    </row>
    <row r="42" spans="5:9" x14ac:dyDescent="0.4">
      <c r="E42" s="59" t="s">
        <v>104</v>
      </c>
      <c r="F42" s="26" t="s">
        <v>59</v>
      </c>
      <c r="G42" s="14">
        <v>0</v>
      </c>
      <c r="H42" s="129">
        <f t="shared" si="1"/>
        <v>0</v>
      </c>
      <c r="I42" s="90"/>
    </row>
    <row r="43" spans="5:9" x14ac:dyDescent="0.4">
      <c r="E43" s="59" t="s">
        <v>105</v>
      </c>
      <c r="F43" s="26" t="s">
        <v>112</v>
      </c>
      <c r="G43" s="14">
        <v>0</v>
      </c>
      <c r="H43" s="129">
        <f t="shared" si="1"/>
        <v>0</v>
      </c>
      <c r="I43" s="90"/>
    </row>
    <row r="44" spans="5:9" x14ac:dyDescent="0.4">
      <c r="E44" s="59" t="s">
        <v>106</v>
      </c>
      <c r="F44" s="26" t="s">
        <v>113</v>
      </c>
      <c r="G44" s="14">
        <v>0</v>
      </c>
      <c r="H44" s="129">
        <f t="shared" si="1"/>
        <v>0</v>
      </c>
      <c r="I44" s="90"/>
    </row>
    <row r="45" spans="5:9" x14ac:dyDescent="0.4">
      <c r="E45" s="59" t="s">
        <v>107</v>
      </c>
      <c r="F45" s="26" t="s">
        <v>114</v>
      </c>
      <c r="G45" s="14">
        <v>0</v>
      </c>
      <c r="H45" s="129">
        <f t="shared" si="1"/>
        <v>0</v>
      </c>
      <c r="I45" s="90"/>
    </row>
    <row r="46" spans="5:9" x14ac:dyDescent="0.4">
      <c r="E46" s="59" t="s">
        <v>108</v>
      </c>
      <c r="F46" s="26" t="s">
        <v>60</v>
      </c>
      <c r="G46" s="14">
        <v>0</v>
      </c>
      <c r="H46" s="129">
        <f t="shared" si="1"/>
        <v>0</v>
      </c>
      <c r="I46" s="90"/>
    </row>
    <row r="47" spans="5:9" x14ac:dyDescent="0.4">
      <c r="E47" s="59" t="s">
        <v>109</v>
      </c>
      <c r="F47" s="26" t="s">
        <v>61</v>
      </c>
      <c r="G47" s="14">
        <v>0</v>
      </c>
      <c r="H47" s="129">
        <f t="shared" si="1"/>
        <v>0</v>
      </c>
      <c r="I47" s="90"/>
    </row>
    <row r="48" spans="5:9" x14ac:dyDescent="0.4">
      <c r="E48" s="59" t="s">
        <v>110</v>
      </c>
      <c r="F48" s="26" t="s">
        <v>62</v>
      </c>
      <c r="G48" s="14">
        <v>0</v>
      </c>
      <c r="H48" s="129">
        <f t="shared" si="1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1"/>
        <v>0</v>
      </c>
      <c r="I49" s="90"/>
    </row>
    <row r="50" spans="5:9" x14ac:dyDescent="0.4">
      <c r="E50" s="59" t="s">
        <v>167</v>
      </c>
      <c r="F50" s="56" t="s">
        <v>168</v>
      </c>
      <c r="G50" s="44">
        <v>0</v>
      </c>
      <c r="H50" s="129">
        <f t="shared" si="1"/>
        <v>0</v>
      </c>
      <c r="I50" s="90"/>
    </row>
    <row r="51" spans="5:9" x14ac:dyDescent="0.4">
      <c r="E51" s="132" t="s">
        <v>171</v>
      </c>
      <c r="F51" s="133" t="s">
        <v>172</v>
      </c>
      <c r="G51" s="45">
        <v>0</v>
      </c>
      <c r="H51" s="134">
        <f>IF(B$17=0,0,G51/B$17)</f>
        <v>0</v>
      </c>
      <c r="I51" s="135"/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/>
    </row>
  </sheetData>
  <mergeCells count="8">
    <mergeCell ref="B28:C28"/>
    <mergeCell ref="B27:C27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34"/>
  <sheetViews>
    <sheetView workbookViewId="0"/>
  </sheetViews>
  <sheetFormatPr defaultColWidth="9" defaultRowHeight="18.75" x14ac:dyDescent="0.4"/>
  <cols>
    <col min="1" max="1" width="19.25" style="28" customWidth="1"/>
    <col min="2" max="2" width="19.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175</v>
      </c>
      <c r="B2" s="29">
        <v>43737.532500000001</v>
      </c>
      <c r="C2" s="28" t="s">
        <v>128</v>
      </c>
      <c r="D2" s="28" t="s">
        <v>129</v>
      </c>
    </row>
    <row r="3" spans="1:12" x14ac:dyDescent="0.4">
      <c r="A3" s="28" t="s">
        <v>176</v>
      </c>
      <c r="B3" s="29">
        <v>43737.532500000001</v>
      </c>
      <c r="C3" s="28" t="s">
        <v>128</v>
      </c>
    </row>
    <row r="4" spans="1:12" x14ac:dyDescent="0.4">
      <c r="A4" s="28" t="s">
        <v>180</v>
      </c>
      <c r="B4" s="29">
        <v>43737.532500000001</v>
      </c>
      <c r="C4" s="28" t="s">
        <v>128</v>
      </c>
    </row>
    <row r="5" spans="1:12" x14ac:dyDescent="0.4">
      <c r="A5" s="28" t="s">
        <v>183</v>
      </c>
      <c r="B5" s="29">
        <v>43737.532500000001</v>
      </c>
      <c r="C5" s="28" t="s">
        <v>128</v>
      </c>
      <c r="D5" s="28" t="s">
        <v>129</v>
      </c>
      <c r="E5" s="28" t="s">
        <v>184</v>
      </c>
      <c r="F5" s="28" t="s">
        <v>185</v>
      </c>
      <c r="G5" s="28" t="s">
        <v>186</v>
      </c>
      <c r="H5" s="28" t="s">
        <v>187</v>
      </c>
    </row>
    <row r="6" spans="1:12" x14ac:dyDescent="0.4">
      <c r="A6" s="28" t="s">
        <v>188</v>
      </c>
      <c r="B6" s="29">
        <v>43737.532500000001</v>
      </c>
      <c r="C6" s="28" t="s">
        <v>128</v>
      </c>
      <c r="D6" s="28" t="s">
        <v>129</v>
      </c>
      <c r="E6" s="28" t="s">
        <v>184</v>
      </c>
    </row>
    <row r="7" spans="1:12" x14ac:dyDescent="0.4">
      <c r="A7" s="28" t="s">
        <v>189</v>
      </c>
      <c r="B7" s="29">
        <v>43738.564340277779</v>
      </c>
      <c r="C7" s="28" t="s">
        <v>128</v>
      </c>
      <c r="D7" s="28" t="s">
        <v>129</v>
      </c>
      <c r="E7" s="28" t="s">
        <v>184</v>
      </c>
      <c r="F7" s="28" t="s">
        <v>185</v>
      </c>
      <c r="G7" s="28" t="s">
        <v>186</v>
      </c>
      <c r="H7" s="28" t="s">
        <v>187</v>
      </c>
      <c r="I7" s="28" t="s">
        <v>190</v>
      </c>
      <c r="J7" s="28" t="s">
        <v>191</v>
      </c>
      <c r="K7" s="28" t="s">
        <v>192</v>
      </c>
      <c r="L7" s="28" t="s">
        <v>193</v>
      </c>
    </row>
    <row r="8" spans="1:12" x14ac:dyDescent="0.4">
      <c r="A8" s="28" t="s">
        <v>197</v>
      </c>
      <c r="B8" s="29">
        <v>43740.96733796296</v>
      </c>
      <c r="C8" s="28" t="s">
        <v>128</v>
      </c>
    </row>
    <row r="9" spans="1:12" x14ac:dyDescent="0.4">
      <c r="A9" s="28" t="s">
        <v>194</v>
      </c>
      <c r="B9" s="29">
        <v>43739.43246527778</v>
      </c>
      <c r="C9" s="28" t="s">
        <v>129</v>
      </c>
      <c r="D9" s="28" t="s">
        <v>184</v>
      </c>
      <c r="E9" s="28" t="s">
        <v>128</v>
      </c>
    </row>
    <row r="10" spans="1:12" x14ac:dyDescent="0.4">
      <c r="A10" s="28" t="s">
        <v>196</v>
      </c>
      <c r="B10" s="29">
        <v>43742.036736111113</v>
      </c>
      <c r="C10" s="28" t="s">
        <v>128</v>
      </c>
      <c r="D10" s="28" t="s">
        <v>129</v>
      </c>
      <c r="E10" s="28" t="s">
        <v>184</v>
      </c>
      <c r="F10" s="28" t="s">
        <v>185</v>
      </c>
      <c r="G10" s="28" t="s">
        <v>186</v>
      </c>
      <c r="H10" s="28" t="s">
        <v>187</v>
      </c>
    </row>
    <row r="11" spans="1:12" x14ac:dyDescent="0.4">
      <c r="A11" s="28" t="s">
        <v>198</v>
      </c>
      <c r="B11" s="29">
        <v>43741.028969907406</v>
      </c>
      <c r="C11" s="28" t="s">
        <v>128</v>
      </c>
    </row>
    <row r="12" spans="1:12" x14ac:dyDescent="0.4">
      <c r="A12" s="28" t="s">
        <v>199</v>
      </c>
      <c r="B12" s="29">
        <v>43742.037129629629</v>
      </c>
      <c r="C12" s="28" t="s">
        <v>128</v>
      </c>
      <c r="D12" s="28" t="s">
        <v>129</v>
      </c>
      <c r="E12" s="28" t="s">
        <v>184</v>
      </c>
    </row>
    <row r="13" spans="1:12" x14ac:dyDescent="0.4">
      <c r="A13" s="28" t="s">
        <v>201</v>
      </c>
      <c r="B13" s="29">
        <v>43742.036944444444</v>
      </c>
      <c r="C13" s="28" t="s">
        <v>128</v>
      </c>
      <c r="D13" s="28" t="s">
        <v>129</v>
      </c>
    </row>
    <row r="14" spans="1:12" x14ac:dyDescent="0.4">
      <c r="A14" s="28" t="s">
        <v>200</v>
      </c>
      <c r="B14" s="29">
        <v>43745.536574074074</v>
      </c>
      <c r="C14" s="28" t="s">
        <v>128</v>
      </c>
      <c r="D14" s="28" t="s">
        <v>129</v>
      </c>
      <c r="E14" s="28" t="s">
        <v>184</v>
      </c>
      <c r="F14" s="28" t="s">
        <v>185</v>
      </c>
    </row>
    <row r="15" spans="1:12" x14ac:dyDescent="0.4">
      <c r="A15" s="28" t="s">
        <v>202</v>
      </c>
      <c r="B15" s="29">
        <v>43745.374525462961</v>
      </c>
      <c r="C15" s="28" t="s">
        <v>128</v>
      </c>
      <c r="D15" s="28" t="s">
        <v>129</v>
      </c>
    </row>
    <row r="16" spans="1:12" x14ac:dyDescent="0.4">
      <c r="A16" s="28" t="s">
        <v>203</v>
      </c>
      <c r="B16" s="29">
        <v>43745.536574074074</v>
      </c>
      <c r="C16" s="28" t="s">
        <v>128</v>
      </c>
      <c r="D16" s="28" t="s">
        <v>129</v>
      </c>
      <c r="E16" s="28" t="s">
        <v>184</v>
      </c>
      <c r="F16" s="28" t="s">
        <v>185</v>
      </c>
    </row>
    <row r="17" spans="1:12" x14ac:dyDescent="0.4">
      <c r="A17" s="28" t="s">
        <v>204</v>
      </c>
      <c r="B17" s="29">
        <v>43745.536574074074</v>
      </c>
      <c r="C17" s="28" t="s">
        <v>128</v>
      </c>
      <c r="D17" s="28" t="s">
        <v>129</v>
      </c>
    </row>
    <row r="18" spans="1:12" x14ac:dyDescent="0.4">
      <c r="A18" s="28" t="s">
        <v>205</v>
      </c>
      <c r="B18" s="29">
        <v>43745.374525462961</v>
      </c>
      <c r="C18" s="28" t="s">
        <v>128</v>
      </c>
    </row>
    <row r="19" spans="1:12" x14ac:dyDescent="0.4">
      <c r="A19" s="28" t="s">
        <v>206</v>
      </c>
      <c r="B19" s="29">
        <v>43750.963090277779</v>
      </c>
      <c r="C19" s="28" t="s">
        <v>128</v>
      </c>
    </row>
    <row r="20" spans="1:12" x14ac:dyDescent="0.4">
      <c r="A20" s="28" t="s">
        <v>207</v>
      </c>
      <c r="B20" s="29">
        <v>43750.963090277779</v>
      </c>
      <c r="C20" s="28" t="s">
        <v>128</v>
      </c>
      <c r="D20" s="28" t="s">
        <v>129</v>
      </c>
    </row>
    <row r="21" spans="1:12" x14ac:dyDescent="0.4">
      <c r="A21" s="28" t="s">
        <v>208</v>
      </c>
      <c r="B21" s="29">
        <v>43750.963090277779</v>
      </c>
      <c r="C21" s="28" t="s">
        <v>128</v>
      </c>
    </row>
    <row r="22" spans="1:12" x14ac:dyDescent="0.4">
      <c r="A22" s="28" t="s">
        <v>209</v>
      </c>
      <c r="B22" s="29">
        <v>43750.963090277779</v>
      </c>
      <c r="C22" s="28" t="s">
        <v>128</v>
      </c>
      <c r="D22" s="28" t="s">
        <v>129</v>
      </c>
      <c r="E22" s="28" t="s">
        <v>184</v>
      </c>
    </row>
    <row r="23" spans="1:12" x14ac:dyDescent="0.4">
      <c r="A23" s="28" t="s">
        <v>210</v>
      </c>
      <c r="B23" s="29">
        <v>43750.963090277779</v>
      </c>
      <c r="C23" s="28" t="s">
        <v>128</v>
      </c>
    </row>
    <row r="24" spans="1:12" x14ac:dyDescent="0.4">
      <c r="A24" s="28" t="s">
        <v>211</v>
      </c>
      <c r="B24" s="29">
        <v>43750.963993055557</v>
      </c>
      <c r="C24" s="28" t="s">
        <v>128</v>
      </c>
      <c r="D24" s="28" t="s">
        <v>129</v>
      </c>
      <c r="E24" s="28" t="s">
        <v>184</v>
      </c>
      <c r="F24" s="28" t="s">
        <v>185</v>
      </c>
      <c r="G24" s="28" t="s">
        <v>186</v>
      </c>
    </row>
    <row r="25" spans="1:12" x14ac:dyDescent="0.4">
      <c r="A25" s="28" t="s">
        <v>212</v>
      </c>
      <c r="B25" s="29">
        <v>43751.106828703705</v>
      </c>
      <c r="C25" s="28" t="s">
        <v>128</v>
      </c>
      <c r="D25" s="28" t="s">
        <v>129</v>
      </c>
      <c r="E25" s="28" t="s">
        <v>184</v>
      </c>
      <c r="F25" s="28" t="s">
        <v>185</v>
      </c>
      <c r="G25" s="28" t="s">
        <v>186</v>
      </c>
      <c r="H25" s="28" t="s">
        <v>187</v>
      </c>
      <c r="I25" s="28" t="s">
        <v>190</v>
      </c>
      <c r="J25" s="28" t="s">
        <v>191</v>
      </c>
      <c r="K25" s="28" t="s">
        <v>192</v>
      </c>
      <c r="L25" s="28" t="s">
        <v>193</v>
      </c>
    </row>
    <row r="26" spans="1:12" x14ac:dyDescent="0.4">
      <c r="A26" s="28" t="s">
        <v>213</v>
      </c>
      <c r="B26" s="29">
        <v>43752.102708333332</v>
      </c>
      <c r="C26" s="28" t="s">
        <v>128</v>
      </c>
      <c r="D26" s="28" t="s">
        <v>129</v>
      </c>
      <c r="E26" s="28" t="s">
        <v>184</v>
      </c>
      <c r="F26" s="28" t="s">
        <v>185</v>
      </c>
      <c r="G26" s="28" t="s">
        <v>186</v>
      </c>
      <c r="H26" s="28" t="s">
        <v>187</v>
      </c>
    </row>
    <row r="27" spans="1:12" x14ac:dyDescent="0.4">
      <c r="A27" s="28" t="s">
        <v>214</v>
      </c>
      <c r="B27" s="29">
        <v>43753.073148148149</v>
      </c>
      <c r="C27" s="28" t="s">
        <v>128</v>
      </c>
      <c r="D27" s="28" t="s">
        <v>129</v>
      </c>
      <c r="E27" s="28" t="s">
        <v>184</v>
      </c>
      <c r="F27" s="28" t="s">
        <v>185</v>
      </c>
      <c r="G27" s="28" t="s">
        <v>186</v>
      </c>
      <c r="H27" s="28" t="s">
        <v>187</v>
      </c>
      <c r="I27" s="28" t="s">
        <v>190</v>
      </c>
      <c r="J27" s="28" t="s">
        <v>191</v>
      </c>
      <c r="K27" s="28" t="s">
        <v>192</v>
      </c>
    </row>
    <row r="28" spans="1:12" x14ac:dyDescent="0.4">
      <c r="A28" s="28" t="s">
        <v>218</v>
      </c>
      <c r="B28" s="29">
        <v>43754.690115740741</v>
      </c>
      <c r="C28" s="28" t="s">
        <v>128</v>
      </c>
      <c r="D28" s="28" t="s">
        <v>129</v>
      </c>
      <c r="E28" s="28" t="s">
        <v>184</v>
      </c>
      <c r="F28" s="28" t="s">
        <v>185</v>
      </c>
      <c r="G28" s="28" t="s">
        <v>186</v>
      </c>
      <c r="H28" s="28" t="s">
        <v>190</v>
      </c>
      <c r="I28" s="28" t="s">
        <v>191</v>
      </c>
      <c r="J28" s="28" t="s">
        <v>192</v>
      </c>
      <c r="K28" s="28" t="s">
        <v>193</v>
      </c>
    </row>
    <row r="29" spans="1:12" x14ac:dyDescent="0.4">
      <c r="A29" s="28" t="s">
        <v>219</v>
      </c>
      <c r="B29" s="29">
        <v>43755.034178240741</v>
      </c>
      <c r="C29" s="28" t="s">
        <v>128</v>
      </c>
      <c r="D29" s="28" t="s">
        <v>129</v>
      </c>
      <c r="E29" s="28" t="s">
        <v>184</v>
      </c>
      <c r="F29" s="28" t="s">
        <v>185</v>
      </c>
      <c r="G29" s="28" t="s">
        <v>186</v>
      </c>
      <c r="H29" s="28" t="s">
        <v>187</v>
      </c>
    </row>
    <row r="30" spans="1:12" x14ac:dyDescent="0.4">
      <c r="A30" s="28" t="s">
        <v>220</v>
      </c>
      <c r="B30" s="29">
        <v>43756.099849537037</v>
      </c>
      <c r="C30" s="28" t="s">
        <v>128</v>
      </c>
      <c r="D30" s="28" t="s">
        <v>129</v>
      </c>
      <c r="E30" s="28" t="s">
        <v>184</v>
      </c>
      <c r="F30" s="28" t="s">
        <v>185</v>
      </c>
      <c r="G30" s="28" t="s">
        <v>186</v>
      </c>
      <c r="H30" s="28" t="s">
        <v>187</v>
      </c>
      <c r="I30" s="28" t="s">
        <v>190</v>
      </c>
    </row>
    <row r="31" spans="1:12" x14ac:dyDescent="0.4">
      <c r="A31" s="28" t="s">
        <v>221</v>
      </c>
      <c r="B31" s="29">
        <v>43757.072893518518</v>
      </c>
      <c r="C31" s="28" t="s">
        <v>128</v>
      </c>
      <c r="D31" s="28" t="s">
        <v>129</v>
      </c>
      <c r="E31" s="28" t="s">
        <v>184</v>
      </c>
    </row>
    <row r="32" spans="1:12" x14ac:dyDescent="0.4">
      <c r="A32" s="28" t="s">
        <v>223</v>
      </c>
      <c r="B32" s="29">
        <v>43758.041724537034</v>
      </c>
      <c r="C32" s="28" t="s">
        <v>128</v>
      </c>
      <c r="D32" s="28" t="s">
        <v>129</v>
      </c>
      <c r="E32" s="28" t="s">
        <v>184</v>
      </c>
    </row>
    <row r="33" spans="1:5" x14ac:dyDescent="0.4">
      <c r="A33" s="28" t="s">
        <v>224</v>
      </c>
      <c r="B33" s="29">
        <v>43758.856203703705</v>
      </c>
      <c r="C33" s="28" t="s">
        <v>128</v>
      </c>
      <c r="D33" s="28" t="s">
        <v>129</v>
      </c>
      <c r="E33" s="28" t="s">
        <v>184</v>
      </c>
    </row>
    <row r="34" spans="1:5" x14ac:dyDescent="0.4">
      <c r="A34" s="28" t="s">
        <v>225</v>
      </c>
      <c r="B34" s="29">
        <v>43760.041956018518</v>
      </c>
      <c r="C34" s="28" t="s">
        <v>128</v>
      </c>
      <c r="D34" s="28" t="s">
        <v>129</v>
      </c>
      <c r="E34" s="28" t="s">
        <v>184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1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143</v>
      </c>
      <c r="B1">
        <v>372</v>
      </c>
    </row>
    <row r="2" spans="1:2" x14ac:dyDescent="0.4">
      <c r="A2" t="s">
        <v>166</v>
      </c>
      <c r="B2">
        <v>35</v>
      </c>
    </row>
    <row r="3" spans="1:2" x14ac:dyDescent="0.4">
      <c r="A3" t="s">
        <v>126</v>
      </c>
      <c r="B3">
        <v>76</v>
      </c>
    </row>
    <row r="4" spans="1:2" x14ac:dyDescent="0.4">
      <c r="A4" t="s">
        <v>127</v>
      </c>
      <c r="B4">
        <v>73</v>
      </c>
    </row>
    <row r="5" spans="1:2" x14ac:dyDescent="0.4">
      <c r="A5" t="s">
        <v>179</v>
      </c>
      <c r="B5">
        <v>47</v>
      </c>
    </row>
    <row r="6" spans="1:2" x14ac:dyDescent="0.4">
      <c r="A6" t="s">
        <v>177</v>
      </c>
      <c r="B6">
        <v>41</v>
      </c>
    </row>
    <row r="7" spans="1:2" x14ac:dyDescent="0.4">
      <c r="A7" t="s">
        <v>178</v>
      </c>
      <c r="B7">
        <v>51</v>
      </c>
    </row>
    <row r="8" spans="1:2" x14ac:dyDescent="0.4">
      <c r="A8" t="s">
        <v>182</v>
      </c>
      <c r="B8">
        <v>26</v>
      </c>
    </row>
    <row r="9" spans="1:2" x14ac:dyDescent="0.4">
      <c r="A9" t="s">
        <v>181</v>
      </c>
      <c r="B9">
        <v>14</v>
      </c>
    </row>
    <row r="10" spans="1:2" x14ac:dyDescent="0.4">
      <c r="A10" t="s">
        <v>195</v>
      </c>
      <c r="B10">
        <v>7</v>
      </c>
    </row>
    <row r="11" spans="1:2" x14ac:dyDescent="0.4">
      <c r="A11" t="s">
        <v>222</v>
      </c>
      <c r="B11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3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4" customWidth="1"/>
    <col min="34" max="34" width="10.75" style="81" customWidth="1"/>
    <col min="35" max="35" width="10.75" style="88" customWidth="1"/>
    <col min="36" max="16384" width="9" style="69"/>
  </cols>
  <sheetData>
    <row r="1" spans="1:35" x14ac:dyDescent="0.4">
      <c r="A1" s="68"/>
      <c r="B1" s="160" t="s">
        <v>6</v>
      </c>
      <c r="C1" s="161"/>
      <c r="D1" s="160" t="s">
        <v>7</v>
      </c>
      <c r="E1" s="161"/>
      <c r="F1" s="160" t="s">
        <v>15</v>
      </c>
      <c r="G1" s="161"/>
      <c r="H1" s="160" t="s">
        <v>14</v>
      </c>
      <c r="I1" s="161"/>
      <c r="J1" s="160" t="s">
        <v>160</v>
      </c>
      <c r="K1" s="161"/>
      <c r="L1" s="160" t="s">
        <v>147</v>
      </c>
      <c r="M1" s="161"/>
      <c r="N1" s="160" t="s">
        <v>148</v>
      </c>
      <c r="O1" s="161"/>
      <c r="P1" s="160" t="s">
        <v>5</v>
      </c>
      <c r="Q1" s="161"/>
      <c r="R1" s="160" t="s">
        <v>16</v>
      </c>
      <c r="S1" s="161"/>
      <c r="T1" s="160" t="s">
        <v>17</v>
      </c>
      <c r="U1" s="161"/>
      <c r="V1" s="160" t="s">
        <v>139</v>
      </c>
      <c r="W1" s="161"/>
      <c r="X1" s="160" t="s">
        <v>122</v>
      </c>
      <c r="Y1" s="161"/>
      <c r="Z1" s="160" t="s">
        <v>119</v>
      </c>
      <c r="AA1" s="161"/>
      <c r="AB1" s="160" t="s">
        <v>125</v>
      </c>
      <c r="AC1" s="161"/>
      <c r="AD1" s="160" t="s">
        <v>149</v>
      </c>
      <c r="AE1" s="161"/>
      <c r="AF1" s="160" t="s">
        <v>142</v>
      </c>
      <c r="AG1" s="161"/>
      <c r="AH1" s="160" t="s">
        <v>151</v>
      </c>
      <c r="AI1" s="161"/>
    </row>
    <row r="2" spans="1:35" x14ac:dyDescent="0.4">
      <c r="A2" s="68" t="s">
        <v>159</v>
      </c>
      <c r="B2" s="162"/>
      <c r="C2" s="163"/>
      <c r="D2" s="162"/>
      <c r="E2" s="163"/>
      <c r="F2" s="158">
        <v>0.98869427282423106</v>
      </c>
      <c r="G2" s="159"/>
      <c r="H2" s="158">
        <v>0.90464834182879272</v>
      </c>
      <c r="I2" s="159"/>
      <c r="J2" s="158">
        <v>0.97484287977655915</v>
      </c>
      <c r="K2" s="159"/>
      <c r="L2" s="158">
        <v>0.88114149160362909</v>
      </c>
      <c r="M2" s="159"/>
      <c r="N2" s="158">
        <v>0.5617989379832582</v>
      </c>
      <c r="O2" s="159"/>
      <c r="P2" s="158">
        <v>0.40828500404624268</v>
      </c>
      <c r="Q2" s="159"/>
      <c r="R2" s="158">
        <v>0.29794934916266358</v>
      </c>
      <c r="S2" s="159"/>
      <c r="T2" s="158">
        <v>0.29792125238443795</v>
      </c>
      <c r="U2" s="159"/>
      <c r="V2" s="158">
        <v>0.72575377995962231</v>
      </c>
      <c r="W2" s="159"/>
      <c r="X2" s="158">
        <v>0.42186174953239469</v>
      </c>
      <c r="Y2" s="159"/>
      <c r="Z2" s="158">
        <v>0.31539085086449758</v>
      </c>
      <c r="AA2" s="159"/>
      <c r="AB2" s="158">
        <v>7.6978837107662249E-2</v>
      </c>
      <c r="AC2" s="159"/>
      <c r="AD2" s="158">
        <v>0.41363481172197664</v>
      </c>
      <c r="AE2" s="159"/>
      <c r="AF2" s="158">
        <v>-0.2050590773070726</v>
      </c>
      <c r="AG2" s="159"/>
      <c r="AH2" s="158">
        <v>0.43228682744729746</v>
      </c>
      <c r="AI2" s="159"/>
    </row>
    <row r="3" spans="1:35" x14ac:dyDescent="0.4">
      <c r="A3" s="70">
        <v>1</v>
      </c>
      <c r="B3" s="71" t="s">
        <v>126</v>
      </c>
      <c r="C3" s="72">
        <v>576.29999999999984</v>
      </c>
      <c r="D3" s="73" t="s">
        <v>222</v>
      </c>
      <c r="E3" s="92">
        <v>13.1</v>
      </c>
      <c r="F3" s="73" t="s">
        <v>222</v>
      </c>
      <c r="G3" s="74">
        <v>1.5</v>
      </c>
      <c r="H3" s="73" t="s">
        <v>222</v>
      </c>
      <c r="I3" s="75">
        <v>0.5</v>
      </c>
      <c r="J3" s="73" t="s">
        <v>222</v>
      </c>
      <c r="K3" s="75">
        <v>0</v>
      </c>
      <c r="L3" s="73" t="s">
        <v>222</v>
      </c>
      <c r="M3" s="76">
        <v>0.46666666666666667</v>
      </c>
      <c r="N3" s="73" t="s">
        <v>222</v>
      </c>
      <c r="O3" s="76">
        <v>6.6666666666666666E-2</v>
      </c>
      <c r="P3" s="73" t="s">
        <v>177</v>
      </c>
      <c r="Q3" s="77">
        <v>10041.304347826086</v>
      </c>
      <c r="R3" s="73" t="s">
        <v>166</v>
      </c>
      <c r="S3" s="77">
        <v>-6742</v>
      </c>
      <c r="T3" s="73" t="s">
        <v>166</v>
      </c>
      <c r="U3" s="75">
        <v>0</v>
      </c>
      <c r="V3" s="73" t="s">
        <v>177</v>
      </c>
      <c r="W3" s="75">
        <v>0.17073170731707318</v>
      </c>
      <c r="X3" s="73" t="s">
        <v>177</v>
      </c>
      <c r="Y3" s="76">
        <v>0.30303030303030304</v>
      </c>
      <c r="Z3" s="73" t="s">
        <v>195</v>
      </c>
      <c r="AA3" s="76">
        <v>0.35483870967741937</v>
      </c>
      <c r="AB3" s="73" t="s">
        <v>181</v>
      </c>
      <c r="AC3" s="76">
        <v>0.625</v>
      </c>
      <c r="AD3" s="73" t="s">
        <v>222</v>
      </c>
      <c r="AE3" s="76">
        <v>1</v>
      </c>
      <c r="AF3" s="73" t="s">
        <v>181</v>
      </c>
      <c r="AG3" s="76">
        <v>0.53658536585365857</v>
      </c>
      <c r="AH3" s="73" t="s">
        <v>181</v>
      </c>
      <c r="AI3" s="87">
        <v>95200</v>
      </c>
    </row>
    <row r="4" spans="1:35" x14ac:dyDescent="0.4">
      <c r="A4" s="78">
        <v>2</v>
      </c>
      <c r="B4" s="79" t="s">
        <v>127</v>
      </c>
      <c r="C4" s="80">
        <v>380.79999999999984</v>
      </c>
      <c r="D4" s="81" t="s">
        <v>126</v>
      </c>
      <c r="E4" s="93">
        <v>7.5828947368421034</v>
      </c>
      <c r="F4" s="81" t="s">
        <v>126</v>
      </c>
      <c r="G4" s="82">
        <v>1.7763157894736843</v>
      </c>
      <c r="H4" s="81" t="s">
        <v>126</v>
      </c>
      <c r="I4" s="83">
        <v>0.47368421052631576</v>
      </c>
      <c r="J4" s="81" t="s">
        <v>126</v>
      </c>
      <c r="K4" s="83">
        <v>0.25</v>
      </c>
      <c r="L4" s="81" t="s">
        <v>126</v>
      </c>
      <c r="M4" s="84">
        <v>0.33658536585365856</v>
      </c>
      <c r="N4" s="81" t="s">
        <v>181</v>
      </c>
      <c r="O4" s="84">
        <v>0.13380281690140844</v>
      </c>
      <c r="P4" s="81" t="s">
        <v>127</v>
      </c>
      <c r="Q4" s="85">
        <v>8663</v>
      </c>
      <c r="R4" s="81" t="s">
        <v>181</v>
      </c>
      <c r="S4" s="85">
        <v>-6800</v>
      </c>
      <c r="T4" s="81" t="s">
        <v>222</v>
      </c>
      <c r="U4" s="83">
        <v>0</v>
      </c>
      <c r="V4" s="81" t="s">
        <v>181</v>
      </c>
      <c r="W4" s="83">
        <v>0.14285714285714285</v>
      </c>
      <c r="X4" s="81" t="s">
        <v>179</v>
      </c>
      <c r="Y4" s="84">
        <v>0.28678304239401498</v>
      </c>
      <c r="Z4" s="81" t="s">
        <v>222</v>
      </c>
      <c r="AA4" s="84">
        <v>0.33333333333333331</v>
      </c>
      <c r="AB4" s="81" t="s">
        <v>126</v>
      </c>
      <c r="AC4" s="84">
        <v>0.60897435897435892</v>
      </c>
      <c r="AD4" s="81" t="s">
        <v>177</v>
      </c>
      <c r="AE4" s="84">
        <v>0.46969696969696972</v>
      </c>
      <c r="AF4" s="81" t="s">
        <v>182</v>
      </c>
      <c r="AG4" s="84">
        <v>0.47916666666666669</v>
      </c>
      <c r="AH4" s="81" t="s">
        <v>143</v>
      </c>
      <c r="AI4" s="88">
        <v>95200</v>
      </c>
    </row>
    <row r="5" spans="1:35" x14ac:dyDescent="0.4">
      <c r="A5" s="78">
        <v>3</v>
      </c>
      <c r="B5" s="79" t="s">
        <v>177</v>
      </c>
      <c r="C5" s="80">
        <v>67.900000000000077</v>
      </c>
      <c r="D5" s="81" t="s">
        <v>127</v>
      </c>
      <c r="E5" s="93">
        <v>5.2164383561643817</v>
      </c>
      <c r="F5" s="81" t="s">
        <v>127</v>
      </c>
      <c r="G5" s="82">
        <v>1.8356164383561644</v>
      </c>
      <c r="H5" s="81" t="s">
        <v>127</v>
      </c>
      <c r="I5" s="83">
        <v>0.43835616438356162</v>
      </c>
      <c r="J5" s="81" t="s">
        <v>127</v>
      </c>
      <c r="K5" s="83">
        <v>0.27397260273972601</v>
      </c>
      <c r="L5" s="81" t="s">
        <v>127</v>
      </c>
      <c r="M5" s="84">
        <v>0.32102728731942215</v>
      </c>
      <c r="N5" s="81" t="s">
        <v>178</v>
      </c>
      <c r="O5" s="84">
        <v>0.13636363636363635</v>
      </c>
      <c r="P5" s="81" t="s">
        <v>178</v>
      </c>
      <c r="Q5" s="85">
        <v>8543.1034482758623</v>
      </c>
      <c r="R5" s="81" t="s">
        <v>179</v>
      </c>
      <c r="S5" s="85">
        <v>-7435.3658536585363</v>
      </c>
      <c r="T5" s="81" t="s">
        <v>126</v>
      </c>
      <c r="U5" s="83">
        <v>3.9473684210526314E-2</v>
      </c>
      <c r="V5" s="81" t="s">
        <v>195</v>
      </c>
      <c r="W5" s="83">
        <v>0.14285714285714285</v>
      </c>
      <c r="X5" s="81" t="s">
        <v>181</v>
      </c>
      <c r="Y5" s="84">
        <v>0.28169014084507044</v>
      </c>
      <c r="Z5" s="81" t="s">
        <v>127</v>
      </c>
      <c r="AA5" s="84">
        <v>0.3146067415730337</v>
      </c>
      <c r="AB5" s="81" t="s">
        <v>179</v>
      </c>
      <c r="AC5" s="84">
        <v>0.6</v>
      </c>
      <c r="AD5" s="81" t="s">
        <v>126</v>
      </c>
      <c r="AE5" s="84">
        <v>0.4689655172413793</v>
      </c>
      <c r="AF5" s="81" t="s">
        <v>177</v>
      </c>
      <c r="AG5" s="84">
        <v>0.47826086956521741</v>
      </c>
      <c r="AH5" s="81" t="s">
        <v>127</v>
      </c>
      <c r="AI5" s="88">
        <v>91800</v>
      </c>
    </row>
    <row r="6" spans="1:35" x14ac:dyDescent="0.4">
      <c r="A6" s="78">
        <v>4</v>
      </c>
      <c r="B6" s="79" t="s">
        <v>181</v>
      </c>
      <c r="C6" s="80">
        <v>49.900000000000006</v>
      </c>
      <c r="D6" s="81" t="s">
        <v>181</v>
      </c>
      <c r="E6" s="93">
        <v>3.5642857142857145</v>
      </c>
      <c r="F6" s="81" t="s">
        <v>177</v>
      </c>
      <c r="G6" s="82">
        <v>1.9268292682926829</v>
      </c>
      <c r="H6" s="81" t="s">
        <v>195</v>
      </c>
      <c r="I6" s="83">
        <v>0.42857142857142855</v>
      </c>
      <c r="J6" s="81" t="s">
        <v>178</v>
      </c>
      <c r="K6" s="83">
        <v>0.27450980392156865</v>
      </c>
      <c r="L6" s="81" t="s">
        <v>143</v>
      </c>
      <c r="M6" s="84">
        <v>0.29330771693884083</v>
      </c>
      <c r="N6" s="81" t="s">
        <v>126</v>
      </c>
      <c r="O6" s="84">
        <v>0.13983739837398373</v>
      </c>
      <c r="P6" s="81" t="s">
        <v>143</v>
      </c>
      <c r="Q6" s="85">
        <v>8241.7030567685597</v>
      </c>
      <c r="R6" s="81" t="s">
        <v>126</v>
      </c>
      <c r="S6" s="85">
        <v>-7533.7209302325582</v>
      </c>
      <c r="T6" s="81" t="s">
        <v>179</v>
      </c>
      <c r="U6" s="83">
        <v>4.2553191489361701E-2</v>
      </c>
      <c r="V6" s="81" t="s">
        <v>127</v>
      </c>
      <c r="W6" s="83">
        <v>0.1095890410958904</v>
      </c>
      <c r="X6" s="81" t="s">
        <v>222</v>
      </c>
      <c r="Y6" s="84">
        <v>0.26666666666666666</v>
      </c>
      <c r="Z6" s="81" t="s">
        <v>178</v>
      </c>
      <c r="AA6" s="84">
        <v>0.25119617224880381</v>
      </c>
      <c r="AB6" s="81" t="s">
        <v>178</v>
      </c>
      <c r="AC6" s="84">
        <v>0.58490566037735847</v>
      </c>
      <c r="AD6" s="81" t="s">
        <v>143</v>
      </c>
      <c r="AE6" s="84">
        <v>0.40720961281708945</v>
      </c>
      <c r="AF6" s="81" t="s">
        <v>166</v>
      </c>
      <c r="AG6" s="84">
        <v>0.45454545454545453</v>
      </c>
      <c r="AH6" s="81" t="s">
        <v>166</v>
      </c>
      <c r="AI6" s="88">
        <v>86900</v>
      </c>
    </row>
    <row r="7" spans="1:35" x14ac:dyDescent="0.4">
      <c r="A7" s="78">
        <v>5</v>
      </c>
      <c r="B7" s="79" t="s">
        <v>222</v>
      </c>
      <c r="C7" s="80">
        <v>26.2</v>
      </c>
      <c r="D7" s="81" t="s">
        <v>177</v>
      </c>
      <c r="E7" s="93">
        <v>1.6560975609756117</v>
      </c>
      <c r="F7" s="81" t="s">
        <v>181</v>
      </c>
      <c r="G7" s="82">
        <v>1.9285714285714286</v>
      </c>
      <c r="H7" s="81" t="s">
        <v>177</v>
      </c>
      <c r="I7" s="83">
        <v>0.3902439024390244</v>
      </c>
      <c r="J7" s="81" t="s">
        <v>181</v>
      </c>
      <c r="K7" s="83">
        <v>0.2857142857142857</v>
      </c>
      <c r="L7" s="81" t="s">
        <v>181</v>
      </c>
      <c r="M7" s="84">
        <v>0.28873239436619719</v>
      </c>
      <c r="N7" s="81" t="s">
        <v>166</v>
      </c>
      <c r="O7" s="84">
        <v>0.16181229773462782</v>
      </c>
      <c r="P7" s="81" t="s">
        <v>126</v>
      </c>
      <c r="Q7" s="85">
        <v>7849.7584541062806</v>
      </c>
      <c r="R7" s="81" t="s">
        <v>178</v>
      </c>
      <c r="S7" s="85">
        <v>-7705.2631578947367</v>
      </c>
      <c r="T7" s="81" t="s">
        <v>181</v>
      </c>
      <c r="U7" s="83">
        <v>7.1428571428571425E-2</v>
      </c>
      <c r="V7" s="81" t="s">
        <v>126</v>
      </c>
      <c r="W7" s="83">
        <v>0.10526315789473684</v>
      </c>
      <c r="X7" s="81" t="s">
        <v>126</v>
      </c>
      <c r="Y7" s="84">
        <v>0.25365853658536586</v>
      </c>
      <c r="Z7" s="81" t="s">
        <v>143</v>
      </c>
      <c r="AA7" s="84">
        <v>0.23983349343579891</v>
      </c>
      <c r="AB7" s="81" t="s">
        <v>182</v>
      </c>
      <c r="AC7" s="84">
        <v>0.5714285714285714</v>
      </c>
      <c r="AD7" s="81" t="s">
        <v>179</v>
      </c>
      <c r="AE7" s="84">
        <v>0.4</v>
      </c>
      <c r="AF7" s="81" t="s">
        <v>178</v>
      </c>
      <c r="AG7" s="84">
        <v>0.43965517241379309</v>
      </c>
      <c r="AH7" s="81" t="s">
        <v>178</v>
      </c>
      <c r="AI7" s="88">
        <v>86500</v>
      </c>
    </row>
    <row r="8" spans="1:35" x14ac:dyDescent="0.4">
      <c r="A8" s="78">
        <v>6</v>
      </c>
      <c r="B8" s="79" t="s">
        <v>143</v>
      </c>
      <c r="C8" s="80">
        <v>0</v>
      </c>
      <c r="D8" s="81" t="s">
        <v>143</v>
      </c>
      <c r="E8" s="93">
        <v>0</v>
      </c>
      <c r="F8" s="81" t="s">
        <v>143</v>
      </c>
      <c r="G8" s="82">
        <v>2</v>
      </c>
      <c r="H8" s="81" t="s">
        <v>181</v>
      </c>
      <c r="I8" s="83">
        <v>0.35714285714285715</v>
      </c>
      <c r="J8" s="81" t="s">
        <v>177</v>
      </c>
      <c r="K8" s="83">
        <v>0.31707317073170732</v>
      </c>
      <c r="L8" s="81" t="s">
        <v>179</v>
      </c>
      <c r="M8" s="84">
        <v>0.28179551122194513</v>
      </c>
      <c r="N8" s="81" t="s">
        <v>143</v>
      </c>
      <c r="O8" s="84">
        <v>0.16554594940762088</v>
      </c>
      <c r="P8" s="81" t="s">
        <v>181</v>
      </c>
      <c r="Q8" s="85">
        <v>7782.9268292682927</v>
      </c>
      <c r="R8" s="81" t="s">
        <v>143</v>
      </c>
      <c r="S8" s="85">
        <v>-7710.251450676983</v>
      </c>
      <c r="T8" s="81" t="s">
        <v>178</v>
      </c>
      <c r="U8" s="83">
        <v>7.8431372549019607E-2</v>
      </c>
      <c r="V8" s="81" t="s">
        <v>143</v>
      </c>
      <c r="W8" s="83">
        <v>9.1397849462365593E-2</v>
      </c>
      <c r="X8" s="81" t="s">
        <v>178</v>
      </c>
      <c r="Y8" s="84">
        <v>0.25358851674641147</v>
      </c>
      <c r="Z8" s="81" t="s">
        <v>126</v>
      </c>
      <c r="AA8" s="84">
        <v>0.23577235772357724</v>
      </c>
      <c r="AB8" s="81" t="s">
        <v>143</v>
      </c>
      <c r="AC8" s="84">
        <v>0.56640625</v>
      </c>
      <c r="AD8" s="81" t="s">
        <v>127</v>
      </c>
      <c r="AE8" s="84">
        <v>0.39795918367346939</v>
      </c>
      <c r="AF8" s="81" t="s">
        <v>143</v>
      </c>
      <c r="AG8" s="84">
        <v>0.42903930131004364</v>
      </c>
      <c r="AH8" s="81" t="s">
        <v>126</v>
      </c>
      <c r="AI8" s="88">
        <v>86200</v>
      </c>
    </row>
    <row r="9" spans="1:35" x14ac:dyDescent="0.4">
      <c r="A9" s="78">
        <v>7</v>
      </c>
      <c r="B9" s="79" t="s">
        <v>178</v>
      </c>
      <c r="C9" s="80">
        <v>-0.29999999999997673</v>
      </c>
      <c r="D9" s="81" t="s">
        <v>178</v>
      </c>
      <c r="E9" s="93">
        <v>-5.8823529411760143E-3</v>
      </c>
      <c r="F9" s="81" t="s">
        <v>178</v>
      </c>
      <c r="G9" s="82">
        <v>2.0784313725490198</v>
      </c>
      <c r="H9" s="81" t="s">
        <v>143</v>
      </c>
      <c r="I9" s="83">
        <v>0.33333333333333331</v>
      </c>
      <c r="J9" s="81" t="s">
        <v>143</v>
      </c>
      <c r="K9" s="83">
        <v>0.33333333333333331</v>
      </c>
      <c r="L9" s="81" t="s">
        <v>177</v>
      </c>
      <c r="M9" s="84">
        <v>0.27878787878787881</v>
      </c>
      <c r="N9" s="81" t="s">
        <v>177</v>
      </c>
      <c r="O9" s="84">
        <v>0.16666666666666666</v>
      </c>
      <c r="P9" s="81" t="s">
        <v>179</v>
      </c>
      <c r="Q9" s="85">
        <v>7690.2654867256633</v>
      </c>
      <c r="R9" s="81" t="s">
        <v>127</v>
      </c>
      <c r="S9" s="85">
        <v>-7725.8620689655172</v>
      </c>
      <c r="T9" s="81" t="s">
        <v>143</v>
      </c>
      <c r="U9" s="83">
        <v>9.1397849462365593E-2</v>
      </c>
      <c r="V9" s="81" t="s">
        <v>178</v>
      </c>
      <c r="W9" s="83">
        <v>7.8431372549019607E-2</v>
      </c>
      <c r="X9" s="81" t="s">
        <v>143</v>
      </c>
      <c r="Y9" s="84">
        <v>0.24591738712776176</v>
      </c>
      <c r="Z9" s="81" t="s">
        <v>166</v>
      </c>
      <c r="AA9" s="84">
        <v>0.22977346278317151</v>
      </c>
      <c r="AB9" s="81" t="s">
        <v>127</v>
      </c>
      <c r="AC9" s="84">
        <v>0.54929577464788737</v>
      </c>
      <c r="AD9" s="81" t="s">
        <v>178</v>
      </c>
      <c r="AE9" s="84">
        <v>0.38095238095238093</v>
      </c>
      <c r="AF9" s="81" t="s">
        <v>179</v>
      </c>
      <c r="AG9" s="84">
        <v>0.4247787610619469</v>
      </c>
      <c r="AH9" s="81" t="s">
        <v>182</v>
      </c>
      <c r="AI9" s="88">
        <v>85100</v>
      </c>
    </row>
    <row r="10" spans="1:35" x14ac:dyDescent="0.4">
      <c r="A10" s="78">
        <v>8</v>
      </c>
      <c r="B10" s="79" t="s">
        <v>195</v>
      </c>
      <c r="C10" s="80">
        <v>-104.80000000000001</v>
      </c>
      <c r="D10" s="81" t="s">
        <v>166</v>
      </c>
      <c r="E10" s="93">
        <v>-6.0171428571428578</v>
      </c>
      <c r="F10" s="81" t="s">
        <v>166</v>
      </c>
      <c r="G10" s="82">
        <v>2.1428571428571428</v>
      </c>
      <c r="H10" s="81" t="s">
        <v>166</v>
      </c>
      <c r="I10" s="83">
        <v>0.2857142857142857</v>
      </c>
      <c r="J10" s="81" t="s">
        <v>179</v>
      </c>
      <c r="K10" s="83">
        <v>0.42553191489361702</v>
      </c>
      <c r="L10" s="81" t="s">
        <v>178</v>
      </c>
      <c r="M10" s="84">
        <v>0.27751196172248804</v>
      </c>
      <c r="N10" s="81" t="s">
        <v>127</v>
      </c>
      <c r="O10" s="84">
        <v>0.18619582664526485</v>
      </c>
      <c r="P10" s="81" t="s">
        <v>182</v>
      </c>
      <c r="Q10" s="85">
        <v>7606.25</v>
      </c>
      <c r="R10" s="81" t="s">
        <v>222</v>
      </c>
      <c r="S10" s="85">
        <v>-8000</v>
      </c>
      <c r="T10" s="81" t="s">
        <v>177</v>
      </c>
      <c r="U10" s="83">
        <v>0.12195121951219512</v>
      </c>
      <c r="V10" s="81" t="s">
        <v>179</v>
      </c>
      <c r="W10" s="83">
        <v>4.2553191489361701E-2</v>
      </c>
      <c r="X10" s="81" t="s">
        <v>195</v>
      </c>
      <c r="Y10" s="84">
        <v>0.24193548387096775</v>
      </c>
      <c r="Z10" s="81" t="s">
        <v>182</v>
      </c>
      <c r="AA10" s="84">
        <v>0.20192307692307693</v>
      </c>
      <c r="AB10" s="81" t="s">
        <v>195</v>
      </c>
      <c r="AC10" s="84">
        <v>0.53333333333333333</v>
      </c>
      <c r="AD10" s="81" t="s">
        <v>182</v>
      </c>
      <c r="AE10" s="84">
        <v>0.35714285714285715</v>
      </c>
      <c r="AF10" s="81" t="s">
        <v>126</v>
      </c>
      <c r="AG10" s="84">
        <v>0.42028985507246375</v>
      </c>
      <c r="AH10" s="81" t="s">
        <v>177</v>
      </c>
      <c r="AI10" s="88">
        <v>83000</v>
      </c>
    </row>
    <row r="11" spans="1:35" x14ac:dyDescent="0.4">
      <c r="A11" s="78">
        <v>9</v>
      </c>
      <c r="B11" s="79" t="s">
        <v>166</v>
      </c>
      <c r="C11" s="80">
        <v>-210.60000000000002</v>
      </c>
      <c r="D11" s="81" t="s">
        <v>179</v>
      </c>
      <c r="E11" s="93">
        <v>-7.3659574468085092</v>
      </c>
      <c r="F11" s="81" t="s">
        <v>195</v>
      </c>
      <c r="G11" s="82">
        <v>2.1428571428571428</v>
      </c>
      <c r="H11" s="81" t="s">
        <v>178</v>
      </c>
      <c r="I11" s="83">
        <v>0.19607843137254902</v>
      </c>
      <c r="J11" s="81" t="s">
        <v>166</v>
      </c>
      <c r="K11" s="83">
        <v>0.42857142857142855</v>
      </c>
      <c r="L11" s="81" t="s">
        <v>166</v>
      </c>
      <c r="M11" s="84">
        <v>0.24919093851132687</v>
      </c>
      <c r="N11" s="81" t="s">
        <v>182</v>
      </c>
      <c r="O11" s="84">
        <v>0.1875</v>
      </c>
      <c r="P11" s="81" t="s">
        <v>195</v>
      </c>
      <c r="Q11" s="85">
        <v>7473.333333333333</v>
      </c>
      <c r="R11" s="81" t="s">
        <v>177</v>
      </c>
      <c r="S11" s="85">
        <v>-8589.0909090909099</v>
      </c>
      <c r="T11" s="81" t="s">
        <v>127</v>
      </c>
      <c r="U11" s="83">
        <v>0.13698630136986301</v>
      </c>
      <c r="V11" s="81" t="s">
        <v>182</v>
      </c>
      <c r="W11" s="83">
        <v>3.8461538461538464E-2</v>
      </c>
      <c r="X11" s="81" t="s">
        <v>127</v>
      </c>
      <c r="Y11" s="84">
        <v>0.22792937399678972</v>
      </c>
      <c r="Z11" s="81" t="s">
        <v>177</v>
      </c>
      <c r="AA11" s="84">
        <v>0.2</v>
      </c>
      <c r="AB11" s="81" t="s">
        <v>166</v>
      </c>
      <c r="AC11" s="84">
        <v>0.52083333333333337</v>
      </c>
      <c r="AD11" s="81" t="s">
        <v>166</v>
      </c>
      <c r="AE11" s="84">
        <v>0.352112676056338</v>
      </c>
      <c r="AF11" s="81" t="s">
        <v>127</v>
      </c>
      <c r="AG11" s="84">
        <v>0.38</v>
      </c>
      <c r="AH11" s="81" t="s">
        <v>179</v>
      </c>
      <c r="AI11" s="88">
        <v>69300</v>
      </c>
    </row>
    <row r="12" spans="1:35" x14ac:dyDescent="0.4">
      <c r="A12" s="78">
        <v>10</v>
      </c>
      <c r="B12" s="79" t="s">
        <v>179</v>
      </c>
      <c r="C12" s="80">
        <v>-346.19999999999993</v>
      </c>
      <c r="D12" s="81" t="s">
        <v>195</v>
      </c>
      <c r="E12" s="93">
        <v>-14.971428571428573</v>
      </c>
      <c r="F12" s="81" t="s">
        <v>179</v>
      </c>
      <c r="G12" s="82">
        <v>2.2340425531914891</v>
      </c>
      <c r="H12" s="81" t="s">
        <v>179</v>
      </c>
      <c r="I12" s="83">
        <v>0.19148936170212766</v>
      </c>
      <c r="J12" s="81" t="s">
        <v>195</v>
      </c>
      <c r="K12" s="83">
        <v>0.5714285714285714</v>
      </c>
      <c r="L12" s="81" t="s">
        <v>195</v>
      </c>
      <c r="M12" s="84">
        <v>0.24193548387096775</v>
      </c>
      <c r="N12" s="81" t="s">
        <v>195</v>
      </c>
      <c r="O12" s="84">
        <v>0.19354838709677419</v>
      </c>
      <c r="P12" s="81" t="s">
        <v>222</v>
      </c>
      <c r="Q12" s="85">
        <v>7385.7142857142853</v>
      </c>
      <c r="R12" s="81" t="s">
        <v>182</v>
      </c>
      <c r="S12" s="85">
        <v>-8656.4102564102559</v>
      </c>
      <c r="T12" s="81" t="s">
        <v>182</v>
      </c>
      <c r="U12" s="83">
        <v>0.19230769230769232</v>
      </c>
      <c r="V12" s="81" t="s">
        <v>166</v>
      </c>
      <c r="W12" s="83">
        <v>2.8571428571428571E-2</v>
      </c>
      <c r="X12" s="81" t="s">
        <v>182</v>
      </c>
      <c r="Y12" s="84">
        <v>0.20192307692307693</v>
      </c>
      <c r="Z12" s="81" t="s">
        <v>179</v>
      </c>
      <c r="AA12" s="84">
        <v>0.18703241895261846</v>
      </c>
      <c r="AB12" s="81" t="s">
        <v>222</v>
      </c>
      <c r="AC12" s="84">
        <v>0.5</v>
      </c>
      <c r="AD12" s="81" t="s">
        <v>181</v>
      </c>
      <c r="AE12" s="84">
        <v>0.31818181818181818</v>
      </c>
      <c r="AF12" s="81" t="s">
        <v>195</v>
      </c>
      <c r="AG12" s="84">
        <v>0.33333333333333331</v>
      </c>
      <c r="AH12" s="81" t="s">
        <v>195</v>
      </c>
      <c r="AI12" s="88">
        <v>59500</v>
      </c>
    </row>
    <row r="13" spans="1:35" x14ac:dyDescent="0.4">
      <c r="A13" s="78">
        <v>11</v>
      </c>
      <c r="B13" s="79" t="s">
        <v>182</v>
      </c>
      <c r="C13" s="80">
        <v>-439.2000000000001</v>
      </c>
      <c r="D13" s="81" t="s">
        <v>182</v>
      </c>
      <c r="E13" s="93">
        <v>-16.892307692307696</v>
      </c>
      <c r="F13" s="81" t="s">
        <v>182</v>
      </c>
      <c r="G13" s="82">
        <v>2.5</v>
      </c>
      <c r="H13" s="81" t="s">
        <v>182</v>
      </c>
      <c r="I13" s="83">
        <v>7.6923076923076927E-2</v>
      </c>
      <c r="J13" s="81" t="s">
        <v>182</v>
      </c>
      <c r="K13" s="83">
        <v>0.57692307692307687</v>
      </c>
      <c r="L13" s="81" t="s">
        <v>182</v>
      </c>
      <c r="M13" s="84">
        <v>0.23076923076923078</v>
      </c>
      <c r="N13" s="81" t="s">
        <v>179</v>
      </c>
      <c r="O13" s="84">
        <v>0.20448877805486285</v>
      </c>
      <c r="P13" s="81" t="s">
        <v>166</v>
      </c>
      <c r="Q13" s="85">
        <v>7274.0259740259744</v>
      </c>
      <c r="R13" s="81" t="s">
        <v>195</v>
      </c>
      <c r="S13" s="85">
        <v>-9075</v>
      </c>
      <c r="T13" s="81" t="s">
        <v>195</v>
      </c>
      <c r="U13" s="83">
        <v>0.5714285714285714</v>
      </c>
      <c r="V13" s="81" t="s">
        <v>222</v>
      </c>
      <c r="W13" s="83">
        <v>0</v>
      </c>
      <c r="X13" s="81" t="s">
        <v>166</v>
      </c>
      <c r="Y13" s="84">
        <v>0.1553398058252427</v>
      </c>
      <c r="Z13" s="81" t="s">
        <v>181</v>
      </c>
      <c r="AA13" s="84">
        <v>0.15492957746478872</v>
      </c>
      <c r="AB13" s="81" t="s">
        <v>177</v>
      </c>
      <c r="AC13" s="84">
        <v>0.47</v>
      </c>
      <c r="AD13" s="81" t="s">
        <v>195</v>
      </c>
      <c r="AE13" s="84">
        <v>0.27272727272727271</v>
      </c>
      <c r="AF13" s="81" t="s">
        <v>222</v>
      </c>
      <c r="AG13" s="84">
        <v>0.2857142857142857</v>
      </c>
      <c r="AH13" s="81" t="s">
        <v>222</v>
      </c>
      <c r="AI13" s="88">
        <v>52800</v>
      </c>
    </row>
  </sheetData>
  <sortState xmlns:xlrd2="http://schemas.microsoft.com/office/spreadsheetml/2017/richdata2" ref="AH3:AI41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73FFE-34BE-41FE-825D-20D545555E94}">
  <sheetPr codeName="Sheet4"/>
  <dimension ref="A1:Q374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143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372</v>
      </c>
      <c r="C2" s="151"/>
      <c r="E2" s="58" t="s">
        <v>66</v>
      </c>
      <c r="F2" s="55" t="s">
        <v>22</v>
      </c>
      <c r="G2" s="43">
        <v>708</v>
      </c>
      <c r="H2" s="128">
        <f>IF(B$17=0,0,G2/B$17)</f>
        <v>0.77292576419213976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-21.680216802168022</v>
      </c>
      <c r="P2" s="114">
        <v>369</v>
      </c>
      <c r="Q2" s="98">
        <v>-8000</v>
      </c>
    </row>
    <row r="3" spans="1:17" x14ac:dyDescent="0.4">
      <c r="A3" s="51" t="s">
        <v>8</v>
      </c>
      <c r="B3" s="152">
        <v>3123</v>
      </c>
      <c r="C3" s="153"/>
      <c r="E3" s="59" t="s">
        <v>72</v>
      </c>
      <c r="F3" s="56" t="s">
        <v>27</v>
      </c>
      <c r="G3" s="44">
        <v>495</v>
      </c>
      <c r="H3" s="129">
        <f>IF(B$17=0,0,G3/B$17)</f>
        <v>0.54039301310043664</v>
      </c>
      <c r="I3" s="90">
        <v>5</v>
      </c>
      <c r="K3" s="36">
        <v>1</v>
      </c>
      <c r="L3" s="95">
        <v>-4.5999999999999996</v>
      </c>
      <c r="N3" s="111" t="s">
        <v>131</v>
      </c>
      <c r="O3" s="118">
        <f t="shared" si="0"/>
        <v>14.005602240896359</v>
      </c>
      <c r="P3" s="115">
        <v>357</v>
      </c>
      <c r="Q3" s="99">
        <v>5000</v>
      </c>
    </row>
    <row r="4" spans="1:17" x14ac:dyDescent="0.4">
      <c r="A4" s="51" t="s">
        <v>6</v>
      </c>
      <c r="B4" s="154">
        <v>0</v>
      </c>
      <c r="C4" s="155"/>
      <c r="E4" s="59" t="s">
        <v>64</v>
      </c>
      <c r="F4" s="56" t="s">
        <v>20</v>
      </c>
      <c r="G4" s="44">
        <v>418</v>
      </c>
      <c r="H4" s="129">
        <f>IF(B$17=0,0,G4/B$17)</f>
        <v>0.45633187772925765</v>
      </c>
      <c r="I4" s="90">
        <v>7</v>
      </c>
      <c r="K4" s="36">
        <v>2</v>
      </c>
      <c r="L4" s="95">
        <v>45.6</v>
      </c>
      <c r="N4" s="111" t="s">
        <v>132</v>
      </c>
      <c r="O4" s="118">
        <f t="shared" si="0"/>
        <v>-28.985507246376812</v>
      </c>
      <c r="P4" s="115">
        <v>345</v>
      </c>
      <c r="Q4" s="99">
        <v>-10000</v>
      </c>
    </row>
    <row r="5" spans="1:17" x14ac:dyDescent="0.4">
      <c r="A5" s="51" t="s">
        <v>7</v>
      </c>
      <c r="B5" s="156">
        <f>IF(B$2=0,0,B$4/B$2)</f>
        <v>0</v>
      </c>
      <c r="C5" s="157"/>
      <c r="E5" s="59" t="s">
        <v>171</v>
      </c>
      <c r="F5" s="56" t="s">
        <v>172</v>
      </c>
      <c r="G5" s="44">
        <v>355</v>
      </c>
      <c r="H5" s="129">
        <f>IF(B$17=0,0,G5/B$17)</f>
        <v>0.38755458515283842</v>
      </c>
      <c r="I5" s="90">
        <v>5</v>
      </c>
      <c r="K5" s="36">
        <v>3</v>
      </c>
      <c r="L5" s="95">
        <v>0</v>
      </c>
      <c r="N5" s="111" t="s">
        <v>133</v>
      </c>
      <c r="O5" s="118">
        <f t="shared" si="0"/>
        <v>21.604938271604937</v>
      </c>
      <c r="P5" s="115">
        <v>324</v>
      </c>
      <c r="Q5" s="99">
        <v>7000</v>
      </c>
    </row>
    <row r="6" spans="1:17" x14ac:dyDescent="0.4">
      <c r="A6" s="51" t="s">
        <v>1</v>
      </c>
      <c r="B6" s="146">
        <f>IF(B$2=0,0,(B$7*1+B$8*2+B$9*3)/B$2)</f>
        <v>2</v>
      </c>
      <c r="C6" s="147"/>
      <c r="E6" s="59" t="s">
        <v>68</v>
      </c>
      <c r="F6" s="56" t="s">
        <v>12</v>
      </c>
      <c r="G6" s="44">
        <v>284</v>
      </c>
      <c r="H6" s="129">
        <f>IF(B$17=0,0,G6/B$17)</f>
        <v>0.31004366812227074</v>
      </c>
      <c r="I6" s="90">
        <v>7</v>
      </c>
      <c r="K6" s="36">
        <v>4</v>
      </c>
      <c r="L6" s="95">
        <v>24.5</v>
      </c>
      <c r="N6" s="111" t="s">
        <v>134</v>
      </c>
      <c r="O6" s="118">
        <f t="shared" si="0"/>
        <v>16.33986928104575</v>
      </c>
      <c r="P6" s="115">
        <v>306</v>
      </c>
      <c r="Q6" s="99">
        <v>5000</v>
      </c>
    </row>
    <row r="7" spans="1:17" x14ac:dyDescent="0.4">
      <c r="A7" s="51" t="s">
        <v>2</v>
      </c>
      <c r="B7" s="44">
        <v>124</v>
      </c>
      <c r="C7" s="37">
        <f t="shared" ref="C7:C12" si="1">IF(B$2=0,0,B7/B$2)</f>
        <v>0.33333333333333331</v>
      </c>
      <c r="E7" s="59" t="s">
        <v>67</v>
      </c>
      <c r="F7" s="56" t="s">
        <v>23</v>
      </c>
      <c r="G7" s="44">
        <v>272</v>
      </c>
      <c r="H7" s="129">
        <f>IF(B$17=0,0,G7/B$17)</f>
        <v>0.29694323144104806</v>
      </c>
      <c r="I7" s="90">
        <v>7</v>
      </c>
      <c r="K7" s="36">
        <v>5</v>
      </c>
      <c r="L7" s="95">
        <v>-11.299999999999997</v>
      </c>
      <c r="N7" s="112" t="s">
        <v>135</v>
      </c>
      <c r="O7" s="119">
        <f t="shared" si="0"/>
        <v>4.0160642570281126</v>
      </c>
      <c r="P7" s="116">
        <v>249</v>
      </c>
      <c r="Q7" s="100">
        <v>1000</v>
      </c>
    </row>
    <row r="8" spans="1:17" x14ac:dyDescent="0.4">
      <c r="A8" s="51" t="s">
        <v>3</v>
      </c>
      <c r="B8" s="44">
        <v>124</v>
      </c>
      <c r="C8" s="37">
        <f t="shared" si="1"/>
        <v>0.33333333333333331</v>
      </c>
      <c r="E8" s="59" t="s">
        <v>69</v>
      </c>
      <c r="F8" s="56" t="s">
        <v>24</v>
      </c>
      <c r="G8" s="44">
        <v>132</v>
      </c>
      <c r="H8" s="129">
        <f>IF(B$17=0,0,G8/B$17)</f>
        <v>0.14410480349344978</v>
      </c>
      <c r="I8" s="90">
        <v>4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124</v>
      </c>
      <c r="C9" s="38">
        <f t="shared" si="1"/>
        <v>0.33333333333333331</v>
      </c>
      <c r="E9" s="59" t="s">
        <v>89</v>
      </c>
      <c r="F9" s="56" t="s">
        <v>44</v>
      </c>
      <c r="G9" s="44">
        <v>123</v>
      </c>
      <c r="H9" s="129">
        <f>IF(B$17=0,0,G9/B$17)</f>
        <v>0.13427947598253276</v>
      </c>
      <c r="I9" s="90">
        <v>5</v>
      </c>
      <c r="K9" s="36">
        <v>7</v>
      </c>
      <c r="L9" s="95">
        <v>-37.799999999999997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34</v>
      </c>
      <c r="C10" s="38">
        <f t="shared" si="1"/>
        <v>9.1397849462365593E-2</v>
      </c>
      <c r="E10" s="59" t="s">
        <v>65</v>
      </c>
      <c r="F10" s="56" t="s">
        <v>21</v>
      </c>
      <c r="G10" s="44">
        <v>86</v>
      </c>
      <c r="H10" s="129">
        <f>IF(B$17=0,0,G10/B$17)</f>
        <v>9.3886462882096067E-2</v>
      </c>
      <c r="I10" s="90">
        <v>6</v>
      </c>
      <c r="K10" s="36">
        <v>8</v>
      </c>
      <c r="L10" s="95">
        <v>-46.9</v>
      </c>
      <c r="N10" s="110" t="s">
        <v>162</v>
      </c>
      <c r="O10" s="120">
        <f>IF(P10=0,0,Q10/P10)</f>
        <v>0.59354838709677349</v>
      </c>
      <c r="P10" s="114">
        <v>124</v>
      </c>
      <c r="Q10" s="102">
        <v>73.599999999999909</v>
      </c>
    </row>
    <row r="11" spans="1:17" x14ac:dyDescent="0.4">
      <c r="A11" s="52" t="s">
        <v>138</v>
      </c>
      <c r="B11" s="45">
        <v>34</v>
      </c>
      <c r="C11" s="38">
        <f t="shared" si="1"/>
        <v>9.1397849462365593E-2</v>
      </c>
      <c r="E11" s="59" t="s">
        <v>70</v>
      </c>
      <c r="F11" s="56" t="s">
        <v>25</v>
      </c>
      <c r="G11" s="44">
        <v>83</v>
      </c>
      <c r="H11" s="129">
        <f>IF(B$17=0,0,G11/B$17)</f>
        <v>9.0611353711790396E-2</v>
      </c>
      <c r="I11" s="90">
        <v>5</v>
      </c>
      <c r="K11" s="36">
        <v>9</v>
      </c>
      <c r="L11" s="95">
        <v>0</v>
      </c>
      <c r="N11" s="111" t="s">
        <v>163</v>
      </c>
      <c r="O11" s="121">
        <f>IF(P11=0,0,Q11/P11)</f>
        <v>0.60967741935483899</v>
      </c>
      <c r="P11" s="115">
        <v>124</v>
      </c>
      <c r="Q11" s="103">
        <v>75.600000000000037</v>
      </c>
    </row>
    <row r="12" spans="1:17" x14ac:dyDescent="0.4">
      <c r="A12" s="53" t="s">
        <v>158</v>
      </c>
      <c r="B12" s="46">
        <v>36</v>
      </c>
      <c r="C12" s="40">
        <f t="shared" si="1"/>
        <v>9.6774193548387094E-2</v>
      </c>
      <c r="E12" s="59" t="s">
        <v>71</v>
      </c>
      <c r="F12" s="56" t="s">
        <v>26</v>
      </c>
      <c r="G12" s="44">
        <v>71</v>
      </c>
      <c r="H12" s="129">
        <f>IF(B$17=0,0,G12/B$17)</f>
        <v>7.7510917030567686E-2</v>
      </c>
      <c r="I12" s="90">
        <v>7</v>
      </c>
      <c r="K12" s="36">
        <v>10</v>
      </c>
      <c r="L12" s="95">
        <v>-12</v>
      </c>
      <c r="N12" s="112" t="s">
        <v>164</v>
      </c>
      <c r="O12" s="122">
        <f>IF(P12=0,0,Q12/P12)</f>
        <v>-1.203225806451613</v>
      </c>
      <c r="P12" s="116">
        <v>124</v>
      </c>
      <c r="Q12" s="104">
        <v>-149.20000000000002</v>
      </c>
    </row>
    <row r="13" spans="1:17" x14ac:dyDescent="0.4">
      <c r="A13" s="54" t="s">
        <v>121</v>
      </c>
      <c r="B13" s="47">
        <v>768</v>
      </c>
      <c r="C13" s="42">
        <f>IF(B$3=0,0,B13/B$3)</f>
        <v>0.24591738712776176</v>
      </c>
      <c r="E13" s="59" t="s">
        <v>83</v>
      </c>
      <c r="F13" s="56" t="s">
        <v>38</v>
      </c>
      <c r="G13" s="44">
        <v>53</v>
      </c>
      <c r="H13" s="129">
        <f>IF(B$17=0,0,G13/B$17)</f>
        <v>5.7860262008733628E-2</v>
      </c>
      <c r="I13" s="90">
        <v>7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749</v>
      </c>
      <c r="C14" s="37">
        <f>IF(B$3=0,0,B14/B$3)</f>
        <v>0.23983349343579891</v>
      </c>
      <c r="E14" s="59" t="s">
        <v>86</v>
      </c>
      <c r="F14" s="56" t="s">
        <v>41</v>
      </c>
      <c r="G14" s="44">
        <v>41</v>
      </c>
      <c r="H14" s="129">
        <f>IF(B$17=0,0,G14/B$17)</f>
        <v>4.4759825327510917E-2</v>
      </c>
      <c r="I14" s="90">
        <v>5</v>
      </c>
      <c r="K14" s="36">
        <v>12</v>
      </c>
      <c r="L14" s="95">
        <v>0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435</v>
      </c>
      <c r="C15" s="35">
        <f>IF(B$13=0,0,B15/B$13)</f>
        <v>0.56640625</v>
      </c>
      <c r="E15" s="59" t="s">
        <v>78</v>
      </c>
      <c r="F15" s="56" t="s">
        <v>33</v>
      </c>
      <c r="G15" s="44">
        <v>22</v>
      </c>
      <c r="H15" s="129">
        <f>IF(B$17=0,0,G15/B$17)</f>
        <v>2.4017467248908297E-2</v>
      </c>
      <c r="I15" s="90">
        <v>6</v>
      </c>
      <c r="K15" s="36">
        <v>13</v>
      </c>
      <c r="L15" s="95">
        <v>-1.7</v>
      </c>
      <c r="N15" s="110" t="s">
        <v>182</v>
      </c>
      <c r="O15" s="120">
        <f>IF(P15=0,0,Q15/P15)</f>
        <v>25.338461538461534</v>
      </c>
      <c r="P15" s="114">
        <v>52</v>
      </c>
      <c r="Q15" s="102">
        <v>1317.5999999999997</v>
      </c>
    </row>
    <row r="16" spans="1:17" x14ac:dyDescent="0.4">
      <c r="A16" s="50" t="s">
        <v>124</v>
      </c>
      <c r="B16" s="43">
        <v>305</v>
      </c>
      <c r="C16" s="35">
        <f>IF(B$14=0,0,B16/B$14)</f>
        <v>0.40720961281708945</v>
      </c>
      <c r="E16" s="59" t="s">
        <v>167</v>
      </c>
      <c r="F16" s="56" t="s">
        <v>168</v>
      </c>
      <c r="G16" s="44">
        <v>17</v>
      </c>
      <c r="H16" s="129">
        <f>IF(B$17=0,0,G16/B$17)</f>
        <v>1.8558951965065504E-2</v>
      </c>
      <c r="I16" s="90">
        <v>5</v>
      </c>
      <c r="K16" s="36">
        <v>14</v>
      </c>
      <c r="L16" s="95">
        <v>24.3</v>
      </c>
      <c r="N16" s="111" t="s">
        <v>195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">
      <c r="A17" s="50" t="s">
        <v>10</v>
      </c>
      <c r="B17" s="43">
        <f>B19+B18</f>
        <v>916</v>
      </c>
      <c r="C17" s="35">
        <f>IF(B$3=0,0,B17/B$3)</f>
        <v>0.29330771693884083</v>
      </c>
      <c r="E17" s="59" t="s">
        <v>81</v>
      </c>
      <c r="F17" s="56" t="s">
        <v>36</v>
      </c>
      <c r="G17" s="44">
        <v>16</v>
      </c>
      <c r="H17" s="129">
        <f>IF(B$17=0,0,G17/B$17)</f>
        <v>1.7467248908296942E-2</v>
      </c>
      <c r="I17" s="90">
        <v>6</v>
      </c>
      <c r="K17" s="36">
        <v>15</v>
      </c>
      <c r="L17" s="95">
        <v>0</v>
      </c>
      <c r="N17" s="111" t="s">
        <v>179</v>
      </c>
      <c r="O17" s="121">
        <f>IF(P17=0,0,Q17/P17)</f>
        <v>11.048936170212773</v>
      </c>
      <c r="P17" s="115">
        <v>94</v>
      </c>
      <c r="Q17" s="103">
        <v>1038.6000000000006</v>
      </c>
    </row>
    <row r="18" spans="1:17" x14ac:dyDescent="0.4">
      <c r="A18" s="51" t="s">
        <v>12</v>
      </c>
      <c r="B18" s="44">
        <v>393</v>
      </c>
      <c r="C18" s="37">
        <f>IF(B$17=0,0,B18/B$17)</f>
        <v>0.42903930131004364</v>
      </c>
      <c r="E18" s="59" t="s">
        <v>79</v>
      </c>
      <c r="F18" s="56" t="s">
        <v>34</v>
      </c>
      <c r="G18" s="44">
        <v>13</v>
      </c>
      <c r="H18" s="129">
        <f>IF(B$17=0,0,G18/B$17)</f>
        <v>1.4192139737991267E-2</v>
      </c>
      <c r="I18" s="90">
        <v>5</v>
      </c>
      <c r="K18" s="36">
        <v>16</v>
      </c>
      <c r="L18" s="95">
        <v>-28.2</v>
      </c>
      <c r="N18" s="111" t="s">
        <v>166</v>
      </c>
      <c r="O18" s="121">
        <f>IF(P18=0,0,Q18/P18)</f>
        <v>9.0257142857142849</v>
      </c>
      <c r="P18" s="115">
        <v>70</v>
      </c>
      <c r="Q18" s="103">
        <v>631.79999999999995</v>
      </c>
    </row>
    <row r="19" spans="1:17" x14ac:dyDescent="0.4">
      <c r="A19" s="51" t="s">
        <v>11</v>
      </c>
      <c r="B19" s="44">
        <v>523</v>
      </c>
      <c r="C19" s="37">
        <f>IF(B$17=0,0,B19/B$17)</f>
        <v>0.57096069868995636</v>
      </c>
      <c r="E19" s="59" t="s">
        <v>91</v>
      </c>
      <c r="F19" s="56" t="s">
        <v>46</v>
      </c>
      <c r="G19" s="44">
        <v>13</v>
      </c>
      <c r="H19" s="129">
        <f>IF(B$17=0,0,G19/B$17)</f>
        <v>1.4192139737991267E-2</v>
      </c>
      <c r="I19" s="90">
        <v>3</v>
      </c>
      <c r="K19" s="36">
        <v>17</v>
      </c>
      <c r="L19" s="95">
        <v>-20.5</v>
      </c>
      <c r="N19" s="111" t="s">
        <v>178</v>
      </c>
      <c r="O19" s="121">
        <f>IF(P19=0,0,Q19/P19)</f>
        <v>8.8235294117639512E-3</v>
      </c>
      <c r="P19" s="115">
        <v>102</v>
      </c>
      <c r="Q19" s="103">
        <v>0.89999999999992308</v>
      </c>
    </row>
    <row r="20" spans="1:17" x14ac:dyDescent="0.4">
      <c r="A20" s="51" t="s">
        <v>13</v>
      </c>
      <c r="B20" s="44">
        <v>517</v>
      </c>
      <c r="C20" s="37">
        <f>IF(B$3=0,0,B20/B$3)</f>
        <v>0.16554594940762088</v>
      </c>
      <c r="E20" s="59" t="s">
        <v>75</v>
      </c>
      <c r="F20" s="56" t="s">
        <v>30</v>
      </c>
      <c r="G20" s="44">
        <v>6</v>
      </c>
      <c r="H20" s="129">
        <f>IF(B$17=0,0,G20/B$17)</f>
        <v>6.5502183406113534E-3</v>
      </c>
      <c r="I20" s="90">
        <v>5</v>
      </c>
      <c r="K20" s="36">
        <v>18</v>
      </c>
      <c r="L20" s="95">
        <v>0</v>
      </c>
      <c r="N20" s="111" t="s">
        <v>177</v>
      </c>
      <c r="O20" s="121">
        <f>IF(P20=0,0,Q20/P20)</f>
        <v>-2.4841463414634117</v>
      </c>
      <c r="P20" s="115">
        <v>82</v>
      </c>
      <c r="Q20" s="103">
        <v>-203.69999999999976</v>
      </c>
    </row>
    <row r="21" spans="1:17" x14ac:dyDescent="0.4">
      <c r="A21" s="51" t="s">
        <v>169</v>
      </c>
      <c r="B21" s="44">
        <v>7</v>
      </c>
      <c r="C21" s="131">
        <v>0</v>
      </c>
      <c r="E21" s="59" t="s">
        <v>92</v>
      </c>
      <c r="F21" s="56" t="s">
        <v>47</v>
      </c>
      <c r="G21" s="44">
        <v>6</v>
      </c>
      <c r="H21" s="129">
        <f>IF(B$17=0,0,G21/B$17)</f>
        <v>6.5502183406113534E-3</v>
      </c>
      <c r="I21" s="90">
        <v>3</v>
      </c>
      <c r="K21" s="36">
        <v>19</v>
      </c>
      <c r="L21" s="95">
        <v>-22.4</v>
      </c>
      <c r="N21" s="111" t="s">
        <v>181</v>
      </c>
      <c r="O21" s="121">
        <f>IF(P21=0,0,Q21/P21)</f>
        <v>-5.3464285714285724</v>
      </c>
      <c r="P21" s="115">
        <v>28</v>
      </c>
      <c r="Q21" s="103">
        <v>-149.70000000000002</v>
      </c>
    </row>
    <row r="22" spans="1:17" x14ac:dyDescent="0.4">
      <c r="A22" s="51" t="s">
        <v>170</v>
      </c>
      <c r="B22" s="44">
        <v>26</v>
      </c>
      <c r="C22" s="131">
        <v>23</v>
      </c>
      <c r="E22" s="59" t="s">
        <v>74</v>
      </c>
      <c r="F22" s="56" t="s">
        <v>29</v>
      </c>
      <c r="G22" s="44">
        <v>5</v>
      </c>
      <c r="H22" s="129">
        <f>IF(B$17=0,0,G22/B$17)</f>
        <v>5.4585152838427945E-3</v>
      </c>
      <c r="I22" s="90">
        <v>4</v>
      </c>
      <c r="K22" s="36">
        <v>20</v>
      </c>
      <c r="L22" s="95">
        <v>-61.199999999999996</v>
      </c>
      <c r="N22" s="111" t="s">
        <v>127</v>
      </c>
      <c r="O22" s="121">
        <f>IF(P22=0,0,Q22/P22)</f>
        <v>-7.8246575342465849</v>
      </c>
      <c r="P22" s="115">
        <v>146</v>
      </c>
      <c r="Q22" s="103">
        <v>-1142.4000000000015</v>
      </c>
    </row>
    <row r="23" spans="1:17" x14ac:dyDescent="0.4">
      <c r="A23" s="51" t="s">
        <v>5</v>
      </c>
      <c r="B23" s="48">
        <f>IF(B$17=0,0,C23/B$17)</f>
        <v>8241.7030567685597</v>
      </c>
      <c r="C23" s="39">
        <v>7549400</v>
      </c>
      <c r="E23" s="59" t="s">
        <v>77</v>
      </c>
      <c r="F23" s="56" t="s">
        <v>32</v>
      </c>
      <c r="G23" s="44">
        <v>4</v>
      </c>
      <c r="H23" s="129">
        <f>IF(B$17=0,0,G23/B$17)</f>
        <v>4.3668122270742356E-3</v>
      </c>
      <c r="I23" s="90">
        <v>3</v>
      </c>
      <c r="K23" s="36">
        <v>21</v>
      </c>
      <c r="L23" s="95">
        <v>7.1054273576010019E-15</v>
      </c>
      <c r="N23" s="111" t="s">
        <v>126</v>
      </c>
      <c r="O23" s="121">
        <f>IF(P23=0,0,Q23/P23)</f>
        <v>-11.374342105263148</v>
      </c>
      <c r="P23" s="115">
        <v>152</v>
      </c>
      <c r="Q23" s="103">
        <v>-1728.8999999999985</v>
      </c>
    </row>
    <row r="24" spans="1:17" x14ac:dyDescent="0.4">
      <c r="A24" s="52" t="s">
        <v>216</v>
      </c>
      <c r="B24" s="136">
        <f>IF($B$17-B$16=0,0,C24/($B$17-B$16))</f>
        <v>8706.3829787234044</v>
      </c>
      <c r="C24" s="137">
        <v>5319600</v>
      </c>
      <c r="E24" s="59" t="s">
        <v>84</v>
      </c>
      <c r="F24" s="56" t="s">
        <v>39</v>
      </c>
      <c r="G24" s="44">
        <v>4</v>
      </c>
      <c r="H24" s="129">
        <f>IF(B$17=0,0,G24/B$17)</f>
        <v>4.3668122270742356E-3</v>
      </c>
      <c r="I24" s="90">
        <v>3</v>
      </c>
      <c r="K24" s="36">
        <v>22</v>
      </c>
      <c r="L24" s="95">
        <v>-25.099999999999994</v>
      </c>
      <c r="N24" s="111" t="s">
        <v>222</v>
      </c>
      <c r="O24" s="121">
        <f>IF(P24=0,0,Q24/P24)</f>
        <v>-19.650000000000006</v>
      </c>
      <c r="P24" s="115">
        <v>4</v>
      </c>
      <c r="Q24" s="103">
        <v>-78.600000000000023</v>
      </c>
    </row>
    <row r="25" spans="1:17" x14ac:dyDescent="0.4">
      <c r="A25" s="52" t="s">
        <v>217</v>
      </c>
      <c r="B25" s="136">
        <f>IF(B$16=0,0,C25/B$16)</f>
        <v>7310.8196721311479</v>
      </c>
      <c r="C25" s="137">
        <v>2229800</v>
      </c>
      <c r="E25" s="59" t="s">
        <v>85</v>
      </c>
      <c r="F25" s="56" t="s">
        <v>40</v>
      </c>
      <c r="G25" s="44">
        <v>4</v>
      </c>
      <c r="H25" s="129">
        <f>IF(B$17=0,0,G25/B$17)</f>
        <v>4.3668122270742356E-3</v>
      </c>
      <c r="I25" s="90">
        <v>5</v>
      </c>
      <c r="K25" s="36">
        <v>23</v>
      </c>
      <c r="L25" s="95">
        <v>-26.799999999999994</v>
      </c>
    </row>
    <row r="26" spans="1:17" x14ac:dyDescent="0.4">
      <c r="A26" s="52" t="s">
        <v>215</v>
      </c>
      <c r="B26" s="136">
        <f>IF(B$20=0,0,C26/B$20)</f>
        <v>-7710.251450676983</v>
      </c>
      <c r="C26" s="137">
        <v>-3986200</v>
      </c>
      <c r="E26" s="59" t="s">
        <v>88</v>
      </c>
      <c r="F26" s="56" t="s">
        <v>43</v>
      </c>
      <c r="G26" s="44">
        <v>4</v>
      </c>
      <c r="H26" s="129">
        <f>IF(B$17=0,0,G26/B$17)</f>
        <v>4.3668122270742356E-3</v>
      </c>
      <c r="I26" s="90">
        <v>3</v>
      </c>
      <c r="K26" s="36">
        <v>24</v>
      </c>
      <c r="L26" s="95">
        <v>7.1054273576010019E-15</v>
      </c>
    </row>
    <row r="27" spans="1:17" x14ac:dyDescent="0.4">
      <c r="A27" s="86" t="s">
        <v>140</v>
      </c>
      <c r="B27" s="144">
        <v>8</v>
      </c>
      <c r="C27" s="145"/>
      <c r="E27" s="59" t="s">
        <v>90</v>
      </c>
      <c r="F27" s="56" t="s">
        <v>45</v>
      </c>
      <c r="G27" s="44">
        <v>2</v>
      </c>
      <c r="H27" s="129">
        <f>IF(B$17=0,0,G27/B$17)</f>
        <v>2.1834061135371178E-3</v>
      </c>
      <c r="I27" s="90">
        <v>3</v>
      </c>
      <c r="K27" s="36">
        <v>25</v>
      </c>
      <c r="L27" s="95">
        <v>15.000000000000007</v>
      </c>
    </row>
    <row r="28" spans="1:17" x14ac:dyDescent="0.4">
      <c r="A28" s="54" t="s">
        <v>150</v>
      </c>
      <c r="B28" s="142">
        <v>95200</v>
      </c>
      <c r="C28" s="143"/>
      <c r="E28" s="59" t="s">
        <v>95</v>
      </c>
      <c r="F28" s="56" t="s">
        <v>50</v>
      </c>
      <c r="G28" s="44">
        <v>2</v>
      </c>
      <c r="H28" s="129">
        <f>IF(B$17=0,0,G28/B$17)</f>
        <v>2.1834061135371178E-3</v>
      </c>
      <c r="I28" s="90">
        <v>3</v>
      </c>
      <c r="K28" s="36">
        <v>26</v>
      </c>
      <c r="L28" s="95">
        <v>0.60000000000000675</v>
      </c>
    </row>
    <row r="29" spans="1:17" x14ac:dyDescent="0.4">
      <c r="A29" s="53" t="s">
        <v>141</v>
      </c>
      <c r="B29" s="61">
        <v>12</v>
      </c>
      <c r="C29" s="40">
        <f>IF(B$3=0,0,B29/B$3)</f>
        <v>3.8424591738712775E-3</v>
      </c>
      <c r="E29" s="59" t="s">
        <v>73</v>
      </c>
      <c r="F29" s="56" t="s">
        <v>28</v>
      </c>
      <c r="G29" s="44">
        <v>1</v>
      </c>
      <c r="H29" s="129">
        <f>IF(B$17=0,0,G29/B$17)</f>
        <v>1.0917030567685589E-3</v>
      </c>
      <c r="I29" s="90">
        <v>2</v>
      </c>
      <c r="K29" s="36">
        <v>27</v>
      </c>
      <c r="L29" s="95">
        <v>6.7723604502134549E-15</v>
      </c>
    </row>
    <row r="30" spans="1:17" x14ac:dyDescent="0.4">
      <c r="E30" s="59" t="s">
        <v>87</v>
      </c>
      <c r="F30" s="56" t="s">
        <v>42</v>
      </c>
      <c r="G30" s="44">
        <v>1</v>
      </c>
      <c r="H30" s="129">
        <f>IF(B$17=0,0,G30/B$17)</f>
        <v>1.0917030567685589E-3</v>
      </c>
      <c r="I30" s="90">
        <v>2</v>
      </c>
      <c r="K30" s="36">
        <v>28</v>
      </c>
      <c r="L30" s="95">
        <v>-30.199999999999992</v>
      </c>
    </row>
    <row r="31" spans="1:17" x14ac:dyDescent="0.4">
      <c r="E31" s="59" t="s">
        <v>93</v>
      </c>
      <c r="F31" s="56" t="s">
        <v>48</v>
      </c>
      <c r="G31" s="44">
        <v>1</v>
      </c>
      <c r="H31" s="129">
        <f>IF(B$17=0,0,G31/B$17)</f>
        <v>1.0917030567685589E-3</v>
      </c>
      <c r="I31" s="90">
        <v>2</v>
      </c>
      <c r="K31" s="36">
        <v>29</v>
      </c>
      <c r="L31" s="95">
        <v>-2.3999999999999915</v>
      </c>
    </row>
    <row r="32" spans="1:17" x14ac:dyDescent="0.4">
      <c r="E32" s="59" t="s">
        <v>101</v>
      </c>
      <c r="F32" s="56" t="s">
        <v>56</v>
      </c>
      <c r="G32" s="44">
        <v>1</v>
      </c>
      <c r="H32" s="129">
        <f>IF(B$17=0,0,G32/B$17)</f>
        <v>1.0917030567685589E-3</v>
      </c>
      <c r="I32" s="90">
        <v>2</v>
      </c>
      <c r="K32" s="36">
        <v>30</v>
      </c>
      <c r="L32" s="95">
        <v>8.4376949871511897E-15</v>
      </c>
    </row>
    <row r="33" spans="5:12" x14ac:dyDescent="0.4">
      <c r="E33" s="59" t="s">
        <v>76</v>
      </c>
      <c r="F33" s="56" t="s">
        <v>31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12.500000000000009</v>
      </c>
    </row>
    <row r="34" spans="5:12" x14ac:dyDescent="0.4">
      <c r="E34" s="59" t="s">
        <v>80</v>
      </c>
      <c r="F34" s="56" t="s">
        <v>35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47.300000000000004</v>
      </c>
    </row>
    <row r="35" spans="5:12" x14ac:dyDescent="0.4">
      <c r="E35" s="59" t="s">
        <v>82</v>
      </c>
      <c r="F35" s="56" t="s">
        <v>37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7.1054273576010019E-15</v>
      </c>
    </row>
    <row r="36" spans="5:12" x14ac:dyDescent="0.4">
      <c r="E36" s="59" t="s">
        <v>94</v>
      </c>
      <c r="F36" s="56" t="s">
        <v>49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-5.8999999999999932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26.900000000000006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7.1054273576010019E-15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17.400000000000006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-5.2999999999999936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6.2172489379008766E-15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10.300000000000008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-26.999999999999989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1.0658141036401503E-14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-20.899999999999988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0.30000000000001137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1.1379786002407855E-14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  <row r="285" spans="11:12" x14ac:dyDescent="0.4">
      <c r="K285" s="36">
        <v>283</v>
      </c>
      <c r="L285" s="95">
        <v>6.7999999999999856</v>
      </c>
    </row>
    <row r="286" spans="11:12" x14ac:dyDescent="0.4">
      <c r="K286" s="36">
        <v>284</v>
      </c>
      <c r="L286" s="95">
        <v>-24.500000000000014</v>
      </c>
    </row>
    <row r="287" spans="11:12" x14ac:dyDescent="0.4">
      <c r="K287" s="36">
        <v>285</v>
      </c>
      <c r="L287" s="95">
        <v>-1.4210854715202004E-14</v>
      </c>
    </row>
    <row r="288" spans="11:12" x14ac:dyDescent="0.4">
      <c r="K288" s="36">
        <v>286</v>
      </c>
      <c r="L288" s="95">
        <v>6.7999999999999856</v>
      </c>
    </row>
    <row r="289" spans="11:12" x14ac:dyDescent="0.4">
      <c r="K289" s="36">
        <v>287</v>
      </c>
      <c r="L289" s="95">
        <v>31.599999999999987</v>
      </c>
    </row>
    <row r="290" spans="11:12" x14ac:dyDescent="0.4">
      <c r="K290" s="36">
        <v>288</v>
      </c>
      <c r="L290" s="95">
        <v>-1.4210854715202004E-14</v>
      </c>
    </row>
    <row r="291" spans="11:12" x14ac:dyDescent="0.4">
      <c r="K291" s="36">
        <v>289</v>
      </c>
      <c r="L291" s="95">
        <v>-16.100000000000016</v>
      </c>
    </row>
    <row r="292" spans="11:12" x14ac:dyDescent="0.4">
      <c r="K292" s="36">
        <v>290</v>
      </c>
      <c r="L292" s="95">
        <v>26.899999999999984</v>
      </c>
    </row>
    <row r="293" spans="11:12" x14ac:dyDescent="0.4">
      <c r="K293" s="36">
        <v>291</v>
      </c>
      <c r="L293" s="95">
        <v>-1.4210854715202004E-14</v>
      </c>
    </row>
    <row r="294" spans="11:12" x14ac:dyDescent="0.4">
      <c r="K294" s="36">
        <v>292</v>
      </c>
      <c r="L294" s="95">
        <v>6.5999999999999854</v>
      </c>
    </row>
    <row r="295" spans="11:12" x14ac:dyDescent="0.4">
      <c r="K295" s="36">
        <v>293</v>
      </c>
      <c r="L295" s="95">
        <v>28.799999999999983</v>
      </c>
    </row>
    <row r="296" spans="11:12" x14ac:dyDescent="0.4">
      <c r="K296" s="36">
        <v>294</v>
      </c>
      <c r="L296" s="95">
        <v>-1.7763568394002505E-14</v>
      </c>
    </row>
    <row r="297" spans="11:12" x14ac:dyDescent="0.4">
      <c r="K297" s="36">
        <v>295</v>
      </c>
      <c r="L297" s="95">
        <v>4.3999999999999826</v>
      </c>
    </row>
    <row r="298" spans="11:12" x14ac:dyDescent="0.4">
      <c r="K298" s="36">
        <v>296</v>
      </c>
      <c r="L298" s="95">
        <v>20.299999999999983</v>
      </c>
    </row>
    <row r="299" spans="11:12" x14ac:dyDescent="0.4">
      <c r="K299" s="36">
        <v>297</v>
      </c>
      <c r="L299" s="95">
        <v>-1.7763568394002505E-14</v>
      </c>
    </row>
    <row r="300" spans="11:12" x14ac:dyDescent="0.4">
      <c r="K300" s="36">
        <v>298</v>
      </c>
      <c r="L300" s="95">
        <v>18.299999999999983</v>
      </c>
    </row>
    <row r="301" spans="11:12" x14ac:dyDescent="0.4">
      <c r="K301" s="36">
        <v>299</v>
      </c>
      <c r="L301" s="95">
        <v>16.699999999999982</v>
      </c>
    </row>
    <row r="302" spans="11:12" x14ac:dyDescent="0.4">
      <c r="K302" s="36">
        <v>300</v>
      </c>
      <c r="L302" s="95">
        <v>-1.7763568394002505E-14</v>
      </c>
    </row>
    <row r="303" spans="11:12" x14ac:dyDescent="0.4">
      <c r="K303" s="36">
        <v>301</v>
      </c>
      <c r="L303" s="95">
        <v>19.199999999999982</v>
      </c>
    </row>
    <row r="304" spans="11:12" x14ac:dyDescent="0.4">
      <c r="K304" s="36">
        <v>302</v>
      </c>
      <c r="L304" s="95">
        <v>27.799999999999983</v>
      </c>
    </row>
    <row r="305" spans="11:12" x14ac:dyDescent="0.4">
      <c r="K305" s="36">
        <v>303</v>
      </c>
      <c r="L305" s="95">
        <v>-1.7763568394002505E-14</v>
      </c>
    </row>
    <row r="306" spans="11:12" x14ac:dyDescent="0.4">
      <c r="K306" s="36">
        <v>304</v>
      </c>
      <c r="L306" s="95">
        <v>12.399999999999983</v>
      </c>
    </row>
    <row r="307" spans="11:12" x14ac:dyDescent="0.4">
      <c r="K307" s="36">
        <v>305</v>
      </c>
      <c r="L307" s="95">
        <v>12.999999999999982</v>
      </c>
    </row>
    <row r="308" spans="11:12" x14ac:dyDescent="0.4">
      <c r="K308" s="36">
        <v>306</v>
      </c>
      <c r="L308" s="95">
        <v>-1.7763568394002505E-14</v>
      </c>
    </row>
    <row r="309" spans="11:12" x14ac:dyDescent="0.4">
      <c r="K309" s="36">
        <v>307</v>
      </c>
      <c r="L309" s="95">
        <v>61.499999999999986</v>
      </c>
    </row>
    <row r="310" spans="11:12" x14ac:dyDescent="0.4">
      <c r="K310" s="36">
        <v>308</v>
      </c>
      <c r="L310" s="95">
        <v>8.7999999999999829</v>
      </c>
    </row>
    <row r="311" spans="11:12" x14ac:dyDescent="0.4">
      <c r="K311" s="36">
        <v>309</v>
      </c>
      <c r="L311" s="95">
        <v>-1.7763568394002505E-14</v>
      </c>
    </row>
    <row r="312" spans="11:12" x14ac:dyDescent="0.4">
      <c r="K312" s="36">
        <v>310</v>
      </c>
      <c r="L312" s="95">
        <v>-2.0000000000000178</v>
      </c>
    </row>
    <row r="313" spans="11:12" x14ac:dyDescent="0.4">
      <c r="K313" s="36">
        <v>311</v>
      </c>
      <c r="L313" s="95">
        <v>35.199999999999989</v>
      </c>
    </row>
    <row r="314" spans="11:12" x14ac:dyDescent="0.4">
      <c r="K314" s="36">
        <v>312</v>
      </c>
      <c r="L314" s="95">
        <v>-1.4210854715202004E-14</v>
      </c>
    </row>
    <row r="315" spans="11:12" x14ac:dyDescent="0.4">
      <c r="K315" s="36">
        <v>313</v>
      </c>
      <c r="L315" s="95">
        <v>30.499999999999986</v>
      </c>
    </row>
    <row r="316" spans="11:12" x14ac:dyDescent="0.4">
      <c r="K316" s="36">
        <v>314</v>
      </c>
      <c r="L316" s="95">
        <v>34.899999999999984</v>
      </c>
    </row>
    <row r="317" spans="11:12" x14ac:dyDescent="0.4">
      <c r="K317" s="36">
        <v>315</v>
      </c>
      <c r="L317" s="95">
        <v>-1.4210854715202004E-14</v>
      </c>
    </row>
    <row r="318" spans="11:12" x14ac:dyDescent="0.4">
      <c r="K318" s="36">
        <v>316</v>
      </c>
      <c r="L318" s="95">
        <v>12.199999999999985</v>
      </c>
    </row>
    <row r="319" spans="11:12" x14ac:dyDescent="0.4">
      <c r="K319" s="36">
        <v>317</v>
      </c>
      <c r="L319" s="95">
        <v>-40.600000000000009</v>
      </c>
    </row>
    <row r="320" spans="11:12" x14ac:dyDescent="0.4">
      <c r="K320" s="36">
        <v>318</v>
      </c>
      <c r="L320" s="95">
        <v>-7.1054273576010019E-15</v>
      </c>
    </row>
    <row r="321" spans="11:12" x14ac:dyDescent="0.4">
      <c r="K321" s="36">
        <v>319</v>
      </c>
      <c r="L321" s="95">
        <v>32.399999999999991</v>
      </c>
    </row>
    <row r="322" spans="11:12" x14ac:dyDescent="0.4">
      <c r="K322" s="36">
        <v>320</v>
      </c>
      <c r="L322" s="95">
        <v>47.999999999999993</v>
      </c>
    </row>
    <row r="323" spans="11:12" x14ac:dyDescent="0.4">
      <c r="K323" s="36">
        <v>321</v>
      </c>
      <c r="L323" s="95">
        <v>-7.1054273576010019E-15</v>
      </c>
    </row>
    <row r="324" spans="11:12" x14ac:dyDescent="0.4">
      <c r="K324" s="36">
        <v>322</v>
      </c>
      <c r="L324" s="95">
        <v>55.099999999999994</v>
      </c>
    </row>
    <row r="325" spans="11:12" x14ac:dyDescent="0.4">
      <c r="K325" s="36">
        <v>323</v>
      </c>
      <c r="L325" s="95">
        <v>35.099999999999994</v>
      </c>
    </row>
    <row r="326" spans="11:12" x14ac:dyDescent="0.4">
      <c r="K326" s="36">
        <v>324</v>
      </c>
      <c r="L326" s="95">
        <v>-7.1054273576010019E-15</v>
      </c>
    </row>
    <row r="327" spans="11:12" x14ac:dyDescent="0.4">
      <c r="K327" s="36">
        <v>325</v>
      </c>
      <c r="L327" s="95">
        <v>40.899999999999991</v>
      </c>
    </row>
    <row r="328" spans="11:12" x14ac:dyDescent="0.4">
      <c r="K328" s="36">
        <v>326</v>
      </c>
      <c r="L328" s="95">
        <v>31.699999999999992</v>
      </c>
    </row>
    <row r="329" spans="11:12" x14ac:dyDescent="0.4">
      <c r="K329" s="36">
        <v>327</v>
      </c>
      <c r="L329" s="95">
        <v>-7.1054273576010019E-15</v>
      </c>
    </row>
    <row r="330" spans="11:12" x14ac:dyDescent="0.4">
      <c r="K330" s="36">
        <v>328</v>
      </c>
      <c r="L330" s="95">
        <v>-1.400000000000007</v>
      </c>
    </row>
    <row r="331" spans="11:12" x14ac:dyDescent="0.4">
      <c r="K331" s="36">
        <v>329</v>
      </c>
      <c r="L331" s="95">
        <v>-18.400000000000006</v>
      </c>
    </row>
    <row r="332" spans="11:12" x14ac:dyDescent="0.4">
      <c r="K332" s="36">
        <v>330</v>
      </c>
      <c r="L332" s="95">
        <v>-7.1054273576010019E-15</v>
      </c>
    </row>
    <row r="333" spans="11:12" x14ac:dyDescent="0.4">
      <c r="K333" s="36">
        <v>331</v>
      </c>
      <c r="L333" s="95">
        <v>-8.7000000000000064</v>
      </c>
    </row>
    <row r="334" spans="11:12" x14ac:dyDescent="0.4">
      <c r="K334" s="36">
        <v>332</v>
      </c>
      <c r="L334" s="95">
        <v>-35.500000000000007</v>
      </c>
    </row>
    <row r="335" spans="11:12" x14ac:dyDescent="0.4">
      <c r="K335" s="36">
        <v>333</v>
      </c>
      <c r="L335" s="95">
        <v>-7.1054273576010019E-15</v>
      </c>
    </row>
    <row r="336" spans="11:12" x14ac:dyDescent="0.4">
      <c r="K336" s="36">
        <v>334</v>
      </c>
      <c r="L336" s="95">
        <v>28.799999999999994</v>
      </c>
    </row>
    <row r="337" spans="11:12" x14ac:dyDescent="0.4">
      <c r="K337" s="36">
        <v>335</v>
      </c>
      <c r="L337" s="95">
        <v>41.399999999999991</v>
      </c>
    </row>
    <row r="338" spans="11:12" x14ac:dyDescent="0.4">
      <c r="K338" s="36">
        <v>336</v>
      </c>
      <c r="L338" s="95">
        <v>-7.1054273576010019E-15</v>
      </c>
    </row>
    <row r="339" spans="11:12" x14ac:dyDescent="0.4">
      <c r="K339" s="36">
        <v>337</v>
      </c>
      <c r="L339" s="95">
        <v>12.599999999999993</v>
      </c>
    </row>
    <row r="340" spans="11:12" x14ac:dyDescent="0.4">
      <c r="K340" s="36">
        <v>338</v>
      </c>
      <c r="L340" s="95">
        <v>-28.700000000000003</v>
      </c>
    </row>
    <row r="341" spans="11:12" x14ac:dyDescent="0.4">
      <c r="K341" s="36">
        <v>339</v>
      </c>
      <c r="L341" s="95">
        <v>-3.5527136788005009E-15</v>
      </c>
    </row>
    <row r="342" spans="11:12" x14ac:dyDescent="0.4">
      <c r="K342" s="36">
        <v>340</v>
      </c>
      <c r="L342" s="95">
        <v>14.899999999999997</v>
      </c>
    </row>
    <row r="343" spans="11:12" x14ac:dyDescent="0.4">
      <c r="K343" s="36">
        <v>341</v>
      </c>
      <c r="L343" s="95">
        <v>42.699999999999996</v>
      </c>
    </row>
    <row r="344" spans="11:12" x14ac:dyDescent="0.4">
      <c r="K344" s="36">
        <v>342</v>
      </c>
      <c r="L344" s="95">
        <v>-7.1054273576010019E-15</v>
      </c>
    </row>
    <row r="345" spans="11:12" x14ac:dyDescent="0.4">
      <c r="K345" s="36">
        <v>343</v>
      </c>
      <c r="L345" s="95">
        <v>-24.000000000000007</v>
      </c>
    </row>
    <row r="346" spans="11:12" x14ac:dyDescent="0.4">
      <c r="K346" s="36">
        <v>344</v>
      </c>
      <c r="L346" s="95">
        <v>-25.600000000000009</v>
      </c>
    </row>
    <row r="347" spans="11:12" x14ac:dyDescent="0.4">
      <c r="K347" s="36">
        <v>345</v>
      </c>
      <c r="L347" s="95">
        <v>-7.1054273576010019E-15</v>
      </c>
    </row>
    <row r="348" spans="11:12" x14ac:dyDescent="0.4">
      <c r="K348" s="36">
        <v>346</v>
      </c>
      <c r="L348" s="95">
        <v>3.9999999999999929</v>
      </c>
    </row>
    <row r="349" spans="11:12" x14ac:dyDescent="0.4">
      <c r="K349" s="36">
        <v>347</v>
      </c>
      <c r="L349" s="95">
        <v>-24.100000000000009</v>
      </c>
    </row>
    <row r="350" spans="11:12" x14ac:dyDescent="0.4">
      <c r="K350" s="36">
        <v>348</v>
      </c>
      <c r="L350" s="95">
        <v>-7.1054273576010019E-15</v>
      </c>
    </row>
    <row r="351" spans="11:12" x14ac:dyDescent="0.4">
      <c r="K351" s="36">
        <v>349</v>
      </c>
      <c r="L351" s="95">
        <v>-4.5000000000000071</v>
      </c>
    </row>
    <row r="352" spans="11:12" x14ac:dyDescent="0.4">
      <c r="K352" s="36">
        <v>350</v>
      </c>
      <c r="L352" s="95">
        <v>-34.500000000000007</v>
      </c>
    </row>
    <row r="353" spans="11:12" x14ac:dyDescent="0.4">
      <c r="K353" s="36">
        <v>351</v>
      </c>
      <c r="L353" s="95">
        <v>-7.1054273576010019E-15</v>
      </c>
    </row>
    <row r="354" spans="11:12" x14ac:dyDescent="0.4">
      <c r="K354" s="36">
        <v>352</v>
      </c>
      <c r="L354" s="95">
        <v>-30.500000000000007</v>
      </c>
    </row>
    <row r="355" spans="11:12" x14ac:dyDescent="0.4">
      <c r="K355" s="36">
        <v>353</v>
      </c>
      <c r="L355" s="95">
        <v>-33.800000000000004</v>
      </c>
    </row>
    <row r="356" spans="11:12" x14ac:dyDescent="0.4">
      <c r="K356" s="36">
        <v>354</v>
      </c>
      <c r="L356" s="95">
        <v>-7.1054273576010019E-15</v>
      </c>
    </row>
    <row r="357" spans="11:12" x14ac:dyDescent="0.4">
      <c r="K357" s="36">
        <v>355</v>
      </c>
      <c r="L357" s="95">
        <v>-31.300000000000008</v>
      </c>
    </row>
    <row r="358" spans="11:12" x14ac:dyDescent="0.4">
      <c r="K358" s="36">
        <v>356</v>
      </c>
      <c r="L358" s="95">
        <v>-6.5000000000000071</v>
      </c>
    </row>
    <row r="359" spans="11:12" x14ac:dyDescent="0.4">
      <c r="K359" s="36">
        <v>357</v>
      </c>
      <c r="L359" s="95">
        <v>-7.1054273576010019E-15</v>
      </c>
    </row>
    <row r="360" spans="11:12" x14ac:dyDescent="0.4">
      <c r="K360" s="36">
        <v>358</v>
      </c>
      <c r="L360" s="95">
        <v>-22.400000000000006</v>
      </c>
    </row>
    <row r="361" spans="11:12" x14ac:dyDescent="0.4">
      <c r="K361" s="36">
        <v>359</v>
      </c>
      <c r="L361" s="95">
        <v>3.0999999999999943</v>
      </c>
    </row>
    <row r="362" spans="11:12" x14ac:dyDescent="0.4">
      <c r="K362" s="36">
        <v>360</v>
      </c>
      <c r="L362" s="95">
        <v>-5.773159728050814E-15</v>
      </c>
    </row>
    <row r="363" spans="11:12" x14ac:dyDescent="0.4">
      <c r="K363" s="36">
        <v>361</v>
      </c>
      <c r="L363" s="95">
        <v>1.2999999999999943</v>
      </c>
    </row>
    <row r="364" spans="11:12" x14ac:dyDescent="0.4">
      <c r="K364" s="36">
        <v>362</v>
      </c>
      <c r="L364" s="95">
        <v>26.099999999999994</v>
      </c>
    </row>
    <row r="365" spans="11:12" x14ac:dyDescent="0.4">
      <c r="K365" s="36">
        <v>363</v>
      </c>
      <c r="L365" s="95">
        <v>-7.1054273576010019E-15</v>
      </c>
    </row>
    <row r="366" spans="11:12" x14ac:dyDescent="0.4">
      <c r="K366" s="36">
        <v>364</v>
      </c>
      <c r="L366" s="95">
        <v>5.5999999999999925</v>
      </c>
    </row>
    <row r="367" spans="11:12" x14ac:dyDescent="0.4">
      <c r="K367" s="36">
        <v>365</v>
      </c>
      <c r="L367" s="95">
        <v>-19.400000000000006</v>
      </c>
    </row>
    <row r="368" spans="11:12" x14ac:dyDescent="0.4">
      <c r="K368" s="36">
        <v>366</v>
      </c>
      <c r="L368" s="95">
        <v>-7.1054273576010019E-15</v>
      </c>
    </row>
    <row r="369" spans="11:12" x14ac:dyDescent="0.4">
      <c r="K369" s="36">
        <v>367</v>
      </c>
      <c r="L369" s="95">
        <v>14.799999999999994</v>
      </c>
    </row>
    <row r="370" spans="11:12" x14ac:dyDescent="0.4">
      <c r="K370" s="36">
        <v>368</v>
      </c>
      <c r="L370" s="95">
        <v>14.199999999999994</v>
      </c>
    </row>
    <row r="371" spans="11:12" x14ac:dyDescent="0.4">
      <c r="K371" s="36">
        <v>369</v>
      </c>
      <c r="L371" s="95">
        <v>-5.3290705182007514E-15</v>
      </c>
    </row>
    <row r="372" spans="11:12" x14ac:dyDescent="0.4">
      <c r="K372" s="36">
        <v>370</v>
      </c>
      <c r="L372" s="95">
        <v>-42.300000000000004</v>
      </c>
    </row>
    <row r="373" spans="11:12" x14ac:dyDescent="0.4">
      <c r="K373" s="36">
        <v>371</v>
      </c>
      <c r="L373" s="95">
        <v>-49.1</v>
      </c>
    </row>
    <row r="374" spans="11:12" x14ac:dyDescent="0.4">
      <c r="K374" s="36">
        <v>372</v>
      </c>
      <c r="L374" s="95">
        <v>0</v>
      </c>
    </row>
  </sheetData>
  <sortState xmlns:xlrd2="http://schemas.microsoft.com/office/spreadsheetml/2017/richdata2" ref="N15:Q24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76CA9-F46F-4E29-B03C-6214AF9B1FE5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166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35</v>
      </c>
      <c r="C2" s="151"/>
      <c r="E2" s="58" t="s">
        <v>66</v>
      </c>
      <c r="F2" s="55" t="s">
        <v>22</v>
      </c>
      <c r="G2" s="43">
        <v>51</v>
      </c>
      <c r="H2" s="128">
        <f>IF(B$17=0,0,G2/B$17)</f>
        <v>0.66233766233766234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1711.4285714285713</v>
      </c>
      <c r="P2" s="114">
        <v>35</v>
      </c>
      <c r="Q2" s="98">
        <v>59900</v>
      </c>
    </row>
    <row r="3" spans="1:17" x14ac:dyDescent="0.4">
      <c r="A3" s="51" t="s">
        <v>8</v>
      </c>
      <c r="B3" s="152">
        <v>309</v>
      </c>
      <c r="C3" s="153"/>
      <c r="E3" s="59" t="s">
        <v>72</v>
      </c>
      <c r="F3" s="56" t="s">
        <v>27</v>
      </c>
      <c r="G3" s="44">
        <v>40</v>
      </c>
      <c r="H3" s="129">
        <f>IF(B$17=0,0,G3/B$17)</f>
        <v>0.51948051948051943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-1258.8235294117646</v>
      </c>
      <c r="P3" s="115">
        <v>34</v>
      </c>
      <c r="Q3" s="99">
        <v>-42800</v>
      </c>
    </row>
    <row r="4" spans="1:17" x14ac:dyDescent="0.4">
      <c r="A4" s="51" t="s">
        <v>6</v>
      </c>
      <c r="B4" s="154">
        <v>-210.60000000000002</v>
      </c>
      <c r="C4" s="155"/>
      <c r="E4" s="59" t="s">
        <v>171</v>
      </c>
      <c r="F4" s="56" t="s">
        <v>172</v>
      </c>
      <c r="G4" s="44">
        <v>32</v>
      </c>
      <c r="H4" s="129">
        <f>IF(B$17=0,0,G4/B$17)</f>
        <v>0.41558441558441561</v>
      </c>
      <c r="I4" s="90">
        <v>3</v>
      </c>
      <c r="K4" s="36">
        <v>2</v>
      </c>
      <c r="L4" s="95">
        <v>19.899999999999999</v>
      </c>
      <c r="N4" s="111" t="s">
        <v>132</v>
      </c>
      <c r="O4" s="118">
        <f t="shared" si="0"/>
        <v>251.5151515151515</v>
      </c>
      <c r="P4" s="115">
        <v>33</v>
      </c>
      <c r="Q4" s="99">
        <v>8300</v>
      </c>
    </row>
    <row r="5" spans="1:17" x14ac:dyDescent="0.4">
      <c r="A5" s="51" t="s">
        <v>7</v>
      </c>
      <c r="B5" s="156">
        <f>IF(B$2=0,0,B$4/B$2)</f>
        <v>-6.0171428571428578</v>
      </c>
      <c r="C5" s="157"/>
      <c r="E5" s="59" t="s">
        <v>68</v>
      </c>
      <c r="F5" s="56" t="s">
        <v>12</v>
      </c>
      <c r="G5" s="44">
        <v>24</v>
      </c>
      <c r="H5" s="129">
        <f>IF(B$17=0,0,G5/B$17)</f>
        <v>0.31168831168831168</v>
      </c>
      <c r="I5" s="90">
        <v>6</v>
      </c>
      <c r="K5" s="36">
        <v>3</v>
      </c>
      <c r="L5" s="95">
        <v>-8.3000000000000007</v>
      </c>
      <c r="N5" s="111" t="s">
        <v>133</v>
      </c>
      <c r="O5" s="118">
        <f t="shared" si="0"/>
        <v>-2663.6363636363635</v>
      </c>
      <c r="P5" s="115">
        <v>33</v>
      </c>
      <c r="Q5" s="99">
        <v>-87900</v>
      </c>
    </row>
    <row r="6" spans="1:17" x14ac:dyDescent="0.4">
      <c r="A6" s="51" t="s">
        <v>1</v>
      </c>
      <c r="B6" s="146">
        <f>IF(B$2=0,0,(B$7*1+B$8*2+B$9*3)/B$2)</f>
        <v>2.1428571428571428</v>
      </c>
      <c r="C6" s="147"/>
      <c r="E6" s="59" t="s">
        <v>64</v>
      </c>
      <c r="F6" s="56" t="s">
        <v>20</v>
      </c>
      <c r="G6" s="44">
        <v>23</v>
      </c>
      <c r="H6" s="129">
        <f>IF(B$17=0,0,G6/B$17)</f>
        <v>0.29870129870129869</v>
      </c>
      <c r="I6" s="90">
        <v>10</v>
      </c>
      <c r="K6" s="36">
        <v>4</v>
      </c>
      <c r="L6" s="95">
        <v>-30.7</v>
      </c>
      <c r="N6" s="111" t="s">
        <v>134</v>
      </c>
      <c r="O6" s="118">
        <f t="shared" si="0"/>
        <v>-1227.2727272727273</v>
      </c>
      <c r="P6" s="115">
        <v>33</v>
      </c>
      <c r="Q6" s="99">
        <v>-40500</v>
      </c>
    </row>
    <row r="7" spans="1:17" x14ac:dyDescent="0.4">
      <c r="A7" s="51" t="s">
        <v>2</v>
      </c>
      <c r="B7" s="44">
        <v>10</v>
      </c>
      <c r="C7" s="37">
        <f t="shared" ref="C7:C12" si="1">IF(B$2=0,0,B7/B$2)</f>
        <v>0.2857142857142857</v>
      </c>
      <c r="E7" s="59" t="s">
        <v>69</v>
      </c>
      <c r="F7" s="56" t="s">
        <v>24</v>
      </c>
      <c r="G7" s="44">
        <v>19</v>
      </c>
      <c r="H7" s="129">
        <f>IF(B$17=0,0,G7/B$17)</f>
        <v>0.24675324675324675</v>
      </c>
      <c r="I7" s="90">
        <v>1</v>
      </c>
      <c r="K7" s="36">
        <v>5</v>
      </c>
      <c r="L7" s="95">
        <v>-55.8</v>
      </c>
      <c r="N7" s="112" t="s">
        <v>135</v>
      </c>
      <c r="O7" s="119">
        <f t="shared" si="0"/>
        <v>-2125</v>
      </c>
      <c r="P7" s="116">
        <v>28</v>
      </c>
      <c r="Q7" s="100">
        <v>-59500</v>
      </c>
    </row>
    <row r="8" spans="1:17" x14ac:dyDescent="0.4">
      <c r="A8" s="51" t="s">
        <v>3</v>
      </c>
      <c r="B8" s="44">
        <v>10</v>
      </c>
      <c r="C8" s="37">
        <f t="shared" si="1"/>
        <v>0.2857142857142857</v>
      </c>
      <c r="E8" s="59" t="s">
        <v>70</v>
      </c>
      <c r="F8" s="56" t="s">
        <v>25</v>
      </c>
      <c r="G8" s="44">
        <v>12</v>
      </c>
      <c r="H8" s="129">
        <f>IF(B$17=0,0,G8/B$17)</f>
        <v>0.15584415584415584</v>
      </c>
      <c r="I8" s="90">
        <v>2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15</v>
      </c>
      <c r="C9" s="38">
        <f t="shared" si="1"/>
        <v>0.42857142857142855</v>
      </c>
      <c r="E9" s="59" t="s">
        <v>67</v>
      </c>
      <c r="F9" s="56" t="s">
        <v>23</v>
      </c>
      <c r="G9" s="44">
        <v>10</v>
      </c>
      <c r="H9" s="129">
        <f>IF(B$17=0,0,G9/B$17)</f>
        <v>0.12987012987012986</v>
      </c>
      <c r="I9" s="90">
        <v>11</v>
      </c>
      <c r="K9" s="36">
        <v>7</v>
      </c>
      <c r="L9" s="95">
        <v>-71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71</v>
      </c>
      <c r="F10" s="56" t="s">
        <v>26</v>
      </c>
      <c r="G10" s="44">
        <v>8</v>
      </c>
      <c r="H10" s="129">
        <f>IF(B$17=0,0,G10/B$17)</f>
        <v>0.1038961038961039</v>
      </c>
      <c r="I10" s="90">
        <v>4</v>
      </c>
      <c r="K10" s="36">
        <v>8</v>
      </c>
      <c r="L10" s="95">
        <v>-76.900000000000006</v>
      </c>
      <c r="N10" s="110" t="s">
        <v>162</v>
      </c>
      <c r="O10" s="120">
        <f>IF(P10=0,0,Q10/P10)</f>
        <v>-0.71666666666666623</v>
      </c>
      <c r="P10" s="114">
        <v>12</v>
      </c>
      <c r="Q10" s="102">
        <v>-8.5999999999999943</v>
      </c>
    </row>
    <row r="11" spans="1:17" x14ac:dyDescent="0.4">
      <c r="A11" s="52" t="s">
        <v>138</v>
      </c>
      <c r="B11" s="45">
        <v>1</v>
      </c>
      <c r="C11" s="38">
        <f t="shared" si="1"/>
        <v>2.8571428571428571E-2</v>
      </c>
      <c r="E11" s="59" t="s">
        <v>83</v>
      </c>
      <c r="F11" s="56" t="s">
        <v>38</v>
      </c>
      <c r="G11" s="44">
        <v>8</v>
      </c>
      <c r="H11" s="129">
        <f>IF(B$17=0,0,G11/B$17)</f>
        <v>0.1038961038961039</v>
      </c>
      <c r="I11" s="90">
        <v>2</v>
      </c>
      <c r="K11" s="36">
        <v>9</v>
      </c>
      <c r="L11" s="95">
        <v>-59.500000000000007</v>
      </c>
      <c r="N11" s="111" t="s">
        <v>163</v>
      </c>
      <c r="O11" s="121">
        <f>IF(P11=0,0,Q11/P11)</f>
        <v>-15.622222222222222</v>
      </c>
      <c r="P11" s="115">
        <v>9</v>
      </c>
      <c r="Q11" s="103">
        <v>-140.6</v>
      </c>
    </row>
    <row r="12" spans="1:17" x14ac:dyDescent="0.4">
      <c r="A12" s="53" t="s">
        <v>158</v>
      </c>
      <c r="B12" s="46">
        <v>4</v>
      </c>
      <c r="C12" s="40">
        <f t="shared" si="1"/>
        <v>0.11428571428571428</v>
      </c>
      <c r="E12" s="59" t="s">
        <v>65</v>
      </c>
      <c r="F12" s="56" t="s">
        <v>21</v>
      </c>
      <c r="G12" s="44">
        <v>7</v>
      </c>
      <c r="H12" s="129">
        <f>IF(B$17=0,0,G12/B$17)</f>
        <v>9.0909090909090912E-2</v>
      </c>
      <c r="I12" s="90">
        <v>7</v>
      </c>
      <c r="K12" s="36">
        <v>10</v>
      </c>
      <c r="L12" s="95">
        <v>-32.700000000000003</v>
      </c>
      <c r="N12" s="112" t="s">
        <v>164</v>
      </c>
      <c r="O12" s="122">
        <f>IF(P12=0,0,Q12/P12)</f>
        <v>-4.3857142857142852</v>
      </c>
      <c r="P12" s="116">
        <v>14</v>
      </c>
      <c r="Q12" s="104">
        <v>-61.399999999999991</v>
      </c>
    </row>
    <row r="13" spans="1:17" x14ac:dyDescent="0.4">
      <c r="A13" s="54" t="s">
        <v>121</v>
      </c>
      <c r="B13" s="47">
        <v>48</v>
      </c>
      <c r="C13" s="42">
        <f>IF(B$3=0,0,B13/B$3)</f>
        <v>0.1553398058252427</v>
      </c>
      <c r="E13" s="59" t="s">
        <v>89</v>
      </c>
      <c r="F13" s="56" t="s">
        <v>44</v>
      </c>
      <c r="G13" s="44">
        <v>5</v>
      </c>
      <c r="H13" s="129">
        <f>IF(B$17=0,0,G13/B$17)</f>
        <v>6.4935064935064929E-2</v>
      </c>
      <c r="I13" s="90">
        <v>11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71</v>
      </c>
      <c r="C14" s="37">
        <f>IF(B$3=0,0,B14/B$3)</f>
        <v>0.22977346278317151</v>
      </c>
      <c r="E14" s="59" t="s">
        <v>81</v>
      </c>
      <c r="F14" s="56" t="s">
        <v>36</v>
      </c>
      <c r="G14" s="44">
        <v>4</v>
      </c>
      <c r="H14" s="129">
        <f>IF(B$17=0,0,G14/B$17)</f>
        <v>5.1948051948051951E-2</v>
      </c>
      <c r="I14" s="90">
        <v>1</v>
      </c>
      <c r="K14" s="36">
        <v>12</v>
      </c>
      <c r="L14" s="95">
        <v>-59.5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25</v>
      </c>
      <c r="C15" s="35">
        <f>IF(B$13=0,0,B15/B$13)</f>
        <v>0.52083333333333337</v>
      </c>
      <c r="E15" s="59" t="s">
        <v>88</v>
      </c>
      <c r="F15" s="56" t="s">
        <v>43</v>
      </c>
      <c r="G15" s="44">
        <v>2</v>
      </c>
      <c r="H15" s="129">
        <f>IF(B$17=0,0,G15/B$17)</f>
        <v>2.5974025974025976E-2</v>
      </c>
      <c r="I15" s="90">
        <v>1</v>
      </c>
      <c r="K15" s="36">
        <v>13</v>
      </c>
      <c r="L15" s="95">
        <v>-66.2</v>
      </c>
      <c r="N15" s="110" t="s">
        <v>126</v>
      </c>
      <c r="O15" s="120">
        <f>IF(P15=0,0,Q15/P15)</f>
        <v>-1.8272727272727274</v>
      </c>
      <c r="P15" s="114">
        <v>22</v>
      </c>
      <c r="Q15" s="102">
        <v>-40.200000000000003</v>
      </c>
    </row>
    <row r="16" spans="1:17" x14ac:dyDescent="0.4">
      <c r="A16" s="50" t="s">
        <v>124</v>
      </c>
      <c r="B16" s="43">
        <v>25</v>
      </c>
      <c r="C16" s="35">
        <f>IF(B$14=0,0,B16/B$14)</f>
        <v>0.352112676056338</v>
      </c>
      <c r="E16" s="59" t="s">
        <v>74</v>
      </c>
      <c r="F16" s="56" t="s">
        <v>29</v>
      </c>
      <c r="G16" s="44">
        <v>1</v>
      </c>
      <c r="H16" s="129">
        <f>IF(B$17=0,0,G16/B$17)</f>
        <v>1.2987012987012988E-2</v>
      </c>
      <c r="I16" s="90">
        <v>2</v>
      </c>
      <c r="K16" s="36">
        <v>14</v>
      </c>
      <c r="L16" s="95">
        <v>-51.1</v>
      </c>
      <c r="N16" s="111" t="s">
        <v>181</v>
      </c>
      <c r="O16" s="121">
        <f>IF(P16=0,0,Q16/P16)</f>
        <v>-5.04</v>
      </c>
      <c r="P16" s="115">
        <v>5</v>
      </c>
      <c r="Q16" s="103">
        <v>-25.2</v>
      </c>
    </row>
    <row r="17" spans="1:17" x14ac:dyDescent="0.4">
      <c r="A17" s="50" t="s">
        <v>10</v>
      </c>
      <c r="B17" s="43">
        <f>B19+B18</f>
        <v>77</v>
      </c>
      <c r="C17" s="35">
        <f>IF(B$3=0,0,B17/B$3)</f>
        <v>0.24919093851132687</v>
      </c>
      <c r="E17" s="59" t="s">
        <v>75</v>
      </c>
      <c r="F17" s="56" t="s">
        <v>30</v>
      </c>
      <c r="G17" s="44">
        <v>1</v>
      </c>
      <c r="H17" s="129">
        <f>IF(B$17=0,0,G17/B$17)</f>
        <v>1.2987012987012988E-2</v>
      </c>
      <c r="I17" s="90">
        <v>3</v>
      </c>
      <c r="K17" s="36">
        <v>15</v>
      </c>
      <c r="L17" s="95">
        <v>-65.2</v>
      </c>
      <c r="N17" s="111" t="s">
        <v>178</v>
      </c>
      <c r="O17" s="121">
        <f>IF(P17=0,0,Q17/P17)</f>
        <v>-6.26</v>
      </c>
      <c r="P17" s="115">
        <v>10</v>
      </c>
      <c r="Q17" s="103">
        <v>-62.599999999999994</v>
      </c>
    </row>
    <row r="18" spans="1:17" x14ac:dyDescent="0.4">
      <c r="A18" s="51" t="s">
        <v>12</v>
      </c>
      <c r="B18" s="44">
        <v>35</v>
      </c>
      <c r="C18" s="37">
        <f>IF(B$17=0,0,B18/B$17)</f>
        <v>0.45454545454545453</v>
      </c>
      <c r="E18" s="59" t="s">
        <v>77</v>
      </c>
      <c r="F18" s="56" t="s">
        <v>32</v>
      </c>
      <c r="G18" s="44">
        <v>1</v>
      </c>
      <c r="H18" s="129">
        <f>IF(B$17=0,0,G18/B$17)</f>
        <v>1.2987012987012988E-2</v>
      </c>
      <c r="I18" s="90">
        <v>2</v>
      </c>
      <c r="K18" s="36">
        <v>16</v>
      </c>
      <c r="L18" s="95">
        <v>-70.600000000000009</v>
      </c>
      <c r="N18" s="111" t="s">
        <v>179</v>
      </c>
      <c r="O18" s="121">
        <f>IF(P18=0,0,Q18/P18)</f>
        <v>-10.390909090909092</v>
      </c>
      <c r="P18" s="115">
        <v>11</v>
      </c>
      <c r="Q18" s="103">
        <v>-114.30000000000001</v>
      </c>
    </row>
    <row r="19" spans="1:17" x14ac:dyDescent="0.4">
      <c r="A19" s="51" t="s">
        <v>11</v>
      </c>
      <c r="B19" s="44">
        <v>42</v>
      </c>
      <c r="C19" s="37">
        <f>IF(B$17=0,0,B19/B$17)</f>
        <v>0.54545454545454541</v>
      </c>
      <c r="E19" s="59" t="s">
        <v>86</v>
      </c>
      <c r="F19" s="56" t="s">
        <v>41</v>
      </c>
      <c r="G19" s="44">
        <v>1</v>
      </c>
      <c r="H19" s="129">
        <f>IF(B$17=0,0,G19/B$17)</f>
        <v>1.2987012987012988E-2</v>
      </c>
      <c r="I19" s="90">
        <v>10</v>
      </c>
      <c r="K19" s="36">
        <v>17</v>
      </c>
      <c r="L19" s="95">
        <v>-65.2</v>
      </c>
      <c r="N19" s="111" t="s">
        <v>127</v>
      </c>
      <c r="O19" s="121">
        <f>IF(P19=0,0,Q19/P19)</f>
        <v>-10.6</v>
      </c>
      <c r="P19" s="115">
        <v>16</v>
      </c>
      <c r="Q19" s="103">
        <v>-169.6</v>
      </c>
    </row>
    <row r="20" spans="1:17" x14ac:dyDescent="0.4">
      <c r="A20" s="51" t="s">
        <v>13</v>
      </c>
      <c r="B20" s="44">
        <v>50</v>
      </c>
      <c r="C20" s="37">
        <f>IF(B$3=0,0,B20/B$3)</f>
        <v>0.16181229773462782</v>
      </c>
      <c r="E20" s="59" t="s">
        <v>91</v>
      </c>
      <c r="F20" s="56" t="s">
        <v>46</v>
      </c>
      <c r="G20" s="44">
        <v>1</v>
      </c>
      <c r="H20" s="129">
        <f>IF(B$17=0,0,G20/B$17)</f>
        <v>1.2987012987012988E-2</v>
      </c>
      <c r="I20" s="90">
        <v>4</v>
      </c>
      <c r="K20" s="36">
        <v>18</v>
      </c>
      <c r="L20" s="95">
        <v>-80.2</v>
      </c>
      <c r="N20" s="111" t="s">
        <v>182</v>
      </c>
      <c r="O20" s="121">
        <f>IF(P20=0,0,Q20/P20)</f>
        <v>-28.449999999999996</v>
      </c>
      <c r="P20" s="115">
        <v>4</v>
      </c>
      <c r="Q20" s="103">
        <v>-113.79999999999998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93</v>
      </c>
      <c r="F21" s="56" t="s">
        <v>48</v>
      </c>
      <c r="G21" s="44">
        <v>1</v>
      </c>
      <c r="H21" s="129">
        <f>IF(B$17=0,0,G21/B$17)</f>
        <v>1.2987012987012988E-2</v>
      </c>
      <c r="I21" s="90">
        <v>1</v>
      </c>
      <c r="K21" s="36">
        <v>19</v>
      </c>
      <c r="L21" s="95">
        <v>-115.1</v>
      </c>
      <c r="N21" s="111" t="s">
        <v>177</v>
      </c>
      <c r="O21" s="121">
        <f>IF(P21=0,0,Q21/P21)</f>
        <v>-53.050000000000004</v>
      </c>
      <c r="P21" s="115">
        <v>2</v>
      </c>
      <c r="Q21" s="103">
        <v>-106.10000000000001</v>
      </c>
    </row>
    <row r="22" spans="1:17" x14ac:dyDescent="0.4">
      <c r="A22" s="51" t="s">
        <v>170</v>
      </c>
      <c r="B22" s="44">
        <v>23</v>
      </c>
      <c r="C22" s="131">
        <v>3</v>
      </c>
      <c r="E22" s="59" t="s">
        <v>73</v>
      </c>
      <c r="F22" s="56" t="s">
        <v>28</v>
      </c>
      <c r="G22" s="44">
        <v>0</v>
      </c>
      <c r="H22" s="129">
        <f>IF(B$17=0,0,G22/B$17)</f>
        <v>0</v>
      </c>
      <c r="I22" s="90">
        <v>3</v>
      </c>
      <c r="K22" s="36">
        <v>20</v>
      </c>
      <c r="L22" s="95">
        <v>-88.8</v>
      </c>
    </row>
    <row r="23" spans="1:17" x14ac:dyDescent="0.4">
      <c r="A23" s="51" t="s">
        <v>5</v>
      </c>
      <c r="B23" s="48">
        <f>IF(B$17=0,0,C23/B$17)</f>
        <v>7274.0259740259744</v>
      </c>
      <c r="C23" s="39">
        <v>560100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-111.4</v>
      </c>
    </row>
    <row r="24" spans="1:17" x14ac:dyDescent="0.4">
      <c r="A24" s="52" t="s">
        <v>216</v>
      </c>
      <c r="B24" s="136">
        <f>IF($B$17-B$16=0,0,C24/($B$17-B$16))</f>
        <v>7821.1538461538457</v>
      </c>
      <c r="C24" s="137">
        <v>406700</v>
      </c>
      <c r="E24" s="59" t="s">
        <v>78</v>
      </c>
      <c r="F24" s="56" t="s">
        <v>33</v>
      </c>
      <c r="G24" s="44">
        <v>0</v>
      </c>
      <c r="H24" s="129">
        <f>IF(B$17=0,0,G24/B$17)</f>
        <v>0</v>
      </c>
      <c r="I24" s="90">
        <v>9</v>
      </c>
      <c r="K24" s="36">
        <v>22</v>
      </c>
      <c r="L24" s="95">
        <v>-142.80000000000001</v>
      </c>
    </row>
    <row r="25" spans="1:17" x14ac:dyDescent="0.4">
      <c r="A25" s="52" t="s">
        <v>217</v>
      </c>
      <c r="B25" s="136">
        <f>IF(B$16=0,0,C25/B$16)</f>
        <v>6136</v>
      </c>
      <c r="C25" s="137">
        <v>153400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-80.900000000000006</v>
      </c>
    </row>
    <row r="26" spans="1:17" x14ac:dyDescent="0.4">
      <c r="A26" s="52" t="s">
        <v>215</v>
      </c>
      <c r="B26" s="136">
        <f>IF(B$20=0,0,C26/B$20)</f>
        <v>-6742</v>
      </c>
      <c r="C26" s="137">
        <v>-337100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-111.60000000000001</v>
      </c>
    </row>
    <row r="27" spans="1:17" x14ac:dyDescent="0.4">
      <c r="A27" s="86" t="s">
        <v>140</v>
      </c>
      <c r="B27" s="144">
        <v>6</v>
      </c>
      <c r="C27" s="145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54" t="s">
        <v>150</v>
      </c>
      <c r="B28" s="142">
        <v>86900</v>
      </c>
      <c r="C28" s="143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-123.10000000000002</v>
      </c>
    </row>
    <row r="29" spans="1:17" x14ac:dyDescent="0.4">
      <c r="A29" s="53" t="s">
        <v>141</v>
      </c>
      <c r="B29" s="61">
        <v>2</v>
      </c>
      <c r="C29" s="40">
        <f>IF(B$3=0,0,B29/B$3)</f>
        <v>6.4724919093851136E-3</v>
      </c>
      <c r="E29" s="59" t="s">
        <v>85</v>
      </c>
      <c r="F29" s="56" t="s">
        <v>40</v>
      </c>
      <c r="G29" s="44">
        <v>0</v>
      </c>
      <c r="H29" s="129">
        <f>IF(B$17=0,0,G29/B$17)</f>
        <v>0</v>
      </c>
      <c r="I29" s="90">
        <v>6</v>
      </c>
      <c r="K29" s="36">
        <v>27</v>
      </c>
      <c r="L29" s="95">
        <v>-125.20000000000002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>IF(B$17=0,0,G30/B$17)</f>
        <v>0</v>
      </c>
      <c r="I30" s="90">
        <v>3</v>
      </c>
      <c r="K30" s="36">
        <v>28</v>
      </c>
      <c r="L30" s="95">
        <v>-124.40000000000002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-156.00000000000003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-182.90000000000003</v>
      </c>
    </row>
    <row r="33" spans="5:12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-203.20000000000005</v>
      </c>
    </row>
    <row r="34" spans="5:12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4</v>
      </c>
      <c r="K34" s="36">
        <v>32</v>
      </c>
      <c r="L34" s="95">
        <v>-211.90000000000003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-183.10000000000002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-168.3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-210.60000000000002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1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75D87E-AC65-4D36-BDD0-EE37AAB91B0B}">
  <sheetPr codeName="Sheet9"/>
  <dimension ref="A1:Q7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126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76</v>
      </c>
      <c r="C2" s="151"/>
      <c r="E2" s="58" t="s">
        <v>66</v>
      </c>
      <c r="F2" s="55" t="s">
        <v>22</v>
      </c>
      <c r="G2" s="43">
        <v>137</v>
      </c>
      <c r="H2" s="128">
        <f>IF(B$17=0,0,G2/B$17)</f>
        <v>0.66183574879227058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590.66666666666663</v>
      </c>
      <c r="P2" s="114">
        <v>75</v>
      </c>
      <c r="Q2" s="98">
        <v>44300</v>
      </c>
    </row>
    <row r="3" spans="1:17" x14ac:dyDescent="0.4">
      <c r="A3" s="51" t="s">
        <v>8</v>
      </c>
      <c r="B3" s="152">
        <v>615</v>
      </c>
      <c r="C3" s="153"/>
      <c r="E3" s="59" t="s">
        <v>72</v>
      </c>
      <c r="F3" s="56" t="s">
        <v>27</v>
      </c>
      <c r="G3" s="44">
        <v>103</v>
      </c>
      <c r="H3" s="129">
        <f>IF(B$17=0,0,G3/B$17)</f>
        <v>0.49758454106280192</v>
      </c>
      <c r="I3" s="90">
        <v>8</v>
      </c>
      <c r="K3" s="36">
        <v>1</v>
      </c>
      <c r="L3" s="95">
        <v>50.2</v>
      </c>
      <c r="N3" s="111" t="s">
        <v>131</v>
      </c>
      <c r="O3" s="118">
        <f t="shared" si="0"/>
        <v>193.05555555555554</v>
      </c>
      <c r="P3" s="115">
        <v>72</v>
      </c>
      <c r="Q3" s="99">
        <v>13900</v>
      </c>
    </row>
    <row r="4" spans="1:17" x14ac:dyDescent="0.4">
      <c r="A4" s="51" t="s">
        <v>6</v>
      </c>
      <c r="B4" s="154">
        <v>576.29999999999984</v>
      </c>
      <c r="C4" s="155"/>
      <c r="E4" s="59" t="s">
        <v>64</v>
      </c>
      <c r="F4" s="56" t="s">
        <v>20</v>
      </c>
      <c r="G4" s="44">
        <v>88</v>
      </c>
      <c r="H4" s="129">
        <f>IF(B$17=0,0,G4/B$17)</f>
        <v>0.4251207729468599</v>
      </c>
      <c r="I4" s="90">
        <v>8</v>
      </c>
      <c r="K4" s="36">
        <v>2</v>
      </c>
      <c r="L4" s="95">
        <v>14.400000000000006</v>
      </c>
      <c r="N4" s="111" t="s">
        <v>132</v>
      </c>
      <c r="O4" s="118">
        <f t="shared" si="0"/>
        <v>139.43661971830986</v>
      </c>
      <c r="P4" s="115">
        <v>71</v>
      </c>
      <c r="Q4" s="99">
        <v>9900</v>
      </c>
    </row>
    <row r="5" spans="1:17" x14ac:dyDescent="0.4">
      <c r="A5" s="51" t="s">
        <v>7</v>
      </c>
      <c r="B5" s="156">
        <f>IF(B$2=0,0,B$4/B$2)</f>
        <v>7.5828947368421034</v>
      </c>
      <c r="C5" s="157"/>
      <c r="E5" s="59" t="s">
        <v>171</v>
      </c>
      <c r="F5" s="56" t="s">
        <v>172</v>
      </c>
      <c r="G5" s="44">
        <v>72</v>
      </c>
      <c r="H5" s="129">
        <f>IF(B$17=0,0,G5/B$17)</f>
        <v>0.34782608695652173</v>
      </c>
      <c r="I5" s="90">
        <v>8</v>
      </c>
      <c r="K5" s="36">
        <v>3</v>
      </c>
      <c r="L5" s="95">
        <v>40.400000000000006</v>
      </c>
      <c r="N5" s="111" t="s">
        <v>133</v>
      </c>
      <c r="O5" s="118">
        <f t="shared" si="0"/>
        <v>-732.8125</v>
      </c>
      <c r="P5" s="115">
        <v>64</v>
      </c>
      <c r="Q5" s="99">
        <v>-46900</v>
      </c>
    </row>
    <row r="6" spans="1:17" x14ac:dyDescent="0.4">
      <c r="A6" s="51" t="s">
        <v>1</v>
      </c>
      <c r="B6" s="146">
        <f>IF(B$2=0,0,(B$7*1+B$8*2+B$9*3)/B$2)</f>
        <v>1.7763157894736843</v>
      </c>
      <c r="C6" s="147"/>
      <c r="E6" s="59" t="s">
        <v>68</v>
      </c>
      <c r="F6" s="56" t="s">
        <v>12</v>
      </c>
      <c r="G6" s="44">
        <v>59</v>
      </c>
      <c r="H6" s="129">
        <f>IF(B$17=0,0,G6/B$17)</f>
        <v>0.28502415458937197</v>
      </c>
      <c r="I6" s="90">
        <v>9</v>
      </c>
      <c r="K6" s="36">
        <v>4</v>
      </c>
      <c r="L6" s="95">
        <v>101.60000000000001</v>
      </c>
      <c r="N6" s="111" t="s">
        <v>134</v>
      </c>
      <c r="O6" s="118">
        <f t="shared" si="0"/>
        <v>3006.4516129032259</v>
      </c>
      <c r="P6" s="115">
        <v>62</v>
      </c>
      <c r="Q6" s="99">
        <v>186400</v>
      </c>
    </row>
    <row r="7" spans="1:17" x14ac:dyDescent="0.4">
      <c r="A7" s="51" t="s">
        <v>2</v>
      </c>
      <c r="B7" s="44">
        <v>36</v>
      </c>
      <c r="C7" s="37">
        <f t="shared" ref="C7:C12" si="1">IF(B$2=0,0,B7/B$2)</f>
        <v>0.47368421052631576</v>
      </c>
      <c r="E7" s="59" t="s">
        <v>67</v>
      </c>
      <c r="F7" s="56" t="s">
        <v>23</v>
      </c>
      <c r="G7" s="44">
        <v>55</v>
      </c>
      <c r="H7" s="129">
        <f>IF(B$17=0,0,G7/B$17)</f>
        <v>0.26570048309178745</v>
      </c>
      <c r="I7" s="90">
        <v>8</v>
      </c>
      <c r="K7" s="36">
        <v>5</v>
      </c>
      <c r="L7" s="95">
        <v>99.9</v>
      </c>
      <c r="N7" s="112" t="s">
        <v>135</v>
      </c>
      <c r="O7" s="119">
        <f t="shared" si="0"/>
        <v>3052.9411764705883</v>
      </c>
      <c r="P7" s="116">
        <v>51</v>
      </c>
      <c r="Q7" s="100">
        <v>155700</v>
      </c>
    </row>
    <row r="8" spans="1:17" x14ac:dyDescent="0.4">
      <c r="A8" s="51" t="s">
        <v>3</v>
      </c>
      <c r="B8" s="44">
        <v>21</v>
      </c>
      <c r="C8" s="37">
        <f t="shared" si="1"/>
        <v>0.27631578947368424</v>
      </c>
      <c r="E8" s="59" t="s">
        <v>89</v>
      </c>
      <c r="F8" s="56" t="s">
        <v>44</v>
      </c>
      <c r="G8" s="44">
        <v>37</v>
      </c>
      <c r="H8" s="129">
        <f>IF(B$17=0,0,G8/B$17)</f>
        <v>0.17874396135265699</v>
      </c>
      <c r="I8" s="90">
        <v>3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19</v>
      </c>
      <c r="C9" s="38">
        <f t="shared" si="1"/>
        <v>0.25</v>
      </c>
      <c r="E9" s="59" t="s">
        <v>69</v>
      </c>
      <c r="F9" s="56" t="s">
        <v>24</v>
      </c>
      <c r="G9" s="44">
        <v>29</v>
      </c>
      <c r="H9" s="129">
        <f>IF(B$17=0,0,G9/B$17)</f>
        <v>0.14009661835748793</v>
      </c>
      <c r="I9" s="90">
        <v>6</v>
      </c>
      <c r="K9" s="36">
        <v>7</v>
      </c>
      <c r="L9" s="95">
        <v>113.3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3</v>
      </c>
      <c r="C10" s="38">
        <f t="shared" si="1"/>
        <v>3.9473684210526314E-2</v>
      </c>
      <c r="E10" s="59" t="s">
        <v>65</v>
      </c>
      <c r="F10" s="56" t="s">
        <v>21</v>
      </c>
      <c r="G10" s="44">
        <v>21</v>
      </c>
      <c r="H10" s="129">
        <f>IF(B$17=0,0,G10/B$17)</f>
        <v>0.10144927536231885</v>
      </c>
      <c r="I10" s="90">
        <v>4</v>
      </c>
      <c r="K10" s="36">
        <v>8</v>
      </c>
      <c r="L10" s="95">
        <v>148.1</v>
      </c>
      <c r="N10" s="110" t="s">
        <v>162</v>
      </c>
      <c r="O10" s="120">
        <f>IF(P10=0,0,Q10/P10)</f>
        <v>11.3</v>
      </c>
      <c r="P10" s="114">
        <v>20</v>
      </c>
      <c r="Q10" s="102">
        <v>226.00000000000003</v>
      </c>
    </row>
    <row r="11" spans="1:17" x14ac:dyDescent="0.4">
      <c r="A11" s="52" t="s">
        <v>138</v>
      </c>
      <c r="B11" s="45">
        <v>8</v>
      </c>
      <c r="C11" s="38">
        <f t="shared" si="1"/>
        <v>0.10526315789473684</v>
      </c>
      <c r="E11" s="59" t="s">
        <v>71</v>
      </c>
      <c r="F11" s="56" t="s">
        <v>26</v>
      </c>
      <c r="G11" s="44">
        <v>13</v>
      </c>
      <c r="H11" s="129">
        <f>IF(B$17=0,0,G11/B$17)</f>
        <v>6.280193236714976E-2</v>
      </c>
      <c r="I11" s="90">
        <v>10</v>
      </c>
      <c r="K11" s="36">
        <v>9</v>
      </c>
      <c r="L11" s="95">
        <v>180.89999999999998</v>
      </c>
      <c r="N11" s="111" t="s">
        <v>163</v>
      </c>
      <c r="O11" s="121">
        <f>IF(P11=0,0,Q11/P11)</f>
        <v>3.3696969696969701</v>
      </c>
      <c r="P11" s="115">
        <v>33</v>
      </c>
      <c r="Q11" s="103">
        <v>111.20000000000002</v>
      </c>
    </row>
    <row r="12" spans="1:17" x14ac:dyDescent="0.4">
      <c r="A12" s="53" t="s">
        <v>158</v>
      </c>
      <c r="B12" s="46">
        <v>9</v>
      </c>
      <c r="C12" s="40">
        <f t="shared" si="1"/>
        <v>0.11842105263157894</v>
      </c>
      <c r="E12" s="59" t="s">
        <v>70</v>
      </c>
      <c r="F12" s="56" t="s">
        <v>25</v>
      </c>
      <c r="G12" s="44">
        <v>11</v>
      </c>
      <c r="H12" s="129">
        <f>IF(B$17=0,0,G12/B$17)</f>
        <v>5.3140096618357488E-2</v>
      </c>
      <c r="I12" s="90">
        <v>11</v>
      </c>
      <c r="K12" s="36">
        <v>10</v>
      </c>
      <c r="L12" s="95">
        <v>158.19999999999999</v>
      </c>
      <c r="N12" s="112" t="s">
        <v>164</v>
      </c>
      <c r="O12" s="122">
        <f>IF(P12=0,0,Q12/P12)</f>
        <v>10.395652173913041</v>
      </c>
      <c r="P12" s="116">
        <v>23</v>
      </c>
      <c r="Q12" s="104">
        <v>239.09999999999994</v>
      </c>
    </row>
    <row r="13" spans="1:17" x14ac:dyDescent="0.4">
      <c r="A13" s="54" t="s">
        <v>121</v>
      </c>
      <c r="B13" s="47">
        <v>156</v>
      </c>
      <c r="C13" s="42">
        <f>IF(B$3=0,0,B13/B$3)</f>
        <v>0.25365853658536586</v>
      </c>
      <c r="E13" s="59" t="s">
        <v>83</v>
      </c>
      <c r="F13" s="56" t="s">
        <v>38</v>
      </c>
      <c r="G13" s="44">
        <v>10</v>
      </c>
      <c r="H13" s="129">
        <f>IF(B$17=0,0,G13/B$17)</f>
        <v>4.8309178743961352E-2</v>
      </c>
      <c r="I13" s="90">
        <v>9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145</v>
      </c>
      <c r="C14" s="37">
        <f>IF(B$3=0,0,B14/B$3)</f>
        <v>0.23577235772357724</v>
      </c>
      <c r="E14" s="59" t="s">
        <v>86</v>
      </c>
      <c r="F14" s="56" t="s">
        <v>41</v>
      </c>
      <c r="G14" s="44">
        <v>9</v>
      </c>
      <c r="H14" s="129">
        <f>IF(B$17=0,0,G14/B$17)</f>
        <v>4.3478260869565216E-2</v>
      </c>
      <c r="I14" s="90">
        <v>6</v>
      </c>
      <c r="K14" s="36">
        <v>12</v>
      </c>
      <c r="L14" s="95">
        <v>184.89999999999998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95</v>
      </c>
      <c r="C15" s="35">
        <f>IF(B$13=0,0,B15/B$13)</f>
        <v>0.60897435897435892</v>
      </c>
      <c r="E15" s="59" t="s">
        <v>167</v>
      </c>
      <c r="F15" s="56" t="s">
        <v>168</v>
      </c>
      <c r="G15" s="44">
        <v>8</v>
      </c>
      <c r="H15" s="129">
        <f>IF(B$17=0,0,G15/B$17)</f>
        <v>3.864734299516908E-2</v>
      </c>
      <c r="I15" s="90">
        <v>1</v>
      </c>
      <c r="K15" s="36">
        <v>13</v>
      </c>
      <c r="L15" s="95">
        <v>206.39999999999998</v>
      </c>
      <c r="N15" s="110" t="s">
        <v>181</v>
      </c>
      <c r="O15" s="120">
        <f>IF(P15=0,0,Q15/P15)</f>
        <v>57.4</v>
      </c>
      <c r="P15" s="114">
        <v>4</v>
      </c>
      <c r="Q15" s="102">
        <v>229.6</v>
      </c>
    </row>
    <row r="16" spans="1:17" x14ac:dyDescent="0.4">
      <c r="A16" s="50" t="s">
        <v>124</v>
      </c>
      <c r="B16" s="43">
        <v>68</v>
      </c>
      <c r="C16" s="35">
        <f>IF(B$14=0,0,B16/B$14)</f>
        <v>0.4689655172413793</v>
      </c>
      <c r="E16" s="59" t="s">
        <v>78</v>
      </c>
      <c r="F16" s="56" t="s">
        <v>33</v>
      </c>
      <c r="G16" s="44">
        <v>7</v>
      </c>
      <c r="H16" s="129">
        <f>IF(B$17=0,0,G16/B$17)</f>
        <v>3.3816425120772944E-2</v>
      </c>
      <c r="I16" s="90">
        <v>2</v>
      </c>
      <c r="K16" s="36">
        <v>14</v>
      </c>
      <c r="L16" s="95">
        <v>240.09999999999997</v>
      </c>
      <c r="N16" s="111" t="s">
        <v>182</v>
      </c>
      <c r="O16" s="121">
        <f>IF(P16=0,0,Q16/P16)</f>
        <v>32.228571428571421</v>
      </c>
      <c r="P16" s="115">
        <v>7</v>
      </c>
      <c r="Q16" s="103">
        <v>225.59999999999994</v>
      </c>
    </row>
    <row r="17" spans="1:17" x14ac:dyDescent="0.4">
      <c r="A17" s="50" t="s">
        <v>10</v>
      </c>
      <c r="B17" s="43">
        <f>B19+B18</f>
        <v>207</v>
      </c>
      <c r="C17" s="35">
        <f>IF(B$3=0,0,B17/B$3)</f>
        <v>0.33658536585365856</v>
      </c>
      <c r="E17" s="59" t="s">
        <v>77</v>
      </c>
      <c r="F17" s="56" t="s">
        <v>32</v>
      </c>
      <c r="G17" s="44">
        <v>3</v>
      </c>
      <c r="H17" s="129">
        <f>IF(B$17=0,0,G17/B$17)</f>
        <v>1.4492753623188406E-2</v>
      </c>
      <c r="I17" s="90">
        <v>1</v>
      </c>
      <c r="K17" s="36">
        <v>15</v>
      </c>
      <c r="L17" s="95">
        <v>269.49999999999994</v>
      </c>
      <c r="N17" s="111" t="s">
        <v>178</v>
      </c>
      <c r="O17" s="121">
        <f>IF(P17=0,0,Q17/P17)</f>
        <v>18.563157894736854</v>
      </c>
      <c r="P17" s="115">
        <v>19</v>
      </c>
      <c r="Q17" s="103">
        <v>352.70000000000022</v>
      </c>
    </row>
    <row r="18" spans="1:17" x14ac:dyDescent="0.4">
      <c r="A18" s="51" t="s">
        <v>12</v>
      </c>
      <c r="B18" s="44">
        <v>87</v>
      </c>
      <c r="C18" s="37">
        <f>IF(B$17=0,0,B18/B$17)</f>
        <v>0.42028985507246375</v>
      </c>
      <c r="E18" s="59" t="s">
        <v>84</v>
      </c>
      <c r="F18" s="56" t="s">
        <v>39</v>
      </c>
      <c r="G18" s="44">
        <v>3</v>
      </c>
      <c r="H18" s="129">
        <f>IF(B$17=0,0,G18/B$17)</f>
        <v>1.4492753623188406E-2</v>
      </c>
      <c r="I18" s="90">
        <v>1</v>
      </c>
      <c r="K18" s="36">
        <v>16</v>
      </c>
      <c r="L18" s="95">
        <v>323.69999999999993</v>
      </c>
      <c r="N18" s="111" t="s">
        <v>179</v>
      </c>
      <c r="O18" s="121">
        <f>IF(P18=0,0,Q18/P18)</f>
        <v>17.467741935483872</v>
      </c>
      <c r="P18" s="115">
        <v>31</v>
      </c>
      <c r="Q18" s="103">
        <v>541.5</v>
      </c>
    </row>
    <row r="19" spans="1:17" x14ac:dyDescent="0.4">
      <c r="A19" s="51" t="s">
        <v>11</v>
      </c>
      <c r="B19" s="44">
        <v>120</v>
      </c>
      <c r="C19" s="37">
        <f>IF(B$17=0,0,B19/B$17)</f>
        <v>0.57971014492753625</v>
      </c>
      <c r="E19" s="59" t="s">
        <v>88</v>
      </c>
      <c r="F19" s="56" t="s">
        <v>43</v>
      </c>
      <c r="G19" s="44">
        <v>2</v>
      </c>
      <c r="H19" s="129">
        <f>IF(B$17=0,0,G19/B$17)</f>
        <v>9.6618357487922701E-3</v>
      </c>
      <c r="I19" s="90">
        <v>2</v>
      </c>
      <c r="K19" s="36">
        <v>17</v>
      </c>
      <c r="L19" s="95">
        <v>359.09999999999991</v>
      </c>
      <c r="N19" s="111" t="s">
        <v>127</v>
      </c>
      <c r="O19" s="121">
        <f>IF(P19=0,0,Q19/P19)</f>
        <v>8.2980769230769251</v>
      </c>
      <c r="P19" s="115">
        <v>52</v>
      </c>
      <c r="Q19" s="103">
        <v>431.50000000000011</v>
      </c>
    </row>
    <row r="20" spans="1:17" x14ac:dyDescent="0.4">
      <c r="A20" s="51" t="s">
        <v>13</v>
      </c>
      <c r="B20" s="44">
        <v>86</v>
      </c>
      <c r="C20" s="37">
        <f>IF(B$3=0,0,B20/B$3)</f>
        <v>0.13983739837398373</v>
      </c>
      <c r="E20" s="59" t="s">
        <v>92</v>
      </c>
      <c r="F20" s="56" t="s">
        <v>47</v>
      </c>
      <c r="G20" s="44">
        <v>2</v>
      </c>
      <c r="H20" s="129">
        <f>IF(B$17=0,0,G20/B$17)</f>
        <v>9.6618357487922701E-3</v>
      </c>
      <c r="I20" s="90">
        <v>2</v>
      </c>
      <c r="K20" s="36">
        <v>18</v>
      </c>
      <c r="L20" s="95">
        <v>352.39999999999992</v>
      </c>
      <c r="N20" s="111" t="s">
        <v>166</v>
      </c>
      <c r="O20" s="121">
        <f>IF(P20=0,0,Q20/P20)</f>
        <v>1.827272727272726</v>
      </c>
      <c r="P20" s="115">
        <v>22</v>
      </c>
      <c r="Q20" s="103">
        <v>40.199999999999974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74</v>
      </c>
      <c r="F21" s="56" t="s">
        <v>29</v>
      </c>
      <c r="G21" s="44">
        <v>1</v>
      </c>
      <c r="H21" s="129">
        <f>IF(B$17=0,0,G21/B$17)</f>
        <v>4.830917874396135E-3</v>
      </c>
      <c r="I21" s="90">
        <v>5</v>
      </c>
      <c r="K21" s="36">
        <v>19</v>
      </c>
      <c r="L21" s="95">
        <v>383.19999999999993</v>
      </c>
      <c r="N21" s="111" t="s">
        <v>177</v>
      </c>
      <c r="O21" s="121">
        <f>IF(P21=0,0,Q21/P21)</f>
        <v>-1.3562500000000002</v>
      </c>
      <c r="P21" s="115">
        <v>16</v>
      </c>
      <c r="Q21" s="103">
        <v>-21.700000000000003</v>
      </c>
    </row>
    <row r="22" spans="1:17" x14ac:dyDescent="0.4">
      <c r="A22" s="51" t="s">
        <v>170</v>
      </c>
      <c r="B22" s="44">
        <v>31</v>
      </c>
      <c r="C22" s="131">
        <v>4</v>
      </c>
      <c r="E22" s="59" t="s">
        <v>75</v>
      </c>
      <c r="F22" s="56" t="s">
        <v>30</v>
      </c>
      <c r="G22" s="44">
        <v>1</v>
      </c>
      <c r="H22" s="129">
        <f>IF(B$17=0,0,G22/B$17)</f>
        <v>4.830917874396135E-3</v>
      </c>
      <c r="I22" s="90">
        <v>6</v>
      </c>
      <c r="K22" s="36">
        <v>20</v>
      </c>
      <c r="L22" s="95">
        <v>365.49999999999994</v>
      </c>
      <c r="N22" s="111" t="s">
        <v>222</v>
      </c>
      <c r="O22" s="121">
        <f>IF(P22=0,0,Q22/P22)</f>
        <v>-70.5</v>
      </c>
      <c r="P22" s="115">
        <v>1</v>
      </c>
      <c r="Q22" s="103">
        <v>-70.5</v>
      </c>
    </row>
    <row r="23" spans="1:17" x14ac:dyDescent="0.4">
      <c r="A23" s="51" t="s">
        <v>5</v>
      </c>
      <c r="B23" s="48">
        <f>IF(B$17=0,0,C23/B$17)</f>
        <v>7849.7584541062806</v>
      </c>
      <c r="C23" s="39">
        <v>1624900</v>
      </c>
      <c r="E23" s="59" t="s">
        <v>79</v>
      </c>
      <c r="F23" s="56" t="s">
        <v>34</v>
      </c>
      <c r="G23" s="44">
        <v>1</v>
      </c>
      <c r="H23" s="129">
        <f>IF(B$17=0,0,G23/B$17)</f>
        <v>4.830917874396135E-3</v>
      </c>
      <c r="I23" s="90">
        <v>6</v>
      </c>
      <c r="K23" s="36">
        <v>21</v>
      </c>
      <c r="L23" s="95">
        <v>371.39999999999992</v>
      </c>
    </row>
    <row r="24" spans="1:17" x14ac:dyDescent="0.4">
      <c r="A24" s="52" t="s">
        <v>216</v>
      </c>
      <c r="B24" s="136">
        <f>IF($B$17-B$16=0,0,C24/($B$17-B$16))</f>
        <v>7712.9496402877694</v>
      </c>
      <c r="C24" s="137">
        <v>1072100</v>
      </c>
      <c r="E24" s="59" t="s">
        <v>81</v>
      </c>
      <c r="F24" s="56" t="s">
        <v>36</v>
      </c>
      <c r="G24" s="44">
        <v>1</v>
      </c>
      <c r="H24" s="129">
        <f>IF(B$17=0,0,G24/B$17)</f>
        <v>4.830917874396135E-3</v>
      </c>
      <c r="I24" s="90">
        <v>9</v>
      </c>
      <c r="K24" s="36">
        <v>22</v>
      </c>
      <c r="L24" s="95">
        <v>414.2999999999999</v>
      </c>
    </row>
    <row r="25" spans="1:17" x14ac:dyDescent="0.4">
      <c r="A25" s="52" t="s">
        <v>217</v>
      </c>
      <c r="B25" s="136">
        <f>IF(B$16=0,0,C25/B$16)</f>
        <v>8129.411764705882</v>
      </c>
      <c r="C25" s="137">
        <v>552800</v>
      </c>
      <c r="E25" s="59" t="s">
        <v>85</v>
      </c>
      <c r="F25" s="56" t="s">
        <v>40</v>
      </c>
      <c r="G25" s="44">
        <v>1</v>
      </c>
      <c r="H25" s="129">
        <f>IF(B$17=0,0,G25/B$17)</f>
        <v>4.830917874396135E-3</v>
      </c>
      <c r="I25" s="90">
        <v>4</v>
      </c>
      <c r="K25" s="36">
        <v>23</v>
      </c>
      <c r="L25" s="95">
        <v>356.2999999999999</v>
      </c>
    </row>
    <row r="26" spans="1:17" x14ac:dyDescent="0.4">
      <c r="A26" s="52" t="s">
        <v>215</v>
      </c>
      <c r="B26" s="136">
        <f>IF(B$20=0,0,C26/B$20)</f>
        <v>-7533.7209302325582</v>
      </c>
      <c r="C26" s="137">
        <v>-647900</v>
      </c>
      <c r="E26" s="59" t="s">
        <v>90</v>
      </c>
      <c r="F26" s="56" t="s">
        <v>45</v>
      </c>
      <c r="G26" s="44">
        <v>1</v>
      </c>
      <c r="H26" s="129">
        <f>IF(B$17=0,0,G26/B$17)</f>
        <v>4.830917874396135E-3</v>
      </c>
      <c r="I26" s="90">
        <v>2</v>
      </c>
      <c r="K26" s="36">
        <v>24</v>
      </c>
      <c r="L26" s="95">
        <v>329.89999999999992</v>
      </c>
    </row>
    <row r="27" spans="1:17" x14ac:dyDescent="0.4">
      <c r="A27" s="86" t="s">
        <v>140</v>
      </c>
      <c r="B27" s="144">
        <v>7</v>
      </c>
      <c r="C27" s="145"/>
      <c r="E27" s="59" t="s">
        <v>91</v>
      </c>
      <c r="F27" s="56" t="s">
        <v>46</v>
      </c>
      <c r="G27" s="44">
        <v>1</v>
      </c>
      <c r="H27" s="129">
        <f>IF(B$17=0,0,G27/B$17)</f>
        <v>4.830917874396135E-3</v>
      </c>
      <c r="I27" s="90">
        <v>7</v>
      </c>
      <c r="K27" s="36">
        <v>25</v>
      </c>
      <c r="L27" s="95">
        <v>294.99999999999994</v>
      </c>
    </row>
    <row r="28" spans="1:17" x14ac:dyDescent="0.4">
      <c r="A28" s="54" t="s">
        <v>150</v>
      </c>
      <c r="B28" s="142">
        <v>86200</v>
      </c>
      <c r="C28" s="143"/>
      <c r="E28" s="59" t="s">
        <v>95</v>
      </c>
      <c r="F28" s="56" t="s">
        <v>50</v>
      </c>
      <c r="G28" s="44">
        <v>1</v>
      </c>
      <c r="H28" s="129">
        <f>IF(B$17=0,0,G28/B$17)</f>
        <v>4.830917874396135E-3</v>
      </c>
      <c r="I28" s="90">
        <v>2</v>
      </c>
      <c r="K28" s="36">
        <v>26</v>
      </c>
      <c r="L28" s="95">
        <v>329.29999999999995</v>
      </c>
    </row>
    <row r="29" spans="1:17" x14ac:dyDescent="0.4">
      <c r="A29" s="53" t="s">
        <v>141</v>
      </c>
      <c r="B29" s="61">
        <v>1</v>
      </c>
      <c r="C29" s="40">
        <f>IF(B$3=0,0,B29/B$3)</f>
        <v>1.6260162601626016E-3</v>
      </c>
      <c r="E29" s="59" t="s">
        <v>73</v>
      </c>
      <c r="F29" s="56" t="s">
        <v>28</v>
      </c>
      <c r="G29" s="44">
        <v>0</v>
      </c>
      <c r="H29" s="129">
        <f>IF(B$17=0,0,G29/B$17)</f>
        <v>0</v>
      </c>
      <c r="I29" s="90">
        <v>3</v>
      </c>
      <c r="K29" s="36">
        <v>27</v>
      </c>
      <c r="L29" s="95">
        <v>362.4</v>
      </c>
    </row>
    <row r="30" spans="1:17" x14ac:dyDescent="0.4">
      <c r="E30" s="59" t="s">
        <v>76</v>
      </c>
      <c r="F30" s="56" t="s">
        <v>31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375.79999999999995</v>
      </c>
    </row>
    <row r="31" spans="1:17" x14ac:dyDescent="0.4">
      <c r="E31" s="59" t="s">
        <v>80</v>
      </c>
      <c r="F31" s="56" t="s">
        <v>35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381.09999999999997</v>
      </c>
    </row>
    <row r="32" spans="1:17" x14ac:dyDescent="0.4">
      <c r="E32" s="59" t="s">
        <v>82</v>
      </c>
      <c r="F32" s="56" t="s">
        <v>37</v>
      </c>
      <c r="G32" s="44">
        <v>0</v>
      </c>
      <c r="H32" s="129">
        <f>IF(B$17=0,0,G32/B$17)</f>
        <v>0</v>
      </c>
      <c r="I32" s="90">
        <v>1</v>
      </c>
      <c r="K32" s="36">
        <v>30</v>
      </c>
      <c r="L32" s="95">
        <v>340.79999999999995</v>
      </c>
    </row>
    <row r="33" spans="5:12" x14ac:dyDescent="0.4">
      <c r="E33" s="59" t="s">
        <v>87</v>
      </c>
      <c r="F33" s="56" t="s">
        <v>42</v>
      </c>
      <c r="G33" s="44">
        <v>0</v>
      </c>
      <c r="H33" s="129">
        <f>IF(B$17=0,0,G33/B$17)</f>
        <v>0</v>
      </c>
      <c r="I33" s="90">
        <v>3</v>
      </c>
      <c r="K33" s="36">
        <v>31</v>
      </c>
      <c r="L33" s="95">
        <v>319.49999999999994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3</v>
      </c>
      <c r="K34" s="36">
        <v>32</v>
      </c>
      <c r="L34" s="95">
        <v>349.39999999999992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349.19999999999993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374.49999999999994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357.89999999999992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312.09999999999991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325.09999999999991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360.49999999999989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365.39999999999986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398.79999999999984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399.89999999999986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419.29999999999984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424.79999999999984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424.39999999999986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425.69999999999987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  <row r="65" spans="11:12" x14ac:dyDescent="0.4">
      <c r="K65" s="36">
        <v>63</v>
      </c>
      <c r="L65" s="95">
        <v>500.59999999999997</v>
      </c>
    </row>
    <row r="66" spans="11:12" x14ac:dyDescent="0.4">
      <c r="K66" s="36">
        <v>64</v>
      </c>
      <c r="L66" s="95">
        <v>518.9</v>
      </c>
    </row>
    <row r="67" spans="11:12" x14ac:dyDescent="0.4">
      <c r="K67" s="36">
        <v>65</v>
      </c>
      <c r="L67" s="95">
        <v>538.1</v>
      </c>
    </row>
    <row r="68" spans="11:12" x14ac:dyDescent="0.4">
      <c r="K68" s="36">
        <v>66</v>
      </c>
      <c r="L68" s="95">
        <v>538.70000000000005</v>
      </c>
    </row>
    <row r="69" spans="11:12" x14ac:dyDescent="0.4">
      <c r="K69" s="36">
        <v>67</v>
      </c>
      <c r="L69" s="95">
        <v>503.50000000000006</v>
      </c>
    </row>
    <row r="70" spans="11:12" x14ac:dyDescent="0.4">
      <c r="K70" s="36">
        <v>68</v>
      </c>
      <c r="L70" s="95">
        <v>544.1</v>
      </c>
    </row>
    <row r="71" spans="11:12" x14ac:dyDescent="0.4">
      <c r="K71" s="36">
        <v>69</v>
      </c>
      <c r="L71" s="95">
        <v>576.5</v>
      </c>
    </row>
    <row r="72" spans="11:12" x14ac:dyDescent="0.4">
      <c r="K72" s="36">
        <v>70</v>
      </c>
      <c r="L72" s="95">
        <v>544.79999999999995</v>
      </c>
    </row>
    <row r="73" spans="11:12" x14ac:dyDescent="0.4">
      <c r="K73" s="36">
        <v>71</v>
      </c>
      <c r="L73" s="95">
        <v>502.09999999999997</v>
      </c>
    </row>
    <row r="74" spans="11:12" x14ac:dyDescent="0.4">
      <c r="K74" s="36">
        <v>72</v>
      </c>
      <c r="L74" s="95">
        <v>526.19999999999993</v>
      </c>
    </row>
    <row r="75" spans="11:12" x14ac:dyDescent="0.4">
      <c r="K75" s="36">
        <v>73</v>
      </c>
      <c r="L75" s="95">
        <v>550.99999999999989</v>
      </c>
    </row>
    <row r="76" spans="11:12" x14ac:dyDescent="0.4">
      <c r="K76" s="36">
        <v>74</v>
      </c>
      <c r="L76" s="95">
        <v>576.49999999999989</v>
      </c>
    </row>
    <row r="77" spans="11:12" x14ac:dyDescent="0.4">
      <c r="K77" s="36">
        <v>75</v>
      </c>
      <c r="L77" s="95">
        <v>601.29999999999984</v>
      </c>
    </row>
    <row r="78" spans="11:12" x14ac:dyDescent="0.4">
      <c r="K78" s="36">
        <v>76</v>
      </c>
      <c r="L78" s="95">
        <v>576.29999999999984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DB13E-5C74-457A-A9D6-76D1440681DB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179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47</v>
      </c>
      <c r="C2" s="151"/>
      <c r="E2" s="58" t="s">
        <v>66</v>
      </c>
      <c r="F2" s="55" t="s">
        <v>22</v>
      </c>
      <c r="G2" s="43">
        <v>83</v>
      </c>
      <c r="H2" s="128">
        <f>IF(B$17=0,0,G2/B$17)</f>
        <v>0.73451327433628322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432.60869565217394</v>
      </c>
      <c r="P2" s="114">
        <v>46</v>
      </c>
      <c r="Q2" s="98">
        <v>19900</v>
      </c>
    </row>
    <row r="3" spans="1:17" x14ac:dyDescent="0.4">
      <c r="A3" s="51" t="s">
        <v>8</v>
      </c>
      <c r="B3" s="152">
        <v>401</v>
      </c>
      <c r="C3" s="153"/>
      <c r="E3" s="59" t="s">
        <v>64</v>
      </c>
      <c r="F3" s="56" t="s">
        <v>20</v>
      </c>
      <c r="G3" s="44">
        <v>68</v>
      </c>
      <c r="H3" s="129">
        <f>IF(B$17=0,0,G3/B$17)</f>
        <v>0.60176991150442483</v>
      </c>
      <c r="I3" s="90">
        <v>2</v>
      </c>
      <c r="K3" s="36">
        <v>1</v>
      </c>
      <c r="L3" s="95">
        <v>-37.799999999999997</v>
      </c>
      <c r="N3" s="111" t="s">
        <v>131</v>
      </c>
      <c r="O3" s="118">
        <f t="shared" si="0"/>
        <v>-547.82608695652175</v>
      </c>
      <c r="P3" s="115">
        <v>46</v>
      </c>
      <c r="Q3" s="99">
        <v>-25200</v>
      </c>
    </row>
    <row r="4" spans="1:17" x14ac:dyDescent="0.4">
      <c r="A4" s="51" t="s">
        <v>6</v>
      </c>
      <c r="B4" s="154">
        <v>-346.19999999999993</v>
      </c>
      <c r="C4" s="155"/>
      <c r="E4" s="59" t="s">
        <v>72</v>
      </c>
      <c r="F4" s="56" t="s">
        <v>27</v>
      </c>
      <c r="G4" s="44">
        <v>59</v>
      </c>
      <c r="H4" s="129">
        <f>IF(B$17=0,0,G4/B$17)</f>
        <v>0.52212389380530977</v>
      </c>
      <c r="I4" s="90">
        <v>6</v>
      </c>
      <c r="K4" s="36">
        <v>2</v>
      </c>
      <c r="L4" s="95">
        <v>-30.099999999999998</v>
      </c>
      <c r="N4" s="111" t="s">
        <v>132</v>
      </c>
      <c r="O4" s="118">
        <f t="shared" si="0"/>
        <v>981.81818181818187</v>
      </c>
      <c r="P4" s="115">
        <v>44</v>
      </c>
      <c r="Q4" s="99">
        <v>43200</v>
      </c>
    </row>
    <row r="5" spans="1:17" x14ac:dyDescent="0.4">
      <c r="A5" s="51" t="s">
        <v>7</v>
      </c>
      <c r="B5" s="156">
        <f>IF(B$2=0,0,B$4/B$2)</f>
        <v>-7.3659574468085092</v>
      </c>
      <c r="C5" s="157"/>
      <c r="E5" s="59" t="s">
        <v>171</v>
      </c>
      <c r="F5" s="56" t="s">
        <v>172</v>
      </c>
      <c r="G5" s="44">
        <v>44</v>
      </c>
      <c r="H5" s="129">
        <f>IF(B$17=0,0,G5/B$17)</f>
        <v>0.38938053097345132</v>
      </c>
      <c r="I5" s="90">
        <v>4</v>
      </c>
      <c r="K5" s="36">
        <v>3</v>
      </c>
      <c r="L5" s="95">
        <v>-17.599999999999998</v>
      </c>
      <c r="N5" s="111" t="s">
        <v>133</v>
      </c>
      <c r="O5" s="118">
        <f t="shared" si="0"/>
        <v>-1930.952380952381</v>
      </c>
      <c r="P5" s="115">
        <v>42</v>
      </c>
      <c r="Q5" s="99">
        <v>-81100</v>
      </c>
    </row>
    <row r="6" spans="1:17" x14ac:dyDescent="0.4">
      <c r="A6" s="51" t="s">
        <v>1</v>
      </c>
      <c r="B6" s="146">
        <f>IF(B$2=0,0,(B$7*1+B$8*2+B$9*3)/B$2)</f>
        <v>2.2340425531914891</v>
      </c>
      <c r="C6" s="147"/>
      <c r="E6" s="59" t="s">
        <v>68</v>
      </c>
      <c r="F6" s="56" t="s">
        <v>12</v>
      </c>
      <c r="G6" s="44">
        <v>36</v>
      </c>
      <c r="H6" s="129">
        <f>IF(B$17=0,0,G6/B$17)</f>
        <v>0.31858407079646017</v>
      </c>
      <c r="I6" s="90">
        <v>5</v>
      </c>
      <c r="K6" s="36">
        <v>4</v>
      </c>
      <c r="L6" s="95">
        <v>-54.899999999999991</v>
      </c>
      <c r="N6" s="111" t="s">
        <v>134</v>
      </c>
      <c r="O6" s="118">
        <f t="shared" si="0"/>
        <v>-3119.5121951219512</v>
      </c>
      <c r="P6" s="115">
        <v>41</v>
      </c>
      <c r="Q6" s="99">
        <v>-127900</v>
      </c>
    </row>
    <row r="7" spans="1:17" x14ac:dyDescent="0.4">
      <c r="A7" s="51" t="s">
        <v>2</v>
      </c>
      <c r="B7" s="44">
        <v>9</v>
      </c>
      <c r="C7" s="37">
        <f t="shared" ref="C7:C12" si="1">IF(B$2=0,0,B7/B$2)</f>
        <v>0.19148936170212766</v>
      </c>
      <c r="E7" s="59" t="s">
        <v>67</v>
      </c>
      <c r="F7" s="56" t="s">
        <v>23</v>
      </c>
      <c r="G7" s="44">
        <v>34</v>
      </c>
      <c r="H7" s="129">
        <f>IF(B$17=0,0,G7/B$17)</f>
        <v>0.30088495575221241</v>
      </c>
      <c r="I7" s="90">
        <v>6</v>
      </c>
      <c r="K7" s="36">
        <v>5</v>
      </c>
      <c r="L7" s="95">
        <v>-33.699999999999989</v>
      </c>
      <c r="N7" s="112" t="s">
        <v>135</v>
      </c>
      <c r="O7" s="119">
        <f t="shared" si="0"/>
        <v>-2638.8888888888887</v>
      </c>
      <c r="P7" s="116">
        <v>36</v>
      </c>
      <c r="Q7" s="100">
        <v>-95000</v>
      </c>
    </row>
    <row r="8" spans="1:17" x14ac:dyDescent="0.4">
      <c r="A8" s="51" t="s">
        <v>3</v>
      </c>
      <c r="B8" s="44">
        <v>18</v>
      </c>
      <c r="C8" s="37">
        <f t="shared" si="1"/>
        <v>0.38297872340425532</v>
      </c>
      <c r="E8" s="59" t="s">
        <v>70</v>
      </c>
      <c r="F8" s="56" t="s">
        <v>25</v>
      </c>
      <c r="G8" s="44">
        <v>18</v>
      </c>
      <c r="H8" s="129">
        <f>IF(B$17=0,0,G8/B$17)</f>
        <v>0.15929203539823009</v>
      </c>
      <c r="I8" s="90">
        <v>1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20</v>
      </c>
      <c r="C9" s="38">
        <f t="shared" si="1"/>
        <v>0.42553191489361702</v>
      </c>
      <c r="E9" s="59" t="s">
        <v>69</v>
      </c>
      <c r="F9" s="56" t="s">
        <v>24</v>
      </c>
      <c r="G9" s="44">
        <v>16</v>
      </c>
      <c r="H9" s="129">
        <f>IF(B$17=0,0,G9/B$17)</f>
        <v>0.1415929203539823</v>
      </c>
      <c r="I9" s="90">
        <v>5</v>
      </c>
      <c r="K9" s="36">
        <v>7</v>
      </c>
      <c r="L9" s="95">
        <v>-39.499999999999993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2</v>
      </c>
      <c r="C10" s="38">
        <f t="shared" si="1"/>
        <v>4.2553191489361701E-2</v>
      </c>
      <c r="E10" s="59" t="s">
        <v>65</v>
      </c>
      <c r="F10" s="56" t="s">
        <v>21</v>
      </c>
      <c r="G10" s="44">
        <v>12</v>
      </c>
      <c r="H10" s="129">
        <f>IF(B$17=0,0,G10/B$17)</f>
        <v>0.10619469026548672</v>
      </c>
      <c r="I10" s="90">
        <v>3</v>
      </c>
      <c r="K10" s="36">
        <v>8</v>
      </c>
      <c r="L10" s="95">
        <v>-62.999999999999993</v>
      </c>
      <c r="N10" s="110" t="s">
        <v>162</v>
      </c>
      <c r="O10" s="120">
        <f>IF(P10=0,0,Q10/P10)</f>
        <v>0.69473684210526221</v>
      </c>
      <c r="P10" s="114">
        <v>19</v>
      </c>
      <c r="Q10" s="102">
        <v>13.199999999999982</v>
      </c>
    </row>
    <row r="11" spans="1:17" x14ac:dyDescent="0.4">
      <c r="A11" s="52" t="s">
        <v>138</v>
      </c>
      <c r="B11" s="45">
        <v>2</v>
      </c>
      <c r="C11" s="38">
        <f t="shared" si="1"/>
        <v>4.2553191489361701E-2</v>
      </c>
      <c r="E11" s="59" t="s">
        <v>89</v>
      </c>
      <c r="F11" s="56" t="s">
        <v>44</v>
      </c>
      <c r="G11" s="44">
        <v>10</v>
      </c>
      <c r="H11" s="129">
        <f>IF(B$17=0,0,G11/B$17)</f>
        <v>8.8495575221238937E-2</v>
      </c>
      <c r="I11" s="90">
        <v>8</v>
      </c>
      <c r="K11" s="36">
        <v>9</v>
      </c>
      <c r="L11" s="95">
        <v>-74.199999999999989</v>
      </c>
      <c r="N11" s="111" t="s">
        <v>163</v>
      </c>
      <c r="O11" s="121">
        <f>IF(P11=0,0,Q11/P11)</f>
        <v>-9.615384615384615</v>
      </c>
      <c r="P11" s="115">
        <v>13</v>
      </c>
      <c r="Q11" s="103">
        <v>-125</v>
      </c>
    </row>
    <row r="12" spans="1:17" x14ac:dyDescent="0.4">
      <c r="A12" s="53" t="s">
        <v>158</v>
      </c>
      <c r="B12" s="46">
        <v>3</v>
      </c>
      <c r="C12" s="40">
        <f t="shared" si="1"/>
        <v>6.3829787234042548E-2</v>
      </c>
      <c r="E12" s="59" t="s">
        <v>83</v>
      </c>
      <c r="F12" s="56" t="s">
        <v>38</v>
      </c>
      <c r="G12" s="44">
        <v>8</v>
      </c>
      <c r="H12" s="129">
        <f>IF(B$17=0,0,G12/B$17)</f>
        <v>7.0796460176991149E-2</v>
      </c>
      <c r="I12" s="90">
        <v>4</v>
      </c>
      <c r="K12" s="36">
        <v>10</v>
      </c>
      <c r="L12" s="95">
        <v>-117.19999999999999</v>
      </c>
      <c r="N12" s="112" t="s">
        <v>164</v>
      </c>
      <c r="O12" s="122">
        <f>IF(P12=0,0,Q12/P12)</f>
        <v>-15.626666666666667</v>
      </c>
      <c r="P12" s="116">
        <v>15</v>
      </c>
      <c r="Q12" s="104">
        <v>-234.4</v>
      </c>
    </row>
    <row r="13" spans="1:17" x14ac:dyDescent="0.4">
      <c r="A13" s="54" t="s">
        <v>121</v>
      </c>
      <c r="B13" s="47">
        <v>115</v>
      </c>
      <c r="C13" s="42">
        <f>IF(B$3=0,0,B13/B$3)</f>
        <v>0.28678304239401498</v>
      </c>
      <c r="E13" s="59" t="s">
        <v>71</v>
      </c>
      <c r="F13" s="56" t="s">
        <v>26</v>
      </c>
      <c r="G13" s="44">
        <v>5</v>
      </c>
      <c r="H13" s="129">
        <f>IF(B$17=0,0,G13/B$17)</f>
        <v>4.4247787610619468E-2</v>
      </c>
      <c r="I13" s="90">
        <v>11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75</v>
      </c>
      <c r="C14" s="37">
        <f>IF(B$3=0,0,B14/B$3)</f>
        <v>0.18703241895261846</v>
      </c>
      <c r="E14" s="59" t="s">
        <v>78</v>
      </c>
      <c r="F14" s="56" t="s">
        <v>33</v>
      </c>
      <c r="G14" s="44">
        <v>4</v>
      </c>
      <c r="H14" s="129">
        <f>IF(B$17=0,0,G14/B$17)</f>
        <v>3.5398230088495575E-2</v>
      </c>
      <c r="I14" s="90">
        <v>1</v>
      </c>
      <c r="K14" s="36">
        <v>12</v>
      </c>
      <c r="L14" s="95">
        <v>-158.6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69</v>
      </c>
      <c r="C15" s="35">
        <f>IF(B$13=0,0,B15/B$13)</f>
        <v>0.6</v>
      </c>
      <c r="E15" s="59" t="s">
        <v>86</v>
      </c>
      <c r="F15" s="56" t="s">
        <v>41</v>
      </c>
      <c r="G15" s="44">
        <v>3</v>
      </c>
      <c r="H15" s="129">
        <f>IF(B$17=0,0,G15/B$17)</f>
        <v>2.6548672566371681E-2</v>
      </c>
      <c r="I15" s="90">
        <v>9</v>
      </c>
      <c r="K15" s="36">
        <v>13</v>
      </c>
      <c r="L15" s="95">
        <v>-207.3</v>
      </c>
      <c r="N15" s="110" t="s">
        <v>182</v>
      </c>
      <c r="O15" s="120">
        <f>IF(P15=0,0,Q15/P15)</f>
        <v>25.799999999999997</v>
      </c>
      <c r="P15" s="114">
        <v>1</v>
      </c>
      <c r="Q15" s="102">
        <v>25.799999999999997</v>
      </c>
    </row>
    <row r="16" spans="1:17" x14ac:dyDescent="0.4">
      <c r="A16" s="50" t="s">
        <v>124</v>
      </c>
      <c r="B16" s="43">
        <v>30</v>
      </c>
      <c r="C16" s="35">
        <f>IF(B$14=0,0,B16/B$14)</f>
        <v>0.4</v>
      </c>
      <c r="E16" s="59" t="s">
        <v>75</v>
      </c>
      <c r="F16" s="56" t="s">
        <v>30</v>
      </c>
      <c r="G16" s="44">
        <v>2</v>
      </c>
      <c r="H16" s="129">
        <f>IF(B$17=0,0,G16/B$17)</f>
        <v>1.7699115044247787E-2</v>
      </c>
      <c r="I16" s="90">
        <v>2</v>
      </c>
      <c r="K16" s="36">
        <v>14</v>
      </c>
      <c r="L16" s="95">
        <v>-204.8</v>
      </c>
      <c r="N16" s="111" t="s">
        <v>166</v>
      </c>
      <c r="O16" s="121">
        <f>IF(P16=0,0,Q16/P16)</f>
        <v>10.390909090909091</v>
      </c>
      <c r="P16" s="115">
        <v>11</v>
      </c>
      <c r="Q16" s="103">
        <v>114.3</v>
      </c>
    </row>
    <row r="17" spans="1:17" x14ac:dyDescent="0.4">
      <c r="A17" s="50" t="s">
        <v>10</v>
      </c>
      <c r="B17" s="43">
        <f>B19+B18</f>
        <v>113</v>
      </c>
      <c r="C17" s="35">
        <f>IF(B$3=0,0,B17/B$3)</f>
        <v>0.28179551122194513</v>
      </c>
      <c r="E17" s="59" t="s">
        <v>79</v>
      </c>
      <c r="F17" s="56" t="s">
        <v>34</v>
      </c>
      <c r="G17" s="44">
        <v>2</v>
      </c>
      <c r="H17" s="129">
        <f>IF(B$17=0,0,G17/B$17)</f>
        <v>1.7699115044247787E-2</v>
      </c>
      <c r="I17" s="90">
        <v>4</v>
      </c>
      <c r="K17" s="36">
        <v>15</v>
      </c>
      <c r="L17" s="95">
        <v>-221.5</v>
      </c>
      <c r="N17" s="111" t="s">
        <v>181</v>
      </c>
      <c r="O17" s="121">
        <f>IF(P17=0,0,Q17/P17)</f>
        <v>3.7285714285714309</v>
      </c>
      <c r="P17" s="115">
        <v>7</v>
      </c>
      <c r="Q17" s="103">
        <v>26.100000000000016</v>
      </c>
    </row>
    <row r="18" spans="1:17" x14ac:dyDescent="0.4">
      <c r="A18" s="51" t="s">
        <v>12</v>
      </c>
      <c r="B18" s="44">
        <v>48</v>
      </c>
      <c r="C18" s="37">
        <f>IF(B$17=0,0,B18/B$17)</f>
        <v>0.4247787610619469</v>
      </c>
      <c r="E18" s="59" t="s">
        <v>81</v>
      </c>
      <c r="F18" s="56" t="s">
        <v>36</v>
      </c>
      <c r="G18" s="44">
        <v>2</v>
      </c>
      <c r="H18" s="129">
        <f>IF(B$17=0,0,G18/B$17)</f>
        <v>1.7699115044247787E-2</v>
      </c>
      <c r="I18" s="90">
        <v>5</v>
      </c>
      <c r="K18" s="36">
        <v>16</v>
      </c>
      <c r="L18" s="95">
        <v>-224.3</v>
      </c>
      <c r="N18" s="111" t="s">
        <v>177</v>
      </c>
      <c r="O18" s="121">
        <f>IF(P18=0,0,Q18/P18)</f>
        <v>1.0000000000000004</v>
      </c>
      <c r="P18" s="115">
        <v>6</v>
      </c>
      <c r="Q18" s="103">
        <v>6.0000000000000027</v>
      </c>
    </row>
    <row r="19" spans="1:17" x14ac:dyDescent="0.4">
      <c r="A19" s="51" t="s">
        <v>11</v>
      </c>
      <c r="B19" s="44">
        <v>65</v>
      </c>
      <c r="C19" s="37">
        <f>IF(B$17=0,0,B19/B$17)</f>
        <v>0.5752212389380531</v>
      </c>
      <c r="E19" s="59" t="s">
        <v>91</v>
      </c>
      <c r="F19" s="56" t="s">
        <v>46</v>
      </c>
      <c r="G19" s="44">
        <v>1</v>
      </c>
      <c r="H19" s="129">
        <f>IF(B$17=0,0,G19/B$17)</f>
        <v>8.8495575221238937E-3</v>
      </c>
      <c r="I19" s="90">
        <v>5</v>
      </c>
      <c r="K19" s="36">
        <v>17</v>
      </c>
      <c r="L19" s="95">
        <v>-251.4</v>
      </c>
      <c r="N19" s="111" t="s">
        <v>127</v>
      </c>
      <c r="O19" s="121">
        <f>IF(P19=0,0,Q19/P19)</f>
        <v>-10.948148148148144</v>
      </c>
      <c r="P19" s="115">
        <v>27</v>
      </c>
      <c r="Q19" s="103">
        <v>-295.59999999999991</v>
      </c>
    </row>
    <row r="20" spans="1:17" x14ac:dyDescent="0.4">
      <c r="A20" s="51" t="s">
        <v>13</v>
      </c>
      <c r="B20" s="44">
        <v>82</v>
      </c>
      <c r="C20" s="37">
        <f>IF(B$3=0,0,B20/B$3)</f>
        <v>0.20448877805486285</v>
      </c>
      <c r="E20" s="59" t="s">
        <v>167</v>
      </c>
      <c r="F20" s="56" t="s">
        <v>168</v>
      </c>
      <c r="G20" s="44">
        <v>1</v>
      </c>
      <c r="H20" s="129">
        <f>IF(B$17=0,0,G20/B$17)</f>
        <v>8.8495575221238937E-3</v>
      </c>
      <c r="I20" s="90">
        <v>6</v>
      </c>
      <c r="K20" s="36">
        <v>18</v>
      </c>
      <c r="L20" s="95">
        <v>-240</v>
      </c>
      <c r="N20" s="111" t="s">
        <v>126</v>
      </c>
      <c r="O20" s="121">
        <f>IF(P20=0,0,Q20/P20)</f>
        <v>-17.467741935483875</v>
      </c>
      <c r="P20" s="115">
        <v>31</v>
      </c>
      <c r="Q20" s="103">
        <v>-541.50000000000011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3</v>
      </c>
      <c r="K21" s="36">
        <v>19</v>
      </c>
      <c r="L21" s="95">
        <v>-218</v>
      </c>
      <c r="N21" s="111" t="s">
        <v>178</v>
      </c>
      <c r="O21" s="121">
        <f>IF(P21=0,0,Q21/P21)</f>
        <v>-31.71</v>
      </c>
      <c r="P21" s="115">
        <v>10</v>
      </c>
      <c r="Q21" s="103">
        <v>-317.10000000000002</v>
      </c>
    </row>
    <row r="22" spans="1:17" x14ac:dyDescent="0.4">
      <c r="A22" s="51" t="s">
        <v>170</v>
      </c>
      <c r="B22" s="44">
        <v>21</v>
      </c>
      <c r="C22" s="131">
        <v>0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6</v>
      </c>
      <c r="K22" s="36">
        <v>20</v>
      </c>
      <c r="L22" s="95">
        <v>-177.6</v>
      </c>
      <c r="N22" s="111" t="s">
        <v>195</v>
      </c>
      <c r="O22" s="121">
        <f>IF(P22=0,0,Q22/P22)</f>
        <v>-56.6</v>
      </c>
      <c r="P22" s="115">
        <v>1</v>
      </c>
      <c r="Q22" s="103">
        <v>-56.6</v>
      </c>
    </row>
    <row r="23" spans="1:17" x14ac:dyDescent="0.4">
      <c r="A23" s="51" t="s">
        <v>5</v>
      </c>
      <c r="B23" s="48">
        <f>IF(B$17=0,0,C23/B$17)</f>
        <v>7690.2654867256633</v>
      </c>
      <c r="C23" s="39">
        <v>869000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-133.30000000000001</v>
      </c>
    </row>
    <row r="24" spans="1:17" x14ac:dyDescent="0.4">
      <c r="A24" s="52" t="s">
        <v>216</v>
      </c>
      <c r="B24" s="136">
        <f>IF($B$17-B$16=0,0,C24/($B$17-B$16))</f>
        <v>8161.4457831325299</v>
      </c>
      <c r="C24" s="137">
        <v>677400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4</v>
      </c>
      <c r="K24" s="36">
        <v>22</v>
      </c>
      <c r="L24" s="95">
        <v>-164.60000000000002</v>
      </c>
    </row>
    <row r="25" spans="1:17" x14ac:dyDescent="0.4">
      <c r="A25" s="52" t="s">
        <v>217</v>
      </c>
      <c r="B25" s="136">
        <f>IF(B$16=0,0,C25/B$16)</f>
        <v>6386.666666666667</v>
      </c>
      <c r="C25" s="137">
        <v>191600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-162.70000000000002</v>
      </c>
    </row>
    <row r="26" spans="1:17" x14ac:dyDescent="0.4">
      <c r="A26" s="52" t="s">
        <v>215</v>
      </c>
      <c r="B26" s="136">
        <f>IF(B$20=0,0,C26/B$20)</f>
        <v>-7435.3658536585363</v>
      </c>
      <c r="C26" s="137">
        <v>-609700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86" t="s">
        <v>140</v>
      </c>
      <c r="B27" s="144">
        <v>8</v>
      </c>
      <c r="C27" s="145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-185.00000000000003</v>
      </c>
    </row>
    <row r="28" spans="1:17" x14ac:dyDescent="0.4">
      <c r="A28" s="54" t="s">
        <v>150</v>
      </c>
      <c r="B28" s="142">
        <v>69300</v>
      </c>
      <c r="C28" s="143"/>
      <c r="E28" s="59" t="s">
        <v>85</v>
      </c>
      <c r="F28" s="56" t="s">
        <v>40</v>
      </c>
      <c r="G28" s="44">
        <v>0</v>
      </c>
      <c r="H28" s="129">
        <f>IF(B$17=0,0,G28/B$17)</f>
        <v>0</v>
      </c>
      <c r="I28" s="90">
        <v>6</v>
      </c>
      <c r="K28" s="36">
        <v>26</v>
      </c>
      <c r="L28" s="95">
        <v>-186.00000000000003</v>
      </c>
    </row>
    <row r="29" spans="1:17" x14ac:dyDescent="0.4">
      <c r="A29" s="53" t="s">
        <v>141</v>
      </c>
      <c r="B29" s="61">
        <v>2</v>
      </c>
      <c r="C29" s="40">
        <f>IF(B$3=0,0,B29/B$3)</f>
        <v>4.9875311720698253E-3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3</v>
      </c>
      <c r="K29" s="36">
        <v>27</v>
      </c>
      <c r="L29" s="95">
        <v>-163.00000000000003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-181.70000000000002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-159.9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-175.6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3</v>
      </c>
      <c r="K33" s="36">
        <v>31</v>
      </c>
      <c r="L33" s="95">
        <v>-212.6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-244.8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4</v>
      </c>
      <c r="K35" s="36">
        <v>33</v>
      </c>
      <c r="L35" s="95">
        <v>-261.3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-236.8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-264.60000000000002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-252.20000000000002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-261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-245.4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-227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-268.39999999999998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-264.39999999999998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-268.89999999999998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-299.39999999999998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-330.7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-353.09999999999997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-351.79999999999995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-346.19999999999993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61ACC-A491-4DED-A65D-7D71CE77A3E8}">
  <sheetPr codeName="Sheet11"/>
  <dimension ref="A1:Q75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127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73</v>
      </c>
      <c r="C2" s="151"/>
      <c r="E2" s="58" t="s">
        <v>66</v>
      </c>
      <c r="F2" s="55" t="s">
        <v>22</v>
      </c>
      <c r="G2" s="43">
        <v>184</v>
      </c>
      <c r="H2" s="128">
        <f>IF(B$17=0,0,G2/B$17)</f>
        <v>0.92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-1500</v>
      </c>
      <c r="P2" s="114">
        <v>72</v>
      </c>
      <c r="Q2" s="98">
        <v>-108000</v>
      </c>
    </row>
    <row r="3" spans="1:17" x14ac:dyDescent="0.4">
      <c r="A3" s="51" t="s">
        <v>8</v>
      </c>
      <c r="B3" s="152">
        <v>623</v>
      </c>
      <c r="C3" s="153"/>
      <c r="E3" s="59" t="s">
        <v>72</v>
      </c>
      <c r="F3" s="56" t="s">
        <v>27</v>
      </c>
      <c r="G3" s="44">
        <v>114</v>
      </c>
      <c r="H3" s="129">
        <f>IF(B$17=0,0,G3/B$17)</f>
        <v>0.56999999999999995</v>
      </c>
      <c r="I3" s="90">
        <v>4</v>
      </c>
      <c r="K3" s="36">
        <v>1</v>
      </c>
      <c r="L3" s="95">
        <v>-45.6</v>
      </c>
      <c r="N3" s="111" t="s">
        <v>131</v>
      </c>
      <c r="O3" s="118">
        <f t="shared" si="0"/>
        <v>1415.7142857142858</v>
      </c>
      <c r="P3" s="115">
        <v>70</v>
      </c>
      <c r="Q3" s="99">
        <v>99100</v>
      </c>
    </row>
    <row r="4" spans="1:17" x14ac:dyDescent="0.4">
      <c r="A4" s="51" t="s">
        <v>6</v>
      </c>
      <c r="B4" s="154">
        <v>380.79999999999984</v>
      </c>
      <c r="C4" s="155"/>
      <c r="E4" s="59" t="s">
        <v>171</v>
      </c>
      <c r="F4" s="56" t="s">
        <v>172</v>
      </c>
      <c r="G4" s="44">
        <v>86</v>
      </c>
      <c r="H4" s="129">
        <f>IF(B$17=0,0,G4/B$17)</f>
        <v>0.43</v>
      </c>
      <c r="I4" s="90">
        <v>2</v>
      </c>
      <c r="K4" s="36">
        <v>2</v>
      </c>
      <c r="L4" s="95">
        <v>-34.299999999999997</v>
      </c>
      <c r="N4" s="111" t="s">
        <v>132</v>
      </c>
      <c r="O4" s="118">
        <f t="shared" si="0"/>
        <v>371.64179104477614</v>
      </c>
      <c r="P4" s="115">
        <v>67</v>
      </c>
      <c r="Q4" s="99">
        <v>24900</v>
      </c>
    </row>
    <row r="5" spans="1:17" x14ac:dyDescent="0.4">
      <c r="A5" s="51" t="s">
        <v>7</v>
      </c>
      <c r="B5" s="156">
        <f>IF(B$2=0,0,B$4/B$2)</f>
        <v>5.2164383561643817</v>
      </c>
      <c r="C5" s="157"/>
      <c r="E5" s="59" t="s">
        <v>64</v>
      </c>
      <c r="F5" s="56" t="s">
        <v>20</v>
      </c>
      <c r="G5" s="44">
        <v>80</v>
      </c>
      <c r="H5" s="129">
        <f>IF(B$17=0,0,G5/B$17)</f>
        <v>0.4</v>
      </c>
      <c r="I5" s="90">
        <v>9</v>
      </c>
      <c r="K5" s="36">
        <v>3</v>
      </c>
      <c r="L5" s="95">
        <v>-58.599999999999994</v>
      </c>
      <c r="N5" s="111" t="s">
        <v>133</v>
      </c>
      <c r="O5" s="118">
        <f t="shared" si="0"/>
        <v>2882.5396825396824</v>
      </c>
      <c r="P5" s="115">
        <v>63</v>
      </c>
      <c r="Q5" s="99">
        <v>181600</v>
      </c>
    </row>
    <row r="6" spans="1:17" x14ac:dyDescent="0.4">
      <c r="A6" s="51" t="s">
        <v>1</v>
      </c>
      <c r="B6" s="146">
        <f>IF(B$2=0,0,(B$7*1+B$8*2+B$9*3)/B$2)</f>
        <v>1.8356164383561644</v>
      </c>
      <c r="C6" s="147"/>
      <c r="E6" s="59" t="s">
        <v>68</v>
      </c>
      <c r="F6" s="56" t="s">
        <v>12</v>
      </c>
      <c r="G6" s="44">
        <v>54</v>
      </c>
      <c r="H6" s="129">
        <f>IF(B$17=0,0,G6/B$17)</f>
        <v>0.27</v>
      </c>
      <c r="I6" s="90">
        <v>10</v>
      </c>
      <c r="K6" s="36">
        <v>4</v>
      </c>
      <c r="L6" s="95">
        <v>-38.099999999999994</v>
      </c>
      <c r="N6" s="111" t="s">
        <v>134</v>
      </c>
      <c r="O6" s="118">
        <f t="shared" si="0"/>
        <v>188.33333333333334</v>
      </c>
      <c r="P6" s="115">
        <v>60</v>
      </c>
      <c r="Q6" s="99">
        <v>11300</v>
      </c>
    </row>
    <row r="7" spans="1:17" x14ac:dyDescent="0.4">
      <c r="A7" s="51" t="s">
        <v>2</v>
      </c>
      <c r="B7" s="44">
        <v>32</v>
      </c>
      <c r="C7" s="37">
        <f t="shared" ref="C7:C12" si="1">IF(B$2=0,0,B7/B$2)</f>
        <v>0.43835616438356162</v>
      </c>
      <c r="E7" s="59" t="s">
        <v>67</v>
      </c>
      <c r="F7" s="56" t="s">
        <v>23</v>
      </c>
      <c r="G7" s="44">
        <v>48</v>
      </c>
      <c r="H7" s="129">
        <f>IF(B$17=0,0,G7/B$17)</f>
        <v>0.24</v>
      </c>
      <c r="I7" s="90">
        <v>10</v>
      </c>
      <c r="K7" s="36">
        <v>5</v>
      </c>
      <c r="L7" s="95">
        <v>-11.299999999999994</v>
      </c>
      <c r="N7" s="112" t="s">
        <v>135</v>
      </c>
      <c r="O7" s="119">
        <f t="shared" si="0"/>
        <v>1781.6326530612246</v>
      </c>
      <c r="P7" s="116">
        <v>49</v>
      </c>
      <c r="Q7" s="100">
        <v>87300</v>
      </c>
    </row>
    <row r="8" spans="1:17" x14ac:dyDescent="0.4">
      <c r="A8" s="51" t="s">
        <v>3</v>
      </c>
      <c r="B8" s="44">
        <v>21</v>
      </c>
      <c r="C8" s="37">
        <f t="shared" si="1"/>
        <v>0.28767123287671231</v>
      </c>
      <c r="E8" s="59" t="s">
        <v>89</v>
      </c>
      <c r="F8" s="56" t="s">
        <v>44</v>
      </c>
      <c r="G8" s="44">
        <v>24</v>
      </c>
      <c r="H8" s="129">
        <f>IF(B$17=0,0,G8/B$17)</f>
        <v>0.12</v>
      </c>
      <c r="I8" s="90">
        <v>7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20</v>
      </c>
      <c r="C9" s="38">
        <f t="shared" si="1"/>
        <v>0.27397260273972601</v>
      </c>
      <c r="E9" s="59" t="s">
        <v>69</v>
      </c>
      <c r="F9" s="56" t="s">
        <v>24</v>
      </c>
      <c r="G9" s="44">
        <v>22</v>
      </c>
      <c r="H9" s="129">
        <f>IF(B$17=0,0,G9/B$17)</f>
        <v>0.11</v>
      </c>
      <c r="I9" s="90">
        <v>8</v>
      </c>
      <c r="K9" s="36">
        <v>7</v>
      </c>
      <c r="L9" s="95">
        <v>-9.4999999999999929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10</v>
      </c>
      <c r="C10" s="38">
        <f t="shared" si="1"/>
        <v>0.13698630136986301</v>
      </c>
      <c r="E10" s="59" t="s">
        <v>71</v>
      </c>
      <c r="F10" s="56" t="s">
        <v>26</v>
      </c>
      <c r="G10" s="44">
        <v>17</v>
      </c>
      <c r="H10" s="129">
        <f>IF(B$17=0,0,G10/B$17)</f>
        <v>8.5000000000000006E-2</v>
      </c>
      <c r="I10" s="90">
        <v>6</v>
      </c>
      <c r="K10" s="36">
        <v>8</v>
      </c>
      <c r="L10" s="95">
        <v>-56.79999999999999</v>
      </c>
      <c r="N10" s="110" t="s">
        <v>162</v>
      </c>
      <c r="O10" s="120">
        <f>IF(P10=0,0,Q10/P10)</f>
        <v>7.541176470588236</v>
      </c>
      <c r="P10" s="114">
        <v>17</v>
      </c>
      <c r="Q10" s="102">
        <v>128.20000000000002</v>
      </c>
    </row>
    <row r="11" spans="1:17" x14ac:dyDescent="0.4">
      <c r="A11" s="52" t="s">
        <v>138</v>
      </c>
      <c r="B11" s="45">
        <v>8</v>
      </c>
      <c r="C11" s="38">
        <f t="shared" si="1"/>
        <v>0.1095890410958904</v>
      </c>
      <c r="E11" s="59" t="s">
        <v>65</v>
      </c>
      <c r="F11" s="56" t="s">
        <v>21</v>
      </c>
      <c r="G11" s="44">
        <v>16</v>
      </c>
      <c r="H11" s="129">
        <f>IF(B$17=0,0,G11/B$17)</f>
        <v>0.08</v>
      </c>
      <c r="I11" s="90">
        <v>9</v>
      </c>
      <c r="K11" s="36">
        <v>9</v>
      </c>
      <c r="L11" s="95">
        <v>-83.699999999999989</v>
      </c>
      <c r="N11" s="111" t="s">
        <v>163</v>
      </c>
      <c r="O11" s="121">
        <f>IF(P11=0,0,Q11/P11)</f>
        <v>9.5571428571428587</v>
      </c>
      <c r="P11" s="115">
        <v>21</v>
      </c>
      <c r="Q11" s="103">
        <v>200.70000000000002</v>
      </c>
    </row>
    <row r="12" spans="1:17" x14ac:dyDescent="0.4">
      <c r="A12" s="53" t="s">
        <v>158</v>
      </c>
      <c r="B12" s="46">
        <v>16</v>
      </c>
      <c r="C12" s="40">
        <f t="shared" si="1"/>
        <v>0.21917808219178081</v>
      </c>
      <c r="E12" s="59" t="s">
        <v>70</v>
      </c>
      <c r="F12" s="56" t="s">
        <v>25</v>
      </c>
      <c r="G12" s="44">
        <v>16</v>
      </c>
      <c r="H12" s="129">
        <f>IF(B$17=0,0,G12/B$17)</f>
        <v>0.08</v>
      </c>
      <c r="I12" s="90">
        <v>6</v>
      </c>
      <c r="K12" s="36">
        <v>10</v>
      </c>
      <c r="L12" s="95">
        <v>-78.399999999999991</v>
      </c>
      <c r="N12" s="112" t="s">
        <v>164</v>
      </c>
      <c r="O12" s="122">
        <f>IF(P12=0,0,Q12/P12)</f>
        <v>1.4828571428571422</v>
      </c>
      <c r="P12" s="116">
        <v>35</v>
      </c>
      <c r="Q12" s="104">
        <v>51.899999999999977</v>
      </c>
    </row>
    <row r="13" spans="1:17" x14ac:dyDescent="0.4">
      <c r="A13" s="54" t="s">
        <v>121</v>
      </c>
      <c r="B13" s="47">
        <v>142</v>
      </c>
      <c r="C13" s="42">
        <f>IF(B$3=0,0,B13/B$3)</f>
        <v>0.22792937399678972</v>
      </c>
      <c r="E13" s="59" t="s">
        <v>86</v>
      </c>
      <c r="F13" s="56" t="s">
        <v>41</v>
      </c>
      <c r="G13" s="44">
        <v>13</v>
      </c>
      <c r="H13" s="129">
        <f>IF(B$17=0,0,G13/B$17)</f>
        <v>6.5000000000000002E-2</v>
      </c>
      <c r="I13" s="90">
        <v>3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196</v>
      </c>
      <c r="C14" s="37">
        <f>IF(B$3=0,0,B14/B$3)</f>
        <v>0.3146067415730337</v>
      </c>
      <c r="E14" s="59" t="s">
        <v>83</v>
      </c>
      <c r="F14" s="56" t="s">
        <v>38</v>
      </c>
      <c r="G14" s="44">
        <v>10</v>
      </c>
      <c r="H14" s="129">
        <f>IF(B$17=0,0,G14/B$17)</f>
        <v>0.05</v>
      </c>
      <c r="I14" s="90">
        <v>8</v>
      </c>
      <c r="K14" s="36">
        <v>12</v>
      </c>
      <c r="L14" s="95">
        <v>-89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78</v>
      </c>
      <c r="C15" s="35">
        <f>IF(B$13=0,0,B15/B$13)</f>
        <v>0.54929577464788737</v>
      </c>
      <c r="E15" s="59" t="s">
        <v>91</v>
      </c>
      <c r="F15" s="56" t="s">
        <v>46</v>
      </c>
      <c r="G15" s="44">
        <v>7</v>
      </c>
      <c r="H15" s="129">
        <f>IF(B$17=0,0,G15/B$17)</f>
        <v>3.5000000000000003E-2</v>
      </c>
      <c r="I15" s="90">
        <v>1</v>
      </c>
      <c r="K15" s="36">
        <v>13</v>
      </c>
      <c r="L15" s="95">
        <v>-86.8</v>
      </c>
      <c r="N15" s="110" t="s">
        <v>195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">
      <c r="A16" s="50" t="s">
        <v>124</v>
      </c>
      <c r="B16" s="43">
        <v>78</v>
      </c>
      <c r="C16" s="35">
        <f>IF(B$14=0,0,B16/B$14)</f>
        <v>0.39795918367346939</v>
      </c>
      <c r="E16" s="59" t="s">
        <v>78</v>
      </c>
      <c r="F16" s="56" t="s">
        <v>33</v>
      </c>
      <c r="G16" s="44">
        <v>5</v>
      </c>
      <c r="H16" s="129">
        <f>IF(B$17=0,0,G16/B$17)</f>
        <v>2.5000000000000001E-2</v>
      </c>
      <c r="I16" s="90">
        <v>4</v>
      </c>
      <c r="K16" s="36">
        <v>14</v>
      </c>
      <c r="L16" s="95">
        <v>-138.4</v>
      </c>
      <c r="N16" s="111" t="s">
        <v>182</v>
      </c>
      <c r="O16" s="121">
        <f>IF(P16=0,0,Q16/P16)</f>
        <v>52.783333333333331</v>
      </c>
      <c r="P16" s="115">
        <v>6</v>
      </c>
      <c r="Q16" s="103">
        <v>316.7</v>
      </c>
    </row>
    <row r="17" spans="1:17" x14ac:dyDescent="0.4">
      <c r="A17" s="50" t="s">
        <v>10</v>
      </c>
      <c r="B17" s="43">
        <f>B19+B18</f>
        <v>200</v>
      </c>
      <c r="C17" s="35">
        <f>IF(B$3=0,0,B17/B$3)</f>
        <v>0.32102728731942215</v>
      </c>
      <c r="E17" s="59" t="s">
        <v>79</v>
      </c>
      <c r="F17" s="56" t="s">
        <v>34</v>
      </c>
      <c r="G17" s="44">
        <v>5</v>
      </c>
      <c r="H17" s="129">
        <f>IF(B$17=0,0,G17/B$17)</f>
        <v>2.5000000000000001E-2</v>
      </c>
      <c r="I17" s="90">
        <v>3</v>
      </c>
      <c r="K17" s="36">
        <v>15</v>
      </c>
      <c r="L17" s="95">
        <v>-144.30000000000001</v>
      </c>
      <c r="N17" s="111" t="s">
        <v>181</v>
      </c>
      <c r="O17" s="121">
        <f>IF(P17=0,0,Q17/P17)</f>
        <v>19.850000000000001</v>
      </c>
      <c r="P17" s="115">
        <v>2</v>
      </c>
      <c r="Q17" s="103">
        <v>39.700000000000003</v>
      </c>
    </row>
    <row r="18" spans="1:17" x14ac:dyDescent="0.4">
      <c r="A18" s="51" t="s">
        <v>12</v>
      </c>
      <c r="B18" s="44">
        <v>76</v>
      </c>
      <c r="C18" s="37">
        <f>IF(B$17=0,0,B18/B$17)</f>
        <v>0.38</v>
      </c>
      <c r="E18" s="59" t="s">
        <v>81</v>
      </c>
      <c r="F18" s="56" t="s">
        <v>36</v>
      </c>
      <c r="G18" s="44">
        <v>3</v>
      </c>
      <c r="H18" s="129">
        <f>IF(B$17=0,0,G18/B$17)</f>
        <v>1.4999999999999999E-2</v>
      </c>
      <c r="I18" s="90">
        <v>7</v>
      </c>
      <c r="K18" s="36">
        <v>16</v>
      </c>
      <c r="L18" s="95">
        <v>-187.3</v>
      </c>
      <c r="N18" s="111" t="s">
        <v>177</v>
      </c>
      <c r="O18" s="121">
        <f>IF(P18=0,0,Q18/P18)</f>
        <v>17.805000000000007</v>
      </c>
      <c r="P18" s="115">
        <v>20</v>
      </c>
      <c r="Q18" s="103">
        <v>356.10000000000014</v>
      </c>
    </row>
    <row r="19" spans="1:17" x14ac:dyDescent="0.4">
      <c r="A19" s="51" t="s">
        <v>11</v>
      </c>
      <c r="B19" s="44">
        <v>124</v>
      </c>
      <c r="C19" s="37">
        <f>IF(B$17=0,0,B19/B$17)</f>
        <v>0.62</v>
      </c>
      <c r="E19" s="59" t="s">
        <v>74</v>
      </c>
      <c r="F19" s="56" t="s">
        <v>29</v>
      </c>
      <c r="G19" s="44">
        <v>2</v>
      </c>
      <c r="H19" s="129">
        <f>IF(B$17=0,0,G19/B$17)</f>
        <v>0.01</v>
      </c>
      <c r="I19" s="90">
        <v>3</v>
      </c>
      <c r="K19" s="36">
        <v>17</v>
      </c>
      <c r="L19" s="95">
        <v>-179.70000000000002</v>
      </c>
      <c r="N19" s="111" t="s">
        <v>178</v>
      </c>
      <c r="O19" s="121">
        <f>IF(P19=0,0,Q19/P19)</f>
        <v>11.6952380952381</v>
      </c>
      <c r="P19" s="115">
        <v>21</v>
      </c>
      <c r="Q19" s="103">
        <v>245.60000000000011</v>
      </c>
    </row>
    <row r="20" spans="1:17" x14ac:dyDescent="0.4">
      <c r="A20" s="51" t="s">
        <v>13</v>
      </c>
      <c r="B20" s="44">
        <v>116</v>
      </c>
      <c r="C20" s="37">
        <f>IF(B$3=0,0,B20/B$3)</f>
        <v>0.18619582664526485</v>
      </c>
      <c r="E20" s="59" t="s">
        <v>84</v>
      </c>
      <c r="F20" s="56" t="s">
        <v>39</v>
      </c>
      <c r="G20" s="44">
        <v>1</v>
      </c>
      <c r="H20" s="129">
        <f>IF(B$17=0,0,G20/B$17)</f>
        <v>5.0000000000000001E-3</v>
      </c>
      <c r="I20" s="90">
        <v>2</v>
      </c>
      <c r="K20" s="36">
        <v>18</v>
      </c>
      <c r="L20" s="95">
        <v>-112.90000000000002</v>
      </c>
      <c r="N20" s="111" t="s">
        <v>179</v>
      </c>
      <c r="O20" s="121">
        <f>IF(P20=0,0,Q20/P20)</f>
        <v>10.948148148148144</v>
      </c>
      <c r="P20" s="115">
        <v>27</v>
      </c>
      <c r="Q20" s="103">
        <v>295.59999999999991</v>
      </c>
    </row>
    <row r="21" spans="1:17" x14ac:dyDescent="0.4">
      <c r="A21" s="51" t="s">
        <v>169</v>
      </c>
      <c r="B21" s="44">
        <v>7</v>
      </c>
      <c r="C21" s="131">
        <v>1</v>
      </c>
      <c r="E21" s="59" t="s">
        <v>92</v>
      </c>
      <c r="F21" s="56" t="s">
        <v>47</v>
      </c>
      <c r="G21" s="44">
        <v>1</v>
      </c>
      <c r="H21" s="129">
        <f>IF(B$17=0,0,G21/B$17)</f>
        <v>5.0000000000000001E-3</v>
      </c>
      <c r="I21" s="90">
        <v>4</v>
      </c>
      <c r="K21" s="36">
        <v>19</v>
      </c>
      <c r="L21" s="95">
        <v>-162.40000000000003</v>
      </c>
      <c r="N21" s="111" t="s">
        <v>166</v>
      </c>
      <c r="O21" s="121">
        <f>IF(P21=0,0,Q21/P21)</f>
        <v>10.599999999999998</v>
      </c>
      <c r="P21" s="115">
        <v>16</v>
      </c>
      <c r="Q21" s="103">
        <v>169.59999999999997</v>
      </c>
    </row>
    <row r="22" spans="1:17" x14ac:dyDescent="0.4">
      <c r="A22" s="51" t="s">
        <v>170</v>
      </c>
      <c r="B22" s="44">
        <v>23</v>
      </c>
      <c r="C22" s="131">
        <v>3</v>
      </c>
      <c r="E22" s="59" t="s">
        <v>95</v>
      </c>
      <c r="F22" s="56" t="s">
        <v>50</v>
      </c>
      <c r="G22" s="44">
        <v>1</v>
      </c>
      <c r="H22" s="129">
        <f>IF(B$17=0,0,G22/B$17)</f>
        <v>5.0000000000000001E-3</v>
      </c>
      <c r="I22" s="90">
        <v>1</v>
      </c>
      <c r="K22" s="36">
        <v>20</v>
      </c>
      <c r="L22" s="95">
        <v>-96.000000000000028</v>
      </c>
      <c r="N22" s="111" t="s">
        <v>126</v>
      </c>
      <c r="O22" s="121">
        <f>IF(P22=0,0,Q22/P22)</f>
        <v>-8.2980769230769234</v>
      </c>
      <c r="P22" s="115">
        <v>52</v>
      </c>
      <c r="Q22" s="103">
        <v>-431.50000000000006</v>
      </c>
    </row>
    <row r="23" spans="1:17" x14ac:dyDescent="0.4">
      <c r="A23" s="51" t="s">
        <v>5</v>
      </c>
      <c r="B23" s="48">
        <f>IF(B$17=0,0,C23/B$17)</f>
        <v>8663</v>
      </c>
      <c r="C23" s="39">
        <v>1732600</v>
      </c>
      <c r="E23" s="59" t="s">
        <v>167</v>
      </c>
      <c r="F23" s="56" t="s">
        <v>168</v>
      </c>
      <c r="G23" s="44">
        <v>1</v>
      </c>
      <c r="H23" s="129">
        <f>IF(B$17=0,0,G23/B$17)</f>
        <v>5.0000000000000001E-3</v>
      </c>
      <c r="I23" s="90">
        <v>7</v>
      </c>
      <c r="K23" s="36">
        <v>21</v>
      </c>
      <c r="L23" s="95">
        <v>-67.200000000000031</v>
      </c>
    </row>
    <row r="24" spans="1:17" x14ac:dyDescent="0.4">
      <c r="A24" s="52" t="s">
        <v>216</v>
      </c>
      <c r="B24" s="136">
        <f>IF($B$17-B$16=0,0,C24/($B$17-B$16))</f>
        <v>8926.2295081967204</v>
      </c>
      <c r="C24" s="137">
        <v>1089000</v>
      </c>
      <c r="E24" s="59" t="s">
        <v>73</v>
      </c>
      <c r="F24" s="56" t="s">
        <v>28</v>
      </c>
      <c r="G24" s="44">
        <v>0</v>
      </c>
      <c r="H24" s="129">
        <f>IF(B$17=0,0,G24/B$17)</f>
        <v>0</v>
      </c>
      <c r="I24" s="90">
        <v>3</v>
      </c>
      <c r="K24" s="36">
        <v>22</v>
      </c>
      <c r="L24" s="95">
        <v>-38.400000000000034</v>
      </c>
    </row>
    <row r="25" spans="1:17" x14ac:dyDescent="0.4">
      <c r="A25" s="52" t="s">
        <v>217</v>
      </c>
      <c r="B25" s="136">
        <f>IF(B$16=0,0,C25/B$16)</f>
        <v>8251.2820512820508</v>
      </c>
      <c r="C25" s="137">
        <v>643600</v>
      </c>
      <c r="E25" s="59" t="s">
        <v>75</v>
      </c>
      <c r="F25" s="56" t="s">
        <v>30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-37.600000000000037</v>
      </c>
    </row>
    <row r="26" spans="1:17" x14ac:dyDescent="0.4">
      <c r="A26" s="52" t="s">
        <v>215</v>
      </c>
      <c r="B26" s="136">
        <f>IF(B$20=0,0,C26/B$20)</f>
        <v>-7725.8620689655172</v>
      </c>
      <c r="C26" s="137">
        <v>-896200</v>
      </c>
      <c r="E26" s="59" t="s">
        <v>76</v>
      </c>
      <c r="F26" s="56" t="s">
        <v>31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-37.600000000000037</v>
      </c>
    </row>
    <row r="27" spans="1:17" x14ac:dyDescent="0.4">
      <c r="A27" s="86" t="s">
        <v>140</v>
      </c>
      <c r="B27" s="144">
        <v>8</v>
      </c>
      <c r="C27" s="145"/>
      <c r="E27" s="59" t="s">
        <v>77</v>
      </c>
      <c r="F27" s="56" t="s">
        <v>32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-10.700000000000038</v>
      </c>
    </row>
    <row r="28" spans="1:17" x14ac:dyDescent="0.4">
      <c r="A28" s="54" t="s">
        <v>150</v>
      </c>
      <c r="B28" s="142">
        <v>91800</v>
      </c>
      <c r="C28" s="143"/>
      <c r="E28" s="59" t="s">
        <v>80</v>
      </c>
      <c r="F28" s="56" t="s">
        <v>35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-2.6000000000000387</v>
      </c>
    </row>
    <row r="29" spans="1:17" x14ac:dyDescent="0.4">
      <c r="A29" s="53" t="s">
        <v>141</v>
      </c>
      <c r="B29" s="61">
        <v>3</v>
      </c>
      <c r="C29" s="40">
        <f>IF(B$3=0,0,B29/B$3)</f>
        <v>4.815409309791332E-3</v>
      </c>
      <c r="E29" s="59" t="s">
        <v>82</v>
      </c>
      <c r="F29" s="56" t="s">
        <v>37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-34.100000000000037</v>
      </c>
    </row>
    <row r="30" spans="1:17" x14ac:dyDescent="0.4">
      <c r="E30" s="59" t="s">
        <v>85</v>
      </c>
      <c r="F30" s="56" t="s">
        <v>40</v>
      </c>
      <c r="G30" s="44">
        <v>0</v>
      </c>
      <c r="H30" s="129">
        <f>IF(B$17=0,0,G30/B$17)</f>
        <v>0</v>
      </c>
      <c r="I30" s="90">
        <v>6</v>
      </c>
      <c r="K30" s="36">
        <v>28</v>
      </c>
      <c r="L30" s="95">
        <v>-16.100000000000037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>IF(B$17=0,0,G31/B$17)</f>
        <v>0</v>
      </c>
      <c r="I31" s="90">
        <v>3</v>
      </c>
      <c r="K31" s="36">
        <v>29</v>
      </c>
      <c r="L31" s="95">
        <v>40.799999999999962</v>
      </c>
    </row>
    <row r="32" spans="1:17" x14ac:dyDescent="0.4">
      <c r="E32" s="59" t="s">
        <v>88</v>
      </c>
      <c r="F32" s="56" t="s">
        <v>43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63.499999999999957</v>
      </c>
    </row>
    <row r="33" spans="5:12" x14ac:dyDescent="0.4">
      <c r="E33" s="59" t="s">
        <v>90</v>
      </c>
      <c r="F33" s="56" t="s">
        <v>45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94.299999999999955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3</v>
      </c>
      <c r="K34" s="36">
        <v>32</v>
      </c>
      <c r="L34" s="95">
        <v>144.79999999999995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153.39999999999995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178.09999999999994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171.89999999999995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164.59999999999994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156.59999999999994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110.89999999999993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158.79999999999993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109.59999999999992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131.59999999999991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183.6999999999999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211.89999999999989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232.7999999999999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214.39999999999989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  <row r="58" spans="5:12" x14ac:dyDescent="0.4">
      <c r="K58" s="36">
        <v>56</v>
      </c>
      <c r="L58" s="95">
        <v>319.89999999999986</v>
      </c>
    </row>
    <row r="59" spans="5:12" x14ac:dyDescent="0.4">
      <c r="K59" s="36">
        <v>57</v>
      </c>
      <c r="L59" s="95">
        <v>291.09999999999985</v>
      </c>
    </row>
    <row r="60" spans="5:12" x14ac:dyDescent="0.4">
      <c r="K60" s="36">
        <v>58</v>
      </c>
      <c r="L60" s="95">
        <v>274.39999999999986</v>
      </c>
    </row>
    <row r="61" spans="5:12" x14ac:dyDescent="0.4">
      <c r="K61" s="36">
        <v>59</v>
      </c>
      <c r="L61" s="95">
        <v>261.39999999999986</v>
      </c>
    </row>
    <row r="62" spans="5:12" x14ac:dyDescent="0.4">
      <c r="K62" s="36">
        <v>60</v>
      </c>
      <c r="L62" s="95">
        <v>208.69999999999987</v>
      </c>
    </row>
    <row r="63" spans="5:12" x14ac:dyDescent="0.4">
      <c r="K63" s="36">
        <v>61</v>
      </c>
      <c r="L63" s="95">
        <v>245.89999999999986</v>
      </c>
    </row>
    <row r="64" spans="5:12" x14ac:dyDescent="0.4">
      <c r="K64" s="36">
        <v>62</v>
      </c>
      <c r="L64" s="95">
        <v>193.09999999999985</v>
      </c>
    </row>
    <row r="65" spans="11:12" x14ac:dyDescent="0.4">
      <c r="K65" s="36">
        <v>63</v>
      </c>
      <c r="L65" s="95">
        <v>248.19999999999985</v>
      </c>
    </row>
    <row r="66" spans="11:12" x14ac:dyDescent="0.4">
      <c r="K66" s="36">
        <v>64</v>
      </c>
      <c r="L66" s="95">
        <v>238.99999999999986</v>
      </c>
    </row>
    <row r="67" spans="11:12" x14ac:dyDescent="0.4">
      <c r="K67" s="36">
        <v>65</v>
      </c>
      <c r="L67" s="95">
        <v>274.49999999999989</v>
      </c>
    </row>
    <row r="68" spans="11:12" x14ac:dyDescent="0.4">
      <c r="K68" s="36">
        <v>66</v>
      </c>
      <c r="L68" s="95">
        <v>287.09999999999991</v>
      </c>
    </row>
    <row r="69" spans="11:12" x14ac:dyDescent="0.4">
      <c r="K69" s="36">
        <v>67</v>
      </c>
      <c r="L69" s="95">
        <v>315.7999999999999</v>
      </c>
    </row>
    <row r="70" spans="11:12" x14ac:dyDescent="0.4">
      <c r="K70" s="36">
        <v>68</v>
      </c>
      <c r="L70" s="95">
        <v>350.2999999999999</v>
      </c>
    </row>
    <row r="71" spans="11:12" x14ac:dyDescent="0.4">
      <c r="K71" s="36">
        <v>69</v>
      </c>
      <c r="L71" s="95">
        <v>384.09999999999991</v>
      </c>
    </row>
    <row r="72" spans="11:12" x14ac:dyDescent="0.4">
      <c r="K72" s="36">
        <v>70</v>
      </c>
      <c r="L72" s="95">
        <v>390.59999999999991</v>
      </c>
    </row>
    <row r="73" spans="11:12" x14ac:dyDescent="0.4">
      <c r="K73" s="36">
        <v>71</v>
      </c>
      <c r="L73" s="95">
        <v>387.49999999999989</v>
      </c>
    </row>
    <row r="74" spans="11:12" x14ac:dyDescent="0.4">
      <c r="K74" s="36">
        <v>72</v>
      </c>
      <c r="L74" s="95">
        <v>361.39999999999986</v>
      </c>
    </row>
    <row r="75" spans="11:12" x14ac:dyDescent="0.4">
      <c r="K75" s="36">
        <v>73</v>
      </c>
      <c r="L75" s="95">
        <v>380.79999999999984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8DE24-429C-4E87-9B00-317105A869DD}">
  <sheetPr codeName="Sheet15"/>
  <dimension ref="A1:Q52"/>
  <sheetViews>
    <sheetView showGridLines="0" topLeftCell="C1" zoomScaleNormal="100" workbookViewId="0">
      <selection activeCell="R26" sqref="R26"/>
    </sheetView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177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41</v>
      </c>
      <c r="C2" s="151"/>
      <c r="E2" s="58" t="s">
        <v>66</v>
      </c>
      <c r="F2" s="55" t="s">
        <v>22</v>
      </c>
      <c r="G2" s="43">
        <v>74</v>
      </c>
      <c r="H2" s="128">
        <f>IF(B$17=0,0,G2/B$17)</f>
        <v>0.80434782608695654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1751.219512195122</v>
      </c>
      <c r="P2" s="114">
        <v>41</v>
      </c>
      <c r="Q2" s="98">
        <v>71800</v>
      </c>
    </row>
    <row r="3" spans="1:17" x14ac:dyDescent="0.4">
      <c r="A3" s="51" t="s">
        <v>8</v>
      </c>
      <c r="B3" s="152">
        <v>330</v>
      </c>
      <c r="C3" s="153"/>
      <c r="E3" s="59" t="s">
        <v>72</v>
      </c>
      <c r="F3" s="56" t="s">
        <v>27</v>
      </c>
      <c r="G3" s="44">
        <v>54</v>
      </c>
      <c r="H3" s="129">
        <f>IF(B$17=0,0,G3/B$17)</f>
        <v>0.58695652173913049</v>
      </c>
      <c r="I3" s="90">
        <v>3</v>
      </c>
      <c r="K3" s="36">
        <v>1</v>
      </c>
      <c r="L3" s="95">
        <v>-9.1</v>
      </c>
      <c r="N3" s="111" t="s">
        <v>131</v>
      </c>
      <c r="O3" s="118">
        <f t="shared" si="0"/>
        <v>-2846.1538461538462</v>
      </c>
      <c r="P3" s="115">
        <v>39</v>
      </c>
      <c r="Q3" s="99">
        <v>-111000</v>
      </c>
    </row>
    <row r="4" spans="1:17" x14ac:dyDescent="0.4">
      <c r="A4" s="51" t="s">
        <v>6</v>
      </c>
      <c r="B4" s="154">
        <v>67.900000000000077</v>
      </c>
      <c r="C4" s="155"/>
      <c r="E4" s="59" t="s">
        <v>64</v>
      </c>
      <c r="F4" s="56" t="s">
        <v>20</v>
      </c>
      <c r="G4" s="44">
        <v>44</v>
      </c>
      <c r="H4" s="129">
        <f>IF(B$17=0,0,G4/B$17)</f>
        <v>0.47826086956521741</v>
      </c>
      <c r="I4" s="90">
        <v>5</v>
      </c>
      <c r="K4" s="36">
        <v>2</v>
      </c>
      <c r="L4" s="95">
        <v>-67.3</v>
      </c>
      <c r="N4" s="111" t="s">
        <v>132</v>
      </c>
      <c r="O4" s="118">
        <f t="shared" si="0"/>
        <v>1481.081081081081</v>
      </c>
      <c r="P4" s="115">
        <v>37</v>
      </c>
      <c r="Q4" s="99">
        <v>54800</v>
      </c>
    </row>
    <row r="5" spans="1:17" x14ac:dyDescent="0.4">
      <c r="A5" s="51" t="s">
        <v>7</v>
      </c>
      <c r="B5" s="156">
        <f>IF(B$2=0,0,B$4/B$2)</f>
        <v>1.6560975609756117</v>
      </c>
      <c r="C5" s="157"/>
      <c r="E5" s="59" t="s">
        <v>67</v>
      </c>
      <c r="F5" s="56" t="s">
        <v>23</v>
      </c>
      <c r="G5" s="44">
        <v>41</v>
      </c>
      <c r="H5" s="129">
        <f>IF(B$17=0,0,G5/B$17)</f>
        <v>0.44565217391304346</v>
      </c>
      <c r="I5" s="90">
        <v>2</v>
      </c>
      <c r="K5" s="36">
        <v>3</v>
      </c>
      <c r="L5" s="95">
        <v>-113.8</v>
      </c>
      <c r="N5" s="111" t="s">
        <v>133</v>
      </c>
      <c r="O5" s="118">
        <f t="shared" si="0"/>
        <v>3737.1428571428573</v>
      </c>
      <c r="P5" s="115">
        <v>35</v>
      </c>
      <c r="Q5" s="99">
        <v>130800</v>
      </c>
    </row>
    <row r="6" spans="1:17" x14ac:dyDescent="0.4">
      <c r="A6" s="51" t="s">
        <v>1</v>
      </c>
      <c r="B6" s="146">
        <f>IF(B$2=0,0,(B$7*1+B$8*2+B$9*3)/B$2)</f>
        <v>1.9268292682926829</v>
      </c>
      <c r="C6" s="147"/>
      <c r="E6" s="59" t="s">
        <v>68</v>
      </c>
      <c r="F6" s="56" t="s">
        <v>12</v>
      </c>
      <c r="G6" s="44">
        <v>34</v>
      </c>
      <c r="H6" s="129">
        <f>IF(B$17=0,0,G6/B$17)</f>
        <v>0.36956521739130432</v>
      </c>
      <c r="I6" s="90">
        <v>2</v>
      </c>
      <c r="K6" s="36">
        <v>4</v>
      </c>
      <c r="L6" s="95">
        <v>-74.599999999999994</v>
      </c>
      <c r="N6" s="111" t="s">
        <v>134</v>
      </c>
      <c r="O6" s="118">
        <f t="shared" si="0"/>
        <v>-2818.75</v>
      </c>
      <c r="P6" s="115">
        <v>32</v>
      </c>
      <c r="Q6" s="99">
        <v>-90200</v>
      </c>
    </row>
    <row r="7" spans="1:17" x14ac:dyDescent="0.4">
      <c r="A7" s="51" t="s">
        <v>2</v>
      </c>
      <c r="B7" s="44">
        <v>16</v>
      </c>
      <c r="C7" s="37">
        <f t="shared" ref="C7:C12" si="1">IF(B$2=0,0,B7/B$2)</f>
        <v>0.3902439024390244</v>
      </c>
      <c r="E7" s="59" t="s">
        <v>171</v>
      </c>
      <c r="F7" s="56" t="s">
        <v>172</v>
      </c>
      <c r="G7" s="44">
        <v>34</v>
      </c>
      <c r="H7" s="129">
        <f>IF(B$17=0,0,G7/B$17)</f>
        <v>0.36956521739130432</v>
      </c>
      <c r="I7" s="90">
        <v>6</v>
      </c>
      <c r="K7" s="36">
        <v>5</v>
      </c>
      <c r="L7" s="95">
        <v>-118.3</v>
      </c>
      <c r="N7" s="112" t="s">
        <v>135</v>
      </c>
      <c r="O7" s="119">
        <f t="shared" si="0"/>
        <v>-462.5</v>
      </c>
      <c r="P7" s="116">
        <v>24</v>
      </c>
      <c r="Q7" s="100">
        <v>-11100</v>
      </c>
    </row>
    <row r="8" spans="1:17" x14ac:dyDescent="0.4">
      <c r="A8" s="51" t="s">
        <v>3</v>
      </c>
      <c r="B8" s="44">
        <v>12</v>
      </c>
      <c r="C8" s="37">
        <f t="shared" si="1"/>
        <v>0.29268292682926828</v>
      </c>
      <c r="E8" s="59" t="s">
        <v>89</v>
      </c>
      <c r="F8" s="56" t="s">
        <v>44</v>
      </c>
      <c r="G8" s="44">
        <v>22</v>
      </c>
      <c r="H8" s="129">
        <f>IF(B$17=0,0,G8/B$17)</f>
        <v>0.2391304347826087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13</v>
      </c>
      <c r="C9" s="38">
        <f t="shared" si="1"/>
        <v>0.31707317073170732</v>
      </c>
      <c r="E9" s="59" t="s">
        <v>69</v>
      </c>
      <c r="F9" s="56" t="s">
        <v>24</v>
      </c>
      <c r="G9" s="44">
        <v>18</v>
      </c>
      <c r="H9" s="129">
        <f>IF(B$17=0,0,G9/B$17)</f>
        <v>0.19565217391304349</v>
      </c>
      <c r="I9" s="90">
        <v>2</v>
      </c>
      <c r="K9" s="36">
        <v>7</v>
      </c>
      <c r="L9" s="95">
        <v>-60.8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0.12195121951219512</v>
      </c>
      <c r="E10" s="59" t="s">
        <v>65</v>
      </c>
      <c r="F10" s="56" t="s">
        <v>21</v>
      </c>
      <c r="G10" s="44">
        <v>8</v>
      </c>
      <c r="H10" s="129">
        <f>IF(B$17=0,0,G10/B$17)</f>
        <v>8.6956521739130432E-2</v>
      </c>
      <c r="I10" s="90">
        <v>8</v>
      </c>
      <c r="K10" s="36">
        <v>8</v>
      </c>
      <c r="L10" s="95">
        <v>-110.19999999999999</v>
      </c>
      <c r="N10" s="110" t="s">
        <v>162</v>
      </c>
      <c r="O10" s="120">
        <f>IF(P10=0,0,Q10/P10)</f>
        <v>5.392857142857145</v>
      </c>
      <c r="P10" s="114">
        <v>14</v>
      </c>
      <c r="Q10" s="102">
        <v>75.500000000000028</v>
      </c>
    </row>
    <row r="11" spans="1:17" x14ac:dyDescent="0.4">
      <c r="A11" s="52" t="s">
        <v>138</v>
      </c>
      <c r="B11" s="45">
        <v>7</v>
      </c>
      <c r="C11" s="38">
        <f t="shared" si="1"/>
        <v>0.17073170731707318</v>
      </c>
      <c r="E11" s="59" t="s">
        <v>70</v>
      </c>
      <c r="F11" s="56" t="s">
        <v>25</v>
      </c>
      <c r="G11" s="44">
        <v>7</v>
      </c>
      <c r="H11" s="129">
        <f>IF(B$17=0,0,G11/B$17)</f>
        <v>7.6086956521739135E-2</v>
      </c>
      <c r="I11" s="90">
        <v>8</v>
      </c>
      <c r="K11" s="36">
        <v>9</v>
      </c>
      <c r="L11" s="95">
        <v>-120.99999999999999</v>
      </c>
      <c r="N11" s="111" t="s">
        <v>163</v>
      </c>
      <c r="O11" s="121">
        <f>IF(P11=0,0,Q11/P11)</f>
        <v>2.8777777777777778</v>
      </c>
      <c r="P11" s="115">
        <v>18</v>
      </c>
      <c r="Q11" s="103">
        <v>51.8</v>
      </c>
    </row>
    <row r="12" spans="1:17" x14ac:dyDescent="0.4">
      <c r="A12" s="53" t="s">
        <v>158</v>
      </c>
      <c r="B12" s="46">
        <v>3</v>
      </c>
      <c r="C12" s="40">
        <f t="shared" si="1"/>
        <v>7.3170731707317069E-2</v>
      </c>
      <c r="E12" s="59" t="s">
        <v>71</v>
      </c>
      <c r="F12" s="56" t="s">
        <v>26</v>
      </c>
      <c r="G12" s="44">
        <v>6</v>
      </c>
      <c r="H12" s="129">
        <f>IF(B$17=0,0,G12/B$17)</f>
        <v>6.5217391304347824E-2</v>
      </c>
      <c r="I12" s="90">
        <v>9</v>
      </c>
      <c r="K12" s="36">
        <v>10</v>
      </c>
      <c r="L12" s="95">
        <v>-113.29999999999998</v>
      </c>
      <c r="N12" s="112" t="s">
        <v>164</v>
      </c>
      <c r="O12" s="122">
        <f>IF(P12=0,0,Q12/P12)</f>
        <v>-6.5999999999999988</v>
      </c>
      <c r="P12" s="116">
        <v>9</v>
      </c>
      <c r="Q12" s="104">
        <v>-59.399999999999991</v>
      </c>
    </row>
    <row r="13" spans="1:17" x14ac:dyDescent="0.4">
      <c r="A13" s="54" t="s">
        <v>121</v>
      </c>
      <c r="B13" s="47">
        <v>100</v>
      </c>
      <c r="C13" s="42">
        <f>IF(B$3=0,0,B13/B$3)</f>
        <v>0.30303030303030304</v>
      </c>
      <c r="E13" s="59" t="s">
        <v>83</v>
      </c>
      <c r="F13" s="56" t="s">
        <v>38</v>
      </c>
      <c r="G13" s="44">
        <v>6</v>
      </c>
      <c r="H13" s="129">
        <f>IF(B$17=0,0,G13/B$17)</f>
        <v>6.5217391304347824E-2</v>
      </c>
      <c r="I13" s="90">
        <v>6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66</v>
      </c>
      <c r="C14" s="37">
        <f>IF(B$3=0,0,B14/B$3)</f>
        <v>0.2</v>
      </c>
      <c r="E14" s="59" t="s">
        <v>86</v>
      </c>
      <c r="F14" s="56" t="s">
        <v>41</v>
      </c>
      <c r="G14" s="44">
        <v>3</v>
      </c>
      <c r="H14" s="129">
        <f>IF(B$17=0,0,G14/B$17)</f>
        <v>3.2608695652173912E-2</v>
      </c>
      <c r="I14" s="90">
        <v>8</v>
      </c>
      <c r="K14" s="36">
        <v>12</v>
      </c>
      <c r="L14" s="95">
        <v>-110.49999999999999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47</v>
      </c>
      <c r="C15" s="35">
        <f>IF(B$13=0,0,B15/B$13)</f>
        <v>0.47</v>
      </c>
      <c r="E15" s="59" t="s">
        <v>92</v>
      </c>
      <c r="F15" s="56" t="s">
        <v>47</v>
      </c>
      <c r="G15" s="44">
        <v>3</v>
      </c>
      <c r="H15" s="129">
        <f>IF(B$17=0,0,G15/B$17)</f>
        <v>3.2608695652173912E-2</v>
      </c>
      <c r="I15" s="90">
        <v>1</v>
      </c>
      <c r="K15" s="36">
        <v>13</v>
      </c>
      <c r="L15" s="95">
        <v>-132.39999999999998</v>
      </c>
      <c r="N15" s="110" t="s">
        <v>195</v>
      </c>
      <c r="O15" s="120">
        <f t="shared" ref="O15:O22" si="2">IF(P15=0,0,Q15/P15)</f>
        <v>60.650000000000006</v>
      </c>
      <c r="P15" s="114">
        <v>2</v>
      </c>
      <c r="Q15" s="102">
        <v>121.30000000000001</v>
      </c>
    </row>
    <row r="16" spans="1:17" x14ac:dyDescent="0.4">
      <c r="A16" s="50" t="s">
        <v>124</v>
      </c>
      <c r="B16" s="43">
        <v>31</v>
      </c>
      <c r="C16" s="35">
        <f>IF(B$14=0,0,B16/B$14)</f>
        <v>0.46969696969696972</v>
      </c>
      <c r="E16" s="59" t="s">
        <v>167</v>
      </c>
      <c r="F16" s="56" t="s">
        <v>168</v>
      </c>
      <c r="G16" s="44">
        <v>3</v>
      </c>
      <c r="H16" s="129">
        <f>IF(B$17=0,0,G16/B$17)</f>
        <v>3.2608695652173912E-2</v>
      </c>
      <c r="I16" s="90">
        <v>2</v>
      </c>
      <c r="K16" s="36">
        <v>14</v>
      </c>
      <c r="L16" s="95">
        <v>-86.499999999999972</v>
      </c>
      <c r="N16" s="111" t="s">
        <v>166</v>
      </c>
      <c r="O16" s="121">
        <f t="shared" si="2"/>
        <v>53.050000000000004</v>
      </c>
      <c r="P16" s="115">
        <v>2</v>
      </c>
      <c r="Q16" s="103">
        <v>106.10000000000001</v>
      </c>
    </row>
    <row r="17" spans="1:17" x14ac:dyDescent="0.4">
      <c r="A17" s="50" t="s">
        <v>10</v>
      </c>
      <c r="B17" s="43">
        <f>B19+B18</f>
        <v>92</v>
      </c>
      <c r="C17" s="35">
        <f>IF(B$3=0,0,B17/B$3)</f>
        <v>0.27878787878787881</v>
      </c>
      <c r="E17" s="59" t="s">
        <v>81</v>
      </c>
      <c r="F17" s="56" t="s">
        <v>36</v>
      </c>
      <c r="G17" s="44">
        <v>2</v>
      </c>
      <c r="H17" s="129">
        <f>IF(B$17=0,0,G17/B$17)</f>
        <v>2.1739130434782608E-2</v>
      </c>
      <c r="I17" s="90">
        <v>4</v>
      </c>
      <c r="K17" s="36">
        <v>15</v>
      </c>
      <c r="L17" s="95">
        <v>-101.79999999999997</v>
      </c>
      <c r="N17" s="111" t="s">
        <v>182</v>
      </c>
      <c r="O17" s="121">
        <f t="shared" si="2"/>
        <v>20.7</v>
      </c>
      <c r="P17" s="115">
        <v>12</v>
      </c>
      <c r="Q17" s="103">
        <v>248.4</v>
      </c>
    </row>
    <row r="18" spans="1:17" x14ac:dyDescent="0.4">
      <c r="A18" s="51" t="s">
        <v>12</v>
      </c>
      <c r="B18" s="44">
        <v>44</v>
      </c>
      <c r="C18" s="37">
        <f>IF(B$17=0,0,B18/B$17)</f>
        <v>0.47826086956521741</v>
      </c>
      <c r="E18" s="59" t="s">
        <v>91</v>
      </c>
      <c r="F18" s="56" t="s">
        <v>46</v>
      </c>
      <c r="G18" s="44">
        <v>2</v>
      </c>
      <c r="H18" s="129">
        <f>IF(B$17=0,0,G18/B$17)</f>
        <v>2.1739130434782608E-2</v>
      </c>
      <c r="I18" s="90">
        <v>2</v>
      </c>
      <c r="K18" s="36">
        <v>16</v>
      </c>
      <c r="L18" s="95">
        <v>-63.099999999999966</v>
      </c>
      <c r="N18" s="111" t="s">
        <v>178</v>
      </c>
      <c r="O18" s="121">
        <f t="shared" si="2"/>
        <v>14.204761904761906</v>
      </c>
      <c r="P18" s="115">
        <v>21</v>
      </c>
      <c r="Q18" s="103">
        <v>298.3</v>
      </c>
    </row>
    <row r="19" spans="1:17" x14ac:dyDescent="0.4">
      <c r="A19" s="51" t="s">
        <v>11</v>
      </c>
      <c r="B19" s="44">
        <v>48</v>
      </c>
      <c r="C19" s="37">
        <f>IF(B$17=0,0,B19/B$17)</f>
        <v>0.52173913043478259</v>
      </c>
      <c r="E19" s="59" t="s">
        <v>75</v>
      </c>
      <c r="F19" s="56" t="s">
        <v>30</v>
      </c>
      <c r="G19" s="44">
        <v>1</v>
      </c>
      <c r="H19" s="129">
        <f>IF(B$17=0,0,G19/B$17)</f>
        <v>1.0869565217391304E-2</v>
      </c>
      <c r="I19" s="90">
        <v>4</v>
      </c>
      <c r="K19" s="36">
        <v>17</v>
      </c>
      <c r="L19" s="95">
        <v>-55.799999999999969</v>
      </c>
      <c r="N19" s="111" t="s">
        <v>126</v>
      </c>
      <c r="O19" s="121">
        <f t="shared" si="2"/>
        <v>1.3562499999999984</v>
      </c>
      <c r="P19" s="115">
        <v>16</v>
      </c>
      <c r="Q19" s="103">
        <v>21.699999999999974</v>
      </c>
    </row>
    <row r="20" spans="1:17" x14ac:dyDescent="0.4">
      <c r="A20" s="51" t="s">
        <v>13</v>
      </c>
      <c r="B20" s="44">
        <v>55</v>
      </c>
      <c r="C20" s="37">
        <f>IF(B$3=0,0,B20/B$3)</f>
        <v>0.16666666666666666</v>
      </c>
      <c r="E20" s="59" t="s">
        <v>78</v>
      </c>
      <c r="F20" s="56" t="s">
        <v>33</v>
      </c>
      <c r="G20" s="44">
        <v>1</v>
      </c>
      <c r="H20" s="129">
        <f>IF(B$17=0,0,G20/B$17)</f>
        <v>1.0869565217391304E-2</v>
      </c>
      <c r="I20" s="90">
        <v>8</v>
      </c>
      <c r="K20" s="36">
        <v>18</v>
      </c>
      <c r="L20" s="95">
        <v>-24.999999999999968</v>
      </c>
      <c r="N20" s="111" t="s">
        <v>179</v>
      </c>
      <c r="O20" s="121">
        <f t="shared" si="2"/>
        <v>-1</v>
      </c>
      <c r="P20" s="115">
        <v>6</v>
      </c>
      <c r="Q20" s="103">
        <v>-6</v>
      </c>
    </row>
    <row r="21" spans="1:17" x14ac:dyDescent="0.4">
      <c r="A21" s="51" t="s">
        <v>169</v>
      </c>
      <c r="B21" s="44">
        <v>3</v>
      </c>
      <c r="C21" s="131">
        <v>0</v>
      </c>
      <c r="E21" s="59" t="s">
        <v>85</v>
      </c>
      <c r="F21" s="56" t="s">
        <v>40</v>
      </c>
      <c r="G21" s="44">
        <v>1</v>
      </c>
      <c r="H21" s="129">
        <f>IF(B$17=0,0,G21/B$17)</f>
        <v>1.0869565217391304E-2</v>
      </c>
      <c r="I21" s="90">
        <v>2</v>
      </c>
      <c r="K21" s="36">
        <v>19</v>
      </c>
      <c r="L21" s="95">
        <v>-27.799999999999969</v>
      </c>
      <c r="N21" s="111" t="s">
        <v>127</v>
      </c>
      <c r="O21" s="121">
        <f t="shared" si="2"/>
        <v>-17.805000000000003</v>
      </c>
      <c r="P21" s="115">
        <v>20</v>
      </c>
      <c r="Q21" s="103">
        <v>-356.10000000000008</v>
      </c>
    </row>
    <row r="22" spans="1:17" x14ac:dyDescent="0.4">
      <c r="A22" s="51" t="s">
        <v>170</v>
      </c>
      <c r="B22" s="44">
        <v>25</v>
      </c>
      <c r="C22" s="131">
        <v>5</v>
      </c>
      <c r="E22" s="59" t="s">
        <v>90</v>
      </c>
      <c r="F22" s="56" t="s">
        <v>45</v>
      </c>
      <c r="G22" s="44">
        <v>1</v>
      </c>
      <c r="H22" s="129">
        <f>IF(B$17=0,0,G22/B$17)</f>
        <v>1.0869565217391304E-2</v>
      </c>
      <c r="I22" s="90">
        <v>1</v>
      </c>
      <c r="K22" s="36">
        <v>20</v>
      </c>
      <c r="L22" s="95">
        <v>-50.39999999999997</v>
      </c>
      <c r="N22" s="111" t="s">
        <v>181</v>
      </c>
      <c r="O22" s="121">
        <f t="shared" si="2"/>
        <v>-76.666666666666671</v>
      </c>
      <c r="P22" s="115">
        <v>3</v>
      </c>
      <c r="Q22" s="103">
        <v>-230</v>
      </c>
    </row>
    <row r="23" spans="1:17" x14ac:dyDescent="0.4">
      <c r="A23" s="51" t="s">
        <v>5</v>
      </c>
      <c r="B23" s="48">
        <f>IF(B$17=0,0,C23/B$17)</f>
        <v>10041.304347826086</v>
      </c>
      <c r="C23" s="39">
        <v>923800</v>
      </c>
      <c r="E23" s="59" t="s">
        <v>73</v>
      </c>
      <c r="F23" s="56" t="s">
        <v>28</v>
      </c>
      <c r="G23" s="44">
        <v>0</v>
      </c>
      <c r="H23" s="129">
        <f>IF(B$17=0,0,G23/B$17)</f>
        <v>0</v>
      </c>
      <c r="I23" s="90">
        <v>3</v>
      </c>
      <c r="K23" s="36">
        <v>21</v>
      </c>
      <c r="L23" s="95">
        <v>-59.89999999999997</v>
      </c>
    </row>
    <row r="24" spans="1:17" x14ac:dyDescent="0.4">
      <c r="A24" s="52" t="s">
        <v>216</v>
      </c>
      <c r="B24" s="136">
        <f>IF($B$17-B$16=0,0,C24/($B$17-B$16))</f>
        <v>11444.262295081968</v>
      </c>
      <c r="C24" s="137">
        <v>698100</v>
      </c>
      <c r="E24" s="59" t="s">
        <v>74</v>
      </c>
      <c r="F24" s="56" t="s">
        <v>29</v>
      </c>
      <c r="G24" s="44">
        <v>0</v>
      </c>
      <c r="H24" s="129">
        <f>IF(B$17=0,0,G24/B$17)</f>
        <v>0</v>
      </c>
      <c r="I24" s="90">
        <v>6</v>
      </c>
      <c r="K24" s="36">
        <v>22</v>
      </c>
      <c r="L24" s="95">
        <v>-21.799999999999969</v>
      </c>
    </row>
    <row r="25" spans="1:17" x14ac:dyDescent="0.4">
      <c r="A25" s="52" t="s">
        <v>217</v>
      </c>
      <c r="B25" s="136">
        <f>IF(B$16=0,0,C25/B$16)</f>
        <v>7280.6451612903229</v>
      </c>
      <c r="C25" s="137">
        <v>225700</v>
      </c>
      <c r="E25" s="59" t="s">
        <v>76</v>
      </c>
      <c r="F25" s="56" t="s">
        <v>31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-10.299999999999969</v>
      </c>
    </row>
    <row r="26" spans="1:17" x14ac:dyDescent="0.4">
      <c r="A26" s="52" t="s">
        <v>215</v>
      </c>
      <c r="B26" s="136">
        <f>IF(B$20=0,0,C26/B$20)</f>
        <v>-8589.0909090909099</v>
      </c>
      <c r="C26" s="137">
        <v>-472400</v>
      </c>
      <c r="E26" s="59" t="s">
        <v>77</v>
      </c>
      <c r="F26" s="56" t="s">
        <v>32</v>
      </c>
      <c r="G26" s="44">
        <v>0</v>
      </c>
      <c r="H26" s="129">
        <f>IF(B$17=0,0,G26/B$17)</f>
        <v>0</v>
      </c>
      <c r="I26" s="90">
        <v>4</v>
      </c>
      <c r="K26" s="36">
        <v>24</v>
      </c>
      <c r="L26" s="95">
        <v>-51.39999999999997</v>
      </c>
    </row>
    <row r="27" spans="1:17" x14ac:dyDescent="0.4">
      <c r="A27" s="86" t="s">
        <v>140</v>
      </c>
      <c r="B27" s="144">
        <v>8</v>
      </c>
      <c r="C27" s="145"/>
      <c r="E27" s="59" t="s">
        <v>79</v>
      </c>
      <c r="F27" s="56" t="s">
        <v>34</v>
      </c>
      <c r="G27" s="44">
        <v>0</v>
      </c>
      <c r="H27" s="129">
        <f>IF(B$17=0,0,G27/B$17)</f>
        <v>0</v>
      </c>
      <c r="I27" s="90">
        <v>7</v>
      </c>
      <c r="K27" s="36">
        <v>25</v>
      </c>
      <c r="L27" s="95">
        <v>-37.699999999999974</v>
      </c>
    </row>
    <row r="28" spans="1:17" x14ac:dyDescent="0.4">
      <c r="A28" s="54" t="s">
        <v>150</v>
      </c>
      <c r="B28" s="142">
        <v>83000</v>
      </c>
      <c r="C28" s="143"/>
      <c r="E28" s="59" t="s">
        <v>80</v>
      </c>
      <c r="F28" s="56" t="s">
        <v>35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-84.999999999999972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82</v>
      </c>
      <c r="F29" s="56" t="s">
        <v>37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-31.499999999999972</v>
      </c>
    </row>
    <row r="30" spans="1:17" x14ac:dyDescent="0.4">
      <c r="E30" s="59" t="s">
        <v>84</v>
      </c>
      <c r="F30" s="56" t="s">
        <v>39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-10.999999999999972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>IF(B$17=0,0,G31/B$17)</f>
        <v>0</v>
      </c>
      <c r="I31" s="90">
        <v>3</v>
      </c>
      <c r="K31" s="36">
        <v>29</v>
      </c>
      <c r="L31" s="95">
        <v>-16.499999999999972</v>
      </c>
    </row>
    <row r="32" spans="1:17" x14ac:dyDescent="0.4">
      <c r="E32" s="59" t="s">
        <v>88</v>
      </c>
      <c r="F32" s="56" t="s">
        <v>43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30.900000000000027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3</v>
      </c>
      <c r="K33" s="36">
        <v>31</v>
      </c>
      <c r="L33" s="95">
        <v>73.900000000000034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96.100000000000037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4</v>
      </c>
      <c r="K35" s="36">
        <v>33</v>
      </c>
      <c r="L35" s="95">
        <v>112.00000000000004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110.00000000000004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140.50000000000006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105.40000000000006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146.30000000000007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129.30000000000007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101.20000000000007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71.200000000000074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67.900000000000077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3B3EA-4ECE-4268-AE67-E9D72DB6C43B}">
  <sheetPr codeName="Sheet17"/>
  <dimension ref="A1:Q53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178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51</v>
      </c>
      <c r="C2" s="151"/>
      <c r="E2" s="58" t="s">
        <v>66</v>
      </c>
      <c r="F2" s="55" t="s">
        <v>22</v>
      </c>
      <c r="G2" s="43">
        <v>92</v>
      </c>
      <c r="H2" s="128">
        <f>IF(B$17=0,0,G2/B$17)</f>
        <v>0.7931034482758621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921.56862745098044</v>
      </c>
      <c r="P2" s="114">
        <v>51</v>
      </c>
      <c r="Q2" s="98">
        <v>47000</v>
      </c>
    </row>
    <row r="3" spans="1:17" x14ac:dyDescent="0.4">
      <c r="A3" s="51" t="s">
        <v>8</v>
      </c>
      <c r="B3" s="152">
        <v>418</v>
      </c>
      <c r="C3" s="153"/>
      <c r="E3" s="59" t="s">
        <v>72</v>
      </c>
      <c r="F3" s="56" t="s">
        <v>27</v>
      </c>
      <c r="G3" s="44">
        <v>75</v>
      </c>
      <c r="H3" s="129">
        <f>IF(B$17=0,0,G3/B$17)</f>
        <v>0.64655172413793105</v>
      </c>
      <c r="I3" s="90">
        <v>2</v>
      </c>
      <c r="K3" s="36">
        <v>1</v>
      </c>
      <c r="L3" s="95">
        <v>46.9</v>
      </c>
      <c r="N3" s="111" t="s">
        <v>131</v>
      </c>
      <c r="O3" s="118">
        <f t="shared" si="0"/>
        <v>1812.5</v>
      </c>
      <c r="P3" s="115">
        <v>48</v>
      </c>
      <c r="Q3" s="99">
        <v>87000</v>
      </c>
    </row>
    <row r="4" spans="1:17" x14ac:dyDescent="0.4">
      <c r="A4" s="51" t="s">
        <v>6</v>
      </c>
      <c r="B4" s="154">
        <v>-0.29999999999997673</v>
      </c>
      <c r="C4" s="155"/>
      <c r="E4" s="59" t="s">
        <v>64</v>
      </c>
      <c r="F4" s="56" t="s">
        <v>20</v>
      </c>
      <c r="G4" s="44">
        <v>58</v>
      </c>
      <c r="H4" s="129">
        <f>IF(B$17=0,0,G4/B$17)</f>
        <v>0.5</v>
      </c>
      <c r="I4" s="90">
        <v>4</v>
      </c>
      <c r="K4" s="36">
        <v>2</v>
      </c>
      <c r="L4" s="95">
        <v>8.1000000000000014</v>
      </c>
      <c r="N4" s="111" t="s">
        <v>132</v>
      </c>
      <c r="O4" s="118">
        <f t="shared" si="0"/>
        <v>-2248.8888888888887</v>
      </c>
      <c r="P4" s="115">
        <v>45</v>
      </c>
      <c r="Q4" s="99">
        <v>-101200</v>
      </c>
    </row>
    <row r="5" spans="1:17" x14ac:dyDescent="0.4">
      <c r="A5" s="51" t="s">
        <v>7</v>
      </c>
      <c r="B5" s="156">
        <f>IF(B$2=0,0,B$4/B$2)</f>
        <v>-5.8823529411760143E-3</v>
      </c>
      <c r="C5" s="157"/>
      <c r="E5" s="59" t="s">
        <v>171</v>
      </c>
      <c r="F5" s="56" t="s">
        <v>172</v>
      </c>
      <c r="G5" s="44">
        <v>50</v>
      </c>
      <c r="H5" s="129">
        <f>IF(B$17=0,0,G5/B$17)</f>
        <v>0.43103448275862066</v>
      </c>
      <c r="I5" s="90">
        <v>1</v>
      </c>
      <c r="K5" s="36">
        <v>3</v>
      </c>
      <c r="L5" s="95">
        <v>25.8</v>
      </c>
      <c r="N5" s="111" t="s">
        <v>133</v>
      </c>
      <c r="O5" s="118">
        <f t="shared" si="0"/>
        <v>214.63414634146341</v>
      </c>
      <c r="P5" s="115">
        <v>41</v>
      </c>
      <c r="Q5" s="99">
        <v>8800</v>
      </c>
    </row>
    <row r="6" spans="1:17" x14ac:dyDescent="0.4">
      <c r="A6" s="51" t="s">
        <v>1</v>
      </c>
      <c r="B6" s="146">
        <f>IF(B$2=0,0,(B$7*1+B$8*2+B$9*3)/B$2)</f>
        <v>2.0784313725490198</v>
      </c>
      <c r="C6" s="147"/>
      <c r="E6" s="59" t="s">
        <v>67</v>
      </c>
      <c r="F6" s="56" t="s">
        <v>23</v>
      </c>
      <c r="G6" s="44">
        <v>47</v>
      </c>
      <c r="H6" s="129">
        <f>IF(B$17=0,0,G6/B$17)</f>
        <v>0.40517241379310343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0"/>
        <v>16.666666666666668</v>
      </c>
      <c r="P6" s="115">
        <v>36</v>
      </c>
      <c r="Q6" s="99">
        <v>600</v>
      </c>
    </row>
    <row r="7" spans="1:17" x14ac:dyDescent="0.4">
      <c r="A7" s="51" t="s">
        <v>2</v>
      </c>
      <c r="B7" s="44">
        <v>10</v>
      </c>
      <c r="C7" s="37">
        <f t="shared" ref="C7:C12" si="1">IF(B$2=0,0,B7/B$2)</f>
        <v>0.19607843137254902</v>
      </c>
      <c r="E7" s="59" t="s">
        <v>68</v>
      </c>
      <c r="F7" s="56" t="s">
        <v>12</v>
      </c>
      <c r="G7" s="44">
        <v>39</v>
      </c>
      <c r="H7" s="129">
        <f>IF(B$17=0,0,G7/B$17)</f>
        <v>0.33620689655172414</v>
      </c>
      <c r="I7" s="90">
        <v>3</v>
      </c>
      <c r="K7" s="36">
        <v>5</v>
      </c>
      <c r="L7" s="95">
        <v>-1.6000000000000014</v>
      </c>
      <c r="N7" s="112" t="s">
        <v>135</v>
      </c>
      <c r="O7" s="119">
        <f t="shared" si="0"/>
        <v>-470</v>
      </c>
      <c r="P7" s="116">
        <v>30</v>
      </c>
      <c r="Q7" s="100">
        <v>-14100</v>
      </c>
    </row>
    <row r="8" spans="1:17" x14ac:dyDescent="0.4">
      <c r="A8" s="51" t="s">
        <v>3</v>
      </c>
      <c r="B8" s="44">
        <v>27</v>
      </c>
      <c r="C8" s="37">
        <f t="shared" si="1"/>
        <v>0.52941176470588236</v>
      </c>
      <c r="E8" s="59" t="s">
        <v>69</v>
      </c>
      <c r="F8" s="56" t="s">
        <v>24</v>
      </c>
      <c r="G8" s="44">
        <v>15</v>
      </c>
      <c r="H8" s="129">
        <f>IF(B$17=0,0,G8/B$17)</f>
        <v>0.12931034482758622</v>
      </c>
      <c r="I8" s="90">
        <v>7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14</v>
      </c>
      <c r="C9" s="38">
        <f t="shared" si="1"/>
        <v>0.27450980392156865</v>
      </c>
      <c r="E9" s="59" t="s">
        <v>71</v>
      </c>
      <c r="F9" s="56" t="s">
        <v>26</v>
      </c>
      <c r="G9" s="44">
        <v>10</v>
      </c>
      <c r="H9" s="129">
        <f>IF(B$17=0,0,G9/B$17)</f>
        <v>8.6206896551724144E-2</v>
      </c>
      <c r="I9" s="90">
        <v>5</v>
      </c>
      <c r="K9" s="36">
        <v>7</v>
      </c>
      <c r="L9" s="95">
        <v>-16.300000000000004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7.8431372549019607E-2</v>
      </c>
      <c r="E10" s="59" t="s">
        <v>89</v>
      </c>
      <c r="F10" s="56" t="s">
        <v>44</v>
      </c>
      <c r="G10" s="44">
        <v>10</v>
      </c>
      <c r="H10" s="129">
        <f>IF(B$17=0,0,G10/B$17)</f>
        <v>8.6206896551724144E-2</v>
      </c>
      <c r="I10" s="90">
        <v>9</v>
      </c>
      <c r="K10" s="36">
        <v>8</v>
      </c>
      <c r="L10" s="95">
        <v>-46.7</v>
      </c>
      <c r="N10" s="110" t="s">
        <v>162</v>
      </c>
      <c r="O10" s="120">
        <f>IF(P10=0,0,Q10/P10)</f>
        <v>1.7899999999999998</v>
      </c>
      <c r="P10" s="114">
        <v>20</v>
      </c>
      <c r="Q10" s="102">
        <v>35.799999999999997</v>
      </c>
    </row>
    <row r="11" spans="1:17" x14ac:dyDescent="0.4">
      <c r="A11" s="52" t="s">
        <v>138</v>
      </c>
      <c r="B11" s="45">
        <v>4</v>
      </c>
      <c r="C11" s="38">
        <f t="shared" si="1"/>
        <v>7.8431372549019607E-2</v>
      </c>
      <c r="E11" s="59" t="s">
        <v>65</v>
      </c>
      <c r="F11" s="56" t="s">
        <v>21</v>
      </c>
      <c r="G11" s="44">
        <v>9</v>
      </c>
      <c r="H11" s="129">
        <f>IF(B$17=0,0,G11/B$17)</f>
        <v>7.7586206896551727E-2</v>
      </c>
      <c r="I11" s="90">
        <v>10</v>
      </c>
      <c r="K11" s="36">
        <v>9</v>
      </c>
      <c r="L11" s="95">
        <v>-90.9</v>
      </c>
      <c r="N11" s="111" t="s">
        <v>163</v>
      </c>
      <c r="O11" s="121">
        <f>IF(P11=0,0,Q11/P11)</f>
        <v>2.5461538461538464</v>
      </c>
      <c r="P11" s="115">
        <v>13</v>
      </c>
      <c r="Q11" s="103">
        <v>33.1</v>
      </c>
    </row>
    <row r="12" spans="1:17" x14ac:dyDescent="0.4">
      <c r="A12" s="53" t="s">
        <v>158</v>
      </c>
      <c r="B12" s="46">
        <v>1</v>
      </c>
      <c r="C12" s="40">
        <f t="shared" si="1"/>
        <v>1.9607843137254902E-2</v>
      </c>
      <c r="E12" s="59" t="s">
        <v>70</v>
      </c>
      <c r="F12" s="56" t="s">
        <v>25</v>
      </c>
      <c r="G12" s="44">
        <v>9</v>
      </c>
      <c r="H12" s="129">
        <f>IF(B$17=0,0,G12/B$17)</f>
        <v>7.7586206896551727E-2</v>
      </c>
      <c r="I12" s="90">
        <v>7</v>
      </c>
      <c r="K12" s="36">
        <v>10</v>
      </c>
      <c r="L12" s="95">
        <v>-146.69999999999999</v>
      </c>
      <c r="N12" s="112" t="s">
        <v>164</v>
      </c>
      <c r="O12" s="122">
        <f>IF(P12=0,0,Q12/P12)</f>
        <v>-3.8444444444444437</v>
      </c>
      <c r="P12" s="116">
        <v>18</v>
      </c>
      <c r="Q12" s="104">
        <v>-69.199999999999989</v>
      </c>
    </row>
    <row r="13" spans="1:17" x14ac:dyDescent="0.4">
      <c r="A13" s="54" t="s">
        <v>121</v>
      </c>
      <c r="B13" s="47">
        <v>106</v>
      </c>
      <c r="C13" s="42">
        <f>IF(B$3=0,0,B13/B$3)</f>
        <v>0.25358851674641147</v>
      </c>
      <c r="E13" s="59" t="s">
        <v>86</v>
      </c>
      <c r="F13" s="56" t="s">
        <v>41</v>
      </c>
      <c r="G13" s="44">
        <v>5</v>
      </c>
      <c r="H13" s="129">
        <f>IF(B$17=0,0,G13/B$17)</f>
        <v>4.3103448275862072E-2</v>
      </c>
      <c r="I13" s="90">
        <v>7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105</v>
      </c>
      <c r="C14" s="37">
        <f>IF(B$3=0,0,B14/B$3)</f>
        <v>0.25119617224880381</v>
      </c>
      <c r="E14" s="59" t="s">
        <v>79</v>
      </c>
      <c r="F14" s="56" t="s">
        <v>34</v>
      </c>
      <c r="G14" s="44">
        <v>4</v>
      </c>
      <c r="H14" s="129">
        <f>IF(B$17=0,0,G14/B$17)</f>
        <v>3.4482758620689655E-2</v>
      </c>
      <c r="I14" s="90">
        <v>2</v>
      </c>
      <c r="K14" s="36">
        <v>12</v>
      </c>
      <c r="L14" s="95">
        <v>-118.39999999999999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62</v>
      </c>
      <c r="C15" s="35">
        <f>IF(B$13=0,0,B15/B$13)</f>
        <v>0.58490566037735847</v>
      </c>
      <c r="E15" s="59" t="s">
        <v>83</v>
      </c>
      <c r="F15" s="56" t="s">
        <v>38</v>
      </c>
      <c r="G15" s="44">
        <v>4</v>
      </c>
      <c r="H15" s="129">
        <f>IF(B$17=0,0,G15/B$17)</f>
        <v>3.4482758620689655E-2</v>
      </c>
      <c r="I15" s="90">
        <v>10</v>
      </c>
      <c r="K15" s="36">
        <v>13</v>
      </c>
      <c r="L15" s="95">
        <v>-68.399999999999991</v>
      </c>
      <c r="N15" s="110" t="s">
        <v>195</v>
      </c>
      <c r="O15" s="120">
        <f>IF(P15=0,0,Q15/P15)</f>
        <v>53.179999999999993</v>
      </c>
      <c r="P15" s="114">
        <v>5</v>
      </c>
      <c r="Q15" s="102">
        <v>265.89999999999998</v>
      </c>
    </row>
    <row r="16" spans="1:17" x14ac:dyDescent="0.4">
      <c r="A16" s="50" t="s">
        <v>124</v>
      </c>
      <c r="B16" s="43">
        <v>40</v>
      </c>
      <c r="C16" s="35">
        <f>IF(B$14=0,0,B16/B$14)</f>
        <v>0.38095238095238093</v>
      </c>
      <c r="E16" s="59" t="s">
        <v>78</v>
      </c>
      <c r="F16" s="56" t="s">
        <v>33</v>
      </c>
      <c r="G16" s="44">
        <v>3</v>
      </c>
      <c r="H16" s="129">
        <f>IF(B$17=0,0,G16/B$17)</f>
        <v>2.5862068965517241E-2</v>
      </c>
      <c r="I16" s="90">
        <v>3</v>
      </c>
      <c r="K16" s="36">
        <v>14</v>
      </c>
      <c r="L16" s="95">
        <v>-25.79999999999999</v>
      </c>
      <c r="N16" s="111" t="s">
        <v>179</v>
      </c>
      <c r="O16" s="121">
        <f>IF(P16=0,0,Q16/P16)</f>
        <v>31.71</v>
      </c>
      <c r="P16" s="115">
        <v>10</v>
      </c>
      <c r="Q16" s="103">
        <v>317.10000000000002</v>
      </c>
    </row>
    <row r="17" spans="1:17" x14ac:dyDescent="0.4">
      <c r="A17" s="50" t="s">
        <v>10</v>
      </c>
      <c r="B17" s="43">
        <f>B19+B18</f>
        <v>116</v>
      </c>
      <c r="C17" s="35">
        <f>IF(B$3=0,0,B17/B$3)</f>
        <v>0.27751196172248804</v>
      </c>
      <c r="E17" s="59" t="s">
        <v>167</v>
      </c>
      <c r="F17" s="56" t="s">
        <v>168</v>
      </c>
      <c r="G17" s="44">
        <v>3</v>
      </c>
      <c r="H17" s="129">
        <f>IF(B$17=0,0,G17/B$17)</f>
        <v>2.5862068965517241E-2</v>
      </c>
      <c r="I17" s="90">
        <v>3</v>
      </c>
      <c r="K17" s="36">
        <v>15</v>
      </c>
      <c r="L17" s="95">
        <v>-35.499999999999986</v>
      </c>
      <c r="N17" s="111" t="s">
        <v>222</v>
      </c>
      <c r="O17" s="121">
        <f>IF(P17=0,0,Q17/P17)</f>
        <v>27.200000000000003</v>
      </c>
      <c r="P17" s="115">
        <v>1</v>
      </c>
      <c r="Q17" s="103">
        <v>27.200000000000003</v>
      </c>
    </row>
    <row r="18" spans="1:17" x14ac:dyDescent="0.4">
      <c r="A18" s="51" t="s">
        <v>12</v>
      </c>
      <c r="B18" s="44">
        <v>51</v>
      </c>
      <c r="C18" s="37">
        <f>IF(B$17=0,0,B18/B$17)</f>
        <v>0.43965517241379309</v>
      </c>
      <c r="E18" s="59" t="s">
        <v>73</v>
      </c>
      <c r="F18" s="56" t="s">
        <v>28</v>
      </c>
      <c r="G18" s="44">
        <v>1</v>
      </c>
      <c r="H18" s="129">
        <f>IF(B$17=0,0,G18/B$17)</f>
        <v>8.6206896551724137E-3</v>
      </c>
      <c r="I18" s="90">
        <v>1</v>
      </c>
      <c r="K18" s="36">
        <v>16</v>
      </c>
      <c r="L18" s="95">
        <v>-35.599999999999987</v>
      </c>
      <c r="N18" s="111" t="s">
        <v>182</v>
      </c>
      <c r="O18" s="121">
        <f>IF(P18=0,0,Q18/P18)</f>
        <v>17.028571428571425</v>
      </c>
      <c r="P18" s="115">
        <v>14</v>
      </c>
      <c r="Q18" s="103">
        <v>238.39999999999995</v>
      </c>
    </row>
    <row r="19" spans="1:17" x14ac:dyDescent="0.4">
      <c r="A19" s="51" t="s">
        <v>11</v>
      </c>
      <c r="B19" s="44">
        <v>65</v>
      </c>
      <c r="C19" s="37">
        <f>IF(B$17=0,0,B19/B$17)</f>
        <v>0.56034482758620685</v>
      </c>
      <c r="E19" s="59" t="s">
        <v>81</v>
      </c>
      <c r="F19" s="56" t="s">
        <v>36</v>
      </c>
      <c r="G19" s="44">
        <v>1</v>
      </c>
      <c r="H19" s="129">
        <f>IF(B$17=0,0,G19/B$17)</f>
        <v>8.6206896551724137E-3</v>
      </c>
      <c r="I19" s="90">
        <v>8</v>
      </c>
      <c r="K19" s="36">
        <v>17</v>
      </c>
      <c r="L19" s="95">
        <v>-29.799999999999986</v>
      </c>
      <c r="N19" s="111" t="s">
        <v>166</v>
      </c>
      <c r="O19" s="121">
        <f>IF(P19=0,0,Q19/P19)</f>
        <v>6.26</v>
      </c>
      <c r="P19" s="115">
        <v>10</v>
      </c>
      <c r="Q19" s="103">
        <v>62.599999999999994</v>
      </c>
    </row>
    <row r="20" spans="1:17" x14ac:dyDescent="0.4">
      <c r="A20" s="51" t="s">
        <v>13</v>
      </c>
      <c r="B20" s="44">
        <v>57</v>
      </c>
      <c r="C20" s="37">
        <f>IF(B$3=0,0,B20/B$3)</f>
        <v>0.13636363636363635</v>
      </c>
      <c r="E20" s="59" t="s">
        <v>85</v>
      </c>
      <c r="F20" s="56" t="s">
        <v>40</v>
      </c>
      <c r="G20" s="44">
        <v>1</v>
      </c>
      <c r="H20" s="129">
        <f>IF(B$17=0,0,G20/B$17)</f>
        <v>8.6206896551724137E-3</v>
      </c>
      <c r="I20" s="90">
        <v>3</v>
      </c>
      <c r="K20" s="36">
        <v>18</v>
      </c>
      <c r="L20" s="95">
        <v>-62.399999999999991</v>
      </c>
      <c r="N20" s="111" t="s">
        <v>127</v>
      </c>
      <c r="O20" s="121">
        <f>IF(P20=0,0,Q20/P20)</f>
        <v>-11.695238095238096</v>
      </c>
      <c r="P20" s="115">
        <v>21</v>
      </c>
      <c r="Q20" s="103">
        <v>-245.60000000000002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91</v>
      </c>
      <c r="F21" s="56" t="s">
        <v>46</v>
      </c>
      <c r="G21" s="44">
        <v>1</v>
      </c>
      <c r="H21" s="129">
        <f>IF(B$17=0,0,G21/B$17)</f>
        <v>8.6206896551724137E-3</v>
      </c>
      <c r="I21" s="90">
        <v>6</v>
      </c>
      <c r="K21" s="36">
        <v>19</v>
      </c>
      <c r="L21" s="95">
        <v>-56.399999999999991</v>
      </c>
      <c r="N21" s="111" t="s">
        <v>177</v>
      </c>
      <c r="O21" s="121">
        <f>IF(P21=0,0,Q21/P21)</f>
        <v>-14.204761904761906</v>
      </c>
      <c r="P21" s="115">
        <v>21</v>
      </c>
      <c r="Q21" s="103">
        <v>-298.3</v>
      </c>
    </row>
    <row r="22" spans="1:17" x14ac:dyDescent="0.4">
      <c r="A22" s="51" t="s">
        <v>170</v>
      </c>
      <c r="B22" s="44">
        <v>44</v>
      </c>
      <c r="C22" s="131">
        <v>13</v>
      </c>
      <c r="E22" s="59" t="s">
        <v>101</v>
      </c>
      <c r="F22" s="56" t="s">
        <v>56</v>
      </c>
      <c r="G22" s="44">
        <v>1</v>
      </c>
      <c r="H22" s="129">
        <f>IF(B$17=0,0,G22/B$17)</f>
        <v>8.6206896551724137E-3</v>
      </c>
      <c r="I22" s="90">
        <v>1</v>
      </c>
      <c r="K22" s="36">
        <v>20</v>
      </c>
      <c r="L22" s="95">
        <v>-93.199999999999989</v>
      </c>
      <c r="N22" s="111" t="s">
        <v>181</v>
      </c>
      <c r="O22" s="121">
        <f>IF(P22=0,0,Q22/P22)</f>
        <v>-15.5</v>
      </c>
      <c r="P22" s="115">
        <v>1</v>
      </c>
      <c r="Q22" s="103">
        <v>-15.5</v>
      </c>
    </row>
    <row r="23" spans="1:17" x14ac:dyDescent="0.4">
      <c r="A23" s="51" t="s">
        <v>5</v>
      </c>
      <c r="B23" s="48">
        <f>IF(B$17=0,0,C23/B$17)</f>
        <v>8543.1034482758623</v>
      </c>
      <c r="C23" s="39">
        <v>991000</v>
      </c>
      <c r="E23" s="59" t="s">
        <v>74</v>
      </c>
      <c r="F23" s="56" t="s">
        <v>29</v>
      </c>
      <c r="G23" s="44">
        <v>0</v>
      </c>
      <c r="H23" s="129">
        <f>IF(B$17=0,0,G23/B$17)</f>
        <v>0</v>
      </c>
      <c r="I23" s="90">
        <v>6</v>
      </c>
      <c r="K23" s="36">
        <v>21</v>
      </c>
      <c r="L23" s="95">
        <v>-123.69999999999999</v>
      </c>
      <c r="N23" s="111" t="s">
        <v>126</v>
      </c>
      <c r="O23" s="121">
        <f>IF(P23=0,0,Q23/P23)</f>
        <v>-18.563157894736847</v>
      </c>
      <c r="P23" s="115">
        <v>19</v>
      </c>
      <c r="Q23" s="103">
        <v>-352.7000000000001</v>
      </c>
    </row>
    <row r="24" spans="1:17" x14ac:dyDescent="0.4">
      <c r="A24" s="52" t="s">
        <v>216</v>
      </c>
      <c r="B24" s="136">
        <f>IF($B$17-B$16=0,0,C24/($B$17-B$16))</f>
        <v>9727.6315789473683</v>
      </c>
      <c r="C24" s="137">
        <v>739300</v>
      </c>
      <c r="E24" s="59" t="s">
        <v>75</v>
      </c>
      <c r="F24" s="56" t="s">
        <v>30</v>
      </c>
      <c r="G24" s="44">
        <v>0</v>
      </c>
      <c r="H24" s="129">
        <f>IF(B$17=0,0,G24/B$17)</f>
        <v>0</v>
      </c>
      <c r="I24" s="90">
        <v>7</v>
      </c>
      <c r="K24" s="36">
        <v>22</v>
      </c>
      <c r="L24" s="95">
        <v>-66.999999999999986</v>
      </c>
    </row>
    <row r="25" spans="1:17" x14ac:dyDescent="0.4">
      <c r="A25" s="52" t="s">
        <v>217</v>
      </c>
      <c r="B25" s="136">
        <f>IF(B$16=0,0,C25/B$16)</f>
        <v>6292.5</v>
      </c>
      <c r="C25" s="137">
        <v>251700</v>
      </c>
      <c r="E25" s="59" t="s">
        <v>76</v>
      </c>
      <c r="F25" s="56" t="s">
        <v>31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-59.599999999999987</v>
      </c>
    </row>
    <row r="26" spans="1:17" x14ac:dyDescent="0.4">
      <c r="A26" s="52" t="s">
        <v>215</v>
      </c>
      <c r="B26" s="136">
        <f>IF(B$20=0,0,C26/B$20)</f>
        <v>-7705.2631578947367</v>
      </c>
      <c r="C26" s="137">
        <v>-439200</v>
      </c>
      <c r="E26" s="59" t="s">
        <v>77</v>
      </c>
      <c r="F26" s="56" t="s">
        <v>32</v>
      </c>
      <c r="G26" s="44">
        <v>0</v>
      </c>
      <c r="H26" s="129">
        <f>IF(B$17=0,0,G26/B$17)</f>
        <v>0</v>
      </c>
      <c r="I26" s="90">
        <v>4</v>
      </c>
      <c r="K26" s="36">
        <v>24</v>
      </c>
      <c r="L26" s="95">
        <v>-91.399999999999991</v>
      </c>
    </row>
    <row r="27" spans="1:17" x14ac:dyDescent="0.4">
      <c r="A27" s="86" t="s">
        <v>140</v>
      </c>
      <c r="B27" s="144">
        <v>6</v>
      </c>
      <c r="C27" s="145"/>
      <c r="E27" s="59" t="s">
        <v>80</v>
      </c>
      <c r="F27" s="56" t="s">
        <v>35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-41.29999999999999</v>
      </c>
    </row>
    <row r="28" spans="1:17" x14ac:dyDescent="0.4">
      <c r="A28" s="54" t="s">
        <v>150</v>
      </c>
      <c r="B28" s="142">
        <v>86500</v>
      </c>
      <c r="C28" s="143"/>
      <c r="E28" s="59" t="s">
        <v>82</v>
      </c>
      <c r="F28" s="56" t="s">
        <v>37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-54.099999999999994</v>
      </c>
    </row>
    <row r="29" spans="1:17" x14ac:dyDescent="0.4">
      <c r="A29" s="53" t="s">
        <v>141</v>
      </c>
      <c r="B29" s="61">
        <v>2</v>
      </c>
      <c r="C29" s="40">
        <f>IF(B$3=0,0,B29/B$3)</f>
        <v>4.7846889952153108E-3</v>
      </c>
      <c r="E29" s="59" t="s">
        <v>84</v>
      </c>
      <c r="F29" s="56" t="s">
        <v>39</v>
      </c>
      <c r="G29" s="44">
        <v>0</v>
      </c>
      <c r="H29" s="129">
        <f>IF(B$17=0,0,G29/B$17)</f>
        <v>0</v>
      </c>
      <c r="I29" s="90">
        <v>4</v>
      </c>
      <c r="K29" s="36">
        <v>27</v>
      </c>
      <c r="L29" s="95">
        <v>-70.199999999999989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>IF(B$17=0,0,G30/B$17)</f>
        <v>0</v>
      </c>
      <c r="I30" s="90">
        <v>3</v>
      </c>
      <c r="K30" s="36">
        <v>28</v>
      </c>
      <c r="L30" s="95">
        <v>-61.29999999999999</v>
      </c>
    </row>
    <row r="31" spans="1:17" x14ac:dyDescent="0.4">
      <c r="E31" s="59" t="s">
        <v>88</v>
      </c>
      <c r="F31" s="56" t="s">
        <v>43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-109.69999999999999</v>
      </c>
    </row>
    <row r="32" spans="1:17" x14ac:dyDescent="0.4">
      <c r="E32" s="59" t="s">
        <v>90</v>
      </c>
      <c r="F32" s="56" t="s">
        <v>45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-107.29999999999998</v>
      </c>
    </row>
    <row r="33" spans="5:12" x14ac:dyDescent="0.4">
      <c r="E33" s="59" t="s">
        <v>92</v>
      </c>
      <c r="F33" s="56" t="s">
        <v>47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-96.799999999999983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3</v>
      </c>
      <c r="K34" s="36">
        <v>32</v>
      </c>
      <c r="L34" s="95">
        <v>-54.09999999999998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-48.899999999999977</v>
      </c>
    </row>
    <row r="36" spans="5:12" x14ac:dyDescent="0.4">
      <c r="E36" s="59" t="s">
        <v>95</v>
      </c>
      <c r="F36" s="56" t="s">
        <v>50</v>
      </c>
      <c r="G36" s="44">
        <v>0</v>
      </c>
      <c r="H36" s="129">
        <f>IF(B$17=0,0,G36/B$17)</f>
        <v>0</v>
      </c>
      <c r="I36" s="90">
        <v>4</v>
      </c>
      <c r="K36" s="36">
        <v>34</v>
      </c>
      <c r="L36" s="95">
        <v>-63.999999999999979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-72.399999999999977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-65.399999999999977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-58.59999999999998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-51.799999999999983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-67.899999999999977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-61.299999999999976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-56.899999999999977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-58.499999999999979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-49.899999999999977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11.600000000000023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-23.299999999999976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-11.099999999999977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-31.099999999999977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-18.499999999999979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7.1000000000000227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6.5000000000000231</v>
      </c>
    </row>
    <row r="53" spans="5:12" x14ac:dyDescent="0.4">
      <c r="K53" s="36">
        <v>51</v>
      </c>
      <c r="L53" s="95">
        <v>-0.29999999999997673</v>
      </c>
    </row>
  </sheetData>
  <sortState xmlns:xlrd2="http://schemas.microsoft.com/office/spreadsheetml/2017/richdata2" ref="N15:Q23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1A444-B1B5-4625-8856-A805D895EE8B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182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26</v>
      </c>
      <c r="C2" s="151"/>
      <c r="E2" s="58" t="s">
        <v>66</v>
      </c>
      <c r="F2" s="55" t="s">
        <v>22</v>
      </c>
      <c r="G2" s="43">
        <v>33</v>
      </c>
      <c r="H2" s="128">
        <f>IF(B$17=0,0,G2/B$17)</f>
        <v>0.6875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-3423.0769230769229</v>
      </c>
      <c r="P2" s="114">
        <v>26</v>
      </c>
      <c r="Q2" s="98">
        <v>-89000</v>
      </c>
    </row>
    <row r="3" spans="1:17" x14ac:dyDescent="0.4">
      <c r="A3" s="51" t="s">
        <v>8</v>
      </c>
      <c r="B3" s="152">
        <v>208</v>
      </c>
      <c r="C3" s="153"/>
      <c r="E3" s="59" t="s">
        <v>72</v>
      </c>
      <c r="F3" s="56" t="s">
        <v>27</v>
      </c>
      <c r="G3" s="44">
        <v>23</v>
      </c>
      <c r="H3" s="129">
        <f>IF(B$17=0,0,G3/B$17)</f>
        <v>0.47916666666666669</v>
      </c>
      <c r="I3" s="90">
        <v>9</v>
      </c>
      <c r="K3" s="36">
        <v>1</v>
      </c>
      <c r="L3" s="95">
        <v>-12</v>
      </c>
      <c r="N3" s="111" t="s">
        <v>131</v>
      </c>
      <c r="O3" s="118">
        <f t="shared" si="0"/>
        <v>-915.38461538461536</v>
      </c>
      <c r="P3" s="115">
        <v>26</v>
      </c>
      <c r="Q3" s="99">
        <v>-23800</v>
      </c>
    </row>
    <row r="4" spans="1:17" x14ac:dyDescent="0.4">
      <c r="A4" s="51" t="s">
        <v>6</v>
      </c>
      <c r="B4" s="154">
        <v>-439.2000000000001</v>
      </c>
      <c r="C4" s="155"/>
      <c r="E4" s="59" t="s">
        <v>64</v>
      </c>
      <c r="F4" s="56" t="s">
        <v>20</v>
      </c>
      <c r="G4" s="44">
        <v>22</v>
      </c>
      <c r="H4" s="129">
        <f>IF(B$17=0,0,G4/B$17)</f>
        <v>0.45833333333333331</v>
      </c>
      <c r="I4" s="90">
        <v>6</v>
      </c>
      <c r="K4" s="36">
        <v>2</v>
      </c>
      <c r="L4" s="95">
        <v>-40.6</v>
      </c>
      <c r="N4" s="111" t="s">
        <v>132</v>
      </c>
      <c r="O4" s="118">
        <f t="shared" si="0"/>
        <v>-457.69230769230768</v>
      </c>
      <c r="P4" s="115">
        <v>26</v>
      </c>
      <c r="Q4" s="99">
        <v>-11900</v>
      </c>
    </row>
    <row r="5" spans="1:17" x14ac:dyDescent="0.4">
      <c r="A5" s="51" t="s">
        <v>7</v>
      </c>
      <c r="B5" s="156">
        <f>IF(B$2=0,0,B$4/B$2)</f>
        <v>-16.892307692307696</v>
      </c>
      <c r="C5" s="157"/>
      <c r="E5" s="59" t="s">
        <v>67</v>
      </c>
      <c r="F5" s="56" t="s">
        <v>23</v>
      </c>
      <c r="G5" s="44">
        <v>17</v>
      </c>
      <c r="H5" s="129">
        <f>IF(B$17=0,0,G5/B$17)</f>
        <v>0.35416666666666669</v>
      </c>
      <c r="I5" s="90">
        <v>5</v>
      </c>
      <c r="K5" s="36">
        <v>3</v>
      </c>
      <c r="L5" s="95">
        <v>-33.6</v>
      </c>
      <c r="N5" s="111" t="s">
        <v>133</v>
      </c>
      <c r="O5" s="118">
        <f t="shared" si="0"/>
        <v>-2992</v>
      </c>
      <c r="P5" s="115">
        <v>25</v>
      </c>
      <c r="Q5" s="99">
        <v>-74800</v>
      </c>
    </row>
    <row r="6" spans="1:17" x14ac:dyDescent="0.4">
      <c r="A6" s="51" t="s">
        <v>1</v>
      </c>
      <c r="B6" s="146">
        <f>IF(B$2=0,0,(B$7*1+B$8*2+B$9*3)/B$2)</f>
        <v>2.5</v>
      </c>
      <c r="C6" s="147"/>
      <c r="E6" s="59" t="s">
        <v>68</v>
      </c>
      <c r="F6" s="56" t="s">
        <v>12</v>
      </c>
      <c r="G6" s="44">
        <v>16</v>
      </c>
      <c r="H6" s="129">
        <f>IF(B$17=0,0,G6/B$17)</f>
        <v>0.33333333333333331</v>
      </c>
      <c r="I6" s="90">
        <v>4</v>
      </c>
      <c r="K6" s="36">
        <v>4</v>
      </c>
      <c r="L6" s="95">
        <v>-80.5</v>
      </c>
      <c r="N6" s="111" t="s">
        <v>134</v>
      </c>
      <c r="O6" s="118">
        <f t="shared" si="0"/>
        <v>-1716.6666666666667</v>
      </c>
      <c r="P6" s="115">
        <v>24</v>
      </c>
      <c r="Q6" s="99">
        <v>-41200</v>
      </c>
    </row>
    <row r="7" spans="1:17" x14ac:dyDescent="0.4">
      <c r="A7" s="51" t="s">
        <v>2</v>
      </c>
      <c r="B7" s="44">
        <v>2</v>
      </c>
      <c r="C7" s="37">
        <f t="shared" ref="C7:C12" si="1">IF(B$2=0,0,B7/B$2)</f>
        <v>7.6923076923076927E-2</v>
      </c>
      <c r="E7" s="59" t="s">
        <v>171</v>
      </c>
      <c r="F7" s="56" t="s">
        <v>172</v>
      </c>
      <c r="G7" s="44">
        <v>16</v>
      </c>
      <c r="H7" s="129">
        <f>IF(B$17=0,0,G7/B$17)</f>
        <v>0.33333333333333331</v>
      </c>
      <c r="I7" s="90">
        <v>9</v>
      </c>
      <c r="K7" s="36">
        <v>5</v>
      </c>
      <c r="L7" s="95">
        <v>-124.3</v>
      </c>
      <c r="N7" s="112" t="s">
        <v>135</v>
      </c>
      <c r="O7" s="119">
        <f t="shared" si="0"/>
        <v>-3342.1052631578946</v>
      </c>
      <c r="P7" s="116">
        <v>19</v>
      </c>
      <c r="Q7" s="100">
        <v>-63500</v>
      </c>
    </row>
    <row r="8" spans="1:17" x14ac:dyDescent="0.4">
      <c r="A8" s="51" t="s">
        <v>3</v>
      </c>
      <c r="B8" s="44">
        <v>9</v>
      </c>
      <c r="C8" s="37">
        <f t="shared" si="1"/>
        <v>0.34615384615384615</v>
      </c>
      <c r="E8" s="59" t="s">
        <v>89</v>
      </c>
      <c r="F8" s="56" t="s">
        <v>44</v>
      </c>
      <c r="G8" s="44">
        <v>7</v>
      </c>
      <c r="H8" s="129">
        <f>IF(B$17=0,0,G8/B$17)</f>
        <v>0.14583333333333334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15</v>
      </c>
      <c r="C9" s="38">
        <f t="shared" si="1"/>
        <v>0.57692307692307687</v>
      </c>
      <c r="E9" s="59" t="s">
        <v>65</v>
      </c>
      <c r="F9" s="56" t="s">
        <v>21</v>
      </c>
      <c r="G9" s="44">
        <v>6</v>
      </c>
      <c r="H9" s="129">
        <f>IF(B$17=0,0,G9/B$17)</f>
        <v>0.125</v>
      </c>
      <c r="I9" s="90">
        <v>2</v>
      </c>
      <c r="K9" s="36">
        <v>7</v>
      </c>
      <c r="L9" s="95">
        <v>-99.5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0.19230769230769232</v>
      </c>
      <c r="E10" s="59" t="s">
        <v>71</v>
      </c>
      <c r="F10" s="56" t="s">
        <v>26</v>
      </c>
      <c r="G10" s="44">
        <v>5</v>
      </c>
      <c r="H10" s="129">
        <f>IF(B$17=0,0,G10/B$17)</f>
        <v>0.10416666666666667</v>
      </c>
      <c r="I10" s="90">
        <v>3</v>
      </c>
      <c r="K10" s="36">
        <v>8</v>
      </c>
      <c r="L10" s="95">
        <v>-152.6</v>
      </c>
      <c r="N10" s="110" t="s">
        <v>162</v>
      </c>
      <c r="O10" s="120">
        <f>IF(P10=0,0,Q10/P10)</f>
        <v>-26.033333333333335</v>
      </c>
      <c r="P10" s="114">
        <v>15</v>
      </c>
      <c r="Q10" s="102">
        <v>-390.5</v>
      </c>
    </row>
    <row r="11" spans="1:17" x14ac:dyDescent="0.4">
      <c r="A11" s="52" t="s">
        <v>138</v>
      </c>
      <c r="B11" s="45">
        <v>1</v>
      </c>
      <c r="C11" s="38">
        <f t="shared" si="1"/>
        <v>3.8461538461538464E-2</v>
      </c>
      <c r="E11" s="59" t="s">
        <v>69</v>
      </c>
      <c r="F11" s="56" t="s">
        <v>24</v>
      </c>
      <c r="G11" s="44">
        <v>4</v>
      </c>
      <c r="H11" s="129">
        <f>IF(B$17=0,0,G11/B$17)</f>
        <v>8.3333333333333329E-2</v>
      </c>
      <c r="I11" s="90">
        <v>9</v>
      </c>
      <c r="K11" s="36">
        <v>9</v>
      </c>
      <c r="L11" s="95">
        <v>-150.6</v>
      </c>
      <c r="N11" s="111" t="s">
        <v>163</v>
      </c>
      <c r="O11" s="121">
        <f>IF(P11=0,0,Q11/P11)</f>
        <v>-4.2571428571428553</v>
      </c>
      <c r="P11" s="115">
        <v>7</v>
      </c>
      <c r="Q11" s="103">
        <v>-29.79999999999999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83</v>
      </c>
      <c r="F12" s="56" t="s">
        <v>38</v>
      </c>
      <c r="G12" s="44">
        <v>4</v>
      </c>
      <c r="H12" s="129">
        <f>IF(B$17=0,0,G12/B$17)</f>
        <v>8.3333333333333329E-2</v>
      </c>
      <c r="I12" s="90">
        <v>3</v>
      </c>
      <c r="K12" s="36">
        <v>10</v>
      </c>
      <c r="L12" s="95">
        <v>-151.1</v>
      </c>
      <c r="N12" s="112" t="s">
        <v>164</v>
      </c>
      <c r="O12" s="122">
        <f>IF(P12=0,0,Q12/P12)</f>
        <v>-4.7249999999999996</v>
      </c>
      <c r="P12" s="116">
        <v>4</v>
      </c>
      <c r="Q12" s="104">
        <v>-18.899999999999999</v>
      </c>
    </row>
    <row r="13" spans="1:17" x14ac:dyDescent="0.4">
      <c r="A13" s="54" t="s">
        <v>121</v>
      </c>
      <c r="B13" s="47">
        <v>42</v>
      </c>
      <c r="C13" s="42">
        <f>IF(B$3=0,0,B13/B$3)</f>
        <v>0.20192307692307693</v>
      </c>
      <c r="E13" s="59" t="s">
        <v>86</v>
      </c>
      <c r="F13" s="56" t="s">
        <v>41</v>
      </c>
      <c r="G13" s="44">
        <v>4</v>
      </c>
      <c r="H13" s="129">
        <f>IF(B$17=0,0,G13/B$17)</f>
        <v>8.3333333333333329E-2</v>
      </c>
      <c r="I13" s="90">
        <v>1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42</v>
      </c>
      <c r="C14" s="37">
        <f>IF(B$3=0,0,B14/B$3)</f>
        <v>0.20192307692307693</v>
      </c>
      <c r="E14" s="59" t="s">
        <v>70</v>
      </c>
      <c r="F14" s="56" t="s">
        <v>25</v>
      </c>
      <c r="G14" s="44">
        <v>3</v>
      </c>
      <c r="H14" s="129">
        <f>IF(B$17=0,0,G14/B$17)</f>
        <v>6.25E-2</v>
      </c>
      <c r="I14" s="90">
        <v>10</v>
      </c>
      <c r="K14" s="36">
        <v>12</v>
      </c>
      <c r="L14" s="95">
        <v>-176.9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24</v>
      </c>
      <c r="C15" s="35">
        <f>IF(B$13=0,0,B15/B$13)</f>
        <v>0.5714285714285714</v>
      </c>
      <c r="E15" s="59" t="s">
        <v>81</v>
      </c>
      <c r="F15" s="56" t="s">
        <v>36</v>
      </c>
      <c r="G15" s="44">
        <v>2</v>
      </c>
      <c r="H15" s="129">
        <f>IF(B$17=0,0,G15/B$17)</f>
        <v>4.1666666666666664E-2</v>
      </c>
      <c r="I15" s="90">
        <v>2</v>
      </c>
      <c r="K15" s="36">
        <v>13</v>
      </c>
      <c r="L15" s="95">
        <v>-217.60000000000002</v>
      </c>
      <c r="N15" s="110" t="s">
        <v>166</v>
      </c>
      <c r="O15" s="120">
        <f>IF(P15=0,0,Q15/P15)</f>
        <v>28.45</v>
      </c>
      <c r="P15" s="114">
        <v>4</v>
      </c>
      <c r="Q15" s="102">
        <v>113.8</v>
      </c>
    </row>
    <row r="16" spans="1:17" x14ac:dyDescent="0.4">
      <c r="A16" s="50" t="s">
        <v>124</v>
      </c>
      <c r="B16" s="43">
        <v>15</v>
      </c>
      <c r="C16" s="35">
        <f>IF(B$14=0,0,B16/B$14)</f>
        <v>0.35714285714285715</v>
      </c>
      <c r="E16" s="59" t="s">
        <v>74</v>
      </c>
      <c r="F16" s="56" t="s">
        <v>29</v>
      </c>
      <c r="G16" s="44">
        <v>1</v>
      </c>
      <c r="H16" s="129">
        <f>IF(B$17=0,0,G16/B$17)</f>
        <v>2.0833333333333332E-2</v>
      </c>
      <c r="I16" s="90">
        <v>1</v>
      </c>
      <c r="K16" s="36">
        <v>14</v>
      </c>
      <c r="L16" s="95">
        <v>-266.90000000000003</v>
      </c>
      <c r="N16" s="111" t="s">
        <v>178</v>
      </c>
      <c r="O16" s="121">
        <f>IF(P16=0,0,Q16/P16)</f>
        <v>-17.028571428571425</v>
      </c>
      <c r="P16" s="115">
        <v>14</v>
      </c>
      <c r="Q16" s="103">
        <v>-238.39999999999995</v>
      </c>
    </row>
    <row r="17" spans="1:17" x14ac:dyDescent="0.4">
      <c r="A17" s="50" t="s">
        <v>10</v>
      </c>
      <c r="B17" s="43">
        <f>B19+B18</f>
        <v>48</v>
      </c>
      <c r="C17" s="35">
        <f>IF(B$3=0,0,B17/B$3)</f>
        <v>0.23076923076923078</v>
      </c>
      <c r="E17" s="59" t="s">
        <v>78</v>
      </c>
      <c r="F17" s="56" t="s">
        <v>33</v>
      </c>
      <c r="G17" s="44">
        <v>1</v>
      </c>
      <c r="H17" s="129">
        <f>IF(B$17=0,0,G17/B$17)</f>
        <v>2.0833333333333332E-2</v>
      </c>
      <c r="I17" s="90">
        <v>7</v>
      </c>
      <c r="K17" s="36">
        <v>15</v>
      </c>
      <c r="L17" s="95">
        <v>-272.50000000000006</v>
      </c>
      <c r="N17" s="111" t="s">
        <v>222</v>
      </c>
      <c r="O17" s="121">
        <f>IF(P17=0,0,Q17/P17)</f>
        <v>-17.649999999999999</v>
      </c>
      <c r="P17" s="115">
        <v>2</v>
      </c>
      <c r="Q17" s="103">
        <v>-35.299999999999997</v>
      </c>
    </row>
    <row r="18" spans="1:17" x14ac:dyDescent="0.4">
      <c r="A18" s="51" t="s">
        <v>12</v>
      </c>
      <c r="B18" s="44">
        <v>23</v>
      </c>
      <c r="C18" s="37">
        <f>IF(B$17=0,0,B18/B$17)</f>
        <v>0.47916666666666669</v>
      </c>
      <c r="E18" s="59" t="s">
        <v>73</v>
      </c>
      <c r="F18" s="56" t="s">
        <v>28</v>
      </c>
      <c r="G18" s="44">
        <v>0</v>
      </c>
      <c r="H18" s="129">
        <f>IF(B$17=0,0,G18/B$17)</f>
        <v>0</v>
      </c>
      <c r="I18" s="90">
        <v>3</v>
      </c>
      <c r="K18" s="36">
        <v>16</v>
      </c>
      <c r="L18" s="95">
        <v>-320.30000000000007</v>
      </c>
      <c r="N18" s="111" t="s">
        <v>177</v>
      </c>
      <c r="O18" s="121">
        <f>IF(P18=0,0,Q18/P18)</f>
        <v>-20.7</v>
      </c>
      <c r="P18" s="115">
        <v>12</v>
      </c>
      <c r="Q18" s="103">
        <v>-248.39999999999998</v>
      </c>
    </row>
    <row r="19" spans="1:17" x14ac:dyDescent="0.4">
      <c r="A19" s="51" t="s">
        <v>11</v>
      </c>
      <c r="B19" s="44">
        <v>25</v>
      </c>
      <c r="C19" s="37">
        <f>IF(B$17=0,0,B19/B$17)</f>
        <v>0.52083333333333337</v>
      </c>
      <c r="E19" s="59" t="s">
        <v>75</v>
      </c>
      <c r="F19" s="56" t="s">
        <v>30</v>
      </c>
      <c r="G19" s="44">
        <v>0</v>
      </c>
      <c r="H19" s="129">
        <f>IF(B$17=0,0,G19/B$17)</f>
        <v>0</v>
      </c>
      <c r="I19" s="90">
        <v>7</v>
      </c>
      <c r="K19" s="36">
        <v>17</v>
      </c>
      <c r="L19" s="95">
        <v>-352.60000000000008</v>
      </c>
      <c r="N19" s="111" t="s">
        <v>179</v>
      </c>
      <c r="O19" s="121">
        <f>IF(P19=0,0,Q19/P19)</f>
        <v>-25.799999999999997</v>
      </c>
      <c r="P19" s="115">
        <v>1</v>
      </c>
      <c r="Q19" s="103">
        <v>-25.799999999999997</v>
      </c>
    </row>
    <row r="20" spans="1:17" x14ac:dyDescent="0.4">
      <c r="A20" s="51" t="s">
        <v>13</v>
      </c>
      <c r="B20" s="44">
        <v>39</v>
      </c>
      <c r="C20" s="37">
        <f>IF(B$3=0,0,B20/B$3)</f>
        <v>0.1875</v>
      </c>
      <c r="E20" s="59" t="s">
        <v>76</v>
      </c>
      <c r="F20" s="56" t="s">
        <v>31</v>
      </c>
      <c r="G20" s="44">
        <v>0</v>
      </c>
      <c r="H20" s="129">
        <f>IF(B$17=0,0,G20/B$17)</f>
        <v>0</v>
      </c>
      <c r="I20" s="90">
        <v>1</v>
      </c>
      <c r="K20" s="36">
        <v>18</v>
      </c>
      <c r="L20" s="95">
        <v>-355.50000000000006</v>
      </c>
      <c r="N20" s="111" t="s">
        <v>126</v>
      </c>
      <c r="O20" s="121">
        <f>IF(P20=0,0,Q20/P20)</f>
        <v>-32.228571428571435</v>
      </c>
      <c r="P20" s="115">
        <v>7</v>
      </c>
      <c r="Q20" s="103">
        <v>-225.60000000000002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77</v>
      </c>
      <c r="F21" s="56" t="s">
        <v>32</v>
      </c>
      <c r="G21" s="44">
        <v>0</v>
      </c>
      <c r="H21" s="129">
        <f>IF(B$17=0,0,G21/B$17)</f>
        <v>0</v>
      </c>
      <c r="I21" s="90">
        <v>4</v>
      </c>
      <c r="K21" s="36">
        <v>19</v>
      </c>
      <c r="L21" s="95">
        <v>-400.60000000000008</v>
      </c>
      <c r="N21" s="111" t="s">
        <v>181</v>
      </c>
      <c r="O21" s="121">
        <f>IF(P21=0,0,Q21/P21)</f>
        <v>-52.525000000000006</v>
      </c>
      <c r="P21" s="115">
        <v>4</v>
      </c>
      <c r="Q21" s="103">
        <v>-210.10000000000002</v>
      </c>
    </row>
    <row r="22" spans="1:17" x14ac:dyDescent="0.4">
      <c r="A22" s="51" t="s">
        <v>170</v>
      </c>
      <c r="B22" s="44">
        <v>16</v>
      </c>
      <c r="C22" s="131">
        <v>12</v>
      </c>
      <c r="E22" s="59" t="s">
        <v>79</v>
      </c>
      <c r="F22" s="56" t="s">
        <v>34</v>
      </c>
      <c r="G22" s="44">
        <v>0</v>
      </c>
      <c r="H22" s="129">
        <f>IF(B$17=0,0,G22/B$17)</f>
        <v>0</v>
      </c>
      <c r="I22" s="90">
        <v>7</v>
      </c>
      <c r="K22" s="36">
        <v>20</v>
      </c>
      <c r="L22" s="95">
        <v>-428.10000000000008</v>
      </c>
      <c r="N22" s="111" t="s">
        <v>127</v>
      </c>
      <c r="O22" s="121">
        <f>IF(P22=0,0,Q22/P22)</f>
        <v>-52.783333333333331</v>
      </c>
      <c r="P22" s="115">
        <v>6</v>
      </c>
      <c r="Q22" s="103">
        <v>-316.7</v>
      </c>
    </row>
    <row r="23" spans="1:17" x14ac:dyDescent="0.4">
      <c r="A23" s="51" t="s">
        <v>5</v>
      </c>
      <c r="B23" s="48">
        <f>IF(B$17=0,0,C23/B$17)</f>
        <v>7606.25</v>
      </c>
      <c r="C23" s="39">
        <v>365100</v>
      </c>
      <c r="E23" s="59" t="s">
        <v>80</v>
      </c>
      <c r="F23" s="56" t="s">
        <v>35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-423.7000000000001</v>
      </c>
      <c r="N23" s="111" t="s">
        <v>195</v>
      </c>
      <c r="O23" s="121">
        <f>IF(P23=0,0,Q23/P23)</f>
        <v>-65.55</v>
      </c>
      <c r="P23" s="115">
        <v>2</v>
      </c>
      <c r="Q23" s="103">
        <v>-131.1</v>
      </c>
    </row>
    <row r="24" spans="1:17" x14ac:dyDescent="0.4">
      <c r="A24" s="52" t="s">
        <v>216</v>
      </c>
      <c r="B24" s="136">
        <f>IF($B$17-B$16=0,0,C24/($B$17-B$16))</f>
        <v>8257.575757575758</v>
      </c>
      <c r="C24" s="137">
        <v>272500</v>
      </c>
      <c r="E24" s="59" t="s">
        <v>82</v>
      </c>
      <c r="F24" s="56" t="s">
        <v>37</v>
      </c>
      <c r="G24" s="44">
        <v>0</v>
      </c>
      <c r="H24" s="129">
        <f>IF(B$17=0,0,G24/B$17)</f>
        <v>0</v>
      </c>
      <c r="I24" s="90">
        <v>1</v>
      </c>
      <c r="K24" s="36">
        <v>22</v>
      </c>
      <c r="L24" s="95">
        <v>-465.00000000000011</v>
      </c>
    </row>
    <row r="25" spans="1:17" x14ac:dyDescent="0.4">
      <c r="A25" s="52" t="s">
        <v>217</v>
      </c>
      <c r="B25" s="136">
        <f>IF(B$16=0,0,C25/B$16)</f>
        <v>6173.333333333333</v>
      </c>
      <c r="C25" s="137">
        <v>92600</v>
      </c>
      <c r="E25" s="59" t="s">
        <v>84</v>
      </c>
      <c r="F25" s="56" t="s">
        <v>39</v>
      </c>
      <c r="G25" s="44">
        <v>0</v>
      </c>
      <c r="H25" s="129">
        <f>IF(B$17=0,0,G25/B$17)</f>
        <v>0</v>
      </c>
      <c r="I25" s="90">
        <v>4</v>
      </c>
      <c r="K25" s="36">
        <v>23</v>
      </c>
      <c r="L25" s="95">
        <v>-450.10000000000014</v>
      </c>
    </row>
    <row r="26" spans="1:17" x14ac:dyDescent="0.4">
      <c r="A26" s="52" t="s">
        <v>215</v>
      </c>
      <c r="B26" s="136">
        <f>IF(B$20=0,0,C26/B$20)</f>
        <v>-8656.4102564102559</v>
      </c>
      <c r="C26" s="137">
        <v>-337600</v>
      </c>
      <c r="E26" s="59" t="s">
        <v>85</v>
      </c>
      <c r="F26" s="56" t="s">
        <v>40</v>
      </c>
      <c r="G26" s="44">
        <v>0</v>
      </c>
      <c r="H26" s="129">
        <f>IF(B$17=0,0,G26/B$17)</f>
        <v>0</v>
      </c>
      <c r="I26" s="90">
        <v>6</v>
      </c>
      <c r="K26" s="36">
        <v>24</v>
      </c>
      <c r="L26" s="95">
        <v>-474.10000000000014</v>
      </c>
    </row>
    <row r="27" spans="1:17" x14ac:dyDescent="0.4">
      <c r="A27" s="86" t="s">
        <v>140</v>
      </c>
      <c r="B27" s="144">
        <v>6</v>
      </c>
      <c r="C27" s="145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3</v>
      </c>
      <c r="K27" s="36">
        <v>25</v>
      </c>
      <c r="L27" s="95">
        <v>-488.30000000000013</v>
      </c>
    </row>
    <row r="28" spans="1:17" x14ac:dyDescent="0.4">
      <c r="A28" s="54" t="s">
        <v>150</v>
      </c>
      <c r="B28" s="142">
        <v>85100</v>
      </c>
      <c r="C28" s="143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-439.2000000000001</v>
      </c>
    </row>
    <row r="29" spans="1:17" x14ac:dyDescent="0.4">
      <c r="A29" s="53" t="s">
        <v>141</v>
      </c>
      <c r="B29" s="61">
        <v>1</v>
      </c>
      <c r="C29" s="40">
        <f>IF(B$3=0,0,B29/B$3)</f>
        <v>4.807692307692308E-3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3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4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3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B8C71-0BB4-4819-9EBC-CCA2E9D90660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181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14</v>
      </c>
      <c r="C2" s="151"/>
      <c r="E2" s="58" t="s">
        <v>66</v>
      </c>
      <c r="F2" s="55" t="s">
        <v>22</v>
      </c>
      <c r="G2" s="43">
        <v>40</v>
      </c>
      <c r="H2" s="128">
        <f>IF(B$17=0,0,G2/B$17)</f>
        <v>0.97560975609756095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-1321.4285714285713</v>
      </c>
      <c r="P2" s="114">
        <v>14</v>
      </c>
      <c r="Q2" s="98">
        <v>-18500</v>
      </c>
    </row>
    <row r="3" spans="1:17" x14ac:dyDescent="0.4">
      <c r="A3" s="51" t="s">
        <v>8</v>
      </c>
      <c r="B3" s="152">
        <v>142</v>
      </c>
      <c r="C3" s="153"/>
      <c r="E3" s="59" t="s">
        <v>64</v>
      </c>
      <c r="F3" s="56" t="s">
        <v>20</v>
      </c>
      <c r="G3" s="44">
        <v>25</v>
      </c>
      <c r="H3" s="129">
        <f>IF(B$17=0,0,G3/B$17)</f>
        <v>0.6097560975609756</v>
      </c>
      <c r="I3" s="90">
        <v>1</v>
      </c>
      <c r="K3" s="36">
        <v>1</v>
      </c>
      <c r="L3" s="95">
        <v>70.2</v>
      </c>
      <c r="N3" s="111" t="s">
        <v>131</v>
      </c>
      <c r="O3" s="118">
        <f t="shared" si="0"/>
        <v>800</v>
      </c>
      <c r="P3" s="115">
        <v>14</v>
      </c>
      <c r="Q3" s="99">
        <v>11200</v>
      </c>
    </row>
    <row r="4" spans="1:17" x14ac:dyDescent="0.4">
      <c r="A4" s="51" t="s">
        <v>6</v>
      </c>
      <c r="B4" s="154">
        <v>49.900000000000006</v>
      </c>
      <c r="C4" s="155"/>
      <c r="E4" s="59" t="s">
        <v>68</v>
      </c>
      <c r="F4" s="56" t="s">
        <v>12</v>
      </c>
      <c r="G4" s="44">
        <v>17</v>
      </c>
      <c r="H4" s="129">
        <f>IF(B$17=0,0,G4/B$17)</f>
        <v>0.41463414634146339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385.71428571428572</v>
      </c>
      <c r="P4" s="115">
        <v>14</v>
      </c>
      <c r="Q4" s="99">
        <v>5400</v>
      </c>
    </row>
    <row r="5" spans="1:17" x14ac:dyDescent="0.4">
      <c r="A5" s="51" t="s">
        <v>7</v>
      </c>
      <c r="B5" s="156">
        <f>IF(B$2=0,0,B$4/B$2)</f>
        <v>3.5642857142857145</v>
      </c>
      <c r="C5" s="157"/>
      <c r="E5" s="59" t="s">
        <v>171</v>
      </c>
      <c r="F5" s="56" t="s">
        <v>172</v>
      </c>
      <c r="G5" s="44">
        <v>15</v>
      </c>
      <c r="H5" s="129">
        <f>IF(B$17=0,0,G5/B$17)</f>
        <v>0.36585365853658536</v>
      </c>
      <c r="I5" s="90">
        <v>7</v>
      </c>
      <c r="K5" s="36">
        <v>3</v>
      </c>
      <c r="L5" s="95">
        <v>76</v>
      </c>
      <c r="N5" s="111" t="s">
        <v>133</v>
      </c>
      <c r="O5" s="118">
        <f t="shared" si="0"/>
        <v>-1492.3076923076924</v>
      </c>
      <c r="P5" s="115">
        <v>13</v>
      </c>
      <c r="Q5" s="99">
        <v>-19400</v>
      </c>
    </row>
    <row r="6" spans="1:17" x14ac:dyDescent="0.4">
      <c r="A6" s="51" t="s">
        <v>1</v>
      </c>
      <c r="B6" s="146">
        <f>IF(B$2=0,0,(B$7*1+B$8*2+B$9*3)/B$2)</f>
        <v>1.9285714285714286</v>
      </c>
      <c r="C6" s="147"/>
      <c r="E6" s="59" t="s">
        <v>72</v>
      </c>
      <c r="F6" s="56" t="s">
        <v>27</v>
      </c>
      <c r="G6" s="44">
        <v>13</v>
      </c>
      <c r="H6" s="129">
        <f>IF(B$17=0,0,G6/B$17)</f>
        <v>0.31707317073170732</v>
      </c>
      <c r="I6" s="90">
        <v>11</v>
      </c>
      <c r="K6" s="36">
        <v>4</v>
      </c>
      <c r="L6" s="95">
        <v>115.5</v>
      </c>
      <c r="N6" s="111" t="s">
        <v>134</v>
      </c>
      <c r="O6" s="118">
        <f t="shared" si="0"/>
        <v>6215.3846153846152</v>
      </c>
      <c r="P6" s="115">
        <v>13</v>
      </c>
      <c r="Q6" s="99">
        <v>80800</v>
      </c>
    </row>
    <row r="7" spans="1:17" x14ac:dyDescent="0.4">
      <c r="A7" s="51" t="s">
        <v>2</v>
      </c>
      <c r="B7" s="44">
        <v>5</v>
      </c>
      <c r="C7" s="37">
        <f t="shared" ref="C7:C12" si="1">IF(B$2=0,0,B7/B$2)</f>
        <v>0.35714285714285715</v>
      </c>
      <c r="E7" s="59" t="s">
        <v>67</v>
      </c>
      <c r="F7" s="56" t="s">
        <v>23</v>
      </c>
      <c r="G7" s="44">
        <v>10</v>
      </c>
      <c r="H7" s="129">
        <f>IF(B$17=0,0,G7/B$17)</f>
        <v>0.24390243902439024</v>
      </c>
      <c r="I7" s="90">
        <v>9</v>
      </c>
      <c r="K7" s="36">
        <v>5</v>
      </c>
      <c r="L7" s="95">
        <v>127.9</v>
      </c>
      <c r="N7" s="112" t="s">
        <v>135</v>
      </c>
      <c r="O7" s="119">
        <f t="shared" si="0"/>
        <v>1300</v>
      </c>
      <c r="P7" s="116">
        <v>9</v>
      </c>
      <c r="Q7" s="100">
        <v>11700</v>
      </c>
    </row>
    <row r="8" spans="1:17" x14ac:dyDescent="0.4">
      <c r="A8" s="51" t="s">
        <v>3</v>
      </c>
      <c r="B8" s="44">
        <v>5</v>
      </c>
      <c r="C8" s="37">
        <f t="shared" si="1"/>
        <v>0.35714285714285715</v>
      </c>
      <c r="E8" s="59" t="s">
        <v>69</v>
      </c>
      <c r="F8" s="56" t="s">
        <v>24</v>
      </c>
      <c r="G8" s="44">
        <v>8</v>
      </c>
      <c r="H8" s="129">
        <f>IF(B$17=0,0,G8/B$17)</f>
        <v>0.1951219512195122</v>
      </c>
      <c r="I8" s="90">
        <v>3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0.2857142857142857</v>
      </c>
      <c r="E9" s="59" t="s">
        <v>70</v>
      </c>
      <c r="F9" s="56" t="s">
        <v>25</v>
      </c>
      <c r="G9" s="44">
        <v>5</v>
      </c>
      <c r="H9" s="129">
        <f>IF(B$17=0,0,G9/B$17)</f>
        <v>0.12195121951219512</v>
      </c>
      <c r="I9" s="90">
        <v>4</v>
      </c>
      <c r="K9" s="36">
        <v>7</v>
      </c>
      <c r="L9" s="95">
        <v>123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</v>
      </c>
      <c r="C10" s="38">
        <f t="shared" si="1"/>
        <v>7.1428571428571425E-2</v>
      </c>
      <c r="E10" s="59" t="s">
        <v>71</v>
      </c>
      <c r="F10" s="56" t="s">
        <v>26</v>
      </c>
      <c r="G10" s="44">
        <v>5</v>
      </c>
      <c r="H10" s="129">
        <f>IF(B$17=0,0,G10/B$17)</f>
        <v>0.12195121951219512</v>
      </c>
      <c r="I10" s="90">
        <v>2</v>
      </c>
      <c r="K10" s="36">
        <v>8</v>
      </c>
      <c r="L10" s="95">
        <v>124.6</v>
      </c>
      <c r="N10" s="110" t="s">
        <v>162</v>
      </c>
      <c r="O10" s="120">
        <f>IF(P10=0,0,Q10/P10)</f>
        <v>-0.85714285714285665</v>
      </c>
      <c r="P10" s="114">
        <v>7</v>
      </c>
      <c r="Q10" s="102">
        <v>-5.9999999999999964</v>
      </c>
    </row>
    <row r="11" spans="1:17" x14ac:dyDescent="0.4">
      <c r="A11" s="52" t="s">
        <v>138</v>
      </c>
      <c r="B11" s="45">
        <v>2</v>
      </c>
      <c r="C11" s="38">
        <f t="shared" si="1"/>
        <v>0.14285714285714285</v>
      </c>
      <c r="E11" s="59" t="s">
        <v>65</v>
      </c>
      <c r="F11" s="56" t="s">
        <v>21</v>
      </c>
      <c r="G11" s="44">
        <v>4</v>
      </c>
      <c r="H11" s="129">
        <f>IF(B$17=0,0,G11/B$17)</f>
        <v>9.7560975609756101E-2</v>
      </c>
      <c r="I11" s="90">
        <v>5</v>
      </c>
      <c r="K11" s="36">
        <v>9</v>
      </c>
      <c r="L11" s="95">
        <v>141.5</v>
      </c>
      <c r="N11" s="111" t="s">
        <v>163</v>
      </c>
      <c r="O11" s="121">
        <f>IF(P11=0,0,Q11/P11)</f>
        <v>11.699999999999998</v>
      </c>
      <c r="P11" s="115">
        <v>3</v>
      </c>
      <c r="Q11" s="103">
        <v>35.099999999999994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89</v>
      </c>
      <c r="F12" s="56" t="s">
        <v>44</v>
      </c>
      <c r="G12" s="44">
        <v>3</v>
      </c>
      <c r="H12" s="129">
        <f>IF(B$17=0,0,G12/B$17)</f>
        <v>7.3170731707317069E-2</v>
      </c>
      <c r="I12" s="90">
        <v>10</v>
      </c>
      <c r="K12" s="36">
        <v>10</v>
      </c>
      <c r="L12" s="95">
        <v>162.80000000000001</v>
      </c>
      <c r="N12" s="112" t="s">
        <v>164</v>
      </c>
      <c r="O12" s="122">
        <f>IF(P12=0,0,Q12/P12)</f>
        <v>5.1999999999999993</v>
      </c>
      <c r="P12" s="116">
        <v>4</v>
      </c>
      <c r="Q12" s="104">
        <v>20.799999999999997</v>
      </c>
    </row>
    <row r="13" spans="1:17" x14ac:dyDescent="0.4">
      <c r="A13" s="54" t="s">
        <v>121</v>
      </c>
      <c r="B13" s="47">
        <v>40</v>
      </c>
      <c r="C13" s="42">
        <f>IF(B$3=0,0,B13/B$3)</f>
        <v>0.28169014084507044</v>
      </c>
      <c r="E13" s="59" t="s">
        <v>86</v>
      </c>
      <c r="F13" s="56" t="s">
        <v>41</v>
      </c>
      <c r="G13" s="44">
        <v>2</v>
      </c>
      <c r="H13" s="129">
        <f>IF(B$17=0,0,G13/B$17)</f>
        <v>4.878048780487805E-2</v>
      </c>
      <c r="I13" s="90">
        <v>4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</v>
      </c>
      <c r="C14" s="37">
        <f>IF(B$3=0,0,B14/B$3)</f>
        <v>0.15492957746478872</v>
      </c>
      <c r="E14" s="59" t="s">
        <v>75</v>
      </c>
      <c r="F14" s="56" t="s">
        <v>30</v>
      </c>
      <c r="G14" s="44">
        <v>1</v>
      </c>
      <c r="H14" s="129">
        <f>IF(B$17=0,0,G14/B$17)</f>
        <v>2.4390243902439025E-2</v>
      </c>
      <c r="I14" s="90">
        <v>1</v>
      </c>
      <c r="K14" s="36">
        <v>12</v>
      </c>
      <c r="L14" s="95">
        <v>78.100000000000009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25</v>
      </c>
      <c r="C15" s="35">
        <f>IF(B$13=0,0,B15/B$13)</f>
        <v>0.625</v>
      </c>
      <c r="E15" s="59" t="s">
        <v>78</v>
      </c>
      <c r="F15" s="56" t="s">
        <v>33</v>
      </c>
      <c r="G15" s="44">
        <v>1</v>
      </c>
      <c r="H15" s="129">
        <f>IF(B$17=0,0,G15/B$17)</f>
        <v>2.4390243902439025E-2</v>
      </c>
      <c r="I15" s="90">
        <v>5</v>
      </c>
      <c r="K15" s="36">
        <v>13</v>
      </c>
      <c r="L15" s="95">
        <v>76.7</v>
      </c>
      <c r="N15" s="110" t="s">
        <v>177</v>
      </c>
      <c r="O15" s="120">
        <f t="shared" ref="O15:O22" si="2">IF(P15=0,0,Q15/P15)</f>
        <v>76.666666666666671</v>
      </c>
      <c r="P15" s="114">
        <v>3</v>
      </c>
      <c r="Q15" s="102">
        <v>230</v>
      </c>
    </row>
    <row r="16" spans="1:17" x14ac:dyDescent="0.4">
      <c r="A16" s="50" t="s">
        <v>124</v>
      </c>
      <c r="B16" s="43">
        <v>7</v>
      </c>
      <c r="C16" s="35">
        <f>IF(B$14=0,0,B16/B$14)</f>
        <v>0.31818181818181818</v>
      </c>
      <c r="E16" s="59" t="s">
        <v>81</v>
      </c>
      <c r="F16" s="56" t="s">
        <v>36</v>
      </c>
      <c r="G16" s="44">
        <v>1</v>
      </c>
      <c r="H16" s="129">
        <f>IF(B$17=0,0,G16/B$17)</f>
        <v>2.4390243902439025E-2</v>
      </c>
      <c r="I16" s="90">
        <v>3</v>
      </c>
      <c r="K16" s="36">
        <v>14</v>
      </c>
      <c r="L16" s="95">
        <v>49.900000000000006</v>
      </c>
      <c r="N16" s="111" t="s">
        <v>182</v>
      </c>
      <c r="O16" s="121">
        <f t="shared" si="2"/>
        <v>52.525000000000006</v>
      </c>
      <c r="P16" s="115">
        <v>4</v>
      </c>
      <c r="Q16" s="103">
        <v>210.10000000000002</v>
      </c>
    </row>
    <row r="17" spans="1:17" x14ac:dyDescent="0.4">
      <c r="A17" s="50" t="s">
        <v>10</v>
      </c>
      <c r="B17" s="43">
        <f>B19+B18</f>
        <v>41</v>
      </c>
      <c r="C17" s="35">
        <f>IF(B$3=0,0,B17/B$3)</f>
        <v>0.28873239436619719</v>
      </c>
      <c r="E17" s="59" t="s">
        <v>85</v>
      </c>
      <c r="F17" s="56" t="s">
        <v>40</v>
      </c>
      <c r="G17" s="44">
        <v>1</v>
      </c>
      <c r="H17" s="129">
        <f>IF(B$17=0,0,G17/B$17)</f>
        <v>2.4390243902439025E-2</v>
      </c>
      <c r="I17" s="90">
        <v>1</v>
      </c>
      <c r="N17" s="111" t="s">
        <v>178</v>
      </c>
      <c r="O17" s="121">
        <f t="shared" si="2"/>
        <v>15.5</v>
      </c>
      <c r="P17" s="115">
        <v>1</v>
      </c>
      <c r="Q17" s="103">
        <v>15.5</v>
      </c>
    </row>
    <row r="18" spans="1:17" x14ac:dyDescent="0.4">
      <c r="A18" s="51" t="s">
        <v>12</v>
      </c>
      <c r="B18" s="44">
        <v>22</v>
      </c>
      <c r="C18" s="37">
        <f>IF(B$17=0,0,B18/B$17)</f>
        <v>0.53658536585365857</v>
      </c>
      <c r="E18" s="59" t="s">
        <v>87</v>
      </c>
      <c r="F18" s="56" t="s">
        <v>42</v>
      </c>
      <c r="G18" s="44">
        <v>1</v>
      </c>
      <c r="H18" s="129">
        <f>IF(B$17=0,0,G18/B$17)</f>
        <v>2.4390243902439025E-2</v>
      </c>
      <c r="I18" s="90">
        <v>1</v>
      </c>
      <c r="N18" s="111" t="s">
        <v>166</v>
      </c>
      <c r="O18" s="121">
        <f t="shared" si="2"/>
        <v>5.0400000000000009</v>
      </c>
      <c r="P18" s="115">
        <v>5</v>
      </c>
      <c r="Q18" s="103">
        <v>25.200000000000003</v>
      </c>
    </row>
    <row r="19" spans="1:17" x14ac:dyDescent="0.4">
      <c r="A19" s="51" t="s">
        <v>11</v>
      </c>
      <c r="B19" s="44">
        <v>19</v>
      </c>
      <c r="C19" s="37">
        <f>IF(B$17=0,0,B19/B$17)</f>
        <v>0.46341463414634149</v>
      </c>
      <c r="E19" s="59" t="s">
        <v>167</v>
      </c>
      <c r="F19" s="56" t="s">
        <v>168</v>
      </c>
      <c r="G19" s="44">
        <v>1</v>
      </c>
      <c r="H19" s="129">
        <f>IF(B$17=0,0,G19/B$17)</f>
        <v>2.4390243902439025E-2</v>
      </c>
      <c r="I19" s="90">
        <v>4</v>
      </c>
      <c r="N19" s="111" t="s">
        <v>179</v>
      </c>
      <c r="O19" s="121">
        <f t="shared" si="2"/>
        <v>-3.7285714285714278</v>
      </c>
      <c r="P19" s="115">
        <v>7</v>
      </c>
      <c r="Q19" s="103">
        <v>-26.099999999999994</v>
      </c>
    </row>
    <row r="20" spans="1:17" x14ac:dyDescent="0.4">
      <c r="A20" s="51" t="s">
        <v>13</v>
      </c>
      <c r="B20" s="44">
        <v>19</v>
      </c>
      <c r="C20" s="37">
        <f>IF(B$3=0,0,B20/B$3)</f>
        <v>0.13380281690140844</v>
      </c>
      <c r="E20" s="59" t="s">
        <v>73</v>
      </c>
      <c r="F20" s="56" t="s">
        <v>28</v>
      </c>
      <c r="G20" s="44">
        <v>0</v>
      </c>
      <c r="H20" s="129">
        <f>IF(B$17=0,0,G20/B$17)</f>
        <v>0</v>
      </c>
      <c r="I20" s="90">
        <v>3</v>
      </c>
      <c r="N20" s="111" t="s">
        <v>195</v>
      </c>
      <c r="O20" s="121">
        <f t="shared" si="2"/>
        <v>-17.850000000000001</v>
      </c>
      <c r="P20" s="115">
        <v>2</v>
      </c>
      <c r="Q20" s="103">
        <v>-35.700000000000003</v>
      </c>
    </row>
    <row r="21" spans="1:17" x14ac:dyDescent="0.4">
      <c r="A21" s="51" t="s">
        <v>169</v>
      </c>
      <c r="B21" s="44">
        <v>3</v>
      </c>
      <c r="C21" s="131">
        <v>0</v>
      </c>
      <c r="E21" s="59" t="s">
        <v>74</v>
      </c>
      <c r="F21" s="56" t="s">
        <v>29</v>
      </c>
      <c r="G21" s="44">
        <v>0</v>
      </c>
      <c r="H21" s="129">
        <f>IF(B$17=0,0,G21/B$17)</f>
        <v>0</v>
      </c>
      <c r="I21" s="90">
        <v>6</v>
      </c>
      <c r="N21" s="111" t="s">
        <v>127</v>
      </c>
      <c r="O21" s="121">
        <f t="shared" si="2"/>
        <v>-19.850000000000001</v>
      </c>
      <c r="P21" s="115">
        <v>2</v>
      </c>
      <c r="Q21" s="103">
        <v>-39.700000000000003</v>
      </c>
    </row>
    <row r="22" spans="1:17" x14ac:dyDescent="0.4">
      <c r="A22" s="51" t="s">
        <v>170</v>
      </c>
      <c r="B22" s="44">
        <v>19</v>
      </c>
      <c r="C22" s="131">
        <v>2</v>
      </c>
      <c r="E22" s="59" t="s">
        <v>76</v>
      </c>
      <c r="F22" s="56" t="s">
        <v>31</v>
      </c>
      <c r="G22" s="44">
        <v>0</v>
      </c>
      <c r="H22" s="129">
        <f>IF(B$17=0,0,G22/B$17)</f>
        <v>0</v>
      </c>
      <c r="I22" s="90">
        <v>1</v>
      </c>
      <c r="N22" s="111" t="s">
        <v>126</v>
      </c>
      <c r="O22" s="121">
        <f t="shared" si="2"/>
        <v>-57.4</v>
      </c>
      <c r="P22" s="115">
        <v>4</v>
      </c>
      <c r="Q22" s="103">
        <v>-229.6</v>
      </c>
    </row>
    <row r="23" spans="1:17" x14ac:dyDescent="0.4">
      <c r="A23" s="51" t="s">
        <v>5</v>
      </c>
      <c r="B23" s="48">
        <f>IF(B$17=0,0,C23/B$17)</f>
        <v>7782.9268292682927</v>
      </c>
      <c r="C23" s="39">
        <v>319100</v>
      </c>
      <c r="E23" s="59" t="s">
        <v>77</v>
      </c>
      <c r="F23" s="56" t="s">
        <v>32</v>
      </c>
      <c r="G23" s="44">
        <v>0</v>
      </c>
      <c r="H23" s="129">
        <f>IF(B$17=0,0,G23/B$17)</f>
        <v>0</v>
      </c>
      <c r="I23" s="90">
        <v>4</v>
      </c>
    </row>
    <row r="24" spans="1:17" x14ac:dyDescent="0.4">
      <c r="A24" s="52" t="s">
        <v>216</v>
      </c>
      <c r="B24" s="136">
        <f>IF($B$17-B$16=0,0,C24/($B$17-B$16))</f>
        <v>8170.588235294118</v>
      </c>
      <c r="C24" s="137">
        <v>277800</v>
      </c>
      <c r="E24" s="59" t="s">
        <v>79</v>
      </c>
      <c r="F24" s="56" t="s">
        <v>34</v>
      </c>
      <c r="G24" s="44">
        <v>0</v>
      </c>
      <c r="H24" s="129">
        <f>IF(B$17=0,0,G24/B$17)</f>
        <v>0</v>
      </c>
      <c r="I24" s="90">
        <v>7</v>
      </c>
    </row>
    <row r="25" spans="1:17" x14ac:dyDescent="0.4">
      <c r="A25" s="52" t="s">
        <v>217</v>
      </c>
      <c r="B25" s="136">
        <f>IF(B$16=0,0,C25/B$16)</f>
        <v>5900</v>
      </c>
      <c r="C25" s="137">
        <v>41300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</row>
    <row r="26" spans="1:17" x14ac:dyDescent="0.4">
      <c r="A26" s="52" t="s">
        <v>215</v>
      </c>
      <c r="B26" s="136">
        <f>IF(B$20=0,0,C26/B$20)</f>
        <v>-6800</v>
      </c>
      <c r="C26" s="137">
        <v>-129200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</row>
    <row r="27" spans="1:17" x14ac:dyDescent="0.4">
      <c r="A27" s="86" t="s">
        <v>140</v>
      </c>
      <c r="B27" s="144">
        <v>7</v>
      </c>
      <c r="C27" s="145"/>
      <c r="E27" s="59" t="s">
        <v>83</v>
      </c>
      <c r="F27" s="56" t="s">
        <v>38</v>
      </c>
      <c r="G27" s="44">
        <v>0</v>
      </c>
      <c r="H27" s="129">
        <f>IF(B$17=0,0,G27/B$17)</f>
        <v>0</v>
      </c>
      <c r="I27" s="90">
        <v>11</v>
      </c>
    </row>
    <row r="28" spans="1:17" x14ac:dyDescent="0.4">
      <c r="A28" s="54" t="s">
        <v>150</v>
      </c>
      <c r="B28" s="142">
        <v>95200</v>
      </c>
      <c r="C28" s="143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8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3</v>
      </c>
    </row>
    <row r="34" spans="5:9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</row>
    <row r="35" spans="5:9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4</v>
      </c>
    </row>
    <row r="36" spans="5:9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</row>
    <row r="41" spans="5:9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</row>
    <row r="42" spans="5:9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E8EFA-5FBE-4AA0-B217-74A1D86EA060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195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7</v>
      </c>
      <c r="C2" s="151"/>
      <c r="E2" s="58" t="s">
        <v>66</v>
      </c>
      <c r="F2" s="55" t="s">
        <v>22</v>
      </c>
      <c r="G2" s="43">
        <v>11</v>
      </c>
      <c r="H2" s="128">
        <f>IF(B$17=0,0,G2/B$17)</f>
        <v>0.73333333333333328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2">
        <v>62</v>
      </c>
      <c r="C3" s="153"/>
      <c r="E3" s="59" t="s">
        <v>64</v>
      </c>
      <c r="F3" s="56" t="s">
        <v>20</v>
      </c>
      <c r="G3" s="44">
        <v>8</v>
      </c>
      <c r="H3" s="129">
        <f>IF(B$17=0,0,G3/B$17)</f>
        <v>0.53333333333333333</v>
      </c>
      <c r="I3" s="90">
        <v>3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4">
        <v>-104.80000000000001</v>
      </c>
      <c r="C4" s="155"/>
      <c r="E4" s="59" t="s">
        <v>67</v>
      </c>
      <c r="F4" s="56" t="s">
        <v>23</v>
      </c>
      <c r="G4" s="44">
        <v>7</v>
      </c>
      <c r="H4" s="129">
        <f>IF(B$17=0,0,G4/B$17)</f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56">
        <f>IF(B$2=0,0,B$4/B$2)</f>
        <v>-14.971428571428573</v>
      </c>
      <c r="C5" s="157"/>
      <c r="E5" s="59" t="s">
        <v>72</v>
      </c>
      <c r="F5" s="56" t="s">
        <v>27</v>
      </c>
      <c r="G5" s="44">
        <v>7</v>
      </c>
      <c r="H5" s="129">
        <f>IF(B$17=0,0,G5/B$17)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46">
        <f>IF(B$2=0,0,(B$7*1+B$8*2+B$9*3)/B$2)</f>
        <v>2.1428571428571428</v>
      </c>
      <c r="C6" s="147"/>
      <c r="E6" s="59" t="s">
        <v>171</v>
      </c>
      <c r="F6" s="56" t="s">
        <v>172</v>
      </c>
      <c r="G6" s="44">
        <v>5</v>
      </c>
      <c r="H6" s="129">
        <f>IF(B$17=0,0,G6/B$17)</f>
        <v>0.33333333333333331</v>
      </c>
      <c r="I6" s="90">
        <v>9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IF(B$17=0,0,G7/B$17)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IF(B$17=0,0,G8/B$17)</f>
        <v>0.2</v>
      </c>
      <c r="I8" s="90">
        <v>11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IF(B$17=0,0,G9/B$17)</f>
        <v>0.13333333333333333</v>
      </c>
      <c r="I9" s="90">
        <v>6</v>
      </c>
      <c r="K9" s="36">
        <v>7</v>
      </c>
      <c r="L9" s="95">
        <v>-104.80000000000001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IF(B$17=0,0,G10/B$17)</f>
        <v>6.6666666666666666E-2</v>
      </c>
      <c r="I10" s="90">
        <v>10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1</v>
      </c>
      <c r="C11" s="38">
        <f t="shared" si="1"/>
        <v>0.14285714285714285</v>
      </c>
      <c r="E11" s="59" t="s">
        <v>70</v>
      </c>
      <c r="F11" s="56" t="s">
        <v>25</v>
      </c>
      <c r="G11" s="44">
        <v>1</v>
      </c>
      <c r="H11" s="129">
        <f>IF(B$17=0,0,G11/B$17)</f>
        <v>6.6666666666666666E-2</v>
      </c>
      <c r="I11" s="90">
        <v>9</v>
      </c>
      <c r="N11" s="111" t="s">
        <v>163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71</v>
      </c>
      <c r="F12" s="56" t="s">
        <v>26</v>
      </c>
      <c r="G12" s="44">
        <v>1</v>
      </c>
      <c r="H12" s="129">
        <f>IF(B$17=0,0,G12/B$17)</f>
        <v>6.6666666666666666E-2</v>
      </c>
      <c r="I12" s="90">
        <v>8</v>
      </c>
      <c r="N12" s="112" t="s">
        <v>164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4" t="s">
        <v>121</v>
      </c>
      <c r="B13" s="47">
        <v>15</v>
      </c>
      <c r="C13" s="42">
        <f>IF(B$3=0,0,B13/B$3)</f>
        <v>0.24193548387096775</v>
      </c>
      <c r="E13" s="59" t="s">
        <v>79</v>
      </c>
      <c r="F13" s="56" t="s">
        <v>34</v>
      </c>
      <c r="G13" s="44">
        <v>1</v>
      </c>
      <c r="H13" s="129">
        <f>IF(B$17=0,0,G13/B$17)</f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</v>
      </c>
      <c r="C14" s="37">
        <f>IF(B$3=0,0,B14/B$3)</f>
        <v>0.35483870967741937</v>
      </c>
      <c r="E14" s="59" t="s">
        <v>83</v>
      </c>
      <c r="F14" s="56" t="s">
        <v>38</v>
      </c>
      <c r="G14" s="44">
        <v>1</v>
      </c>
      <c r="H14" s="129">
        <f>IF(B$17=0,0,G14/B$17)</f>
        <v>6.6666666666666666E-2</v>
      </c>
      <c r="I14" s="90">
        <v>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</v>
      </c>
      <c r="C15" s="35">
        <f>IF(B$13=0,0,B15/B$13)</f>
        <v>0.53333333333333333</v>
      </c>
      <c r="E15" s="59" t="s">
        <v>86</v>
      </c>
      <c r="F15" s="56" t="s">
        <v>41</v>
      </c>
      <c r="G15" s="44">
        <v>1</v>
      </c>
      <c r="H15" s="129">
        <f>IF(B$17=0,0,G15/B$17)</f>
        <v>6.6666666666666666E-2</v>
      </c>
      <c r="I15" s="90">
        <v>2</v>
      </c>
      <c r="N15" s="110" t="s">
        <v>182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">
      <c r="A16" s="50" t="s">
        <v>124</v>
      </c>
      <c r="B16" s="43">
        <v>6</v>
      </c>
      <c r="C16" s="35">
        <f>IF(B$14=0,0,B16/B$14)</f>
        <v>0.27272727272727271</v>
      </c>
      <c r="E16" s="59" t="s">
        <v>73</v>
      </c>
      <c r="F16" s="56" t="s">
        <v>28</v>
      </c>
      <c r="G16" s="44">
        <v>0</v>
      </c>
      <c r="H16" s="129">
        <f>IF(B$17=0,0,G16/B$17)</f>
        <v>0</v>
      </c>
      <c r="I16" s="90">
        <v>3</v>
      </c>
      <c r="N16" s="111" t="s">
        <v>179</v>
      </c>
      <c r="O16" s="121">
        <f t="shared" si="2"/>
        <v>56.6</v>
      </c>
      <c r="P16" s="115">
        <v>1</v>
      </c>
      <c r="Q16" s="103">
        <v>56.6</v>
      </c>
    </row>
    <row r="17" spans="1:17" x14ac:dyDescent="0.4">
      <c r="A17" s="50" t="s">
        <v>10</v>
      </c>
      <c r="B17" s="43">
        <f>B19+B18</f>
        <v>15</v>
      </c>
      <c r="C17" s="35">
        <f>IF(B$3=0,0,B17/B$3)</f>
        <v>0.24193548387096775</v>
      </c>
      <c r="E17" s="59" t="s">
        <v>74</v>
      </c>
      <c r="F17" s="56" t="s">
        <v>29</v>
      </c>
      <c r="G17" s="44">
        <v>0</v>
      </c>
      <c r="H17" s="129">
        <f>IF(B$17=0,0,G17/B$17)</f>
        <v>0</v>
      </c>
      <c r="I17" s="90">
        <v>6</v>
      </c>
      <c r="N17" s="111" t="s">
        <v>181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">
      <c r="A18" s="51" t="s">
        <v>12</v>
      </c>
      <c r="B18" s="44">
        <v>5</v>
      </c>
      <c r="C18" s="37">
        <f>IF(B$17=0,0,B18/B$17)</f>
        <v>0.33333333333333331</v>
      </c>
      <c r="E18" s="59" t="s">
        <v>75</v>
      </c>
      <c r="F18" s="56" t="s">
        <v>30</v>
      </c>
      <c r="G18" s="44">
        <v>0</v>
      </c>
      <c r="H18" s="129">
        <f>IF(B$17=0,0,G18/B$17)</f>
        <v>0</v>
      </c>
      <c r="I18" s="90">
        <v>7</v>
      </c>
      <c r="N18" s="111" t="s">
        <v>178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11</v>
      </c>
      <c r="B19" s="44">
        <v>10</v>
      </c>
      <c r="C19" s="37">
        <f>IF(B$17=0,0,B19/B$17)</f>
        <v>0.66666666666666663</v>
      </c>
      <c r="E19" s="59" t="s">
        <v>76</v>
      </c>
      <c r="F19" s="56" t="s">
        <v>31</v>
      </c>
      <c r="G19" s="44">
        <v>0</v>
      </c>
      <c r="H19" s="129">
        <f>IF(B$17=0,0,G19/B$17)</f>
        <v>0</v>
      </c>
      <c r="I19" s="90">
        <v>1</v>
      </c>
      <c r="N19" s="111" t="s">
        <v>177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13</v>
      </c>
      <c r="B20" s="44">
        <v>12</v>
      </c>
      <c r="C20" s="37">
        <f>IF(B$3=0,0,B20/B$3)</f>
        <v>0.19354838709677419</v>
      </c>
      <c r="E20" s="59" t="s">
        <v>77</v>
      </c>
      <c r="F20" s="56" t="s">
        <v>32</v>
      </c>
      <c r="G20" s="44">
        <v>0</v>
      </c>
      <c r="H20" s="129">
        <f>IF(B$17=0,0,G20/B$17)</f>
        <v>0</v>
      </c>
      <c r="I20" s="90">
        <v>4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78</v>
      </c>
      <c r="F21" s="56" t="s">
        <v>33</v>
      </c>
      <c r="G21" s="44">
        <v>0</v>
      </c>
      <c r="H21" s="129">
        <f>IF(B$17=0,0,G21/B$17)</f>
        <v>0</v>
      </c>
      <c r="I21" s="90">
        <v>9</v>
      </c>
    </row>
    <row r="22" spans="1:17" x14ac:dyDescent="0.4">
      <c r="A22" s="51" t="s">
        <v>170</v>
      </c>
      <c r="B22" s="44">
        <v>13</v>
      </c>
      <c r="C22" s="131">
        <v>0</v>
      </c>
      <c r="E22" s="59" t="s">
        <v>80</v>
      </c>
      <c r="F22" s="56" t="s">
        <v>35</v>
      </c>
      <c r="G22" s="44">
        <v>0</v>
      </c>
      <c r="H22" s="129">
        <f>IF(B$17=0,0,G22/B$17)</f>
        <v>0</v>
      </c>
      <c r="I22" s="90">
        <v>1</v>
      </c>
    </row>
    <row r="23" spans="1:17" x14ac:dyDescent="0.4">
      <c r="A23" s="51" t="s">
        <v>5</v>
      </c>
      <c r="B23" s="48">
        <f>IF(B$17=0,0,C23/B$17)</f>
        <v>7473.333333333333</v>
      </c>
      <c r="C23" s="39">
        <v>112100</v>
      </c>
      <c r="E23" s="59" t="s">
        <v>81</v>
      </c>
      <c r="F23" s="56" t="s">
        <v>36</v>
      </c>
      <c r="G23" s="44">
        <v>0</v>
      </c>
      <c r="H23" s="129">
        <f>IF(B$17=0,0,G23/B$17)</f>
        <v>0</v>
      </c>
      <c r="I23" s="90">
        <v>10</v>
      </c>
    </row>
    <row r="24" spans="1:17" x14ac:dyDescent="0.4">
      <c r="A24" s="52" t="s">
        <v>216</v>
      </c>
      <c r="B24" s="136">
        <f>IF($B$17-B$16=0,0,C24/($B$17-B$16))</f>
        <v>7855.5555555555557</v>
      </c>
      <c r="C24" s="137">
        <v>70700</v>
      </c>
      <c r="E24" s="59" t="s">
        <v>82</v>
      </c>
      <c r="F24" s="56" t="s">
        <v>37</v>
      </c>
      <c r="G24" s="44">
        <v>0</v>
      </c>
      <c r="H24" s="129">
        <f>IF(B$17=0,0,G24/B$17)</f>
        <v>0</v>
      </c>
      <c r="I24" s="90">
        <v>1</v>
      </c>
    </row>
    <row r="25" spans="1:17" x14ac:dyDescent="0.4">
      <c r="A25" s="52" t="s">
        <v>217</v>
      </c>
      <c r="B25" s="136">
        <f>IF(B$16=0,0,C25/B$16)</f>
        <v>6900</v>
      </c>
      <c r="C25" s="137">
        <v>41400</v>
      </c>
      <c r="E25" s="59" t="s">
        <v>84</v>
      </c>
      <c r="F25" s="56" t="s">
        <v>39</v>
      </c>
      <c r="G25" s="44">
        <v>0</v>
      </c>
      <c r="H25" s="129">
        <f>IF(B$17=0,0,G25/B$17)</f>
        <v>0</v>
      </c>
      <c r="I25" s="90">
        <v>4</v>
      </c>
    </row>
    <row r="26" spans="1:17" x14ac:dyDescent="0.4">
      <c r="A26" s="52" t="s">
        <v>215</v>
      </c>
      <c r="B26" s="136">
        <f>IF(B$20=0,0,C26/B$20)</f>
        <v>-9075</v>
      </c>
      <c r="C26" s="137">
        <v>-108900</v>
      </c>
      <c r="E26" s="59" t="s">
        <v>85</v>
      </c>
      <c r="F26" s="56" t="s">
        <v>40</v>
      </c>
      <c r="G26" s="44">
        <v>0</v>
      </c>
      <c r="H26" s="129">
        <f>IF(B$17=0,0,G26/B$17)</f>
        <v>0</v>
      </c>
      <c r="I26" s="90">
        <v>6</v>
      </c>
    </row>
    <row r="27" spans="1:17" x14ac:dyDescent="0.4">
      <c r="A27" s="86" t="s">
        <v>140</v>
      </c>
      <c r="B27" s="144">
        <v>4</v>
      </c>
      <c r="C27" s="145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3</v>
      </c>
    </row>
    <row r="28" spans="1:17" x14ac:dyDescent="0.4">
      <c r="A28" s="54" t="s">
        <v>150</v>
      </c>
      <c r="B28" s="142">
        <v>59500</v>
      </c>
      <c r="C28" s="143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3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4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0F58B-23C7-4D1F-A96B-F1A8166E7CCD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222</v>
      </c>
      <c r="C1" s="149"/>
      <c r="E1" s="125" t="s">
        <v>165</v>
      </c>
      <c r="F1" s="141" t="s">
        <v>115</v>
      </c>
      <c r="G1" s="140" t="s">
        <v>116</v>
      </c>
      <c r="H1" s="126" t="s">
        <v>117</v>
      </c>
      <c r="I1" s="141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2</v>
      </c>
      <c r="C2" s="151"/>
      <c r="E2" s="58" t="s">
        <v>72</v>
      </c>
      <c r="F2" s="55" t="s">
        <v>27</v>
      </c>
      <c r="G2" s="43">
        <v>7</v>
      </c>
      <c r="H2" s="128">
        <f>IF(B$17=0,0,G2/B$17)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">
      <c r="A3" s="51" t="s">
        <v>8</v>
      </c>
      <c r="B3" s="152">
        <v>15</v>
      </c>
      <c r="C3" s="153"/>
      <c r="E3" s="59" t="s">
        <v>66</v>
      </c>
      <c r="F3" s="56" t="s">
        <v>22</v>
      </c>
      <c r="G3" s="44">
        <v>3</v>
      </c>
      <c r="H3" s="129">
        <f>IF(B$17=0,0,G3/B$17)</f>
        <v>0.42857142857142855</v>
      </c>
      <c r="I3" s="90">
        <v>11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">
      <c r="A4" s="51" t="s">
        <v>6</v>
      </c>
      <c r="B4" s="154">
        <v>26.2</v>
      </c>
      <c r="C4" s="155"/>
      <c r="E4" s="59" t="s">
        <v>67</v>
      </c>
      <c r="F4" s="56" t="s">
        <v>23</v>
      </c>
      <c r="G4" s="44">
        <v>3</v>
      </c>
      <c r="H4" s="129">
        <f>IF(B$17=0,0,G4/B$17)</f>
        <v>0.42857142857142855</v>
      </c>
      <c r="I4" s="90">
        <v>3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">
      <c r="A5" s="51" t="s">
        <v>7</v>
      </c>
      <c r="B5" s="156">
        <f>IF(B$2=0,0,B$4/B$2)</f>
        <v>13.1</v>
      </c>
      <c r="C5" s="157"/>
      <c r="E5" s="59" t="s">
        <v>89</v>
      </c>
      <c r="F5" s="56" t="s">
        <v>44</v>
      </c>
      <c r="G5" s="44">
        <v>3</v>
      </c>
      <c r="H5" s="129">
        <f>IF(B$17=0,0,G5/B$17)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">
      <c r="A6" s="51" t="s">
        <v>1</v>
      </c>
      <c r="B6" s="146">
        <f>IF(B$2=0,0,(B$7*1+B$8*2+B$9*3)/B$2)</f>
        <v>1.5</v>
      </c>
      <c r="C6" s="147"/>
      <c r="E6" s="59" t="s">
        <v>64</v>
      </c>
      <c r="F6" s="56" t="s">
        <v>20</v>
      </c>
      <c r="G6" s="44">
        <v>2</v>
      </c>
      <c r="H6" s="129">
        <f>IF(B$17=0,0,G6/B$17)</f>
        <v>0.2857142857142857</v>
      </c>
      <c r="I6" s="90">
        <v>11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">
      <c r="A7" s="51" t="s">
        <v>2</v>
      </c>
      <c r="B7" s="44">
        <v>1</v>
      </c>
      <c r="C7" s="37">
        <f t="shared" ref="C7:C12" si="1">IF(B$2=0,0,B7/B$2)</f>
        <v>0.5</v>
      </c>
      <c r="E7" s="59" t="s">
        <v>68</v>
      </c>
      <c r="F7" s="56" t="s">
        <v>12</v>
      </c>
      <c r="G7" s="44">
        <v>2</v>
      </c>
      <c r="H7" s="129">
        <f>IF(B$17=0,0,G7/B$17)</f>
        <v>0.2857142857142857</v>
      </c>
      <c r="I7" s="90">
        <v>8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IF(B$17=0,0,G8/B$17)</f>
        <v>0.2857142857142857</v>
      </c>
      <c r="I8" s="90">
        <v>1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IF(B$17=0,0,G9/B$17)</f>
        <v>0.14285714285714285</v>
      </c>
      <c r="I9" s="90">
        <v>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71</v>
      </c>
      <c r="F10" s="56" t="s">
        <v>26</v>
      </c>
      <c r="G10" s="44">
        <v>1</v>
      </c>
      <c r="H10" s="129">
        <f>IF(B$17=0,0,G10/B$17)</f>
        <v>0.14285714285714285</v>
      </c>
      <c r="I10" s="90">
        <v>1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1"/>
        <v>0</v>
      </c>
      <c r="E11" s="59" t="s">
        <v>171</v>
      </c>
      <c r="F11" s="56" t="s">
        <v>172</v>
      </c>
      <c r="G11" s="44">
        <v>1</v>
      </c>
      <c r="H11" s="129">
        <f>IF(B$17=0,0,G11/B$17)</f>
        <v>0.14285714285714285</v>
      </c>
      <c r="I11" s="90">
        <v>11</v>
      </c>
      <c r="N11" s="111" t="s">
        <v>163</v>
      </c>
      <c r="O11" s="121">
        <f>IF(P11=0,0,Q11/P11)</f>
        <v>-1.6</v>
      </c>
      <c r="P11" s="115">
        <v>1</v>
      </c>
      <c r="Q11" s="103">
        <v>-1.6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65</v>
      </c>
      <c r="F12" s="56" t="s">
        <v>21</v>
      </c>
      <c r="G12" s="44">
        <v>0</v>
      </c>
      <c r="H12" s="129">
        <f>IF(B$17=0,0,G12/B$17)</f>
        <v>0</v>
      </c>
      <c r="I12" s="90">
        <v>11</v>
      </c>
      <c r="N12" s="112" t="s">
        <v>164</v>
      </c>
      <c r="O12" s="122">
        <f>IF(P12=0,0,Q12/P12)</f>
        <v>27.8</v>
      </c>
      <c r="P12" s="116">
        <v>1</v>
      </c>
      <c r="Q12" s="104">
        <v>27.8</v>
      </c>
    </row>
    <row r="13" spans="1:17" x14ac:dyDescent="0.4">
      <c r="A13" s="54" t="s">
        <v>121</v>
      </c>
      <c r="B13" s="47">
        <v>4</v>
      </c>
      <c r="C13" s="42">
        <f>IF(B$3=0,0,B13/B$3)</f>
        <v>0.26666666666666666</v>
      </c>
      <c r="E13" s="59" t="s">
        <v>69</v>
      </c>
      <c r="F13" s="56" t="s">
        <v>24</v>
      </c>
      <c r="G13" s="44">
        <v>0</v>
      </c>
      <c r="H13" s="129">
        <f>IF(B$17=0,0,G13/B$17)</f>
        <v>0</v>
      </c>
      <c r="I13" s="90">
        <v>11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</v>
      </c>
      <c r="C14" s="37">
        <f>IF(B$3=0,0,B14/B$3)</f>
        <v>0.33333333333333331</v>
      </c>
      <c r="E14" s="59" t="s">
        <v>73</v>
      </c>
      <c r="F14" s="56" t="s">
        <v>28</v>
      </c>
      <c r="G14" s="44">
        <v>0</v>
      </c>
      <c r="H14" s="129">
        <f>IF(B$17=0,0,G14/B$17)</f>
        <v>0</v>
      </c>
      <c r="I14" s="90">
        <v>3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</v>
      </c>
      <c r="C15" s="35">
        <f>IF(B$13=0,0,B15/B$13)</f>
        <v>0.5</v>
      </c>
      <c r="E15" s="59" t="s">
        <v>74</v>
      </c>
      <c r="F15" s="56" t="s">
        <v>29</v>
      </c>
      <c r="G15" s="44">
        <v>0</v>
      </c>
      <c r="H15" s="129">
        <f>IF(B$17=0,0,G15/B$17)</f>
        <v>0</v>
      </c>
      <c r="I15" s="90">
        <v>6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">
      <c r="A16" s="50" t="s">
        <v>124</v>
      </c>
      <c r="B16" s="43">
        <v>5</v>
      </c>
      <c r="C16" s="35">
        <f>IF(B$14=0,0,B16/B$14)</f>
        <v>1</v>
      </c>
      <c r="E16" s="59" t="s">
        <v>75</v>
      </c>
      <c r="F16" s="56" t="s">
        <v>30</v>
      </c>
      <c r="G16" s="44">
        <v>0</v>
      </c>
      <c r="H16" s="129">
        <f>IF(B$17=0,0,G16/B$17)</f>
        <v>0</v>
      </c>
      <c r="I16" s="90">
        <v>7</v>
      </c>
      <c r="N16" s="111" t="s">
        <v>182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">
      <c r="A17" s="50" t="s">
        <v>10</v>
      </c>
      <c r="B17" s="43">
        <f>B19+B18</f>
        <v>7</v>
      </c>
      <c r="C17" s="35">
        <f>IF(B$3=0,0,B17/B$3)</f>
        <v>0.46666666666666667</v>
      </c>
      <c r="E17" s="59" t="s">
        <v>76</v>
      </c>
      <c r="F17" s="56" t="s">
        <v>31</v>
      </c>
      <c r="G17" s="44">
        <v>0</v>
      </c>
      <c r="H17" s="129">
        <f>IF(B$17=0,0,G17/B$17)</f>
        <v>0</v>
      </c>
      <c r="I17" s="90">
        <v>1</v>
      </c>
      <c r="N17" s="111" t="s">
        <v>178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">
      <c r="A18" s="51" t="s">
        <v>12</v>
      </c>
      <c r="B18" s="44">
        <v>2</v>
      </c>
      <c r="C18" s="37">
        <f>IF(B$17=0,0,B18/B$17)</f>
        <v>0.2857142857142857</v>
      </c>
      <c r="E18" s="59" t="s">
        <v>77</v>
      </c>
      <c r="F18" s="56" t="s">
        <v>32</v>
      </c>
      <c r="G18" s="44">
        <v>0</v>
      </c>
      <c r="H18" s="129">
        <f>IF(B$17=0,0,G18/B$17)</f>
        <v>0</v>
      </c>
      <c r="I18" s="90">
        <v>4</v>
      </c>
    </row>
    <row r="19" spans="1:17" x14ac:dyDescent="0.4">
      <c r="A19" s="51" t="s">
        <v>11</v>
      </c>
      <c r="B19" s="44">
        <v>5</v>
      </c>
      <c r="C19" s="37">
        <f>IF(B$17=0,0,B19/B$17)</f>
        <v>0.7142857142857143</v>
      </c>
      <c r="E19" s="59" t="s">
        <v>78</v>
      </c>
      <c r="F19" s="56" t="s">
        <v>33</v>
      </c>
      <c r="G19" s="44">
        <v>0</v>
      </c>
      <c r="H19" s="129">
        <f>IF(B$17=0,0,G19/B$17)</f>
        <v>0</v>
      </c>
      <c r="I19" s="90">
        <v>9</v>
      </c>
    </row>
    <row r="20" spans="1:17" x14ac:dyDescent="0.4">
      <c r="A20" s="51" t="s">
        <v>13</v>
      </c>
      <c r="B20" s="44">
        <v>1</v>
      </c>
      <c r="C20" s="37">
        <f>IF(B$3=0,0,B20/B$3)</f>
        <v>6.6666666666666666E-2</v>
      </c>
      <c r="E20" s="59" t="s">
        <v>79</v>
      </c>
      <c r="F20" s="56" t="s">
        <v>34</v>
      </c>
      <c r="G20" s="44">
        <v>0</v>
      </c>
      <c r="H20" s="129">
        <f>IF(B$17=0,0,G20/B$17)</f>
        <v>0</v>
      </c>
      <c r="I20" s="90">
        <v>7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80</v>
      </c>
      <c r="F21" s="56" t="s">
        <v>35</v>
      </c>
      <c r="G21" s="44">
        <v>0</v>
      </c>
      <c r="H21" s="129">
        <f>IF(B$17=0,0,G21/B$17)</f>
        <v>0</v>
      </c>
      <c r="I21" s="90">
        <v>1</v>
      </c>
    </row>
    <row r="22" spans="1:17" x14ac:dyDescent="0.4">
      <c r="A22" s="51" t="s">
        <v>170</v>
      </c>
      <c r="B22" s="44">
        <v>9</v>
      </c>
      <c r="C22" s="131">
        <v>5</v>
      </c>
      <c r="E22" s="59" t="s">
        <v>81</v>
      </c>
      <c r="F22" s="56" t="s">
        <v>36</v>
      </c>
      <c r="G22" s="44">
        <v>0</v>
      </c>
      <c r="H22" s="129">
        <f>IF(B$17=0,0,G22/B$17)</f>
        <v>0</v>
      </c>
      <c r="I22" s="90">
        <v>10</v>
      </c>
    </row>
    <row r="23" spans="1:17" x14ac:dyDescent="0.4">
      <c r="A23" s="51" t="s">
        <v>5</v>
      </c>
      <c r="B23" s="48">
        <f>IF(B$17=0,0,C23/B$17)</f>
        <v>7385.7142857142853</v>
      </c>
      <c r="C23" s="39">
        <v>51700</v>
      </c>
      <c r="E23" s="59" t="s">
        <v>82</v>
      </c>
      <c r="F23" s="56" t="s">
        <v>37</v>
      </c>
      <c r="G23" s="44">
        <v>0</v>
      </c>
      <c r="H23" s="129">
        <f>IF(B$17=0,0,G23/B$17)</f>
        <v>0</v>
      </c>
      <c r="I23" s="90">
        <v>1</v>
      </c>
    </row>
    <row r="24" spans="1:17" x14ac:dyDescent="0.4">
      <c r="A24" s="52" t="s">
        <v>216</v>
      </c>
      <c r="B24" s="136">
        <f>IF($B$17-B$16=0,0,C24/($B$17-B$16))</f>
        <v>8000</v>
      </c>
      <c r="C24" s="137">
        <v>16000</v>
      </c>
      <c r="E24" s="59" t="s">
        <v>84</v>
      </c>
      <c r="F24" s="56" t="s">
        <v>39</v>
      </c>
      <c r="G24" s="44">
        <v>0</v>
      </c>
      <c r="H24" s="129">
        <f>IF(B$17=0,0,G24/B$17)</f>
        <v>0</v>
      </c>
      <c r="I24" s="90">
        <v>4</v>
      </c>
    </row>
    <row r="25" spans="1:17" x14ac:dyDescent="0.4">
      <c r="A25" s="52" t="s">
        <v>217</v>
      </c>
      <c r="B25" s="136">
        <f>IF(B$16=0,0,C25/B$16)</f>
        <v>7140</v>
      </c>
      <c r="C25" s="137">
        <v>35700</v>
      </c>
      <c r="E25" s="59" t="s">
        <v>85</v>
      </c>
      <c r="F25" s="56" t="s">
        <v>40</v>
      </c>
      <c r="G25" s="44">
        <v>0</v>
      </c>
      <c r="H25" s="129">
        <f>IF(B$17=0,0,G25/B$17)</f>
        <v>0</v>
      </c>
      <c r="I25" s="90">
        <v>6</v>
      </c>
    </row>
    <row r="26" spans="1:17" x14ac:dyDescent="0.4">
      <c r="A26" s="52" t="s">
        <v>215</v>
      </c>
      <c r="B26" s="136">
        <f>IF(B$20=0,0,C26/B$20)</f>
        <v>-8000</v>
      </c>
      <c r="C26" s="137">
        <v>-8000</v>
      </c>
      <c r="E26" s="59" t="s">
        <v>86</v>
      </c>
      <c r="F26" s="56" t="s">
        <v>41</v>
      </c>
      <c r="G26" s="44">
        <v>0</v>
      </c>
      <c r="H26" s="129">
        <f>IF(B$17=0,0,G26/B$17)</f>
        <v>0</v>
      </c>
      <c r="I26" s="90">
        <v>11</v>
      </c>
    </row>
    <row r="27" spans="1:17" x14ac:dyDescent="0.4">
      <c r="A27" s="86" t="s">
        <v>140</v>
      </c>
      <c r="B27" s="144">
        <v>4</v>
      </c>
      <c r="C27" s="145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3</v>
      </c>
    </row>
    <row r="28" spans="1:17" x14ac:dyDescent="0.4">
      <c r="A28" s="54" t="s">
        <v>150</v>
      </c>
      <c r="B28" s="142">
        <v>52800</v>
      </c>
      <c r="C28" s="143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1</v>
      </c>
      <c r="C29" s="40">
        <f>IF(B$3=0,0,B29/B$3)</f>
        <v>6.6666666666666666E-2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3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4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2E266-DC58-4F11-894D-64199DBCB0D1}">
  <sheetPr codeName="Sheet26"/>
  <dimension ref="A1:Q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222</v>
      </c>
      <c r="B1" s="66" t="s">
        <v>222</v>
      </c>
      <c r="C1" s="66" t="s">
        <v>222</v>
      </c>
      <c r="D1" s="67" t="s">
        <v>222</v>
      </c>
      <c r="E1" s="66" t="s">
        <v>222</v>
      </c>
      <c r="F1" s="66" t="s">
        <v>222</v>
      </c>
      <c r="G1" s="66" t="s">
        <v>222</v>
      </c>
      <c r="H1" s="66" t="s">
        <v>222</v>
      </c>
      <c r="I1" s="66" t="s">
        <v>222</v>
      </c>
      <c r="J1" s="66" t="s">
        <v>222</v>
      </c>
      <c r="K1" s="66" t="s">
        <v>222</v>
      </c>
      <c r="L1" s="66" t="s">
        <v>222</v>
      </c>
      <c r="M1" s="66" t="s">
        <v>222</v>
      </c>
      <c r="N1" s="66" t="s">
        <v>222</v>
      </c>
      <c r="O1" s="66" t="s">
        <v>222</v>
      </c>
      <c r="P1" s="66" t="s">
        <v>222</v>
      </c>
      <c r="Q1" s="66" t="s">
        <v>222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</v>
      </c>
      <c r="N4" s="63">
        <v>0.5</v>
      </c>
      <c r="O4" s="63">
        <v>0</v>
      </c>
      <c r="P4" s="63">
        <v>1</v>
      </c>
      <c r="Q4" s="63">
        <v>0</v>
      </c>
    </row>
    <row r="5" spans="1:17" x14ac:dyDescent="0.4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</v>
      </c>
      <c r="M5" s="63">
        <v>0.26666666666666666</v>
      </c>
      <c r="N5" s="63">
        <v>0.33333333333333331</v>
      </c>
      <c r="O5" s="63">
        <v>0.5</v>
      </c>
      <c r="P5" s="63">
        <v>1</v>
      </c>
      <c r="Q5" s="63">
        <v>0.2857142857142857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5B797-182E-40D3-B7D0-3B48FF81C949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195</v>
      </c>
      <c r="B1" s="66" t="s">
        <v>195</v>
      </c>
      <c r="C1" s="66" t="s">
        <v>195</v>
      </c>
      <c r="D1" s="67" t="s">
        <v>195</v>
      </c>
      <c r="E1" s="66" t="s">
        <v>195</v>
      </c>
      <c r="F1" s="66" t="s">
        <v>195</v>
      </c>
      <c r="G1" s="66" t="s">
        <v>195</v>
      </c>
      <c r="H1" s="66" t="s">
        <v>195</v>
      </c>
      <c r="I1" s="66" t="s">
        <v>195</v>
      </c>
      <c r="J1" s="66" t="s">
        <v>195</v>
      </c>
      <c r="K1" s="66" t="s">
        <v>195</v>
      </c>
      <c r="L1" s="66" t="s">
        <v>195</v>
      </c>
      <c r="M1" s="66" t="s">
        <v>195</v>
      </c>
      <c r="N1" s="66" t="s">
        <v>195</v>
      </c>
      <c r="O1" s="66" t="s">
        <v>195</v>
      </c>
      <c r="P1" s="66" t="s">
        <v>195</v>
      </c>
      <c r="Q1" s="66" t="s">
        <v>195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</v>
      </c>
      <c r="M4" s="63">
        <v>0.27272727272727271</v>
      </c>
      <c r="N4" s="63">
        <v>0.36363636363636365</v>
      </c>
      <c r="O4" s="63">
        <v>0.33333333333333331</v>
      </c>
      <c r="P4" s="63">
        <v>0</v>
      </c>
      <c r="Q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</v>
      </c>
      <c r="M5" s="63">
        <v>0.27777777777777779</v>
      </c>
      <c r="N5" s="63">
        <v>0.33333333333333331</v>
      </c>
      <c r="O5" s="63">
        <v>0.4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</v>
      </c>
      <c r="M6" s="63">
        <v>0.27586206896551724</v>
      </c>
      <c r="N6" s="63">
        <v>0.34482758620689657</v>
      </c>
      <c r="O6" s="63">
        <v>0.375</v>
      </c>
      <c r="P6" s="63">
        <v>0.2</v>
      </c>
      <c r="Q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0.25</v>
      </c>
      <c r="M7" s="63">
        <v>0.27500000000000002</v>
      </c>
      <c r="N7" s="63">
        <v>0.35</v>
      </c>
      <c r="O7" s="63">
        <v>0.45454545454545453</v>
      </c>
      <c r="P7" s="63">
        <v>0.2857142857142857</v>
      </c>
      <c r="Q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</v>
      </c>
      <c r="M8" s="63">
        <v>0.27083333333333331</v>
      </c>
      <c r="N8" s="63">
        <v>0.375</v>
      </c>
      <c r="O8" s="63">
        <v>0.53846153846153844</v>
      </c>
      <c r="P8" s="63">
        <v>0.33333333333333331</v>
      </c>
      <c r="Q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0.16666666666666666</v>
      </c>
      <c r="M9" s="63">
        <v>0.23636363636363636</v>
      </c>
      <c r="N9" s="63">
        <v>0.38181818181818183</v>
      </c>
      <c r="O9" s="63">
        <v>0.53846153846153844</v>
      </c>
      <c r="P9" s="63">
        <v>0.2857142857142857</v>
      </c>
      <c r="Q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0.14285714285714285</v>
      </c>
      <c r="M10" s="63">
        <v>0.24193548387096775</v>
      </c>
      <c r="N10" s="63">
        <v>0.35483870967741937</v>
      </c>
      <c r="O10" s="63">
        <v>0.53333333333333333</v>
      </c>
      <c r="P10" s="63">
        <v>0.27272727272727271</v>
      </c>
      <c r="Q10" s="63">
        <v>0.33333333333333331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C8623-AEA0-4824-A49A-696ED658C8EE}">
  <sheetPr codeName="Sheet22"/>
  <dimension ref="A1:Q1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181</v>
      </c>
      <c r="B1" s="66" t="s">
        <v>181</v>
      </c>
      <c r="C1" s="66" t="s">
        <v>181</v>
      </c>
      <c r="D1" s="67" t="s">
        <v>181</v>
      </c>
      <c r="E1" s="66" t="s">
        <v>181</v>
      </c>
      <c r="F1" s="66" t="s">
        <v>181</v>
      </c>
      <c r="G1" s="66" t="s">
        <v>181</v>
      </c>
      <c r="H1" s="66" t="s">
        <v>181</v>
      </c>
      <c r="I1" s="66" t="s">
        <v>181</v>
      </c>
      <c r="J1" s="66" t="s">
        <v>181</v>
      </c>
      <c r="K1" s="66" t="s">
        <v>181</v>
      </c>
      <c r="L1" s="66" t="s">
        <v>181</v>
      </c>
      <c r="M1" s="66" t="s">
        <v>181</v>
      </c>
      <c r="N1" s="66" t="s">
        <v>181</v>
      </c>
      <c r="O1" s="66" t="s">
        <v>181</v>
      </c>
      <c r="P1" s="66" t="s">
        <v>181</v>
      </c>
      <c r="Q1" s="66" t="s">
        <v>181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1</v>
      </c>
      <c r="M4" s="63">
        <v>0.44444444444444442</v>
      </c>
      <c r="N4" s="63">
        <v>0</v>
      </c>
      <c r="O4" s="63">
        <v>0.75</v>
      </c>
      <c r="P4" s="63">
        <v>0</v>
      </c>
      <c r="Q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0.5</v>
      </c>
      <c r="M5" s="63">
        <v>0.375</v>
      </c>
      <c r="N5" s="63">
        <v>0</v>
      </c>
      <c r="O5" s="63">
        <v>0.83333333333333337</v>
      </c>
      <c r="P5" s="63">
        <v>0</v>
      </c>
      <c r="Q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0.33333333333333331</v>
      </c>
      <c r="M6" s="63">
        <v>0.39130434782608697</v>
      </c>
      <c r="N6" s="63">
        <v>4.3478260869565216E-2</v>
      </c>
      <c r="O6" s="63">
        <v>0.77777777777777779</v>
      </c>
      <c r="P6" s="63">
        <v>0</v>
      </c>
      <c r="Q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0.5</v>
      </c>
      <c r="M7" s="63">
        <v>0.36363636363636365</v>
      </c>
      <c r="N7" s="63">
        <v>6.0606060606060608E-2</v>
      </c>
      <c r="O7" s="63">
        <v>0.83333333333333337</v>
      </c>
      <c r="P7" s="63">
        <v>0.5</v>
      </c>
      <c r="Q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0.4</v>
      </c>
      <c r="M8" s="63">
        <v>0.36363636363636365</v>
      </c>
      <c r="N8" s="63">
        <v>9.0909090909090912E-2</v>
      </c>
      <c r="O8" s="63">
        <v>0.6875</v>
      </c>
      <c r="P8" s="63">
        <v>0.25</v>
      </c>
      <c r="Q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0.33333333333333331</v>
      </c>
      <c r="M9" s="63">
        <v>0.37735849056603776</v>
      </c>
      <c r="N9" s="63">
        <v>0.11320754716981132</v>
      </c>
      <c r="O9" s="63">
        <v>0.75</v>
      </c>
      <c r="P9" s="63">
        <v>0.16666666666666666</v>
      </c>
      <c r="Q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0.2857142857142857</v>
      </c>
      <c r="M10" s="63">
        <v>0.359375</v>
      </c>
      <c r="N10" s="63">
        <v>0.109375</v>
      </c>
      <c r="O10" s="63">
        <v>0.65217391304347827</v>
      </c>
      <c r="P10" s="63">
        <v>0.2857142857142857</v>
      </c>
      <c r="Q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0.25</v>
      </c>
      <c r="M11" s="63">
        <v>0.32432432432432434</v>
      </c>
      <c r="N11" s="63">
        <v>0.13513513513513514</v>
      </c>
      <c r="O11" s="63">
        <v>0.66666666666666663</v>
      </c>
      <c r="P11" s="63">
        <v>0.3</v>
      </c>
      <c r="Q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0.22222222222222221</v>
      </c>
      <c r="M12" s="63">
        <v>0.29069767441860467</v>
      </c>
      <c r="N12" s="63">
        <v>0.15116279069767441</v>
      </c>
      <c r="O12" s="63">
        <v>0.68</v>
      </c>
      <c r="P12" s="63">
        <v>0.30769230769230771</v>
      </c>
      <c r="Q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0.2</v>
      </c>
      <c r="M13" s="63">
        <v>0.31182795698924731</v>
      </c>
      <c r="N13" s="63">
        <v>0.15053763440860216</v>
      </c>
      <c r="O13" s="63">
        <v>0.65517241379310343</v>
      </c>
      <c r="P13" s="63">
        <v>0.35714285714285715</v>
      </c>
      <c r="Q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0.18181818181818182</v>
      </c>
      <c r="M14" s="63">
        <v>0.29126213592233008</v>
      </c>
      <c r="N14" s="63">
        <v>0.14563106796116504</v>
      </c>
      <c r="O14" s="63">
        <v>0.66666666666666663</v>
      </c>
      <c r="P14" s="63">
        <v>0.33333333333333331</v>
      </c>
      <c r="Q14" s="63">
        <v>0.52941176470588236</v>
      </c>
    </row>
    <row r="15" spans="1:17" x14ac:dyDescent="0.4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0.16666666666666666</v>
      </c>
      <c r="M15" s="63">
        <v>0.26724137931034481</v>
      </c>
      <c r="N15" s="63">
        <v>0.13793103448275862</v>
      </c>
      <c r="O15" s="63">
        <v>0.67741935483870963</v>
      </c>
      <c r="P15" s="63">
        <v>0.3125</v>
      </c>
      <c r="Q15" s="63">
        <v>0.51428571428571423</v>
      </c>
    </row>
    <row r="16" spans="1:17" x14ac:dyDescent="0.4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0.15384615384615385</v>
      </c>
      <c r="M16" s="63">
        <v>0.26984126984126983</v>
      </c>
      <c r="N16" s="63">
        <v>0.15079365079365079</v>
      </c>
      <c r="O16" s="63">
        <v>0.67647058823529416</v>
      </c>
      <c r="P16" s="63">
        <v>0.31578947368421051</v>
      </c>
      <c r="Q16" s="63">
        <v>0.5</v>
      </c>
    </row>
    <row r="17" spans="1:17" x14ac:dyDescent="0.4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0.14285714285714285</v>
      </c>
      <c r="M17" s="63">
        <v>0.28169014084507044</v>
      </c>
      <c r="N17" s="63">
        <v>0.15492957746478872</v>
      </c>
      <c r="O17" s="63">
        <v>0.625</v>
      </c>
      <c r="P17" s="63">
        <v>0.31818181818181818</v>
      </c>
      <c r="Q17" s="63">
        <v>0.53658536585365857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AA8BD-E6B9-4FE1-8EB3-D751B9130B53}">
  <sheetPr codeName="Sheet20"/>
  <dimension ref="A1:Q2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182</v>
      </c>
      <c r="B1" s="66" t="s">
        <v>182</v>
      </c>
      <c r="C1" s="66" t="s">
        <v>182</v>
      </c>
      <c r="D1" s="67" t="s">
        <v>182</v>
      </c>
      <c r="E1" s="66" t="s">
        <v>182</v>
      </c>
      <c r="F1" s="66" t="s">
        <v>182</v>
      </c>
      <c r="G1" s="66" t="s">
        <v>182</v>
      </c>
      <c r="H1" s="66" t="s">
        <v>182</v>
      </c>
      <c r="I1" s="66" t="s">
        <v>182</v>
      </c>
      <c r="J1" s="66" t="s">
        <v>182</v>
      </c>
      <c r="K1" s="66" t="s">
        <v>182</v>
      </c>
      <c r="L1" s="66" t="s">
        <v>182</v>
      </c>
      <c r="M1" s="66" t="s">
        <v>182</v>
      </c>
      <c r="N1" s="66" t="s">
        <v>182</v>
      </c>
      <c r="O1" s="66" t="s">
        <v>182</v>
      </c>
      <c r="P1" s="66" t="s">
        <v>182</v>
      </c>
      <c r="Q1" s="66" t="s">
        <v>182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</v>
      </c>
      <c r="M4" s="63">
        <v>0.44444444444444442</v>
      </c>
      <c r="N4" s="63">
        <v>0.22222222222222221</v>
      </c>
      <c r="O4" s="63">
        <v>0.5</v>
      </c>
      <c r="P4" s="63">
        <v>0.5</v>
      </c>
      <c r="Q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</v>
      </c>
      <c r="M5" s="63">
        <v>0.3125</v>
      </c>
      <c r="N5" s="63">
        <v>0.1875</v>
      </c>
      <c r="O5" s="63">
        <v>0.6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</v>
      </c>
      <c r="M6" s="63">
        <v>0.34615384615384615</v>
      </c>
      <c r="N6" s="63">
        <v>0.23076923076923078</v>
      </c>
      <c r="O6" s="63">
        <v>0.55555555555555558</v>
      </c>
      <c r="P6" s="63">
        <v>0.16666666666666666</v>
      </c>
      <c r="Q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</v>
      </c>
      <c r="M7" s="63">
        <v>0.27027027027027029</v>
      </c>
      <c r="N7" s="63">
        <v>0.24324324324324326</v>
      </c>
      <c r="O7" s="63">
        <v>0.6</v>
      </c>
      <c r="P7" s="63">
        <v>0.1111111111111111</v>
      </c>
      <c r="Q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</v>
      </c>
      <c r="M8" s="63">
        <v>0.27659574468085107</v>
      </c>
      <c r="N8" s="63">
        <v>0.23404255319148937</v>
      </c>
      <c r="O8" s="63">
        <v>0.46153846153846156</v>
      </c>
      <c r="P8" s="63">
        <v>9.0909090909090912E-2</v>
      </c>
      <c r="Q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</v>
      </c>
      <c r="M9" s="63">
        <v>0.25454545454545452</v>
      </c>
      <c r="N9" s="63">
        <v>0.2</v>
      </c>
      <c r="O9" s="63">
        <v>0.42857142857142855</v>
      </c>
      <c r="P9" s="63">
        <v>9.0909090909090912E-2</v>
      </c>
      <c r="Q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0.14285714285714285</v>
      </c>
      <c r="M10" s="63">
        <v>0.26984126984126983</v>
      </c>
      <c r="N10" s="63">
        <v>0.22222222222222221</v>
      </c>
      <c r="O10" s="63">
        <v>0.47058823529411764</v>
      </c>
      <c r="P10" s="63">
        <v>0.2857142857142857</v>
      </c>
      <c r="Q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0.125</v>
      </c>
      <c r="M11" s="63">
        <v>0.27536231884057971</v>
      </c>
      <c r="N11" s="63">
        <v>0.21739130434782608</v>
      </c>
      <c r="O11" s="63">
        <v>0.47368421052631576</v>
      </c>
      <c r="P11" s="63">
        <v>0.33333333333333331</v>
      </c>
      <c r="Q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0.1111111111111111</v>
      </c>
      <c r="M12" s="63">
        <v>0.26666666666666666</v>
      </c>
      <c r="N12" s="63">
        <v>0.21333333333333335</v>
      </c>
      <c r="O12" s="63">
        <v>0.5</v>
      </c>
      <c r="P12" s="63">
        <v>0.375</v>
      </c>
      <c r="Q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0.1</v>
      </c>
      <c r="M13" s="63">
        <v>0.25301204819277107</v>
      </c>
      <c r="N13" s="63">
        <v>0.2289156626506024</v>
      </c>
      <c r="O13" s="63">
        <v>0.52380952380952384</v>
      </c>
      <c r="P13" s="63">
        <v>0.42105263157894735</v>
      </c>
      <c r="Q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9.0909090909090912E-2</v>
      </c>
      <c r="M14" s="63">
        <v>0.24444444444444444</v>
      </c>
      <c r="N14" s="63">
        <v>0.23333333333333334</v>
      </c>
      <c r="O14" s="63">
        <v>0.54545454545454541</v>
      </c>
      <c r="P14" s="63">
        <v>0.38095238095238093</v>
      </c>
      <c r="Q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8.3333333333333329E-2</v>
      </c>
      <c r="M15" s="63">
        <v>0.24742268041237114</v>
      </c>
      <c r="N15" s="63">
        <v>0.22680412371134021</v>
      </c>
      <c r="O15" s="63">
        <v>0.58333333333333337</v>
      </c>
      <c r="P15" s="63">
        <v>0.36363636363636365</v>
      </c>
      <c r="Q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7.6923076923076927E-2</v>
      </c>
      <c r="M16" s="63">
        <v>0.24761904761904763</v>
      </c>
      <c r="N16" s="63">
        <v>0.22857142857142856</v>
      </c>
      <c r="O16" s="63">
        <v>0.57692307692307687</v>
      </c>
      <c r="P16" s="63">
        <v>0.33333333333333331</v>
      </c>
      <c r="Q16" s="63">
        <v>0.5</v>
      </c>
    </row>
    <row r="17" spans="1:17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7.1428571428571425E-2</v>
      </c>
      <c r="M17" s="63">
        <v>0.26724137931034481</v>
      </c>
      <c r="N17" s="63">
        <v>0.21551724137931033</v>
      </c>
      <c r="O17" s="63">
        <v>0.5161290322580645</v>
      </c>
      <c r="P17" s="63">
        <v>0.36</v>
      </c>
      <c r="Q17" s="63">
        <v>0.5</v>
      </c>
    </row>
    <row r="18" spans="1:17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6.6666666666666666E-2</v>
      </c>
      <c r="M18" s="63">
        <v>0.25409836065573771</v>
      </c>
      <c r="N18" s="63">
        <v>0.22950819672131148</v>
      </c>
      <c r="O18" s="63">
        <v>0.5161290322580645</v>
      </c>
      <c r="P18" s="63">
        <v>0.35714285714285715</v>
      </c>
      <c r="Q18" s="63">
        <v>0.48148148148148145</v>
      </c>
    </row>
    <row r="19" spans="1:17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6.25E-2</v>
      </c>
      <c r="M19" s="63">
        <v>0.2421875</v>
      </c>
      <c r="N19" s="63">
        <v>0.234375</v>
      </c>
      <c r="O19" s="63">
        <v>0.5161290322580645</v>
      </c>
      <c r="P19" s="63">
        <v>0.33333333333333331</v>
      </c>
      <c r="Q19" s="63">
        <v>0.5</v>
      </c>
    </row>
    <row r="20" spans="1:17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5.8823529411764705E-2</v>
      </c>
      <c r="M20" s="63">
        <v>0.23529411764705882</v>
      </c>
      <c r="N20" s="63">
        <v>0.22794117647058823</v>
      </c>
      <c r="O20" s="63">
        <v>0.53125</v>
      </c>
      <c r="P20" s="63">
        <v>0.32258064516129031</v>
      </c>
      <c r="Q20" s="63">
        <v>0.46666666666666667</v>
      </c>
    </row>
    <row r="21" spans="1:17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5.5555555555555552E-2</v>
      </c>
      <c r="M21" s="63">
        <v>0.23076923076923078</v>
      </c>
      <c r="N21" s="63">
        <v>0.23076923076923078</v>
      </c>
      <c r="O21" s="63">
        <v>0.51515151515151514</v>
      </c>
      <c r="P21" s="63">
        <v>0.33333333333333331</v>
      </c>
      <c r="Q21" s="63">
        <v>0.4375</v>
      </c>
    </row>
    <row r="22" spans="1:17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5.2631578947368418E-2</v>
      </c>
      <c r="M22" s="63">
        <v>0.2185430463576159</v>
      </c>
      <c r="N22" s="63">
        <v>0.2185430463576159</v>
      </c>
      <c r="O22" s="63">
        <v>0.51515151515151514</v>
      </c>
      <c r="P22" s="63">
        <v>0.33333333333333331</v>
      </c>
      <c r="Q22" s="63">
        <v>0.4375</v>
      </c>
    </row>
    <row r="23" spans="1:17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0.05</v>
      </c>
      <c r="M23" s="63">
        <v>0.21019108280254778</v>
      </c>
      <c r="N23" s="63">
        <v>0.21019108280254778</v>
      </c>
      <c r="O23" s="63">
        <v>0.51515151515151514</v>
      </c>
      <c r="P23" s="63">
        <v>0.33333333333333331</v>
      </c>
      <c r="Q23" s="63">
        <v>0.4375</v>
      </c>
    </row>
    <row r="24" spans="1:17" x14ac:dyDescent="0.4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4.7619047619047616E-2</v>
      </c>
      <c r="M24" s="63">
        <v>0.20238095238095238</v>
      </c>
      <c r="N24" s="63">
        <v>0.20833333333333334</v>
      </c>
      <c r="O24" s="63">
        <v>0.52941176470588236</v>
      </c>
      <c r="P24" s="63">
        <v>0.34285714285714286</v>
      </c>
      <c r="Q24" s="63">
        <v>0.48571428571428571</v>
      </c>
    </row>
    <row r="25" spans="1:17" x14ac:dyDescent="0.4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4.5454545454545456E-2</v>
      </c>
      <c r="M25" s="63">
        <v>0.2</v>
      </c>
      <c r="N25" s="63">
        <v>0.20571428571428571</v>
      </c>
      <c r="O25" s="63">
        <v>0.51428571428571423</v>
      </c>
      <c r="P25" s="63">
        <v>0.3611111111111111</v>
      </c>
      <c r="Q25" s="63">
        <v>0.5</v>
      </c>
    </row>
    <row r="26" spans="1:17" x14ac:dyDescent="0.4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4.3478260869565216E-2</v>
      </c>
      <c r="M26" s="63">
        <v>0.20218579234972678</v>
      </c>
      <c r="N26" s="63">
        <v>0.20765027322404372</v>
      </c>
      <c r="O26" s="63">
        <v>0.51351351351351349</v>
      </c>
      <c r="P26" s="63">
        <v>0.34210526315789475</v>
      </c>
      <c r="Q26" s="63">
        <v>0.46153846153846156</v>
      </c>
    </row>
    <row r="27" spans="1:17" x14ac:dyDescent="0.4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4.1666666666666664E-2</v>
      </c>
      <c r="M27" s="63">
        <v>0.19473684210526315</v>
      </c>
      <c r="N27" s="63">
        <v>0.2</v>
      </c>
      <c r="O27" s="63">
        <v>0.51351351351351349</v>
      </c>
      <c r="P27" s="63">
        <v>0.34210526315789475</v>
      </c>
      <c r="Q27" s="63">
        <v>0.45</v>
      </c>
    </row>
    <row r="28" spans="1:17" x14ac:dyDescent="0.4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0.04</v>
      </c>
      <c r="M28" s="63">
        <v>0.19696969696969696</v>
      </c>
      <c r="N28" s="63">
        <v>0.20202020202020202</v>
      </c>
      <c r="O28" s="63">
        <v>0.53846153846153844</v>
      </c>
      <c r="P28" s="63">
        <v>0.35</v>
      </c>
      <c r="Q28" s="63">
        <v>0.44186046511627908</v>
      </c>
    </row>
    <row r="29" spans="1:17" x14ac:dyDescent="0.4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3.8461538461538464E-2</v>
      </c>
      <c r="M29" s="63">
        <v>0.20192307692307693</v>
      </c>
      <c r="N29" s="63">
        <v>0.20192307692307693</v>
      </c>
      <c r="O29" s="63">
        <v>0.5714285714285714</v>
      </c>
      <c r="P29" s="63">
        <v>0.35714285714285715</v>
      </c>
      <c r="Q29" s="63">
        <v>0.47916666666666669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DC3D4-D0EE-4DF9-9BC9-603E040143C5}">
  <sheetPr codeName="Sheet18"/>
  <dimension ref="A1:Q5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178</v>
      </c>
      <c r="B1" s="66" t="s">
        <v>178</v>
      </c>
      <c r="C1" s="66" t="s">
        <v>178</v>
      </c>
      <c r="D1" s="67" t="s">
        <v>178</v>
      </c>
      <c r="E1" s="66" t="s">
        <v>178</v>
      </c>
      <c r="F1" s="66" t="s">
        <v>178</v>
      </c>
      <c r="G1" s="66" t="s">
        <v>178</v>
      </c>
      <c r="H1" s="66" t="s">
        <v>178</v>
      </c>
      <c r="I1" s="66" t="s">
        <v>178</v>
      </c>
      <c r="J1" s="66" t="s">
        <v>178</v>
      </c>
      <c r="K1" s="66" t="s">
        <v>178</v>
      </c>
      <c r="L1" s="66" t="s">
        <v>178</v>
      </c>
      <c r="M1" s="66" t="s">
        <v>178</v>
      </c>
      <c r="N1" s="66" t="s">
        <v>178</v>
      </c>
      <c r="O1" s="66" t="s">
        <v>178</v>
      </c>
      <c r="P1" s="66" t="s">
        <v>178</v>
      </c>
      <c r="Q1" s="66" t="s">
        <v>178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0</v>
      </c>
      <c r="M4" s="63">
        <v>9.0909090909090912E-2</v>
      </c>
      <c r="N4" s="63">
        <v>0.27272727272727271</v>
      </c>
      <c r="O4" s="63">
        <v>1</v>
      </c>
      <c r="P4" s="63">
        <v>1</v>
      </c>
      <c r="Q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0</v>
      </c>
      <c r="M5" s="63">
        <v>9.0909090909090912E-2</v>
      </c>
      <c r="N5" s="63">
        <v>0.18181818181818182</v>
      </c>
      <c r="O5" s="63">
        <v>0.5</v>
      </c>
      <c r="P5" s="63">
        <v>0.75</v>
      </c>
      <c r="Q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</v>
      </c>
      <c r="M6" s="63">
        <v>0.12121212121212122</v>
      </c>
      <c r="N6" s="63">
        <v>0.15151515151515152</v>
      </c>
      <c r="O6" s="63">
        <v>0.75</v>
      </c>
      <c r="P6" s="63">
        <v>0.8</v>
      </c>
      <c r="Q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</v>
      </c>
      <c r="M7" s="63">
        <v>0.10256410256410256</v>
      </c>
      <c r="N7" s="63">
        <v>0.17948717948717949</v>
      </c>
      <c r="O7" s="63">
        <v>0.75</v>
      </c>
      <c r="P7" s="63">
        <v>0.5714285714285714</v>
      </c>
      <c r="Q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</v>
      </c>
      <c r="M8" s="63">
        <v>0.12</v>
      </c>
      <c r="N8" s="63">
        <v>0.16</v>
      </c>
      <c r="O8" s="63">
        <v>0.83333333333333337</v>
      </c>
      <c r="P8" s="63">
        <v>0.625</v>
      </c>
      <c r="Q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0.16666666666666666</v>
      </c>
      <c r="M9" s="63">
        <v>0.17241379310344829</v>
      </c>
      <c r="N9" s="63">
        <v>0.17241379310344829</v>
      </c>
      <c r="O9" s="63">
        <v>0.7</v>
      </c>
      <c r="P9" s="63">
        <v>0.6</v>
      </c>
      <c r="Q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0.14285714285714285</v>
      </c>
      <c r="M10" s="63">
        <v>0.171875</v>
      </c>
      <c r="N10" s="63">
        <v>0.15625</v>
      </c>
      <c r="O10" s="63">
        <v>0.63636363636363635</v>
      </c>
      <c r="P10" s="63">
        <v>0.6</v>
      </c>
      <c r="Q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0.125</v>
      </c>
      <c r="M11" s="63">
        <v>0.17808219178082191</v>
      </c>
      <c r="N11" s="63">
        <v>0.17808219178082191</v>
      </c>
      <c r="O11" s="63">
        <v>0.61538461538461542</v>
      </c>
      <c r="P11" s="63">
        <v>0.53846153846153844</v>
      </c>
      <c r="Q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0.1111111111111111</v>
      </c>
      <c r="M12" s="63">
        <v>0.16666666666666666</v>
      </c>
      <c r="N12" s="63">
        <v>0.17857142857142858</v>
      </c>
      <c r="O12" s="63">
        <v>0.6428571428571429</v>
      </c>
      <c r="P12" s="63">
        <v>0.46666666666666667</v>
      </c>
      <c r="Q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</v>
      </c>
      <c r="M13" s="63">
        <v>0.16853932584269662</v>
      </c>
      <c r="N13" s="63">
        <v>0.16853932584269662</v>
      </c>
      <c r="O13" s="63">
        <v>0.6</v>
      </c>
      <c r="P13" s="63">
        <v>0.46666666666666667</v>
      </c>
      <c r="Q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9.0909090909090912E-2</v>
      </c>
      <c r="M14" s="63">
        <v>0.19801980198019803</v>
      </c>
      <c r="N14" s="63">
        <v>0.19801980198019803</v>
      </c>
      <c r="O14" s="63">
        <v>0.55000000000000004</v>
      </c>
      <c r="P14" s="63">
        <v>0.45</v>
      </c>
      <c r="Q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8.3333333333333329E-2</v>
      </c>
      <c r="M15" s="63">
        <v>0.17699115044247787</v>
      </c>
      <c r="N15" s="63">
        <v>0.23008849557522124</v>
      </c>
      <c r="O15" s="63">
        <v>0.55000000000000004</v>
      </c>
      <c r="P15" s="63">
        <v>0.46153846153846156</v>
      </c>
      <c r="Q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7.6923076923076927E-2</v>
      </c>
      <c r="M16" s="63">
        <v>0.2032520325203252</v>
      </c>
      <c r="N16" s="63">
        <v>0.22764227642276422</v>
      </c>
      <c r="O16" s="63">
        <v>0.56000000000000005</v>
      </c>
      <c r="P16" s="63">
        <v>0.4642857142857143</v>
      </c>
      <c r="Q16" s="63">
        <v>0.35483870967741937</v>
      </c>
    </row>
    <row r="17" spans="1:17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7.1428571428571425E-2</v>
      </c>
      <c r="M17" s="63">
        <v>0.21374045801526717</v>
      </c>
      <c r="N17" s="63">
        <v>0.23664122137404581</v>
      </c>
      <c r="O17" s="63">
        <v>0.5714285714285714</v>
      </c>
      <c r="P17" s="63">
        <v>0.5161290322580645</v>
      </c>
      <c r="Q17" s="63">
        <v>0.3888888888888889</v>
      </c>
    </row>
    <row r="18" spans="1:17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6.6666666666666666E-2</v>
      </c>
      <c r="M18" s="63">
        <v>0.22302158273381295</v>
      </c>
      <c r="N18" s="63">
        <v>0.2446043165467626</v>
      </c>
      <c r="O18" s="63">
        <v>0.5161290322580645</v>
      </c>
      <c r="P18" s="63">
        <v>0.52941176470588236</v>
      </c>
      <c r="Q18" s="63">
        <v>0.36842105263157893</v>
      </c>
    </row>
    <row r="19" spans="1:17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6.25E-2</v>
      </c>
      <c r="M19" s="63">
        <v>0.2413793103448276</v>
      </c>
      <c r="N19" s="63">
        <v>0.2413793103448276</v>
      </c>
      <c r="O19" s="63">
        <v>0.45714285714285713</v>
      </c>
      <c r="P19" s="63">
        <v>0.54285714285714282</v>
      </c>
      <c r="Q19" s="63">
        <v>0.35897435897435898</v>
      </c>
    </row>
    <row r="20" spans="1:17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5.8823529411764705E-2</v>
      </c>
      <c r="M20" s="63">
        <v>0.25</v>
      </c>
      <c r="N20" s="63">
        <v>0.24342105263157895</v>
      </c>
      <c r="O20" s="63">
        <v>0.47368421052631576</v>
      </c>
      <c r="P20" s="63">
        <v>0.54054054054054057</v>
      </c>
      <c r="Q20" s="63">
        <v>0.35714285714285715</v>
      </c>
    </row>
    <row r="21" spans="1:17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5.5555555555555552E-2</v>
      </c>
      <c r="M21" s="63">
        <v>0.25</v>
      </c>
      <c r="N21" s="63">
        <v>0.25</v>
      </c>
      <c r="O21" s="63">
        <v>0.47619047619047616</v>
      </c>
      <c r="P21" s="63">
        <v>0.52380952380952384</v>
      </c>
      <c r="Q21" s="63">
        <v>0.36956521739130432</v>
      </c>
    </row>
    <row r="22" spans="1:17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5.2631578947368418E-2</v>
      </c>
      <c r="M22" s="63">
        <v>0.25568181818181818</v>
      </c>
      <c r="N22" s="63">
        <v>0.26136363636363635</v>
      </c>
      <c r="O22" s="63">
        <v>0.48888888888888887</v>
      </c>
      <c r="P22" s="63">
        <v>0.5</v>
      </c>
      <c r="Q22" s="63">
        <v>0.38775510204081631</v>
      </c>
    </row>
    <row r="23" spans="1:17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0.05</v>
      </c>
      <c r="M23" s="63">
        <v>0.26229508196721313</v>
      </c>
      <c r="N23" s="63">
        <v>0.25683060109289618</v>
      </c>
      <c r="O23" s="63">
        <v>0.47916666666666669</v>
      </c>
      <c r="P23" s="63">
        <v>0.48936170212765956</v>
      </c>
      <c r="Q23" s="63">
        <v>0.38</v>
      </c>
    </row>
    <row r="24" spans="1:17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4.7619047619047616E-2</v>
      </c>
      <c r="M24" s="63">
        <v>0.25654450261780104</v>
      </c>
      <c r="N24" s="63">
        <v>0.25654450261780104</v>
      </c>
      <c r="O24" s="63">
        <v>0.46938775510204084</v>
      </c>
      <c r="P24" s="63">
        <v>0.46938775510204084</v>
      </c>
      <c r="Q24" s="63">
        <v>0.38</v>
      </c>
    </row>
    <row r="25" spans="1:17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9.0909090909090912E-2</v>
      </c>
      <c r="M25" s="63">
        <v>0.26262626262626265</v>
      </c>
      <c r="N25" s="63">
        <v>0.25757575757575757</v>
      </c>
      <c r="O25" s="63">
        <v>0.46153846153846156</v>
      </c>
      <c r="P25" s="63">
        <v>0.47058823529411764</v>
      </c>
      <c r="Q25" s="63">
        <v>0.39622641509433965</v>
      </c>
    </row>
    <row r="26" spans="1:17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8.6956521739130432E-2</v>
      </c>
      <c r="M26" s="63">
        <v>0.26829268292682928</v>
      </c>
      <c r="N26" s="63">
        <v>0.25853658536585367</v>
      </c>
      <c r="O26" s="63">
        <v>0.45454545454545453</v>
      </c>
      <c r="P26" s="63">
        <v>0.47169811320754718</v>
      </c>
      <c r="Q26" s="63">
        <v>0.38181818181818183</v>
      </c>
    </row>
    <row r="27" spans="1:17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8.3333333333333329E-2</v>
      </c>
      <c r="M27" s="63">
        <v>0.25821596244131456</v>
      </c>
      <c r="N27" s="63">
        <v>0.26291079812206575</v>
      </c>
      <c r="O27" s="63">
        <v>0.45454545454545453</v>
      </c>
      <c r="P27" s="63">
        <v>0.4642857142857143</v>
      </c>
      <c r="Q27" s="63">
        <v>0.375</v>
      </c>
    </row>
    <row r="28" spans="1:17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0.08</v>
      </c>
      <c r="M28" s="63">
        <v>0.25339366515837103</v>
      </c>
      <c r="N28" s="63">
        <v>0.26244343891402716</v>
      </c>
      <c r="O28" s="63">
        <v>0.4642857142857143</v>
      </c>
      <c r="P28" s="63">
        <v>0.44827586206896552</v>
      </c>
      <c r="Q28" s="63">
        <v>0.37931034482758619</v>
      </c>
    </row>
    <row r="29" spans="1:17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7.6923076923076927E-2</v>
      </c>
      <c r="M29" s="63">
        <v>0.25438596491228072</v>
      </c>
      <c r="N29" s="63">
        <v>0.25877192982456143</v>
      </c>
      <c r="O29" s="63">
        <v>0.48275862068965519</v>
      </c>
      <c r="P29" s="63">
        <v>0.44067796610169491</v>
      </c>
      <c r="Q29" s="63">
        <v>0.4</v>
      </c>
    </row>
    <row r="30" spans="1:17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7.407407407407407E-2</v>
      </c>
      <c r="M30" s="63">
        <v>0.25108225108225107</v>
      </c>
      <c r="N30" s="63">
        <v>0.25974025974025972</v>
      </c>
      <c r="O30" s="63">
        <v>0.48275862068965519</v>
      </c>
      <c r="P30" s="63">
        <v>0.43333333333333335</v>
      </c>
      <c r="Q30" s="63">
        <v>0.39344262295081966</v>
      </c>
    </row>
    <row r="31" spans="1:17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7.1428571428571425E-2</v>
      </c>
      <c r="M31" s="63">
        <v>0.26050420168067229</v>
      </c>
      <c r="N31" s="63">
        <v>0.25630252100840334</v>
      </c>
      <c r="O31" s="63">
        <v>0.5</v>
      </c>
      <c r="P31" s="63">
        <v>0.42622950819672129</v>
      </c>
      <c r="Q31" s="63">
        <v>0.421875</v>
      </c>
    </row>
    <row r="32" spans="1:17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6.8965517241379309E-2</v>
      </c>
      <c r="M32" s="63">
        <v>0.25925925925925924</v>
      </c>
      <c r="N32" s="63">
        <v>0.25925925925925924</v>
      </c>
      <c r="O32" s="63">
        <v>0.49206349206349204</v>
      </c>
      <c r="P32" s="63">
        <v>0.41269841269841268</v>
      </c>
      <c r="Q32" s="63">
        <v>0.421875</v>
      </c>
    </row>
    <row r="33" spans="1:17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6.6666666666666666E-2</v>
      </c>
      <c r="M33" s="63">
        <v>0.25506072874493929</v>
      </c>
      <c r="N33" s="63">
        <v>0.25910931174089069</v>
      </c>
      <c r="O33" s="63">
        <v>0.49206349206349204</v>
      </c>
      <c r="P33" s="63">
        <v>0.40625</v>
      </c>
      <c r="Q33" s="63">
        <v>0.41538461538461541</v>
      </c>
    </row>
    <row r="34" spans="1:17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6.4516129032258063E-2</v>
      </c>
      <c r="M34" s="63">
        <v>0.25193798449612403</v>
      </c>
      <c r="N34" s="63">
        <v>0.27131782945736432</v>
      </c>
      <c r="O34" s="63">
        <v>0.50769230769230766</v>
      </c>
      <c r="P34" s="63">
        <v>0.4</v>
      </c>
      <c r="Q34" s="63">
        <v>0.40579710144927539</v>
      </c>
    </row>
    <row r="35" spans="1:17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9.375E-2</v>
      </c>
      <c r="M35" s="63">
        <v>0.2509505703422053</v>
      </c>
      <c r="N35" s="63">
        <v>0.28136882129277568</v>
      </c>
      <c r="O35" s="63">
        <v>0.51515151515151514</v>
      </c>
      <c r="P35" s="63">
        <v>0.40540540540540543</v>
      </c>
      <c r="Q35" s="63">
        <v>0.40277777777777779</v>
      </c>
    </row>
    <row r="36" spans="1:17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9.0909090909090912E-2</v>
      </c>
      <c r="M36" s="63">
        <v>0.24723247232472326</v>
      </c>
      <c r="N36" s="63">
        <v>0.28413284132841327</v>
      </c>
      <c r="O36" s="63">
        <v>0.5074626865671642</v>
      </c>
      <c r="P36" s="63">
        <v>0.38961038961038963</v>
      </c>
      <c r="Q36" s="63">
        <v>0.40277777777777779</v>
      </c>
    </row>
    <row r="37" spans="1:17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8.8235294117647065E-2</v>
      </c>
      <c r="M37" s="63">
        <v>0.24100719424460432</v>
      </c>
      <c r="N37" s="63">
        <v>0.29136690647482016</v>
      </c>
      <c r="O37" s="63">
        <v>0.5074626865671642</v>
      </c>
      <c r="P37" s="63">
        <v>0.39506172839506171</v>
      </c>
      <c r="Q37" s="63">
        <v>0.40540540540540543</v>
      </c>
    </row>
    <row r="38" spans="1:17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8.5714285714285715E-2</v>
      </c>
      <c r="M38" s="63">
        <v>0.23426573426573427</v>
      </c>
      <c r="N38" s="63">
        <v>0.2937062937062937</v>
      </c>
      <c r="O38" s="63">
        <v>0.5074626865671642</v>
      </c>
      <c r="P38" s="63">
        <v>0.40476190476190477</v>
      </c>
      <c r="Q38" s="63">
        <v>0.41558441558441561</v>
      </c>
    </row>
    <row r="39" spans="1:17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8.3333333333333329E-2</v>
      </c>
      <c r="M39" s="63">
        <v>0.2363013698630137</v>
      </c>
      <c r="N39" s="63">
        <v>0.28767123287671231</v>
      </c>
      <c r="O39" s="63">
        <v>0.52173913043478259</v>
      </c>
      <c r="P39" s="63">
        <v>0.40476190476190477</v>
      </c>
      <c r="Q39" s="63">
        <v>0.42499999999999999</v>
      </c>
    </row>
    <row r="40" spans="1:17" x14ac:dyDescent="0.4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8.1081081081081086E-2</v>
      </c>
      <c r="M40" s="63">
        <v>0.24092409240924093</v>
      </c>
      <c r="N40" s="63">
        <v>0.28382838283828382</v>
      </c>
      <c r="O40" s="63">
        <v>0.54794520547945202</v>
      </c>
      <c r="P40" s="63">
        <v>0.39534883720930231</v>
      </c>
      <c r="Q40" s="63">
        <v>0.4</v>
      </c>
    </row>
    <row r="41" spans="1:17" x14ac:dyDescent="0.4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7.8947368421052627E-2</v>
      </c>
      <c r="M41" s="63">
        <v>0.24600638977635783</v>
      </c>
      <c r="N41" s="63">
        <v>0.27795527156549521</v>
      </c>
      <c r="O41" s="63">
        <v>0.53246753246753242</v>
      </c>
      <c r="P41" s="63">
        <v>0.39080459770114945</v>
      </c>
      <c r="Q41" s="63">
        <v>0.40229885057471265</v>
      </c>
    </row>
    <row r="42" spans="1:17" x14ac:dyDescent="0.4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7.6923076923076927E-2</v>
      </c>
      <c r="M42" s="63">
        <v>0.24374999999999999</v>
      </c>
      <c r="N42" s="63">
        <v>0.27500000000000002</v>
      </c>
      <c r="O42" s="63">
        <v>0.52564102564102566</v>
      </c>
      <c r="P42" s="63">
        <v>0.38636363636363635</v>
      </c>
      <c r="Q42" s="63">
        <v>0.39772727272727271</v>
      </c>
    </row>
    <row r="43" spans="1:17" x14ac:dyDescent="0.4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7.4999999999999997E-2</v>
      </c>
      <c r="M43" s="63">
        <v>0.24464831804281345</v>
      </c>
      <c r="N43" s="63">
        <v>0.27217125382262997</v>
      </c>
      <c r="O43" s="63">
        <v>0.53749999999999998</v>
      </c>
      <c r="P43" s="63">
        <v>0.38202247191011235</v>
      </c>
      <c r="Q43" s="63">
        <v>0.3888888888888889</v>
      </c>
    </row>
    <row r="44" spans="1:17" x14ac:dyDescent="0.4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7.3170731707317069E-2</v>
      </c>
      <c r="M44" s="63">
        <v>0.24850299401197604</v>
      </c>
      <c r="N44" s="63">
        <v>0.26946107784431139</v>
      </c>
      <c r="O44" s="63">
        <v>0.54216867469879515</v>
      </c>
      <c r="P44" s="63">
        <v>0.3888888888888889</v>
      </c>
      <c r="Q44" s="63">
        <v>0.39784946236559138</v>
      </c>
    </row>
    <row r="45" spans="1:17" x14ac:dyDescent="0.4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7.1428571428571425E-2</v>
      </c>
      <c r="M45" s="63">
        <v>0.25072886297376096</v>
      </c>
      <c r="N45" s="63">
        <v>0.26822157434402333</v>
      </c>
      <c r="O45" s="63">
        <v>0.55813953488372092</v>
      </c>
      <c r="P45" s="63">
        <v>0.39130434782608697</v>
      </c>
      <c r="Q45" s="63">
        <v>0.40206185567010311</v>
      </c>
    </row>
    <row r="46" spans="1:17" x14ac:dyDescent="0.4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6.9767441860465115E-2</v>
      </c>
      <c r="M46" s="63">
        <v>0.25714285714285712</v>
      </c>
      <c r="N46" s="63">
        <v>0.26285714285714284</v>
      </c>
      <c r="O46" s="63">
        <v>0.55555555555555558</v>
      </c>
      <c r="P46" s="63">
        <v>0.39130434782608697</v>
      </c>
      <c r="Q46" s="63">
        <v>0.41414141414141414</v>
      </c>
    </row>
    <row r="47" spans="1:17" x14ac:dyDescent="0.4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9.0909090909090912E-2</v>
      </c>
      <c r="M47" s="63">
        <v>0.26197183098591548</v>
      </c>
      <c r="N47" s="63">
        <v>0.25915492957746478</v>
      </c>
      <c r="O47" s="63">
        <v>0.56989247311827962</v>
      </c>
      <c r="P47" s="63">
        <v>0.39130434782608697</v>
      </c>
      <c r="Q47" s="63">
        <v>0.42156862745098039</v>
      </c>
    </row>
    <row r="48" spans="1:17" x14ac:dyDescent="0.4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8.8888888888888892E-2</v>
      </c>
      <c r="M48" s="63">
        <v>0.25683060109289618</v>
      </c>
      <c r="N48" s="63">
        <v>0.25683060109289618</v>
      </c>
      <c r="O48" s="63">
        <v>0.57446808510638303</v>
      </c>
      <c r="P48" s="63">
        <v>0.39361702127659576</v>
      </c>
      <c r="Q48" s="63">
        <v>0.41346153846153844</v>
      </c>
    </row>
    <row r="49" spans="1:17" x14ac:dyDescent="0.4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8.6956521739130432E-2</v>
      </c>
      <c r="M49" s="63">
        <v>0.25336927223719674</v>
      </c>
      <c r="N49" s="63">
        <v>0.2587601078167116</v>
      </c>
      <c r="O49" s="63">
        <v>0.57446808510638303</v>
      </c>
      <c r="P49" s="63">
        <v>0.38541666666666669</v>
      </c>
      <c r="Q49" s="63">
        <v>0.41904761904761906</v>
      </c>
    </row>
    <row r="50" spans="1:17" x14ac:dyDescent="0.4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8.5106382978723402E-2</v>
      </c>
      <c r="M50" s="63">
        <v>0.25129533678756477</v>
      </c>
      <c r="N50" s="63">
        <v>0.25647668393782386</v>
      </c>
      <c r="O50" s="63">
        <v>0.57731958762886593</v>
      </c>
      <c r="P50" s="63">
        <v>0.39393939393939392</v>
      </c>
      <c r="Q50" s="63">
        <v>0.42201834862385323</v>
      </c>
    </row>
    <row r="51" spans="1:17" x14ac:dyDescent="0.4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8.3333333333333329E-2</v>
      </c>
      <c r="M51" s="63">
        <v>0.25190839694656486</v>
      </c>
      <c r="N51" s="63">
        <v>0.2544529262086514</v>
      </c>
      <c r="O51" s="63">
        <v>0.58585858585858586</v>
      </c>
      <c r="P51" s="63">
        <v>0.4</v>
      </c>
      <c r="Q51" s="63">
        <v>0.41964285714285715</v>
      </c>
    </row>
    <row r="52" spans="1:17" x14ac:dyDescent="0.4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8.1632653061224483E-2</v>
      </c>
      <c r="M52" s="63">
        <v>0.2525</v>
      </c>
      <c r="N52" s="63">
        <v>0.255</v>
      </c>
      <c r="O52" s="63">
        <v>0.59405940594059403</v>
      </c>
      <c r="P52" s="63">
        <v>0.39215686274509803</v>
      </c>
      <c r="Q52" s="63">
        <v>0.42982456140350878</v>
      </c>
    </row>
    <row r="53" spans="1:17" x14ac:dyDescent="0.4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0.08</v>
      </c>
      <c r="M53" s="63">
        <v>0.25245098039215685</v>
      </c>
      <c r="N53" s="63">
        <v>0.25</v>
      </c>
      <c r="O53" s="63">
        <v>0.59223300970873782</v>
      </c>
      <c r="P53" s="63">
        <v>0.39215686274509803</v>
      </c>
      <c r="Q53" s="63">
        <v>0.43478260869565216</v>
      </c>
    </row>
    <row r="54" spans="1:17" x14ac:dyDescent="0.4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7.8431372549019607E-2</v>
      </c>
      <c r="M54" s="63">
        <v>0.25358851674641147</v>
      </c>
      <c r="N54" s="63">
        <v>0.25119617224880381</v>
      </c>
      <c r="O54" s="63">
        <v>0.58490566037735847</v>
      </c>
      <c r="P54" s="63">
        <v>0.38095238095238093</v>
      </c>
      <c r="Q54" s="63">
        <v>0.43965517241379309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08FEB-E76D-4F7B-A1CA-83ADE021F102}">
  <sheetPr codeName="Sheet16"/>
  <dimension ref="A1:Q4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177</v>
      </c>
      <c r="B1" s="66" t="s">
        <v>177</v>
      </c>
      <c r="C1" s="66" t="s">
        <v>177</v>
      </c>
      <c r="D1" s="67" t="s">
        <v>177</v>
      </c>
      <c r="E1" s="66" t="s">
        <v>177</v>
      </c>
      <c r="F1" s="66" t="s">
        <v>177</v>
      </c>
      <c r="G1" s="66" t="s">
        <v>177</v>
      </c>
      <c r="H1" s="66" t="s">
        <v>177</v>
      </c>
      <c r="I1" s="66" t="s">
        <v>177</v>
      </c>
      <c r="J1" s="66" t="s">
        <v>177</v>
      </c>
      <c r="K1" s="66" t="s">
        <v>177</v>
      </c>
      <c r="L1" s="66" t="s">
        <v>177</v>
      </c>
      <c r="M1" s="66" t="s">
        <v>177</v>
      </c>
      <c r="N1" s="66" t="s">
        <v>177</v>
      </c>
      <c r="O1" s="66" t="s">
        <v>177</v>
      </c>
      <c r="P1" s="66" t="s">
        <v>177</v>
      </c>
      <c r="Q1" s="66" t="s">
        <v>177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</v>
      </c>
      <c r="M4" s="63">
        <v>0.18181818181818182</v>
      </c>
      <c r="N4" s="63">
        <v>0.18181818181818182</v>
      </c>
      <c r="O4" s="63">
        <v>0.5</v>
      </c>
      <c r="P4" s="63">
        <v>0.5</v>
      </c>
      <c r="Q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</v>
      </c>
      <c r="M5" s="63">
        <v>0.15</v>
      </c>
      <c r="N5" s="63">
        <v>0.1</v>
      </c>
      <c r="O5" s="63">
        <v>0.66666666666666663</v>
      </c>
      <c r="P5" s="63">
        <v>0.5</v>
      </c>
      <c r="Q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</v>
      </c>
      <c r="M6" s="63">
        <v>0.2</v>
      </c>
      <c r="N6" s="63">
        <v>0.23333333333333334</v>
      </c>
      <c r="O6" s="63">
        <v>0.33333333333333331</v>
      </c>
      <c r="P6" s="63">
        <v>0.2857142857142857</v>
      </c>
      <c r="Q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0.25</v>
      </c>
      <c r="M7" s="63">
        <v>0.22222222222222221</v>
      </c>
      <c r="N7" s="63">
        <v>0.25</v>
      </c>
      <c r="O7" s="63">
        <v>0.5</v>
      </c>
      <c r="P7" s="63">
        <v>0.33333333333333331</v>
      </c>
      <c r="Q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0.2</v>
      </c>
      <c r="M8" s="63">
        <v>0.17777777777777778</v>
      </c>
      <c r="N8" s="63">
        <v>0.24444444444444444</v>
      </c>
      <c r="O8" s="63">
        <v>0.5</v>
      </c>
      <c r="P8" s="63">
        <v>0.36363636363636365</v>
      </c>
      <c r="Q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0.33333333333333331</v>
      </c>
      <c r="M9" s="63">
        <v>0.17391304347826086</v>
      </c>
      <c r="N9" s="63">
        <v>0.2391304347826087</v>
      </c>
      <c r="O9" s="63">
        <v>0.5</v>
      </c>
      <c r="P9" s="63">
        <v>0.36363636363636365</v>
      </c>
      <c r="Q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0.2857142857142857</v>
      </c>
      <c r="M10" s="63">
        <v>0.15094339622641509</v>
      </c>
      <c r="N10" s="63">
        <v>0.30188679245283018</v>
      </c>
      <c r="O10" s="63">
        <v>0.5</v>
      </c>
      <c r="P10" s="63">
        <v>0.4375</v>
      </c>
      <c r="Q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0.25</v>
      </c>
      <c r="M11" s="63">
        <v>0.18032786885245902</v>
      </c>
      <c r="N11" s="63">
        <v>0.26229508196721313</v>
      </c>
      <c r="O11" s="63">
        <v>0.36363636363636365</v>
      </c>
      <c r="P11" s="63">
        <v>0.4375</v>
      </c>
      <c r="Q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0.22222222222222221</v>
      </c>
      <c r="M12" s="63">
        <v>0.22388059701492538</v>
      </c>
      <c r="N12" s="63">
        <v>0.2537313432835821</v>
      </c>
      <c r="O12" s="63">
        <v>0.33333333333333331</v>
      </c>
      <c r="P12" s="63">
        <v>0.41176470588235292</v>
      </c>
      <c r="Q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0.2</v>
      </c>
      <c r="M13" s="63">
        <v>0.19736842105263158</v>
      </c>
      <c r="N13" s="63">
        <v>0.28947368421052633</v>
      </c>
      <c r="O13" s="63">
        <v>0.33333333333333331</v>
      </c>
      <c r="P13" s="63">
        <v>0.45454545454545453</v>
      </c>
      <c r="Q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0.18181818181818182</v>
      </c>
      <c r="M14" s="63">
        <v>0.20238095238095238</v>
      </c>
      <c r="N14" s="63">
        <v>0.26190476190476192</v>
      </c>
      <c r="O14" s="63">
        <v>0.29411764705882354</v>
      </c>
      <c r="P14" s="63">
        <v>0.45454545454545453</v>
      </c>
      <c r="Q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0.25</v>
      </c>
      <c r="M15" s="63">
        <v>0.18888888888888888</v>
      </c>
      <c r="N15" s="63">
        <v>0.25555555555555554</v>
      </c>
      <c r="O15" s="63">
        <v>0.29411764705882354</v>
      </c>
      <c r="P15" s="63">
        <v>0.47826086956521741</v>
      </c>
      <c r="Q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0.23076923076923078</v>
      </c>
      <c r="M16" s="63">
        <v>0.21212121212121213</v>
      </c>
      <c r="N16" s="63">
        <v>0.25252525252525254</v>
      </c>
      <c r="O16" s="63">
        <v>0.23809523809523808</v>
      </c>
      <c r="P16" s="63">
        <v>0.48</v>
      </c>
      <c r="Q16" s="63">
        <v>0.31818181818181818</v>
      </c>
    </row>
    <row r="17" spans="1:17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0.2857142857142857</v>
      </c>
      <c r="M17" s="63">
        <v>0.22641509433962265</v>
      </c>
      <c r="N17" s="63">
        <v>0.23584905660377359</v>
      </c>
      <c r="O17" s="63">
        <v>0.25</v>
      </c>
      <c r="P17" s="63">
        <v>0.48</v>
      </c>
      <c r="Q17" s="63">
        <v>0.33333333333333331</v>
      </c>
    </row>
    <row r="18" spans="1:17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0.26666666666666666</v>
      </c>
      <c r="M18" s="63">
        <v>0.22950819672131148</v>
      </c>
      <c r="N18" s="63">
        <v>0.23770491803278687</v>
      </c>
      <c r="O18" s="63">
        <v>0.25</v>
      </c>
      <c r="P18" s="63">
        <v>0.44827586206896552</v>
      </c>
      <c r="Q18" s="63">
        <v>0.29629629629629628</v>
      </c>
    </row>
    <row r="19" spans="1:17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0.25</v>
      </c>
      <c r="M19" s="63">
        <v>0.24031007751937986</v>
      </c>
      <c r="N19" s="63">
        <v>0.23255813953488372</v>
      </c>
      <c r="O19" s="63">
        <v>0.29032258064516131</v>
      </c>
      <c r="P19" s="63">
        <v>0.46666666666666667</v>
      </c>
      <c r="Q19" s="63">
        <v>0.36666666666666664</v>
      </c>
    </row>
    <row r="20" spans="1:17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0.23529411764705882</v>
      </c>
      <c r="M20" s="63">
        <v>0.24817518248175183</v>
      </c>
      <c r="N20" s="63">
        <v>0.22627737226277372</v>
      </c>
      <c r="O20" s="63">
        <v>0.3235294117647059</v>
      </c>
      <c r="P20" s="63">
        <v>0.4838709677419355</v>
      </c>
      <c r="Q20" s="63">
        <v>0.39393939393939392</v>
      </c>
    </row>
    <row r="21" spans="1:17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0.22222222222222221</v>
      </c>
      <c r="M21" s="63">
        <v>0.25517241379310346</v>
      </c>
      <c r="N21" s="63">
        <v>0.23448275862068965</v>
      </c>
      <c r="O21" s="63">
        <v>0.32432432432432434</v>
      </c>
      <c r="P21" s="63">
        <v>0.47058823529411764</v>
      </c>
      <c r="Q21" s="63">
        <v>0.41666666666666669</v>
      </c>
    </row>
    <row r="22" spans="1:17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0.21052631578947367</v>
      </c>
      <c r="M22" s="63">
        <v>0.25641025641025639</v>
      </c>
      <c r="N22" s="63">
        <v>0.22435897435897437</v>
      </c>
      <c r="O22" s="63">
        <v>0.35</v>
      </c>
      <c r="P22" s="63">
        <v>0.48571428571428571</v>
      </c>
      <c r="Q22" s="63">
        <v>0.41025641025641024</v>
      </c>
    </row>
    <row r="23" spans="1:17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</v>
      </c>
      <c r="M23" s="63">
        <v>0.26543209876543211</v>
      </c>
      <c r="N23" s="63">
        <v>0.22222222222222221</v>
      </c>
      <c r="O23" s="63">
        <v>0.34883720930232559</v>
      </c>
      <c r="P23" s="63">
        <v>0.47222222222222221</v>
      </c>
      <c r="Q23" s="63">
        <v>0.4</v>
      </c>
    </row>
    <row r="24" spans="1:17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0.19047619047619047</v>
      </c>
      <c r="M24" s="63">
        <v>0.26035502958579881</v>
      </c>
      <c r="N24" s="63">
        <v>0.21893491124260356</v>
      </c>
      <c r="O24" s="63">
        <v>0.34090909090909088</v>
      </c>
      <c r="P24" s="63">
        <v>0.48648648648648651</v>
      </c>
      <c r="Q24" s="63">
        <v>0.3902439024390244</v>
      </c>
    </row>
    <row r="25" spans="1:17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0.22727272727272727</v>
      </c>
      <c r="M25" s="63">
        <v>0.25568181818181818</v>
      </c>
      <c r="N25" s="63">
        <v>0.23295454545454544</v>
      </c>
      <c r="O25" s="63">
        <v>0.35555555555555557</v>
      </c>
      <c r="P25" s="63">
        <v>0.51219512195121952</v>
      </c>
      <c r="Q25" s="63">
        <v>0.4</v>
      </c>
    </row>
    <row r="26" spans="1:17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0.21739130434782608</v>
      </c>
      <c r="M26" s="63">
        <v>0.25683060109289618</v>
      </c>
      <c r="N26" s="63">
        <v>0.22950819672131148</v>
      </c>
      <c r="O26" s="63">
        <v>0.36170212765957449</v>
      </c>
      <c r="P26" s="63">
        <v>0.52380952380952384</v>
      </c>
      <c r="Q26" s="63">
        <v>0.42553191489361702</v>
      </c>
    </row>
    <row r="27" spans="1:17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0.20833333333333334</v>
      </c>
      <c r="M27" s="63">
        <v>0.26178010471204188</v>
      </c>
      <c r="N27" s="63">
        <v>0.2356020942408377</v>
      </c>
      <c r="O27" s="63">
        <v>0.36</v>
      </c>
      <c r="P27" s="63">
        <v>0.48888888888888887</v>
      </c>
      <c r="Q27" s="63">
        <v>0.4375</v>
      </c>
    </row>
    <row r="28" spans="1:17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</v>
      </c>
      <c r="M28" s="63">
        <v>0.26903553299492383</v>
      </c>
      <c r="N28" s="63">
        <v>0.22842639593908629</v>
      </c>
      <c r="O28" s="63">
        <v>0.37735849056603776</v>
      </c>
      <c r="P28" s="63">
        <v>0.48888888888888887</v>
      </c>
      <c r="Q28" s="63">
        <v>0.46</v>
      </c>
    </row>
    <row r="29" spans="1:17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0.19230769230769232</v>
      </c>
      <c r="M29" s="63">
        <v>0.2722772277227723</v>
      </c>
      <c r="N29" s="63">
        <v>0.22277227722772278</v>
      </c>
      <c r="O29" s="63">
        <v>0.36363636363636365</v>
      </c>
      <c r="P29" s="63">
        <v>0.48888888888888887</v>
      </c>
      <c r="Q29" s="63">
        <v>0.46</v>
      </c>
    </row>
    <row r="30" spans="1:17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0.22222222222222221</v>
      </c>
      <c r="M30" s="63">
        <v>0.27619047619047621</v>
      </c>
      <c r="N30" s="63">
        <v>0.21904761904761905</v>
      </c>
      <c r="O30" s="63">
        <v>0.39655172413793105</v>
      </c>
      <c r="P30" s="63">
        <v>0.5</v>
      </c>
      <c r="Q30" s="63">
        <v>0.46296296296296297</v>
      </c>
    </row>
    <row r="31" spans="1:17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0.21428571428571427</v>
      </c>
      <c r="M31" s="63">
        <v>0.27777777777777779</v>
      </c>
      <c r="N31" s="63">
        <v>0.21759259259259259</v>
      </c>
      <c r="O31" s="63">
        <v>0.41666666666666669</v>
      </c>
      <c r="P31" s="63">
        <v>0.48936170212765956</v>
      </c>
      <c r="Q31" s="63">
        <v>0.4642857142857143</v>
      </c>
    </row>
    <row r="32" spans="1:17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0.20689655172413793</v>
      </c>
      <c r="M32" s="63">
        <v>0.27876106194690264</v>
      </c>
      <c r="N32" s="63">
        <v>0.21238938053097345</v>
      </c>
      <c r="O32" s="63">
        <v>0.3968253968253968</v>
      </c>
      <c r="P32" s="63">
        <v>0.5</v>
      </c>
      <c r="Q32" s="63">
        <v>0.45614035087719296</v>
      </c>
    </row>
    <row r="33" spans="1:17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0.23333333333333334</v>
      </c>
      <c r="M33" s="63">
        <v>0.2813852813852814</v>
      </c>
      <c r="N33" s="63">
        <v>0.21212121212121213</v>
      </c>
      <c r="O33" s="63">
        <v>0.4</v>
      </c>
      <c r="P33" s="63">
        <v>0.51020408163265307</v>
      </c>
      <c r="Q33" s="63">
        <v>0.45</v>
      </c>
    </row>
    <row r="34" spans="1:17" x14ac:dyDescent="0.4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0.22580645161290322</v>
      </c>
      <c r="M34" s="63">
        <v>0.2857142857142857</v>
      </c>
      <c r="N34" s="63">
        <v>0.21428571428571427</v>
      </c>
      <c r="O34" s="63">
        <v>0.41176470588235292</v>
      </c>
      <c r="P34" s="63">
        <v>0.52941176470588236</v>
      </c>
      <c r="Q34" s="63">
        <v>0.453125</v>
      </c>
    </row>
    <row r="35" spans="1:17" x14ac:dyDescent="0.4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0.21875</v>
      </c>
      <c r="M35" s="63">
        <v>0.28163265306122448</v>
      </c>
      <c r="N35" s="63">
        <v>0.20816326530612245</v>
      </c>
      <c r="O35" s="63">
        <v>0.42028985507246375</v>
      </c>
      <c r="P35" s="63">
        <v>0.52941176470588236</v>
      </c>
      <c r="Q35" s="63">
        <v>0.45454545454545453</v>
      </c>
    </row>
    <row r="36" spans="1:17" x14ac:dyDescent="0.4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0.21212121212121213</v>
      </c>
      <c r="M36" s="63">
        <v>0.28174603174603174</v>
      </c>
      <c r="N36" s="63">
        <v>0.20634920634920634</v>
      </c>
      <c r="O36" s="63">
        <v>0.43661971830985913</v>
      </c>
      <c r="P36" s="63">
        <v>0.51923076923076927</v>
      </c>
      <c r="Q36" s="63">
        <v>0.44117647058823528</v>
      </c>
    </row>
    <row r="37" spans="1:17" x14ac:dyDescent="0.4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0.20588235294117646</v>
      </c>
      <c r="M37" s="63">
        <v>0.28244274809160308</v>
      </c>
      <c r="N37" s="63">
        <v>0.21374045801526717</v>
      </c>
      <c r="O37" s="63">
        <v>0.44594594594594594</v>
      </c>
      <c r="P37" s="63">
        <v>0.5</v>
      </c>
      <c r="Q37" s="63">
        <v>0.45070422535211269</v>
      </c>
    </row>
    <row r="38" spans="1:17" x14ac:dyDescent="0.4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</v>
      </c>
      <c r="M38" s="63">
        <v>0.2857142857142857</v>
      </c>
      <c r="N38" s="63">
        <v>0.20512820512820512</v>
      </c>
      <c r="O38" s="63">
        <v>0.44871794871794873</v>
      </c>
      <c r="P38" s="63">
        <v>0.5</v>
      </c>
      <c r="Q38" s="63">
        <v>0.46666666666666667</v>
      </c>
    </row>
    <row r="39" spans="1:17" x14ac:dyDescent="0.4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0.19444444444444445</v>
      </c>
      <c r="M39" s="63">
        <v>0.28472222222222221</v>
      </c>
      <c r="N39" s="63">
        <v>0.19791666666666666</v>
      </c>
      <c r="O39" s="63">
        <v>0.45121951219512196</v>
      </c>
      <c r="P39" s="63">
        <v>0.49122807017543857</v>
      </c>
      <c r="Q39" s="63">
        <v>0.47435897435897434</v>
      </c>
    </row>
    <row r="40" spans="1:17" x14ac:dyDescent="0.4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0.1891891891891892</v>
      </c>
      <c r="M40" s="63">
        <v>0.28813559322033899</v>
      </c>
      <c r="N40" s="63">
        <v>0.2</v>
      </c>
      <c r="O40" s="63">
        <v>0.45882352941176469</v>
      </c>
      <c r="P40" s="63">
        <v>0.49152542372881358</v>
      </c>
      <c r="Q40" s="63">
        <v>0.48780487804878048</v>
      </c>
    </row>
    <row r="41" spans="1:17" x14ac:dyDescent="0.4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0.18421052631578946</v>
      </c>
      <c r="M41" s="63">
        <v>0.29180327868852457</v>
      </c>
      <c r="N41" s="63">
        <v>0.20327868852459016</v>
      </c>
      <c r="O41" s="63">
        <v>0.4606741573033708</v>
      </c>
      <c r="P41" s="63">
        <v>0.4838709677419355</v>
      </c>
      <c r="Q41" s="63">
        <v>0.47058823529411764</v>
      </c>
    </row>
    <row r="42" spans="1:17" x14ac:dyDescent="0.4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0.17948717948717949</v>
      </c>
      <c r="M42" s="63">
        <v>0.29392971246006389</v>
      </c>
      <c r="N42" s="63">
        <v>0.20447284345047922</v>
      </c>
      <c r="O42" s="63">
        <v>0.45652173913043476</v>
      </c>
      <c r="P42" s="63">
        <v>0.46875</v>
      </c>
      <c r="Q42" s="63">
        <v>0.47674418604651164</v>
      </c>
    </row>
    <row r="43" spans="1:17" x14ac:dyDescent="0.4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0.17499999999999999</v>
      </c>
      <c r="M43" s="63">
        <v>0.29595015576323985</v>
      </c>
      <c r="N43" s="63">
        <v>0.20249221183800623</v>
      </c>
      <c r="O43" s="63">
        <v>0.4631578947368421</v>
      </c>
      <c r="P43" s="63">
        <v>0.47692307692307695</v>
      </c>
      <c r="Q43" s="63">
        <v>0.47191011235955055</v>
      </c>
    </row>
    <row r="44" spans="1:17" x14ac:dyDescent="0.4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0.17073170731707318</v>
      </c>
      <c r="M44" s="63">
        <v>0.30303030303030304</v>
      </c>
      <c r="N44" s="63">
        <v>0.2</v>
      </c>
      <c r="O44" s="63">
        <v>0.47</v>
      </c>
      <c r="P44" s="63">
        <v>0.46969696969696972</v>
      </c>
      <c r="Q44" s="63">
        <v>0.47826086956521741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66ADB-DA61-4808-AE47-20294378A5F1}">
  <sheetPr codeName="Sheet14"/>
  <dimension ref="A1:Q5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179</v>
      </c>
      <c r="B1" s="66" t="s">
        <v>179</v>
      </c>
      <c r="C1" s="66" t="s">
        <v>179</v>
      </c>
      <c r="D1" s="67" t="s">
        <v>179</v>
      </c>
      <c r="E1" s="66" t="s">
        <v>179</v>
      </c>
      <c r="F1" s="66" t="s">
        <v>179</v>
      </c>
      <c r="G1" s="66" t="s">
        <v>179</v>
      </c>
      <c r="H1" s="66" t="s">
        <v>179</v>
      </c>
      <c r="I1" s="66" t="s">
        <v>179</v>
      </c>
      <c r="J1" s="66" t="s">
        <v>179</v>
      </c>
      <c r="K1" s="66" t="s">
        <v>179</v>
      </c>
      <c r="L1" s="66" t="s">
        <v>179</v>
      </c>
      <c r="M1" s="66" t="s">
        <v>179</v>
      </c>
      <c r="N1" s="66" t="s">
        <v>179</v>
      </c>
      <c r="O1" s="66" t="s">
        <v>179</v>
      </c>
      <c r="P1" s="66" t="s">
        <v>179</v>
      </c>
      <c r="Q1" s="66" t="s">
        <v>179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</v>
      </c>
      <c r="M4" s="63">
        <v>0.27272727272727271</v>
      </c>
      <c r="N4" s="63">
        <v>0</v>
      </c>
      <c r="O4" s="63">
        <v>0</v>
      </c>
      <c r="P4" s="63">
        <v>0</v>
      </c>
      <c r="Q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</v>
      </c>
      <c r="M5" s="63">
        <v>0.26315789473684209</v>
      </c>
      <c r="N5" s="63">
        <v>0.26315789473684209</v>
      </c>
      <c r="O5" s="63">
        <v>0.4</v>
      </c>
      <c r="P5" s="63">
        <v>0.2</v>
      </c>
      <c r="Q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</v>
      </c>
      <c r="M6" s="63">
        <v>0.26666666666666666</v>
      </c>
      <c r="N6" s="63">
        <v>0.23333333333333334</v>
      </c>
      <c r="O6" s="63">
        <v>0.625</v>
      </c>
      <c r="P6" s="63">
        <v>0.14285714285714285</v>
      </c>
      <c r="Q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</v>
      </c>
      <c r="M7" s="63">
        <v>0.25641025641025639</v>
      </c>
      <c r="N7" s="63">
        <v>0.23076923076923078</v>
      </c>
      <c r="O7" s="63">
        <v>0.7</v>
      </c>
      <c r="P7" s="63">
        <v>0.1111111111111111</v>
      </c>
      <c r="Q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</v>
      </c>
      <c r="M8" s="63">
        <v>0.26530612244897961</v>
      </c>
      <c r="N8" s="63">
        <v>0.20408163265306123</v>
      </c>
      <c r="O8" s="63">
        <v>0.69230769230769229</v>
      </c>
      <c r="P8" s="63">
        <v>0.2</v>
      </c>
      <c r="Q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</v>
      </c>
      <c r="M9" s="63">
        <v>0.2807017543859649</v>
      </c>
      <c r="N9" s="63">
        <v>0.21052631578947367</v>
      </c>
      <c r="O9" s="63">
        <v>0.625</v>
      </c>
      <c r="P9" s="63">
        <v>0.25</v>
      </c>
      <c r="Q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</v>
      </c>
      <c r="M10" s="63">
        <v>0.26865671641791045</v>
      </c>
      <c r="N10" s="63">
        <v>0.19402985074626866</v>
      </c>
      <c r="O10" s="63">
        <v>0.66666666666666663</v>
      </c>
      <c r="P10" s="63">
        <v>0.23076923076923078</v>
      </c>
      <c r="Q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</v>
      </c>
      <c r="M11" s="63">
        <v>0.25</v>
      </c>
      <c r="N11" s="63">
        <v>0.19736842105263158</v>
      </c>
      <c r="O11" s="63">
        <v>0.63157894736842102</v>
      </c>
      <c r="P11" s="63">
        <v>0.2</v>
      </c>
      <c r="Q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</v>
      </c>
      <c r="M12" s="63">
        <v>0.24705882352941178</v>
      </c>
      <c r="N12" s="63">
        <v>0.17647058823529413</v>
      </c>
      <c r="O12" s="63">
        <v>0.61904761904761907</v>
      </c>
      <c r="P12" s="63">
        <v>0.2</v>
      </c>
      <c r="Q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</v>
      </c>
      <c r="M13" s="63">
        <v>0.23958333333333334</v>
      </c>
      <c r="N13" s="63">
        <v>0.15625</v>
      </c>
      <c r="O13" s="63">
        <v>0.56521739130434778</v>
      </c>
      <c r="P13" s="63">
        <v>0.2</v>
      </c>
      <c r="Q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</v>
      </c>
      <c r="M14" s="63">
        <v>0.24</v>
      </c>
      <c r="N14" s="63">
        <v>0.15</v>
      </c>
      <c r="O14" s="63">
        <v>0.54166666666666663</v>
      </c>
      <c r="P14" s="63">
        <v>0.2</v>
      </c>
      <c r="Q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</v>
      </c>
      <c r="M15" s="63">
        <v>0.24545454545454545</v>
      </c>
      <c r="N15" s="63">
        <v>0.15454545454545454</v>
      </c>
      <c r="O15" s="63">
        <v>0.59259259259259256</v>
      </c>
      <c r="P15" s="63">
        <v>0.17647058823529413</v>
      </c>
      <c r="Q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</v>
      </c>
      <c r="M16" s="63">
        <v>0.26050420168067229</v>
      </c>
      <c r="N16" s="63">
        <v>0.15966386554621848</v>
      </c>
      <c r="O16" s="63">
        <v>0.58064516129032262</v>
      </c>
      <c r="P16" s="63">
        <v>0.15789473684210525</v>
      </c>
      <c r="Q16" s="63">
        <v>0.32142857142857145</v>
      </c>
    </row>
    <row r="17" spans="1:17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</v>
      </c>
      <c r="M17" s="63">
        <v>0.25</v>
      </c>
      <c r="N17" s="63">
        <v>0.171875</v>
      </c>
      <c r="O17" s="63">
        <v>0.59375</v>
      </c>
      <c r="P17" s="63">
        <v>0.22727272727272727</v>
      </c>
      <c r="Q17" s="63">
        <v>0.35483870967741937</v>
      </c>
    </row>
    <row r="18" spans="1:17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</v>
      </c>
      <c r="M18" s="63">
        <v>0.25362318840579712</v>
      </c>
      <c r="N18" s="63">
        <v>0.18840579710144928</v>
      </c>
      <c r="O18" s="63">
        <v>0.6</v>
      </c>
      <c r="P18" s="63">
        <v>0.26923076923076922</v>
      </c>
      <c r="Q18" s="63">
        <v>0.37142857142857144</v>
      </c>
    </row>
    <row r="19" spans="1:17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</v>
      </c>
      <c r="M19" s="63">
        <v>0.25333333333333335</v>
      </c>
      <c r="N19" s="63">
        <v>0.19333333333333333</v>
      </c>
      <c r="O19" s="63">
        <v>0.60526315789473684</v>
      </c>
      <c r="P19" s="63">
        <v>0.31034482758620691</v>
      </c>
      <c r="Q19" s="63">
        <v>0.375</v>
      </c>
    </row>
    <row r="20" spans="1:17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</v>
      </c>
      <c r="M20" s="63">
        <v>0.24203821656050956</v>
      </c>
      <c r="N20" s="63">
        <v>0.18471337579617833</v>
      </c>
      <c r="O20" s="63">
        <v>0.60526315789473684</v>
      </c>
      <c r="P20" s="63">
        <v>0.31034482758620691</v>
      </c>
      <c r="Q20" s="63">
        <v>0.375</v>
      </c>
    </row>
    <row r="21" spans="1:17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</v>
      </c>
      <c r="M21" s="63">
        <v>0.25149700598802394</v>
      </c>
      <c r="N21" s="63">
        <v>0.19161676646706588</v>
      </c>
      <c r="O21" s="63">
        <v>0.59523809523809523</v>
      </c>
      <c r="P21" s="63">
        <v>0.34375</v>
      </c>
      <c r="Q21" s="63">
        <v>0.38636363636363635</v>
      </c>
    </row>
    <row r="22" spans="1:17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</v>
      </c>
      <c r="M22" s="63">
        <v>0.24858757062146894</v>
      </c>
      <c r="N22" s="63">
        <v>0.19774011299435029</v>
      </c>
      <c r="O22" s="63">
        <v>0.59090909090909094</v>
      </c>
      <c r="P22" s="63">
        <v>0.4</v>
      </c>
      <c r="Q22" s="63">
        <v>0.36734693877551022</v>
      </c>
    </row>
    <row r="23" spans="1:17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0.05</v>
      </c>
      <c r="M23" s="63">
        <v>0.24861878453038674</v>
      </c>
      <c r="N23" s="63">
        <v>0.20441988950276244</v>
      </c>
      <c r="O23" s="63">
        <v>0.6</v>
      </c>
      <c r="P23" s="63">
        <v>0.40540540540540543</v>
      </c>
      <c r="Q23" s="63">
        <v>0.35294117647058826</v>
      </c>
    </row>
    <row r="24" spans="1:17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9.5238095238095233E-2</v>
      </c>
      <c r="M24" s="63">
        <v>0.25133689839572193</v>
      </c>
      <c r="N24" s="63">
        <v>0.20855614973262032</v>
      </c>
      <c r="O24" s="63">
        <v>0.61702127659574468</v>
      </c>
      <c r="P24" s="63">
        <v>0.4358974358974359</v>
      </c>
      <c r="Q24" s="63">
        <v>0.34545454545454546</v>
      </c>
    </row>
    <row r="25" spans="1:17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9.0909090909090912E-2</v>
      </c>
      <c r="M25" s="63">
        <v>0.24615384615384617</v>
      </c>
      <c r="N25" s="63">
        <v>0.2</v>
      </c>
      <c r="O25" s="63">
        <v>0.625</v>
      </c>
      <c r="P25" s="63">
        <v>0.4358974358974359</v>
      </c>
      <c r="Q25" s="63">
        <v>0.35714285714285715</v>
      </c>
    </row>
    <row r="26" spans="1:17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8.6956521739130432E-2</v>
      </c>
      <c r="M26" s="63">
        <v>0.25247524752475248</v>
      </c>
      <c r="N26" s="63">
        <v>0.19801980198019803</v>
      </c>
      <c r="O26" s="63">
        <v>0.6470588235294118</v>
      </c>
      <c r="P26" s="63">
        <v>0.42499999999999999</v>
      </c>
      <c r="Q26" s="63">
        <v>0.3728813559322034</v>
      </c>
    </row>
    <row r="27" spans="1:17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8.3333333333333329E-2</v>
      </c>
      <c r="M27" s="63">
        <v>0.26666666666666666</v>
      </c>
      <c r="N27" s="63">
        <v>0.19047619047619047</v>
      </c>
      <c r="O27" s="63">
        <v>0.6071428571428571</v>
      </c>
      <c r="P27" s="63">
        <v>0.42499999999999999</v>
      </c>
      <c r="Q27" s="63">
        <v>0.37096774193548387</v>
      </c>
    </row>
    <row r="28" spans="1:17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0.08</v>
      </c>
      <c r="M28" s="63">
        <v>0.28440366972477066</v>
      </c>
      <c r="N28" s="63">
        <v>0.18807339449541285</v>
      </c>
      <c r="O28" s="63">
        <v>0.58064516129032262</v>
      </c>
      <c r="P28" s="63">
        <v>0.41463414634146339</v>
      </c>
      <c r="Q28" s="63">
        <v>0.375</v>
      </c>
    </row>
    <row r="29" spans="1:17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7.6923076923076927E-2</v>
      </c>
      <c r="M29" s="63">
        <v>0.28000000000000003</v>
      </c>
      <c r="N29" s="63">
        <v>0.18666666666666668</v>
      </c>
      <c r="O29" s="63">
        <v>0.5714285714285714</v>
      </c>
      <c r="P29" s="63">
        <v>0.40476190476190477</v>
      </c>
      <c r="Q29" s="63">
        <v>0.375</v>
      </c>
    </row>
    <row r="30" spans="1:17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7.407407407407407E-2</v>
      </c>
      <c r="M30" s="63">
        <v>0.27896995708154504</v>
      </c>
      <c r="N30" s="63">
        <v>0.19313304721030042</v>
      </c>
      <c r="O30" s="63">
        <v>0.56923076923076921</v>
      </c>
      <c r="P30" s="63">
        <v>0.42222222222222222</v>
      </c>
      <c r="Q30" s="63">
        <v>0.38805970149253732</v>
      </c>
    </row>
    <row r="31" spans="1:17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7.1428571428571425E-2</v>
      </c>
      <c r="M31" s="63">
        <v>0.27800829875518673</v>
      </c>
      <c r="N31" s="63">
        <v>0.18672199170124482</v>
      </c>
      <c r="O31" s="63">
        <v>0.58208955223880599</v>
      </c>
      <c r="P31" s="63">
        <v>0.42222222222222222</v>
      </c>
      <c r="Q31" s="63">
        <v>0.37681159420289856</v>
      </c>
    </row>
    <row r="32" spans="1:17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6.8965517241379309E-2</v>
      </c>
      <c r="M32" s="63">
        <v>0.27822580645161288</v>
      </c>
      <c r="N32" s="63">
        <v>0.18145161290322581</v>
      </c>
      <c r="O32" s="63">
        <v>0.59420289855072461</v>
      </c>
      <c r="P32" s="63">
        <v>0.42222222222222222</v>
      </c>
      <c r="Q32" s="63">
        <v>0.39436619718309857</v>
      </c>
    </row>
    <row r="33" spans="1:17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6.6666666666666666E-2</v>
      </c>
      <c r="M33" s="63">
        <v>0.28125</v>
      </c>
      <c r="N33" s="63">
        <v>0.1796875</v>
      </c>
      <c r="O33" s="63">
        <v>0.58333333333333337</v>
      </c>
      <c r="P33" s="63">
        <v>0.43478260869565216</v>
      </c>
      <c r="Q33" s="63">
        <v>0.38356164383561642</v>
      </c>
    </row>
    <row r="34" spans="1:17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6.4516129032258063E-2</v>
      </c>
      <c r="M34" s="63">
        <v>0.2808988764044944</v>
      </c>
      <c r="N34" s="63">
        <v>0.1797752808988764</v>
      </c>
      <c r="O34" s="63">
        <v>0.58666666666666667</v>
      </c>
      <c r="P34" s="63">
        <v>0.4375</v>
      </c>
      <c r="Q34" s="63">
        <v>0.38157894736842107</v>
      </c>
    </row>
    <row r="35" spans="1:17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6.25E-2</v>
      </c>
      <c r="M35" s="63">
        <v>0.27536231884057971</v>
      </c>
      <c r="N35" s="63">
        <v>0.18115942028985507</v>
      </c>
      <c r="O35" s="63">
        <v>0.57894736842105265</v>
      </c>
      <c r="P35" s="63">
        <v>0.44</v>
      </c>
      <c r="Q35" s="63">
        <v>0.38461538461538464</v>
      </c>
    </row>
    <row r="36" spans="1:17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6.0606060606060608E-2</v>
      </c>
      <c r="M36" s="63">
        <v>0.28521126760563381</v>
      </c>
      <c r="N36" s="63">
        <v>0.176056338028169</v>
      </c>
      <c r="O36" s="63">
        <v>0.58024691358024694</v>
      </c>
      <c r="P36" s="63">
        <v>0.44</v>
      </c>
      <c r="Q36" s="63">
        <v>0.39506172839506171</v>
      </c>
    </row>
    <row r="37" spans="1:17" x14ac:dyDescent="0.4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5.8823529411764705E-2</v>
      </c>
      <c r="M37" s="63">
        <v>0.28135593220338984</v>
      </c>
      <c r="N37" s="63">
        <v>0.17627118644067796</v>
      </c>
      <c r="O37" s="63">
        <v>0.59036144578313254</v>
      </c>
      <c r="P37" s="63">
        <v>0.42307692307692307</v>
      </c>
      <c r="Q37" s="63">
        <v>0.39285714285714285</v>
      </c>
    </row>
    <row r="38" spans="1:17" x14ac:dyDescent="0.4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5.7142857142857141E-2</v>
      </c>
      <c r="M38" s="63">
        <v>0.27814569536423839</v>
      </c>
      <c r="N38" s="63">
        <v>0.17218543046357615</v>
      </c>
      <c r="O38" s="63">
        <v>0.59523809523809523</v>
      </c>
      <c r="P38" s="63">
        <v>0.42307692307692307</v>
      </c>
      <c r="Q38" s="63">
        <v>0.4</v>
      </c>
    </row>
    <row r="39" spans="1:17" x14ac:dyDescent="0.4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5.5555555555555552E-2</v>
      </c>
      <c r="M39" s="63">
        <v>0.28387096774193549</v>
      </c>
      <c r="N39" s="63">
        <v>0.17419354838709677</v>
      </c>
      <c r="O39" s="63">
        <v>0.59090909090909094</v>
      </c>
      <c r="P39" s="63">
        <v>0.40740740740740738</v>
      </c>
      <c r="Q39" s="63">
        <v>0.41379310344827586</v>
      </c>
    </row>
    <row r="40" spans="1:17" x14ac:dyDescent="0.4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5.4054054054054057E-2</v>
      </c>
      <c r="M40" s="63">
        <v>0.28253968253968254</v>
      </c>
      <c r="N40" s="63">
        <v>0.17142857142857143</v>
      </c>
      <c r="O40" s="63">
        <v>0.5955056179775281</v>
      </c>
      <c r="P40" s="63">
        <v>0.40740740740740738</v>
      </c>
      <c r="Q40" s="63">
        <v>0.40909090909090912</v>
      </c>
    </row>
    <row r="41" spans="1:17" x14ac:dyDescent="0.4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5.2631578947368418E-2</v>
      </c>
      <c r="M41" s="63">
        <v>0.28963414634146339</v>
      </c>
      <c r="N41" s="63">
        <v>0.1676829268292683</v>
      </c>
      <c r="O41" s="63">
        <v>0.58947368421052626</v>
      </c>
      <c r="P41" s="63">
        <v>0.4</v>
      </c>
      <c r="Q41" s="63">
        <v>0.41304347826086957</v>
      </c>
    </row>
    <row r="42" spans="1:17" x14ac:dyDescent="0.4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5.128205128205128E-2</v>
      </c>
      <c r="M42" s="63">
        <v>0.29289940828402367</v>
      </c>
      <c r="N42" s="63">
        <v>0.16568047337278108</v>
      </c>
      <c r="O42" s="63">
        <v>0.58585858585858586</v>
      </c>
      <c r="P42" s="63">
        <v>0.4107142857142857</v>
      </c>
      <c r="Q42" s="63">
        <v>0.42105263157894735</v>
      </c>
    </row>
    <row r="43" spans="1:17" x14ac:dyDescent="0.4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0.05</v>
      </c>
      <c r="M43" s="63">
        <v>0.29142857142857143</v>
      </c>
      <c r="N43" s="63">
        <v>0.16857142857142857</v>
      </c>
      <c r="O43" s="63">
        <v>0.59803921568627449</v>
      </c>
      <c r="P43" s="63">
        <v>0.42372881355932202</v>
      </c>
      <c r="Q43" s="63">
        <v>0.42</v>
      </c>
    </row>
    <row r="44" spans="1:17" x14ac:dyDescent="0.4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4.878048780487805E-2</v>
      </c>
      <c r="M44" s="63">
        <v>0.29329608938547486</v>
      </c>
      <c r="N44" s="63">
        <v>0.16480446927374301</v>
      </c>
      <c r="O44" s="63">
        <v>0.6</v>
      </c>
      <c r="P44" s="63">
        <v>0.42372881355932202</v>
      </c>
      <c r="Q44" s="63">
        <v>0.42156862745098039</v>
      </c>
    </row>
    <row r="45" spans="1:17" x14ac:dyDescent="0.4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4.7619047619047616E-2</v>
      </c>
      <c r="M45" s="63">
        <v>0.29234972677595628</v>
      </c>
      <c r="N45" s="63">
        <v>0.16939890710382513</v>
      </c>
      <c r="O45" s="63">
        <v>0.60747663551401865</v>
      </c>
      <c r="P45" s="63">
        <v>0.40322580645161288</v>
      </c>
      <c r="Q45" s="63">
        <v>0.43269230769230771</v>
      </c>
    </row>
    <row r="46" spans="1:17" x14ac:dyDescent="0.4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4.6511627906976744E-2</v>
      </c>
      <c r="M46" s="63">
        <v>0.28799999999999998</v>
      </c>
      <c r="N46" s="63">
        <v>0.17599999999999999</v>
      </c>
      <c r="O46" s="63">
        <v>0.60185185185185186</v>
      </c>
      <c r="P46" s="63">
        <v>0.39393939393939392</v>
      </c>
      <c r="Q46" s="63">
        <v>0.43809523809523809</v>
      </c>
    </row>
    <row r="47" spans="1:17" x14ac:dyDescent="0.4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4.5454545454545456E-2</v>
      </c>
      <c r="M47" s="63">
        <v>0.28720626631853785</v>
      </c>
      <c r="N47" s="63">
        <v>0.18015665796344649</v>
      </c>
      <c r="O47" s="63">
        <v>0.59090909090909094</v>
      </c>
      <c r="P47" s="63">
        <v>0.39130434782608697</v>
      </c>
      <c r="Q47" s="63">
        <v>0.43396226415094341</v>
      </c>
    </row>
    <row r="48" spans="1:17" x14ac:dyDescent="0.4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4.4444444444444446E-2</v>
      </c>
      <c r="M48" s="63">
        <v>0.2879177377892031</v>
      </c>
      <c r="N48" s="63">
        <v>0.18508997429305912</v>
      </c>
      <c r="O48" s="63">
        <v>0.5892857142857143</v>
      </c>
      <c r="P48" s="63">
        <v>0.3888888888888889</v>
      </c>
      <c r="Q48" s="63">
        <v>0.42592592592592593</v>
      </c>
    </row>
    <row r="49" spans="1:17" x14ac:dyDescent="0.4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4.3478260869565216E-2</v>
      </c>
      <c r="M49" s="63">
        <v>0.28607594936708863</v>
      </c>
      <c r="N49" s="63">
        <v>0.18734177215189873</v>
      </c>
      <c r="O49" s="63">
        <v>0.59292035398230092</v>
      </c>
      <c r="P49" s="63">
        <v>0.39189189189189189</v>
      </c>
      <c r="Q49" s="63">
        <v>0.42727272727272725</v>
      </c>
    </row>
    <row r="50" spans="1:17" x14ac:dyDescent="0.4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4.2553191489361701E-2</v>
      </c>
      <c r="M50" s="63">
        <v>0.28678304239401498</v>
      </c>
      <c r="N50" s="63">
        <v>0.18703241895261846</v>
      </c>
      <c r="O50" s="63">
        <v>0.6</v>
      </c>
      <c r="P50" s="63">
        <v>0.4</v>
      </c>
      <c r="Q50" s="63">
        <v>0.4247787610619469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44D86-A0A3-49D9-8E5A-A9968A83A848}">
  <sheetPr codeName="Sheet12"/>
  <dimension ref="A1:Q7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</v>
      </c>
      <c r="M4" s="63">
        <v>0.4</v>
      </c>
      <c r="N4" s="63">
        <v>0.3</v>
      </c>
      <c r="O4" s="63">
        <v>0.25</v>
      </c>
      <c r="P4" s="63">
        <v>0.33333333333333331</v>
      </c>
      <c r="Q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</v>
      </c>
      <c r="M5" s="63">
        <v>0.47368421052631576</v>
      </c>
      <c r="N5" s="63">
        <v>0.21052631578947367</v>
      </c>
      <c r="O5" s="63">
        <v>0.44444444444444442</v>
      </c>
      <c r="P5" s="63">
        <v>0.25</v>
      </c>
      <c r="Q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</v>
      </c>
      <c r="M6" s="63">
        <v>0.34615384615384615</v>
      </c>
      <c r="N6" s="63">
        <v>0.15384615384615385</v>
      </c>
      <c r="O6" s="63">
        <v>0.44444444444444442</v>
      </c>
      <c r="P6" s="63">
        <v>0.25</v>
      </c>
      <c r="Q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</v>
      </c>
      <c r="M7" s="63">
        <v>0.35294117647058826</v>
      </c>
      <c r="N7" s="63">
        <v>0.17647058823529413</v>
      </c>
      <c r="O7" s="63">
        <v>0.58333333333333337</v>
      </c>
      <c r="P7" s="63">
        <v>0.33333333333333331</v>
      </c>
      <c r="Q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</v>
      </c>
      <c r="M8" s="63">
        <v>0.31707317073170732</v>
      </c>
      <c r="N8" s="63">
        <v>0.1951219512195122</v>
      </c>
      <c r="O8" s="63">
        <v>0.61538461538461542</v>
      </c>
      <c r="P8" s="63">
        <v>0.375</v>
      </c>
      <c r="Q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</v>
      </c>
      <c r="M9" s="63">
        <v>0.26</v>
      </c>
      <c r="N9" s="63">
        <v>0.22</v>
      </c>
      <c r="O9" s="63">
        <v>0.61538461538461542</v>
      </c>
      <c r="P9" s="63">
        <v>0.54545454545454541</v>
      </c>
      <c r="Q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</v>
      </c>
      <c r="M10" s="63">
        <v>0.25</v>
      </c>
      <c r="N10" s="63">
        <v>0.21875</v>
      </c>
      <c r="O10" s="63">
        <v>0.625</v>
      </c>
      <c r="P10" s="63">
        <v>0.42857142857142855</v>
      </c>
      <c r="Q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</v>
      </c>
      <c r="M11" s="63">
        <v>0.24</v>
      </c>
      <c r="N11" s="63">
        <v>0.22666666666666666</v>
      </c>
      <c r="O11" s="63">
        <v>0.61111111111111116</v>
      </c>
      <c r="P11" s="63">
        <v>0.47058823529411764</v>
      </c>
      <c r="Q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</v>
      </c>
      <c r="M12" s="63">
        <v>0.23529411764705882</v>
      </c>
      <c r="N12" s="63">
        <v>0.23529411764705882</v>
      </c>
      <c r="O12" s="63">
        <v>0.55000000000000004</v>
      </c>
      <c r="P12" s="63">
        <v>0.45</v>
      </c>
      <c r="Q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</v>
      </c>
      <c r="M13" s="63">
        <v>0.24468085106382978</v>
      </c>
      <c r="N13" s="63">
        <v>0.25531914893617019</v>
      </c>
      <c r="O13" s="63">
        <v>0.56521739130434778</v>
      </c>
      <c r="P13" s="63">
        <v>0.41666666666666669</v>
      </c>
      <c r="Q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</v>
      </c>
      <c r="M14" s="63">
        <v>0.25242718446601942</v>
      </c>
      <c r="N14" s="63">
        <v>0.25242718446601942</v>
      </c>
      <c r="O14" s="63">
        <v>0.53846153846153844</v>
      </c>
      <c r="P14" s="63">
        <v>0.38461538461538464</v>
      </c>
      <c r="Q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</v>
      </c>
      <c r="M15" s="63">
        <v>0.25663716814159293</v>
      </c>
      <c r="N15" s="63">
        <v>0.24778761061946902</v>
      </c>
      <c r="O15" s="63">
        <v>0.51724137931034486</v>
      </c>
      <c r="P15" s="63">
        <v>0.39285714285714285</v>
      </c>
      <c r="Q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</v>
      </c>
      <c r="M16" s="63">
        <v>0.24793388429752067</v>
      </c>
      <c r="N16" s="63">
        <v>0.23966942148760331</v>
      </c>
      <c r="O16" s="63">
        <v>0.53333333333333333</v>
      </c>
      <c r="P16" s="63">
        <v>0.41379310344827586</v>
      </c>
      <c r="Q16" s="63">
        <v>0.33333333333333331</v>
      </c>
    </row>
    <row r="17" spans="1:17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</v>
      </c>
      <c r="M17" s="63">
        <v>0.24427480916030533</v>
      </c>
      <c r="N17" s="63">
        <v>0.24427480916030533</v>
      </c>
      <c r="O17" s="63">
        <v>0.5</v>
      </c>
      <c r="P17" s="63">
        <v>0.40625</v>
      </c>
      <c r="Q17" s="63">
        <v>0.35135135135135137</v>
      </c>
    </row>
    <row r="18" spans="1:17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</v>
      </c>
      <c r="M18" s="63">
        <v>0.23571428571428571</v>
      </c>
      <c r="N18" s="63">
        <v>0.25</v>
      </c>
      <c r="O18" s="63">
        <v>0.51515151515151514</v>
      </c>
      <c r="P18" s="63">
        <v>0.42857142857142855</v>
      </c>
      <c r="Q18" s="63">
        <v>0.35</v>
      </c>
    </row>
    <row r="19" spans="1:17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</v>
      </c>
      <c r="M19" s="63">
        <v>0.22818791946308725</v>
      </c>
      <c r="N19" s="63">
        <v>0.25503355704697989</v>
      </c>
      <c r="O19" s="63">
        <v>0.5</v>
      </c>
      <c r="P19" s="63">
        <v>0.42105263157894735</v>
      </c>
      <c r="Q19" s="63">
        <v>0.34146341463414637</v>
      </c>
    </row>
    <row r="20" spans="1:17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</v>
      </c>
      <c r="M20" s="63">
        <v>0.21249999999999999</v>
      </c>
      <c r="N20" s="63">
        <v>0.25624999999999998</v>
      </c>
      <c r="O20" s="63">
        <v>0.5</v>
      </c>
      <c r="P20" s="63">
        <v>0.43902439024390244</v>
      </c>
      <c r="Q20" s="63">
        <v>0.31111111111111112</v>
      </c>
    </row>
    <row r="21" spans="1:17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5.5555555555555552E-2</v>
      </c>
      <c r="M21" s="63">
        <v>0.2073170731707317</v>
      </c>
      <c r="N21" s="63">
        <v>0.27439024390243905</v>
      </c>
      <c r="O21" s="63">
        <v>0.5</v>
      </c>
      <c r="P21" s="63">
        <v>0.48888888888888887</v>
      </c>
      <c r="Q21" s="63">
        <v>0.30612244897959184</v>
      </c>
    </row>
    <row r="22" spans="1:17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5.2631578947368418E-2</v>
      </c>
      <c r="M22" s="63">
        <v>0.20689655172413793</v>
      </c>
      <c r="N22" s="63">
        <v>0.27586206896551724</v>
      </c>
      <c r="O22" s="63">
        <v>0.5</v>
      </c>
      <c r="P22" s="63">
        <v>0.47916666666666669</v>
      </c>
      <c r="Q22" s="63">
        <v>0.29411764705882354</v>
      </c>
    </row>
    <row r="23" spans="1:17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0.1</v>
      </c>
      <c r="M23" s="63">
        <v>0.20765027322404372</v>
      </c>
      <c r="N23" s="63">
        <v>0.27868852459016391</v>
      </c>
      <c r="O23" s="63">
        <v>0.52631578947368418</v>
      </c>
      <c r="P23" s="63">
        <v>0.49019607843137253</v>
      </c>
      <c r="Q23" s="63">
        <v>0.2857142857142857</v>
      </c>
    </row>
    <row r="24" spans="1:17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0.14285714285714285</v>
      </c>
      <c r="M24" s="63">
        <v>0.20103092783505155</v>
      </c>
      <c r="N24" s="63">
        <v>0.29381443298969073</v>
      </c>
      <c r="O24" s="63">
        <v>0.51282051282051277</v>
      </c>
      <c r="P24" s="63">
        <v>0.47368421052631576</v>
      </c>
      <c r="Q24" s="63">
        <v>0.28333333333333333</v>
      </c>
    </row>
    <row r="25" spans="1:17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0.18181818181818182</v>
      </c>
      <c r="M25" s="63">
        <v>0.1951219512195122</v>
      </c>
      <c r="N25" s="63">
        <v>0.3073170731707317</v>
      </c>
      <c r="O25" s="63">
        <v>0.5</v>
      </c>
      <c r="P25" s="63">
        <v>0.46031746031746029</v>
      </c>
      <c r="Q25" s="63">
        <v>0.28125</v>
      </c>
    </row>
    <row r="26" spans="1:17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0.17391304347826086</v>
      </c>
      <c r="M26" s="63">
        <v>0.19158878504672897</v>
      </c>
      <c r="N26" s="63">
        <v>0.29906542056074764</v>
      </c>
      <c r="O26" s="63">
        <v>0.51219512195121952</v>
      </c>
      <c r="P26" s="63">
        <v>0.453125</v>
      </c>
      <c r="Q26" s="63">
        <v>0.27692307692307694</v>
      </c>
    </row>
    <row r="27" spans="1:17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0.16666666666666666</v>
      </c>
      <c r="M27" s="63">
        <v>0.19069767441860466</v>
      </c>
      <c r="N27" s="63">
        <v>0.29767441860465116</v>
      </c>
      <c r="O27" s="63">
        <v>0.51219512195121952</v>
      </c>
      <c r="P27" s="63">
        <v>0.453125</v>
      </c>
      <c r="Q27" s="63">
        <v>0.27692307692307694</v>
      </c>
    </row>
    <row r="28" spans="1:17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0.16</v>
      </c>
      <c r="M28" s="63">
        <v>0.19369369369369369</v>
      </c>
      <c r="N28" s="63">
        <v>0.29729729729729731</v>
      </c>
      <c r="O28" s="63">
        <v>0.53488372093023251</v>
      </c>
      <c r="P28" s="63">
        <v>0.45454545454545453</v>
      </c>
      <c r="Q28" s="63">
        <v>0.29411764705882354</v>
      </c>
    </row>
    <row r="29" spans="1:17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0.15384615384615385</v>
      </c>
      <c r="M29" s="63">
        <v>0.19130434782608696</v>
      </c>
      <c r="N29" s="63">
        <v>0.29565217391304349</v>
      </c>
      <c r="O29" s="63">
        <v>0.54545454545454541</v>
      </c>
      <c r="P29" s="63">
        <v>0.44117647058823528</v>
      </c>
      <c r="Q29" s="63">
        <v>0.28169014084507044</v>
      </c>
    </row>
    <row r="30" spans="1:17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0.14814814814814814</v>
      </c>
      <c r="M30" s="63">
        <v>0.189873417721519</v>
      </c>
      <c r="N30" s="63">
        <v>0.29535864978902954</v>
      </c>
      <c r="O30" s="63">
        <v>0.55555555555555558</v>
      </c>
      <c r="P30" s="63">
        <v>0.42857142857142855</v>
      </c>
      <c r="Q30" s="63">
        <v>0.29166666666666669</v>
      </c>
    </row>
    <row r="31" spans="1:17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0.14285714285714285</v>
      </c>
      <c r="M31" s="63">
        <v>0.19591836734693877</v>
      </c>
      <c r="N31" s="63">
        <v>0.29387755102040819</v>
      </c>
      <c r="O31" s="63">
        <v>0.5625</v>
      </c>
      <c r="P31" s="63">
        <v>0.44444444444444442</v>
      </c>
      <c r="Q31" s="63">
        <v>0.30263157894736842</v>
      </c>
    </row>
    <row r="32" spans="1:17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0.17241379310344829</v>
      </c>
      <c r="M32" s="63">
        <v>0.19920318725099601</v>
      </c>
      <c r="N32" s="63">
        <v>0.29482071713147412</v>
      </c>
      <c r="O32" s="63">
        <v>0.57999999999999996</v>
      </c>
      <c r="P32" s="63">
        <v>0.44594594594594594</v>
      </c>
      <c r="Q32" s="63">
        <v>0.32500000000000001</v>
      </c>
    </row>
    <row r="33" spans="1:17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0.16666666666666666</v>
      </c>
      <c r="M33" s="63">
        <v>0.2</v>
      </c>
      <c r="N33" s="63">
        <v>0.30384615384615382</v>
      </c>
      <c r="O33" s="63">
        <v>0.57692307692307687</v>
      </c>
      <c r="P33" s="63">
        <v>0.45569620253164556</v>
      </c>
      <c r="Q33" s="63">
        <v>0.33333333333333331</v>
      </c>
    </row>
    <row r="34" spans="1:17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0.16129032258064516</v>
      </c>
      <c r="M34" s="63">
        <v>0.21033210332103322</v>
      </c>
      <c r="N34" s="63">
        <v>0.30627306273062732</v>
      </c>
      <c r="O34" s="63">
        <v>0.59649122807017541</v>
      </c>
      <c r="P34" s="63">
        <v>0.45783132530120479</v>
      </c>
      <c r="Q34" s="63">
        <v>0.34444444444444444</v>
      </c>
    </row>
    <row r="35" spans="1:17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0.1875</v>
      </c>
      <c r="M35" s="63">
        <v>0.21014492753623187</v>
      </c>
      <c r="N35" s="63">
        <v>0.30434782608695654</v>
      </c>
      <c r="O35" s="63">
        <v>0.58620689655172409</v>
      </c>
      <c r="P35" s="63">
        <v>0.4642857142857143</v>
      </c>
      <c r="Q35" s="63">
        <v>0.34782608695652173</v>
      </c>
    </row>
    <row r="36" spans="1:17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0.18181818181818182</v>
      </c>
      <c r="M36" s="63">
        <v>0.21527777777777779</v>
      </c>
      <c r="N36" s="63">
        <v>0.30902777777777779</v>
      </c>
      <c r="O36" s="63">
        <v>0.58064516129032262</v>
      </c>
      <c r="P36" s="63">
        <v>0.449438202247191</v>
      </c>
      <c r="Q36" s="63">
        <v>0.35789473684210527</v>
      </c>
    </row>
    <row r="37" spans="1:17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0.17647058823529413</v>
      </c>
      <c r="M37" s="63">
        <v>0.21333333333333335</v>
      </c>
      <c r="N37" s="63">
        <v>0.32333333333333331</v>
      </c>
      <c r="O37" s="63">
        <v>0.578125</v>
      </c>
      <c r="P37" s="63">
        <v>0.44329896907216493</v>
      </c>
      <c r="Q37" s="63">
        <v>0.37</v>
      </c>
    </row>
    <row r="38" spans="1:17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0.17142857142857143</v>
      </c>
      <c r="M38" s="63">
        <v>0.21612903225806451</v>
      </c>
      <c r="N38" s="63">
        <v>0.32258064516129031</v>
      </c>
      <c r="O38" s="63">
        <v>0.56716417910447758</v>
      </c>
      <c r="P38" s="63">
        <v>0.43</v>
      </c>
      <c r="Q38" s="63">
        <v>0.36633663366336633</v>
      </c>
    </row>
    <row r="39" spans="1:17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0.16666666666666666</v>
      </c>
      <c r="M39" s="63">
        <v>0.21698113207547171</v>
      </c>
      <c r="N39" s="63">
        <v>0.330188679245283</v>
      </c>
      <c r="O39" s="63">
        <v>0.56521739130434778</v>
      </c>
      <c r="P39" s="63">
        <v>0.40952380952380951</v>
      </c>
      <c r="Q39" s="63">
        <v>0.36274509803921567</v>
      </c>
    </row>
    <row r="40" spans="1:17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0.16216216216216217</v>
      </c>
      <c r="M40" s="63">
        <v>0.21100917431192662</v>
      </c>
      <c r="N40" s="63">
        <v>0.3363914373088685</v>
      </c>
      <c r="O40" s="63">
        <v>0.56521739130434778</v>
      </c>
      <c r="P40" s="63">
        <v>0.40909090909090912</v>
      </c>
      <c r="Q40" s="63">
        <v>0.36538461538461536</v>
      </c>
    </row>
    <row r="41" spans="1:17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0.15789473684210525</v>
      </c>
      <c r="M41" s="63">
        <v>0.21257485029940121</v>
      </c>
      <c r="N41" s="63">
        <v>0.33532934131736525</v>
      </c>
      <c r="O41" s="63">
        <v>0.56338028169014087</v>
      </c>
      <c r="P41" s="63">
        <v>0.4107142857142857</v>
      </c>
      <c r="Q41" s="63">
        <v>0.36792452830188677</v>
      </c>
    </row>
    <row r="42" spans="1:17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0.15384615384615385</v>
      </c>
      <c r="M42" s="63">
        <v>0.22</v>
      </c>
      <c r="N42" s="63">
        <v>0.3342857142857143</v>
      </c>
      <c r="O42" s="63">
        <v>0.55844155844155841</v>
      </c>
      <c r="P42" s="63">
        <v>0.40170940170940173</v>
      </c>
      <c r="Q42" s="63">
        <v>0.36363636363636365</v>
      </c>
    </row>
    <row r="43" spans="1:17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0.15</v>
      </c>
      <c r="M43" s="63">
        <v>0.21629213483146068</v>
      </c>
      <c r="N43" s="63">
        <v>0.3342696629213483</v>
      </c>
      <c r="O43" s="63">
        <v>0.55844155844155841</v>
      </c>
      <c r="P43" s="63">
        <v>0.3949579831932773</v>
      </c>
      <c r="Q43" s="63">
        <v>0.36036036036036034</v>
      </c>
    </row>
    <row r="44" spans="1:17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0.14634146341463414</v>
      </c>
      <c r="M44" s="63">
        <v>0.21487603305785125</v>
      </c>
      <c r="N44" s="63">
        <v>0.33608815426997246</v>
      </c>
      <c r="O44" s="63">
        <v>0.5641025641025641</v>
      </c>
      <c r="P44" s="63">
        <v>0.39344262295081966</v>
      </c>
      <c r="Q44" s="63">
        <v>0.36283185840707965</v>
      </c>
    </row>
    <row r="45" spans="1:17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0.16666666666666666</v>
      </c>
      <c r="M45" s="63">
        <v>0.22192513368983957</v>
      </c>
      <c r="N45" s="63">
        <v>0.33155080213903743</v>
      </c>
      <c r="O45" s="63">
        <v>0.57831325301204817</v>
      </c>
      <c r="P45" s="63">
        <v>0.40322580645161288</v>
      </c>
      <c r="Q45" s="63">
        <v>0.37815126050420167</v>
      </c>
    </row>
    <row r="46" spans="1:17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0.16279069767441862</v>
      </c>
      <c r="M46" s="63">
        <v>0.22894736842105262</v>
      </c>
      <c r="N46" s="63">
        <v>0.32894736842105265</v>
      </c>
      <c r="O46" s="63">
        <v>0.57471264367816088</v>
      </c>
      <c r="P46" s="63">
        <v>0.4</v>
      </c>
      <c r="Q46" s="63">
        <v>0.39344262295081966</v>
      </c>
    </row>
    <row r="47" spans="1:17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0.15909090909090909</v>
      </c>
      <c r="M47" s="63">
        <v>0.23195876288659795</v>
      </c>
      <c r="N47" s="63">
        <v>0.32731958762886598</v>
      </c>
      <c r="O47" s="63">
        <v>0.57777777777777772</v>
      </c>
      <c r="P47" s="63">
        <v>0.40157480314960631</v>
      </c>
      <c r="Q47" s="63">
        <v>0.38095238095238093</v>
      </c>
    </row>
    <row r="48" spans="1:17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0.15555555555555556</v>
      </c>
      <c r="M48" s="63">
        <v>0.23291139240506328</v>
      </c>
      <c r="N48" s="63">
        <v>0.32658227848101268</v>
      </c>
      <c r="O48" s="63">
        <v>0.56521739130434778</v>
      </c>
      <c r="P48" s="63">
        <v>0.40310077519379844</v>
      </c>
      <c r="Q48" s="63">
        <v>0.37795275590551181</v>
      </c>
    </row>
    <row r="49" spans="1:17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0.15217391304347827</v>
      </c>
      <c r="M49" s="63">
        <v>0.23325062034739455</v>
      </c>
      <c r="N49" s="63">
        <v>0.32754342431761785</v>
      </c>
      <c r="O49" s="63">
        <v>0.55319148936170215</v>
      </c>
      <c r="P49" s="63">
        <v>0.40151515151515149</v>
      </c>
      <c r="Q49" s="63">
        <v>0.375</v>
      </c>
    </row>
    <row r="50" spans="1:17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0.1702127659574468</v>
      </c>
      <c r="M50" s="63">
        <v>0.23774509803921567</v>
      </c>
      <c r="N50" s="63">
        <v>0.3235294117647059</v>
      </c>
      <c r="O50" s="63">
        <v>0.55670103092783507</v>
      </c>
      <c r="P50" s="63">
        <v>0.40151515151515149</v>
      </c>
      <c r="Q50" s="63">
        <v>0.37878787878787878</v>
      </c>
    </row>
    <row r="51" spans="1:17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0.16666666666666666</v>
      </c>
      <c r="M51" s="63">
        <v>0.23798076923076922</v>
      </c>
      <c r="N51" s="63">
        <v>0.31971153846153844</v>
      </c>
      <c r="O51" s="63">
        <v>0.55555555555555558</v>
      </c>
      <c r="P51" s="63">
        <v>0.40601503759398494</v>
      </c>
      <c r="Q51" s="63">
        <v>0.37777777777777777</v>
      </c>
    </row>
    <row r="52" spans="1:17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0.16326530612244897</v>
      </c>
      <c r="M52" s="63">
        <v>0.23571428571428571</v>
      </c>
      <c r="N52" s="63">
        <v>0.31904761904761902</v>
      </c>
      <c r="O52" s="63">
        <v>0.55555555555555558</v>
      </c>
      <c r="P52" s="63">
        <v>0.40298507462686567</v>
      </c>
      <c r="Q52" s="63">
        <v>0.37777777777777777</v>
      </c>
    </row>
    <row r="53" spans="1:17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0.16</v>
      </c>
      <c r="M53" s="63">
        <v>0.23543123543123542</v>
      </c>
      <c r="N53" s="63">
        <v>0.32167832167832167</v>
      </c>
      <c r="O53" s="63">
        <v>0.5643564356435643</v>
      </c>
      <c r="P53" s="63">
        <v>0.40579710144927539</v>
      </c>
      <c r="Q53" s="63">
        <v>0.38848920863309355</v>
      </c>
    </row>
    <row r="54" spans="1:17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0.15686274509803921</v>
      </c>
      <c r="M54" s="63">
        <v>0.23744292237442921</v>
      </c>
      <c r="N54" s="63">
        <v>0.32420091324200911</v>
      </c>
      <c r="O54" s="63">
        <v>0.56730769230769229</v>
      </c>
      <c r="P54" s="63">
        <v>0.40140845070422537</v>
      </c>
      <c r="Q54" s="63">
        <v>0.38461538461538464</v>
      </c>
    </row>
    <row r="55" spans="1:17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0.15384615384615385</v>
      </c>
      <c r="M55" s="63">
        <v>0.24161073825503357</v>
      </c>
      <c r="N55" s="63">
        <v>0.32214765100671139</v>
      </c>
      <c r="O55" s="63">
        <v>0.56481481481481477</v>
      </c>
      <c r="P55" s="63">
        <v>0.40972222222222221</v>
      </c>
      <c r="Q55" s="63">
        <v>0.37414965986394561</v>
      </c>
    </row>
    <row r="56" spans="1:17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0.15094339622641509</v>
      </c>
      <c r="M56" s="63">
        <v>0.24449339207048459</v>
      </c>
      <c r="N56" s="63">
        <v>0.32158590308370044</v>
      </c>
      <c r="O56" s="63">
        <v>0.56756756756756754</v>
      </c>
      <c r="P56" s="63">
        <v>0.41095890410958902</v>
      </c>
      <c r="Q56" s="63">
        <v>0.38</v>
      </c>
    </row>
    <row r="57" spans="1:17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0.14814814814814814</v>
      </c>
      <c r="M57" s="63">
        <v>0.23922413793103448</v>
      </c>
      <c r="N57" s="63">
        <v>0.32112068965517243</v>
      </c>
      <c r="O57" s="63">
        <v>0.56756756756756754</v>
      </c>
      <c r="P57" s="63">
        <v>0.41610738255033558</v>
      </c>
      <c r="Q57" s="63">
        <v>0.37662337662337664</v>
      </c>
    </row>
    <row r="58" spans="1:17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0.14545454545454545</v>
      </c>
      <c r="M58" s="63">
        <v>0.23880597014925373</v>
      </c>
      <c r="N58" s="63">
        <v>0.31982942430703626</v>
      </c>
      <c r="O58" s="63">
        <v>0.5625</v>
      </c>
      <c r="P58" s="63">
        <v>0.41333333333333333</v>
      </c>
      <c r="Q58" s="63">
        <v>0.37662337662337664</v>
      </c>
    </row>
    <row r="59" spans="1:17" x14ac:dyDescent="0.4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0.14285714285714285</v>
      </c>
      <c r="M59" s="63">
        <v>0.23590814196242171</v>
      </c>
      <c r="N59" s="63">
        <v>0.32150313152400833</v>
      </c>
      <c r="O59" s="63">
        <v>0.5663716814159292</v>
      </c>
      <c r="P59" s="63">
        <v>0.40909090909090912</v>
      </c>
      <c r="Q59" s="63">
        <v>0.36942675159235666</v>
      </c>
    </row>
    <row r="60" spans="1:17" x14ac:dyDescent="0.4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0.14035087719298245</v>
      </c>
      <c r="M60" s="63">
        <v>0.23456790123456789</v>
      </c>
      <c r="N60" s="63">
        <v>0.31893004115226337</v>
      </c>
      <c r="O60" s="63">
        <v>0.57017543859649122</v>
      </c>
      <c r="P60" s="63">
        <v>0.41290322580645161</v>
      </c>
      <c r="Q60" s="63">
        <v>0.37106918238993708</v>
      </c>
    </row>
    <row r="61" spans="1:17" x14ac:dyDescent="0.4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0.13793103448275862</v>
      </c>
      <c r="M61" s="63">
        <v>0.23232323232323232</v>
      </c>
      <c r="N61" s="63">
        <v>0.31919191919191919</v>
      </c>
      <c r="O61" s="63">
        <v>0.56521739130434778</v>
      </c>
      <c r="P61" s="63">
        <v>0.4050632911392405</v>
      </c>
      <c r="Q61" s="63">
        <v>0.36875000000000002</v>
      </c>
    </row>
    <row r="62" spans="1:17" x14ac:dyDescent="0.4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0.13559322033898305</v>
      </c>
      <c r="M62" s="63">
        <v>0.23061630218687873</v>
      </c>
      <c r="N62" s="63">
        <v>0.31610337972166996</v>
      </c>
      <c r="O62" s="63">
        <v>0.56896551724137934</v>
      </c>
      <c r="P62" s="63">
        <v>0.40251572327044027</v>
      </c>
      <c r="Q62" s="63">
        <v>0.36645962732919257</v>
      </c>
    </row>
    <row r="63" spans="1:17" x14ac:dyDescent="0.4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0.13333333333333333</v>
      </c>
      <c r="M63" s="63">
        <v>0.23228346456692914</v>
      </c>
      <c r="N63" s="63">
        <v>0.31496062992125984</v>
      </c>
      <c r="O63" s="63">
        <v>0.55932203389830504</v>
      </c>
      <c r="P63" s="63">
        <v>0.4</v>
      </c>
      <c r="Q63" s="63">
        <v>0.36645962732919257</v>
      </c>
    </row>
    <row r="64" spans="1:17" x14ac:dyDescent="0.4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0.13114754098360656</v>
      </c>
      <c r="M64" s="63">
        <v>0.2335907335907336</v>
      </c>
      <c r="N64" s="63">
        <v>0.31853281853281851</v>
      </c>
      <c r="O64" s="63">
        <v>0.55371900826446285</v>
      </c>
      <c r="P64" s="63">
        <v>0.40606060606060607</v>
      </c>
      <c r="Q64" s="63">
        <v>0.36969696969696969</v>
      </c>
    </row>
    <row r="65" spans="1:17" x14ac:dyDescent="0.4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0.12903225806451613</v>
      </c>
      <c r="M65" s="63">
        <v>0.23709369024856597</v>
      </c>
      <c r="N65" s="63">
        <v>0.31739961759082219</v>
      </c>
      <c r="O65" s="63">
        <v>0.54032258064516125</v>
      </c>
      <c r="P65" s="63">
        <v>0.40361445783132532</v>
      </c>
      <c r="Q65" s="63">
        <v>0.36969696969696969</v>
      </c>
    </row>
    <row r="66" spans="1:17" x14ac:dyDescent="0.4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0.12698412698412698</v>
      </c>
      <c r="M66" s="63">
        <v>0.2342007434944238</v>
      </c>
      <c r="N66" s="63">
        <v>0.31412639405204462</v>
      </c>
      <c r="O66" s="63">
        <v>0.54761904761904767</v>
      </c>
      <c r="P66" s="63">
        <v>0.40236686390532544</v>
      </c>
      <c r="Q66" s="63">
        <v>0.37790697674418605</v>
      </c>
    </row>
    <row r="67" spans="1:17" x14ac:dyDescent="0.4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0.125</v>
      </c>
      <c r="M67" s="63">
        <v>0.23302752293577983</v>
      </c>
      <c r="N67" s="63">
        <v>0.31559633027522938</v>
      </c>
      <c r="O67" s="63">
        <v>0.55118110236220474</v>
      </c>
      <c r="P67" s="63">
        <v>0.39534883720930231</v>
      </c>
      <c r="Q67" s="63">
        <v>0.37931034482758619</v>
      </c>
    </row>
    <row r="68" spans="1:17" x14ac:dyDescent="0.4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0.12307692307692308</v>
      </c>
      <c r="M68" s="63">
        <v>0.22816399286987521</v>
      </c>
      <c r="N68" s="63">
        <v>0.3172905525846702</v>
      </c>
      <c r="O68" s="63">
        <v>0.5546875</v>
      </c>
      <c r="P68" s="63">
        <v>0.39325842696629215</v>
      </c>
      <c r="Q68" s="63">
        <v>0.37988826815642457</v>
      </c>
    </row>
    <row r="69" spans="1:17" x14ac:dyDescent="0.4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0.12121212121212122</v>
      </c>
      <c r="M69" s="63">
        <v>0.2268760907504363</v>
      </c>
      <c r="N69" s="63">
        <v>0.32286212914485168</v>
      </c>
      <c r="O69" s="63">
        <v>0.55384615384615388</v>
      </c>
      <c r="P69" s="63">
        <v>0.39459459459459462</v>
      </c>
      <c r="Q69" s="63">
        <v>0.37704918032786883</v>
      </c>
    </row>
    <row r="70" spans="1:17" x14ac:dyDescent="0.4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0.11940298507462686</v>
      </c>
      <c r="M70" s="63">
        <v>0.22758620689655173</v>
      </c>
      <c r="N70" s="63">
        <v>0.32241379310344825</v>
      </c>
      <c r="O70" s="63">
        <v>0.55303030303030298</v>
      </c>
      <c r="P70" s="63">
        <v>0.39572192513368987</v>
      </c>
      <c r="Q70" s="63">
        <v>0.38378378378378381</v>
      </c>
    </row>
    <row r="71" spans="1:17" x14ac:dyDescent="0.4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0.11764705882352941</v>
      </c>
      <c r="M71" s="63">
        <v>0.22789115646258504</v>
      </c>
      <c r="N71" s="63">
        <v>0.32142857142857145</v>
      </c>
      <c r="O71" s="63">
        <v>0.55223880597014929</v>
      </c>
      <c r="P71" s="63">
        <v>0.3968253968253968</v>
      </c>
      <c r="Q71" s="63">
        <v>0.38297872340425532</v>
      </c>
    </row>
    <row r="72" spans="1:17" x14ac:dyDescent="0.4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0.11594202898550725</v>
      </c>
      <c r="M72" s="63">
        <v>0.22613065326633167</v>
      </c>
      <c r="N72" s="63">
        <v>0.32160804020100503</v>
      </c>
      <c r="O72" s="63">
        <v>0.54814814814814816</v>
      </c>
      <c r="P72" s="63">
        <v>0.40625</v>
      </c>
      <c r="Q72" s="63">
        <v>0.38341968911917096</v>
      </c>
    </row>
    <row r="73" spans="1:17" x14ac:dyDescent="0.4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0.11428571428571428</v>
      </c>
      <c r="M73" s="63">
        <v>0.22644628099173553</v>
      </c>
      <c r="N73" s="63">
        <v>0.31900826446280994</v>
      </c>
      <c r="O73" s="63">
        <v>0.55474452554744524</v>
      </c>
      <c r="P73" s="63">
        <v>0.40414507772020725</v>
      </c>
      <c r="Q73" s="63">
        <v>0.37755102040816324</v>
      </c>
    </row>
    <row r="74" spans="1:17" x14ac:dyDescent="0.4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0.11267605633802817</v>
      </c>
      <c r="M74" s="63">
        <v>0.22585924713584288</v>
      </c>
      <c r="N74" s="63">
        <v>0.31914893617021278</v>
      </c>
      <c r="O74" s="63">
        <v>0.55072463768115942</v>
      </c>
      <c r="P74" s="63">
        <v>0.4</v>
      </c>
      <c r="Q74" s="63">
        <v>0.37563451776649748</v>
      </c>
    </row>
    <row r="75" spans="1:17" x14ac:dyDescent="0.4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0.1111111111111111</v>
      </c>
      <c r="M75" s="63">
        <v>0.22528363047001621</v>
      </c>
      <c r="N75" s="63">
        <v>0.31604538087520262</v>
      </c>
      <c r="O75" s="63">
        <v>0.5539568345323741</v>
      </c>
      <c r="P75" s="63">
        <v>0.4</v>
      </c>
      <c r="Q75" s="63">
        <v>0.37878787878787878</v>
      </c>
    </row>
    <row r="76" spans="1:17" x14ac:dyDescent="0.4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0.1095890410958904</v>
      </c>
      <c r="M76" s="63">
        <v>0.22792937399678972</v>
      </c>
      <c r="N76" s="63">
        <v>0.3146067415730337</v>
      </c>
      <c r="O76" s="63">
        <v>0.54929577464788737</v>
      </c>
      <c r="P76" s="63">
        <v>0.39795918367346939</v>
      </c>
      <c r="Q76" s="63">
        <v>0.38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41E3B-8C72-46E0-A784-A59FBF9D4827}">
  <sheetPr codeName="Sheet10"/>
  <dimension ref="A1:Q7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1</v>
      </c>
      <c r="M4" s="63">
        <v>0.3</v>
      </c>
      <c r="N4" s="63">
        <v>0.1</v>
      </c>
      <c r="O4" s="63">
        <v>1</v>
      </c>
      <c r="P4" s="63">
        <v>0</v>
      </c>
      <c r="Q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0.5</v>
      </c>
      <c r="M5" s="63">
        <v>0.36842105263157893</v>
      </c>
      <c r="N5" s="63">
        <v>0.15789473684210525</v>
      </c>
      <c r="O5" s="63">
        <v>0.5714285714285714</v>
      </c>
      <c r="P5" s="63">
        <v>0</v>
      </c>
      <c r="Q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0.33333333333333331</v>
      </c>
      <c r="M6" s="63">
        <v>0.38461538461538464</v>
      </c>
      <c r="N6" s="63">
        <v>0.11538461538461539</v>
      </c>
      <c r="O6" s="63">
        <v>0.7</v>
      </c>
      <c r="P6" s="63">
        <v>0</v>
      </c>
      <c r="Q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0.25</v>
      </c>
      <c r="M7" s="63">
        <v>0.35135135135135137</v>
      </c>
      <c r="N7" s="63">
        <v>0.1891891891891892</v>
      </c>
      <c r="O7" s="63">
        <v>0.69230769230769229</v>
      </c>
      <c r="P7" s="63">
        <v>0.5714285714285714</v>
      </c>
      <c r="Q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0.2</v>
      </c>
      <c r="M8" s="63">
        <v>0.36363636363636365</v>
      </c>
      <c r="N8" s="63">
        <v>0.18181818181818182</v>
      </c>
      <c r="O8" s="63">
        <v>0.6875</v>
      </c>
      <c r="P8" s="63">
        <v>0.5</v>
      </c>
      <c r="Q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0.16666666666666666</v>
      </c>
      <c r="M9" s="63">
        <v>0.35849056603773582</v>
      </c>
      <c r="N9" s="63">
        <v>0.15094339622641509</v>
      </c>
      <c r="O9" s="63">
        <v>0.68421052631578949</v>
      </c>
      <c r="P9" s="63">
        <v>0.5</v>
      </c>
      <c r="Q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0.14285714285714285</v>
      </c>
      <c r="M10" s="63">
        <v>0.31343283582089554</v>
      </c>
      <c r="N10" s="63">
        <v>0.14925373134328357</v>
      </c>
      <c r="O10" s="63">
        <v>0.61904761904761907</v>
      </c>
      <c r="P10" s="63">
        <v>0.6</v>
      </c>
      <c r="Q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0.25</v>
      </c>
      <c r="M11" s="63">
        <v>0.26923076923076922</v>
      </c>
      <c r="N11" s="63">
        <v>0.20512820512820512</v>
      </c>
      <c r="O11" s="63">
        <v>0.61904761904761907</v>
      </c>
      <c r="P11" s="63">
        <v>0.5625</v>
      </c>
      <c r="Q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0.22222222222222221</v>
      </c>
      <c r="M12" s="63">
        <v>0.28409090909090912</v>
      </c>
      <c r="N12" s="63">
        <v>0.19318181818181818</v>
      </c>
      <c r="O12" s="63">
        <v>0.6</v>
      </c>
      <c r="P12" s="63">
        <v>0.58823529411764708</v>
      </c>
      <c r="Q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</v>
      </c>
      <c r="M13" s="63">
        <v>0.26804123711340205</v>
      </c>
      <c r="N13" s="63">
        <v>0.20618556701030927</v>
      </c>
      <c r="O13" s="63">
        <v>0.61538461538461542</v>
      </c>
      <c r="P13" s="63">
        <v>0.5</v>
      </c>
      <c r="Q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0.18181818181818182</v>
      </c>
      <c r="M14" s="63">
        <v>0.25471698113207547</v>
      </c>
      <c r="N14" s="63">
        <v>0.19811320754716982</v>
      </c>
      <c r="O14" s="63">
        <v>0.59259259259259256</v>
      </c>
      <c r="P14" s="63">
        <v>0.52380952380952384</v>
      </c>
      <c r="Q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0.16666666666666666</v>
      </c>
      <c r="M15" s="63">
        <v>0.2413793103448276</v>
      </c>
      <c r="N15" s="63">
        <v>0.20689655172413793</v>
      </c>
      <c r="O15" s="63">
        <v>0.6071428571428571</v>
      </c>
      <c r="P15" s="63">
        <v>0.5</v>
      </c>
      <c r="Q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0.15384615384615385</v>
      </c>
      <c r="M16" s="63">
        <v>0.27419354838709675</v>
      </c>
      <c r="N16" s="63">
        <v>0.20161290322580644</v>
      </c>
      <c r="O16" s="63">
        <v>0.58823529411764708</v>
      </c>
      <c r="P16" s="63">
        <v>0.48</v>
      </c>
      <c r="Q16" s="63">
        <v>0.45238095238095238</v>
      </c>
    </row>
    <row r="17" spans="1:17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0.21428571428571427</v>
      </c>
      <c r="M17" s="63">
        <v>0.26865671641791045</v>
      </c>
      <c r="N17" s="63">
        <v>0.20895522388059701</v>
      </c>
      <c r="O17" s="63">
        <v>0.58333333333333337</v>
      </c>
      <c r="P17" s="63">
        <v>0.5357142857142857</v>
      </c>
      <c r="Q17" s="63">
        <v>0.5</v>
      </c>
    </row>
    <row r="18" spans="1:17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</v>
      </c>
      <c r="M18" s="63">
        <v>0.27972027972027974</v>
      </c>
      <c r="N18" s="63">
        <v>0.20279720279720279</v>
      </c>
      <c r="O18" s="63">
        <v>0.57499999999999996</v>
      </c>
      <c r="P18" s="63">
        <v>0.55172413793103448</v>
      </c>
      <c r="Q18" s="63">
        <v>0.5</v>
      </c>
    </row>
    <row r="19" spans="1:17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0.1875</v>
      </c>
      <c r="M19" s="63">
        <v>0.27631578947368424</v>
      </c>
      <c r="N19" s="63">
        <v>0.21710526315789475</v>
      </c>
      <c r="O19" s="63">
        <v>0.5714285714285714</v>
      </c>
      <c r="P19" s="63">
        <v>0.60606060606060608</v>
      </c>
      <c r="Q19" s="63">
        <v>0.50877192982456143</v>
      </c>
    </row>
    <row r="20" spans="1:17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0.17647058823529413</v>
      </c>
      <c r="M20" s="63">
        <v>0.27607361963190186</v>
      </c>
      <c r="N20" s="63">
        <v>0.21472392638036811</v>
      </c>
      <c r="O20" s="63">
        <v>0.57777777777777772</v>
      </c>
      <c r="P20" s="63">
        <v>0.62857142857142856</v>
      </c>
      <c r="Q20" s="63">
        <v>0.47619047619047616</v>
      </c>
    </row>
    <row r="21" spans="1:17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0.16666666666666666</v>
      </c>
      <c r="M21" s="63">
        <v>0.27544910179640719</v>
      </c>
      <c r="N21" s="63">
        <v>0.20958083832335328</v>
      </c>
      <c r="O21" s="63">
        <v>0.58695652173913049</v>
      </c>
      <c r="P21" s="63">
        <v>0.62857142857142856</v>
      </c>
      <c r="Q21" s="63">
        <v>0.46875</v>
      </c>
    </row>
    <row r="22" spans="1:17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0.21052631578947367</v>
      </c>
      <c r="M22" s="63">
        <v>0.28813559322033899</v>
      </c>
      <c r="N22" s="63">
        <v>0.20903954802259886</v>
      </c>
      <c r="O22" s="63">
        <v>0.60784313725490191</v>
      </c>
      <c r="P22" s="63">
        <v>0.6216216216216216</v>
      </c>
      <c r="Q22" s="63">
        <v>0.46376811594202899</v>
      </c>
    </row>
    <row r="23" spans="1:17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</v>
      </c>
      <c r="M23" s="63">
        <v>0.27956989247311825</v>
      </c>
      <c r="N23" s="63">
        <v>0.22043010752688172</v>
      </c>
      <c r="O23" s="63">
        <v>0.59615384615384615</v>
      </c>
      <c r="P23" s="63">
        <v>0.58536585365853655</v>
      </c>
      <c r="Q23" s="63">
        <v>0.47142857142857142</v>
      </c>
    </row>
    <row r="24" spans="1:17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0.19047619047619047</v>
      </c>
      <c r="M24" s="63">
        <v>0.28125</v>
      </c>
      <c r="N24" s="63">
        <v>0.21354166666666666</v>
      </c>
      <c r="O24" s="63">
        <v>0.59259259259259256</v>
      </c>
      <c r="P24" s="63">
        <v>0.58536585365853655</v>
      </c>
      <c r="Q24" s="63">
        <v>0.47222222222222221</v>
      </c>
    </row>
    <row r="25" spans="1:17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0.18181818181818182</v>
      </c>
      <c r="M25" s="63">
        <v>0.28358208955223879</v>
      </c>
      <c r="N25" s="63">
        <v>0.22388059701492538</v>
      </c>
      <c r="O25" s="63">
        <v>0.61403508771929827</v>
      </c>
      <c r="P25" s="63">
        <v>0.6</v>
      </c>
      <c r="Q25" s="63">
        <v>0.46153846153846156</v>
      </c>
    </row>
    <row r="26" spans="1:17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0.17391304347826086</v>
      </c>
      <c r="M26" s="63">
        <v>0.28217821782178215</v>
      </c>
      <c r="N26" s="63">
        <v>0.22277227722772278</v>
      </c>
      <c r="O26" s="63">
        <v>0.61403508771929827</v>
      </c>
      <c r="P26" s="63">
        <v>0.6</v>
      </c>
      <c r="Q26" s="63">
        <v>0.46153846153846156</v>
      </c>
    </row>
    <row r="27" spans="1:17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0.16666666666666666</v>
      </c>
      <c r="M27" s="63">
        <v>0.28708133971291866</v>
      </c>
      <c r="N27" s="63">
        <v>0.22966507177033493</v>
      </c>
      <c r="O27" s="63">
        <v>0.6</v>
      </c>
      <c r="P27" s="63">
        <v>0.5625</v>
      </c>
      <c r="Q27" s="63">
        <v>0.46835443037974683</v>
      </c>
    </row>
    <row r="28" spans="1:17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0.16</v>
      </c>
      <c r="M28" s="63">
        <v>0.28110599078341014</v>
      </c>
      <c r="N28" s="63">
        <v>0.23502304147465439</v>
      </c>
      <c r="O28" s="63">
        <v>0.5901639344262295</v>
      </c>
      <c r="P28" s="63">
        <v>0.5490196078431373</v>
      </c>
      <c r="Q28" s="63">
        <v>0.46250000000000002</v>
      </c>
    </row>
    <row r="29" spans="1:17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0.15384615384615385</v>
      </c>
      <c r="M29" s="63">
        <v>0.28125</v>
      </c>
      <c r="N29" s="63">
        <v>0.24553571428571427</v>
      </c>
      <c r="O29" s="63">
        <v>0.60317460317460314</v>
      </c>
      <c r="P29" s="63">
        <v>0.52727272727272723</v>
      </c>
      <c r="Q29" s="63">
        <v>0.4642857142857143</v>
      </c>
    </row>
    <row r="30" spans="1:17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0.14814814814814814</v>
      </c>
      <c r="M30" s="63">
        <v>0.27659574468085107</v>
      </c>
      <c r="N30" s="63">
        <v>0.24680851063829787</v>
      </c>
      <c r="O30" s="63">
        <v>0.61538461538461542</v>
      </c>
      <c r="P30" s="63">
        <v>0.53448275862068961</v>
      </c>
      <c r="Q30" s="63">
        <v>0.43820224719101125</v>
      </c>
    </row>
    <row r="31" spans="1:17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0.14285714285714285</v>
      </c>
      <c r="M31" s="63">
        <v>0.27642276422764228</v>
      </c>
      <c r="N31" s="63">
        <v>0.24796747967479674</v>
      </c>
      <c r="O31" s="63">
        <v>0.6029411764705882</v>
      </c>
      <c r="P31" s="63">
        <v>0.54098360655737709</v>
      </c>
      <c r="Q31" s="63">
        <v>0.42391304347826086</v>
      </c>
    </row>
    <row r="32" spans="1:17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0.13793103448275862</v>
      </c>
      <c r="M32" s="63">
        <v>0.27490039840637448</v>
      </c>
      <c r="N32" s="63">
        <v>0.24701195219123506</v>
      </c>
      <c r="O32" s="63">
        <v>0.59420289855072461</v>
      </c>
      <c r="P32" s="63">
        <v>0.54838709677419351</v>
      </c>
      <c r="Q32" s="63">
        <v>0.42553191489361702</v>
      </c>
    </row>
    <row r="33" spans="1:17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0.13333333333333333</v>
      </c>
      <c r="M33" s="63">
        <v>0.26615969581749049</v>
      </c>
      <c r="N33" s="63">
        <v>0.24714828897338403</v>
      </c>
      <c r="O33" s="63">
        <v>0.58571428571428574</v>
      </c>
      <c r="P33" s="63">
        <v>0.53846153846153844</v>
      </c>
      <c r="Q33" s="63">
        <v>0.42105263157894735</v>
      </c>
    </row>
    <row r="34" spans="1:17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0.12903225806451613</v>
      </c>
      <c r="M34" s="63">
        <v>0.25818181818181818</v>
      </c>
      <c r="N34" s="63">
        <v>0.24363636363636362</v>
      </c>
      <c r="O34" s="63">
        <v>0.59154929577464788</v>
      </c>
      <c r="P34" s="63">
        <v>0.52238805970149249</v>
      </c>
      <c r="Q34" s="63">
        <v>0.42857142857142855</v>
      </c>
    </row>
    <row r="35" spans="1:17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0.125</v>
      </c>
      <c r="M35" s="63">
        <v>0.25352112676056338</v>
      </c>
      <c r="N35" s="63">
        <v>0.23943661971830985</v>
      </c>
      <c r="O35" s="63">
        <v>0.59722222222222221</v>
      </c>
      <c r="P35" s="63">
        <v>0.52941176470588236</v>
      </c>
      <c r="Q35" s="63">
        <v>0.42574257425742573</v>
      </c>
    </row>
    <row r="36" spans="1:17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0.12121212121212122</v>
      </c>
      <c r="M36" s="63">
        <v>0.25085910652920962</v>
      </c>
      <c r="N36" s="63">
        <v>0.23711340206185566</v>
      </c>
      <c r="O36" s="63">
        <v>0.60273972602739723</v>
      </c>
      <c r="P36" s="63">
        <v>0.53623188405797106</v>
      </c>
      <c r="Q36" s="63">
        <v>0.42718446601941745</v>
      </c>
    </row>
    <row r="37" spans="1:17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0.11764705882352941</v>
      </c>
      <c r="M37" s="63">
        <v>0.24916943521594684</v>
      </c>
      <c r="N37" s="63">
        <v>0.2292358803986711</v>
      </c>
      <c r="O37" s="63">
        <v>0.61333333333333329</v>
      </c>
      <c r="P37" s="63">
        <v>0.53623188405797106</v>
      </c>
      <c r="Q37" s="63">
        <v>0.42857142857142855</v>
      </c>
    </row>
    <row r="38" spans="1:17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0.11428571428571428</v>
      </c>
      <c r="M38" s="63">
        <v>0.24758842443729903</v>
      </c>
      <c r="N38" s="63">
        <v>0.22508038585209003</v>
      </c>
      <c r="O38" s="63">
        <v>0.61038961038961037</v>
      </c>
      <c r="P38" s="63">
        <v>0.52857142857142858</v>
      </c>
      <c r="Q38" s="63">
        <v>0.43396226415094341</v>
      </c>
    </row>
    <row r="39" spans="1:17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0.1111111111111111</v>
      </c>
      <c r="M39" s="63">
        <v>0.24761904761904763</v>
      </c>
      <c r="N39" s="63">
        <v>0.22222222222222221</v>
      </c>
      <c r="O39" s="63">
        <v>0.60256410256410253</v>
      </c>
      <c r="P39" s="63">
        <v>0.52857142857142858</v>
      </c>
      <c r="Q39" s="63">
        <v>0.43396226415094341</v>
      </c>
    </row>
    <row r="40" spans="1:17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0.10810810810810811</v>
      </c>
      <c r="M40" s="63">
        <v>0.24610591900311526</v>
      </c>
      <c r="N40" s="63">
        <v>0.22118380062305296</v>
      </c>
      <c r="O40" s="63">
        <v>0.60759493670886078</v>
      </c>
      <c r="P40" s="63">
        <v>0.53521126760563376</v>
      </c>
      <c r="Q40" s="63">
        <v>0.42592592592592593</v>
      </c>
    </row>
    <row r="41" spans="1:17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0.10526315789473684</v>
      </c>
      <c r="M41" s="63">
        <v>0.24316109422492402</v>
      </c>
      <c r="N41" s="63">
        <v>0.22492401215805471</v>
      </c>
      <c r="O41" s="63">
        <v>0.61250000000000004</v>
      </c>
      <c r="P41" s="63">
        <v>0.54054054054054057</v>
      </c>
      <c r="Q41" s="63">
        <v>0.42857142857142855</v>
      </c>
    </row>
    <row r="42" spans="1:17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0.10256410256410256</v>
      </c>
      <c r="M42" s="63">
        <v>0.24477611940298508</v>
      </c>
      <c r="N42" s="63">
        <v>0.22388059701492538</v>
      </c>
      <c r="O42" s="63">
        <v>0.6097560975609756</v>
      </c>
      <c r="P42" s="63">
        <v>0.53333333333333333</v>
      </c>
      <c r="Q42" s="63">
        <v>0.4247787610619469</v>
      </c>
    </row>
    <row r="43" spans="1:17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0.1</v>
      </c>
      <c r="M43" s="63">
        <v>0.24489795918367346</v>
      </c>
      <c r="N43" s="63">
        <v>0.22157434402332363</v>
      </c>
      <c r="O43" s="63">
        <v>0.61904761904761907</v>
      </c>
      <c r="P43" s="63">
        <v>0.52631578947368418</v>
      </c>
      <c r="Q43" s="63">
        <v>0.43103448275862066</v>
      </c>
    </row>
    <row r="44" spans="1:17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9.7560975609756101E-2</v>
      </c>
      <c r="M44" s="63">
        <v>0.24501424501424501</v>
      </c>
      <c r="N44" s="63">
        <v>0.21652421652421652</v>
      </c>
      <c r="O44" s="63">
        <v>0.61627906976744184</v>
      </c>
      <c r="P44" s="63">
        <v>0.52631578947368418</v>
      </c>
      <c r="Q44" s="63">
        <v>0.44067796610169491</v>
      </c>
    </row>
    <row r="45" spans="1:17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9.5238095238095233E-2</v>
      </c>
      <c r="M45" s="63">
        <v>0.25139664804469275</v>
      </c>
      <c r="N45" s="63">
        <v>0.21508379888268156</v>
      </c>
      <c r="O45" s="63">
        <v>0.61111111111111116</v>
      </c>
      <c r="P45" s="63">
        <v>0.53246753246753242</v>
      </c>
      <c r="Q45" s="63">
        <v>0.42622950819672129</v>
      </c>
    </row>
    <row r="46" spans="1:17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9.3023255813953487E-2</v>
      </c>
      <c r="M46" s="63">
        <v>0.25136612021857924</v>
      </c>
      <c r="N46" s="63">
        <v>0.22131147540983606</v>
      </c>
      <c r="O46" s="63">
        <v>0.60869565217391308</v>
      </c>
      <c r="P46" s="63">
        <v>0.54320987654320985</v>
      </c>
      <c r="Q46" s="63">
        <v>0.41269841269841268</v>
      </c>
    </row>
    <row r="47" spans="1:17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9.0909090909090912E-2</v>
      </c>
      <c r="M47" s="63">
        <v>0.25133689839572193</v>
      </c>
      <c r="N47" s="63">
        <v>0.22459893048128343</v>
      </c>
      <c r="O47" s="63">
        <v>0.6063829787234043</v>
      </c>
      <c r="P47" s="63">
        <v>0.54761904761904767</v>
      </c>
      <c r="Q47" s="63">
        <v>0.41860465116279072</v>
      </c>
    </row>
    <row r="48" spans="1:17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8.8888888888888892E-2</v>
      </c>
      <c r="M48" s="63">
        <v>0.24934383202099739</v>
      </c>
      <c r="N48" s="63">
        <v>0.22572178477690288</v>
      </c>
      <c r="O48" s="63">
        <v>0.61052631578947369</v>
      </c>
      <c r="P48" s="63">
        <v>0.54651162790697672</v>
      </c>
      <c r="Q48" s="63">
        <v>0.41984732824427479</v>
      </c>
    </row>
    <row r="49" spans="1:17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8.6956521739130432E-2</v>
      </c>
      <c r="M49" s="63">
        <v>0.25192802056555269</v>
      </c>
      <c r="N49" s="63">
        <v>0.2262210796915167</v>
      </c>
      <c r="O49" s="63">
        <v>0.61224489795918369</v>
      </c>
      <c r="P49" s="63">
        <v>0.55681818181818177</v>
      </c>
      <c r="Q49" s="63">
        <v>0.40441176470588236</v>
      </c>
    </row>
    <row r="50" spans="1:17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8.5106382978723402E-2</v>
      </c>
      <c r="M50" s="63">
        <v>0.25</v>
      </c>
      <c r="N50" s="63">
        <v>0.22448979591836735</v>
      </c>
      <c r="O50" s="63">
        <v>0.61224489795918369</v>
      </c>
      <c r="P50" s="63">
        <v>0.55681818181818177</v>
      </c>
      <c r="Q50" s="63">
        <v>0.40441176470588236</v>
      </c>
    </row>
    <row r="51" spans="1:17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8.3333333333333329E-2</v>
      </c>
      <c r="M51" s="63">
        <v>0.24685138539042822</v>
      </c>
      <c r="N51" s="63">
        <v>0.22418136020151133</v>
      </c>
      <c r="O51" s="63">
        <v>0.61224489795918369</v>
      </c>
      <c r="P51" s="63">
        <v>0.5617977528089888</v>
      </c>
      <c r="Q51" s="63">
        <v>0.40145985401459855</v>
      </c>
    </row>
    <row r="52" spans="1:17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8.1632653061224483E-2</v>
      </c>
      <c r="M52" s="63">
        <v>0.24444444444444444</v>
      </c>
      <c r="N52" s="63">
        <v>0.2271604938271605</v>
      </c>
      <c r="O52" s="63">
        <v>0.60606060606060608</v>
      </c>
      <c r="P52" s="63">
        <v>0.56521739130434778</v>
      </c>
      <c r="Q52" s="63">
        <v>0.40287769784172661</v>
      </c>
    </row>
    <row r="53" spans="1:17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0.1</v>
      </c>
      <c r="M53" s="63">
        <v>0.24938875305623473</v>
      </c>
      <c r="N53" s="63">
        <v>0.22493887530562348</v>
      </c>
      <c r="O53" s="63">
        <v>0.61764705882352944</v>
      </c>
      <c r="P53" s="63">
        <v>0.56521739130434778</v>
      </c>
      <c r="Q53" s="63">
        <v>0.40140845070422537</v>
      </c>
    </row>
    <row r="54" spans="1:17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9.8039215686274508E-2</v>
      </c>
      <c r="M54" s="63">
        <v>0.24761904761904763</v>
      </c>
      <c r="N54" s="63">
        <v>0.22619047619047619</v>
      </c>
      <c r="O54" s="63">
        <v>0.61538461538461542</v>
      </c>
      <c r="P54" s="63">
        <v>0.55789473684210522</v>
      </c>
      <c r="Q54" s="63">
        <v>0.39310344827586208</v>
      </c>
    </row>
    <row r="55" spans="1:17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0.11538461538461539</v>
      </c>
      <c r="M55" s="63">
        <v>0.25117370892018781</v>
      </c>
      <c r="N55" s="63">
        <v>0.22300469483568075</v>
      </c>
      <c r="O55" s="63">
        <v>0.62616822429906538</v>
      </c>
      <c r="P55" s="63">
        <v>0.55789473684210522</v>
      </c>
      <c r="Q55" s="63">
        <v>0.38513513513513514</v>
      </c>
    </row>
    <row r="56" spans="1:17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0.11320754716981132</v>
      </c>
      <c r="M56" s="63">
        <v>0.25058004640371229</v>
      </c>
      <c r="N56" s="63">
        <v>0.22273781902552203</v>
      </c>
      <c r="O56" s="63">
        <v>0.62962962962962965</v>
      </c>
      <c r="P56" s="63">
        <v>0.55208333333333337</v>
      </c>
      <c r="Q56" s="63">
        <v>0.38666666666666666</v>
      </c>
    </row>
    <row r="57" spans="1:17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0.1111111111111111</v>
      </c>
      <c r="M57" s="63">
        <v>0.24829157175398633</v>
      </c>
      <c r="N57" s="63">
        <v>0.2255125284738041</v>
      </c>
      <c r="O57" s="63">
        <v>0.6330275229357798</v>
      </c>
      <c r="P57" s="63">
        <v>0.55555555555555558</v>
      </c>
      <c r="Q57" s="63">
        <v>0.38311688311688313</v>
      </c>
    </row>
    <row r="58" spans="1:17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0.10909090909090909</v>
      </c>
      <c r="M58" s="63">
        <v>0.25112107623318386</v>
      </c>
      <c r="N58" s="63">
        <v>0.22421524663677131</v>
      </c>
      <c r="O58" s="63">
        <v>0.6339285714285714</v>
      </c>
      <c r="P58" s="63">
        <v>0.55000000000000004</v>
      </c>
      <c r="Q58" s="63">
        <v>0.39102564102564102</v>
      </c>
    </row>
    <row r="59" spans="1:17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0.10714285714285714</v>
      </c>
      <c r="M59" s="63">
        <v>0.25274725274725274</v>
      </c>
      <c r="N59" s="63">
        <v>0.22857142857142856</v>
      </c>
      <c r="O59" s="63">
        <v>0.62608695652173918</v>
      </c>
      <c r="P59" s="63">
        <v>0.53846153846153844</v>
      </c>
      <c r="Q59" s="63">
        <v>0.40251572327044027</v>
      </c>
    </row>
    <row r="60" spans="1:17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0.10526315789473684</v>
      </c>
      <c r="M60" s="63">
        <v>0.25269978401727861</v>
      </c>
      <c r="N60" s="63">
        <v>0.23110151187904968</v>
      </c>
      <c r="O60" s="63">
        <v>0.62393162393162394</v>
      </c>
      <c r="P60" s="63">
        <v>0.53271028037383172</v>
      </c>
      <c r="Q60" s="63">
        <v>0.40372670807453415</v>
      </c>
    </row>
    <row r="61" spans="1:17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0.10344827586206896</v>
      </c>
      <c r="M61" s="63">
        <v>0.2521186440677966</v>
      </c>
      <c r="N61" s="63">
        <v>0.23305084745762711</v>
      </c>
      <c r="O61" s="63">
        <v>0.62184873949579833</v>
      </c>
      <c r="P61" s="63">
        <v>0.52727272727272723</v>
      </c>
      <c r="Q61" s="63">
        <v>0.3987730061349693</v>
      </c>
    </row>
    <row r="62" spans="1:17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0.10169491525423729</v>
      </c>
      <c r="M62" s="63">
        <v>0.24948024948024949</v>
      </c>
      <c r="N62" s="63">
        <v>0.23700623700623702</v>
      </c>
      <c r="O62" s="63">
        <v>0.6166666666666667</v>
      </c>
      <c r="P62" s="63">
        <v>0.50877192982456143</v>
      </c>
      <c r="Q62" s="63">
        <v>0.3987730061349693</v>
      </c>
    </row>
    <row r="63" spans="1:17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0.1</v>
      </c>
      <c r="M63" s="63">
        <v>0.24795081967213115</v>
      </c>
      <c r="N63" s="63">
        <v>0.23770491803278687</v>
      </c>
      <c r="O63" s="63">
        <v>0.61157024793388426</v>
      </c>
      <c r="P63" s="63">
        <v>0.50862068965517238</v>
      </c>
      <c r="Q63" s="63">
        <v>0.40243902439024393</v>
      </c>
    </row>
    <row r="64" spans="1:17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9.8360655737704916E-2</v>
      </c>
      <c r="M64" s="63">
        <v>0.24899598393574296</v>
      </c>
      <c r="N64" s="63">
        <v>0.23694779116465864</v>
      </c>
      <c r="O64" s="63">
        <v>0.60483870967741937</v>
      </c>
      <c r="P64" s="63">
        <v>0.5</v>
      </c>
      <c r="Q64" s="63">
        <v>0.40361445783132532</v>
      </c>
    </row>
    <row r="65" spans="1:17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9.6774193548387094E-2</v>
      </c>
      <c r="M65" s="63">
        <v>0.24652087475149106</v>
      </c>
      <c r="N65" s="63">
        <v>0.23658051689860835</v>
      </c>
      <c r="O65" s="63">
        <v>0.60483870967741937</v>
      </c>
      <c r="P65" s="63">
        <v>0.49579831932773111</v>
      </c>
      <c r="Q65" s="63">
        <v>0.40718562874251496</v>
      </c>
    </row>
    <row r="66" spans="1:17" x14ac:dyDescent="0.4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9.5238095238095233E-2</v>
      </c>
      <c r="M66" s="63">
        <v>0.24902723735408561</v>
      </c>
      <c r="N66" s="63">
        <v>0.23929961089494164</v>
      </c>
      <c r="O66" s="63">
        <v>0.59375</v>
      </c>
      <c r="P66" s="63">
        <v>0.48780487804878048</v>
      </c>
      <c r="Q66" s="63">
        <v>0.40828402366863903</v>
      </c>
    </row>
    <row r="67" spans="1:17" x14ac:dyDescent="0.4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9.375E-2</v>
      </c>
      <c r="M67" s="63">
        <v>0.25047801147227533</v>
      </c>
      <c r="N67" s="63">
        <v>0.23709369024856597</v>
      </c>
      <c r="O67" s="63">
        <v>0.59541984732824427</v>
      </c>
      <c r="P67" s="63">
        <v>0.4838709677419355</v>
      </c>
      <c r="Q67" s="63">
        <v>0.41860465116279072</v>
      </c>
    </row>
    <row r="68" spans="1:17" x14ac:dyDescent="0.4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9.2307692307692313E-2</v>
      </c>
      <c r="M68" s="63">
        <v>0.25283018867924528</v>
      </c>
      <c r="N68" s="63">
        <v>0.23962264150943396</v>
      </c>
      <c r="O68" s="63">
        <v>0.58955223880597019</v>
      </c>
      <c r="P68" s="63">
        <v>0.48818897637795278</v>
      </c>
      <c r="Q68" s="63">
        <v>0.42045454545454547</v>
      </c>
    </row>
    <row r="69" spans="1:17" x14ac:dyDescent="0.4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9.0909090909090912E-2</v>
      </c>
      <c r="M69" s="63">
        <v>0.25092936802973975</v>
      </c>
      <c r="N69" s="63">
        <v>0.23977695167286245</v>
      </c>
      <c r="O69" s="63">
        <v>0.59259259259259256</v>
      </c>
      <c r="P69" s="63">
        <v>0.49612403100775193</v>
      </c>
      <c r="Q69" s="63">
        <v>0.41666666666666669</v>
      </c>
    </row>
    <row r="70" spans="1:17" x14ac:dyDescent="0.4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8.9552238805970144E-2</v>
      </c>
      <c r="M70" s="63">
        <v>0.25</v>
      </c>
      <c r="N70" s="63">
        <v>0.24270072992700731</v>
      </c>
      <c r="O70" s="63">
        <v>0.59124087591240881</v>
      </c>
      <c r="P70" s="63">
        <v>0.48872180451127817</v>
      </c>
      <c r="Q70" s="63">
        <v>0.41208791208791207</v>
      </c>
    </row>
    <row r="71" spans="1:17" x14ac:dyDescent="0.4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0.10294117647058823</v>
      </c>
      <c r="M71" s="63">
        <v>0.24954792043399637</v>
      </c>
      <c r="N71" s="63">
        <v>0.24231464737793851</v>
      </c>
      <c r="O71" s="63">
        <v>0.59420289855072461</v>
      </c>
      <c r="P71" s="63">
        <v>0.4925373134328358</v>
      </c>
      <c r="Q71" s="63">
        <v>0.40860215053763443</v>
      </c>
    </row>
    <row r="72" spans="1:17" x14ac:dyDescent="0.4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0.11594202898550725</v>
      </c>
      <c r="M72" s="63">
        <v>0.25265017667844525</v>
      </c>
      <c r="N72" s="63">
        <v>0.23851590106007067</v>
      </c>
      <c r="O72" s="63">
        <v>0.60139860139860135</v>
      </c>
      <c r="P72" s="63">
        <v>0.48888888888888887</v>
      </c>
      <c r="Q72" s="63">
        <v>0.41361256544502617</v>
      </c>
    </row>
    <row r="73" spans="1:17" x14ac:dyDescent="0.4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0.11428571428571428</v>
      </c>
      <c r="M73" s="63">
        <v>0.24956369982547993</v>
      </c>
      <c r="N73" s="63">
        <v>0.23734729493891799</v>
      </c>
      <c r="O73" s="63">
        <v>0.60139860139860135</v>
      </c>
      <c r="P73" s="63">
        <v>0.48529411764705882</v>
      </c>
      <c r="Q73" s="63">
        <v>0.41666666666666669</v>
      </c>
    </row>
    <row r="74" spans="1:17" x14ac:dyDescent="0.4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0.11267605633802817</v>
      </c>
      <c r="M74" s="63">
        <v>0.2512908777969019</v>
      </c>
      <c r="N74" s="63">
        <v>0.23580034423407917</v>
      </c>
      <c r="O74" s="63">
        <v>0.60273972602739723</v>
      </c>
      <c r="P74" s="63">
        <v>0.48175182481751827</v>
      </c>
      <c r="Q74" s="63">
        <v>0.42268041237113402</v>
      </c>
    </row>
    <row r="75" spans="1:17" x14ac:dyDescent="0.4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0.1111111111111111</v>
      </c>
      <c r="M75" s="63">
        <v>0.25127334465195245</v>
      </c>
      <c r="N75" s="63">
        <v>0.23769100169779286</v>
      </c>
      <c r="O75" s="63">
        <v>0.60810810810810811</v>
      </c>
      <c r="P75" s="63">
        <v>0.47857142857142859</v>
      </c>
      <c r="Q75" s="63">
        <v>0.42424242424242425</v>
      </c>
    </row>
    <row r="76" spans="1:17" x14ac:dyDescent="0.4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0.1095890410958904</v>
      </c>
      <c r="M76" s="63">
        <v>0.25628140703517588</v>
      </c>
      <c r="N76" s="63">
        <v>0.23785594639865998</v>
      </c>
      <c r="O76" s="63">
        <v>0.60784313725490191</v>
      </c>
      <c r="P76" s="63">
        <v>0.47887323943661969</v>
      </c>
      <c r="Q76" s="63">
        <v>0.42079207920792078</v>
      </c>
    </row>
    <row r="77" spans="1:17" x14ac:dyDescent="0.4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0.10810810810810811</v>
      </c>
      <c r="M77" s="63">
        <v>0.25538971807628524</v>
      </c>
      <c r="N77" s="63">
        <v>0.23714759535655058</v>
      </c>
      <c r="O77" s="63">
        <v>0.61038961038961037</v>
      </c>
      <c r="P77" s="63">
        <v>0.47552447552447552</v>
      </c>
      <c r="Q77" s="63">
        <v>0.42156862745098039</v>
      </c>
    </row>
    <row r="78" spans="1:17" x14ac:dyDescent="0.4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0.10666666666666667</v>
      </c>
      <c r="M78" s="63">
        <v>0.25451559934318557</v>
      </c>
      <c r="N78" s="63">
        <v>0.2348111658456486</v>
      </c>
      <c r="O78" s="63">
        <v>0.61290322580645162</v>
      </c>
      <c r="P78" s="63">
        <v>0.47552447552447552</v>
      </c>
      <c r="Q78" s="63">
        <v>0.42028985507246375</v>
      </c>
    </row>
    <row r="79" spans="1:17" x14ac:dyDescent="0.4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0.10526315789473684</v>
      </c>
      <c r="M79" s="63">
        <v>0.25365853658536586</v>
      </c>
      <c r="N79" s="63">
        <v>0.23577235772357724</v>
      </c>
      <c r="O79" s="63">
        <v>0.60897435897435892</v>
      </c>
      <c r="P79" s="63">
        <v>0.4689655172413793</v>
      </c>
      <c r="Q79" s="63">
        <v>0.42028985507246375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5889A-3A4D-471B-9FCA-924188515693}">
  <sheetPr codeName="Sheet8"/>
  <dimension ref="A1:Q3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166</v>
      </c>
      <c r="B1" s="66" t="s">
        <v>166</v>
      </c>
      <c r="C1" s="66" t="s">
        <v>166</v>
      </c>
      <c r="D1" s="67" t="s">
        <v>166</v>
      </c>
      <c r="E1" s="66" t="s">
        <v>166</v>
      </c>
      <c r="F1" s="66" t="s">
        <v>166</v>
      </c>
      <c r="G1" s="66" t="s">
        <v>166</v>
      </c>
      <c r="H1" s="66" t="s">
        <v>166</v>
      </c>
      <c r="I1" s="66" t="s">
        <v>166</v>
      </c>
      <c r="J1" s="66" t="s">
        <v>166</v>
      </c>
      <c r="K1" s="66" t="s">
        <v>166</v>
      </c>
      <c r="L1" s="66" t="s">
        <v>166</v>
      </c>
      <c r="M1" s="66" t="s">
        <v>166</v>
      </c>
      <c r="N1" s="66" t="s">
        <v>166</v>
      </c>
      <c r="O1" s="66" t="s">
        <v>166</v>
      </c>
      <c r="P1" s="66" t="s">
        <v>166</v>
      </c>
      <c r="Q1" s="66" t="s">
        <v>166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</v>
      </c>
      <c r="M4" s="63">
        <v>0.4</v>
      </c>
      <c r="N4" s="63">
        <v>0.2</v>
      </c>
      <c r="O4" s="63">
        <v>0.25</v>
      </c>
      <c r="P4" s="63">
        <v>0.5</v>
      </c>
      <c r="Q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</v>
      </c>
      <c r="M5" s="63">
        <v>0.36842105263157893</v>
      </c>
      <c r="N5" s="63">
        <v>0.26315789473684209</v>
      </c>
      <c r="O5" s="63">
        <v>0.42857142857142855</v>
      </c>
      <c r="P5" s="63">
        <v>0.4</v>
      </c>
      <c r="Q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</v>
      </c>
      <c r="M6" s="63">
        <v>0.33333333333333331</v>
      </c>
      <c r="N6" s="63">
        <v>0.22222222222222221</v>
      </c>
      <c r="O6" s="63">
        <v>0.44444444444444442</v>
      </c>
      <c r="P6" s="63">
        <v>0.33333333333333331</v>
      </c>
      <c r="Q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</v>
      </c>
      <c r="M7" s="63">
        <v>0.34210526315789475</v>
      </c>
      <c r="N7" s="63">
        <v>0.23684210526315788</v>
      </c>
      <c r="O7" s="63">
        <v>0.46153846153846156</v>
      </c>
      <c r="P7" s="63">
        <v>0.33333333333333331</v>
      </c>
      <c r="Q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</v>
      </c>
      <c r="M8" s="63">
        <v>0.28888888888888886</v>
      </c>
      <c r="N8" s="63">
        <v>0.26666666666666666</v>
      </c>
      <c r="O8" s="63">
        <v>0.46153846153846156</v>
      </c>
      <c r="P8" s="63">
        <v>0.33333333333333331</v>
      </c>
      <c r="Q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</v>
      </c>
      <c r="M9" s="63">
        <v>0.29629629629629628</v>
      </c>
      <c r="N9" s="63">
        <v>0.24074074074074073</v>
      </c>
      <c r="O9" s="63">
        <v>0.5</v>
      </c>
      <c r="P9" s="63">
        <v>0.30769230769230771</v>
      </c>
      <c r="Q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</v>
      </c>
      <c r="M10" s="63">
        <v>0.25</v>
      </c>
      <c r="N10" s="63">
        <v>0.26470588235294118</v>
      </c>
      <c r="O10" s="63">
        <v>0.52941176470588236</v>
      </c>
      <c r="P10" s="63">
        <v>0.27777777777777779</v>
      </c>
      <c r="Q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</v>
      </c>
      <c r="M11" s="63">
        <v>0.24358974358974358</v>
      </c>
      <c r="N11" s="63">
        <v>0.26923076923076922</v>
      </c>
      <c r="O11" s="63">
        <v>0.47368421052631576</v>
      </c>
      <c r="P11" s="63">
        <v>0.23809523809523808</v>
      </c>
      <c r="Q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</v>
      </c>
      <c r="M12" s="63">
        <v>0.2413793103448276</v>
      </c>
      <c r="N12" s="63">
        <v>0.26436781609195403</v>
      </c>
      <c r="O12" s="63">
        <v>0.52380952380952384</v>
      </c>
      <c r="P12" s="63">
        <v>0.2608695652173913</v>
      </c>
      <c r="Q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</v>
      </c>
      <c r="M13" s="63">
        <v>0.24210526315789474</v>
      </c>
      <c r="N13" s="63">
        <v>0.27368421052631581</v>
      </c>
      <c r="O13" s="63">
        <v>0.56521739130434778</v>
      </c>
      <c r="P13" s="63">
        <v>0.23076923076923078</v>
      </c>
      <c r="Q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</v>
      </c>
      <c r="M14" s="63">
        <v>0.22549019607843138</v>
      </c>
      <c r="N14" s="63">
        <v>0.27450980392156865</v>
      </c>
      <c r="O14" s="63">
        <v>0.56521739130434778</v>
      </c>
      <c r="P14" s="63">
        <v>0.25</v>
      </c>
      <c r="Q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</v>
      </c>
      <c r="M15" s="63">
        <v>0.21621621621621623</v>
      </c>
      <c r="N15" s="63">
        <v>0.27027027027027029</v>
      </c>
      <c r="O15" s="63">
        <v>0.58333333333333337</v>
      </c>
      <c r="P15" s="63">
        <v>0.26666666666666666</v>
      </c>
      <c r="Q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</v>
      </c>
      <c r="M16" s="63">
        <v>0.20491803278688525</v>
      </c>
      <c r="N16" s="63">
        <v>0.27868852459016391</v>
      </c>
      <c r="O16" s="63">
        <v>0.6</v>
      </c>
      <c r="P16" s="63">
        <v>0.23529411764705882</v>
      </c>
      <c r="Q16" s="63">
        <v>0.5</v>
      </c>
    </row>
    <row r="17" spans="1:17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</v>
      </c>
      <c r="M17" s="63">
        <v>0.18939393939393939</v>
      </c>
      <c r="N17" s="63">
        <v>0.27272727272727271</v>
      </c>
      <c r="O17" s="63">
        <v>0.6</v>
      </c>
      <c r="P17" s="63">
        <v>0.25</v>
      </c>
      <c r="Q17" s="63">
        <v>0.51515151515151514</v>
      </c>
    </row>
    <row r="18" spans="1:17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</v>
      </c>
      <c r="M18" s="63">
        <v>0.1875</v>
      </c>
      <c r="N18" s="63">
        <v>0.25694444444444442</v>
      </c>
      <c r="O18" s="63">
        <v>0.59259259259259256</v>
      </c>
      <c r="P18" s="63">
        <v>0.27027027027027029</v>
      </c>
      <c r="Q18" s="63">
        <v>0.5</v>
      </c>
    </row>
    <row r="19" spans="1:17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</v>
      </c>
      <c r="M19" s="63">
        <v>0.18831168831168832</v>
      </c>
      <c r="N19" s="63">
        <v>0.24025974025974026</v>
      </c>
      <c r="O19" s="63">
        <v>0.58620689655172409</v>
      </c>
      <c r="P19" s="63">
        <v>0.27027027027027029</v>
      </c>
      <c r="Q19" s="63">
        <v>0.48648648648648651</v>
      </c>
    </row>
    <row r="20" spans="1:17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</v>
      </c>
      <c r="M20" s="63">
        <v>0.189873417721519</v>
      </c>
      <c r="N20" s="63">
        <v>0.23417721518987342</v>
      </c>
      <c r="O20" s="63">
        <v>0.56666666666666665</v>
      </c>
      <c r="P20" s="63">
        <v>0.27027027027027029</v>
      </c>
      <c r="Q20" s="63">
        <v>0.47368421052631576</v>
      </c>
    </row>
    <row r="21" spans="1:17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</v>
      </c>
      <c r="M21" s="63">
        <v>0.18902439024390244</v>
      </c>
      <c r="N21" s="63">
        <v>0.22560975609756098</v>
      </c>
      <c r="O21" s="63">
        <v>0.58064516129032262</v>
      </c>
      <c r="P21" s="63">
        <v>0.27027027027027029</v>
      </c>
      <c r="Q21" s="63">
        <v>0.5</v>
      </c>
    </row>
    <row r="22" spans="1:17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</v>
      </c>
      <c r="M22" s="63">
        <v>0.19186046511627908</v>
      </c>
      <c r="N22" s="63">
        <v>0.22674418604651161</v>
      </c>
      <c r="O22" s="63">
        <v>0.54545454545454541</v>
      </c>
      <c r="P22" s="63">
        <v>0.28205128205128205</v>
      </c>
      <c r="Q22" s="63">
        <v>0.51219512195121952</v>
      </c>
    </row>
    <row r="23" spans="1:17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</v>
      </c>
      <c r="M23" s="63">
        <v>0.18333333333333332</v>
      </c>
      <c r="N23" s="63">
        <v>0.23333333333333334</v>
      </c>
      <c r="O23" s="63">
        <v>0.54545454545454541</v>
      </c>
      <c r="P23" s="63">
        <v>0.2857142857142857</v>
      </c>
      <c r="Q23" s="63">
        <v>0.52272727272727271</v>
      </c>
    </row>
    <row r="24" spans="1:17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</v>
      </c>
      <c r="M24" s="63">
        <v>0.18617021276595744</v>
      </c>
      <c r="N24" s="63">
        <v>0.23404255319148937</v>
      </c>
      <c r="O24" s="63">
        <v>0.54285714285714282</v>
      </c>
      <c r="P24" s="63">
        <v>0.29545454545454547</v>
      </c>
      <c r="Q24" s="63">
        <v>0.5</v>
      </c>
    </row>
    <row r="25" spans="1:17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</v>
      </c>
      <c r="M25" s="63">
        <v>0.18367346938775511</v>
      </c>
      <c r="N25" s="63">
        <v>0.22448979591836735</v>
      </c>
      <c r="O25" s="63">
        <v>0.52777777777777779</v>
      </c>
      <c r="P25" s="63">
        <v>0.29545454545454547</v>
      </c>
      <c r="Q25" s="63">
        <v>0.5</v>
      </c>
    </row>
    <row r="26" spans="1:17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4.3478260869565216E-2</v>
      </c>
      <c r="M26" s="63">
        <v>0.18090452261306533</v>
      </c>
      <c r="N26" s="63">
        <v>0.23115577889447236</v>
      </c>
      <c r="O26" s="63">
        <v>0.52777777777777779</v>
      </c>
      <c r="P26" s="63">
        <v>0.30434782608695654</v>
      </c>
      <c r="Q26" s="63">
        <v>0.5</v>
      </c>
    </row>
    <row r="27" spans="1:17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4.1666666666666664E-2</v>
      </c>
      <c r="M27" s="63">
        <v>0.18446601941747573</v>
      </c>
      <c r="N27" s="63">
        <v>0.22815533980582525</v>
      </c>
      <c r="O27" s="63">
        <v>0.52631578947368418</v>
      </c>
      <c r="P27" s="63">
        <v>0.2978723404255319</v>
      </c>
      <c r="Q27" s="63">
        <v>0.49056603773584906</v>
      </c>
    </row>
    <row r="28" spans="1:17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0.04</v>
      </c>
      <c r="M28" s="63">
        <v>0.1822429906542056</v>
      </c>
      <c r="N28" s="63">
        <v>0.23364485981308411</v>
      </c>
      <c r="O28" s="63">
        <v>0.51282051282051277</v>
      </c>
      <c r="P28" s="63">
        <v>0.32</v>
      </c>
      <c r="Q28" s="63">
        <v>0.47272727272727272</v>
      </c>
    </row>
    <row r="29" spans="1:17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3.8461538461538464E-2</v>
      </c>
      <c r="M29" s="63">
        <v>0.17488789237668162</v>
      </c>
      <c r="N29" s="63">
        <v>0.23318385650224216</v>
      </c>
      <c r="O29" s="63">
        <v>0.51282051282051277</v>
      </c>
      <c r="P29" s="63">
        <v>0.32692307692307693</v>
      </c>
      <c r="Q29" s="63">
        <v>0.47368421052631576</v>
      </c>
    </row>
    <row r="30" spans="1:17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3.7037037037037035E-2</v>
      </c>
      <c r="M30" s="63">
        <v>0.17241379310344829</v>
      </c>
      <c r="N30" s="63">
        <v>0.23706896551724138</v>
      </c>
      <c r="O30" s="63">
        <v>0.5</v>
      </c>
      <c r="P30" s="63">
        <v>0.34545454545454546</v>
      </c>
      <c r="Q30" s="63">
        <v>0.47457627118644069</v>
      </c>
    </row>
    <row r="31" spans="1:17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3.5714285714285712E-2</v>
      </c>
      <c r="M31" s="63">
        <v>0.17154811715481172</v>
      </c>
      <c r="N31" s="63">
        <v>0.23012552301255229</v>
      </c>
      <c r="O31" s="63">
        <v>0.51219512195121952</v>
      </c>
      <c r="P31" s="63">
        <v>0.34545454545454546</v>
      </c>
      <c r="Q31" s="63">
        <v>0.47540983606557374</v>
      </c>
    </row>
    <row r="32" spans="1:17" x14ac:dyDescent="0.4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3.4482758620689655E-2</v>
      </c>
      <c r="M32" s="63">
        <v>0.17269076305220885</v>
      </c>
      <c r="N32" s="63">
        <v>0.22489959839357429</v>
      </c>
      <c r="O32" s="63">
        <v>0.51162790697674421</v>
      </c>
      <c r="P32" s="63">
        <v>0.35714285714285715</v>
      </c>
      <c r="Q32" s="63">
        <v>0.46031746031746029</v>
      </c>
    </row>
    <row r="33" spans="1:17" x14ac:dyDescent="0.4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3.3333333333333333E-2</v>
      </c>
      <c r="M33" s="63">
        <v>0.16796875</v>
      </c>
      <c r="N33" s="63">
        <v>0.23046875</v>
      </c>
      <c r="O33" s="63">
        <v>0.51162790697674421</v>
      </c>
      <c r="P33" s="63">
        <v>0.3559322033898305</v>
      </c>
      <c r="Q33" s="63">
        <v>0.453125</v>
      </c>
    </row>
    <row r="34" spans="1:17" x14ac:dyDescent="0.4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3.2258064516129031E-2</v>
      </c>
      <c r="M34" s="63">
        <v>0.16730038022813687</v>
      </c>
      <c r="N34" s="63">
        <v>0.23193916349809887</v>
      </c>
      <c r="O34" s="63">
        <v>0.52272727272727271</v>
      </c>
      <c r="P34" s="63">
        <v>0.36065573770491804</v>
      </c>
      <c r="Q34" s="63">
        <v>0.43939393939393939</v>
      </c>
    </row>
    <row r="35" spans="1:17" x14ac:dyDescent="0.4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3.125E-2</v>
      </c>
      <c r="M35" s="63">
        <v>0.16845878136200718</v>
      </c>
      <c r="N35" s="63">
        <v>0.23297491039426524</v>
      </c>
      <c r="O35" s="63">
        <v>0.51063829787234039</v>
      </c>
      <c r="P35" s="63">
        <v>0.36923076923076925</v>
      </c>
      <c r="Q35" s="63">
        <v>0.44285714285714284</v>
      </c>
    </row>
    <row r="36" spans="1:17" x14ac:dyDescent="0.4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3.0303030303030304E-2</v>
      </c>
      <c r="M36" s="63">
        <v>0.16494845360824742</v>
      </c>
      <c r="N36" s="63">
        <v>0.23367697594501718</v>
      </c>
      <c r="O36" s="63">
        <v>0.52083333333333337</v>
      </c>
      <c r="P36" s="63">
        <v>0.35294117647058826</v>
      </c>
      <c r="Q36" s="63">
        <v>0.43835616438356162</v>
      </c>
    </row>
    <row r="37" spans="1:17" x14ac:dyDescent="0.4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2.9411764705882353E-2</v>
      </c>
      <c r="M37" s="63">
        <v>0.16053511705685619</v>
      </c>
      <c r="N37" s="63">
        <v>0.22742474916387959</v>
      </c>
      <c r="O37" s="63">
        <v>0.52083333333333337</v>
      </c>
      <c r="P37" s="63">
        <v>0.35294117647058826</v>
      </c>
      <c r="Q37" s="63">
        <v>0.44</v>
      </c>
    </row>
    <row r="38" spans="1:17" x14ac:dyDescent="0.4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2.8571428571428571E-2</v>
      </c>
      <c r="M38" s="63">
        <v>0.1553398058252427</v>
      </c>
      <c r="N38" s="63">
        <v>0.22977346278317151</v>
      </c>
      <c r="O38" s="63">
        <v>0.52083333333333337</v>
      </c>
      <c r="P38" s="63">
        <v>0.352112676056338</v>
      </c>
      <c r="Q38" s="63">
        <v>0.45454545454545453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8B071-62ED-4098-B6CA-9EDE379C493C}">
  <sheetPr codeName="Sheet6"/>
  <dimension ref="A1:Q12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143</v>
      </c>
      <c r="B1" s="66" t="s">
        <v>143</v>
      </c>
      <c r="C1" s="66" t="s">
        <v>143</v>
      </c>
      <c r="D1" s="67" t="s">
        <v>143</v>
      </c>
      <c r="E1" s="66" t="s">
        <v>143</v>
      </c>
      <c r="F1" s="66" t="s">
        <v>143</v>
      </c>
      <c r="G1" s="66" t="s">
        <v>143</v>
      </c>
      <c r="H1" s="66" t="s">
        <v>143</v>
      </c>
      <c r="I1" s="66" t="s">
        <v>143</v>
      </c>
      <c r="J1" s="66" t="s">
        <v>143</v>
      </c>
      <c r="K1" s="66" t="s">
        <v>143</v>
      </c>
      <c r="L1" s="66" t="s">
        <v>143</v>
      </c>
      <c r="M1" s="66" t="s">
        <v>143</v>
      </c>
      <c r="N1" s="66" t="s">
        <v>143</v>
      </c>
      <c r="O1" s="66" t="s">
        <v>143</v>
      </c>
      <c r="P1" s="66" t="s">
        <v>143</v>
      </c>
      <c r="Q1" s="66" t="s">
        <v>143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0.33333333333333331</v>
      </c>
      <c r="M4" s="63">
        <v>0.36666666666666664</v>
      </c>
      <c r="N4" s="63">
        <v>0.2</v>
      </c>
      <c r="O4" s="63">
        <v>0.45454545454545453</v>
      </c>
      <c r="P4" s="63">
        <v>0.33333333333333331</v>
      </c>
      <c r="Q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0.16666666666666666</v>
      </c>
      <c r="M5" s="63">
        <v>0.40350877192982454</v>
      </c>
      <c r="N5" s="63">
        <v>0.21052631578947367</v>
      </c>
      <c r="O5" s="63">
        <v>0.47826086956521741</v>
      </c>
      <c r="P5" s="63">
        <v>0.25</v>
      </c>
      <c r="Q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0.1111111111111111</v>
      </c>
      <c r="M6" s="63">
        <v>0.32222222222222224</v>
      </c>
      <c r="N6" s="63">
        <v>0.18888888888888888</v>
      </c>
      <c r="O6" s="63">
        <v>0.44827586206896552</v>
      </c>
      <c r="P6" s="63">
        <v>0.41176470588235292</v>
      </c>
      <c r="Q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0.16666666666666666</v>
      </c>
      <c r="M7" s="63">
        <v>0.3247863247863248</v>
      </c>
      <c r="N7" s="63">
        <v>0.1623931623931624</v>
      </c>
      <c r="O7" s="63">
        <v>0.5</v>
      </c>
      <c r="P7" s="63">
        <v>0.42105263157894735</v>
      </c>
      <c r="Q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0.13333333333333333</v>
      </c>
      <c r="M8" s="63">
        <v>0.31159420289855072</v>
      </c>
      <c r="N8" s="63">
        <v>0.13768115942028986</v>
      </c>
      <c r="O8" s="63">
        <v>0.55813953488372092</v>
      </c>
      <c r="P8" s="63">
        <v>0.42105263157894735</v>
      </c>
      <c r="Q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0.1111111111111111</v>
      </c>
      <c r="M9" s="63">
        <v>0.30864197530864196</v>
      </c>
      <c r="N9" s="63">
        <v>0.16666666666666666</v>
      </c>
      <c r="O9" s="63">
        <v>0.6</v>
      </c>
      <c r="P9" s="63">
        <v>0.37037037037037035</v>
      </c>
      <c r="Q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9.5238095238095233E-2</v>
      </c>
      <c r="M10" s="63">
        <v>0.29743589743589743</v>
      </c>
      <c r="N10" s="63">
        <v>0.17948717948717949</v>
      </c>
      <c r="O10" s="63">
        <v>0.58620689655172409</v>
      </c>
      <c r="P10" s="63">
        <v>0.42857142857142855</v>
      </c>
      <c r="Q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8.3333333333333329E-2</v>
      </c>
      <c r="M11" s="63">
        <v>0.28703703703703703</v>
      </c>
      <c r="N11" s="63">
        <v>0.18981481481481483</v>
      </c>
      <c r="O11" s="63">
        <v>0.59677419354838712</v>
      </c>
      <c r="P11" s="63">
        <v>0.41463414634146339</v>
      </c>
      <c r="Q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7.407407407407407E-2</v>
      </c>
      <c r="M12" s="63">
        <v>0.27983539094650206</v>
      </c>
      <c r="N12" s="63">
        <v>0.18518518518518517</v>
      </c>
      <c r="O12" s="63">
        <v>0.6029411764705882</v>
      </c>
      <c r="P12" s="63">
        <v>0.44444444444444442</v>
      </c>
      <c r="Q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6.6666666666666666E-2</v>
      </c>
      <c r="M13" s="63">
        <v>0.25964912280701752</v>
      </c>
      <c r="N13" s="63">
        <v>0.19298245614035087</v>
      </c>
      <c r="O13" s="63">
        <v>0.59459459459459463</v>
      </c>
      <c r="P13" s="63">
        <v>0.41818181818181815</v>
      </c>
      <c r="Q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9.0909090909090912E-2</v>
      </c>
      <c r="M14" s="63">
        <v>0.24842767295597484</v>
      </c>
      <c r="N14" s="63">
        <v>0.20754716981132076</v>
      </c>
      <c r="O14" s="63">
        <v>0.60759493670886078</v>
      </c>
      <c r="P14" s="63">
        <v>0.42424242424242425</v>
      </c>
      <c r="Q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8.3333333333333329E-2</v>
      </c>
      <c r="M15" s="63">
        <v>0.25</v>
      </c>
      <c r="N15" s="63">
        <v>0.20977011494252873</v>
      </c>
      <c r="O15" s="63">
        <v>0.57471264367816088</v>
      </c>
      <c r="P15" s="63">
        <v>0.41095890410958902</v>
      </c>
      <c r="Q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7.6923076923076927E-2</v>
      </c>
      <c r="M16" s="63">
        <v>0.248</v>
      </c>
      <c r="N16" s="63">
        <v>0.21866666666666668</v>
      </c>
      <c r="O16" s="63">
        <v>0.59139784946236562</v>
      </c>
      <c r="P16" s="63">
        <v>0.3902439024390244</v>
      </c>
      <c r="Q16" s="63">
        <v>0.4017857142857143</v>
      </c>
    </row>
    <row r="17" spans="1:17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7.1428571428571425E-2</v>
      </c>
      <c r="M17" s="63">
        <v>0.2462686567164179</v>
      </c>
      <c r="N17" s="63">
        <v>0.21641791044776118</v>
      </c>
      <c r="O17" s="63">
        <v>0.58585858585858586</v>
      </c>
      <c r="P17" s="63">
        <v>0.37931034482758619</v>
      </c>
      <c r="Q17" s="63">
        <v>0.38983050847457629</v>
      </c>
    </row>
    <row r="18" spans="1:17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6.6666666666666666E-2</v>
      </c>
      <c r="M18" s="63">
        <v>0.24537037037037038</v>
      </c>
      <c r="N18" s="63">
        <v>0.21527777777777779</v>
      </c>
      <c r="O18" s="63">
        <v>0.58490566037735847</v>
      </c>
      <c r="P18" s="63">
        <v>0.38709677419354838</v>
      </c>
      <c r="Q18" s="63">
        <v>0.3984375</v>
      </c>
    </row>
    <row r="19" spans="1:17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6.25E-2</v>
      </c>
      <c r="M19" s="63">
        <v>0.25438596491228072</v>
      </c>
      <c r="N19" s="63">
        <v>0.21271929824561403</v>
      </c>
      <c r="O19" s="63">
        <v>0.57758620689655171</v>
      </c>
      <c r="P19" s="63">
        <v>0.39175257731958762</v>
      </c>
      <c r="Q19" s="63">
        <v>0.38970588235294118</v>
      </c>
    </row>
    <row r="20" spans="1:17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7.8431372549019607E-2</v>
      </c>
      <c r="M20" s="63">
        <v>0.25102880658436216</v>
      </c>
      <c r="N20" s="63">
        <v>0.2139917695473251</v>
      </c>
      <c r="O20" s="63">
        <v>0.57377049180327866</v>
      </c>
      <c r="P20" s="63">
        <v>0.40384615384615385</v>
      </c>
      <c r="Q20" s="63">
        <v>0.4178082191780822</v>
      </c>
    </row>
    <row r="21" spans="1:17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7.407407407407407E-2</v>
      </c>
      <c r="M21" s="63">
        <v>0.24951267056530213</v>
      </c>
      <c r="N21" s="63">
        <v>0.21442495126705652</v>
      </c>
      <c r="O21" s="63">
        <v>0.5703125</v>
      </c>
      <c r="P21" s="63">
        <v>0.40909090909090912</v>
      </c>
      <c r="Q21" s="63">
        <v>0.41830065359477125</v>
      </c>
    </row>
    <row r="22" spans="1:17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7.0175438596491224E-2</v>
      </c>
      <c r="M22" s="63">
        <v>0.24629629629629629</v>
      </c>
      <c r="N22" s="63">
        <v>0.21666666666666667</v>
      </c>
      <c r="O22" s="63">
        <v>0.56390977443609025</v>
      </c>
      <c r="P22" s="63">
        <v>0.42735042735042733</v>
      </c>
      <c r="Q22" s="63">
        <v>0.42592592592592593</v>
      </c>
    </row>
    <row r="23" spans="1:17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6.6666666666666666E-2</v>
      </c>
      <c r="M23" s="63">
        <v>0.24083769633507854</v>
      </c>
      <c r="N23" s="63">
        <v>0.21291448516579406</v>
      </c>
      <c r="O23" s="63">
        <v>0.55797101449275366</v>
      </c>
      <c r="P23" s="63">
        <v>0.44262295081967212</v>
      </c>
      <c r="Q23" s="63">
        <v>0.40697674418604651</v>
      </c>
    </row>
    <row r="24" spans="1:17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7.9365079365079361E-2</v>
      </c>
      <c r="M24" s="63">
        <v>0.23931623931623933</v>
      </c>
      <c r="N24" s="63">
        <v>0.2153846153846154</v>
      </c>
      <c r="O24" s="63">
        <v>0.55714285714285716</v>
      </c>
      <c r="P24" s="63">
        <v>0.46031746031746029</v>
      </c>
      <c r="Q24" s="63">
        <v>0.40112994350282488</v>
      </c>
    </row>
    <row r="25" spans="1:17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9.0909090909090912E-2</v>
      </c>
      <c r="M25" s="63">
        <v>0.24390243902439024</v>
      </c>
      <c r="N25" s="63">
        <v>0.216260162601626</v>
      </c>
      <c r="O25" s="63">
        <v>0.57333333333333336</v>
      </c>
      <c r="P25" s="63">
        <v>0.45112781954887216</v>
      </c>
      <c r="Q25" s="63">
        <v>0.39572192513368987</v>
      </c>
    </row>
    <row r="26" spans="1:17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0.10144927536231885</v>
      </c>
      <c r="M26" s="63">
        <v>0.24454828660436137</v>
      </c>
      <c r="N26" s="63">
        <v>0.22118380062305296</v>
      </c>
      <c r="O26" s="63">
        <v>0.57324840764331209</v>
      </c>
      <c r="P26" s="63">
        <v>0.44366197183098594</v>
      </c>
      <c r="Q26" s="63">
        <v>0.38974358974358975</v>
      </c>
    </row>
    <row r="27" spans="1:17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0.1111111111111111</v>
      </c>
      <c r="M27" s="63">
        <v>0.24148148148148149</v>
      </c>
      <c r="N27" s="63">
        <v>0.22666666666666666</v>
      </c>
      <c r="O27" s="63">
        <v>0.57055214723926384</v>
      </c>
      <c r="P27" s="63">
        <v>0.43137254901960786</v>
      </c>
      <c r="Q27" s="63">
        <v>0.39215686274509803</v>
      </c>
    </row>
    <row r="28" spans="1:17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0.10666666666666667</v>
      </c>
      <c r="M28" s="63">
        <v>0.24281609195402298</v>
      </c>
      <c r="N28" s="63">
        <v>0.22557471264367815</v>
      </c>
      <c r="O28" s="63">
        <v>0.57396449704142016</v>
      </c>
      <c r="P28" s="63">
        <v>0.43312101910828027</v>
      </c>
      <c r="Q28" s="63">
        <v>0.40284360189573459</v>
      </c>
    </row>
    <row r="29" spans="1:17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0.11538461538461539</v>
      </c>
      <c r="M29" s="63">
        <v>0.24655647382920109</v>
      </c>
      <c r="N29" s="63">
        <v>0.22865013774104684</v>
      </c>
      <c r="O29" s="63">
        <v>0.56983240223463683</v>
      </c>
      <c r="P29" s="63">
        <v>0.42168674698795183</v>
      </c>
      <c r="Q29" s="63">
        <v>0.39908256880733944</v>
      </c>
    </row>
    <row r="30" spans="1:17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0.12345679012345678</v>
      </c>
      <c r="M30" s="63">
        <v>0.24596774193548387</v>
      </c>
      <c r="N30" s="63">
        <v>0.22849462365591397</v>
      </c>
      <c r="O30" s="63">
        <v>0.57377049180327866</v>
      </c>
      <c r="P30" s="63">
        <v>0.41764705882352943</v>
      </c>
      <c r="Q30" s="63">
        <v>0.3991031390134529</v>
      </c>
    </row>
    <row r="31" spans="1:17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0.13095238095238096</v>
      </c>
      <c r="M31" s="63">
        <v>0.24324324324324326</v>
      </c>
      <c r="N31" s="63">
        <v>0.23294723294723294</v>
      </c>
      <c r="O31" s="63">
        <v>0.5714285714285714</v>
      </c>
      <c r="P31" s="63">
        <v>0.40883977900552487</v>
      </c>
      <c r="Q31" s="63">
        <v>0.40086206896551724</v>
      </c>
    </row>
    <row r="32" spans="1:17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0.12643678160919541</v>
      </c>
      <c r="M32" s="63">
        <v>0.24004975124378108</v>
      </c>
      <c r="N32" s="63">
        <v>0.23383084577114427</v>
      </c>
      <c r="O32" s="63">
        <v>0.5803108808290155</v>
      </c>
      <c r="P32" s="63">
        <v>0.41489361702127658</v>
      </c>
      <c r="Q32" s="63">
        <v>0.39583333333333331</v>
      </c>
    </row>
    <row r="33" spans="1:17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0.13333333333333333</v>
      </c>
      <c r="M33" s="63">
        <v>0.23915737298636927</v>
      </c>
      <c r="N33" s="63">
        <v>0.23296158612143741</v>
      </c>
      <c r="O33" s="63">
        <v>0.5803108808290155</v>
      </c>
      <c r="P33" s="63">
        <v>0.41489361702127658</v>
      </c>
      <c r="Q33" s="63">
        <v>0.39419087136929459</v>
      </c>
    </row>
    <row r="34" spans="1:17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0.12903225806451613</v>
      </c>
      <c r="M34" s="63">
        <v>0.2391304347826087</v>
      </c>
      <c r="N34" s="63">
        <v>0.2391304347826087</v>
      </c>
      <c r="O34" s="63">
        <v>0.58080808080808077</v>
      </c>
      <c r="P34" s="63">
        <v>0.41414141414141414</v>
      </c>
      <c r="Q34" s="63">
        <v>0.40322580645161288</v>
      </c>
    </row>
    <row r="35" spans="1:17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0.125</v>
      </c>
      <c r="M35" s="63">
        <v>0.23708920187793428</v>
      </c>
      <c r="N35" s="63">
        <v>0.24178403755868544</v>
      </c>
      <c r="O35" s="63">
        <v>0.58415841584158412</v>
      </c>
      <c r="P35" s="63">
        <v>0.40291262135922329</v>
      </c>
      <c r="Q35" s="63">
        <v>0.396078431372549</v>
      </c>
    </row>
    <row r="36" spans="1:17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0.12121212121212122</v>
      </c>
      <c r="M36" s="63">
        <v>0.23482245131729668</v>
      </c>
      <c r="N36" s="63">
        <v>0.24513172966781213</v>
      </c>
      <c r="O36" s="63">
        <v>0.59024390243902436</v>
      </c>
      <c r="P36" s="63">
        <v>0.39719626168224298</v>
      </c>
      <c r="Q36" s="63">
        <v>0.39846743295019155</v>
      </c>
    </row>
    <row r="37" spans="1:17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0.12745098039215685</v>
      </c>
      <c r="M37" s="63">
        <v>0.23509933774834438</v>
      </c>
      <c r="N37" s="63">
        <v>0.24613686534216336</v>
      </c>
      <c r="O37" s="63">
        <v>0.58685446009389675</v>
      </c>
      <c r="P37" s="63">
        <v>0.39013452914798208</v>
      </c>
      <c r="Q37" s="63">
        <v>0.39405204460966542</v>
      </c>
    </row>
    <row r="38" spans="1:17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0.13333333333333333</v>
      </c>
      <c r="M38" s="63">
        <v>0.23978494623655913</v>
      </c>
      <c r="N38" s="63">
        <v>0.24408602150537634</v>
      </c>
      <c r="O38" s="63">
        <v>0.57847533632286996</v>
      </c>
      <c r="P38" s="63">
        <v>0.3964757709251101</v>
      </c>
      <c r="Q38" s="63">
        <v>0.39350180505415161</v>
      </c>
    </row>
    <row r="39" spans="1:17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0.1388888888888889</v>
      </c>
      <c r="M39" s="63">
        <v>0.24261603375527427</v>
      </c>
      <c r="N39" s="63">
        <v>0.24261603375527427</v>
      </c>
      <c r="O39" s="63">
        <v>0.57391304347826089</v>
      </c>
      <c r="P39" s="63">
        <v>0.39565217391304347</v>
      </c>
      <c r="Q39" s="63">
        <v>0.40070921985815605</v>
      </c>
    </row>
    <row r="40" spans="1:17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0.13513513513513514</v>
      </c>
      <c r="M40" s="63">
        <v>0.24</v>
      </c>
      <c r="N40" s="63">
        <v>0.24923076923076923</v>
      </c>
      <c r="O40" s="63">
        <v>0.57264957264957261</v>
      </c>
      <c r="P40" s="63">
        <v>0.40329218106995884</v>
      </c>
      <c r="Q40" s="63">
        <v>0.3951890034364261</v>
      </c>
    </row>
    <row r="41" spans="1:17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0.13157894736842105</v>
      </c>
      <c r="M41" s="63">
        <v>0.23952095808383234</v>
      </c>
      <c r="N41" s="63">
        <v>0.249500998003992</v>
      </c>
      <c r="O41" s="63">
        <v>0.58333333333333337</v>
      </c>
      <c r="P41" s="63">
        <v>0.40400000000000003</v>
      </c>
      <c r="Q41" s="63">
        <v>0.4</v>
      </c>
    </row>
    <row r="42" spans="1:17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0.12820512820512819</v>
      </c>
      <c r="M42" s="63">
        <v>0.23768115942028986</v>
      </c>
      <c r="N42" s="63">
        <v>0.24927536231884059</v>
      </c>
      <c r="O42" s="63">
        <v>0.58130081300813008</v>
      </c>
      <c r="P42" s="63">
        <v>0.40310077519379844</v>
      </c>
      <c r="Q42" s="63">
        <v>0.39805825242718446</v>
      </c>
    </row>
    <row r="43" spans="1:17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0.125</v>
      </c>
      <c r="M43" s="63">
        <v>0.23876404494382023</v>
      </c>
      <c r="N43" s="63">
        <v>0.25</v>
      </c>
      <c r="O43" s="63">
        <v>0.58431372549019611</v>
      </c>
      <c r="P43" s="63">
        <v>0.4044943820224719</v>
      </c>
      <c r="Q43" s="63">
        <v>0.39811912225705332</v>
      </c>
    </row>
    <row r="44" spans="1:17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0.13008130081300814</v>
      </c>
      <c r="M44" s="63">
        <v>0.23822714681440443</v>
      </c>
      <c r="N44" s="63">
        <v>0.24838411819021236</v>
      </c>
      <c r="O44" s="63">
        <v>0.57751937984496127</v>
      </c>
      <c r="P44" s="63">
        <v>0.40892193308550184</v>
      </c>
      <c r="Q44" s="63">
        <v>0.39938080495356038</v>
      </c>
    </row>
    <row r="45" spans="1:17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0.12698412698412698</v>
      </c>
      <c r="M45" s="63">
        <v>0.23949955317247543</v>
      </c>
      <c r="N45" s="63">
        <v>0.25201072386058981</v>
      </c>
      <c r="O45" s="63">
        <v>0.57089552238805974</v>
      </c>
      <c r="P45" s="63">
        <v>0.40425531914893614</v>
      </c>
      <c r="Q45" s="63">
        <v>0.40483383685800606</v>
      </c>
    </row>
    <row r="46" spans="1:17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0.12403100775193798</v>
      </c>
      <c r="M46" s="63">
        <v>0.23463203463203464</v>
      </c>
      <c r="N46" s="63">
        <v>0.25800865800865802</v>
      </c>
      <c r="O46" s="63">
        <v>0.5719557195571956</v>
      </c>
      <c r="P46" s="63">
        <v>0.40268456375838924</v>
      </c>
      <c r="Q46" s="63">
        <v>0.4064327485380117</v>
      </c>
    </row>
    <row r="47" spans="1:17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0.12121212121212122</v>
      </c>
      <c r="M47" s="63">
        <v>0.2320675105485232</v>
      </c>
      <c r="N47" s="63">
        <v>0.25907172995780592</v>
      </c>
      <c r="O47" s="63">
        <v>0.57454545454545458</v>
      </c>
      <c r="P47" s="63">
        <v>0.40390879478827363</v>
      </c>
      <c r="Q47" s="63">
        <v>0.40909090909090912</v>
      </c>
    </row>
    <row r="48" spans="1:17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0.11851851851851852</v>
      </c>
      <c r="M48" s="63">
        <v>0.23013923013923013</v>
      </c>
      <c r="N48" s="63">
        <v>0.25716625716625718</v>
      </c>
      <c r="O48" s="63">
        <v>0.57651245551601427</v>
      </c>
      <c r="P48" s="63">
        <v>0.40764331210191085</v>
      </c>
      <c r="Q48" s="63">
        <v>0.41322314049586778</v>
      </c>
    </row>
    <row r="49" spans="1:17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0.11594202898550725</v>
      </c>
      <c r="M49" s="63">
        <v>0.23341326938449242</v>
      </c>
      <c r="N49" s="63">
        <v>0.25659472422062352</v>
      </c>
      <c r="O49" s="63">
        <v>0.56849315068493156</v>
      </c>
      <c r="P49" s="63">
        <v>0.40186915887850466</v>
      </c>
      <c r="Q49" s="63">
        <v>0.40921409214092141</v>
      </c>
    </row>
    <row r="50" spans="1:17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0.11347517730496454</v>
      </c>
      <c r="M50" s="63">
        <v>0.23372549019607844</v>
      </c>
      <c r="N50" s="63">
        <v>0.25803921568627453</v>
      </c>
      <c r="O50" s="63">
        <v>0.56711409395973156</v>
      </c>
      <c r="P50" s="63">
        <v>0.40121580547112462</v>
      </c>
      <c r="Q50" s="63">
        <v>0.41066666666666668</v>
      </c>
    </row>
    <row r="51" spans="1:17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0.11805555555555555</v>
      </c>
      <c r="M51" s="63">
        <v>0.23556581986143188</v>
      </c>
      <c r="N51" s="63">
        <v>0.25789068514241725</v>
      </c>
      <c r="O51" s="63">
        <v>0.55882352941176472</v>
      </c>
      <c r="P51" s="63">
        <v>0.40895522388059702</v>
      </c>
      <c r="Q51" s="63">
        <v>0.40992167101827676</v>
      </c>
    </row>
    <row r="52" spans="1:17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0.12244897959183673</v>
      </c>
      <c r="M52" s="63">
        <v>0.23690205011389523</v>
      </c>
      <c r="N52" s="63">
        <v>0.25664388762338647</v>
      </c>
      <c r="O52" s="63">
        <v>0.55128205128205132</v>
      </c>
      <c r="P52" s="63">
        <v>0.41420118343195267</v>
      </c>
      <c r="Q52" s="63">
        <v>0.40979381443298968</v>
      </c>
    </row>
    <row r="53" spans="1:17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0.12</v>
      </c>
      <c r="M53" s="63">
        <v>0.23586309523809523</v>
      </c>
      <c r="N53" s="63">
        <v>0.25744047619047616</v>
      </c>
      <c r="O53" s="63">
        <v>0.5457413249211357</v>
      </c>
      <c r="P53" s="63">
        <v>0.41618497109826591</v>
      </c>
      <c r="Q53" s="63">
        <v>0.40862944162436549</v>
      </c>
    </row>
    <row r="54" spans="1:17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0.12418300653594772</v>
      </c>
      <c r="M54" s="63">
        <v>0.23663003663003662</v>
      </c>
      <c r="N54" s="63">
        <v>0.25567765567765566</v>
      </c>
      <c r="O54" s="63">
        <v>0.54489164086687303</v>
      </c>
      <c r="P54" s="63">
        <v>0.41833810888252149</v>
      </c>
      <c r="Q54" s="63">
        <v>0.41</v>
      </c>
    </row>
    <row r="55" spans="1:17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0.12179487179487179</v>
      </c>
      <c r="M55" s="63">
        <v>0.23809523809523808</v>
      </c>
      <c r="N55" s="63">
        <v>0.25396825396825395</v>
      </c>
      <c r="O55" s="63">
        <v>0.54545454545454541</v>
      </c>
      <c r="P55" s="63">
        <v>0.42045454545454547</v>
      </c>
      <c r="Q55" s="63">
        <v>0.40886699507389163</v>
      </c>
    </row>
    <row r="56" spans="1:17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0.11949685534591195</v>
      </c>
      <c r="M56" s="63">
        <v>0.23799435028248589</v>
      </c>
      <c r="N56" s="63">
        <v>0.25141242937853109</v>
      </c>
      <c r="O56" s="63">
        <v>0.54896142433234418</v>
      </c>
      <c r="P56" s="63">
        <v>0.42134831460674155</v>
      </c>
      <c r="Q56" s="63">
        <v>0.41445783132530123</v>
      </c>
    </row>
    <row r="57" spans="1:17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0.11728395061728394</v>
      </c>
      <c r="M57" s="63">
        <v>0.23720608575380359</v>
      </c>
      <c r="N57" s="63">
        <v>0.24896265560165975</v>
      </c>
      <c r="O57" s="63">
        <v>0.54810495626822153</v>
      </c>
      <c r="P57" s="63">
        <v>0.42499999999999999</v>
      </c>
      <c r="Q57" s="63">
        <v>0.41232227488151657</v>
      </c>
    </row>
    <row r="58" spans="1:17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0.12121212121212122</v>
      </c>
      <c r="M58" s="63">
        <v>0.23731138545953362</v>
      </c>
      <c r="N58" s="63">
        <v>0.24828532235939643</v>
      </c>
      <c r="O58" s="63">
        <v>0.54624277456647397</v>
      </c>
      <c r="P58" s="63">
        <v>0.425414364640884</v>
      </c>
      <c r="Q58" s="63">
        <v>0.40941176470588236</v>
      </c>
    </row>
    <row r="59" spans="1:17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0.11904761904761904</v>
      </c>
      <c r="M59" s="63">
        <v>0.23904382470119523</v>
      </c>
      <c r="N59" s="63">
        <v>0.24966799468791501</v>
      </c>
      <c r="O59" s="63">
        <v>0.54166666666666663</v>
      </c>
      <c r="P59" s="63">
        <v>0.42021276595744683</v>
      </c>
      <c r="Q59" s="63">
        <v>0.40596330275229359</v>
      </c>
    </row>
    <row r="60" spans="1:17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0.11695906432748537</v>
      </c>
      <c r="M60" s="63">
        <v>0.23818897637795275</v>
      </c>
      <c r="N60" s="63">
        <v>0.24803149606299213</v>
      </c>
      <c r="O60" s="63">
        <v>0.54545454545454541</v>
      </c>
      <c r="P60" s="63">
        <v>0.42328042328042326</v>
      </c>
      <c r="Q60" s="63">
        <v>0.40723981900452488</v>
      </c>
    </row>
    <row r="61" spans="1:17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0.11494252873563218</v>
      </c>
      <c r="M61" s="63">
        <v>0.23708010335917312</v>
      </c>
      <c r="N61" s="63">
        <v>0.24935400516795866</v>
      </c>
      <c r="O61" s="63">
        <v>0.54495912806539515</v>
      </c>
      <c r="P61" s="63">
        <v>0.42746113989637308</v>
      </c>
      <c r="Q61" s="63">
        <v>0.40888888888888891</v>
      </c>
    </row>
    <row r="62" spans="1:17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0.11864406779661017</v>
      </c>
      <c r="M62" s="63">
        <v>0.23690932311621968</v>
      </c>
      <c r="N62" s="63">
        <v>0.24968071519795657</v>
      </c>
      <c r="O62" s="63">
        <v>0.54716981132075471</v>
      </c>
      <c r="P62" s="63">
        <v>0.42710997442455245</v>
      </c>
      <c r="Q62" s="63">
        <v>0.4057017543859649</v>
      </c>
    </row>
    <row r="63" spans="1:17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0.11666666666666667</v>
      </c>
      <c r="M63" s="63">
        <v>0.23710691823899371</v>
      </c>
      <c r="N63" s="63">
        <v>0.25094339622641509</v>
      </c>
      <c r="O63" s="63">
        <v>0.55172413793103448</v>
      </c>
      <c r="P63" s="63">
        <v>0.42606516290726815</v>
      </c>
      <c r="Q63" s="63">
        <v>0.40732758620689657</v>
      </c>
    </row>
    <row r="64" spans="1:17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0.11475409836065574</v>
      </c>
      <c r="M64" s="63">
        <v>0.23711980136561142</v>
      </c>
      <c r="N64" s="63">
        <v>0.25139664804469275</v>
      </c>
      <c r="O64" s="63">
        <v>0.55759162303664922</v>
      </c>
      <c r="P64" s="63">
        <v>0.42222222222222222</v>
      </c>
      <c r="Q64" s="63">
        <v>0.40851063829787232</v>
      </c>
    </row>
    <row r="65" spans="1:17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0.11290322580645161</v>
      </c>
      <c r="M65" s="63">
        <v>0.23897058823529413</v>
      </c>
      <c r="N65" s="63">
        <v>0.25</v>
      </c>
      <c r="O65" s="63">
        <v>0.55897435897435899</v>
      </c>
      <c r="P65" s="63">
        <v>0.42156862745098039</v>
      </c>
      <c r="Q65" s="63">
        <v>0.41090146750524109</v>
      </c>
    </row>
    <row r="66" spans="1:17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0.1111111111111111</v>
      </c>
      <c r="M66" s="63">
        <v>0.23973429951690822</v>
      </c>
      <c r="N66" s="63">
        <v>0.24879227053140096</v>
      </c>
      <c r="O66" s="63">
        <v>0.5617128463476071</v>
      </c>
      <c r="P66" s="63">
        <v>0.4199029126213592</v>
      </c>
      <c r="Q66" s="63">
        <v>0.41528925619834711</v>
      </c>
    </row>
    <row r="67" spans="1:17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0.109375</v>
      </c>
      <c r="M67" s="63">
        <v>0.24166666666666667</v>
      </c>
      <c r="N67" s="63">
        <v>0.24821428571428572</v>
      </c>
      <c r="O67" s="63">
        <v>0.55418719211822665</v>
      </c>
      <c r="P67" s="63">
        <v>0.41726618705035973</v>
      </c>
      <c r="Q67" s="63">
        <v>0.41632653061224489</v>
      </c>
    </row>
    <row r="68" spans="1:17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0.11282051282051282</v>
      </c>
      <c r="M68" s="63">
        <v>0.24460011675423235</v>
      </c>
      <c r="N68" s="63">
        <v>0.24576765907764156</v>
      </c>
      <c r="O68" s="63">
        <v>0.55369928400954649</v>
      </c>
      <c r="P68" s="63">
        <v>0.42280285035629456</v>
      </c>
      <c r="Q68" s="63">
        <v>0.41916167664670656</v>
      </c>
    </row>
    <row r="69" spans="1:17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0.1111111111111111</v>
      </c>
      <c r="M69" s="63">
        <v>0.24610051993067592</v>
      </c>
      <c r="N69" s="63">
        <v>0.24610051993067592</v>
      </c>
      <c r="O69" s="63">
        <v>0.55164319248826288</v>
      </c>
      <c r="P69" s="63">
        <v>0.42018779342723006</v>
      </c>
      <c r="Q69" s="63">
        <v>0.42094861660079053</v>
      </c>
    </row>
    <row r="70" spans="1:17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0.10945273631840796</v>
      </c>
      <c r="M70" s="63">
        <v>0.249002849002849</v>
      </c>
      <c r="N70" s="63">
        <v>0.24444444444444444</v>
      </c>
      <c r="O70" s="63">
        <v>0.54919908466819223</v>
      </c>
      <c r="P70" s="63">
        <v>0.41958041958041958</v>
      </c>
      <c r="Q70" s="63">
        <v>0.42023346303501946</v>
      </c>
    </row>
    <row r="71" spans="1:17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0.10784313725490197</v>
      </c>
      <c r="M71" s="63">
        <v>0.25</v>
      </c>
      <c r="N71" s="63">
        <v>0.24380630630630631</v>
      </c>
      <c r="O71" s="63">
        <v>0.54504504504504503</v>
      </c>
      <c r="P71" s="63">
        <v>0.42032332563510394</v>
      </c>
      <c r="Q71" s="63">
        <v>0.41618497109826591</v>
      </c>
    </row>
    <row r="72" spans="1:17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0.1111111111111111</v>
      </c>
      <c r="M72" s="63">
        <v>0.24930439621591541</v>
      </c>
      <c r="N72" s="63">
        <v>0.24429604897050641</v>
      </c>
      <c r="O72" s="63">
        <v>0.5424107142857143</v>
      </c>
      <c r="P72" s="63">
        <v>0.4191343963553531</v>
      </c>
      <c r="Q72" s="63">
        <v>0.4168260038240918</v>
      </c>
    </row>
    <row r="73" spans="1:17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0.11428571428571428</v>
      </c>
      <c r="M73" s="63">
        <v>0.24972497249724973</v>
      </c>
      <c r="N73" s="63">
        <v>0.24532453245324531</v>
      </c>
      <c r="O73" s="63">
        <v>0.54185022026431717</v>
      </c>
      <c r="P73" s="63">
        <v>0.42152466367713004</v>
      </c>
      <c r="Q73" s="63">
        <v>0.41509433962264153</v>
      </c>
    </row>
    <row r="74" spans="1:17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0.11267605633802817</v>
      </c>
      <c r="M74" s="63">
        <v>0.24755700325732899</v>
      </c>
      <c r="N74" s="63">
        <v>0.24755700325732899</v>
      </c>
      <c r="O74" s="63">
        <v>0.54166666666666663</v>
      </c>
      <c r="P74" s="63">
        <v>0.4232456140350877</v>
      </c>
      <c r="Q74" s="63">
        <v>0.41263940520446096</v>
      </c>
    </row>
    <row r="75" spans="1:17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0.1111111111111111</v>
      </c>
      <c r="M75" s="63">
        <v>0.24758842443729903</v>
      </c>
      <c r="N75" s="63">
        <v>0.24866023579849947</v>
      </c>
      <c r="O75" s="63">
        <v>0.54112554112554112</v>
      </c>
      <c r="P75" s="63">
        <v>0.42672413793103448</v>
      </c>
      <c r="Q75" s="63">
        <v>0.41391941391941389</v>
      </c>
    </row>
    <row r="76" spans="1:17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0.1095890410958904</v>
      </c>
      <c r="M76" s="63">
        <v>0.24656084656084656</v>
      </c>
      <c r="N76" s="63">
        <v>0.24656084656084656</v>
      </c>
      <c r="O76" s="63">
        <v>0.5429184549356223</v>
      </c>
      <c r="P76" s="63">
        <v>0.42489270386266093</v>
      </c>
      <c r="Q76" s="63">
        <v>0.41335740072202165</v>
      </c>
    </row>
    <row r="77" spans="1:17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0.10810810810810811</v>
      </c>
      <c r="M77" s="63">
        <v>0.24646781789638933</v>
      </c>
      <c r="N77" s="63">
        <v>0.24594453165881738</v>
      </c>
      <c r="O77" s="63">
        <v>0.54564755838641188</v>
      </c>
      <c r="P77" s="63">
        <v>0.42553191489361702</v>
      </c>
      <c r="Q77" s="63">
        <v>0.41785714285714287</v>
      </c>
    </row>
    <row r="78" spans="1:17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0.10666666666666667</v>
      </c>
      <c r="M78" s="63">
        <v>0.24754521963824289</v>
      </c>
      <c r="N78" s="63">
        <v>0.24702842377260981</v>
      </c>
      <c r="O78" s="63">
        <v>0.54279749478079331</v>
      </c>
      <c r="P78" s="63">
        <v>0.42468619246861927</v>
      </c>
      <c r="Q78" s="63">
        <v>0.41446208112874777</v>
      </c>
    </row>
    <row r="79" spans="1:17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0.10964912280701754</v>
      </c>
      <c r="M79" s="63">
        <v>0.24639917695473251</v>
      </c>
      <c r="N79" s="63">
        <v>0.24742798353909465</v>
      </c>
      <c r="O79" s="63">
        <v>0.54279749478079331</v>
      </c>
      <c r="P79" s="63">
        <v>0.42411642411642414</v>
      </c>
      <c r="Q79" s="63">
        <v>0.41403508771929826</v>
      </c>
    </row>
    <row r="80" spans="1:17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0.10822510822510822</v>
      </c>
      <c r="M80" s="63">
        <v>0.24783715012722646</v>
      </c>
      <c r="N80" s="63">
        <v>0.24580152671755726</v>
      </c>
      <c r="O80" s="63">
        <v>0.5462012320328542</v>
      </c>
      <c r="P80" s="63">
        <v>0.42236024844720499</v>
      </c>
      <c r="Q80" s="63">
        <v>0.41840277777777779</v>
      </c>
    </row>
    <row r="81" spans="1:17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0.1111111111111111</v>
      </c>
      <c r="M81" s="63">
        <v>0.24797979797979797</v>
      </c>
      <c r="N81" s="63">
        <v>0.24545454545454545</v>
      </c>
      <c r="O81" s="63">
        <v>0.54582484725050917</v>
      </c>
      <c r="P81" s="63">
        <v>0.42181069958847739</v>
      </c>
      <c r="Q81" s="63">
        <v>0.41824440619621345</v>
      </c>
    </row>
    <row r="82" spans="1:17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0.10970464135021098</v>
      </c>
      <c r="M82" s="63">
        <v>0.24800399201596807</v>
      </c>
      <c r="N82" s="63">
        <v>0.24500998003992017</v>
      </c>
      <c r="O82" s="63">
        <v>0.54325955734406439</v>
      </c>
      <c r="P82" s="63">
        <v>0.42566191446028512</v>
      </c>
      <c r="Q82" s="63">
        <v>0.41666666666666669</v>
      </c>
    </row>
    <row r="83" spans="1:17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0.1125</v>
      </c>
      <c r="M83" s="63">
        <v>0.24801587301587302</v>
      </c>
      <c r="N83" s="63">
        <v>0.24454365079365079</v>
      </c>
      <c r="O83" s="63">
        <v>0.54600000000000004</v>
      </c>
      <c r="P83" s="63">
        <v>0.42393509127789047</v>
      </c>
      <c r="Q83" s="63">
        <v>0.41554054054054052</v>
      </c>
    </row>
    <row r="84" spans="1:17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0.1111111111111111</v>
      </c>
      <c r="M84" s="63">
        <v>0.24743777452415813</v>
      </c>
      <c r="N84" s="63">
        <v>0.24597364568081992</v>
      </c>
      <c r="O84" s="63">
        <v>0.5483234714003945</v>
      </c>
      <c r="P84" s="63">
        <v>0.42261904761904762</v>
      </c>
      <c r="Q84" s="63">
        <v>0.41196013289036543</v>
      </c>
    </row>
    <row r="85" spans="1:17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0.11382113821138211</v>
      </c>
      <c r="M85" s="63">
        <v>0.24818577648766327</v>
      </c>
      <c r="N85" s="63">
        <v>0.24479922593130141</v>
      </c>
      <c r="O85" s="63">
        <v>0.55165692007797273</v>
      </c>
      <c r="P85" s="63">
        <v>0.42094861660079053</v>
      </c>
      <c r="Q85" s="63">
        <v>0.41282894736842107</v>
      </c>
    </row>
    <row r="86" spans="1:17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0.11646586345381527</v>
      </c>
      <c r="M86" s="63">
        <v>0.24831892411143131</v>
      </c>
      <c r="N86" s="63">
        <v>0.24543707973102785</v>
      </c>
      <c r="O86" s="63">
        <v>0.55125725338491294</v>
      </c>
      <c r="P86" s="63">
        <v>0.42074363992172209</v>
      </c>
      <c r="Q86" s="63">
        <v>0.41272430668841764</v>
      </c>
    </row>
    <row r="87" spans="1:17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0.11507936507936507</v>
      </c>
      <c r="M87" s="63">
        <v>0.24691358024691357</v>
      </c>
      <c r="N87" s="63">
        <v>0.24596391263057929</v>
      </c>
      <c r="O87" s="63">
        <v>0.55192307692307696</v>
      </c>
      <c r="P87" s="63">
        <v>0.41891891891891891</v>
      </c>
      <c r="Q87" s="63">
        <v>0.41033925686591277</v>
      </c>
    </row>
    <row r="88" spans="1:17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0.11372549019607843</v>
      </c>
      <c r="M88" s="63">
        <v>0.24635637047484721</v>
      </c>
      <c r="N88" s="63">
        <v>0.24682651622002821</v>
      </c>
      <c r="O88" s="63">
        <v>0.55152671755725191</v>
      </c>
      <c r="P88" s="63">
        <v>0.41904761904761906</v>
      </c>
      <c r="Q88" s="63">
        <v>0.41120000000000001</v>
      </c>
    </row>
    <row r="89" spans="1:17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0.11627906976744186</v>
      </c>
      <c r="M89" s="63">
        <v>0.24500232450023246</v>
      </c>
      <c r="N89" s="63">
        <v>0.24593212459321245</v>
      </c>
      <c r="O89" s="63">
        <v>0.5540796963946869</v>
      </c>
      <c r="P89" s="63">
        <v>0.42155009451795838</v>
      </c>
      <c r="Q89" s="63">
        <v>0.41297468354430378</v>
      </c>
    </row>
    <row r="90" spans="1:17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0.11494252873563218</v>
      </c>
      <c r="M90" s="63">
        <v>0.24481327800829875</v>
      </c>
      <c r="N90" s="63">
        <v>0.24435223605348086</v>
      </c>
      <c r="O90" s="63">
        <v>0.55743879472693036</v>
      </c>
      <c r="P90" s="63">
        <v>0.42075471698113209</v>
      </c>
      <c r="Q90" s="63">
        <v>0.41444270015698587</v>
      </c>
    </row>
    <row r="91" spans="1:17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0.11363636363636363</v>
      </c>
      <c r="M91" s="63">
        <v>0.24453551912568305</v>
      </c>
      <c r="N91" s="63">
        <v>0.24590163934426229</v>
      </c>
      <c r="O91" s="63">
        <v>0.55679702048417135</v>
      </c>
      <c r="P91" s="63">
        <v>0.42037037037037039</v>
      </c>
      <c r="Q91" s="63">
        <v>0.41950464396284831</v>
      </c>
    </row>
    <row r="92" spans="1:17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0.11235955056179775</v>
      </c>
      <c r="M92" s="63">
        <v>0.24549549549549549</v>
      </c>
      <c r="N92" s="63">
        <v>0.24594594594594596</v>
      </c>
      <c r="O92" s="63">
        <v>0.55596330275229355</v>
      </c>
      <c r="P92" s="63">
        <v>0.42124542124542125</v>
      </c>
      <c r="Q92" s="63">
        <v>0.41960183767228176</v>
      </c>
    </row>
    <row r="93" spans="1:17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0.1111111111111111</v>
      </c>
      <c r="M93" s="63">
        <v>0.24477080551846908</v>
      </c>
      <c r="N93" s="63">
        <v>0.24699599465954605</v>
      </c>
      <c r="O93" s="63">
        <v>0.55636363636363639</v>
      </c>
      <c r="P93" s="63">
        <v>0.41981981981981981</v>
      </c>
      <c r="Q93" s="63">
        <v>0.41754916792738278</v>
      </c>
    </row>
    <row r="94" spans="1:17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0.10989010989010989</v>
      </c>
      <c r="M94" s="63">
        <v>0.24450307827616535</v>
      </c>
      <c r="N94" s="63">
        <v>0.24802110817941952</v>
      </c>
      <c r="O94" s="63">
        <v>0.5539568345323741</v>
      </c>
      <c r="P94" s="63">
        <v>0.42021276595744683</v>
      </c>
      <c r="Q94" s="63">
        <v>0.41529235382308843</v>
      </c>
    </row>
    <row r="95" spans="1:17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0.10869565217391304</v>
      </c>
      <c r="M95" s="63">
        <v>0.24444444444444444</v>
      </c>
      <c r="N95" s="63">
        <v>0.24749455337690632</v>
      </c>
      <c r="O95" s="63">
        <v>0.55436720142602491</v>
      </c>
      <c r="P95" s="63">
        <v>0.42077464788732394</v>
      </c>
      <c r="Q95" s="63">
        <v>0.41753343239227342</v>
      </c>
    </row>
    <row r="96" spans="1:17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0.10752688172043011</v>
      </c>
      <c r="M96" s="63">
        <v>0.24387096774193548</v>
      </c>
      <c r="N96" s="63">
        <v>0.24688172043010753</v>
      </c>
      <c r="O96" s="63">
        <v>0.55026455026455023</v>
      </c>
      <c r="P96" s="63">
        <v>0.42160278745644597</v>
      </c>
      <c r="Q96" s="63">
        <v>0.41617647058823531</v>
      </c>
    </row>
    <row r="97" spans="1:17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0.1099290780141844</v>
      </c>
      <c r="M97" s="63">
        <v>0.24358974358974358</v>
      </c>
      <c r="N97" s="63">
        <v>0.24658119658119659</v>
      </c>
      <c r="O97" s="63">
        <v>0.5491228070175439</v>
      </c>
      <c r="P97" s="63">
        <v>0.42114384748700173</v>
      </c>
      <c r="Q97" s="63">
        <v>0.41666666666666669</v>
      </c>
    </row>
    <row r="98" spans="1:17" x14ac:dyDescent="0.4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0.10877192982456141</v>
      </c>
      <c r="M98" s="63">
        <v>0.24441635061104089</v>
      </c>
      <c r="N98" s="63">
        <v>0.24652338811630847</v>
      </c>
      <c r="O98" s="63">
        <v>0.55172413793103448</v>
      </c>
      <c r="P98" s="63">
        <v>0.41709401709401711</v>
      </c>
      <c r="Q98" s="63">
        <v>0.41354466858789624</v>
      </c>
    </row>
    <row r="99" spans="1:17" x14ac:dyDescent="0.4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0.1076388888888889</v>
      </c>
      <c r="M99" s="63">
        <v>0.24427798585101956</v>
      </c>
      <c r="N99" s="63">
        <v>0.2459425717852684</v>
      </c>
      <c r="O99" s="63">
        <v>0.55025553662691651</v>
      </c>
      <c r="P99" s="63">
        <v>0.41624365482233505</v>
      </c>
      <c r="Q99" s="63">
        <v>0.41084165477888729</v>
      </c>
    </row>
    <row r="100" spans="1:17" x14ac:dyDescent="0.4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0.10652920962199312</v>
      </c>
      <c r="M100" s="63">
        <v>0.24381188118811881</v>
      </c>
      <c r="N100" s="63">
        <v>0.24628712871287128</v>
      </c>
      <c r="O100" s="63">
        <v>0.54991539763113362</v>
      </c>
      <c r="P100" s="63">
        <v>0.41708542713567837</v>
      </c>
      <c r="Q100" s="63">
        <v>0.41018387553041019</v>
      </c>
    </row>
    <row r="101" spans="1:17" x14ac:dyDescent="0.4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0.10544217687074831</v>
      </c>
      <c r="M101" s="63">
        <v>0.24335378323108384</v>
      </c>
      <c r="N101" s="63">
        <v>0.24498977505112474</v>
      </c>
      <c r="O101" s="63">
        <v>0.55294117647058827</v>
      </c>
      <c r="P101" s="63">
        <v>0.41736227045075125</v>
      </c>
      <c r="Q101" s="63">
        <v>0.40953716690042075</v>
      </c>
    </row>
    <row r="102" spans="1:17" x14ac:dyDescent="0.4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0.10437710437710437</v>
      </c>
      <c r="M102" s="63">
        <v>0.24371451743714517</v>
      </c>
      <c r="N102" s="63">
        <v>0.24452554744525548</v>
      </c>
      <c r="O102" s="63">
        <v>0.55574043261231276</v>
      </c>
      <c r="P102" s="63">
        <v>0.41791044776119401</v>
      </c>
      <c r="Q102" s="63">
        <v>0.40833333333333333</v>
      </c>
    </row>
    <row r="103" spans="1:17" x14ac:dyDescent="0.4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0.10333333333333333</v>
      </c>
      <c r="M103" s="63">
        <v>0.2438828720417168</v>
      </c>
      <c r="N103" s="63">
        <v>0.24428399518652227</v>
      </c>
      <c r="O103" s="63">
        <v>0.55756578947368418</v>
      </c>
      <c r="P103" s="63">
        <v>0.4154351395730706</v>
      </c>
      <c r="Q103" s="63">
        <v>0.4107142857142857</v>
      </c>
    </row>
    <row r="104" spans="1:17" x14ac:dyDescent="0.4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0.10231023102310231</v>
      </c>
      <c r="M104" s="63">
        <v>0.24502784407319014</v>
      </c>
      <c r="N104" s="63">
        <v>0.24343675417661098</v>
      </c>
      <c r="O104" s="63">
        <v>0.55681818181818177</v>
      </c>
      <c r="P104" s="63">
        <v>0.41666666666666669</v>
      </c>
      <c r="Q104" s="63">
        <v>0.41360544217687073</v>
      </c>
    </row>
    <row r="105" spans="1:17" x14ac:dyDescent="0.4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0.10130718954248366</v>
      </c>
      <c r="M105" s="63">
        <v>0.24507486209613868</v>
      </c>
      <c r="N105" s="63">
        <v>0.24310480693459416</v>
      </c>
      <c r="O105" s="63">
        <v>0.55787781350482313</v>
      </c>
      <c r="P105" s="63">
        <v>0.41653160453808752</v>
      </c>
      <c r="Q105" s="63">
        <v>0.4137466307277628</v>
      </c>
    </row>
    <row r="106" spans="1:17" x14ac:dyDescent="0.4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0.10355987055016182</v>
      </c>
      <c r="M106" s="63">
        <v>0.24598511555033295</v>
      </c>
      <c r="N106" s="63">
        <v>0.24206815511163338</v>
      </c>
      <c r="O106" s="63">
        <v>0.55891719745222934</v>
      </c>
      <c r="P106" s="63">
        <v>0.41585760517799353</v>
      </c>
      <c r="Q106" s="63">
        <v>0.41420911528150134</v>
      </c>
    </row>
    <row r="107" spans="1:17" x14ac:dyDescent="0.4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0.10256410256410256</v>
      </c>
      <c r="M107" s="63">
        <v>0.24622531939605111</v>
      </c>
      <c r="N107" s="63">
        <v>0.24428958575300039</v>
      </c>
      <c r="O107" s="63">
        <v>0.55817610062893086</v>
      </c>
      <c r="P107" s="63">
        <v>0.41521394611727419</v>
      </c>
      <c r="Q107" s="63">
        <v>0.41456953642384103</v>
      </c>
    </row>
    <row r="108" spans="1:17" x14ac:dyDescent="0.4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0.10158730158730159</v>
      </c>
      <c r="M108" s="63">
        <v>0.24541284403669725</v>
      </c>
      <c r="N108" s="63">
        <v>0.24273700305810397</v>
      </c>
      <c r="O108" s="63">
        <v>0.55919003115264798</v>
      </c>
      <c r="P108" s="63">
        <v>0.41574803149606299</v>
      </c>
      <c r="Q108" s="63">
        <v>0.41753926701570682</v>
      </c>
    </row>
    <row r="109" spans="1:17" x14ac:dyDescent="0.4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0.10377358490566038</v>
      </c>
      <c r="M109" s="63">
        <v>0.24553401748384646</v>
      </c>
      <c r="N109" s="63">
        <v>0.24287343215507412</v>
      </c>
      <c r="O109" s="63">
        <v>0.55727554179566563</v>
      </c>
      <c r="P109" s="63">
        <v>0.41471048513302033</v>
      </c>
      <c r="Q109" s="63">
        <v>0.4174252275682705</v>
      </c>
    </row>
    <row r="110" spans="1:17" x14ac:dyDescent="0.4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0.1059190031152648</v>
      </c>
      <c r="M110" s="63">
        <v>0.24644194756554308</v>
      </c>
      <c r="N110" s="63">
        <v>0.24044943820224718</v>
      </c>
      <c r="O110" s="63">
        <v>0.55927051671732519</v>
      </c>
      <c r="P110" s="63">
        <v>0.41277258566978192</v>
      </c>
      <c r="Q110" s="63">
        <v>0.41848523748395378</v>
      </c>
    </row>
    <row r="111" spans="1:17" x14ac:dyDescent="0.4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0.10493827160493827</v>
      </c>
      <c r="M111" s="63">
        <v>0.24567219152854511</v>
      </c>
      <c r="N111" s="63">
        <v>0.23904235727440148</v>
      </c>
      <c r="O111" s="63">
        <v>0.56071964017991005</v>
      </c>
      <c r="P111" s="63">
        <v>0.41294298921417566</v>
      </c>
      <c r="Q111" s="63">
        <v>0.42118537200504413</v>
      </c>
    </row>
    <row r="112" spans="1:17" x14ac:dyDescent="0.4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0.10397553516819572</v>
      </c>
      <c r="M112" s="63">
        <v>0.24524853801169591</v>
      </c>
      <c r="N112" s="63">
        <v>0.23940058479532164</v>
      </c>
      <c r="O112" s="63">
        <v>0.56184798807749625</v>
      </c>
      <c r="P112" s="63">
        <v>0.41068702290076337</v>
      </c>
      <c r="Q112" s="63">
        <v>0.42375000000000002</v>
      </c>
    </row>
    <row r="113" spans="1:17" x14ac:dyDescent="0.4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0.10303030303030303</v>
      </c>
      <c r="M113" s="63">
        <v>0.24656543745480838</v>
      </c>
      <c r="N113" s="63">
        <v>0.23933477946493131</v>
      </c>
      <c r="O113" s="63">
        <v>0.56158357771260992</v>
      </c>
      <c r="P113" s="63">
        <v>0.41087613293051362</v>
      </c>
      <c r="Q113" s="63">
        <v>0.42274412855377008</v>
      </c>
    </row>
    <row r="114" spans="1:17" x14ac:dyDescent="0.4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0.1021021021021021</v>
      </c>
      <c r="M114" s="63">
        <v>0.24591329068941009</v>
      </c>
      <c r="N114" s="63">
        <v>0.23987206823027718</v>
      </c>
      <c r="O114" s="63">
        <v>0.55924855491329484</v>
      </c>
      <c r="P114" s="63">
        <v>0.41037037037037039</v>
      </c>
      <c r="Q114" s="63">
        <v>0.42509135200974424</v>
      </c>
    </row>
    <row r="115" spans="1:17" x14ac:dyDescent="0.4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0.10119047619047619</v>
      </c>
      <c r="M115" s="63">
        <v>0.24491228070175439</v>
      </c>
      <c r="N115" s="63">
        <v>0.24140350877192981</v>
      </c>
      <c r="O115" s="63">
        <v>0.56160458452722062</v>
      </c>
      <c r="P115" s="63">
        <v>0.40988372093023256</v>
      </c>
      <c r="Q115" s="63">
        <v>0.42376950780312123</v>
      </c>
    </row>
    <row r="116" spans="1:17" x14ac:dyDescent="0.4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0.10029498525073746</v>
      </c>
      <c r="M116" s="63">
        <v>0.24486241727621039</v>
      </c>
      <c r="N116" s="63">
        <v>0.24103099965168931</v>
      </c>
      <c r="O116" s="63">
        <v>0.56187766714082499</v>
      </c>
      <c r="P116" s="63">
        <v>0.41184971098265893</v>
      </c>
      <c r="Q116" s="63">
        <v>0.42550655542312277</v>
      </c>
    </row>
    <row r="117" spans="1:17" x14ac:dyDescent="0.4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9.9415204678362568E-2</v>
      </c>
      <c r="M117" s="63">
        <v>0.24455958549222798</v>
      </c>
      <c r="N117" s="63">
        <v>0.24145077720207253</v>
      </c>
      <c r="O117" s="63">
        <v>0.56214689265536721</v>
      </c>
      <c r="P117" s="63">
        <v>0.413447782546495</v>
      </c>
      <c r="Q117" s="63">
        <v>0.42334905660377359</v>
      </c>
    </row>
    <row r="118" spans="1:17" x14ac:dyDescent="0.4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9.8550724637681164E-2</v>
      </c>
      <c r="M118" s="63">
        <v>0.2448559670781893</v>
      </c>
      <c r="N118" s="63">
        <v>0.24074074074074073</v>
      </c>
      <c r="O118" s="63">
        <v>0.56302521008403361</v>
      </c>
      <c r="P118" s="63">
        <v>0.4131054131054131</v>
      </c>
      <c r="Q118" s="63">
        <v>0.42505854800936765</v>
      </c>
    </row>
    <row r="119" spans="1:17" x14ac:dyDescent="0.4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9.7701149425287362E-2</v>
      </c>
      <c r="M119" s="63">
        <v>0.24557823129251702</v>
      </c>
      <c r="N119" s="63">
        <v>0.24047619047619048</v>
      </c>
      <c r="O119" s="63">
        <v>0.56371191135734067</v>
      </c>
      <c r="P119" s="63">
        <v>0.4115983026874116</v>
      </c>
      <c r="Q119" s="63">
        <v>0.42624854819976771</v>
      </c>
    </row>
    <row r="120" spans="1:17" x14ac:dyDescent="0.4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9.686609686609686E-2</v>
      </c>
      <c r="M120" s="63">
        <v>0.24595141700404857</v>
      </c>
      <c r="N120" s="63">
        <v>0.24055330634278002</v>
      </c>
      <c r="O120" s="63">
        <v>0.56515775034293558</v>
      </c>
      <c r="P120" s="63">
        <v>0.4109396914446003</v>
      </c>
      <c r="Q120" s="63">
        <v>0.42692750287686998</v>
      </c>
    </row>
    <row r="121" spans="1:17" x14ac:dyDescent="0.4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9.6045197740112997E-2</v>
      </c>
      <c r="M121" s="63">
        <v>0.24607154797726513</v>
      </c>
      <c r="N121" s="63">
        <v>0.24105650284185892</v>
      </c>
      <c r="O121" s="63">
        <v>0.56385869565217395</v>
      </c>
      <c r="P121" s="63">
        <v>0.41192787794729541</v>
      </c>
      <c r="Q121" s="63">
        <v>0.42824601366742598</v>
      </c>
    </row>
    <row r="122" spans="1:17" x14ac:dyDescent="0.4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9.5238095238095233E-2</v>
      </c>
      <c r="M122" s="63">
        <v>0.2470978441127695</v>
      </c>
      <c r="N122" s="63">
        <v>0.24112769485903815</v>
      </c>
      <c r="O122" s="63">
        <v>0.56375838926174493</v>
      </c>
      <c r="P122" s="63">
        <v>0.41127922971114167</v>
      </c>
      <c r="Q122" s="63">
        <v>0.4255079006772009</v>
      </c>
    </row>
    <row r="123" spans="1:17" x14ac:dyDescent="0.4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9.4444444444444442E-2</v>
      </c>
      <c r="M123" s="63">
        <v>0.24695021430926475</v>
      </c>
      <c r="N123" s="63">
        <v>0.24167490933069569</v>
      </c>
      <c r="O123" s="63">
        <v>0.56341789052069424</v>
      </c>
      <c r="P123" s="63">
        <v>0.40927694406548432</v>
      </c>
      <c r="Q123" s="63">
        <v>0.42424242424242425</v>
      </c>
    </row>
    <row r="124" spans="1:17" x14ac:dyDescent="0.4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9.366391184573003E-2</v>
      </c>
      <c r="M124" s="63">
        <v>0.24647656506063587</v>
      </c>
      <c r="N124" s="63">
        <v>0.24090462143559488</v>
      </c>
      <c r="O124" s="63">
        <v>0.56515957446808507</v>
      </c>
      <c r="P124" s="63">
        <v>0.40952380952380951</v>
      </c>
      <c r="Q124" s="63">
        <v>0.42474916387959866</v>
      </c>
    </row>
    <row r="125" spans="1:17" x14ac:dyDescent="0.4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9.2896174863387984E-2</v>
      </c>
      <c r="M125" s="63">
        <v>0.2469859889214728</v>
      </c>
      <c r="N125" s="63">
        <v>0.24079504724666015</v>
      </c>
      <c r="O125" s="63">
        <v>0.56464379947229548</v>
      </c>
      <c r="P125" s="63">
        <v>0.40866035182679294</v>
      </c>
      <c r="Q125" s="63">
        <v>0.42461197339246121</v>
      </c>
    </row>
    <row r="126" spans="1:17" x14ac:dyDescent="0.4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9.2140921409214094E-2</v>
      </c>
      <c r="M126" s="63">
        <v>0.24636275460717749</v>
      </c>
      <c r="N126" s="63">
        <v>0.23957322987390883</v>
      </c>
      <c r="O126" s="63">
        <v>0.56561679790026242</v>
      </c>
      <c r="P126" s="63">
        <v>0.40890688259109309</v>
      </c>
      <c r="Q126" s="63">
        <v>0.42511013215859028</v>
      </c>
    </row>
    <row r="127" spans="1:17" x14ac:dyDescent="0.4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9.1397849462365593E-2</v>
      </c>
      <c r="M127" s="63">
        <v>0.24591738712776176</v>
      </c>
      <c r="N127" s="63">
        <v>0.23983349343579891</v>
      </c>
      <c r="O127" s="63">
        <v>0.56640625</v>
      </c>
      <c r="P127" s="63">
        <v>0.40720961281708945</v>
      </c>
      <c r="Q127" s="63">
        <v>0.42903930131004364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りくと</vt:lpstr>
      <vt:lpstr>ただ</vt:lpstr>
      <vt:lpstr>れんたろう</vt:lpstr>
      <vt:lpstr>まっつん</vt:lpstr>
      <vt:lpstr>のり</vt:lpstr>
      <vt:lpstr>ぱぱ</vt:lpstr>
      <vt:lpstr>ほたに</vt:lpstr>
      <vt:lpstr>いっしー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いっしー!チョンボ数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いっしー!ふっとばし数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いっしー!ふっとばし率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いっしー!ふっとび数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いっしー!リーチ数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いっしー!逆転数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いっしー!逆転率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いっしー!最大ドラ数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いっしー!通算スコア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いっしー!副露数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いっしー!連続アガリ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2019-10-21T16:03:34Z</dcterms:modified>
</cp:coreProperties>
</file>