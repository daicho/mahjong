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DA24551A-A717-4DB5-ABB5-9DA2BFC60382}" xr6:coauthVersionLast="41" xr6:coauthVersionMax="41" xr10:uidLastSave="{00000000-0000-0000-0000-000000000000}"/>
  <bookViews>
    <workbookView xWindow="-120" yWindow="-120" windowWidth="29040" windowHeight="16440" tabRatio="663" firstSheet="4" activeTab="1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ただ" sheetId="5817" r:id="rId9"/>
    <sheet name="りくと" sheetId="5819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ほたに2" sheetId="5830" state="hidden" r:id="rId16"/>
    <sheet name="ぱぱ2" sheetId="5828" state="hidden" r:id="rId17"/>
    <sheet name="のり2" sheetId="5826" state="hidden" r:id="rId18"/>
    <sheet name="まっつん2" sheetId="5824" state="hidden" r:id="rId19"/>
    <sheet name="れんたろう2" sheetId="5822" state="hidden" r:id="rId20"/>
    <sheet name="りくと2" sheetId="5820" state="hidden" r:id="rId21"/>
    <sheet name="ただ2" sheetId="5818" state="hidden" r:id="rId22"/>
    <sheet name="だいち2" sheetId="5816" state="hidden" r:id="rId23"/>
    <sheet name="たかの2" sheetId="5814" state="hidden" r:id="rId24"/>
    <sheet name="全体2" sheetId="58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821" l="1"/>
  <c r="O19" i="5829"/>
  <c r="O15" i="5819" l="1"/>
  <c r="O18" i="5825"/>
  <c r="O16" i="5829" l="1"/>
  <c r="O22" i="5819"/>
  <c r="O20" i="5813" l="1"/>
  <c r="O16" i="5815"/>
  <c r="O15" i="5825"/>
  <c r="O19" i="5825"/>
  <c r="O20" i="5823" l="1"/>
  <c r="O18" i="5827"/>
  <c r="O16" i="5817" l="1"/>
  <c r="O17" i="5823"/>
  <c r="O20" i="5825"/>
  <c r="O17" i="5825"/>
  <c r="O18" i="5813" l="1"/>
  <c r="O19" i="5827"/>
  <c r="O20" i="5827"/>
  <c r="O18" i="5819"/>
  <c r="O18" i="5817" l="1"/>
  <c r="O20" i="5821"/>
  <c r="O19" i="5821" l="1"/>
  <c r="O20" i="5815"/>
  <c r="O22" i="5825"/>
  <c r="O17" i="5829"/>
  <c r="O15" i="5829"/>
  <c r="O21" i="5827"/>
  <c r="O15" i="5817" l="1"/>
  <c r="O17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2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19" i="5819"/>
  <c r="O17" i="5815" l="1"/>
  <c r="O18" i="5823"/>
  <c r="O21" i="5823"/>
  <c r="O15" i="5813"/>
  <c r="O19" i="5817"/>
  <c r="O16" i="5819"/>
  <c r="O17" i="5819"/>
  <c r="O19" i="5813"/>
  <c r="O22" i="5817"/>
  <c r="O15" i="5815"/>
  <c r="O17" i="5827"/>
  <c r="O22" i="5827"/>
  <c r="O21" i="5821" l="1"/>
  <c r="O17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6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3" i="5811"/>
  <c r="H21" i="5827" l="1"/>
  <c r="H11" i="5827"/>
  <c r="H52" i="5827"/>
  <c r="H19" i="5827"/>
  <c r="C17" i="5827"/>
  <c r="H31" i="5827"/>
  <c r="C19" i="5827"/>
  <c r="H37" i="5827"/>
  <c r="H10" i="5827"/>
  <c r="H15" i="5827"/>
  <c r="H45" i="5827"/>
  <c r="H39" i="5827"/>
  <c r="H4" i="5827"/>
  <c r="B24" i="5827"/>
  <c r="H47" i="5827"/>
  <c r="H22" i="5827"/>
  <c r="H12" i="5827"/>
  <c r="H30" i="5827"/>
  <c r="H38" i="5827"/>
  <c r="H46" i="5827"/>
  <c r="H48" i="5827"/>
  <c r="H14" i="5827"/>
  <c r="H26" i="5827"/>
  <c r="H33" i="5827"/>
  <c r="H41" i="5827"/>
  <c r="H49" i="5827"/>
  <c r="H6" i="5827"/>
  <c r="H32" i="5827"/>
  <c r="H23" i="5827"/>
  <c r="H27" i="5827"/>
  <c r="H28" i="5827"/>
  <c r="H34" i="5827"/>
  <c r="H42" i="5827"/>
  <c r="H50" i="5827"/>
  <c r="H17" i="5827"/>
  <c r="H8" i="5827"/>
  <c r="H7" i="5827"/>
  <c r="H18" i="5827"/>
  <c r="H20" i="5827"/>
  <c r="C18" i="5827"/>
  <c r="B23" i="5827"/>
  <c r="H13" i="5827"/>
  <c r="H35" i="5827"/>
  <c r="H43" i="5827"/>
  <c r="H51" i="5827"/>
  <c r="H2" i="5827"/>
  <c r="H25" i="5827"/>
  <c r="H40" i="5827"/>
  <c r="H3" i="5827"/>
  <c r="H9" i="5827"/>
  <c r="H24" i="5827"/>
  <c r="H16" i="5827"/>
  <c r="H29" i="5827"/>
  <c r="H36" i="5827"/>
  <c r="H44" i="5827"/>
  <c r="H8" i="5825"/>
  <c r="H3" i="5825"/>
  <c r="H4" i="5825"/>
  <c r="H7" i="5825"/>
  <c r="H29" i="5825"/>
  <c r="H2" i="5825"/>
  <c r="H44" i="5825"/>
  <c r="H6" i="5825"/>
  <c r="H16" i="5825"/>
  <c r="H23" i="5825"/>
  <c r="H9" i="5825"/>
  <c r="H26" i="5825"/>
  <c r="H11" i="5825"/>
  <c r="C17" i="5825"/>
  <c r="H36" i="5825"/>
  <c r="H12" i="5825"/>
  <c r="H13" i="5825"/>
  <c r="H30" i="5825"/>
  <c r="H38" i="5825"/>
  <c r="H46" i="5825"/>
  <c r="H17" i="5825"/>
  <c r="H31" i="5825"/>
  <c r="H39" i="5825"/>
  <c r="H47" i="5825"/>
  <c r="H24" i="5825"/>
  <c r="H19" i="5825"/>
  <c r="H10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5" i="5825"/>
  <c r="H5" i="5825"/>
  <c r="H18" i="5825"/>
  <c r="H20" i="5825"/>
  <c r="C18" i="5825"/>
  <c r="B23" i="5825"/>
  <c r="H14" i="5825"/>
  <c r="H35" i="5825"/>
  <c r="H43" i="5825"/>
  <c r="H51" i="5825"/>
  <c r="H21" i="5825"/>
  <c r="C19" i="5825"/>
  <c r="B24" i="5825"/>
  <c r="H37" i="5825"/>
  <c r="H45" i="5825"/>
  <c r="O19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6" i="5821"/>
  <c r="O18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20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7" i="5819"/>
  <c r="H16" i="5819"/>
  <c r="H6" i="5819"/>
  <c r="H10" i="5819"/>
  <c r="H48" i="5819"/>
  <c r="H31" i="5819"/>
  <c r="H47" i="5819"/>
  <c r="H4" i="5823"/>
  <c r="H26" i="5823"/>
  <c r="H17" i="5823"/>
  <c r="H10" i="5823"/>
  <c r="H11" i="5823"/>
  <c r="H14" i="5823"/>
  <c r="H7" i="5823"/>
  <c r="C17" i="5823"/>
  <c r="H22" i="5823"/>
  <c r="H27" i="5823"/>
  <c r="H15" i="5823"/>
  <c r="H18" i="5823"/>
  <c r="H40" i="5823"/>
  <c r="H47" i="5823"/>
  <c r="H16" i="5823"/>
  <c r="H33" i="5823"/>
  <c r="H41" i="5823"/>
  <c r="H48" i="5823"/>
  <c r="H3" i="5823"/>
  <c r="H34" i="5823"/>
  <c r="H9" i="5823"/>
  <c r="H23" i="5823"/>
  <c r="H13" i="5823"/>
  <c r="H35" i="5823"/>
  <c r="H42" i="5823"/>
  <c r="H50" i="5823"/>
  <c r="H19" i="5823"/>
  <c r="H12" i="5823"/>
  <c r="H29" i="5823"/>
  <c r="H31" i="5823"/>
  <c r="H36" i="5823"/>
  <c r="H43" i="5823"/>
  <c r="H51" i="5823"/>
  <c r="H2" i="5823"/>
  <c r="H28" i="5823"/>
  <c r="H30" i="5823"/>
  <c r="H49" i="5823"/>
  <c r="H6" i="5823"/>
  <c r="H21" i="5823"/>
  <c r="H24" i="5823"/>
  <c r="C18" i="5823"/>
  <c r="B23" i="5823"/>
  <c r="H8" i="5823"/>
  <c r="H37" i="5823"/>
  <c r="H44" i="5823"/>
  <c r="H20" i="5823"/>
  <c r="H32" i="5823"/>
  <c r="H38" i="5823"/>
  <c r="H45" i="5823"/>
  <c r="H5" i="5823"/>
  <c r="H25" i="5823"/>
  <c r="C19" i="5823"/>
  <c r="B24" i="5823"/>
  <c r="H39" i="5823"/>
  <c r="H46" i="5823"/>
  <c r="H24" i="5821"/>
  <c r="H14" i="5821"/>
  <c r="H2" i="5821"/>
  <c r="H39" i="5821"/>
  <c r="H16" i="5821"/>
  <c r="H46" i="5821"/>
  <c r="H7" i="5821"/>
  <c r="H47" i="5821"/>
  <c r="H10" i="5821"/>
  <c r="H19" i="5821"/>
  <c r="H21" i="5821"/>
  <c r="C17" i="5821"/>
  <c r="H13" i="5821"/>
  <c r="H15" i="5821"/>
  <c r="H38" i="5821"/>
  <c r="H48" i="5821"/>
  <c r="H9" i="5821"/>
  <c r="H17" i="5821"/>
  <c r="H11" i="5821"/>
  <c r="H33" i="5821"/>
  <c r="H41" i="5821"/>
  <c r="H49" i="5821"/>
  <c r="H27" i="5821"/>
  <c r="H25" i="5821"/>
  <c r="H28" i="5821"/>
  <c r="H30" i="5821"/>
  <c r="H34" i="5821"/>
  <c r="H42" i="5821"/>
  <c r="H50" i="5821"/>
  <c r="H29" i="5821"/>
  <c r="H5" i="5821"/>
  <c r="H20" i="5821"/>
  <c r="H22" i="5821"/>
  <c r="C18" i="5821"/>
  <c r="B23" i="5821"/>
  <c r="H8" i="5821"/>
  <c r="H35" i="5821"/>
  <c r="H43" i="5821"/>
  <c r="H51" i="5821"/>
  <c r="H3" i="5821"/>
  <c r="H32" i="5821"/>
  <c r="H4" i="5821"/>
  <c r="H12" i="5821"/>
  <c r="H26" i="5821"/>
  <c r="H18" i="5821"/>
  <c r="H31" i="5821"/>
  <c r="H36" i="5821"/>
  <c r="H44" i="5821"/>
  <c r="H6" i="5821"/>
  <c r="H40" i="5821"/>
  <c r="H23" i="5821"/>
  <c r="C19" i="5821"/>
  <c r="B24" i="5821"/>
  <c r="H37" i="5821"/>
  <c r="H45" i="5821"/>
  <c r="H3" i="5819"/>
  <c r="H9" i="5819"/>
  <c r="H12" i="5819"/>
  <c r="H19" i="5819"/>
  <c r="H22" i="5819"/>
  <c r="H15" i="5819"/>
  <c r="H28" i="5819"/>
  <c r="H32" i="5819"/>
  <c r="H13" i="5819"/>
  <c r="B24" i="5819"/>
  <c r="H37" i="5819"/>
  <c r="H14" i="5819"/>
  <c r="H17" i="5819"/>
  <c r="H39" i="5819"/>
  <c r="C17" i="5819"/>
  <c r="H38" i="5819"/>
  <c r="H2" i="5819"/>
  <c r="H4" i="5819"/>
  <c r="H25" i="5819"/>
  <c r="H8" i="5819"/>
  <c r="C19" i="5819"/>
  <c r="H40" i="5819"/>
  <c r="H26" i="5819"/>
  <c r="H29" i="5819"/>
  <c r="H33" i="5819"/>
  <c r="H41" i="5819"/>
  <c r="H49" i="5819"/>
  <c r="H34" i="5819"/>
  <c r="H42" i="5819"/>
  <c r="H50" i="5819"/>
  <c r="H18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1" i="5817" l="1"/>
  <c r="O20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1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6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1" i="5811"/>
  <c r="O22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2" i="5817"/>
  <c r="H10" i="5817"/>
  <c r="H3" i="5817"/>
  <c r="H6" i="5813"/>
  <c r="H47" i="5817"/>
  <c r="H19" i="5817"/>
  <c r="C17" i="5817"/>
  <c r="H9" i="5817"/>
  <c r="H18" i="5817"/>
  <c r="H2" i="5817"/>
  <c r="H11" i="5817"/>
  <c r="H16" i="5817"/>
  <c r="H39" i="5817"/>
  <c r="H15" i="5817"/>
  <c r="H32" i="5817"/>
  <c r="H40" i="5817"/>
  <c r="H48" i="5817"/>
  <c r="H26" i="5817"/>
  <c r="H29" i="5817"/>
  <c r="H33" i="5817"/>
  <c r="H41" i="5817"/>
  <c r="H49" i="5817"/>
  <c r="H14" i="5817"/>
  <c r="H34" i="5817"/>
  <c r="H42" i="5817"/>
  <c r="H50" i="5817"/>
  <c r="H17" i="5817"/>
  <c r="H27" i="5817"/>
  <c r="H30" i="5817"/>
  <c r="H35" i="5817"/>
  <c r="H43" i="5817"/>
  <c r="H51" i="5817"/>
  <c r="H7" i="5817"/>
  <c r="H21" i="5817"/>
  <c r="H23" i="5817"/>
  <c r="C18" i="5817"/>
  <c r="B23" i="5817"/>
  <c r="H8" i="5817"/>
  <c r="H36" i="5817"/>
  <c r="H44" i="5817"/>
  <c r="H20" i="5817"/>
  <c r="H5" i="5817"/>
  <c r="H12" i="5817"/>
  <c r="H25" i="5817"/>
  <c r="H28" i="5817"/>
  <c r="H31" i="5817"/>
  <c r="H37" i="5817"/>
  <c r="H45" i="5817"/>
  <c r="H4" i="5817"/>
  <c r="H24" i="5817"/>
  <c r="C19" i="5817"/>
  <c r="B24" i="5817"/>
  <c r="H38" i="5817"/>
  <c r="H46" i="5817"/>
  <c r="H22" i="5815"/>
  <c r="H3" i="5815"/>
  <c r="H4" i="5815"/>
  <c r="H24" i="5815"/>
  <c r="C17" i="5815"/>
  <c r="H37" i="5815"/>
  <c r="H2" i="5815"/>
  <c r="H31" i="5815"/>
  <c r="H45" i="5815"/>
  <c r="H11" i="5815"/>
  <c r="H5" i="5815"/>
  <c r="H10" i="5815"/>
  <c r="H7" i="5815"/>
  <c r="H12" i="5815"/>
  <c r="H20" i="5815"/>
  <c r="H21" i="5815"/>
  <c r="H14" i="5815"/>
  <c r="H25" i="5815"/>
  <c r="H39" i="5815"/>
  <c r="H47" i="5815"/>
  <c r="H15" i="5815"/>
  <c r="H19" i="5815"/>
  <c r="H40" i="5815"/>
  <c r="H48" i="5815"/>
  <c r="H32" i="5815"/>
  <c r="H33" i="5815"/>
  <c r="H34" i="5815"/>
  <c r="H41" i="5815"/>
  <c r="H49" i="5815"/>
  <c r="H9" i="5815"/>
  <c r="H28" i="5815"/>
  <c r="H13" i="5815"/>
  <c r="H35" i="5815"/>
  <c r="H42" i="5815"/>
  <c r="H50" i="5815"/>
  <c r="H30" i="5815"/>
  <c r="H18" i="5815"/>
  <c r="H23" i="5815"/>
  <c r="H26" i="5815"/>
  <c r="H43" i="5815"/>
  <c r="H51" i="5815"/>
  <c r="H6" i="5815"/>
  <c r="H27" i="5815"/>
  <c r="H29" i="5815"/>
  <c r="C18" i="5815"/>
  <c r="B23" i="5815"/>
  <c r="H8" i="5815"/>
  <c r="H36" i="5815"/>
  <c r="H44" i="5815"/>
  <c r="H16" i="5815"/>
  <c r="H17" i="5815"/>
  <c r="C19" i="5815"/>
  <c r="B24" i="5815"/>
  <c r="H38" i="5815"/>
  <c r="H46" i="5815"/>
  <c r="H15" i="5811"/>
  <c r="H2" i="5813"/>
  <c r="H16" i="5813"/>
  <c r="H11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21" i="5813"/>
  <c r="C17" i="5813"/>
  <c r="H52" i="5813"/>
  <c r="H17" i="5813"/>
  <c r="H18" i="5813"/>
  <c r="H38" i="5813"/>
  <c r="H46" i="5813"/>
  <c r="H24" i="5813"/>
  <c r="H32" i="5813"/>
  <c r="H39" i="5813"/>
  <c r="H47" i="5813"/>
  <c r="H30" i="5813"/>
  <c r="H48" i="5813"/>
  <c r="H22" i="5813"/>
  <c r="H12" i="5813"/>
  <c r="H41" i="5813"/>
  <c r="H25" i="5813"/>
  <c r="H28" i="5813"/>
  <c r="H15" i="5813"/>
  <c r="H34" i="5813"/>
  <c r="H42" i="5813"/>
  <c r="H50" i="5813"/>
  <c r="H27" i="5813"/>
  <c r="H19" i="5813"/>
  <c r="H40" i="5813"/>
  <c r="H7" i="5813"/>
  <c r="H33" i="5813"/>
  <c r="H49" i="5813"/>
  <c r="H9" i="5813"/>
  <c r="H20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1" i="5811"/>
  <c r="C19" i="5811"/>
  <c r="B24" i="5811"/>
  <c r="H10" i="5811"/>
  <c r="H7" i="5811"/>
  <c r="H12" i="5811"/>
  <c r="H23" i="5811"/>
  <c r="H16" i="5811"/>
  <c r="H14" i="5811"/>
  <c r="H18" i="5811"/>
  <c r="H40" i="5811"/>
  <c r="H47" i="5811"/>
  <c r="H35" i="5811"/>
  <c r="H27" i="5811"/>
  <c r="H29" i="5811"/>
  <c r="H31" i="5811"/>
  <c r="H49" i="5811"/>
  <c r="H3" i="5811"/>
  <c r="H9" i="5811"/>
  <c r="H24" i="5811"/>
  <c r="H13" i="5811"/>
  <c r="H36" i="5811"/>
  <c r="H42" i="5811"/>
  <c r="H50" i="5811"/>
  <c r="H17" i="5811"/>
  <c r="H51" i="5811"/>
  <c r="H25" i="5811"/>
  <c r="H26" i="5811"/>
  <c r="H30" i="5811"/>
  <c r="H43" i="5811"/>
  <c r="H6" i="5811"/>
  <c r="H32" i="5811"/>
  <c r="H33" i="5811"/>
  <c r="C18" i="5811"/>
  <c r="B23" i="5811"/>
  <c r="H8" i="5811"/>
  <c r="H37" i="5811"/>
  <c r="H44" i="5811"/>
  <c r="H19" i="5811"/>
  <c r="H34" i="5811"/>
  <c r="H22" i="5811"/>
  <c r="H28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<sst xmlns="http://schemas.openxmlformats.org/spreadsheetml/2006/main" count="2510" uniqueCount="219">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</sst>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全体!$K$2:$K$284</c:f>
              <c:numCache>
                <c:formatCode>General</c:formatCode>
                <c:ptCount val="2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</c:numCache>
            </c:numRef>
          </c:xVal>
          <c:yVal>
            <c:numRef>
              <c:f>全体!$L$2:$L$284</c:f>
              <c:numCache>
                <c:formatCode>\+0.0;\-0.0;\±0</c:formatCode>
                <c:ptCount val="28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-21.50537634408602</c:v>
                </c:pt>
                <c:pt idx="1">
                  <c:v>14.9812734082397</c:v>
                </c:pt>
                <c:pt idx="2">
                  <c:v>-31.007751937984494</c:v>
                </c:pt>
                <c:pt idx="3">
                  <c:v>28.806584362139919</c:v>
                </c:pt>
                <c:pt idx="4">
                  <c:v>8.8888888888888893</c:v>
                </c:pt>
                <c:pt idx="5">
                  <c:v>5.376344086021505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739.28571428571433</c:v>
                </c:pt>
                <c:pt idx="1">
                  <c:v>-866.66666666666663</c:v>
                </c:pt>
                <c:pt idx="2">
                  <c:v>896.15384615384619</c:v>
                </c:pt>
                <c:pt idx="3">
                  <c:v>-1523.0769230769231</c:v>
                </c:pt>
                <c:pt idx="4">
                  <c:v>-665.38461538461536</c:v>
                </c:pt>
                <c:pt idx="5">
                  <c:v>-2863.6363636363635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だいち!$L$2:$L$64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327.86885245901641</c:v>
                </c:pt>
                <c:pt idx="1">
                  <c:v>305.17241379310343</c:v>
                </c:pt>
                <c:pt idx="2">
                  <c:v>-728.07017543859649</c:v>
                </c:pt>
                <c:pt idx="3">
                  <c:v>30.76923076923077</c:v>
                </c:pt>
                <c:pt idx="4">
                  <c:v>4446</c:v>
                </c:pt>
                <c:pt idx="5">
                  <c:v>3835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-753.7037037037037</c:v>
                </c:pt>
                <c:pt idx="1">
                  <c:v>851.92307692307691</c:v>
                </c:pt>
                <c:pt idx="2">
                  <c:v>2286</c:v>
                </c:pt>
                <c:pt idx="3">
                  <c:v>3229.7872340425533</c:v>
                </c:pt>
                <c:pt idx="4">
                  <c:v>-1852.2727272727273</c:v>
                </c:pt>
                <c:pt idx="5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109.375</c:v>
                </c:pt>
                <c:pt idx="1">
                  <c:v>-1593.75</c:v>
                </c:pt>
                <c:pt idx="2">
                  <c:v>1719.3548387096773</c:v>
                </c:pt>
                <c:pt idx="3">
                  <c:v>-1576.6666666666667</c:v>
                </c:pt>
                <c:pt idx="4">
                  <c:v>-3596.5517241379312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れんたろう!$L$2:$L$32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2040</c:v>
                </c:pt>
                <c:pt idx="1">
                  <c:v>-2650</c:v>
                </c:pt>
                <c:pt idx="2">
                  <c:v>919.23076923076928</c:v>
                </c:pt>
                <c:pt idx="3">
                  <c:v>4129.166666666667</c:v>
                </c:pt>
                <c:pt idx="4">
                  <c:v>-2133.3333333333335</c:v>
                </c:pt>
                <c:pt idx="5">
                  <c:v>-3393.75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039310182695745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307692307692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658119658119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67.1052631578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0.9823677581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99290780141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99290780141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589743589743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581196581196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912280701754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14384748700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E81697-4AEE-475E-8A13-8E453A366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F8B34B-BCBD-4047-BB73-B36F85193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12CDB4-4F89-4E20-BD20-20DBB075F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3AD410-D5AC-4CF2-BC38-3DC0B3DC7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DD692D-96DC-4BB6-84FA-5AD0A0736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08D927-40CB-4A56-B715-6CEB97EE6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9E8404-1B8E-45CD-AFE1-04B27BE67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61EEA3-631D-42BD-B0BE-B02C33B24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21700C-F08E-445D-87E5-6B752D04B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D06037-84EA-4019-84E8-4E453BA8C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CB98C9-0796-4E8F-A162-12EB81843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78EBBE-3799-4461-AC43-926F3D0A5E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229823-D71A-4ECD-949B-5BBE3D5FF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E7272A-9947-46B2-8FFC-4B49DCC64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9C7056-6654-42D4-A19C-DFC4AE3FD4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69E2D3-A055-4E9E-8ADB-A24BF0602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005D30-95DB-4E8E-A152-F84598D03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7AA47E-D404-433C-9C01-BD212A552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1883C0-2E0A-4B9E-A94F-E0EC7CCA3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C47C0A-A1CE-46AA-B825-4F5D33700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43735.624351851853</v>
      </c>
      <c r="C3" s="28" t="s">
        <v>128</v>
      </c>
    </row>
    <row r="4" spans="1:12" x14ac:dyDescent="0.4">
      <c r="A4" s="28" t="s">
        <v>180</v>
      </c>
      <c r="B4" s="29">
        <v>43735.624351851853</v>
      </c>
      <c r="C4" s="28" t="s">
        <v>128</v>
      </c>
    </row>
    <row r="5" spans="1:12" x14ac:dyDescent="0.4">
      <c r="A5" s="28" t="s">
        <v>183</v>
      </c>
      <c r="B5" s="29">
        <v>43736.046932870369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43737.059895833336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43739.000706018516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43741.94121527778</v>
      </c>
      <c r="C8" s="28" t="s">
        <v>128</v>
      </c>
    </row>
    <row r="9" spans="1:12" x14ac:dyDescent="0.4">
      <c r="A9" s="28" t="s">
        <v>194</v>
      </c>
      <c r="B9" s="29">
        <v>43739.660624999997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43740.021921296298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43741.94121527778</v>
      </c>
      <c r="C11" s="28" t="s">
        <v>128</v>
      </c>
    </row>
    <row r="12" spans="1:12" x14ac:dyDescent="0.4">
      <c r="A12" s="28" t="s">
        <v>199</v>
      </c>
      <c r="B12" s="29">
        <v>43744.941354166665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43743.104375000003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43743.786203703705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43745.531828703701</v>
      </c>
      <c r="C18" s="28" t="s">
        <v>128</v>
      </c>
    </row>
    <row r="19" spans="1:12" x14ac:dyDescent="0.4">
      <c r="A19" s="28" t="s">
        <v>206</v>
      </c>
      <c r="B19" s="29">
        <v>43748.019456018519</v>
      </c>
      <c r="C19" s="28" t="s">
        <v>128</v>
      </c>
    </row>
    <row r="20" spans="1:12" x14ac:dyDescent="0.4">
      <c r="A20" s="28" t="s">
        <v>207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43747.024814814817</v>
      </c>
      <c r="C21" s="28" t="s">
        <v>128</v>
      </c>
    </row>
    <row r="22" spans="1:12" x14ac:dyDescent="0.4">
      <c r="A22" s="28" t="s">
        <v>209</v>
      </c>
      <c r="B22" s="29">
        <v>43748.018101851849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43748.021782407406</v>
      </c>
      <c r="C23" s="28" t="s">
        <v>128</v>
      </c>
    </row>
    <row r="24" spans="1:12" x14ac:dyDescent="0.4">
      <c r="A24" s="28" t="s">
        <v>211</v>
      </c>
      <c r="B24" s="29">
        <v>43750.503020833334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43753.56559027778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43753.56559027778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43753.56559027778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43753.679803240739</v>
      </c>
      <c r="C28" s="28" t="s">
        <v>128</v>
      </c>
      <c r="D28" s="28" t="s">
        <v>129</v>
      </c>
      <c r="E28" s="28" t="s">
        <v>184</v>
      </c>
      <c r="F28" s="28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282</v>
      </c>
    </row>
    <row r="2" spans="1:2" x14ac:dyDescent="0.4">
      <c r="A2" t="s">
        <v>166</v>
      </c>
      <c r="B2">
        <v>28</v>
      </c>
    </row>
    <row r="3" spans="1:2" x14ac:dyDescent="0.4">
      <c r="A3" t="s">
        <v>126</v>
      </c>
      <c r="B3">
        <v>62</v>
      </c>
    </row>
    <row r="4" spans="1:2" x14ac:dyDescent="0.4">
      <c r="A4" t="s">
        <v>127</v>
      </c>
      <c r="B4">
        <v>55</v>
      </c>
    </row>
    <row r="5" spans="1:2" x14ac:dyDescent="0.4">
      <c r="A5" t="s">
        <v>179</v>
      </c>
      <c r="B5">
        <v>33</v>
      </c>
    </row>
    <row r="6" spans="1:2" x14ac:dyDescent="0.4">
      <c r="A6" t="s">
        <v>177</v>
      </c>
      <c r="B6">
        <v>30</v>
      </c>
    </row>
    <row r="7" spans="1:2" x14ac:dyDescent="0.4">
      <c r="A7" t="s">
        <v>178</v>
      </c>
      <c r="B7">
        <v>36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0.98564093450387058</v>
      </c>
      <c r="G2" s="161"/>
      <c r="H2" s="160">
        <v>0.96320520553522604</v>
      </c>
      <c r="I2" s="161"/>
      <c r="J2" s="160">
        <v>0.99630696095264415</v>
      </c>
      <c r="K2" s="161"/>
      <c r="L2" s="160">
        <v>0.9042992647022734</v>
      </c>
      <c r="M2" s="161"/>
      <c r="N2" s="160">
        <v>0.74087711205993023</v>
      </c>
      <c r="O2" s="161"/>
      <c r="P2" s="160">
        <v>0.27604848282226568</v>
      </c>
      <c r="Q2" s="161"/>
      <c r="R2" s="160">
        <v>0.54937278673742918</v>
      </c>
      <c r="S2" s="161"/>
      <c r="T2" s="160">
        <v>0.58932264402257306</v>
      </c>
      <c r="U2" s="161"/>
      <c r="V2" s="160">
        <v>0.60381405991428638</v>
      </c>
      <c r="W2" s="161"/>
      <c r="X2" s="160">
        <v>0.43760154767972809</v>
      </c>
      <c r="Y2" s="161"/>
      <c r="Z2" s="160">
        <v>6.6403659671924201E-2</v>
      </c>
      <c r="AA2" s="161"/>
      <c r="AB2" s="160">
        <v>0.41605418779652475</v>
      </c>
      <c r="AC2" s="161"/>
      <c r="AD2" s="160">
        <v>0.32622751901858399</v>
      </c>
      <c r="AE2" s="161"/>
      <c r="AF2" s="160">
        <v>0.18630488342311738</v>
      </c>
      <c r="AG2" s="161"/>
      <c r="AH2" s="160">
        <v>0.49570542963459918</v>
      </c>
      <c r="AI2" s="161"/>
    </row>
    <row r="3" spans="1:35" x14ac:dyDescent="0.4">
      <c r="A3" s="70">
        <v>1</v>
      </c>
      <c r="B3" s="71" t="s">
        <v>126</v>
      </c>
      <c r="C3" s="72">
        <v>531.9</v>
      </c>
      <c r="D3" s="73" t="s">
        <v>181</v>
      </c>
      <c r="E3" s="92">
        <v>11.463636363636365</v>
      </c>
      <c r="F3" s="73" t="s">
        <v>181</v>
      </c>
      <c r="G3" s="74">
        <v>1.7272727272727273</v>
      </c>
      <c r="H3" s="73" t="s">
        <v>181</v>
      </c>
      <c r="I3" s="75">
        <v>0.45454545454545453</v>
      </c>
      <c r="J3" s="73" t="s">
        <v>181</v>
      </c>
      <c r="K3" s="75">
        <v>0.18181818181818182</v>
      </c>
      <c r="L3" s="73" t="s">
        <v>126</v>
      </c>
      <c r="M3" s="76">
        <v>0.33200795228628233</v>
      </c>
      <c r="N3" s="73" t="s">
        <v>181</v>
      </c>
      <c r="O3" s="76">
        <v>0.11650485436893204</v>
      </c>
      <c r="P3" s="73" t="s">
        <v>177</v>
      </c>
      <c r="Q3" s="77">
        <v>10706.666666666666</v>
      </c>
      <c r="R3" s="73" t="s">
        <v>181</v>
      </c>
      <c r="S3" s="77">
        <v>-6041.666666666667</v>
      </c>
      <c r="T3" s="73" t="s">
        <v>166</v>
      </c>
      <c r="U3" s="75">
        <v>0</v>
      </c>
      <c r="V3" s="73" t="s">
        <v>177</v>
      </c>
      <c r="W3" s="75">
        <v>0.23333333333333334</v>
      </c>
      <c r="X3" s="73" t="s">
        <v>181</v>
      </c>
      <c r="Y3" s="76">
        <v>0.29126213592233008</v>
      </c>
      <c r="Z3" s="73" t="s">
        <v>195</v>
      </c>
      <c r="AA3" s="76">
        <v>0.35483870967741937</v>
      </c>
      <c r="AB3" s="73" t="s">
        <v>181</v>
      </c>
      <c r="AC3" s="76">
        <v>0.66666666666666663</v>
      </c>
      <c r="AD3" s="73" t="s">
        <v>177</v>
      </c>
      <c r="AE3" s="76">
        <v>0.51020408163265307</v>
      </c>
      <c r="AF3" s="73" t="s">
        <v>181</v>
      </c>
      <c r="AG3" s="76">
        <v>0.52941176470588236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295.09999999999985</v>
      </c>
      <c r="D4" s="81" t="s">
        <v>126</v>
      </c>
      <c r="E4" s="93">
        <v>8.5790322580645153</v>
      </c>
      <c r="F4" s="81" t="s">
        <v>126</v>
      </c>
      <c r="G4" s="82">
        <v>1.7741935483870968</v>
      </c>
      <c r="H4" s="81" t="s">
        <v>126</v>
      </c>
      <c r="I4" s="83">
        <v>0.45161290322580644</v>
      </c>
      <c r="J4" s="81" t="s">
        <v>126</v>
      </c>
      <c r="K4" s="83">
        <v>0.22580645161290322</v>
      </c>
      <c r="L4" s="81" t="s">
        <v>181</v>
      </c>
      <c r="M4" s="84">
        <v>0.3300970873786408</v>
      </c>
      <c r="N4" s="81" t="s">
        <v>178</v>
      </c>
      <c r="O4" s="84">
        <v>0.1404109589041096</v>
      </c>
      <c r="P4" s="81" t="s">
        <v>127</v>
      </c>
      <c r="Q4" s="85">
        <v>8450</v>
      </c>
      <c r="R4" s="81" t="s">
        <v>166</v>
      </c>
      <c r="S4" s="85">
        <v>-6607.5</v>
      </c>
      <c r="T4" s="81" t="s">
        <v>181</v>
      </c>
      <c r="U4" s="83">
        <v>0</v>
      </c>
      <c r="V4" s="81" t="s">
        <v>181</v>
      </c>
      <c r="W4" s="83">
        <v>0.18181818181818182</v>
      </c>
      <c r="X4" s="81" t="s">
        <v>179</v>
      </c>
      <c r="Y4" s="84">
        <v>0.28521126760563381</v>
      </c>
      <c r="Z4" s="81" t="s">
        <v>127</v>
      </c>
      <c r="AA4" s="84">
        <v>0.31982942430703626</v>
      </c>
      <c r="AB4" s="81" t="s">
        <v>126</v>
      </c>
      <c r="AC4" s="84">
        <v>0.60483870967741937</v>
      </c>
      <c r="AD4" s="81" t="s">
        <v>126</v>
      </c>
      <c r="AE4" s="84">
        <v>0.49579831932773111</v>
      </c>
      <c r="AF4" s="81" t="s">
        <v>166</v>
      </c>
      <c r="AG4" s="84">
        <v>0.47540983606557374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181</v>
      </c>
      <c r="C5" s="80">
        <v>126.10000000000001</v>
      </c>
      <c r="D5" s="81" t="s">
        <v>127</v>
      </c>
      <c r="E5" s="93">
        <v>5.3654545454545426</v>
      </c>
      <c r="F5" s="81" t="s">
        <v>127</v>
      </c>
      <c r="G5" s="82">
        <v>1.8181818181818181</v>
      </c>
      <c r="H5" s="81" t="s">
        <v>127</v>
      </c>
      <c r="I5" s="83">
        <v>0.43636363636363634</v>
      </c>
      <c r="J5" s="81" t="s">
        <v>127</v>
      </c>
      <c r="K5" s="83">
        <v>0.25454545454545452</v>
      </c>
      <c r="L5" s="81" t="s">
        <v>127</v>
      </c>
      <c r="M5" s="84">
        <v>0.32835820895522388</v>
      </c>
      <c r="N5" s="81" t="s">
        <v>126</v>
      </c>
      <c r="O5" s="84">
        <v>0.14512922465208747</v>
      </c>
      <c r="P5" s="81" t="s">
        <v>143</v>
      </c>
      <c r="Q5" s="85">
        <v>8167.105263157895</v>
      </c>
      <c r="R5" s="81" t="s">
        <v>126</v>
      </c>
      <c r="S5" s="85">
        <v>-6883.5616438356165</v>
      </c>
      <c r="T5" s="81" t="s">
        <v>126</v>
      </c>
      <c r="U5" s="83">
        <v>4.8387096774193547E-2</v>
      </c>
      <c r="V5" s="81" t="s">
        <v>127</v>
      </c>
      <c r="W5" s="83">
        <v>0.14545454545454545</v>
      </c>
      <c r="X5" s="81" t="s">
        <v>177</v>
      </c>
      <c r="Y5" s="84">
        <v>0.2813852813852814</v>
      </c>
      <c r="Z5" s="81" t="s">
        <v>178</v>
      </c>
      <c r="AA5" s="84">
        <v>0.28767123287671231</v>
      </c>
      <c r="AB5" s="81" t="s">
        <v>179</v>
      </c>
      <c r="AC5" s="84">
        <v>0.58024691358024694</v>
      </c>
      <c r="AD5" s="81" t="s">
        <v>179</v>
      </c>
      <c r="AE5" s="84">
        <v>0.44</v>
      </c>
      <c r="AF5" s="81" t="s">
        <v>177</v>
      </c>
      <c r="AG5" s="84">
        <v>0.45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177</v>
      </c>
      <c r="C6" s="80">
        <v>30.900000000000027</v>
      </c>
      <c r="D6" s="81" t="s">
        <v>177</v>
      </c>
      <c r="E6" s="93">
        <v>1.0300000000000009</v>
      </c>
      <c r="F6" s="81" t="s">
        <v>177</v>
      </c>
      <c r="G6" s="82">
        <v>1.9333333333333333</v>
      </c>
      <c r="H6" s="81" t="s">
        <v>195</v>
      </c>
      <c r="I6" s="83">
        <v>0.42857142857142855</v>
      </c>
      <c r="J6" s="81" t="s">
        <v>177</v>
      </c>
      <c r="K6" s="83">
        <v>0.3</v>
      </c>
      <c r="L6" s="81" t="s">
        <v>143</v>
      </c>
      <c r="M6" s="84">
        <v>0.29230769230769232</v>
      </c>
      <c r="N6" s="81" t="s">
        <v>177</v>
      </c>
      <c r="O6" s="84">
        <v>0.16017316017316016</v>
      </c>
      <c r="P6" s="81" t="s">
        <v>178</v>
      </c>
      <c r="Q6" s="85">
        <v>8108.75</v>
      </c>
      <c r="R6" s="81" t="s">
        <v>178</v>
      </c>
      <c r="S6" s="85">
        <v>-7207.3170731707314</v>
      </c>
      <c r="T6" s="81" t="s">
        <v>179</v>
      </c>
      <c r="U6" s="83">
        <v>6.0606060606060608E-2</v>
      </c>
      <c r="V6" s="81" t="s">
        <v>195</v>
      </c>
      <c r="W6" s="83">
        <v>0.14285714285714285</v>
      </c>
      <c r="X6" s="81" t="s">
        <v>126</v>
      </c>
      <c r="Y6" s="84">
        <v>0.24652087475149106</v>
      </c>
      <c r="Z6" s="81" t="s">
        <v>143</v>
      </c>
      <c r="AA6" s="84">
        <v>0.24658119658119659</v>
      </c>
      <c r="AB6" s="81" t="s">
        <v>127</v>
      </c>
      <c r="AC6" s="84">
        <v>0.5625</v>
      </c>
      <c r="AD6" s="81" t="s">
        <v>143</v>
      </c>
      <c r="AE6" s="84">
        <v>0.42114384748700173</v>
      </c>
      <c r="AF6" s="81" t="s">
        <v>182</v>
      </c>
      <c r="AG6" s="84">
        <v>0.4375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143</v>
      </c>
      <c r="C7" s="80">
        <v>-1.4210854715202004E-14</v>
      </c>
      <c r="D7" s="81" t="s">
        <v>143</v>
      </c>
      <c r="E7" s="93">
        <v>-5.0393101826957459E-17</v>
      </c>
      <c r="F7" s="81" t="s">
        <v>143</v>
      </c>
      <c r="G7" s="82">
        <v>2</v>
      </c>
      <c r="H7" s="81" t="s">
        <v>177</v>
      </c>
      <c r="I7" s="83">
        <v>0.36666666666666664</v>
      </c>
      <c r="J7" s="81" t="s">
        <v>143</v>
      </c>
      <c r="K7" s="83">
        <v>0.33333333333333331</v>
      </c>
      <c r="L7" s="81" t="s">
        <v>179</v>
      </c>
      <c r="M7" s="84">
        <v>0.28521126760563381</v>
      </c>
      <c r="N7" s="81" t="s">
        <v>166</v>
      </c>
      <c r="O7" s="84">
        <v>0.16736401673640167</v>
      </c>
      <c r="P7" s="81" t="s">
        <v>126</v>
      </c>
      <c r="Q7" s="85">
        <v>7964.0718562874254</v>
      </c>
      <c r="R7" s="81" t="s">
        <v>179</v>
      </c>
      <c r="S7" s="85">
        <v>-7358.181818181818</v>
      </c>
      <c r="T7" s="81" t="s">
        <v>143</v>
      </c>
      <c r="U7" s="83">
        <v>0.1099290780141844</v>
      </c>
      <c r="V7" s="81" t="s">
        <v>143</v>
      </c>
      <c r="W7" s="83">
        <v>0.1099290780141844</v>
      </c>
      <c r="X7" s="81" t="s">
        <v>143</v>
      </c>
      <c r="Y7" s="84">
        <v>0.24358974358974358</v>
      </c>
      <c r="Z7" s="81" t="s">
        <v>126</v>
      </c>
      <c r="AA7" s="84">
        <v>0.23658051689860835</v>
      </c>
      <c r="AB7" s="81" t="s">
        <v>143</v>
      </c>
      <c r="AC7" s="84">
        <v>0.5491228070175439</v>
      </c>
      <c r="AD7" s="81" t="s">
        <v>127</v>
      </c>
      <c r="AE7" s="84">
        <v>0.41333333333333333</v>
      </c>
      <c r="AF7" s="81" t="s">
        <v>178</v>
      </c>
      <c r="AG7" s="84">
        <v>0.42499999999999999</v>
      </c>
      <c r="AH7" s="81" t="s">
        <v>126</v>
      </c>
      <c r="AI7" s="88">
        <v>86200</v>
      </c>
    </row>
    <row r="8" spans="1:35" x14ac:dyDescent="0.4">
      <c r="A8" s="78">
        <v>6</v>
      </c>
      <c r="B8" s="79" t="s">
        <v>178</v>
      </c>
      <c r="C8" s="80">
        <v>-65.399999999999977</v>
      </c>
      <c r="D8" s="81" t="s">
        <v>178</v>
      </c>
      <c r="E8" s="93">
        <v>-1.816666666666666</v>
      </c>
      <c r="F8" s="81" t="s">
        <v>166</v>
      </c>
      <c r="G8" s="82">
        <v>2.1071428571428572</v>
      </c>
      <c r="H8" s="81" t="s">
        <v>143</v>
      </c>
      <c r="I8" s="83">
        <v>0.33333333333333331</v>
      </c>
      <c r="J8" s="81" t="s">
        <v>178</v>
      </c>
      <c r="K8" s="83">
        <v>0.3611111111111111</v>
      </c>
      <c r="L8" s="81" t="s">
        <v>178</v>
      </c>
      <c r="M8" s="84">
        <v>0.27397260273972601</v>
      </c>
      <c r="N8" s="81" t="s">
        <v>143</v>
      </c>
      <c r="O8" s="84">
        <v>0.16965811965811967</v>
      </c>
      <c r="P8" s="81" t="s">
        <v>181</v>
      </c>
      <c r="Q8" s="85">
        <v>7779.411764705882</v>
      </c>
      <c r="R8" s="81" t="s">
        <v>143</v>
      </c>
      <c r="S8" s="85">
        <v>-7630.9823677581862</v>
      </c>
      <c r="T8" s="81" t="s">
        <v>178</v>
      </c>
      <c r="U8" s="83">
        <v>0.1111111111111111</v>
      </c>
      <c r="V8" s="81" t="s">
        <v>126</v>
      </c>
      <c r="W8" s="83">
        <v>9.6774193548387094E-2</v>
      </c>
      <c r="X8" s="81" t="s">
        <v>195</v>
      </c>
      <c r="Y8" s="84">
        <v>0.24193548387096775</v>
      </c>
      <c r="Z8" s="81" t="s">
        <v>166</v>
      </c>
      <c r="AA8" s="84">
        <v>0.23012552301255229</v>
      </c>
      <c r="AB8" s="81" t="s">
        <v>195</v>
      </c>
      <c r="AC8" s="84">
        <v>0.53333333333333333</v>
      </c>
      <c r="AD8" s="81" t="s">
        <v>178</v>
      </c>
      <c r="AE8" s="84">
        <v>0.40476190476190477</v>
      </c>
      <c r="AF8" s="81" t="s">
        <v>143</v>
      </c>
      <c r="AG8" s="84">
        <v>0.41666666666666669</v>
      </c>
      <c r="AH8" s="81" t="s">
        <v>182</v>
      </c>
      <c r="AI8" s="88">
        <v>85100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-4.4428571428571439</v>
      </c>
      <c r="F9" s="81" t="s">
        <v>178</v>
      </c>
      <c r="G9" s="82">
        <v>2.1388888888888888</v>
      </c>
      <c r="H9" s="81" t="s">
        <v>166</v>
      </c>
      <c r="I9" s="83">
        <v>0.2857142857142857</v>
      </c>
      <c r="J9" s="81" t="s">
        <v>166</v>
      </c>
      <c r="K9" s="83">
        <v>0.39285714285714285</v>
      </c>
      <c r="L9" s="81" t="s">
        <v>177</v>
      </c>
      <c r="M9" s="84">
        <v>0.25974025974025972</v>
      </c>
      <c r="N9" s="81" t="s">
        <v>195</v>
      </c>
      <c r="O9" s="84">
        <v>0.19354838709677419</v>
      </c>
      <c r="P9" s="81" t="s">
        <v>182</v>
      </c>
      <c r="Q9" s="85">
        <v>7496.875</v>
      </c>
      <c r="R9" s="81" t="s">
        <v>127</v>
      </c>
      <c r="S9" s="85">
        <v>-7730.1075268817203</v>
      </c>
      <c r="T9" s="81" t="s">
        <v>127</v>
      </c>
      <c r="U9" s="83">
        <v>0.14545454545454545</v>
      </c>
      <c r="V9" s="81" t="s">
        <v>178</v>
      </c>
      <c r="W9" s="83">
        <v>8.3333333333333329E-2</v>
      </c>
      <c r="X9" s="81" t="s">
        <v>127</v>
      </c>
      <c r="Y9" s="84">
        <v>0.23880597014925373</v>
      </c>
      <c r="Z9" s="81" t="s">
        <v>177</v>
      </c>
      <c r="AA9" s="84">
        <v>0.21212121212121213</v>
      </c>
      <c r="AB9" s="81" t="s">
        <v>178</v>
      </c>
      <c r="AC9" s="84">
        <v>0.52173913043478259</v>
      </c>
      <c r="AD9" s="81" t="s">
        <v>166</v>
      </c>
      <c r="AE9" s="84">
        <v>0.34545454545454546</v>
      </c>
      <c r="AF9" s="81" t="s">
        <v>126</v>
      </c>
      <c r="AG9" s="84">
        <v>0.40718562874251496</v>
      </c>
      <c r="AH9" s="81" t="s">
        <v>177</v>
      </c>
      <c r="AI9" s="88">
        <v>83000</v>
      </c>
    </row>
    <row r="10" spans="1:35" x14ac:dyDescent="0.4">
      <c r="A10" s="78">
        <v>8</v>
      </c>
      <c r="B10" s="79" t="s">
        <v>166</v>
      </c>
      <c r="C10" s="80">
        <v>-124.40000000000002</v>
      </c>
      <c r="D10" s="81" t="s">
        <v>179</v>
      </c>
      <c r="E10" s="93">
        <v>-7.9181818181818189</v>
      </c>
      <c r="F10" s="81" t="s">
        <v>195</v>
      </c>
      <c r="G10" s="82">
        <v>2.1428571428571428</v>
      </c>
      <c r="H10" s="81" t="s">
        <v>178</v>
      </c>
      <c r="I10" s="83">
        <v>0.22222222222222221</v>
      </c>
      <c r="J10" s="81" t="s">
        <v>179</v>
      </c>
      <c r="K10" s="83">
        <v>0.45454545454545453</v>
      </c>
      <c r="L10" s="81" t="s">
        <v>166</v>
      </c>
      <c r="M10" s="84">
        <v>0.25523012552301255</v>
      </c>
      <c r="N10" s="81" t="s">
        <v>179</v>
      </c>
      <c r="O10" s="84">
        <v>0.19366197183098591</v>
      </c>
      <c r="P10" s="81" t="s">
        <v>195</v>
      </c>
      <c r="Q10" s="85">
        <v>7473.333333333333</v>
      </c>
      <c r="R10" s="81" t="s">
        <v>195</v>
      </c>
      <c r="S10" s="85">
        <v>-9075</v>
      </c>
      <c r="T10" s="81" t="s">
        <v>177</v>
      </c>
      <c r="U10" s="83">
        <v>0.16666666666666666</v>
      </c>
      <c r="V10" s="81" t="s">
        <v>179</v>
      </c>
      <c r="W10" s="83">
        <v>6.0606060606060608E-2</v>
      </c>
      <c r="X10" s="81" t="s">
        <v>178</v>
      </c>
      <c r="Y10" s="84">
        <v>0.2363013698630137</v>
      </c>
      <c r="Z10" s="81" t="s">
        <v>182</v>
      </c>
      <c r="AA10" s="84">
        <v>0.21019108280254778</v>
      </c>
      <c r="AB10" s="81" t="s">
        <v>182</v>
      </c>
      <c r="AC10" s="84">
        <v>0.51515151515151514</v>
      </c>
      <c r="AD10" s="81" t="s">
        <v>182</v>
      </c>
      <c r="AE10" s="84">
        <v>0.33333333333333331</v>
      </c>
      <c r="AF10" s="81" t="s">
        <v>179</v>
      </c>
      <c r="AG10" s="84">
        <v>0.39506172839506171</v>
      </c>
      <c r="AH10" s="81" t="s">
        <v>178</v>
      </c>
      <c r="AI10" s="88">
        <v>81700</v>
      </c>
    </row>
    <row r="11" spans="1:35" x14ac:dyDescent="0.4">
      <c r="A11" s="78">
        <v>9</v>
      </c>
      <c r="B11" s="79" t="s">
        <v>179</v>
      </c>
      <c r="C11" s="80">
        <v>-261.3</v>
      </c>
      <c r="D11" s="81" t="s">
        <v>195</v>
      </c>
      <c r="E11" s="93">
        <v>-14.971428571428573</v>
      </c>
      <c r="F11" s="81" t="s">
        <v>179</v>
      </c>
      <c r="G11" s="82">
        <v>2.2727272727272729</v>
      </c>
      <c r="H11" s="81" t="s">
        <v>179</v>
      </c>
      <c r="I11" s="83">
        <v>0.18181818181818182</v>
      </c>
      <c r="J11" s="81" t="s">
        <v>195</v>
      </c>
      <c r="K11" s="83">
        <v>0.5714285714285714</v>
      </c>
      <c r="L11" s="81" t="s">
        <v>195</v>
      </c>
      <c r="M11" s="84">
        <v>0.24193548387096775</v>
      </c>
      <c r="N11" s="81" t="s">
        <v>127</v>
      </c>
      <c r="O11" s="84">
        <v>0.19829424307036247</v>
      </c>
      <c r="P11" s="81" t="s">
        <v>166</v>
      </c>
      <c r="Q11" s="85">
        <v>7431.1475409836066</v>
      </c>
      <c r="R11" s="81" t="s">
        <v>182</v>
      </c>
      <c r="S11" s="85">
        <v>-9173.5294117647063</v>
      </c>
      <c r="T11" s="81" t="s">
        <v>182</v>
      </c>
      <c r="U11" s="83">
        <v>0.25</v>
      </c>
      <c r="V11" s="81" t="s">
        <v>182</v>
      </c>
      <c r="W11" s="83">
        <v>0.05</v>
      </c>
      <c r="X11" s="81" t="s">
        <v>182</v>
      </c>
      <c r="Y11" s="84">
        <v>0.21019108280254778</v>
      </c>
      <c r="Z11" s="81" t="s">
        <v>179</v>
      </c>
      <c r="AA11" s="84">
        <v>0.176056338028169</v>
      </c>
      <c r="AB11" s="81" t="s">
        <v>166</v>
      </c>
      <c r="AC11" s="84">
        <v>0.51219512195121952</v>
      </c>
      <c r="AD11" s="81" t="s">
        <v>181</v>
      </c>
      <c r="AE11" s="84">
        <v>0.33333333333333331</v>
      </c>
      <c r="AF11" s="81" t="s">
        <v>127</v>
      </c>
      <c r="AG11" s="84">
        <v>0.37662337662337664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-428.10000000000008</v>
      </c>
      <c r="D12" s="81" t="s">
        <v>182</v>
      </c>
      <c r="E12" s="93">
        <v>-21.405000000000005</v>
      </c>
      <c r="F12" s="81" t="s">
        <v>182</v>
      </c>
      <c r="G12" s="82">
        <v>2.5499999999999998</v>
      </c>
      <c r="H12" s="81" t="s">
        <v>182</v>
      </c>
      <c r="I12" s="83">
        <v>0.05</v>
      </c>
      <c r="J12" s="81" t="s">
        <v>182</v>
      </c>
      <c r="K12" s="83">
        <v>0.6</v>
      </c>
      <c r="L12" s="81" t="s">
        <v>182</v>
      </c>
      <c r="M12" s="84">
        <v>0.20382165605095542</v>
      </c>
      <c r="N12" s="81" t="s">
        <v>182</v>
      </c>
      <c r="O12" s="84">
        <v>0.21656050955414013</v>
      </c>
      <c r="P12" s="81" t="s">
        <v>179</v>
      </c>
      <c r="Q12" s="85">
        <v>7334.5679012345681</v>
      </c>
      <c r="R12" s="81" t="s">
        <v>177</v>
      </c>
      <c r="S12" s="85">
        <v>-9467.5675675675684</v>
      </c>
      <c r="T12" s="81" t="s">
        <v>195</v>
      </c>
      <c r="U12" s="83">
        <v>0.5714285714285714</v>
      </c>
      <c r="V12" s="81" t="s">
        <v>166</v>
      </c>
      <c r="W12" s="83">
        <v>3.5714285714285712E-2</v>
      </c>
      <c r="X12" s="81" t="s">
        <v>166</v>
      </c>
      <c r="Y12" s="84">
        <v>0.17154811715481172</v>
      </c>
      <c r="Z12" s="81" t="s">
        <v>181</v>
      </c>
      <c r="AA12" s="84">
        <v>0.14563106796116504</v>
      </c>
      <c r="AB12" s="81" t="s">
        <v>177</v>
      </c>
      <c r="AC12" s="84">
        <v>0.4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28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282</v>
      </c>
      <c r="C2" s="149"/>
      <c r="E2" s="58" t="s">
        <v>66</v>
      </c>
      <c r="F2" s="55" t="s">
        <v>22</v>
      </c>
      <c r="G2" s="43">
        <v>522</v>
      </c>
      <c r="H2" s="128">
        <f>IF(B$17=0,0,G2/B$17)</f>
        <v>0.76315789473684215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-21.50537634408602</v>
      </c>
      <c r="P2" s="114">
        <v>279</v>
      </c>
      <c r="Q2" s="98">
        <v>-6000</v>
      </c>
    </row>
    <row r="3" spans="1:17" x14ac:dyDescent="0.4">
      <c r="A3" s="51" t="s">
        <v>8</v>
      </c>
      <c r="B3" s="150">
        <v>2340</v>
      </c>
      <c r="C3" s="151"/>
      <c r="E3" s="59" t="s">
        <v>72</v>
      </c>
      <c r="F3" s="56" t="s">
        <v>27</v>
      </c>
      <c r="G3" s="44">
        <v>393</v>
      </c>
      <c r="H3" s="129">
        <f>IF(B$17=0,0,G3/B$17)</f>
        <v>0.57456140350877194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14.9812734082397</v>
      </c>
      <c r="P3" s="115">
        <v>267</v>
      </c>
      <c r="Q3" s="99">
        <v>4000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306</v>
      </c>
      <c r="H4" s="129">
        <f>IF(B$17=0,0,G4/B$17)</f>
        <v>0.44736842105263158</v>
      </c>
      <c r="I4" s="90">
        <v>5</v>
      </c>
      <c r="K4" s="36">
        <v>2</v>
      </c>
      <c r="L4" s="95">
        <v>45.6</v>
      </c>
      <c r="N4" s="111" t="s">
        <v>132</v>
      </c>
      <c r="O4" s="118">
        <f t="shared" si="0"/>
        <v>-31.007751937984494</v>
      </c>
      <c r="P4" s="115">
        <v>258</v>
      </c>
      <c r="Q4" s="99">
        <v>-8000</v>
      </c>
    </row>
    <row r="5" spans="1:17" x14ac:dyDescent="0.4">
      <c r="A5" s="51" t="s">
        <v>7</v>
      </c>
      <c r="B5" s="154">
        <f>IF(B$2=0,0,B$4/B$2)</f>
        <v>-5.0393101826957459E-17</v>
      </c>
      <c r="C5" s="155"/>
      <c r="E5" s="59" t="s">
        <v>171</v>
      </c>
      <c r="F5" s="56" t="s">
        <v>172</v>
      </c>
      <c r="G5" s="44">
        <v>249</v>
      </c>
      <c r="H5" s="129">
        <f>IF(B$17=0,0,G5/B$17)</f>
        <v>0.36403508771929827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0"/>
        <v>28.806584362139919</v>
      </c>
      <c r="P5" s="115">
        <v>243</v>
      </c>
      <c r="Q5" s="99">
        <v>7000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67</v>
      </c>
      <c r="F6" s="56" t="s">
        <v>23</v>
      </c>
      <c r="G6" s="44">
        <v>200</v>
      </c>
      <c r="H6" s="129">
        <f>IF(B$17=0,0,G6/B$17)</f>
        <v>0.29239766081871343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8.8888888888888893</v>
      </c>
      <c r="P6" s="115">
        <v>225</v>
      </c>
      <c r="Q6" s="99">
        <v>2000</v>
      </c>
    </row>
    <row r="7" spans="1:17" x14ac:dyDescent="0.4">
      <c r="A7" s="51" t="s">
        <v>2</v>
      </c>
      <c r="B7" s="44">
        <v>94</v>
      </c>
      <c r="C7" s="37">
        <f t="shared" ref="C7:C12" si="1">IF(B$2=0,0,B7/B$2)</f>
        <v>0.33333333333333331</v>
      </c>
      <c r="E7" s="59" t="s">
        <v>68</v>
      </c>
      <c r="F7" s="56" t="s">
        <v>12</v>
      </c>
      <c r="G7" s="44">
        <v>197</v>
      </c>
      <c r="H7" s="129">
        <f>IF(B$17=0,0,G7/B$17)</f>
        <v>0.28801169590643277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5.376344086021505</v>
      </c>
      <c r="P7" s="116">
        <v>186</v>
      </c>
      <c r="Q7" s="100">
        <v>1000</v>
      </c>
    </row>
    <row r="8" spans="1:17" x14ac:dyDescent="0.4">
      <c r="A8" s="51" t="s">
        <v>3</v>
      </c>
      <c r="B8" s="44">
        <v>94</v>
      </c>
      <c r="C8" s="37">
        <f t="shared" si="1"/>
        <v>0.33333333333333331</v>
      </c>
      <c r="E8" s="59" t="s">
        <v>89</v>
      </c>
      <c r="F8" s="56" t="s">
        <v>44</v>
      </c>
      <c r="G8" s="44">
        <v>95</v>
      </c>
      <c r="H8" s="129">
        <f>IF(B$17=0,0,G8/B$17)</f>
        <v>0.1388888888888889</v>
      </c>
      <c r="I8" s="90">
        <v>3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94</v>
      </c>
      <c r="C9" s="38">
        <f t="shared" si="1"/>
        <v>0.33333333333333331</v>
      </c>
      <c r="E9" s="59" t="s">
        <v>69</v>
      </c>
      <c r="F9" s="56" t="s">
        <v>24</v>
      </c>
      <c r="G9" s="44">
        <v>87</v>
      </c>
      <c r="H9" s="129">
        <f>IF(B$17=0,0,G9/B$17)</f>
        <v>0.12719298245614036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31</v>
      </c>
      <c r="C10" s="38">
        <f t="shared" si="1"/>
        <v>0.1099290780141844</v>
      </c>
      <c r="E10" s="59" t="s">
        <v>65</v>
      </c>
      <c r="F10" s="56" t="s">
        <v>21</v>
      </c>
      <c r="G10" s="44">
        <v>64</v>
      </c>
      <c r="H10" s="129">
        <f>IF(B$17=0,0,G10/B$17)</f>
        <v>9.3567251461988299E-2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1.7372340425531905</v>
      </c>
      <c r="P10" s="114">
        <v>94</v>
      </c>
      <c r="Q10" s="102">
        <v>163.2999999999999</v>
      </c>
    </row>
    <row r="11" spans="1:17" x14ac:dyDescent="0.4">
      <c r="A11" s="52" t="s">
        <v>138</v>
      </c>
      <c r="B11" s="45">
        <v>31</v>
      </c>
      <c r="C11" s="38">
        <f t="shared" si="1"/>
        <v>0.1099290780141844</v>
      </c>
      <c r="E11" s="59" t="s">
        <v>70</v>
      </c>
      <c r="F11" s="56" t="s">
        <v>25</v>
      </c>
      <c r="G11" s="44">
        <v>56</v>
      </c>
      <c r="H11" s="129">
        <f>IF(B$17=0,0,G11/B$17)</f>
        <v>8.1871345029239762E-2</v>
      </c>
      <c r="I11" s="90">
        <v>4</v>
      </c>
      <c r="K11" s="36">
        <v>9</v>
      </c>
      <c r="L11" s="95">
        <v>0</v>
      </c>
      <c r="N11" s="111" t="s">
        <v>163</v>
      </c>
      <c r="O11" s="121">
        <f>IF(P11=0,0,Q11/P11)</f>
        <v>-0.37234042553191465</v>
      </c>
      <c r="P11" s="115">
        <v>94</v>
      </c>
      <c r="Q11" s="103">
        <v>-34.999999999999979</v>
      </c>
    </row>
    <row r="12" spans="1:17" x14ac:dyDescent="0.4">
      <c r="A12" s="53" t="s">
        <v>158</v>
      </c>
      <c r="B12" s="46">
        <v>27</v>
      </c>
      <c r="C12" s="40">
        <f t="shared" si="1"/>
        <v>9.5744680851063829E-2</v>
      </c>
      <c r="E12" s="59" t="s">
        <v>71</v>
      </c>
      <c r="F12" s="56" t="s">
        <v>26</v>
      </c>
      <c r="G12" s="44">
        <v>52</v>
      </c>
      <c r="H12" s="129">
        <f>IF(B$17=0,0,G12/B$17)</f>
        <v>7.6023391812865493E-2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-1.3648936170212771</v>
      </c>
      <c r="P12" s="116">
        <v>94</v>
      </c>
      <c r="Q12" s="104">
        <v>-128.30000000000004</v>
      </c>
    </row>
    <row r="13" spans="1:17" x14ac:dyDescent="0.4">
      <c r="A13" s="54" t="s">
        <v>121</v>
      </c>
      <c r="B13" s="47">
        <v>570</v>
      </c>
      <c r="C13" s="42">
        <f>IF(B$3=0,0,B13/B$3)</f>
        <v>0.24358974358974358</v>
      </c>
      <c r="E13" s="59" t="s">
        <v>83</v>
      </c>
      <c r="F13" s="56" t="s">
        <v>38</v>
      </c>
      <c r="G13" s="44">
        <v>40</v>
      </c>
      <c r="H13" s="129">
        <f>IF(B$17=0,0,G13/B$17)</f>
        <v>5.8479532163742687E-2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577</v>
      </c>
      <c r="C14" s="37">
        <f>IF(B$3=0,0,B14/B$3)</f>
        <v>0.24658119658119659</v>
      </c>
      <c r="E14" s="59" t="s">
        <v>86</v>
      </c>
      <c r="F14" s="56" t="s">
        <v>41</v>
      </c>
      <c r="G14" s="44">
        <v>29</v>
      </c>
      <c r="H14" s="129">
        <f>IF(B$17=0,0,G14/B$17)</f>
        <v>4.2397660818713448E-2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313</v>
      </c>
      <c r="C15" s="35">
        <f>IF(B$13=0,0,B15/B$13)</f>
        <v>0.5491228070175439</v>
      </c>
      <c r="E15" s="59" t="s">
        <v>78</v>
      </c>
      <c r="F15" s="56" t="s">
        <v>33</v>
      </c>
      <c r="G15" s="44">
        <v>15</v>
      </c>
      <c r="H15" s="129">
        <f>IF(B$17=0,0,G15/B$17)</f>
        <v>2.1929824561403508E-2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32.107500000000002</v>
      </c>
      <c r="P15" s="114">
        <v>40</v>
      </c>
      <c r="Q15" s="102">
        <v>1284.3</v>
      </c>
    </row>
    <row r="16" spans="1:17" x14ac:dyDescent="0.4">
      <c r="A16" s="50" t="s">
        <v>124</v>
      </c>
      <c r="B16" s="43">
        <v>243</v>
      </c>
      <c r="C16" s="35">
        <f>IF(B$14=0,0,B16/B$14)</f>
        <v>0.42114384748700173</v>
      </c>
      <c r="E16" s="59" t="s">
        <v>81</v>
      </c>
      <c r="F16" s="56" t="s">
        <v>36</v>
      </c>
      <c r="G16" s="44">
        <v>13</v>
      </c>
      <c r="H16" s="129">
        <f>IF(B$17=0,0,G16/B$17)</f>
        <v>1.9005847953216373E-2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684</v>
      </c>
      <c r="C17" s="35">
        <f>IF(B$3=0,0,B17/B$3)</f>
        <v>0.29230769230769232</v>
      </c>
      <c r="E17" s="59" t="s">
        <v>79</v>
      </c>
      <c r="F17" s="56" t="s">
        <v>34</v>
      </c>
      <c r="G17" s="44">
        <v>10</v>
      </c>
      <c r="H17" s="129">
        <f>IF(B$17=0,0,G17/B$17)</f>
        <v>1.4619883040935672E-2</v>
      </c>
      <c r="I17" s="90">
        <v>4</v>
      </c>
      <c r="K17" s="36">
        <v>15</v>
      </c>
      <c r="L17" s="95">
        <v>0</v>
      </c>
      <c r="N17" s="111" t="s">
        <v>179</v>
      </c>
      <c r="O17" s="121">
        <f>IF(P17=0,0,Q17/P17)</f>
        <v>11.877272727272732</v>
      </c>
      <c r="P17" s="115">
        <v>66</v>
      </c>
      <c r="Q17" s="103">
        <v>783.90000000000032</v>
      </c>
    </row>
    <row r="18" spans="1:17" x14ac:dyDescent="0.4">
      <c r="A18" s="51" t="s">
        <v>12</v>
      </c>
      <c r="B18" s="44">
        <v>285</v>
      </c>
      <c r="C18" s="37">
        <f>IF(B$17=0,0,B18/B$17)</f>
        <v>0.41666666666666669</v>
      </c>
      <c r="E18" s="59" t="s">
        <v>91</v>
      </c>
      <c r="F18" s="56" t="s">
        <v>46</v>
      </c>
      <c r="G18" s="44">
        <v>10</v>
      </c>
      <c r="H18" s="129">
        <f>IF(B$17=0,0,G18/B$17)</f>
        <v>1.4619883040935672E-2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6.6642857142857137</v>
      </c>
      <c r="P18" s="115">
        <v>56</v>
      </c>
      <c r="Q18" s="103">
        <v>373.2</v>
      </c>
    </row>
    <row r="19" spans="1:17" x14ac:dyDescent="0.4">
      <c r="A19" s="51" t="s">
        <v>11</v>
      </c>
      <c r="B19" s="44">
        <v>399</v>
      </c>
      <c r="C19" s="37">
        <f>IF(B$17=0,0,B19/B$17)</f>
        <v>0.58333333333333337</v>
      </c>
      <c r="E19" s="59" t="s">
        <v>167</v>
      </c>
      <c r="F19" s="56" t="s">
        <v>168</v>
      </c>
      <c r="G19" s="44">
        <v>8</v>
      </c>
      <c r="H19" s="129">
        <f>IF(B$17=0,0,G19/B$17)</f>
        <v>1.1695906432748537E-2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2.7250000000000001</v>
      </c>
      <c r="P19" s="115">
        <v>72</v>
      </c>
      <c r="Q19" s="103">
        <v>196.20000000000002</v>
      </c>
    </row>
    <row r="20" spans="1:17" x14ac:dyDescent="0.4">
      <c r="A20" s="51" t="s">
        <v>13</v>
      </c>
      <c r="B20" s="44">
        <v>397</v>
      </c>
      <c r="C20" s="37">
        <f>IF(B$3=0,0,B20/B$3)</f>
        <v>0.16965811965811967</v>
      </c>
      <c r="E20" s="59" t="s">
        <v>92</v>
      </c>
      <c r="F20" s="56" t="s">
        <v>47</v>
      </c>
      <c r="G20" s="44">
        <v>5</v>
      </c>
      <c r="H20" s="129">
        <f>IF(B$17=0,0,G20/B$17)</f>
        <v>7.3099415204678359E-3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-1.5450000000000008</v>
      </c>
      <c r="P20" s="115">
        <v>60</v>
      </c>
      <c r="Q20" s="103">
        <v>-92.700000000000045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77</v>
      </c>
      <c r="F21" s="56" t="s">
        <v>32</v>
      </c>
      <c r="G21" s="44">
        <v>4</v>
      </c>
      <c r="H21" s="129">
        <f>IF(B$17=0,0,G21/B$17)</f>
        <v>5.8479532163742687E-3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-8.0481818181818241</v>
      </c>
      <c r="P21" s="115">
        <v>110</v>
      </c>
      <c r="Q21" s="103">
        <v>-885.30000000000064</v>
      </c>
    </row>
    <row r="22" spans="1:17" x14ac:dyDescent="0.4">
      <c r="A22" s="51" t="s">
        <v>170</v>
      </c>
      <c r="B22" s="44">
        <v>26</v>
      </c>
      <c r="C22" s="131">
        <v>0</v>
      </c>
      <c r="E22" s="59" t="s">
        <v>85</v>
      </c>
      <c r="F22" s="56" t="s">
        <v>40</v>
      </c>
      <c r="G22" s="44">
        <v>4</v>
      </c>
      <c r="H22" s="129">
        <f>IF(B$17=0,0,G22/B$17)</f>
        <v>5.8479532163742687E-3</v>
      </c>
      <c r="I22" s="90">
        <v>5</v>
      </c>
      <c r="K22" s="36">
        <v>20</v>
      </c>
      <c r="L22" s="95">
        <v>-61.199999999999996</v>
      </c>
      <c r="N22" s="111" t="s">
        <v>126</v>
      </c>
      <c r="O22" s="121">
        <f>IF(P22=0,0,Q22/P22)</f>
        <v>-12.868548387096771</v>
      </c>
      <c r="P22" s="115">
        <v>124</v>
      </c>
      <c r="Q22" s="103">
        <v>-1595.6999999999996</v>
      </c>
    </row>
    <row r="23" spans="1:17" x14ac:dyDescent="0.4">
      <c r="A23" s="51" t="s">
        <v>5</v>
      </c>
      <c r="B23" s="48">
        <f>IF(B$17=0,0,C23/B$17)</f>
        <v>8167.105263157895</v>
      </c>
      <c r="C23" s="39">
        <v>5586300</v>
      </c>
      <c r="E23" s="59" t="s">
        <v>74</v>
      </c>
      <c r="F23" s="56" t="s">
        <v>29</v>
      </c>
      <c r="G23" s="44">
        <v>3</v>
      </c>
      <c r="H23" s="129">
        <f>IF(B$17=0,0,G23/B$17)</f>
        <v>4.3859649122807015E-3</v>
      </c>
      <c r="I23" s="90">
        <v>4</v>
      </c>
      <c r="K23" s="36">
        <v>21</v>
      </c>
      <c r="L23" s="95">
        <v>7.1054273576010019E-15</v>
      </c>
      <c r="N23" s="111" t="s">
        <v>181</v>
      </c>
      <c r="O23" s="121">
        <f>IF(P23=0,0,Q23/P23)</f>
        <v>-17.195454545454549</v>
      </c>
      <c r="P23" s="115">
        <v>22</v>
      </c>
      <c r="Q23" s="103">
        <v>-378.30000000000007</v>
      </c>
    </row>
    <row r="24" spans="1:17" x14ac:dyDescent="0.4">
      <c r="A24" s="52" t="s">
        <v>216</v>
      </c>
      <c r="B24" s="136">
        <f>IF($B$17-B$16=0,0,C24/($B$17-B$16))</f>
        <v>8749.6598639455788</v>
      </c>
      <c r="C24" s="137">
        <v>3858600</v>
      </c>
      <c r="E24" s="59" t="s">
        <v>75</v>
      </c>
      <c r="F24" s="56" t="s">
        <v>30</v>
      </c>
      <c r="G24" s="44">
        <v>3</v>
      </c>
      <c r="H24" s="129">
        <f>IF(B$17=0,0,G24/B$17)</f>
        <v>4.3859649122807015E-3</v>
      </c>
      <c r="I24" s="90">
        <v>4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7109.8765432098762</v>
      </c>
      <c r="C25" s="137">
        <v>1727700</v>
      </c>
      <c r="E25" s="59" t="s">
        <v>84</v>
      </c>
      <c r="F25" s="56" t="s">
        <v>39</v>
      </c>
      <c r="G25" s="44">
        <v>3</v>
      </c>
      <c r="H25" s="129">
        <f>IF(B$17=0,0,G25/B$17)</f>
        <v>4.3859649122807015E-3</v>
      </c>
      <c r="I25" s="90">
        <v>2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-7630.9823677581862</v>
      </c>
      <c r="C26" s="137">
        <v>-3029500</v>
      </c>
      <c r="E26" s="59" t="s">
        <v>88</v>
      </c>
      <c r="F26" s="56" t="s">
        <v>43</v>
      </c>
      <c r="G26" s="44">
        <v>3</v>
      </c>
      <c r="H26" s="129">
        <f>IF(B$17=0,0,G26/B$17)</f>
        <v>4.3859649122807015E-3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87</v>
      </c>
      <c r="F27" s="56" t="s">
        <v>42</v>
      </c>
      <c r="G27" s="44">
        <v>1</v>
      </c>
      <c r="H27" s="129">
        <f>IF(B$17=0,0,G27/B$17)</f>
        <v>1.4619883040935672E-3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90</v>
      </c>
      <c r="F28" s="56" t="s">
        <v>45</v>
      </c>
      <c r="G28" s="44">
        <v>1</v>
      </c>
      <c r="H28" s="129">
        <f>IF(B$17=0,0,G28/B$17)</f>
        <v>1.4619883040935672E-3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9</v>
      </c>
      <c r="C29" s="40">
        <f>IF(B$3=0,0,B29/B$3)</f>
        <v>3.8461538461538464E-3</v>
      </c>
      <c r="E29" s="59" t="s">
        <v>93</v>
      </c>
      <c r="F29" s="56" t="s">
        <v>48</v>
      </c>
      <c r="G29" s="44">
        <v>1</v>
      </c>
      <c r="H29" s="129">
        <f>IF(B$17=0,0,G29/B$17)</f>
        <v>1.4619883040935672E-3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95</v>
      </c>
      <c r="F30" s="56" t="s">
        <v>50</v>
      </c>
      <c r="G30" s="44">
        <v>1</v>
      </c>
      <c r="H30" s="129">
        <f>IF(B$17=0,0,G30/B$17)</f>
        <v>1.4619883040935672E-3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101</v>
      </c>
      <c r="F31" s="56" t="s">
        <v>56</v>
      </c>
      <c r="G31" s="44">
        <v>1</v>
      </c>
      <c r="H31" s="129">
        <f>IF(B$17=0,0,G31/B$17)</f>
        <v>1.4619883040935672E-3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73</v>
      </c>
      <c r="F32" s="56" t="s">
        <v>28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</v>
      </c>
      <c r="C2" s="149"/>
      <c r="E2" s="58" t="s">
        <v>66</v>
      </c>
      <c r="F2" s="55" t="s">
        <v>22</v>
      </c>
      <c r="G2" s="43">
        <v>36</v>
      </c>
      <c r="H2" s="128">
        <f>IF(B$17=0,0,G2/B$17)</f>
        <v>0.5901639344262295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739.28571428571433</v>
      </c>
      <c r="P2" s="114">
        <v>28</v>
      </c>
      <c r="Q2" s="98">
        <v>20700</v>
      </c>
    </row>
    <row r="3" spans="1:17" x14ac:dyDescent="0.4">
      <c r="A3" s="51" t="s">
        <v>8</v>
      </c>
      <c r="B3" s="150">
        <v>239</v>
      </c>
      <c r="C3" s="151"/>
      <c r="E3" s="59" t="s">
        <v>72</v>
      </c>
      <c r="F3" s="56" t="s">
        <v>27</v>
      </c>
      <c r="G3" s="44">
        <v>30</v>
      </c>
      <c r="H3" s="129">
        <f>IF(B$17=0,0,G3/B$17)</f>
        <v>0.49180327868852458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-866.66666666666663</v>
      </c>
      <c r="P3" s="115">
        <v>27</v>
      </c>
      <c r="Q3" s="99">
        <v>-23400</v>
      </c>
    </row>
    <row r="4" spans="1:17" x14ac:dyDescent="0.4">
      <c r="A4" s="51" t="s">
        <v>6</v>
      </c>
      <c r="B4" s="152">
        <v>-124.40000000000002</v>
      </c>
      <c r="C4" s="153"/>
      <c r="E4" s="59" t="s">
        <v>171</v>
      </c>
      <c r="F4" s="56" t="s">
        <v>172</v>
      </c>
      <c r="G4" s="44">
        <v>22</v>
      </c>
      <c r="H4" s="129">
        <f>IF(B$17=0,0,G4/B$17)</f>
        <v>0.36065573770491804</v>
      </c>
      <c r="I4" s="90">
        <v>4</v>
      </c>
      <c r="K4" s="36">
        <v>2</v>
      </c>
      <c r="L4" s="95">
        <v>19.899999999999999</v>
      </c>
      <c r="N4" s="111" t="s">
        <v>132</v>
      </c>
      <c r="O4" s="118">
        <f t="shared" si="0"/>
        <v>896.15384615384619</v>
      </c>
      <c r="P4" s="115">
        <v>26</v>
      </c>
      <c r="Q4" s="99">
        <v>23300</v>
      </c>
    </row>
    <row r="5" spans="1:17" x14ac:dyDescent="0.4">
      <c r="A5" s="51" t="s">
        <v>7</v>
      </c>
      <c r="B5" s="154">
        <f>IF(B$2=0,0,B$4/B$2)</f>
        <v>-4.4428571428571439</v>
      </c>
      <c r="C5" s="155"/>
      <c r="E5" s="59" t="s">
        <v>64</v>
      </c>
      <c r="F5" s="56" t="s">
        <v>20</v>
      </c>
      <c r="G5" s="44">
        <v>19</v>
      </c>
      <c r="H5" s="129">
        <f>IF(B$17=0,0,G5/B$17)</f>
        <v>0.31147540983606559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-1523.0769230769231</v>
      </c>
      <c r="P5" s="115">
        <v>26</v>
      </c>
      <c r="Q5" s="99">
        <v>-39600</v>
      </c>
    </row>
    <row r="6" spans="1:17" x14ac:dyDescent="0.4">
      <c r="A6" s="51" t="s">
        <v>1</v>
      </c>
      <c r="B6" s="144">
        <f>IF(B$2=0,0,(B$7*1+B$8*2+B$9*3)/B$2)</f>
        <v>2.1071428571428572</v>
      </c>
      <c r="C6" s="145"/>
      <c r="E6" s="59" t="s">
        <v>68</v>
      </c>
      <c r="F6" s="56" t="s">
        <v>12</v>
      </c>
      <c r="G6" s="44">
        <v>19</v>
      </c>
      <c r="H6" s="129">
        <f>IF(B$17=0,0,G6/B$17)</f>
        <v>0.31147540983606559</v>
      </c>
      <c r="I6" s="90">
        <v>3</v>
      </c>
      <c r="K6" s="36">
        <v>4</v>
      </c>
      <c r="L6" s="95">
        <v>-30.7</v>
      </c>
      <c r="N6" s="111" t="s">
        <v>134</v>
      </c>
      <c r="O6" s="118">
        <f t="shared" si="0"/>
        <v>-665.38461538461536</v>
      </c>
      <c r="P6" s="115">
        <v>26</v>
      </c>
      <c r="Q6" s="99">
        <v>-17300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0.2857142857142857</v>
      </c>
      <c r="E7" s="59" t="s">
        <v>69</v>
      </c>
      <c r="F7" s="56" t="s">
        <v>24</v>
      </c>
      <c r="G7" s="44">
        <v>15</v>
      </c>
      <c r="H7" s="129">
        <f>IF(B$17=0,0,G7/B$17)</f>
        <v>0.24590163934426229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-2863.6363636363635</v>
      </c>
      <c r="P7" s="116">
        <v>22</v>
      </c>
      <c r="Q7" s="100">
        <v>-63000</v>
      </c>
    </row>
    <row r="8" spans="1:17" x14ac:dyDescent="0.4">
      <c r="A8" s="51" t="s">
        <v>3</v>
      </c>
      <c r="B8" s="44">
        <v>9</v>
      </c>
      <c r="C8" s="37">
        <f t="shared" si="1"/>
        <v>0.32142857142857145</v>
      </c>
      <c r="E8" s="59" t="s">
        <v>70</v>
      </c>
      <c r="F8" s="56" t="s">
        <v>25</v>
      </c>
      <c r="G8" s="44">
        <v>11</v>
      </c>
      <c r="H8" s="129">
        <f>IF(B$17=0,0,G8/B$17)</f>
        <v>0.18032786885245902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11</v>
      </c>
      <c r="C9" s="38">
        <f t="shared" si="1"/>
        <v>0.39285714285714285</v>
      </c>
      <c r="E9" s="59" t="s">
        <v>67</v>
      </c>
      <c r="F9" s="56" t="s">
        <v>23</v>
      </c>
      <c r="G9" s="44">
        <v>8</v>
      </c>
      <c r="H9" s="129">
        <f>IF(B$17=0,0,G9/B$17)</f>
        <v>0.13114754098360656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0.13114754098360656</v>
      </c>
      <c r="I10" s="90">
        <v>1</v>
      </c>
      <c r="K10" s="36">
        <v>8</v>
      </c>
      <c r="L10" s="95">
        <v>-76.900000000000006</v>
      </c>
      <c r="N10" s="110" t="s">
        <v>162</v>
      </c>
      <c r="O10" s="120">
        <f>IF(P10=0,0,Q10/P10)</f>
        <v>0.49000000000000021</v>
      </c>
      <c r="P10" s="114">
        <v>10</v>
      </c>
      <c r="Q10" s="102">
        <v>4.9000000000000021</v>
      </c>
    </row>
    <row r="11" spans="1:17" x14ac:dyDescent="0.4">
      <c r="A11" s="52" t="s">
        <v>138</v>
      </c>
      <c r="B11" s="45">
        <v>1</v>
      </c>
      <c r="C11" s="38">
        <f t="shared" si="1"/>
        <v>3.5714285714285712E-2</v>
      </c>
      <c r="E11" s="59" t="s">
        <v>65</v>
      </c>
      <c r="F11" s="56" t="s">
        <v>21</v>
      </c>
      <c r="G11" s="44">
        <v>7</v>
      </c>
      <c r="H11" s="129">
        <f>IF(B$17=0,0,G11/B$17)</f>
        <v>0.11475409836065574</v>
      </c>
      <c r="I11" s="90">
        <v>3</v>
      </c>
      <c r="K11" s="36">
        <v>9</v>
      </c>
      <c r="L11" s="95">
        <v>-59.500000000000007</v>
      </c>
      <c r="N11" s="111" t="s">
        <v>163</v>
      </c>
      <c r="O11" s="121">
        <f>IF(P11=0,0,Q11/P11)</f>
        <v>-17.25</v>
      </c>
      <c r="P11" s="115">
        <v>6</v>
      </c>
      <c r="Q11" s="103">
        <v>-103.5</v>
      </c>
    </row>
    <row r="12" spans="1:17" x14ac:dyDescent="0.4">
      <c r="A12" s="53" t="s">
        <v>158</v>
      </c>
      <c r="B12" s="46">
        <v>4</v>
      </c>
      <c r="C12" s="40">
        <f t="shared" si="1"/>
        <v>0.14285714285714285</v>
      </c>
      <c r="E12" s="59" t="s">
        <v>83</v>
      </c>
      <c r="F12" s="56" t="s">
        <v>38</v>
      </c>
      <c r="G12" s="44">
        <v>6</v>
      </c>
      <c r="H12" s="129">
        <f>IF(B$17=0,0,G12/B$17)</f>
        <v>9.8360655737704916E-2</v>
      </c>
      <c r="I12" s="90">
        <v>1</v>
      </c>
      <c r="K12" s="36">
        <v>10</v>
      </c>
      <c r="L12" s="95">
        <v>-32.700000000000003</v>
      </c>
      <c r="N12" s="112" t="s">
        <v>164</v>
      </c>
      <c r="O12" s="122">
        <f>IF(P12=0,0,Q12/P12)</f>
        <v>-2.15</v>
      </c>
      <c r="P12" s="116">
        <v>12</v>
      </c>
      <c r="Q12" s="104">
        <v>-25.799999999999997</v>
      </c>
    </row>
    <row r="13" spans="1:17" x14ac:dyDescent="0.4">
      <c r="A13" s="54" t="s">
        <v>121</v>
      </c>
      <c r="B13" s="47">
        <v>41</v>
      </c>
      <c r="C13" s="42">
        <f>IF(B$3=0,0,B13/B$3)</f>
        <v>0.17154811715481172</v>
      </c>
      <c r="E13" s="59" t="s">
        <v>89</v>
      </c>
      <c r="F13" s="56" t="s">
        <v>44</v>
      </c>
      <c r="G13" s="44">
        <v>4</v>
      </c>
      <c r="H13" s="129">
        <f>IF(B$17=0,0,G13/B$17)</f>
        <v>6.5573770491803282E-2</v>
      </c>
      <c r="I13" s="90">
        <v>8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0.23012552301255229</v>
      </c>
      <c r="E14" s="59" t="s">
        <v>81</v>
      </c>
      <c r="F14" s="56" t="s">
        <v>36</v>
      </c>
      <c r="G14" s="44">
        <v>3</v>
      </c>
      <c r="H14" s="129">
        <f>IF(B$17=0,0,G14/B$17)</f>
        <v>4.9180327868852458E-2</v>
      </c>
      <c r="I14" s="90">
        <v>2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21</v>
      </c>
      <c r="C15" s="35">
        <f>IF(B$13=0,0,B15/B$13)</f>
        <v>0.51219512195121952</v>
      </c>
      <c r="E15" s="59" t="s">
        <v>88</v>
      </c>
      <c r="F15" s="56" t="s">
        <v>43</v>
      </c>
      <c r="G15" s="44">
        <v>2</v>
      </c>
      <c r="H15" s="129">
        <f>IF(B$17=0,0,G15/B$17)</f>
        <v>3.2786885245901641E-2</v>
      </c>
      <c r="I15" s="90">
        <v>1</v>
      </c>
      <c r="K15" s="36">
        <v>13</v>
      </c>
      <c r="L15" s="95">
        <v>-66.2</v>
      </c>
      <c r="N15" s="110" t="s">
        <v>178</v>
      </c>
      <c r="O15" s="120">
        <f>IF(P15=0,0,Q15/P15)</f>
        <v>6.2799999999999994</v>
      </c>
      <c r="P15" s="114">
        <v>5</v>
      </c>
      <c r="Q15" s="102">
        <v>31.4</v>
      </c>
    </row>
    <row r="16" spans="1:17" x14ac:dyDescent="0.4">
      <c r="A16" s="50" t="s">
        <v>124</v>
      </c>
      <c r="B16" s="43">
        <v>19</v>
      </c>
      <c r="C16" s="35">
        <f>IF(B$14=0,0,B16/B$14)</f>
        <v>0.34545454545454546</v>
      </c>
      <c r="E16" s="59" t="s">
        <v>77</v>
      </c>
      <c r="F16" s="56" t="s">
        <v>32</v>
      </c>
      <c r="G16" s="44">
        <v>1</v>
      </c>
      <c r="H16" s="129">
        <f>IF(B$17=0,0,G16/B$17)</f>
        <v>1.6393442622950821E-2</v>
      </c>
      <c r="I16" s="90">
        <v>2</v>
      </c>
      <c r="K16" s="36">
        <v>14</v>
      </c>
      <c r="L16" s="95">
        <v>-51.1</v>
      </c>
      <c r="N16" s="111" t="s">
        <v>126</v>
      </c>
      <c r="O16" s="121">
        <f>IF(P16=0,0,Q16/P16)</f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0.25523012552301255</v>
      </c>
      <c r="E17" s="59" t="s">
        <v>86</v>
      </c>
      <c r="F17" s="56" t="s">
        <v>41</v>
      </c>
      <c r="G17" s="44">
        <v>1</v>
      </c>
      <c r="H17" s="129">
        <f>IF(B$17=0,0,G17/B$17)</f>
        <v>1.6393442622950821E-2</v>
      </c>
      <c r="I17" s="90">
        <v>10</v>
      </c>
      <c r="K17" s="36">
        <v>15</v>
      </c>
      <c r="L17" s="95">
        <v>-65.2</v>
      </c>
      <c r="N17" s="111" t="s">
        <v>127</v>
      </c>
      <c r="O17" s="121">
        <f>IF(P17=0,0,Q17/P17)</f>
        <v>-6.5538461538461537</v>
      </c>
      <c r="P17" s="115">
        <v>13</v>
      </c>
      <c r="Q17" s="103">
        <v>-85.2</v>
      </c>
    </row>
    <row r="18" spans="1:17" x14ac:dyDescent="0.4">
      <c r="A18" s="51" t="s">
        <v>12</v>
      </c>
      <c r="B18" s="44">
        <v>29</v>
      </c>
      <c r="C18" s="37">
        <f>IF(B$17=0,0,B18/B$17)</f>
        <v>0.47540983606557374</v>
      </c>
      <c r="E18" s="59" t="s">
        <v>91</v>
      </c>
      <c r="F18" s="56" t="s">
        <v>46</v>
      </c>
      <c r="G18" s="44">
        <v>1</v>
      </c>
      <c r="H18" s="129">
        <f>IF(B$17=0,0,G18/B$17)</f>
        <v>1.6393442622950821E-2</v>
      </c>
      <c r="I18" s="90">
        <v>3</v>
      </c>
      <c r="K18" s="36">
        <v>16</v>
      </c>
      <c r="L18" s="95">
        <v>-70.600000000000009</v>
      </c>
      <c r="N18" s="111" t="s">
        <v>181</v>
      </c>
      <c r="O18" s="121">
        <f>IF(P18=0,0,Q18/P18)</f>
        <v>-10.825000000000001</v>
      </c>
      <c r="P18" s="115">
        <v>4</v>
      </c>
      <c r="Q18" s="103">
        <v>-43.300000000000004</v>
      </c>
    </row>
    <row r="19" spans="1:17" x14ac:dyDescent="0.4">
      <c r="A19" s="51" t="s">
        <v>11</v>
      </c>
      <c r="B19" s="44">
        <v>32</v>
      </c>
      <c r="C19" s="37">
        <f>IF(B$17=0,0,B19/B$17)</f>
        <v>0.52459016393442626</v>
      </c>
      <c r="E19" s="59" t="s">
        <v>93</v>
      </c>
      <c r="F19" s="56" t="s">
        <v>48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-65.2</v>
      </c>
      <c r="N19" s="111" t="s">
        <v>179</v>
      </c>
      <c r="O19" s="121">
        <f>IF(P19=0,0,Q19/P19)</f>
        <v>-18.450000000000003</v>
      </c>
      <c r="P19" s="115">
        <v>10</v>
      </c>
      <c r="Q19" s="103">
        <v>-184.50000000000003</v>
      </c>
    </row>
    <row r="20" spans="1:17" x14ac:dyDescent="0.4">
      <c r="A20" s="51" t="s">
        <v>13</v>
      </c>
      <c r="B20" s="44">
        <v>40</v>
      </c>
      <c r="C20" s="37">
        <f>IF(B$3=0,0,B20/B$3)</f>
        <v>0.16736401673640167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-80.2</v>
      </c>
      <c r="N20" s="111" t="s">
        <v>182</v>
      </c>
      <c r="O20" s="121">
        <f>IF(P20=0,0,Q20/P20)</f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-115.1</v>
      </c>
    </row>
    <row r="22" spans="1:17" x14ac:dyDescent="0.4">
      <c r="A22" s="51" t="s">
        <v>170</v>
      </c>
      <c r="B22" s="44">
        <v>23</v>
      </c>
      <c r="C22" s="131">
        <v>9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7431.1475409836066</v>
      </c>
      <c r="C23" s="39">
        <v>453300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7880.9523809523807</v>
      </c>
      <c r="C24" s="137">
        <v>331000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6436.8421052631575</v>
      </c>
      <c r="C25" s="137">
        <v>122300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-6607.5</v>
      </c>
      <c r="C26" s="137">
        <v>-264300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8.368200836820083E-3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6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62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0.67664670658682635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327.86885245901641</v>
      </c>
      <c r="P2" s="114">
        <v>61</v>
      </c>
      <c r="Q2" s="98">
        <v>20000</v>
      </c>
    </row>
    <row r="3" spans="1:17" x14ac:dyDescent="0.4">
      <c r="A3" s="51" t="s">
        <v>8</v>
      </c>
      <c r="B3" s="150">
        <v>503</v>
      </c>
      <c r="C3" s="151"/>
      <c r="E3" s="59" t="s">
        <v>72</v>
      </c>
      <c r="F3" s="56" t="s">
        <v>27</v>
      </c>
      <c r="G3" s="44">
        <v>86</v>
      </c>
      <c r="H3" s="129">
        <f>IF(B$17=0,0,G3/B$17)</f>
        <v>0.51497005988023947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0"/>
        <v>305.17241379310343</v>
      </c>
      <c r="P3" s="115">
        <v>58</v>
      </c>
      <c r="Q3" s="99">
        <v>17700</v>
      </c>
    </row>
    <row r="4" spans="1:17" x14ac:dyDescent="0.4">
      <c r="A4" s="51" t="s">
        <v>6</v>
      </c>
      <c r="B4" s="152">
        <v>531.9</v>
      </c>
      <c r="C4" s="153"/>
      <c r="E4" s="59" t="s">
        <v>64</v>
      </c>
      <c r="F4" s="56" t="s">
        <v>20</v>
      </c>
      <c r="G4" s="44">
        <v>69</v>
      </c>
      <c r="H4" s="129">
        <f>IF(B$17=0,0,G4/B$17)</f>
        <v>0.41317365269461076</v>
      </c>
      <c r="I4" s="90">
        <v>9</v>
      </c>
      <c r="K4" s="36">
        <v>2</v>
      </c>
      <c r="L4" s="95">
        <v>14.400000000000006</v>
      </c>
      <c r="N4" s="111" t="s">
        <v>132</v>
      </c>
      <c r="O4" s="118">
        <f t="shared" si="0"/>
        <v>-728.07017543859649</v>
      </c>
      <c r="P4" s="115">
        <v>57</v>
      </c>
      <c r="Q4" s="99">
        <v>-41500</v>
      </c>
    </row>
    <row r="5" spans="1:17" x14ac:dyDescent="0.4">
      <c r="A5" s="51" t="s">
        <v>7</v>
      </c>
      <c r="B5" s="154">
        <f>IF(B$2=0,0,B$4/B$2)</f>
        <v>8.5790322580645153</v>
      </c>
      <c r="C5" s="155"/>
      <c r="E5" s="59" t="s">
        <v>171</v>
      </c>
      <c r="F5" s="56" t="s">
        <v>172</v>
      </c>
      <c r="G5" s="44">
        <v>56</v>
      </c>
      <c r="H5" s="129">
        <f>IF(B$17=0,0,G5/B$17)</f>
        <v>0.33532934131736525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30.76923076923077</v>
      </c>
      <c r="P5" s="115">
        <v>52</v>
      </c>
      <c r="Q5" s="99">
        <v>1600</v>
      </c>
    </row>
    <row r="6" spans="1:17" x14ac:dyDescent="0.4">
      <c r="A6" s="51" t="s">
        <v>1</v>
      </c>
      <c r="B6" s="144">
        <f>IF(B$2=0,0,(B$7*1+B$8*2+B$9*3)/B$2)</f>
        <v>1.7741935483870968</v>
      </c>
      <c r="C6" s="145"/>
      <c r="E6" s="59" t="s">
        <v>67</v>
      </c>
      <c r="F6" s="56" t="s">
        <v>23</v>
      </c>
      <c r="G6" s="44">
        <v>48</v>
      </c>
      <c r="H6" s="129">
        <f>IF(B$17=0,0,G6/B$17)</f>
        <v>0.28742514970059879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4446</v>
      </c>
      <c r="P6" s="115">
        <v>50</v>
      </c>
      <c r="Q6" s="99">
        <v>222300</v>
      </c>
    </row>
    <row r="7" spans="1:17" x14ac:dyDescent="0.4">
      <c r="A7" s="51" t="s">
        <v>2</v>
      </c>
      <c r="B7" s="44">
        <v>28</v>
      </c>
      <c r="C7" s="37">
        <f t="shared" ref="C7:C12" si="1">IF(B$2=0,0,B7/B$2)</f>
        <v>0.45161290322580644</v>
      </c>
      <c r="E7" s="59" t="s">
        <v>68</v>
      </c>
      <c r="F7" s="56" t="s">
        <v>12</v>
      </c>
      <c r="G7" s="44">
        <v>44</v>
      </c>
      <c r="H7" s="129">
        <f>IF(B$17=0,0,G7/B$17)</f>
        <v>0.26347305389221559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3835</v>
      </c>
      <c r="P7" s="116">
        <v>40</v>
      </c>
      <c r="Q7" s="100">
        <v>153400</v>
      </c>
    </row>
    <row r="8" spans="1:17" x14ac:dyDescent="0.4">
      <c r="A8" s="51" t="s">
        <v>3</v>
      </c>
      <c r="B8" s="44">
        <v>20</v>
      </c>
      <c r="C8" s="37">
        <f t="shared" si="1"/>
        <v>0.32258064516129031</v>
      </c>
      <c r="E8" s="59" t="s">
        <v>89</v>
      </c>
      <c r="F8" s="56" t="s">
        <v>44</v>
      </c>
      <c r="G8" s="44">
        <v>30</v>
      </c>
      <c r="H8" s="129">
        <f>IF(B$17=0,0,G8/B$17)</f>
        <v>0.17964071856287425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0.22580645161290322</v>
      </c>
      <c r="E9" s="59" t="s">
        <v>69</v>
      </c>
      <c r="F9" s="56" t="s">
        <v>24</v>
      </c>
      <c r="G9" s="44">
        <v>22</v>
      </c>
      <c r="H9" s="129">
        <f>IF(B$17=0,0,G9/B$17)</f>
        <v>0.1317365269461078</v>
      </c>
      <c r="I9" s="90">
        <v>5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4.8387096774193547E-2</v>
      </c>
      <c r="E10" s="59" t="s">
        <v>65</v>
      </c>
      <c r="F10" s="56" t="s">
        <v>21</v>
      </c>
      <c r="G10" s="44">
        <v>15</v>
      </c>
      <c r="H10" s="129">
        <f>IF(B$17=0,0,G10/B$17)</f>
        <v>8.9820359281437126E-2</v>
      </c>
      <c r="I10" s="90">
        <v>7</v>
      </c>
      <c r="K10" s="36">
        <v>8</v>
      </c>
      <c r="L10" s="95">
        <v>148.1</v>
      </c>
      <c r="N10" s="110" t="s">
        <v>162</v>
      </c>
      <c r="O10" s="120">
        <f>IF(P10=0,0,Q10/P10)</f>
        <v>13.484615384615383</v>
      </c>
      <c r="P10" s="114">
        <v>13</v>
      </c>
      <c r="Q10" s="102">
        <v>175.29999999999998</v>
      </c>
    </row>
    <row r="11" spans="1:17" x14ac:dyDescent="0.4">
      <c r="A11" s="52" t="s">
        <v>138</v>
      </c>
      <c r="B11" s="45">
        <v>6</v>
      </c>
      <c r="C11" s="38">
        <f t="shared" si="1"/>
        <v>9.6774193548387094E-2</v>
      </c>
      <c r="E11" s="59" t="s">
        <v>70</v>
      </c>
      <c r="F11" s="56" t="s">
        <v>25</v>
      </c>
      <c r="G11" s="44">
        <v>11</v>
      </c>
      <c r="H11" s="129">
        <f>IF(B$17=0,0,G11/B$17)</f>
        <v>6.5868263473053898E-2</v>
      </c>
      <c r="I11" s="90">
        <v>6</v>
      </c>
      <c r="K11" s="36">
        <v>9</v>
      </c>
      <c r="L11" s="95">
        <v>180.89999999999998</v>
      </c>
      <c r="N11" s="111" t="s">
        <v>163</v>
      </c>
      <c r="O11" s="121">
        <f>IF(P11=0,0,Q11/P11)</f>
        <v>4.9000000000000004</v>
      </c>
      <c r="P11" s="115">
        <v>29</v>
      </c>
      <c r="Q11" s="103">
        <v>142.10000000000002</v>
      </c>
    </row>
    <row r="12" spans="1:17" x14ac:dyDescent="0.4">
      <c r="A12" s="53" t="s">
        <v>158</v>
      </c>
      <c r="B12" s="46">
        <v>7</v>
      </c>
      <c r="C12" s="40">
        <f t="shared" si="1"/>
        <v>0.11290322580645161</v>
      </c>
      <c r="E12" s="59" t="s">
        <v>71</v>
      </c>
      <c r="F12" s="56" t="s">
        <v>26</v>
      </c>
      <c r="G12" s="44">
        <v>11</v>
      </c>
      <c r="H12" s="129">
        <f>IF(B$17=0,0,G12/B$17)</f>
        <v>6.5868263473053898E-2</v>
      </c>
      <c r="I12" s="90">
        <v>7</v>
      </c>
      <c r="K12" s="36">
        <v>10</v>
      </c>
      <c r="L12" s="95">
        <v>158.19999999999999</v>
      </c>
      <c r="N12" s="112" t="s">
        <v>164</v>
      </c>
      <c r="O12" s="122">
        <f>IF(P12=0,0,Q12/P12)</f>
        <v>10.724999999999998</v>
      </c>
      <c r="P12" s="116">
        <v>20</v>
      </c>
      <c r="Q12" s="104">
        <v>214.49999999999997</v>
      </c>
    </row>
    <row r="13" spans="1:17" x14ac:dyDescent="0.4">
      <c r="A13" s="54" t="s">
        <v>121</v>
      </c>
      <c r="B13" s="47">
        <v>124</v>
      </c>
      <c r="C13" s="42">
        <f>IF(B$3=0,0,B13/B$3)</f>
        <v>0.24652087475149106</v>
      </c>
      <c r="E13" s="59" t="s">
        <v>83</v>
      </c>
      <c r="F13" s="56" t="s">
        <v>38</v>
      </c>
      <c r="G13" s="44">
        <v>8</v>
      </c>
      <c r="H13" s="129">
        <f>IF(B$17=0,0,G13/B$17)</f>
        <v>4.790419161676647E-2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119</v>
      </c>
      <c r="C14" s="37">
        <f>IF(B$3=0,0,B14/B$3)</f>
        <v>0.23658051689860835</v>
      </c>
      <c r="E14" s="59" t="s">
        <v>86</v>
      </c>
      <c r="F14" s="56" t="s">
        <v>41</v>
      </c>
      <c r="G14" s="44">
        <v>6</v>
      </c>
      <c r="H14" s="129">
        <f>IF(B$17=0,0,G14/B$17)</f>
        <v>3.5928143712574849E-2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75</v>
      </c>
      <c r="C15" s="35">
        <f>IF(B$13=0,0,B15/B$13)</f>
        <v>0.60483870967741937</v>
      </c>
      <c r="E15" s="59" t="s">
        <v>78</v>
      </c>
      <c r="F15" s="56" t="s">
        <v>33</v>
      </c>
      <c r="G15" s="44">
        <v>5</v>
      </c>
      <c r="H15" s="129">
        <f>IF(B$17=0,0,G15/B$17)</f>
        <v>2.9940119760479042E-2</v>
      </c>
      <c r="I15" s="90">
        <v>3</v>
      </c>
      <c r="K15" s="36">
        <v>13</v>
      </c>
      <c r="L15" s="95">
        <v>206.39999999999998</v>
      </c>
      <c r="N15" s="110" t="s">
        <v>181</v>
      </c>
      <c r="O15" s="120">
        <f>IF(P15=0,0,Q15/P15)</f>
        <v>49.733333333333327</v>
      </c>
      <c r="P15" s="114">
        <v>3</v>
      </c>
      <c r="Q15" s="102">
        <v>149.19999999999999</v>
      </c>
    </row>
    <row r="16" spans="1:17" x14ac:dyDescent="0.4">
      <c r="A16" s="50" t="s">
        <v>124</v>
      </c>
      <c r="B16" s="43">
        <v>59</v>
      </c>
      <c r="C16" s="35">
        <f>IF(B$14=0,0,B16/B$14)</f>
        <v>0.49579831932773111</v>
      </c>
      <c r="E16" s="59" t="s">
        <v>167</v>
      </c>
      <c r="F16" s="56" t="s">
        <v>168</v>
      </c>
      <c r="G16" s="44">
        <v>5</v>
      </c>
      <c r="H16" s="129">
        <f>IF(B$17=0,0,G16/B$17)</f>
        <v>2.9940119760479042E-2</v>
      </c>
      <c r="I16" s="90">
        <v>1</v>
      </c>
      <c r="K16" s="36">
        <v>14</v>
      </c>
      <c r="L16" s="95">
        <v>240.09999999999997</v>
      </c>
      <c r="N16" s="111" t="s">
        <v>182</v>
      </c>
      <c r="O16" s="121">
        <f>IF(P16=0,0,Q16/P16)</f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167</v>
      </c>
      <c r="C17" s="35">
        <f>IF(B$3=0,0,B17/B$3)</f>
        <v>0.33200795228628233</v>
      </c>
      <c r="E17" s="59" t="s">
        <v>77</v>
      </c>
      <c r="F17" s="56" t="s">
        <v>32</v>
      </c>
      <c r="G17" s="44">
        <v>3</v>
      </c>
      <c r="H17" s="129">
        <f>IF(B$17=0,0,G17/B$17)</f>
        <v>1.7964071856287425E-2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22.126666666666679</v>
      </c>
      <c r="P17" s="115">
        <v>15</v>
      </c>
      <c r="Q17" s="103">
        <v>331.9000000000002</v>
      </c>
    </row>
    <row r="18" spans="1:17" x14ac:dyDescent="0.4">
      <c r="A18" s="51" t="s">
        <v>12</v>
      </c>
      <c r="B18" s="44">
        <v>68</v>
      </c>
      <c r="C18" s="37">
        <f>IF(B$17=0,0,B18/B$17)</f>
        <v>0.40718562874251496</v>
      </c>
      <c r="E18" s="59" t="s">
        <v>84</v>
      </c>
      <c r="F18" s="56" t="s">
        <v>39</v>
      </c>
      <c r="G18" s="44">
        <v>3</v>
      </c>
      <c r="H18" s="129">
        <f>IF(B$17=0,0,G18/B$17)</f>
        <v>1.7964071856287425E-2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19.468181818181819</v>
      </c>
      <c r="P18" s="115">
        <v>22</v>
      </c>
      <c r="Q18" s="103">
        <v>428.3</v>
      </c>
    </row>
    <row r="19" spans="1:17" x14ac:dyDescent="0.4">
      <c r="A19" s="51" t="s">
        <v>11</v>
      </c>
      <c r="B19" s="44">
        <v>99</v>
      </c>
      <c r="C19" s="37">
        <f>IF(B$17=0,0,B19/B$17)</f>
        <v>0.59281437125748504</v>
      </c>
      <c r="E19" s="59" t="s">
        <v>92</v>
      </c>
      <c r="F19" s="56" t="s">
        <v>47</v>
      </c>
      <c r="G19" s="44">
        <v>2</v>
      </c>
      <c r="H19" s="129">
        <f>IF(B$17=0,0,G19/B$17)</f>
        <v>1.1976047904191617E-2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7.6976744186046497</v>
      </c>
      <c r="P19" s="115">
        <v>43</v>
      </c>
      <c r="Q19" s="103">
        <v>330.99999999999994</v>
      </c>
    </row>
    <row r="20" spans="1:17" x14ac:dyDescent="0.4">
      <c r="A20" s="51" t="s">
        <v>13</v>
      </c>
      <c r="B20" s="44">
        <v>73</v>
      </c>
      <c r="C20" s="37">
        <f>IF(B$3=0,0,B20/B$3)</f>
        <v>0.14512922465208747</v>
      </c>
      <c r="E20" s="59" t="s">
        <v>74</v>
      </c>
      <c r="F20" s="56" t="s">
        <v>29</v>
      </c>
      <c r="G20" s="44">
        <v>1</v>
      </c>
      <c r="H20" s="129">
        <f>IF(B$17=0,0,G20/B$17)</f>
        <v>5.9880239520958087E-3</v>
      </c>
      <c r="I20" s="90">
        <v>3</v>
      </c>
      <c r="K20" s="36">
        <v>18</v>
      </c>
      <c r="L20" s="95">
        <v>352.39999999999992</v>
      </c>
      <c r="N20" s="111" t="s">
        <v>177</v>
      </c>
      <c r="O20" s="121">
        <f>IF(P20=0,0,Q20/P20)</f>
        <v>2.4538461538461536</v>
      </c>
      <c r="P20" s="115">
        <v>13</v>
      </c>
      <c r="Q20" s="103">
        <v>31.9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81</v>
      </c>
      <c r="F21" s="56" t="s">
        <v>36</v>
      </c>
      <c r="G21" s="44">
        <v>1</v>
      </c>
      <c r="H21" s="129">
        <f>IF(B$17=0,0,G21/B$17)</f>
        <v>5.9880239520958087E-3</v>
      </c>
      <c r="I21" s="90">
        <v>8</v>
      </c>
      <c r="K21" s="36">
        <v>19</v>
      </c>
      <c r="L21" s="95">
        <v>383.19999999999993</v>
      </c>
      <c r="N21" s="111" t="s">
        <v>166</v>
      </c>
      <c r="O21" s="121">
        <f>IF(P21=0,0,Q21/P21)</f>
        <v>1.827272727272726</v>
      </c>
      <c r="P21" s="115">
        <v>22</v>
      </c>
      <c r="Q21" s="103">
        <v>40.199999999999974</v>
      </c>
    </row>
    <row r="22" spans="1:17" x14ac:dyDescent="0.4">
      <c r="A22" s="51" t="s">
        <v>170</v>
      </c>
      <c r="B22" s="44">
        <v>27</v>
      </c>
      <c r="C22" s="131">
        <v>5</v>
      </c>
      <c r="E22" s="59" t="s">
        <v>85</v>
      </c>
      <c r="F22" s="56" t="s">
        <v>40</v>
      </c>
      <c r="G22" s="44">
        <v>1</v>
      </c>
      <c r="H22" s="129">
        <f>IF(B$17=0,0,G22/B$17)</f>
        <v>5.9880239520958087E-3</v>
      </c>
      <c r="I22" s="90">
        <v>4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7964.0718562874254</v>
      </c>
      <c r="C23" s="39">
        <v>1330000</v>
      </c>
      <c r="E23" s="59" t="s">
        <v>88</v>
      </c>
      <c r="F23" s="56" t="s">
        <v>43</v>
      </c>
      <c r="G23" s="44">
        <v>1</v>
      </c>
      <c r="H23" s="129">
        <f>IF(B$17=0,0,G23/B$17)</f>
        <v>5.9880239520958087E-3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7926.8518518518522</v>
      </c>
      <c r="C24" s="137">
        <v>856100</v>
      </c>
      <c r="E24" s="59" t="s">
        <v>90</v>
      </c>
      <c r="F24" s="56" t="s">
        <v>45</v>
      </c>
      <c r="G24" s="44">
        <v>1</v>
      </c>
      <c r="H24" s="129">
        <f>IF(B$17=0,0,G24/B$17)</f>
        <v>5.9880239520958087E-3</v>
      </c>
      <c r="I24" s="90">
        <v>1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8032.2033898305081</v>
      </c>
      <c r="C25" s="137">
        <v>473900</v>
      </c>
      <c r="E25" s="59" t="s">
        <v>91</v>
      </c>
      <c r="F25" s="56" t="s">
        <v>46</v>
      </c>
      <c r="G25" s="44">
        <v>1</v>
      </c>
      <c r="H25" s="129">
        <f>IF(B$17=0,0,G25/B$17)</f>
        <v>5.9880239520958087E-3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-6883.5616438356165</v>
      </c>
      <c r="C26" s="137">
        <v>-502500</v>
      </c>
      <c r="E26" s="59" t="s">
        <v>95</v>
      </c>
      <c r="F26" s="56" t="s">
        <v>50</v>
      </c>
      <c r="G26" s="44">
        <v>1</v>
      </c>
      <c r="H26" s="129">
        <f>IF(B$17=0,0,G26/B$17)</f>
        <v>5.9880239520958087E-3</v>
      </c>
      <c r="I26" s="90">
        <v>1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73</v>
      </c>
      <c r="F27" s="56" t="s">
        <v>28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75</v>
      </c>
      <c r="F28" s="56" t="s">
        <v>30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76</v>
      </c>
      <c r="F29" s="56" t="s">
        <v>31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79</v>
      </c>
      <c r="F30" s="56" t="s">
        <v>34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</v>
      </c>
      <c r="C2" s="149"/>
      <c r="E2" s="58" t="s">
        <v>66</v>
      </c>
      <c r="F2" s="55" t="s">
        <v>22</v>
      </c>
      <c r="G2" s="43">
        <v>139</v>
      </c>
      <c r="H2" s="128">
        <f>IF(B$17=0,0,G2/B$17)</f>
        <v>0.90259740259740262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-753.7037037037037</v>
      </c>
      <c r="P2" s="114">
        <v>54</v>
      </c>
      <c r="Q2" s="98">
        <v>-40700</v>
      </c>
    </row>
    <row r="3" spans="1:17" x14ac:dyDescent="0.4">
      <c r="A3" s="51" t="s">
        <v>8</v>
      </c>
      <c r="B3" s="150">
        <v>469</v>
      </c>
      <c r="C3" s="151"/>
      <c r="E3" s="59" t="s">
        <v>72</v>
      </c>
      <c r="F3" s="56" t="s">
        <v>27</v>
      </c>
      <c r="G3" s="44">
        <v>91</v>
      </c>
      <c r="H3" s="129">
        <f>IF(B$17=0,0,G3/B$17)</f>
        <v>0.59090909090909094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851.92307692307691</v>
      </c>
      <c r="P3" s="115">
        <v>52</v>
      </c>
      <c r="Q3" s="99">
        <v>44300</v>
      </c>
    </row>
    <row r="4" spans="1:17" x14ac:dyDescent="0.4">
      <c r="A4" s="51" t="s">
        <v>6</v>
      </c>
      <c r="B4" s="152">
        <v>295.09999999999985</v>
      </c>
      <c r="C4" s="153"/>
      <c r="E4" s="59" t="s">
        <v>171</v>
      </c>
      <c r="F4" s="56" t="s">
        <v>172</v>
      </c>
      <c r="G4" s="44">
        <v>66</v>
      </c>
      <c r="H4" s="129">
        <f>IF(B$17=0,0,G4/B$17)</f>
        <v>0.42857142857142855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2286</v>
      </c>
      <c r="P4" s="115">
        <v>50</v>
      </c>
      <c r="Q4" s="99">
        <v>114300</v>
      </c>
    </row>
    <row r="5" spans="1:17" x14ac:dyDescent="0.4">
      <c r="A5" s="51" t="s">
        <v>7</v>
      </c>
      <c r="B5" s="154">
        <f>IF(B$2=0,0,B$4/B$2)</f>
        <v>5.3654545454545426</v>
      </c>
      <c r="C5" s="155"/>
      <c r="E5" s="59" t="s">
        <v>64</v>
      </c>
      <c r="F5" s="56" t="s">
        <v>20</v>
      </c>
      <c r="G5" s="44">
        <v>64</v>
      </c>
      <c r="H5" s="129">
        <f>IF(B$17=0,0,G5/B$17)</f>
        <v>0.41558441558441561</v>
      </c>
      <c r="I5" s="90">
        <v>8</v>
      </c>
      <c r="K5" s="36">
        <v>3</v>
      </c>
      <c r="L5" s="95">
        <v>-58.599999999999994</v>
      </c>
      <c r="N5" s="111" t="s">
        <v>133</v>
      </c>
      <c r="O5" s="118">
        <f t="shared" si="0"/>
        <v>3229.7872340425533</v>
      </c>
      <c r="P5" s="115">
        <v>47</v>
      </c>
      <c r="Q5" s="99">
        <v>151800</v>
      </c>
    </row>
    <row r="6" spans="1:17" x14ac:dyDescent="0.4">
      <c r="A6" s="51" t="s">
        <v>1</v>
      </c>
      <c r="B6" s="144">
        <f>IF(B$2=0,0,(B$7*1+B$8*2+B$9*3)/B$2)</f>
        <v>1.8181818181818181</v>
      </c>
      <c r="C6" s="145"/>
      <c r="E6" s="59" t="s">
        <v>68</v>
      </c>
      <c r="F6" s="56" t="s">
        <v>12</v>
      </c>
      <c r="G6" s="44">
        <v>43</v>
      </c>
      <c r="H6" s="129">
        <f>IF(B$17=0,0,G6/B$17)</f>
        <v>0.2792207792207792</v>
      </c>
      <c r="I6" s="90">
        <v>7</v>
      </c>
      <c r="K6" s="36">
        <v>4</v>
      </c>
      <c r="L6" s="95">
        <v>-38.099999999999994</v>
      </c>
      <c r="N6" s="111" t="s">
        <v>134</v>
      </c>
      <c r="O6" s="118">
        <f t="shared" si="0"/>
        <v>-1852.2727272727273</v>
      </c>
      <c r="P6" s="115">
        <v>44</v>
      </c>
      <c r="Q6" s="99">
        <v>-81500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0.43636363636363634</v>
      </c>
      <c r="E7" s="59" t="s">
        <v>67</v>
      </c>
      <c r="F7" s="56" t="s">
        <v>23</v>
      </c>
      <c r="G7" s="44">
        <v>41</v>
      </c>
      <c r="H7" s="129">
        <f>IF(B$17=0,0,G7/B$17)</f>
        <v>0.26623376623376621</v>
      </c>
      <c r="I7" s="90">
        <v>8</v>
      </c>
      <c r="K7" s="36">
        <v>5</v>
      </c>
      <c r="L7" s="95">
        <v>-11.299999999999994</v>
      </c>
      <c r="N7" s="112" t="s">
        <v>135</v>
      </c>
      <c r="O7" s="119">
        <f t="shared" si="0"/>
        <v>1440</v>
      </c>
      <c r="P7" s="116">
        <v>35</v>
      </c>
      <c r="Q7" s="100">
        <v>50400</v>
      </c>
    </row>
    <row r="8" spans="1:17" x14ac:dyDescent="0.4">
      <c r="A8" s="51" t="s">
        <v>3</v>
      </c>
      <c r="B8" s="44">
        <v>17</v>
      </c>
      <c r="C8" s="37">
        <f t="shared" si="1"/>
        <v>0.30909090909090908</v>
      </c>
      <c r="E8" s="59" t="s">
        <v>89</v>
      </c>
      <c r="F8" s="56" t="s">
        <v>44</v>
      </c>
      <c r="G8" s="44">
        <v>21</v>
      </c>
      <c r="H8" s="129">
        <f>IF(B$17=0,0,G8/B$17)</f>
        <v>0.13636363636363635</v>
      </c>
      <c r="I8" s="90">
        <v>4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0.25454545454545452</v>
      </c>
      <c r="E9" s="59" t="s">
        <v>71</v>
      </c>
      <c r="F9" s="56" t="s">
        <v>26</v>
      </c>
      <c r="G9" s="44">
        <v>15</v>
      </c>
      <c r="H9" s="129">
        <f>IF(B$17=0,0,G9/B$17)</f>
        <v>9.7402597402597407E-2</v>
      </c>
      <c r="I9" s="90">
        <v>3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0.14545454545454545</v>
      </c>
      <c r="E10" s="59" t="s">
        <v>65</v>
      </c>
      <c r="F10" s="56" t="s">
        <v>21</v>
      </c>
      <c r="G10" s="44">
        <v>14</v>
      </c>
      <c r="H10" s="129">
        <f>IF(B$17=0,0,G10/B$17)</f>
        <v>9.0909090909090912E-2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8.8133333333333344</v>
      </c>
      <c r="P10" s="114">
        <v>15</v>
      </c>
      <c r="Q10" s="102">
        <v>132.20000000000002</v>
      </c>
    </row>
    <row r="11" spans="1:17" x14ac:dyDescent="0.4">
      <c r="A11" s="52" t="s">
        <v>138</v>
      </c>
      <c r="B11" s="45">
        <v>8</v>
      </c>
      <c r="C11" s="38">
        <f t="shared" si="1"/>
        <v>0.14545454545454545</v>
      </c>
      <c r="E11" s="59" t="s">
        <v>69</v>
      </c>
      <c r="F11" s="56" t="s">
        <v>24</v>
      </c>
      <c r="G11" s="44">
        <v>14</v>
      </c>
      <c r="H11" s="129">
        <f>IF(B$17=0,0,G11/B$17)</f>
        <v>9.0909090909090912E-2</v>
      </c>
      <c r="I11" s="90">
        <v>7</v>
      </c>
      <c r="K11" s="36">
        <v>9</v>
      </c>
      <c r="L11" s="95">
        <v>-83.699999999999989</v>
      </c>
      <c r="N11" s="111" t="s">
        <v>163</v>
      </c>
      <c r="O11" s="121">
        <f>IF(P11=0,0,Q11/P11)</f>
        <v>7.8357142857142863</v>
      </c>
      <c r="P11" s="115">
        <v>14</v>
      </c>
      <c r="Q11" s="103">
        <v>109.7</v>
      </c>
    </row>
    <row r="12" spans="1:17" x14ac:dyDescent="0.4">
      <c r="A12" s="53" t="s">
        <v>158</v>
      </c>
      <c r="B12" s="46">
        <v>13</v>
      </c>
      <c r="C12" s="40">
        <f t="shared" si="1"/>
        <v>0.23636363636363636</v>
      </c>
      <c r="E12" s="59" t="s">
        <v>70</v>
      </c>
      <c r="F12" s="56" t="s">
        <v>25</v>
      </c>
      <c r="G12" s="44">
        <v>9</v>
      </c>
      <c r="H12" s="129">
        <f>IF(B$17=0,0,G12/B$17)</f>
        <v>5.844155844155844E-2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2.0461538461538455</v>
      </c>
      <c r="P12" s="116">
        <v>26</v>
      </c>
      <c r="Q12" s="104">
        <v>53.199999999999989</v>
      </c>
    </row>
    <row r="13" spans="1:17" x14ac:dyDescent="0.4">
      <c r="A13" s="54" t="s">
        <v>121</v>
      </c>
      <c r="B13" s="47">
        <v>112</v>
      </c>
      <c r="C13" s="42">
        <f>IF(B$3=0,0,B13/B$3)</f>
        <v>0.23880597014925373</v>
      </c>
      <c r="E13" s="59" t="s">
        <v>86</v>
      </c>
      <c r="F13" s="56" t="s">
        <v>41</v>
      </c>
      <c r="G13" s="44">
        <v>9</v>
      </c>
      <c r="H13" s="129">
        <f>IF(B$17=0,0,G13/B$17)</f>
        <v>5.844155844155844E-2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150</v>
      </c>
      <c r="C14" s="37">
        <f>IF(B$3=0,0,B14/B$3)</f>
        <v>0.31982942430703626</v>
      </c>
      <c r="E14" s="59" t="s">
        <v>83</v>
      </c>
      <c r="F14" s="56" t="s">
        <v>38</v>
      </c>
      <c r="G14" s="44">
        <v>7</v>
      </c>
      <c r="H14" s="129">
        <f>IF(B$17=0,0,G14/B$17)</f>
        <v>4.5454545454545456E-2</v>
      </c>
      <c r="I14" s="90">
        <v>9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63</v>
      </c>
      <c r="C15" s="35">
        <f>IF(B$13=0,0,B15/B$13)</f>
        <v>0.5625</v>
      </c>
      <c r="E15" s="59" t="s">
        <v>78</v>
      </c>
      <c r="F15" s="56" t="s">
        <v>33</v>
      </c>
      <c r="G15" s="44">
        <v>5</v>
      </c>
      <c r="H15" s="129">
        <f>IF(B$17=0,0,G15/B$17)</f>
        <v>3.2467532467532464E-2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62</v>
      </c>
      <c r="C16" s="35">
        <f>IF(B$14=0,0,B16/B$14)</f>
        <v>0.41333333333333333</v>
      </c>
      <c r="E16" s="59" t="s">
        <v>91</v>
      </c>
      <c r="F16" s="56" t="s">
        <v>46</v>
      </c>
      <c r="G16" s="44">
        <v>5</v>
      </c>
      <c r="H16" s="129">
        <f>IF(B$17=0,0,G16/B$17)</f>
        <v>3.2467532467532464E-2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154</v>
      </c>
      <c r="C17" s="35">
        <f>IF(B$3=0,0,B17/B$3)</f>
        <v>0.32835820895522388</v>
      </c>
      <c r="E17" s="59" t="s">
        <v>79</v>
      </c>
      <c r="F17" s="56" t="s">
        <v>34</v>
      </c>
      <c r="G17" s="44">
        <v>4</v>
      </c>
      <c r="H17" s="129">
        <f>IF(B$17=0,0,G17/B$17)</f>
        <v>2.5974025974025976E-2</v>
      </c>
      <c r="I17" s="90">
        <v>3</v>
      </c>
      <c r="K17" s="36">
        <v>15</v>
      </c>
      <c r="L17" s="95">
        <v>-144.30000000000001</v>
      </c>
      <c r="N17" s="111" t="s">
        <v>178</v>
      </c>
      <c r="O17" s="121">
        <f>IF(P17=0,0,Q17/P17)</f>
        <v>26.150000000000006</v>
      </c>
      <c r="P17" s="115">
        <v>14</v>
      </c>
      <c r="Q17" s="103">
        <v>366.10000000000008</v>
      </c>
    </row>
    <row r="18" spans="1:17" x14ac:dyDescent="0.4">
      <c r="A18" s="51" t="s">
        <v>12</v>
      </c>
      <c r="B18" s="44">
        <v>58</v>
      </c>
      <c r="C18" s="37">
        <f>IF(B$17=0,0,B18/B$17)</f>
        <v>0.37662337662337664</v>
      </c>
      <c r="E18" s="59" t="s">
        <v>81</v>
      </c>
      <c r="F18" s="56" t="s">
        <v>36</v>
      </c>
      <c r="G18" s="44">
        <v>2</v>
      </c>
      <c r="H18" s="129">
        <f>IF(B$17=0,0,G18/B$17)</f>
        <v>1.2987012987012988E-2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16.157142857142858</v>
      </c>
      <c r="P18" s="115">
        <v>14</v>
      </c>
      <c r="Q18" s="103">
        <v>226.20000000000002</v>
      </c>
    </row>
    <row r="19" spans="1:17" x14ac:dyDescent="0.4">
      <c r="A19" s="51" t="s">
        <v>11</v>
      </c>
      <c r="B19" s="44">
        <v>96</v>
      </c>
      <c r="C19" s="37">
        <f>IF(B$17=0,0,B19/B$17)</f>
        <v>0.62337662337662336</v>
      </c>
      <c r="E19" s="59" t="s">
        <v>74</v>
      </c>
      <c r="F19" s="56" t="s">
        <v>29</v>
      </c>
      <c r="G19" s="44">
        <v>1</v>
      </c>
      <c r="H19" s="129">
        <f>IF(B$17=0,0,G19/B$17)</f>
        <v>6.4935064935064939E-3</v>
      </c>
      <c r="I19" s="90">
        <v>2</v>
      </c>
      <c r="K19" s="36">
        <v>17</v>
      </c>
      <c r="L19" s="95">
        <v>-179.70000000000002</v>
      </c>
      <c r="N19" s="111" t="s">
        <v>179</v>
      </c>
      <c r="O19" s="121">
        <f>IF(P19=0,0,Q19/P19)</f>
        <v>9.1166666666666671</v>
      </c>
      <c r="P19" s="115">
        <v>18</v>
      </c>
      <c r="Q19" s="103">
        <v>164.10000000000002</v>
      </c>
    </row>
    <row r="20" spans="1:17" x14ac:dyDescent="0.4">
      <c r="A20" s="51" t="s">
        <v>13</v>
      </c>
      <c r="B20" s="44">
        <v>93</v>
      </c>
      <c r="C20" s="37">
        <f>IF(B$3=0,0,B20/B$3)</f>
        <v>0.19829424307036247</v>
      </c>
      <c r="E20" s="59" t="s">
        <v>167</v>
      </c>
      <c r="F20" s="56" t="s">
        <v>168</v>
      </c>
      <c r="G20" s="44">
        <v>1</v>
      </c>
      <c r="H20" s="129">
        <f>IF(B$17=0,0,G20/B$17)</f>
        <v>6.4935064935064939E-3</v>
      </c>
      <c r="I20" s="90">
        <v>5</v>
      </c>
      <c r="K20" s="36">
        <v>18</v>
      </c>
      <c r="L20" s="95">
        <v>-112.90000000000002</v>
      </c>
      <c r="N20" s="111" t="s">
        <v>166</v>
      </c>
      <c r="O20" s="121">
        <f>IF(P20=0,0,Q20/P20)</f>
        <v>6.5538461538461537</v>
      </c>
      <c r="P20" s="115">
        <v>13</v>
      </c>
      <c r="Q20" s="103">
        <v>85.2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-162.40000000000003</v>
      </c>
      <c r="N21" s="111" t="s">
        <v>126</v>
      </c>
      <c r="O21" s="121">
        <f>IF(P21=0,0,Q21/P21)</f>
        <v>-7.6976744186046488</v>
      </c>
      <c r="P21" s="115">
        <v>43</v>
      </c>
      <c r="Q21" s="103">
        <v>-330.99999999999989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-96.000000000000028</v>
      </c>
      <c r="N22" s="111" t="s">
        <v>181</v>
      </c>
      <c r="O22" s="121">
        <f>IF(P22=0,0,Q22/P22)</f>
        <v>-22.6</v>
      </c>
      <c r="P22" s="115">
        <v>1</v>
      </c>
      <c r="Q22" s="103">
        <v>-22.6</v>
      </c>
    </row>
    <row r="23" spans="1:17" x14ac:dyDescent="0.4">
      <c r="A23" s="51" t="s">
        <v>5</v>
      </c>
      <c r="B23" s="48">
        <f>IF(B$17=0,0,C23/B$17)</f>
        <v>8450</v>
      </c>
      <c r="C23" s="39">
        <v>1301300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9090.217391304348</v>
      </c>
      <c r="C24" s="137">
        <v>836300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7500</v>
      </c>
      <c r="C25" s="137">
        <v>465000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-7730.1075268817203</v>
      </c>
      <c r="C26" s="137">
        <v>-718900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2</v>
      </c>
      <c r="C29" s="40">
        <f>IF(B$3=0,0,B29/B$3)</f>
        <v>4.2643923240938165E-3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-34.100000000000037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-16.100000000000037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</v>
      </c>
      <c r="C2" s="149"/>
      <c r="E2" s="58" t="s">
        <v>66</v>
      </c>
      <c r="F2" s="55" t="s">
        <v>22</v>
      </c>
      <c r="G2" s="43">
        <v>55</v>
      </c>
      <c r="H2" s="128">
        <f>IF(B$17=0,0,G2/B$17)</f>
        <v>0.67901234567901236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109.375</v>
      </c>
      <c r="P2" s="114">
        <v>32</v>
      </c>
      <c r="Q2" s="98">
        <v>3500</v>
      </c>
    </row>
    <row r="3" spans="1:17" x14ac:dyDescent="0.4">
      <c r="A3" s="51" t="s">
        <v>8</v>
      </c>
      <c r="B3" s="150">
        <v>284</v>
      </c>
      <c r="C3" s="151"/>
      <c r="E3" s="59" t="s">
        <v>64</v>
      </c>
      <c r="F3" s="56" t="s">
        <v>20</v>
      </c>
      <c r="G3" s="44">
        <v>47</v>
      </c>
      <c r="H3" s="129">
        <f>IF(B$17=0,0,G3/B$17)</f>
        <v>0.58024691358024694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-1593.75</v>
      </c>
      <c r="P3" s="115">
        <v>32</v>
      </c>
      <c r="Q3" s="99">
        <v>-51000</v>
      </c>
    </row>
    <row r="4" spans="1:17" x14ac:dyDescent="0.4">
      <c r="A4" s="51" t="s">
        <v>6</v>
      </c>
      <c r="B4" s="152">
        <v>-261.3</v>
      </c>
      <c r="C4" s="153"/>
      <c r="E4" s="59" t="s">
        <v>72</v>
      </c>
      <c r="F4" s="56" t="s">
        <v>27</v>
      </c>
      <c r="G4" s="44">
        <v>43</v>
      </c>
      <c r="H4" s="129">
        <f>IF(B$17=0,0,G4/B$17)</f>
        <v>0.53086419753086422</v>
      </c>
      <c r="I4" s="90">
        <v>5</v>
      </c>
      <c r="K4" s="36">
        <v>2</v>
      </c>
      <c r="L4" s="95">
        <v>-30.099999999999998</v>
      </c>
      <c r="N4" s="111" t="s">
        <v>132</v>
      </c>
      <c r="O4" s="118">
        <f t="shared" si="0"/>
        <v>1719.3548387096773</v>
      </c>
      <c r="P4" s="115">
        <v>31</v>
      </c>
      <c r="Q4" s="99">
        <v>53300</v>
      </c>
    </row>
    <row r="5" spans="1:17" x14ac:dyDescent="0.4">
      <c r="A5" s="51" t="s">
        <v>7</v>
      </c>
      <c r="B5" s="154">
        <f>IF(B$2=0,0,B$4/B$2)</f>
        <v>-7.9181818181818189</v>
      </c>
      <c r="C5" s="155"/>
      <c r="E5" s="59" t="s">
        <v>171</v>
      </c>
      <c r="F5" s="56" t="s">
        <v>172</v>
      </c>
      <c r="G5" s="44">
        <v>27</v>
      </c>
      <c r="H5" s="129">
        <f>IF(B$17=0,0,G5/B$17)</f>
        <v>0.33333333333333331</v>
      </c>
      <c r="I5" s="90">
        <v>9</v>
      </c>
      <c r="K5" s="36">
        <v>3</v>
      </c>
      <c r="L5" s="95">
        <v>-17.599999999999998</v>
      </c>
      <c r="N5" s="111" t="s">
        <v>133</v>
      </c>
      <c r="O5" s="118">
        <f t="shared" si="0"/>
        <v>-1576.6666666666667</v>
      </c>
      <c r="P5" s="115">
        <v>30</v>
      </c>
      <c r="Q5" s="99">
        <v>-47300</v>
      </c>
    </row>
    <row r="6" spans="1:17" x14ac:dyDescent="0.4">
      <c r="A6" s="51" t="s">
        <v>1</v>
      </c>
      <c r="B6" s="144">
        <f>IF(B$2=0,0,(B$7*1+B$8*2+B$9*3)/B$2)</f>
        <v>2.2727272727272729</v>
      </c>
      <c r="C6" s="145"/>
      <c r="E6" s="59" t="s">
        <v>67</v>
      </c>
      <c r="F6" s="56" t="s">
        <v>23</v>
      </c>
      <c r="G6" s="44">
        <v>25</v>
      </c>
      <c r="H6" s="129">
        <f>IF(B$17=0,0,G6/B$17)</f>
        <v>0.30864197530864196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-3596.5517241379312</v>
      </c>
      <c r="P6" s="115">
        <v>29</v>
      </c>
      <c r="Q6" s="99">
        <v>-104300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0.18181818181818182</v>
      </c>
      <c r="E7" s="59" t="s">
        <v>68</v>
      </c>
      <c r="F7" s="56" t="s">
        <v>12</v>
      </c>
      <c r="G7" s="44">
        <v>21</v>
      </c>
      <c r="H7" s="129">
        <f>IF(B$17=0,0,G7/B$17)</f>
        <v>0.25925925925925924</v>
      </c>
      <c r="I7" s="90">
        <v>9</v>
      </c>
      <c r="K7" s="36">
        <v>5</v>
      </c>
      <c r="L7" s="95">
        <v>-33.699999999999989</v>
      </c>
      <c r="N7" s="112" t="s">
        <v>135</v>
      </c>
      <c r="O7" s="119">
        <f t="shared" si="0"/>
        <v>-2025.9259259259259</v>
      </c>
      <c r="P7" s="116">
        <v>27</v>
      </c>
      <c r="Q7" s="100">
        <v>-54700</v>
      </c>
    </row>
    <row r="8" spans="1:17" x14ac:dyDescent="0.4">
      <c r="A8" s="51" t="s">
        <v>3</v>
      </c>
      <c r="B8" s="44">
        <v>12</v>
      </c>
      <c r="C8" s="37">
        <f t="shared" si="1"/>
        <v>0.36363636363636365</v>
      </c>
      <c r="E8" s="59" t="s">
        <v>69</v>
      </c>
      <c r="F8" s="56" t="s">
        <v>24</v>
      </c>
      <c r="G8" s="44">
        <v>11</v>
      </c>
      <c r="H8" s="129">
        <f>IF(B$17=0,0,G8/B$17)</f>
        <v>0.13580246913580246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0.45454545454545453</v>
      </c>
      <c r="E9" s="59" t="s">
        <v>70</v>
      </c>
      <c r="F9" s="56" t="s">
        <v>25</v>
      </c>
      <c r="G9" s="44">
        <v>10</v>
      </c>
      <c r="H9" s="129">
        <f>IF(B$17=0,0,G9/B$17)</f>
        <v>0.12345679012345678</v>
      </c>
      <c r="I9" s="90">
        <v>3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6.0606060606060608E-2</v>
      </c>
      <c r="E10" s="59" t="s">
        <v>65</v>
      </c>
      <c r="F10" s="56" t="s">
        <v>21</v>
      </c>
      <c r="G10" s="44">
        <v>9</v>
      </c>
      <c r="H10" s="129">
        <f>IF(B$17=0,0,G10/B$17)</f>
        <v>0.1111111111111111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2.899999999999999</v>
      </c>
      <c r="P10" s="114">
        <v>13</v>
      </c>
      <c r="Q10" s="102">
        <v>37.699999999999989</v>
      </c>
    </row>
    <row r="11" spans="1:17" x14ac:dyDescent="0.4">
      <c r="A11" s="52" t="s">
        <v>138</v>
      </c>
      <c r="B11" s="45">
        <v>2</v>
      </c>
      <c r="C11" s="38">
        <f t="shared" si="1"/>
        <v>6.0606060606060608E-2</v>
      </c>
      <c r="E11" s="59" t="s">
        <v>89</v>
      </c>
      <c r="F11" s="56" t="s">
        <v>44</v>
      </c>
      <c r="G11" s="44">
        <v>8</v>
      </c>
      <c r="H11" s="129">
        <f>IF(B$17=0,0,G11/B$17)</f>
        <v>9.8765432098765427E-2</v>
      </c>
      <c r="I11" s="90">
        <v>7</v>
      </c>
      <c r="K11" s="36">
        <v>9</v>
      </c>
      <c r="L11" s="95">
        <v>-74.199999999999989</v>
      </c>
      <c r="N11" s="111" t="s">
        <v>163</v>
      </c>
      <c r="O11" s="121">
        <f>IF(P11=0,0,Q11/P11)</f>
        <v>-11.68</v>
      </c>
      <c r="P11" s="115">
        <v>10</v>
      </c>
      <c r="Q11" s="103">
        <v>-116.8</v>
      </c>
    </row>
    <row r="12" spans="1:17" x14ac:dyDescent="0.4">
      <c r="A12" s="53" t="s">
        <v>158</v>
      </c>
      <c r="B12" s="46">
        <v>2</v>
      </c>
      <c r="C12" s="40">
        <f t="shared" si="1"/>
        <v>6.0606060606060608E-2</v>
      </c>
      <c r="E12" s="59" t="s">
        <v>83</v>
      </c>
      <c r="F12" s="56" t="s">
        <v>38</v>
      </c>
      <c r="G12" s="44">
        <v>7</v>
      </c>
      <c r="H12" s="129">
        <f>IF(B$17=0,0,G12/B$17)</f>
        <v>8.6419753086419748E-2</v>
      </c>
      <c r="I12" s="90">
        <v>3</v>
      </c>
      <c r="K12" s="36">
        <v>10</v>
      </c>
      <c r="L12" s="95">
        <v>-117.19999999999999</v>
      </c>
      <c r="N12" s="112" t="s">
        <v>164</v>
      </c>
      <c r="O12" s="122">
        <f>IF(P12=0,0,Q12/P12)</f>
        <v>-18.22</v>
      </c>
      <c r="P12" s="116">
        <v>10</v>
      </c>
      <c r="Q12" s="104">
        <v>-182.2</v>
      </c>
    </row>
    <row r="13" spans="1:17" x14ac:dyDescent="0.4">
      <c r="A13" s="54" t="s">
        <v>121</v>
      </c>
      <c r="B13" s="47">
        <v>81</v>
      </c>
      <c r="C13" s="42">
        <f>IF(B$3=0,0,B13/B$3)</f>
        <v>0.28521126760563381</v>
      </c>
      <c r="E13" s="59" t="s">
        <v>71</v>
      </c>
      <c r="F13" s="56" t="s">
        <v>26</v>
      </c>
      <c r="G13" s="44">
        <v>5</v>
      </c>
      <c r="H13" s="129">
        <f>IF(B$17=0,0,G13/B$17)</f>
        <v>6.1728395061728392E-2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50</v>
      </c>
      <c r="C14" s="37">
        <f>IF(B$3=0,0,B14/B$3)</f>
        <v>0.176056338028169</v>
      </c>
      <c r="E14" s="59" t="s">
        <v>86</v>
      </c>
      <c r="F14" s="56" t="s">
        <v>41</v>
      </c>
      <c r="G14" s="44">
        <v>3</v>
      </c>
      <c r="H14" s="129">
        <f>IF(B$17=0,0,G14/B$17)</f>
        <v>3.7037037037037035E-2</v>
      </c>
      <c r="I14" s="90">
        <v>7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47</v>
      </c>
      <c r="C15" s="35">
        <f>IF(B$13=0,0,B15/B$13)</f>
        <v>0.58024691358024694</v>
      </c>
      <c r="E15" s="59" t="s">
        <v>78</v>
      </c>
      <c r="F15" s="56" t="s">
        <v>33</v>
      </c>
      <c r="G15" s="44">
        <v>2</v>
      </c>
      <c r="H15" s="129">
        <f>IF(B$17=0,0,G15/B$17)</f>
        <v>2.4691358024691357E-2</v>
      </c>
      <c r="I15" s="90">
        <v>5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22</v>
      </c>
      <c r="C16" s="35">
        <f>IF(B$14=0,0,B16/B$14)</f>
        <v>0.44</v>
      </c>
      <c r="E16" s="59" t="s">
        <v>81</v>
      </c>
      <c r="F16" s="56" t="s">
        <v>36</v>
      </c>
      <c r="G16" s="44">
        <v>2</v>
      </c>
      <c r="H16" s="129">
        <f>IF(B$17=0,0,G16/B$17)</f>
        <v>2.4691358024691357E-2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18.45</v>
      </c>
      <c r="P16" s="115">
        <v>10</v>
      </c>
      <c r="Q16" s="103">
        <v>184.5</v>
      </c>
    </row>
    <row r="17" spans="1:17" x14ac:dyDescent="0.4">
      <c r="A17" s="50" t="s">
        <v>10</v>
      </c>
      <c r="B17" s="43">
        <f>B19+B18</f>
        <v>81</v>
      </c>
      <c r="C17" s="35">
        <f>IF(B$3=0,0,B17/B$3)</f>
        <v>0.28521126760563381</v>
      </c>
      <c r="E17" s="59" t="s">
        <v>75</v>
      </c>
      <c r="F17" s="56" t="s">
        <v>30</v>
      </c>
      <c r="G17" s="44">
        <v>1</v>
      </c>
      <c r="H17" s="129">
        <f>IF(B$17=0,0,G17/B$17)</f>
        <v>1.2345679012345678E-2</v>
      </c>
      <c r="I17" s="90">
        <v>3</v>
      </c>
      <c r="K17" s="36">
        <v>15</v>
      </c>
      <c r="L17" s="95">
        <v>-221.5</v>
      </c>
      <c r="N17" s="111" t="s">
        <v>127</v>
      </c>
      <c r="O17" s="121">
        <f>IF(P17=0,0,Q17/P17)</f>
        <v>-9.1166666666666671</v>
      </c>
      <c r="P17" s="115">
        <v>18</v>
      </c>
      <c r="Q17" s="103">
        <v>-164.10000000000002</v>
      </c>
    </row>
    <row r="18" spans="1:17" x14ac:dyDescent="0.4">
      <c r="A18" s="51" t="s">
        <v>12</v>
      </c>
      <c r="B18" s="44">
        <v>32</v>
      </c>
      <c r="C18" s="37">
        <f>IF(B$17=0,0,B18/B$17)</f>
        <v>0.39506172839506171</v>
      </c>
      <c r="E18" s="59" t="s">
        <v>79</v>
      </c>
      <c r="F18" s="56" t="s">
        <v>34</v>
      </c>
      <c r="G18" s="44">
        <v>1</v>
      </c>
      <c r="H18" s="129">
        <f>IF(B$17=0,0,G18/B$17)</f>
        <v>1.2345679012345678E-2</v>
      </c>
      <c r="I18" s="90">
        <v>5</v>
      </c>
      <c r="K18" s="36">
        <v>16</v>
      </c>
      <c r="L18" s="95">
        <v>-224.3</v>
      </c>
      <c r="N18" s="111" t="s">
        <v>181</v>
      </c>
      <c r="O18" s="121">
        <f>IF(P18=0,0,Q18/P18)</f>
        <v>-11.459999999999997</v>
      </c>
      <c r="P18" s="115">
        <v>5</v>
      </c>
      <c r="Q18" s="103">
        <v>-57.299999999999983</v>
      </c>
    </row>
    <row r="19" spans="1:17" x14ac:dyDescent="0.4">
      <c r="A19" s="51" t="s">
        <v>11</v>
      </c>
      <c r="B19" s="44">
        <v>49</v>
      </c>
      <c r="C19" s="37">
        <f>IF(B$17=0,0,B19/B$17)</f>
        <v>0.60493827160493829</v>
      </c>
      <c r="E19" s="59" t="s">
        <v>91</v>
      </c>
      <c r="F19" s="56" t="s">
        <v>46</v>
      </c>
      <c r="G19" s="44">
        <v>1</v>
      </c>
      <c r="H19" s="129">
        <f>IF(B$17=0,0,G19/B$17)</f>
        <v>1.2345679012345678E-2</v>
      </c>
      <c r="I19" s="90">
        <v>6</v>
      </c>
      <c r="K19" s="36">
        <v>17</v>
      </c>
      <c r="L19" s="95">
        <v>-251.4</v>
      </c>
      <c r="N19" s="111" t="s">
        <v>126</v>
      </c>
      <c r="O19" s="121">
        <f>IF(P19=0,0,Q19/P19)</f>
        <v>-19.468181818181822</v>
      </c>
      <c r="P19" s="115">
        <v>22</v>
      </c>
      <c r="Q19" s="103">
        <v>-428.30000000000007</v>
      </c>
    </row>
    <row r="20" spans="1:17" x14ac:dyDescent="0.4">
      <c r="A20" s="51" t="s">
        <v>13</v>
      </c>
      <c r="B20" s="44">
        <v>55</v>
      </c>
      <c r="C20" s="37">
        <f>IF(B$3=0,0,B20/B$3)</f>
        <v>0.19366197183098591</v>
      </c>
      <c r="E20" s="59" t="s">
        <v>167</v>
      </c>
      <c r="F20" s="56" t="s">
        <v>168</v>
      </c>
      <c r="G20" s="44">
        <v>1</v>
      </c>
      <c r="H20" s="129">
        <f>IF(B$17=0,0,G20/B$17)</f>
        <v>1.2345679012345678E-2</v>
      </c>
      <c r="I20" s="90">
        <v>3</v>
      </c>
      <c r="K20" s="36">
        <v>18</v>
      </c>
      <c r="L20" s="95">
        <v>-240</v>
      </c>
      <c r="N20" s="111" t="s">
        <v>177</v>
      </c>
      <c r="O20" s="121">
        <f>IF(P20=0,0,Q20/P20)</f>
        <v>-29.9</v>
      </c>
      <c r="P20" s="115">
        <v>2</v>
      </c>
      <c r="Q20" s="103">
        <v>-59.8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-218</v>
      </c>
      <c r="N21" s="111" t="s">
        <v>178</v>
      </c>
      <c r="O21" s="121">
        <f>IF(P21=0,0,Q21/P21)</f>
        <v>-32.585714285714282</v>
      </c>
      <c r="P21" s="115">
        <v>7</v>
      </c>
      <c r="Q21" s="103">
        <v>-228.09999999999997</v>
      </c>
    </row>
    <row r="22" spans="1:17" x14ac:dyDescent="0.4">
      <c r="A22" s="51" t="s">
        <v>170</v>
      </c>
      <c r="B22" s="44">
        <v>21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7334.5679012345681</v>
      </c>
      <c r="C23" s="39">
        <v>594100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7750.8474576271183</v>
      </c>
      <c r="C24" s="137">
        <v>457300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6218.181818181818</v>
      </c>
      <c r="C25" s="137">
        <v>136800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-7358.181818181818</v>
      </c>
      <c r="C26" s="137">
        <v>-404700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7.0422535211267607E-3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30</v>
      </c>
      <c r="C2" s="149"/>
      <c r="E2" s="58" t="s">
        <v>66</v>
      </c>
      <c r="F2" s="55" t="s">
        <v>22</v>
      </c>
      <c r="G2" s="43">
        <v>50</v>
      </c>
      <c r="H2" s="128">
        <f>IF(B$17=0,0,G2/B$17)</f>
        <v>0.83333333333333337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2040</v>
      </c>
      <c r="P2" s="114">
        <v>30</v>
      </c>
      <c r="Q2" s="98">
        <v>61200</v>
      </c>
    </row>
    <row r="3" spans="1:17" x14ac:dyDescent="0.4">
      <c r="A3" s="51" t="s">
        <v>8</v>
      </c>
      <c r="B3" s="150">
        <v>231</v>
      </c>
      <c r="C3" s="151"/>
      <c r="E3" s="59" t="s">
        <v>72</v>
      </c>
      <c r="F3" s="56" t="s">
        <v>27</v>
      </c>
      <c r="G3" s="44">
        <v>45</v>
      </c>
      <c r="H3" s="129">
        <f>IF(B$17=0,0,G3/B$17)</f>
        <v>0.75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0"/>
        <v>-2650</v>
      </c>
      <c r="P3" s="115">
        <v>28</v>
      </c>
      <c r="Q3" s="99">
        <v>-74200</v>
      </c>
    </row>
    <row r="4" spans="1:17" x14ac:dyDescent="0.4">
      <c r="A4" s="51" t="s">
        <v>6</v>
      </c>
      <c r="B4" s="152">
        <v>30.900000000000027</v>
      </c>
      <c r="C4" s="153"/>
      <c r="E4" s="59" t="s">
        <v>64</v>
      </c>
      <c r="F4" s="56" t="s">
        <v>20</v>
      </c>
      <c r="G4" s="44">
        <v>26</v>
      </c>
      <c r="H4" s="129">
        <f>IF(B$17=0,0,G4/B$17)</f>
        <v>0.43333333333333335</v>
      </c>
      <c r="I4" s="90">
        <v>7</v>
      </c>
      <c r="K4" s="36">
        <v>2</v>
      </c>
      <c r="L4" s="95">
        <v>-67.3</v>
      </c>
      <c r="N4" s="111" t="s">
        <v>132</v>
      </c>
      <c r="O4" s="118">
        <f t="shared" si="0"/>
        <v>919.23076923076928</v>
      </c>
      <c r="P4" s="115">
        <v>26</v>
      </c>
      <c r="Q4" s="99">
        <v>23900</v>
      </c>
    </row>
    <row r="5" spans="1:17" x14ac:dyDescent="0.4">
      <c r="A5" s="51" t="s">
        <v>7</v>
      </c>
      <c r="B5" s="154">
        <f>IF(B$2=0,0,B$4/B$2)</f>
        <v>1.0300000000000009</v>
      </c>
      <c r="C5" s="155"/>
      <c r="E5" s="59" t="s">
        <v>67</v>
      </c>
      <c r="F5" s="56" t="s">
        <v>23</v>
      </c>
      <c r="G5" s="44">
        <v>26</v>
      </c>
      <c r="H5" s="129">
        <f>IF(B$17=0,0,G5/B$17)</f>
        <v>0.43333333333333335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4129.166666666667</v>
      </c>
      <c r="P5" s="115">
        <v>24</v>
      </c>
      <c r="Q5" s="99">
        <v>99100</v>
      </c>
    </row>
    <row r="6" spans="1:17" x14ac:dyDescent="0.4">
      <c r="A6" s="51" t="s">
        <v>1</v>
      </c>
      <c r="B6" s="144">
        <f>IF(B$2=0,0,(B$7*1+B$8*2+B$9*3)/B$2)</f>
        <v>1.9333333333333333</v>
      </c>
      <c r="C6" s="145"/>
      <c r="E6" s="59" t="s">
        <v>171</v>
      </c>
      <c r="F6" s="56" t="s">
        <v>172</v>
      </c>
      <c r="G6" s="44">
        <v>21</v>
      </c>
      <c r="H6" s="129">
        <f>IF(B$17=0,0,G6/B$17)</f>
        <v>0.35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-2133.3333333333335</v>
      </c>
      <c r="P6" s="115">
        <v>21</v>
      </c>
      <c r="Q6" s="99">
        <v>-44800</v>
      </c>
    </row>
    <row r="7" spans="1:17" x14ac:dyDescent="0.4">
      <c r="A7" s="51" t="s">
        <v>2</v>
      </c>
      <c r="B7" s="44">
        <v>11</v>
      </c>
      <c r="C7" s="37">
        <f t="shared" ref="C7:C12" si="1">IF(B$2=0,0,B7/B$2)</f>
        <v>0.36666666666666664</v>
      </c>
      <c r="E7" s="59" t="s">
        <v>68</v>
      </c>
      <c r="F7" s="56" t="s">
        <v>12</v>
      </c>
      <c r="G7" s="44">
        <v>20</v>
      </c>
      <c r="H7" s="129">
        <f>IF(B$17=0,0,G7/B$17)</f>
        <v>0.33333333333333331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-3393.75</v>
      </c>
      <c r="P7" s="116">
        <v>16</v>
      </c>
      <c r="Q7" s="100">
        <v>-54300</v>
      </c>
    </row>
    <row r="8" spans="1:17" x14ac:dyDescent="0.4">
      <c r="A8" s="51" t="s">
        <v>3</v>
      </c>
      <c r="B8" s="44">
        <v>10</v>
      </c>
      <c r="C8" s="37">
        <f t="shared" si="1"/>
        <v>0.33333333333333331</v>
      </c>
      <c r="E8" s="59" t="s">
        <v>89</v>
      </c>
      <c r="F8" s="56" t="s">
        <v>44</v>
      </c>
      <c r="G8" s="44">
        <v>17</v>
      </c>
      <c r="H8" s="129">
        <f>IF(B$17=0,0,G8/B$17)</f>
        <v>0.28333333333333333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</v>
      </c>
      <c r="E9" s="59" t="s">
        <v>69</v>
      </c>
      <c r="F9" s="56" t="s">
        <v>24</v>
      </c>
      <c r="G9" s="44">
        <v>9</v>
      </c>
      <c r="H9" s="129">
        <f>IF(B$17=0,0,G9/B$17)</f>
        <v>0.15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0.16666666666666666</v>
      </c>
      <c r="E10" s="59" t="s">
        <v>65</v>
      </c>
      <c r="F10" s="56" t="s">
        <v>21</v>
      </c>
      <c r="G10" s="44">
        <v>5</v>
      </c>
      <c r="H10" s="129">
        <f>IF(B$17=0,0,G10/B$17)</f>
        <v>8.3333333333333329E-2</v>
      </c>
      <c r="I10" s="90">
        <v>9</v>
      </c>
      <c r="K10" s="36">
        <v>8</v>
      </c>
      <c r="L10" s="95">
        <v>-110.19999999999999</v>
      </c>
      <c r="N10" s="110" t="s">
        <v>162</v>
      </c>
      <c r="O10" s="120">
        <f>IF(P10=0,0,Q10/P10)</f>
        <v>8.7909090909090928</v>
      </c>
      <c r="P10" s="114">
        <v>11</v>
      </c>
      <c r="Q10" s="102">
        <v>96.700000000000017</v>
      </c>
    </row>
    <row r="11" spans="1:17" x14ac:dyDescent="0.4">
      <c r="A11" s="52" t="s">
        <v>138</v>
      </c>
      <c r="B11" s="45">
        <v>7</v>
      </c>
      <c r="C11" s="38">
        <f t="shared" si="1"/>
        <v>0.23333333333333334</v>
      </c>
      <c r="E11" s="59" t="s">
        <v>83</v>
      </c>
      <c r="F11" s="56" t="s">
        <v>38</v>
      </c>
      <c r="G11" s="44">
        <v>4</v>
      </c>
      <c r="H11" s="129">
        <f>IF(B$17=0,0,G11/B$17)</f>
        <v>6.6666666666666666E-2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-1.025000000000001</v>
      </c>
      <c r="P11" s="115">
        <v>12</v>
      </c>
      <c r="Q11" s="103">
        <v>-12.300000000000011</v>
      </c>
    </row>
    <row r="12" spans="1:17" x14ac:dyDescent="0.4">
      <c r="A12" s="53" t="s">
        <v>158</v>
      </c>
      <c r="B12" s="46">
        <v>1</v>
      </c>
      <c r="C12" s="40">
        <f t="shared" si="1"/>
        <v>3.3333333333333333E-2</v>
      </c>
      <c r="E12" s="59" t="s">
        <v>70</v>
      </c>
      <c r="F12" s="56" t="s">
        <v>25</v>
      </c>
      <c r="G12" s="44">
        <v>3</v>
      </c>
      <c r="H12" s="129">
        <f>IF(B$17=0,0,G12/B$17)</f>
        <v>0.05</v>
      </c>
      <c r="I12" s="90">
        <v>9</v>
      </c>
      <c r="K12" s="36">
        <v>10</v>
      </c>
      <c r="L12" s="95">
        <v>-113.29999999999998</v>
      </c>
      <c r="N12" s="112" t="s">
        <v>164</v>
      </c>
      <c r="O12" s="122">
        <f>IF(P12=0,0,Q12/P12)</f>
        <v>-7.6428571428571406</v>
      </c>
      <c r="P12" s="116">
        <v>7</v>
      </c>
      <c r="Q12" s="104">
        <v>-53.499999999999986</v>
      </c>
    </row>
    <row r="13" spans="1:17" x14ac:dyDescent="0.4">
      <c r="A13" s="54" t="s">
        <v>121</v>
      </c>
      <c r="B13" s="47">
        <v>65</v>
      </c>
      <c r="C13" s="42">
        <f>IF(B$3=0,0,B13/B$3)</f>
        <v>0.2813852813852814</v>
      </c>
      <c r="E13" s="59" t="s">
        <v>92</v>
      </c>
      <c r="F13" s="56" t="s">
        <v>47</v>
      </c>
      <c r="G13" s="44">
        <v>3</v>
      </c>
      <c r="H13" s="129">
        <f>IF(B$17=0,0,G13/B$17)</f>
        <v>0.05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49</v>
      </c>
      <c r="C14" s="37">
        <f>IF(B$3=0,0,B14/B$3)</f>
        <v>0.21212121212121213</v>
      </c>
      <c r="E14" s="59" t="s">
        <v>71</v>
      </c>
      <c r="F14" s="56" t="s">
        <v>26</v>
      </c>
      <c r="G14" s="44">
        <v>2</v>
      </c>
      <c r="H14" s="129">
        <f>IF(B$17=0,0,G14/B$17)</f>
        <v>3.3333333333333333E-2</v>
      </c>
      <c r="I14" s="90">
        <v>10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0.4</v>
      </c>
      <c r="E15" s="59" t="s">
        <v>81</v>
      </c>
      <c r="F15" s="56" t="s">
        <v>36</v>
      </c>
      <c r="G15" s="44">
        <v>2</v>
      </c>
      <c r="H15" s="129">
        <f>IF(B$17=0,0,G15/B$17)</f>
        <v>3.3333333333333333E-2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25</v>
      </c>
      <c r="C16" s="35">
        <f>IF(B$14=0,0,B16/B$14)</f>
        <v>0.51020408163265307</v>
      </c>
      <c r="E16" s="59" t="s">
        <v>86</v>
      </c>
      <c r="F16" s="56" t="s">
        <v>41</v>
      </c>
      <c r="G16" s="44">
        <v>2</v>
      </c>
      <c r="H16" s="129">
        <f>IF(B$17=0,0,G16/B$17)</f>
        <v>3.3333333333333333E-2</v>
      </c>
      <c r="I16" s="90">
        <v>9</v>
      </c>
      <c r="K16" s="36">
        <v>14</v>
      </c>
      <c r="L16" s="95">
        <v>-86.499999999999972</v>
      </c>
      <c r="N16" s="111" t="s">
        <v>179</v>
      </c>
      <c r="O16" s="121">
        <f>IF(P16=0,0,Q16/P16)</f>
        <v>29.9</v>
      </c>
      <c r="P16" s="115">
        <v>2</v>
      </c>
      <c r="Q16" s="103">
        <v>59.8</v>
      </c>
    </row>
    <row r="17" spans="1:17" x14ac:dyDescent="0.4">
      <c r="A17" s="50" t="s">
        <v>10</v>
      </c>
      <c r="B17" s="43">
        <f>B19+B18</f>
        <v>60</v>
      </c>
      <c r="C17" s="35">
        <f>IF(B$3=0,0,B17/B$3)</f>
        <v>0.25974025974025972</v>
      </c>
      <c r="E17" s="59" t="s">
        <v>75</v>
      </c>
      <c r="F17" s="56" t="s">
        <v>30</v>
      </c>
      <c r="G17" s="44">
        <v>1</v>
      </c>
      <c r="H17" s="129">
        <f>IF(B$17=0,0,G17/B$17)</f>
        <v>1.6666666666666666E-2</v>
      </c>
      <c r="I17" s="90">
        <v>2</v>
      </c>
      <c r="K17" s="36">
        <v>15</v>
      </c>
      <c r="L17" s="95">
        <v>-101.79999999999997</v>
      </c>
      <c r="N17" s="111" t="s">
        <v>182</v>
      </c>
      <c r="O17" s="121">
        <f>IF(P17=0,0,Q17/P17)</f>
        <v>20.209090909090907</v>
      </c>
      <c r="P17" s="115">
        <v>11</v>
      </c>
      <c r="Q17" s="103">
        <v>222.29999999999998</v>
      </c>
    </row>
    <row r="18" spans="1:17" x14ac:dyDescent="0.4">
      <c r="A18" s="51" t="s">
        <v>12</v>
      </c>
      <c r="B18" s="44">
        <v>27</v>
      </c>
      <c r="C18" s="37">
        <f>IF(B$17=0,0,B18/B$17)</f>
        <v>0.45</v>
      </c>
      <c r="E18" s="59" t="s">
        <v>85</v>
      </c>
      <c r="F18" s="56" t="s">
        <v>40</v>
      </c>
      <c r="G18" s="44">
        <v>1</v>
      </c>
      <c r="H18" s="129">
        <f>IF(B$17=0,0,G18/B$17)</f>
        <v>1.6666666666666666E-2</v>
      </c>
      <c r="I18" s="90">
        <v>2</v>
      </c>
      <c r="K18" s="36">
        <v>16</v>
      </c>
      <c r="L18" s="95">
        <v>-63.099999999999966</v>
      </c>
      <c r="N18" s="111" t="s">
        <v>178</v>
      </c>
      <c r="O18" s="121">
        <f>IF(P18=0,0,Q18/P18)</f>
        <v>10.112500000000002</v>
      </c>
      <c r="P18" s="115">
        <v>16</v>
      </c>
      <c r="Q18" s="103">
        <v>161.80000000000004</v>
      </c>
    </row>
    <row r="19" spans="1:17" x14ac:dyDescent="0.4">
      <c r="A19" s="51" t="s">
        <v>11</v>
      </c>
      <c r="B19" s="44">
        <v>33</v>
      </c>
      <c r="C19" s="37">
        <f>IF(B$17=0,0,B19/B$17)</f>
        <v>0.55000000000000004</v>
      </c>
      <c r="E19" s="59" t="s">
        <v>91</v>
      </c>
      <c r="F19" s="56" t="s">
        <v>46</v>
      </c>
      <c r="G19" s="44">
        <v>1</v>
      </c>
      <c r="H19" s="129">
        <f>IF(B$17=0,0,G19/B$17)</f>
        <v>1.6666666666666666E-2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-2.4538461538461553</v>
      </c>
      <c r="P19" s="115">
        <v>13</v>
      </c>
      <c r="Q19" s="103">
        <v>-31.90000000000002</v>
      </c>
    </row>
    <row r="20" spans="1:17" x14ac:dyDescent="0.4">
      <c r="A20" s="51" t="s">
        <v>13</v>
      </c>
      <c r="B20" s="44">
        <v>37</v>
      </c>
      <c r="C20" s="37">
        <f>IF(B$3=0,0,B20/B$3)</f>
        <v>0.16017316017316016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-24.999999999999968</v>
      </c>
      <c r="N20" s="111" t="s">
        <v>127</v>
      </c>
      <c r="O20" s="121">
        <f>IF(P20=0,0,Q20/P20)</f>
        <v>-16.157142857142862</v>
      </c>
      <c r="P20" s="115">
        <v>14</v>
      </c>
      <c r="Q20" s="103">
        <v>-226.20000000000005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-27.799999999999969</v>
      </c>
      <c r="N21" s="111" t="s">
        <v>181</v>
      </c>
      <c r="O21" s="121">
        <f>IF(P21=0,0,Q21/P21)</f>
        <v>-107.2</v>
      </c>
      <c r="P21" s="115">
        <v>2</v>
      </c>
      <c r="Q21" s="103">
        <v>-214.4</v>
      </c>
    </row>
    <row r="22" spans="1:17" x14ac:dyDescent="0.4">
      <c r="A22" s="51" t="s">
        <v>170</v>
      </c>
      <c r="B22" s="44">
        <v>25</v>
      </c>
      <c r="C22" s="131">
        <v>12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-50.39999999999997</v>
      </c>
    </row>
    <row r="23" spans="1:17" x14ac:dyDescent="0.4">
      <c r="A23" s="51" t="s">
        <v>5</v>
      </c>
      <c r="B23" s="48">
        <f>IF(B$17=0,0,C23/B$17)</f>
        <v>10706.666666666666</v>
      </c>
      <c r="C23" s="39">
        <v>642400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13268.571428571429</v>
      </c>
      <c r="C24" s="137">
        <v>464400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7120</v>
      </c>
      <c r="C25" s="137">
        <v>178000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-9467.5675675675684</v>
      </c>
      <c r="C26" s="137">
        <v>-350300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-31.499999999999972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30.900000000000027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36</v>
      </c>
      <c r="C2" s="149"/>
      <c r="E2" s="58" t="s">
        <v>72</v>
      </c>
      <c r="F2" s="55" t="s">
        <v>27</v>
      </c>
      <c r="G2" s="43">
        <v>65</v>
      </c>
      <c r="H2" s="128">
        <f>IF(B$17=0,0,G2/B$17)</f>
        <v>0.8125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1216.6666666666667</v>
      </c>
      <c r="P2" s="114">
        <v>36</v>
      </c>
      <c r="Q2" s="98">
        <v>43800</v>
      </c>
    </row>
    <row r="3" spans="1:17" x14ac:dyDescent="0.4">
      <c r="A3" s="51" t="s">
        <v>8</v>
      </c>
      <c r="B3" s="150">
        <v>292</v>
      </c>
      <c r="C3" s="151"/>
      <c r="E3" s="59" t="s">
        <v>66</v>
      </c>
      <c r="F3" s="56" t="s">
        <v>22</v>
      </c>
      <c r="G3" s="44">
        <v>58</v>
      </c>
      <c r="H3" s="129">
        <f>IF(B$17=0,0,G3/B$17)</f>
        <v>0.72499999999999998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1390.909090909091</v>
      </c>
      <c r="P3" s="115">
        <v>33</v>
      </c>
      <c r="Q3" s="99">
        <v>45900</v>
      </c>
    </row>
    <row r="4" spans="1:17" x14ac:dyDescent="0.4">
      <c r="A4" s="51" t="s">
        <v>6</v>
      </c>
      <c r="B4" s="152">
        <v>-65.399999999999977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0.4375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-3641.9354838709678</v>
      </c>
      <c r="P4" s="115">
        <v>31</v>
      </c>
      <c r="Q4" s="99">
        <v>-112900</v>
      </c>
    </row>
    <row r="5" spans="1:17" x14ac:dyDescent="0.4">
      <c r="A5" s="51" t="s">
        <v>7</v>
      </c>
      <c r="B5" s="154">
        <f>IF(B$2=0,0,B$4/B$2)</f>
        <v>-1.816666666666666</v>
      </c>
      <c r="C5" s="155"/>
      <c r="E5" s="59" t="s">
        <v>171</v>
      </c>
      <c r="F5" s="56" t="s">
        <v>172</v>
      </c>
      <c r="G5" s="44">
        <v>27</v>
      </c>
      <c r="H5" s="129">
        <f>IF(B$17=0,0,G5/B$17)</f>
        <v>0.33750000000000002</v>
      </c>
      <c r="I5" s="90">
        <v>7</v>
      </c>
      <c r="K5" s="36">
        <v>3</v>
      </c>
      <c r="L5" s="95">
        <v>25.8</v>
      </c>
      <c r="N5" s="111" t="s">
        <v>133</v>
      </c>
      <c r="O5" s="118">
        <f t="shared" si="0"/>
        <v>32.142857142857146</v>
      </c>
      <c r="P5" s="115">
        <v>28</v>
      </c>
      <c r="Q5" s="99">
        <v>900</v>
      </c>
    </row>
    <row r="6" spans="1:17" x14ac:dyDescent="0.4">
      <c r="A6" s="51" t="s">
        <v>1</v>
      </c>
      <c r="B6" s="144">
        <f>IF(B$2=0,0,(B$7*1+B$8*2+B$9*3)/B$2)</f>
        <v>2.1388888888888888</v>
      </c>
      <c r="C6" s="145"/>
      <c r="E6" s="59" t="s">
        <v>67</v>
      </c>
      <c r="F6" s="56" t="s">
        <v>23</v>
      </c>
      <c r="G6" s="44">
        <v>24</v>
      </c>
      <c r="H6" s="129">
        <f>IF(B$17=0,0,G6/B$17)</f>
        <v>0.3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-721.73913043478262</v>
      </c>
      <c r="P6" s="115">
        <v>23</v>
      </c>
      <c r="Q6" s="99">
        <v>-16600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0.22222222222222221</v>
      </c>
      <c r="E7" s="59" t="s">
        <v>68</v>
      </c>
      <c r="F7" s="56" t="s">
        <v>12</v>
      </c>
      <c r="G7" s="44">
        <v>24</v>
      </c>
      <c r="H7" s="129">
        <f>IF(B$17=0,0,G7/B$17)</f>
        <v>0.3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1119.047619047619</v>
      </c>
      <c r="P7" s="116">
        <v>21</v>
      </c>
      <c r="Q7" s="100">
        <v>23500</v>
      </c>
    </row>
    <row r="8" spans="1:17" x14ac:dyDescent="0.4">
      <c r="A8" s="51" t="s">
        <v>3</v>
      </c>
      <c r="B8" s="44">
        <v>15</v>
      </c>
      <c r="C8" s="37">
        <f t="shared" si="1"/>
        <v>0.41666666666666669</v>
      </c>
      <c r="E8" s="59" t="s">
        <v>89</v>
      </c>
      <c r="F8" s="56" t="s">
        <v>44</v>
      </c>
      <c r="G8" s="44">
        <v>9</v>
      </c>
      <c r="H8" s="129">
        <f>IF(B$17=0,0,G8/B$17)</f>
        <v>0.1125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0.3611111111111111</v>
      </c>
      <c r="E9" s="59" t="s">
        <v>69</v>
      </c>
      <c r="F9" s="56" t="s">
        <v>24</v>
      </c>
      <c r="G9" s="44">
        <v>7</v>
      </c>
      <c r="H9" s="129">
        <f>IF(B$17=0,0,G9/B$17)</f>
        <v>8.7499999999999994E-2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0.1111111111111111</v>
      </c>
      <c r="E10" s="59" t="s">
        <v>65</v>
      </c>
      <c r="F10" s="56" t="s">
        <v>21</v>
      </c>
      <c r="G10" s="44">
        <v>4</v>
      </c>
      <c r="H10" s="129">
        <f>IF(B$17=0,0,G10/B$17)</f>
        <v>0.05</v>
      </c>
      <c r="I10" s="90">
        <v>10</v>
      </c>
      <c r="K10" s="36">
        <v>8</v>
      </c>
      <c r="L10" s="95">
        <v>-46.7</v>
      </c>
      <c r="N10" s="110" t="s">
        <v>162</v>
      </c>
      <c r="O10" s="120">
        <f>IF(P10=0,0,Q10/P10)</f>
        <v>3.3285714285714287</v>
      </c>
      <c r="P10" s="114">
        <v>14</v>
      </c>
      <c r="Q10" s="102">
        <v>46.6</v>
      </c>
    </row>
    <row r="11" spans="1:17" x14ac:dyDescent="0.4">
      <c r="A11" s="52" t="s">
        <v>138</v>
      </c>
      <c r="B11" s="45">
        <v>3</v>
      </c>
      <c r="C11" s="38">
        <f t="shared" si="1"/>
        <v>8.3333333333333329E-2</v>
      </c>
      <c r="E11" s="59" t="s">
        <v>70</v>
      </c>
      <c r="F11" s="56" t="s">
        <v>25</v>
      </c>
      <c r="G11" s="44">
        <v>4</v>
      </c>
      <c r="H11" s="129">
        <f>IF(B$17=0,0,G11/B$17)</f>
        <v>0.05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-2.9555555555555557</v>
      </c>
      <c r="P11" s="115">
        <v>9</v>
      </c>
      <c r="Q11" s="103">
        <v>-26.6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79</v>
      </c>
      <c r="F12" s="56" t="s">
        <v>34</v>
      </c>
      <c r="G12" s="44">
        <v>4</v>
      </c>
      <c r="H12" s="129">
        <f>IF(B$17=0,0,G12/B$17)</f>
        <v>0.05</v>
      </c>
      <c r="I12" s="90">
        <v>2</v>
      </c>
      <c r="K12" s="36">
        <v>10</v>
      </c>
      <c r="L12" s="95">
        <v>-146.69999999999999</v>
      </c>
      <c r="N12" s="112" t="s">
        <v>164</v>
      </c>
      <c r="O12" s="122">
        <f>IF(P12=0,0,Q12/P12)</f>
        <v>-6.5692307692307699</v>
      </c>
      <c r="P12" s="116">
        <v>13</v>
      </c>
      <c r="Q12" s="104">
        <v>-85.4</v>
      </c>
    </row>
    <row r="13" spans="1:17" x14ac:dyDescent="0.4">
      <c r="A13" s="54" t="s">
        <v>121</v>
      </c>
      <c r="B13" s="47">
        <v>69</v>
      </c>
      <c r="C13" s="42">
        <f>IF(B$3=0,0,B13/B$3)</f>
        <v>0.2363013698630137</v>
      </c>
      <c r="E13" s="59" t="s">
        <v>83</v>
      </c>
      <c r="F13" s="56" t="s">
        <v>38</v>
      </c>
      <c r="G13" s="44">
        <v>4</v>
      </c>
      <c r="H13" s="129">
        <f>IF(B$17=0,0,G13/B$17)</f>
        <v>0.05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0.28767123287671231</v>
      </c>
      <c r="E14" s="59" t="s">
        <v>71</v>
      </c>
      <c r="F14" s="56" t="s">
        <v>26</v>
      </c>
      <c r="G14" s="44">
        <v>3</v>
      </c>
      <c r="H14" s="129">
        <f>IF(B$17=0,0,G14/B$17)</f>
        <v>3.7499999999999999E-2</v>
      </c>
      <c r="I14" s="90">
        <v>9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86</v>
      </c>
      <c r="F15" s="56" t="s">
        <v>41</v>
      </c>
      <c r="G15" s="44">
        <v>3</v>
      </c>
      <c r="H15" s="129">
        <f>IF(B$17=0,0,G15/B$17)</f>
        <v>3.7499999999999999E-2</v>
      </c>
      <c r="I15" s="90">
        <v>6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34</v>
      </c>
      <c r="C16" s="35">
        <f>IF(B$14=0,0,B16/B$14)</f>
        <v>0.40476190476190477</v>
      </c>
      <c r="E16" s="59" t="s">
        <v>78</v>
      </c>
      <c r="F16" s="56" t="s">
        <v>33</v>
      </c>
      <c r="G16" s="44">
        <v>2</v>
      </c>
      <c r="H16" s="129">
        <f>IF(B$17=0,0,G16/B$17)</f>
        <v>2.5000000000000001E-2</v>
      </c>
      <c r="I16" s="90">
        <v>4</v>
      </c>
      <c r="K16" s="36">
        <v>14</v>
      </c>
      <c r="L16" s="95">
        <v>-25.79999999999999</v>
      </c>
      <c r="N16" s="111" t="s">
        <v>179</v>
      </c>
      <c r="O16" s="121">
        <f>IF(P16=0,0,Q16/P16)</f>
        <v>32.585714285714282</v>
      </c>
      <c r="P16" s="115">
        <v>7</v>
      </c>
      <c r="Q16" s="103">
        <v>228.1</v>
      </c>
    </row>
    <row r="17" spans="1:17" x14ac:dyDescent="0.4">
      <c r="A17" s="50" t="s">
        <v>10</v>
      </c>
      <c r="B17" s="43">
        <f>B19+B18</f>
        <v>80</v>
      </c>
      <c r="C17" s="35">
        <f>IF(B$3=0,0,B17/B$3)</f>
        <v>0.27397260273972601</v>
      </c>
      <c r="E17" s="59" t="s">
        <v>85</v>
      </c>
      <c r="F17" s="56" t="s">
        <v>40</v>
      </c>
      <c r="G17" s="44">
        <v>1</v>
      </c>
      <c r="H17" s="129">
        <f>IF(B$17=0,0,G17/B$17)</f>
        <v>1.2500000000000001E-2</v>
      </c>
      <c r="I17" s="90">
        <v>3</v>
      </c>
      <c r="K17" s="36">
        <v>15</v>
      </c>
      <c r="L17" s="95">
        <v>-35.499999999999986</v>
      </c>
      <c r="N17" s="111" t="s">
        <v>182</v>
      </c>
      <c r="O17" s="121">
        <f>IF(P17=0,0,Q17/P17)</f>
        <v>24.055555555555557</v>
      </c>
      <c r="P17" s="115">
        <v>9</v>
      </c>
      <c r="Q17" s="103">
        <v>216.5</v>
      </c>
    </row>
    <row r="18" spans="1:17" x14ac:dyDescent="0.4">
      <c r="A18" s="51" t="s">
        <v>12</v>
      </c>
      <c r="B18" s="44">
        <v>34</v>
      </c>
      <c r="C18" s="37">
        <f>IF(B$17=0,0,B18/B$17)</f>
        <v>0.42499999999999999</v>
      </c>
      <c r="E18" s="59" t="s">
        <v>91</v>
      </c>
      <c r="F18" s="56" t="s">
        <v>46</v>
      </c>
      <c r="G18" s="44">
        <v>1</v>
      </c>
      <c r="H18" s="129">
        <f>IF(B$17=0,0,G18/B$17)</f>
        <v>1.2500000000000001E-2</v>
      </c>
      <c r="I18" s="90">
        <v>5</v>
      </c>
      <c r="K18" s="36">
        <v>16</v>
      </c>
      <c r="L18" s="95">
        <v>-35.599999999999987</v>
      </c>
      <c r="N18" s="111" t="s">
        <v>166</v>
      </c>
      <c r="O18" s="121">
        <f>IF(P18=0,0,Q18/P18)</f>
        <v>-6.28</v>
      </c>
      <c r="P18" s="115">
        <v>5</v>
      </c>
      <c r="Q18" s="103">
        <v>-31.400000000000002</v>
      </c>
    </row>
    <row r="19" spans="1:17" x14ac:dyDescent="0.4">
      <c r="A19" s="51" t="s">
        <v>11</v>
      </c>
      <c r="B19" s="44">
        <v>46</v>
      </c>
      <c r="C19" s="37">
        <f>IF(B$17=0,0,B19/B$17)</f>
        <v>0.57499999999999996</v>
      </c>
      <c r="E19" s="59" t="s">
        <v>101</v>
      </c>
      <c r="F19" s="56" t="s">
        <v>56</v>
      </c>
      <c r="G19" s="44">
        <v>1</v>
      </c>
      <c r="H19" s="129">
        <f>IF(B$17=0,0,G19/B$17)</f>
        <v>1.2500000000000001E-2</v>
      </c>
      <c r="I19" s="90">
        <v>1</v>
      </c>
      <c r="K19" s="36">
        <v>17</v>
      </c>
      <c r="L19" s="95">
        <v>-29.799999999999986</v>
      </c>
      <c r="N19" s="111" t="s">
        <v>177</v>
      </c>
      <c r="O19" s="121">
        <f>IF(P19=0,0,Q19/P19)</f>
        <v>-10.112500000000004</v>
      </c>
      <c r="P19" s="115">
        <v>16</v>
      </c>
      <c r="Q19" s="103">
        <v>-161.80000000000007</v>
      </c>
    </row>
    <row r="20" spans="1:17" x14ac:dyDescent="0.4">
      <c r="A20" s="51" t="s">
        <v>13</v>
      </c>
      <c r="B20" s="44">
        <v>41</v>
      </c>
      <c r="C20" s="37">
        <f>IF(B$3=0,0,B20/B$3)</f>
        <v>0.1404109589041096</v>
      </c>
      <c r="E20" s="59" t="s">
        <v>167</v>
      </c>
      <c r="F20" s="56" t="s">
        <v>168</v>
      </c>
      <c r="G20" s="44">
        <v>1</v>
      </c>
      <c r="H20" s="129">
        <f>IF(B$17=0,0,G20/B$17)</f>
        <v>1.2500000000000001E-2</v>
      </c>
      <c r="I20" s="90">
        <v>2</v>
      </c>
      <c r="K20" s="36">
        <v>18</v>
      </c>
      <c r="L20" s="95">
        <v>-62.399999999999991</v>
      </c>
      <c r="N20" s="111" t="s">
        <v>181</v>
      </c>
      <c r="O20" s="121">
        <f>IF(P20=0,0,Q20/P20)</f>
        <v>-15.5</v>
      </c>
      <c r="P20" s="115">
        <v>1</v>
      </c>
      <c r="Q20" s="103">
        <v>-15.5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-56.399999999999991</v>
      </c>
      <c r="N21" s="111" t="s">
        <v>126</v>
      </c>
      <c r="O21" s="121">
        <f>IF(P21=0,0,Q21/P21)</f>
        <v>-22.126666666666672</v>
      </c>
      <c r="P21" s="115">
        <v>15</v>
      </c>
      <c r="Q21" s="103">
        <v>-331.90000000000009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-93.199999999999989</v>
      </c>
      <c r="N22" s="111" t="s">
        <v>127</v>
      </c>
      <c r="O22" s="121">
        <f>IF(P22=0,0,Q22/P22)</f>
        <v>-26.150000000000002</v>
      </c>
      <c r="P22" s="115">
        <v>14</v>
      </c>
      <c r="Q22" s="103">
        <v>-366.1</v>
      </c>
    </row>
    <row r="23" spans="1:17" x14ac:dyDescent="0.4">
      <c r="A23" s="51" t="s">
        <v>5</v>
      </c>
      <c r="B23" s="48">
        <f>IF(B$17=0,0,C23/B$17)</f>
        <v>8108.75</v>
      </c>
      <c r="C23" s="39">
        <v>648700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9215.217391304348</v>
      </c>
      <c r="C24" s="137">
        <v>423900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6611.7647058823532</v>
      </c>
      <c r="C25" s="137">
        <v>224800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-7207.3170731707314</v>
      </c>
      <c r="C26" s="137">
        <v>-295500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81</v>
      </c>
      <c r="F27" s="56" t="s">
        <v>36</v>
      </c>
      <c r="G27" s="44">
        <v>0</v>
      </c>
      <c r="H27" s="129">
        <f>IF(B$17=0,0,G27/B$17)</f>
        <v>0</v>
      </c>
      <c r="I27" s="90">
        <v>9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81700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6.8493150684931503E-3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20</v>
      </c>
      <c r="C2" s="149"/>
      <c r="E2" s="58" t="s">
        <v>66</v>
      </c>
      <c r="F2" s="55" t="s">
        <v>22</v>
      </c>
      <c r="G2" s="43">
        <v>23</v>
      </c>
      <c r="H2" s="128">
        <f>IF(B$17=0,0,G2/B$17)</f>
        <v>0.71875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-3570</v>
      </c>
      <c r="P2" s="114">
        <v>20</v>
      </c>
      <c r="Q2" s="98">
        <v>-71400</v>
      </c>
    </row>
    <row r="3" spans="1:17" x14ac:dyDescent="0.4">
      <c r="A3" s="51" t="s">
        <v>8</v>
      </c>
      <c r="B3" s="150">
        <v>157</v>
      </c>
      <c r="C3" s="151"/>
      <c r="E3" s="59" t="s">
        <v>64</v>
      </c>
      <c r="F3" s="56" t="s">
        <v>20</v>
      </c>
      <c r="G3" s="44">
        <v>17</v>
      </c>
      <c r="H3" s="129">
        <f>IF(B$17=0,0,G3/B$17)</f>
        <v>0.53125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-450</v>
      </c>
      <c r="P3" s="115">
        <v>20</v>
      </c>
      <c r="Q3" s="99">
        <v>-9000</v>
      </c>
    </row>
    <row r="4" spans="1:17" x14ac:dyDescent="0.4">
      <c r="A4" s="51" t="s">
        <v>6</v>
      </c>
      <c r="B4" s="152">
        <v>-428.10000000000008</v>
      </c>
      <c r="C4" s="153"/>
      <c r="E4" s="59" t="s">
        <v>72</v>
      </c>
      <c r="F4" s="56" t="s">
        <v>27</v>
      </c>
      <c r="G4" s="44">
        <v>16</v>
      </c>
      <c r="H4" s="129">
        <f>IF(B$17=0,0,G4/B$17)</f>
        <v>0.5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-1830</v>
      </c>
      <c r="P4" s="115">
        <v>20</v>
      </c>
      <c r="Q4" s="99">
        <v>-36600</v>
      </c>
    </row>
    <row r="5" spans="1:17" x14ac:dyDescent="0.4">
      <c r="A5" s="51" t="s">
        <v>7</v>
      </c>
      <c r="B5" s="154">
        <f>IF(B$2=0,0,B$4/B$2)</f>
        <v>-21.405000000000005</v>
      </c>
      <c r="C5" s="155"/>
      <c r="E5" s="59" t="s">
        <v>67</v>
      </c>
      <c r="F5" s="56" t="s">
        <v>23</v>
      </c>
      <c r="G5" s="44">
        <v>14</v>
      </c>
      <c r="H5" s="129">
        <f>IF(B$17=0,0,G5/B$17)</f>
        <v>0.4375</v>
      </c>
      <c r="I5" s="90">
        <v>2</v>
      </c>
      <c r="K5" s="36">
        <v>3</v>
      </c>
      <c r="L5" s="95">
        <v>-33.6</v>
      </c>
      <c r="N5" s="111" t="s">
        <v>133</v>
      </c>
      <c r="O5" s="118">
        <f t="shared" si="0"/>
        <v>-5405.2631578947367</v>
      </c>
      <c r="P5" s="115">
        <v>19</v>
      </c>
      <c r="Q5" s="99">
        <v>-102700</v>
      </c>
    </row>
    <row r="6" spans="1:17" x14ac:dyDescent="0.4">
      <c r="A6" s="51" t="s">
        <v>1</v>
      </c>
      <c r="B6" s="144">
        <f>IF(B$2=0,0,(B$7*1+B$8*2+B$9*3)/B$2)</f>
        <v>2.5499999999999998</v>
      </c>
      <c r="C6" s="145"/>
      <c r="E6" s="59" t="s">
        <v>171</v>
      </c>
      <c r="F6" s="56" t="s">
        <v>172</v>
      </c>
      <c r="G6" s="44">
        <v>11</v>
      </c>
      <c r="H6" s="129">
        <f>IF(B$17=0,0,G6/B$17)</f>
        <v>0.34375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-2216.6666666666665</v>
      </c>
      <c r="P6" s="115">
        <v>18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0.05</v>
      </c>
      <c r="E7" s="59" t="s">
        <v>68</v>
      </c>
      <c r="F7" s="56" t="s">
        <v>12</v>
      </c>
      <c r="G7" s="44">
        <v>9</v>
      </c>
      <c r="H7" s="129">
        <f>IF(B$17=0,0,G7/B$17)</f>
        <v>0.28125</v>
      </c>
      <c r="I7" s="90">
        <v>6</v>
      </c>
      <c r="K7" s="36">
        <v>5</v>
      </c>
      <c r="L7" s="95">
        <v>-124.3</v>
      </c>
      <c r="N7" s="112" t="s">
        <v>135</v>
      </c>
      <c r="O7" s="119">
        <f t="shared" si="0"/>
        <v>-3900</v>
      </c>
      <c r="P7" s="116">
        <v>15</v>
      </c>
      <c r="Q7" s="100">
        <v>-58500</v>
      </c>
    </row>
    <row r="8" spans="1:17" x14ac:dyDescent="0.4">
      <c r="A8" s="51" t="s">
        <v>3</v>
      </c>
      <c r="B8" s="44">
        <v>7</v>
      </c>
      <c r="C8" s="37">
        <f t="shared" si="1"/>
        <v>0.35</v>
      </c>
      <c r="E8" s="59" t="s">
        <v>65</v>
      </c>
      <c r="F8" s="56" t="s">
        <v>21</v>
      </c>
      <c r="G8" s="44">
        <v>4</v>
      </c>
      <c r="H8" s="129">
        <f>IF(B$17=0,0,G8/B$17)</f>
        <v>0.125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0.6</v>
      </c>
      <c r="E9" s="59" t="s">
        <v>71</v>
      </c>
      <c r="F9" s="56" t="s">
        <v>26</v>
      </c>
      <c r="G9" s="44">
        <v>3</v>
      </c>
      <c r="H9" s="129">
        <f>IF(B$17=0,0,G9/B$17)</f>
        <v>9.375E-2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0.25</v>
      </c>
      <c r="E10" s="59" t="s">
        <v>83</v>
      </c>
      <c r="F10" s="56" t="s">
        <v>38</v>
      </c>
      <c r="G10" s="44">
        <v>3</v>
      </c>
      <c r="H10" s="129">
        <f>IF(B$17=0,0,G10/B$17)</f>
        <v>9.375E-2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1"/>
        <v>0.05</v>
      </c>
      <c r="E11" s="59" t="s">
        <v>70</v>
      </c>
      <c r="F11" s="56" t="s">
        <v>25</v>
      </c>
      <c r="G11" s="44">
        <v>2</v>
      </c>
      <c r="H11" s="129">
        <f>IF(B$17=0,0,G11/B$17)</f>
        <v>6.25E-2</v>
      </c>
      <c r="I11" s="90">
        <v>7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81</v>
      </c>
      <c r="F12" s="56" t="s">
        <v>36</v>
      </c>
      <c r="G12" s="44">
        <v>2</v>
      </c>
      <c r="H12" s="129">
        <f>IF(B$17=0,0,G12/B$17)</f>
        <v>6.25E-2</v>
      </c>
      <c r="I12" s="90">
        <v>1</v>
      </c>
      <c r="K12" s="36">
        <v>10</v>
      </c>
      <c r="L12" s="95">
        <v>-151.1</v>
      </c>
      <c r="N12" s="112" t="s">
        <v>164</v>
      </c>
      <c r="O12" s="122">
        <f>IF(P12=0,0,Q12/P12)</f>
        <v>-36.200000000000003</v>
      </c>
      <c r="P12" s="116">
        <v>2</v>
      </c>
      <c r="Q12" s="104">
        <v>-72.400000000000006</v>
      </c>
    </row>
    <row r="13" spans="1:17" x14ac:dyDescent="0.4">
      <c r="A13" s="54" t="s">
        <v>121</v>
      </c>
      <c r="B13" s="47">
        <v>33</v>
      </c>
      <c r="C13" s="42">
        <f>IF(B$3=0,0,B13/B$3)</f>
        <v>0.21019108280254778</v>
      </c>
      <c r="E13" s="59" t="s">
        <v>86</v>
      </c>
      <c r="F13" s="56" t="s">
        <v>41</v>
      </c>
      <c r="G13" s="44">
        <v>2</v>
      </c>
      <c r="H13" s="129">
        <f>IF(B$17=0,0,G13/B$17)</f>
        <v>6.25E-2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33</v>
      </c>
      <c r="C14" s="37">
        <f>IF(B$3=0,0,B14/B$3)</f>
        <v>0.21019108280254778</v>
      </c>
      <c r="E14" s="59" t="s">
        <v>89</v>
      </c>
      <c r="F14" s="56" t="s">
        <v>44</v>
      </c>
      <c r="G14" s="44">
        <v>2</v>
      </c>
      <c r="H14" s="129">
        <f>IF(B$17=0,0,G14/B$17)</f>
        <v>6.25E-2</v>
      </c>
      <c r="I14" s="90">
        <v>9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17</v>
      </c>
      <c r="C15" s="35">
        <f>IF(B$13=0,0,B15/B$13)</f>
        <v>0.51515151515151514</v>
      </c>
      <c r="E15" s="59" t="s">
        <v>69</v>
      </c>
      <c r="F15" s="56" t="s">
        <v>24</v>
      </c>
      <c r="G15" s="44">
        <v>1</v>
      </c>
      <c r="H15" s="129">
        <f>IF(B$17=0,0,G15/B$17)</f>
        <v>3.125E-2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11</v>
      </c>
      <c r="C16" s="35">
        <f>IF(B$14=0,0,B16/B$14)</f>
        <v>0.33333333333333331</v>
      </c>
      <c r="E16" s="59" t="s">
        <v>74</v>
      </c>
      <c r="F16" s="56" t="s">
        <v>29</v>
      </c>
      <c r="G16" s="44">
        <v>1</v>
      </c>
      <c r="H16" s="129">
        <f>IF(B$17=0,0,G16/B$17)</f>
        <v>3.125E-2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>IF(P16=0,0,Q16/P16)</f>
        <v>-20.209090909090907</v>
      </c>
      <c r="P16" s="115">
        <v>11</v>
      </c>
      <c r="Q16" s="103">
        <v>-222.29999999999998</v>
      </c>
    </row>
    <row r="17" spans="1:17" x14ac:dyDescent="0.4">
      <c r="A17" s="50" t="s">
        <v>10</v>
      </c>
      <c r="B17" s="43">
        <f>B19+B18</f>
        <v>32</v>
      </c>
      <c r="C17" s="35">
        <f>IF(B$3=0,0,B17/B$3)</f>
        <v>0.20382165605095542</v>
      </c>
      <c r="E17" s="59" t="s">
        <v>78</v>
      </c>
      <c r="F17" s="56" t="s">
        <v>33</v>
      </c>
      <c r="G17" s="44">
        <v>1</v>
      </c>
      <c r="H17" s="129">
        <f>IF(B$17=0,0,G17/B$17)</f>
        <v>3.125E-2</v>
      </c>
      <c r="I17" s="90">
        <v>2</v>
      </c>
      <c r="K17" s="36">
        <v>15</v>
      </c>
      <c r="L17" s="95">
        <v>-272.50000000000006</v>
      </c>
      <c r="N17" s="111" t="s">
        <v>178</v>
      </c>
      <c r="O17" s="121">
        <f>IF(P17=0,0,Q17/P17)</f>
        <v>-24.055555555555557</v>
      </c>
      <c r="P17" s="115">
        <v>9</v>
      </c>
      <c r="Q17" s="103">
        <v>-216.5</v>
      </c>
    </row>
    <row r="18" spans="1:17" x14ac:dyDescent="0.4">
      <c r="A18" s="51" t="s">
        <v>12</v>
      </c>
      <c r="B18" s="44">
        <v>14</v>
      </c>
      <c r="C18" s="37">
        <f>IF(B$17=0,0,B18/B$17)</f>
        <v>0.4375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K18" s="36">
        <v>16</v>
      </c>
      <c r="L18" s="95">
        <v>-320.30000000000007</v>
      </c>
      <c r="N18" s="111" t="s">
        <v>179</v>
      </c>
      <c r="O18" s="121">
        <f>IF(P18=0,0,Q18/P18)</f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0.5625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5</v>
      </c>
      <c r="K19" s="36">
        <v>17</v>
      </c>
      <c r="L19" s="95">
        <v>-352.60000000000008</v>
      </c>
      <c r="N19" s="111" t="s">
        <v>126</v>
      </c>
      <c r="O19" s="121">
        <f>IF(P19=0,0,Q19/P19)</f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34</v>
      </c>
      <c r="C20" s="37">
        <f>IF(B$3=0,0,B20/B$3)</f>
        <v>0.21656050955414013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>IF(P20=0,0,Q20/P20)</f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8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-428.10000000000008</v>
      </c>
      <c r="N22" s="111" t="s">
        <v>195</v>
      </c>
      <c r="O22" s="121">
        <f>IF(P22=0,0,Q22/P22)</f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7496.875</v>
      </c>
      <c r="C23" s="39">
        <v>239900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8800</v>
      </c>
      <c r="C24" s="137">
        <v>184800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5009.090909090909</v>
      </c>
      <c r="C25" s="137">
        <v>55100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-9173.5294117647063</v>
      </c>
      <c r="C26" s="137">
        <v>-311900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6.369426751592357E-3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</v>
      </c>
      <c r="C2" s="149"/>
      <c r="E2" s="58" t="s">
        <v>66</v>
      </c>
      <c r="F2" s="55" t="s">
        <v>22</v>
      </c>
      <c r="G2" s="43">
        <v>37</v>
      </c>
      <c r="H2" s="128">
        <f>IF(B$17=0,0,G2/B$17)</f>
        <v>1.088235294117647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-45.454545454545453</v>
      </c>
      <c r="P2" s="114">
        <v>11</v>
      </c>
      <c r="Q2" s="98">
        <v>-500</v>
      </c>
    </row>
    <row r="3" spans="1:17" x14ac:dyDescent="0.4">
      <c r="A3" s="51" t="s">
        <v>8</v>
      </c>
      <c r="B3" s="150">
        <v>103</v>
      </c>
      <c r="C3" s="151"/>
      <c r="E3" s="59" t="s">
        <v>64</v>
      </c>
      <c r="F3" s="56" t="s">
        <v>20</v>
      </c>
      <c r="G3" s="44">
        <v>21</v>
      </c>
      <c r="H3" s="129">
        <f>IF(B$17=0,0,G3/B$17)</f>
        <v>0.61764705882352944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4790.909090909091</v>
      </c>
      <c r="P3" s="115">
        <v>11</v>
      </c>
      <c r="Q3" s="99">
        <v>52700</v>
      </c>
    </row>
    <row r="4" spans="1:17" x14ac:dyDescent="0.4">
      <c r="A4" s="51" t="s">
        <v>6</v>
      </c>
      <c r="B4" s="152">
        <v>126.10000000000001</v>
      </c>
      <c r="C4" s="153"/>
      <c r="E4" s="59" t="s">
        <v>68</v>
      </c>
      <c r="F4" s="56" t="s">
        <v>12</v>
      </c>
      <c r="G4" s="44">
        <v>14</v>
      </c>
      <c r="H4" s="129">
        <f>IF(B$17=0,0,G4/B$17)</f>
        <v>0.41176470588235292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418.18181818181819</v>
      </c>
      <c r="P4" s="115">
        <v>11</v>
      </c>
      <c r="Q4" s="99">
        <v>4600</v>
      </c>
    </row>
    <row r="5" spans="1:17" x14ac:dyDescent="0.4">
      <c r="A5" s="51" t="s">
        <v>7</v>
      </c>
      <c r="B5" s="154">
        <f>IF(B$2=0,0,B$4/B$2)</f>
        <v>11.463636363636365</v>
      </c>
      <c r="C5" s="155"/>
      <c r="E5" s="59" t="s">
        <v>171</v>
      </c>
      <c r="F5" s="56" t="s">
        <v>172</v>
      </c>
      <c r="G5" s="44">
        <v>14</v>
      </c>
      <c r="H5" s="129">
        <f>IF(B$17=0,0,G5/B$17)</f>
        <v>0.41176470588235292</v>
      </c>
      <c r="I5" s="90">
        <v>2</v>
      </c>
      <c r="K5" s="36">
        <v>3</v>
      </c>
      <c r="L5" s="95">
        <v>76</v>
      </c>
      <c r="N5" s="111" t="s">
        <v>133</v>
      </c>
      <c r="O5" s="118">
        <f t="shared" si="0"/>
        <v>-3345.4545454545455</v>
      </c>
      <c r="P5" s="115">
        <v>11</v>
      </c>
      <c r="Q5" s="99">
        <v>-36800</v>
      </c>
    </row>
    <row r="6" spans="1:17" x14ac:dyDescent="0.4">
      <c r="A6" s="51" t="s">
        <v>1</v>
      </c>
      <c r="B6" s="144">
        <f>IF(B$2=0,0,(B$7*1+B$8*2+B$9*3)/B$2)</f>
        <v>1.7272727272727273</v>
      </c>
      <c r="C6" s="145"/>
      <c r="E6" s="59" t="s">
        <v>72</v>
      </c>
      <c r="F6" s="56" t="s">
        <v>27</v>
      </c>
      <c r="G6" s="44">
        <v>10</v>
      </c>
      <c r="H6" s="129">
        <f>IF(B$17=0,0,G6/B$17)</f>
        <v>0.29411764705882354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6400</v>
      </c>
      <c r="P6" s="115">
        <v>11</v>
      </c>
      <c r="Q6" s="99">
        <v>70400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7</v>
      </c>
      <c r="H7" s="129">
        <f>IF(B$17=0,0,G7/B$17)</f>
        <v>0.20588235294117646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1837.5</v>
      </c>
      <c r="P7" s="116">
        <v>8</v>
      </c>
      <c r="Q7" s="100">
        <v>14700</v>
      </c>
    </row>
    <row r="8" spans="1:17" x14ac:dyDescent="0.4">
      <c r="A8" s="51" t="s">
        <v>3</v>
      </c>
      <c r="B8" s="44">
        <v>4</v>
      </c>
      <c r="C8" s="37">
        <f t="shared" si="1"/>
        <v>0.36363636363636365</v>
      </c>
      <c r="E8" s="59" t="s">
        <v>69</v>
      </c>
      <c r="F8" s="56" t="s">
        <v>24</v>
      </c>
      <c r="G8" s="44">
        <v>7</v>
      </c>
      <c r="H8" s="129">
        <f>IF(B$17=0,0,G8/B$17)</f>
        <v>0.20588235294117646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0.18181818181818182</v>
      </c>
      <c r="E9" s="59" t="s">
        <v>70</v>
      </c>
      <c r="F9" s="56" t="s">
        <v>25</v>
      </c>
      <c r="G9" s="44">
        <v>5</v>
      </c>
      <c r="H9" s="129">
        <f>IF(B$17=0,0,G9/B$17)</f>
        <v>0.14705882352941177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4</v>
      </c>
      <c r="H10" s="129">
        <f>IF(B$17=0,0,G10/B$17)</f>
        <v>0.11764705882352941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4.4400000000000004</v>
      </c>
      <c r="P10" s="114">
        <v>5</v>
      </c>
      <c r="Q10" s="102">
        <v>22.200000000000003</v>
      </c>
    </row>
    <row r="11" spans="1:17" x14ac:dyDescent="0.4">
      <c r="A11" s="52" t="s">
        <v>138</v>
      </c>
      <c r="B11" s="45">
        <v>2</v>
      </c>
      <c r="C11" s="38">
        <f t="shared" si="1"/>
        <v>0.18181818181818182</v>
      </c>
      <c r="E11" s="59" t="s">
        <v>65</v>
      </c>
      <c r="F11" s="56" t="s">
        <v>21</v>
      </c>
      <c r="G11" s="44">
        <v>3</v>
      </c>
      <c r="H11" s="129">
        <f>IF(B$17=0,0,G11/B$17)</f>
        <v>8.8235294117647065E-2</v>
      </c>
      <c r="I11" s="90">
        <v>8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86</v>
      </c>
      <c r="F12" s="56" t="s">
        <v>41</v>
      </c>
      <c r="G12" s="44">
        <v>2</v>
      </c>
      <c r="H12" s="129">
        <f>IF(B$17=0,0,G12/B$17)</f>
        <v>5.8823529411764705E-2</v>
      </c>
      <c r="I12" s="90">
        <v>3</v>
      </c>
      <c r="K12" s="36">
        <v>10</v>
      </c>
      <c r="L12" s="95">
        <v>162.80000000000001</v>
      </c>
      <c r="N12" s="112" t="s">
        <v>164</v>
      </c>
      <c r="O12" s="122">
        <f>IF(P12=0,0,Q12/P12)</f>
        <v>22.933333333333334</v>
      </c>
      <c r="P12" s="116">
        <v>3</v>
      </c>
      <c r="Q12" s="104">
        <v>68.8</v>
      </c>
    </row>
    <row r="13" spans="1:17" x14ac:dyDescent="0.4">
      <c r="A13" s="54" t="s">
        <v>121</v>
      </c>
      <c r="B13" s="47">
        <v>30</v>
      </c>
      <c r="C13" s="42">
        <f>IF(B$3=0,0,B13/B$3)</f>
        <v>0.29126213592233008</v>
      </c>
      <c r="E13" s="59" t="s">
        <v>89</v>
      </c>
      <c r="F13" s="56" t="s">
        <v>44</v>
      </c>
      <c r="G13" s="44">
        <v>2</v>
      </c>
      <c r="H13" s="129">
        <f>IF(B$17=0,0,G13/B$17)</f>
        <v>5.8823529411764705E-2</v>
      </c>
      <c r="I13" s="90">
        <v>10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</v>
      </c>
      <c r="C14" s="37">
        <f>IF(B$3=0,0,B14/B$3)</f>
        <v>0.14563106796116504</v>
      </c>
      <c r="E14" s="59" t="s">
        <v>75</v>
      </c>
      <c r="F14" s="56" t="s">
        <v>30</v>
      </c>
      <c r="G14" s="44">
        <v>1</v>
      </c>
      <c r="H14" s="129">
        <f>IF(B$17=0,0,G14/B$17)</f>
        <v>2.9411764705882353E-2</v>
      </c>
      <c r="I14" s="90">
        <v>1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0.66666666666666663</v>
      </c>
      <c r="E15" s="59" t="s">
        <v>81</v>
      </c>
      <c r="F15" s="56" t="s">
        <v>36</v>
      </c>
      <c r="G15" s="44">
        <v>1</v>
      </c>
      <c r="H15" s="129">
        <f>IF(B$17=0,0,G15/B$17)</f>
        <v>2.9411764705882353E-2</v>
      </c>
      <c r="I15" s="90">
        <v>4</v>
      </c>
      <c r="N15" s="110" t="s">
        <v>177</v>
      </c>
      <c r="O15" s="120">
        <f>IF(P15=0,0,Q15/P15)</f>
        <v>107.2</v>
      </c>
      <c r="P15" s="114">
        <v>2</v>
      </c>
      <c r="Q15" s="102">
        <v>214.4</v>
      </c>
    </row>
    <row r="16" spans="1:17" x14ac:dyDescent="0.4">
      <c r="A16" s="50" t="s">
        <v>124</v>
      </c>
      <c r="B16" s="43">
        <v>5</v>
      </c>
      <c r="C16" s="35">
        <f>IF(B$14=0,0,B16/B$14)</f>
        <v>0.33333333333333331</v>
      </c>
      <c r="E16" s="59" t="s">
        <v>85</v>
      </c>
      <c r="F16" s="56" t="s">
        <v>40</v>
      </c>
      <c r="G16" s="44">
        <v>1</v>
      </c>
      <c r="H16" s="129">
        <f>IF(B$17=0,0,G16/B$17)</f>
        <v>2.9411764705882353E-2</v>
      </c>
      <c r="I16" s="90">
        <v>1</v>
      </c>
      <c r="N16" s="111" t="s">
        <v>182</v>
      </c>
      <c r="O16" s="121">
        <f>IF(P16=0,0,Q16/P16)</f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34</v>
      </c>
      <c r="C17" s="35">
        <f>IF(B$3=0,0,B17/B$3)</f>
        <v>0.3300970873786408</v>
      </c>
      <c r="E17" s="59" t="s">
        <v>87</v>
      </c>
      <c r="F17" s="56" t="s">
        <v>42</v>
      </c>
      <c r="G17" s="44">
        <v>1</v>
      </c>
      <c r="H17" s="129">
        <f>IF(B$17=0,0,G17/B$17)</f>
        <v>2.9411764705882353E-2</v>
      </c>
      <c r="I17" s="90">
        <v>1</v>
      </c>
      <c r="N17" s="111" t="s">
        <v>127</v>
      </c>
      <c r="O17" s="121">
        <f>IF(P17=0,0,Q17/P17)</f>
        <v>22.6</v>
      </c>
      <c r="P17" s="115">
        <v>1</v>
      </c>
      <c r="Q17" s="103">
        <v>22.6</v>
      </c>
    </row>
    <row r="18" spans="1:17" x14ac:dyDescent="0.4">
      <c r="A18" s="51" t="s">
        <v>12</v>
      </c>
      <c r="B18" s="44">
        <v>18</v>
      </c>
      <c r="C18" s="37">
        <f>IF(B$17=0,0,B18/B$17)</f>
        <v>0.52941176470588236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N18" s="111" t="s">
        <v>178</v>
      </c>
      <c r="O18" s="121">
        <f>IF(P18=0,0,Q18/P18)</f>
        <v>15.5</v>
      </c>
      <c r="P18" s="115">
        <v>1</v>
      </c>
      <c r="Q18" s="103">
        <v>15.5</v>
      </c>
    </row>
    <row r="19" spans="1:17" x14ac:dyDescent="0.4">
      <c r="A19" s="51" t="s">
        <v>11</v>
      </c>
      <c r="B19" s="44">
        <v>16</v>
      </c>
      <c r="C19" s="37">
        <f>IF(B$17=0,0,B19/B$17)</f>
        <v>0.47058823529411764</v>
      </c>
      <c r="E19" s="59" t="s">
        <v>74</v>
      </c>
      <c r="F19" s="56" t="s">
        <v>29</v>
      </c>
      <c r="G19" s="44">
        <v>0</v>
      </c>
      <c r="H19" s="129">
        <f>IF(B$17=0,0,G19/B$17)</f>
        <v>0</v>
      </c>
      <c r="I19" s="90">
        <v>5</v>
      </c>
      <c r="N19" s="111" t="s">
        <v>179</v>
      </c>
      <c r="O19" s="121">
        <f>IF(P19=0,0,Q19/P19)</f>
        <v>11.46</v>
      </c>
      <c r="P19" s="115">
        <v>5</v>
      </c>
      <c r="Q19" s="103">
        <v>57.300000000000004</v>
      </c>
    </row>
    <row r="20" spans="1:17" x14ac:dyDescent="0.4">
      <c r="A20" s="51" t="s">
        <v>13</v>
      </c>
      <c r="B20" s="44">
        <v>12</v>
      </c>
      <c r="C20" s="37">
        <f>IF(B$3=0,0,B20/B$3)</f>
        <v>0.11650485436893204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N20" s="111" t="s">
        <v>166</v>
      </c>
      <c r="O20" s="121">
        <f>IF(P20=0,0,Q20/P20)</f>
        <v>10.825000000000001</v>
      </c>
      <c r="P20" s="115">
        <v>4</v>
      </c>
      <c r="Q20" s="103">
        <v>43.300000000000004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78</v>
      </c>
      <c r="F22" s="56" t="s">
        <v>33</v>
      </c>
      <c r="G22" s="44">
        <v>0</v>
      </c>
      <c r="H22" s="129">
        <f>IF(B$17=0,0,G22/B$17)</f>
        <v>0</v>
      </c>
      <c r="I22" s="90">
        <v>7</v>
      </c>
      <c r="N22" s="111" t="s">
        <v>126</v>
      </c>
      <c r="O22" s="121">
        <f>IF(P22=0,0,Q22/P22)</f>
        <v>-49.733333333333327</v>
      </c>
      <c r="P22" s="115">
        <v>3</v>
      </c>
      <c r="Q22" s="103">
        <v>-149.19999999999999</v>
      </c>
    </row>
    <row r="23" spans="1:17" x14ac:dyDescent="0.4">
      <c r="A23" s="51" t="s">
        <v>5</v>
      </c>
      <c r="B23" s="48">
        <f>IF(B$17=0,0,C23/B$17)</f>
        <v>7779.411764705882</v>
      </c>
      <c r="C23" s="39">
        <v>264500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6</v>
      </c>
    </row>
    <row r="24" spans="1:17" x14ac:dyDescent="0.4">
      <c r="A24" s="52" t="s">
        <v>216</v>
      </c>
      <c r="B24" s="136">
        <f>IF($B$17-B$16=0,0,C24/($B$17-B$16))</f>
        <v>8072.4137931034484</v>
      </c>
      <c r="C24" s="137">
        <v>234100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6080</v>
      </c>
      <c r="C25" s="137">
        <v>30400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-6041.666666666667</v>
      </c>
      <c r="C26" s="137">
        <v>-72500</v>
      </c>
      <c r="E26" s="59" t="s">
        <v>83</v>
      </c>
      <c r="F26" s="56" t="s">
        <v>38</v>
      </c>
      <c r="G26" s="44">
        <v>0</v>
      </c>
      <c r="H26" s="129">
        <f>IF(B$17=0,0,G26/B$17)</f>
        <v>0</v>
      </c>
      <c r="I26" s="90">
        <v>10</v>
      </c>
    </row>
    <row r="27" spans="1:17" x14ac:dyDescent="0.4">
      <c r="A27" s="86" t="s">
        <v>140</v>
      </c>
      <c r="B27" s="142">
        <v>7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95200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tabSelected="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5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6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1</v>
      </c>
      <c r="N15" s="110" t="s">
        <v>182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1</v>
      </c>
      <c r="N16" s="111" t="s">
        <v>179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5</v>
      </c>
      <c r="N17" s="111" t="s">
        <v>181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5</v>
      </c>
      <c r="N18" s="111" t="s">
        <v>178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7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9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3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3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6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9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2019-10-15T07:24:13Z</dcterms:modified>
</cp:coreProperties>
</file>