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CA9DB302-9FE6-4A7D-A457-93F338BF1FF1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1" i="5857" l="1"/>
  <c r="O16" i="5865"/>
  <c r="O15" i="5865" l="1"/>
  <c r="O19" i="5873"/>
  <c r="O15" i="5863" l="1"/>
  <c r="O20" i="5869"/>
  <c r="O16" i="5873" l="1"/>
  <c r="O22" i="5863"/>
  <c r="O20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8" i="5863"/>
  <c r="O19" i="5861" l="1"/>
  <c r="O21" i="5865"/>
  <c r="O19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6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6" i="5857"/>
  <c r="O17" i="5861"/>
  <c r="O16" i="5863"/>
  <c r="O20" i="5863"/>
  <c r="O19" i="5857"/>
  <c r="O18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5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19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0" i="5869"/>
  <c r="H6" i="5869"/>
  <c r="H11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20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8" i="5855"/>
  <c r="O19" i="5863"/>
  <c r="O17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1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3" i="5867"/>
  <c r="H24" i="5867"/>
  <c r="H33" i="5867"/>
  <c r="H26" i="5867"/>
  <c r="H38" i="5867"/>
  <c r="H27" i="5867"/>
  <c r="H45" i="5867"/>
  <c r="H49" i="5867"/>
  <c r="H5" i="5867"/>
  <c r="H8" i="5867"/>
  <c r="H22" i="5867"/>
  <c r="H29" i="5867"/>
  <c r="C19" i="5867"/>
  <c r="H14" i="5867"/>
  <c r="B24" i="5867"/>
  <c r="H35" i="5867"/>
  <c r="H39" i="5867"/>
  <c r="H42" i="5867"/>
  <c r="H46" i="5867"/>
  <c r="H50" i="5867"/>
  <c r="H52" i="5867"/>
  <c r="H12" i="5867"/>
  <c r="H7" i="5867"/>
  <c r="H9" i="5867"/>
  <c r="H21" i="5867"/>
  <c r="H15" i="5867"/>
  <c r="H19" i="5867"/>
  <c r="H32" i="5867"/>
  <c r="H13" i="5867"/>
  <c r="H25" i="5867"/>
  <c r="H20" i="5867"/>
  <c r="H36" i="5867"/>
  <c r="H40" i="5867"/>
  <c r="H43" i="5867"/>
  <c r="H47" i="5867"/>
  <c r="H2" i="5865"/>
  <c r="H3" i="5865"/>
  <c r="H4" i="5865"/>
  <c r="H11" i="5865"/>
  <c r="H9" i="5865"/>
  <c r="C17" i="5865"/>
  <c r="H14" i="5865"/>
  <c r="H42" i="5865"/>
  <c r="H38" i="5865"/>
  <c r="H20" i="5865"/>
  <c r="H7" i="5865"/>
  <c r="H27" i="5865"/>
  <c r="C18" i="5865"/>
  <c r="B23" i="5865"/>
  <c r="H46" i="5865"/>
  <c r="H52" i="5865"/>
  <c r="H29" i="5865"/>
  <c r="H10" i="5865"/>
  <c r="H13" i="5865"/>
  <c r="H5" i="5865"/>
  <c r="H19" i="5865"/>
  <c r="H28" i="5865"/>
  <c r="H21" i="5865"/>
  <c r="C19" i="5865"/>
  <c r="B24" i="5865"/>
  <c r="H35" i="5865"/>
  <c r="H50" i="5865"/>
  <c r="H22" i="5865"/>
  <c r="H16" i="5865"/>
  <c r="H32" i="5865"/>
  <c r="H15" i="5865"/>
  <c r="H34" i="5865"/>
  <c r="H18" i="5865"/>
  <c r="H36" i="5865"/>
  <c r="H39" i="5865"/>
  <c r="H43" i="5865"/>
  <c r="H47" i="5865"/>
  <c r="H51" i="5865"/>
  <c r="H8" i="5865"/>
  <c r="H17" i="5865"/>
  <c r="H37" i="5865"/>
  <c r="H40" i="5865"/>
  <c r="H44" i="5865"/>
  <c r="H48" i="5865"/>
  <c r="H12" i="5865"/>
  <c r="H30" i="5865"/>
  <c r="H31" i="5865"/>
  <c r="H23" i="5865"/>
  <c r="H33" i="5865"/>
  <c r="H24" i="5865"/>
  <c r="H25" i="5865"/>
  <c r="H26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0" i="5863"/>
  <c r="H18" i="5863"/>
  <c r="C17" i="5863"/>
  <c r="B24" i="5863"/>
  <c r="H11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7" i="5855"/>
  <c r="O18" i="5857"/>
  <c r="O17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21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6" i="5855"/>
  <c r="H24" i="5857"/>
  <c r="H5" i="5857"/>
  <c r="H12" i="5861"/>
  <c r="C17" i="5861"/>
  <c r="H28" i="5861"/>
  <c r="H33" i="5861"/>
  <c r="H49" i="5861"/>
  <c r="B24" i="5861"/>
  <c r="H38" i="5861"/>
  <c r="H46" i="5861"/>
  <c r="H52" i="5861"/>
  <c r="H10" i="5861"/>
  <c r="H6" i="5861"/>
  <c r="H11" i="5861"/>
  <c r="H20" i="5861"/>
  <c r="H18" i="5861"/>
  <c r="H17" i="5861"/>
  <c r="H25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4" i="5861"/>
  <c r="C19" i="5861"/>
  <c r="H14" i="5861"/>
  <c r="H35" i="5861"/>
  <c r="H42" i="5861"/>
  <c r="H50" i="5861"/>
  <c r="H7" i="5861"/>
  <c r="H23" i="5861"/>
  <c r="H27" i="5861"/>
  <c r="H15" i="5861"/>
  <c r="C18" i="5861"/>
  <c r="B23" i="5861"/>
  <c r="H8" i="5861"/>
  <c r="H22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3" i="5855"/>
  <c r="C18" i="5855"/>
  <c r="H39" i="5855"/>
  <c r="H15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<sst xmlns="http://schemas.openxmlformats.org/spreadsheetml/2006/main" count="2870" uniqueCount="252">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</sst>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全体!$K$2:$K$605</c:f>
              <c:numCache>
                <c:formatCode>General</c:formatCode>
                <c:ptCount val="6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</c:numCache>
            </c:numRef>
          </c:xVal>
          <c:yVal>
            <c:numRef>
              <c:f>全体!$L$2:$L$605</c:f>
              <c:numCache>
                <c:formatCode>\+0.0;\-0.0;\±0</c:formatCode>
                <c:ptCount val="60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-21.666666666666668</c:v>
                </c:pt>
                <c:pt idx="1">
                  <c:v>8.5470085470085468</c:v>
                </c:pt>
                <c:pt idx="2">
                  <c:v>-16.216216216216218</c:v>
                </c:pt>
                <c:pt idx="3">
                  <c:v>11.494252873563218</c:v>
                </c:pt>
                <c:pt idx="4">
                  <c:v>10.416666666666666</c:v>
                </c:pt>
                <c:pt idx="5">
                  <c:v>15.384615384615385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たかの!$L$2:$L$56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1235.1851851851852</c:v>
                </c:pt>
                <c:pt idx="1">
                  <c:v>-1107.5471698113208</c:v>
                </c:pt>
                <c:pt idx="2">
                  <c:v>-1900</c:v>
                </c:pt>
                <c:pt idx="3">
                  <c:v>-1622</c:v>
                </c:pt>
                <c:pt idx="4">
                  <c:v>-285.71428571428572</c:v>
                </c:pt>
                <c:pt idx="5">
                  <c:v>-1839.0243902439024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だいち!$K$2:$K$124</c:f>
              <c:numCache>
                <c:formatCode>General</c:formatCode>
                <c:ptCount val="1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</c:numCache>
            </c:numRef>
          </c:xVal>
          <c:yVal>
            <c:numRef>
              <c:f>だいち!$L$2:$L$124</c:f>
              <c:numCache>
                <c:formatCode>\+0.0;\-0.0;\±0</c:formatCode>
                <c:ptCount val="12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1395.8677685950413</c:v>
                </c:pt>
                <c:pt idx="1">
                  <c:v>941.52542372881351</c:v>
                </c:pt>
                <c:pt idx="2">
                  <c:v>951.75438596491233</c:v>
                </c:pt>
                <c:pt idx="3">
                  <c:v>307.61904761904759</c:v>
                </c:pt>
                <c:pt idx="4">
                  <c:v>1975.5102040816328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ただ!$L$2:$L$113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-1837.2727272727273</c:v>
                </c:pt>
                <c:pt idx="1">
                  <c:v>1638.3177570093458</c:v>
                </c:pt>
                <c:pt idx="2">
                  <c:v>-92</c:v>
                </c:pt>
                <c:pt idx="3">
                  <c:v>738.29787234042556</c:v>
                </c:pt>
                <c:pt idx="4">
                  <c:v>-911.62790697674416</c:v>
                </c:pt>
                <c:pt idx="5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りくと!$K$2:$K$72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りくと!$L$2:$L$72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-33.333333333333336</c:v>
                </c:pt>
                <c:pt idx="1">
                  <c:v>-869.11764705882354</c:v>
                </c:pt>
                <c:pt idx="2">
                  <c:v>846.03174603174602</c:v>
                </c:pt>
                <c:pt idx="3">
                  <c:v>-1324.1935483870968</c:v>
                </c:pt>
                <c:pt idx="4">
                  <c:v>-3210.1694915254238</c:v>
                </c:pt>
                <c:pt idx="5">
                  <c:v>-1372.5490196078431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1264.4736842105262</c:v>
                </c:pt>
                <c:pt idx="1">
                  <c:v>-2520.5479452054797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-83.720930232558146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912.5</c:v>
                </c:pt>
                <c:pt idx="1">
                  <c:v>652.68817204301081</c:v>
                </c:pt>
                <c:pt idx="2">
                  <c:v>-358.62068965517244</c:v>
                </c:pt>
                <c:pt idx="3">
                  <c:v>64.556962025316452</c:v>
                </c:pt>
                <c:pt idx="4">
                  <c:v>-671.01449275362324</c:v>
                </c:pt>
                <c:pt idx="5">
                  <c:v>-579.66101694915255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のり!$L$2:$L$43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-2853.6585365853657</c:v>
                </c:pt>
                <c:pt idx="1">
                  <c:v>-182.92682926829269</c:v>
                </c:pt>
                <c:pt idx="2">
                  <c:v>-1695.1219512195121</c:v>
                </c:pt>
                <c:pt idx="3">
                  <c:v>-2732.4324324324325</c:v>
                </c:pt>
                <c:pt idx="4">
                  <c:v>-1362.8571428571429</c:v>
                </c:pt>
                <c:pt idx="5">
                  <c:v>-3571.4285714285716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れんたろう2!$B$3:$B$79</c:f>
              <c:numCache>
                <c:formatCode>\+0.0;\-0.0;\±0</c:formatCode>
                <c:ptCount val="7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れんたろう2!$C$3:$C$79</c:f>
              <c:numCache>
                <c:formatCode>\+0.0;\-0.0;\±0</c:formatCode>
                <c:ptCount val="77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248423134860200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れんたろう2!$D$3:$D$79</c:f>
              <c:numCache>
                <c:formatCode>0.00\ "位"</c:formatCode>
                <c:ptCount val="77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れんたろう2!$E$3:$E$79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れんたろう2!$F$3:$F$79</c:f>
              <c:numCache>
                <c:formatCode>0.0%</c:formatCode>
                <c:ptCount val="7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れんたろう2!$G$3:$G$79</c:f>
              <c:numCache>
                <c:formatCode>0.0%</c:formatCode>
                <c:ptCount val="77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8729778310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れんたろう2!$H$3:$H$79</c:f>
              <c:numCache>
                <c:formatCode>0.0%</c:formatCode>
                <c:ptCount val="77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17155981625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れんたろう2!$I$3:$I$79</c:f>
              <c:numCache>
                <c:formatCode>0</c:formatCode>
                <c:ptCount val="77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88.27913279132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れんたろう2!$J$3:$J$79</c:f>
              <c:numCache>
                <c:formatCode>0</c:formatCode>
                <c:ptCount val="77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23.25581395348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れんたろう2!$K$3:$K$79</c:f>
              <c:numCache>
                <c:formatCode>0.0%</c:formatCode>
                <c:ptCount val="7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8441127694859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れんたろう2!$L$3:$L$79</c:f>
              <c:numCache>
                <c:formatCode>0.0%</c:formatCode>
                <c:ptCount val="7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0.22</c:v>
                </c:pt>
                <c:pt idx="51">
                  <c:v>0.21568627450980393</c:v>
                </c:pt>
                <c:pt idx="52">
                  <c:v>0.21153846153846154</c:v>
                </c:pt>
                <c:pt idx="53">
                  <c:v>0.20754716981132076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  <c:pt idx="67">
                  <c:v>0.17910447761194029</c:v>
                </c:pt>
                <c:pt idx="68">
                  <c:v>0.19117647058823528</c:v>
                </c:pt>
                <c:pt idx="69">
                  <c:v>0.18840579710144928</c:v>
                </c:pt>
                <c:pt idx="70">
                  <c:v>0.18571428571428572</c:v>
                </c:pt>
                <c:pt idx="71">
                  <c:v>0.18309859154929578</c:v>
                </c:pt>
                <c:pt idx="72">
                  <c:v>0.19444444444444445</c:v>
                </c:pt>
                <c:pt idx="73">
                  <c:v>0.19178082191780821</c:v>
                </c:pt>
                <c:pt idx="74">
                  <c:v>0.1891891891891892</c:v>
                </c:pt>
                <c:pt idx="75">
                  <c:v>0.18666666666666668</c:v>
                </c:pt>
                <c:pt idx="76">
                  <c:v>0.18421052631578946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844112769485903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れんたろう2!$M$3:$M$79</c:f>
              <c:numCache>
                <c:formatCode>0.0%</c:formatCode>
                <c:ptCount val="77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64489714399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れんたろう2!$N$3:$N$79</c:f>
              <c:numCache>
                <c:formatCode>0.0%</c:formatCode>
                <c:ptCount val="77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9279009386858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れんたろう2!$O$3:$O$79</c:f>
              <c:numCache>
                <c:formatCode>0.0%</c:formatCode>
                <c:ptCount val="77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8267716535433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れんたろう2!$P$3:$P$79</c:f>
              <c:numCache>
                <c:formatCode>0.0%</c:formatCode>
                <c:ptCount val="77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202090592334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れんたろう2!$A$3:$A$79</c:f>
              <c:numCache>
                <c:formatCode>0\ "回"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れんたろう2!$Q$3:$Q$79</c:f>
              <c:numCache>
                <c:formatCode>0.0%</c:formatCode>
                <c:ptCount val="77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05691056910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0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9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241</v>
      </c>
      <c r="B50" s="29">
        <v>43773.722453703704</v>
      </c>
      <c r="C50" s="28" t="s">
        <v>128</v>
      </c>
    </row>
    <row r="51" spans="1:9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9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244</v>
      </c>
      <c r="B53" s="29">
        <v>43781.637499999997</v>
      </c>
      <c r="C53" s="28" t="s">
        <v>128</v>
      </c>
    </row>
    <row r="54" spans="1:9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9" x14ac:dyDescent="0.4">
      <c r="A56" s="28" t="s">
        <v>247</v>
      </c>
      <c r="B56" s="29">
        <v>43783.744745370372</v>
      </c>
      <c r="C56" s="28" t="s">
        <v>128</v>
      </c>
    </row>
    <row r="57" spans="1:9" x14ac:dyDescent="0.4">
      <c r="A57" s="28" t="s">
        <v>248</v>
      </c>
      <c r="B57" s="29">
        <v>43784.974247685182</v>
      </c>
      <c r="C57" s="28" t="s">
        <v>128</v>
      </c>
    </row>
    <row r="58" spans="1:9" x14ac:dyDescent="0.4">
      <c r="A58" s="28" t="s">
        <v>249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250</v>
      </c>
      <c r="B59" s="29">
        <v>43786.909467592595</v>
      </c>
      <c r="C59" s="28" t="s">
        <v>128</v>
      </c>
      <c r="D59" s="28" t="s">
        <v>129</v>
      </c>
      <c r="E59" s="28" t="s">
        <v>184</v>
      </c>
      <c r="F59" s="28" t="s">
        <v>185</v>
      </c>
      <c r="G59" s="28" t="s">
        <v>186</v>
      </c>
      <c r="H59" s="28" t="s">
        <v>187</v>
      </c>
      <c r="I59" s="28" t="s">
        <v>190</v>
      </c>
    </row>
    <row r="60" spans="1:9" x14ac:dyDescent="0.4">
      <c r="A60" s="28" t="s">
        <v>251</v>
      </c>
      <c r="B60" s="29">
        <v>43787.745706018519</v>
      </c>
      <c r="C60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603</v>
      </c>
    </row>
    <row r="2" spans="1:2" x14ac:dyDescent="0.4">
      <c r="A2" t="s">
        <v>166</v>
      </c>
      <c r="B2">
        <v>54</v>
      </c>
    </row>
    <row r="3" spans="1:2" x14ac:dyDescent="0.4">
      <c r="A3" t="s">
        <v>126</v>
      </c>
      <c r="B3">
        <v>122</v>
      </c>
    </row>
    <row r="4" spans="1:2" x14ac:dyDescent="0.4">
      <c r="A4" t="s">
        <v>127</v>
      </c>
      <c r="B4">
        <v>111</v>
      </c>
    </row>
    <row r="5" spans="1:2" x14ac:dyDescent="0.4">
      <c r="A5" t="s">
        <v>179</v>
      </c>
      <c r="B5">
        <v>70</v>
      </c>
    </row>
    <row r="6" spans="1:2" x14ac:dyDescent="0.4">
      <c r="A6" t="s">
        <v>177</v>
      </c>
      <c r="B6">
        <v>76</v>
      </c>
    </row>
    <row r="7" spans="1:2" x14ac:dyDescent="0.4">
      <c r="A7" t="s">
        <v>178</v>
      </c>
      <c r="B7">
        <v>96</v>
      </c>
    </row>
    <row r="8" spans="1:2" x14ac:dyDescent="0.4">
      <c r="A8" t="s">
        <v>182</v>
      </c>
      <c r="B8">
        <v>41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8" t="s">
        <v>6</v>
      </c>
      <c r="C1" s="159"/>
      <c r="D1" s="158" t="s">
        <v>7</v>
      </c>
      <c r="E1" s="159"/>
      <c r="F1" s="158" t="s">
        <v>15</v>
      </c>
      <c r="G1" s="159"/>
      <c r="H1" s="158" t="s">
        <v>14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16</v>
      </c>
      <c r="S1" s="159"/>
      <c r="T1" s="158" t="s">
        <v>17</v>
      </c>
      <c r="U1" s="159"/>
      <c r="V1" s="158" t="s">
        <v>139</v>
      </c>
      <c r="W1" s="159"/>
      <c r="X1" s="158" t="s">
        <v>122</v>
      </c>
      <c r="Y1" s="159"/>
      <c r="Z1" s="158" t="s">
        <v>119</v>
      </c>
      <c r="AA1" s="159"/>
      <c r="AB1" s="158" t="s">
        <v>125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68" t="s">
        <v>159</v>
      </c>
      <c r="B2" s="160"/>
      <c r="C2" s="161"/>
      <c r="D2" s="160"/>
      <c r="E2" s="161"/>
      <c r="F2" s="156">
        <v>0.99284852641218224</v>
      </c>
      <c r="G2" s="157"/>
      <c r="H2" s="156">
        <v>0.8809113720649886</v>
      </c>
      <c r="I2" s="157"/>
      <c r="J2" s="156">
        <v>0.92662428681953179</v>
      </c>
      <c r="K2" s="157"/>
      <c r="L2" s="156">
        <v>0.84548987110550178</v>
      </c>
      <c r="M2" s="157"/>
      <c r="N2" s="156">
        <v>0.55852250948985926</v>
      </c>
      <c r="O2" s="157"/>
      <c r="P2" s="156">
        <v>0.55570574297146436</v>
      </c>
      <c r="Q2" s="157"/>
      <c r="R2" s="156">
        <v>0.10653594909611785</v>
      </c>
      <c r="S2" s="157"/>
      <c r="T2" s="156">
        <v>0.56447622596145219</v>
      </c>
      <c r="U2" s="157"/>
      <c r="V2" s="156">
        <v>0.838380017922562</v>
      </c>
      <c r="W2" s="157"/>
      <c r="X2" s="156">
        <v>0.59605674276972176</v>
      </c>
      <c r="Y2" s="157"/>
      <c r="Z2" s="156">
        <v>-3.4106540413581132E-2</v>
      </c>
      <c r="AA2" s="157"/>
      <c r="AB2" s="156">
        <v>0.52531380633675684</v>
      </c>
      <c r="AC2" s="157"/>
      <c r="AD2" s="156">
        <v>0.35719359010396984</v>
      </c>
      <c r="AE2" s="157"/>
      <c r="AF2" s="156">
        <v>-0.10612503943770062</v>
      </c>
      <c r="AG2" s="157"/>
      <c r="AH2" s="156">
        <v>0.76274580779622037</v>
      </c>
      <c r="AI2" s="157"/>
    </row>
    <row r="3" spans="1:35" x14ac:dyDescent="0.4">
      <c r="A3" s="70">
        <v>1</v>
      </c>
      <c r="B3" s="71" t="s">
        <v>126</v>
      </c>
      <c r="C3" s="72">
        <v>1110.2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10798.275862068966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0.18421052631578946</v>
      </c>
      <c r="X3" s="73" t="s">
        <v>177</v>
      </c>
      <c r="Y3" s="76">
        <v>0.315359477124183</v>
      </c>
      <c r="Z3" s="73" t="s">
        <v>195</v>
      </c>
      <c r="AA3" s="76">
        <v>0.35483870967741937</v>
      </c>
      <c r="AB3" s="73" t="s">
        <v>126</v>
      </c>
      <c r="AC3" s="76">
        <v>0.60223048327137552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325.7000000000001</v>
      </c>
      <c r="D4" s="81" t="s">
        <v>126</v>
      </c>
      <c r="E4" s="93">
        <v>9.1</v>
      </c>
      <c r="F4" s="81" t="s">
        <v>126</v>
      </c>
      <c r="G4" s="82">
        <v>1.778688524590164</v>
      </c>
      <c r="H4" s="81" t="s">
        <v>126</v>
      </c>
      <c r="I4" s="83">
        <v>0.45901639344262296</v>
      </c>
      <c r="J4" s="81" t="s">
        <v>126</v>
      </c>
      <c r="K4" s="83">
        <v>0.23770491803278687</v>
      </c>
      <c r="L4" s="81" t="s">
        <v>126</v>
      </c>
      <c r="M4" s="84">
        <v>0.34510595358224017</v>
      </c>
      <c r="N4" s="81" t="s">
        <v>126</v>
      </c>
      <c r="O4" s="84">
        <v>0.12815338042381433</v>
      </c>
      <c r="P4" s="81" t="s">
        <v>127</v>
      </c>
      <c r="Q4" s="85">
        <v>8542.7561837455833</v>
      </c>
      <c r="R4" s="81" t="s">
        <v>166</v>
      </c>
      <c r="S4" s="85">
        <v>-7594.594594594595</v>
      </c>
      <c r="T4" s="81" t="s">
        <v>166</v>
      </c>
      <c r="U4" s="83">
        <v>3.7037037037037035E-2</v>
      </c>
      <c r="V4" s="81" t="s">
        <v>195</v>
      </c>
      <c r="W4" s="83">
        <v>0.14285714285714285</v>
      </c>
      <c r="X4" s="81" t="s">
        <v>179</v>
      </c>
      <c r="Y4" s="84">
        <v>0.28499156829679595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0.48648648648648651</v>
      </c>
      <c r="AF4" s="81" t="s">
        <v>177</v>
      </c>
      <c r="AG4" s="84">
        <v>0.48275862068965519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127</v>
      </c>
      <c r="C5" s="80">
        <v>85.999999999999787</v>
      </c>
      <c r="D5" s="81" t="s">
        <v>177</v>
      </c>
      <c r="E5" s="93">
        <v>4.2855263157894754</v>
      </c>
      <c r="F5" s="81" t="s">
        <v>177</v>
      </c>
      <c r="G5" s="82">
        <v>1.9210526315789473</v>
      </c>
      <c r="H5" s="81" t="s">
        <v>195</v>
      </c>
      <c r="I5" s="83">
        <v>0.42857142857142855</v>
      </c>
      <c r="J5" s="81" t="s">
        <v>178</v>
      </c>
      <c r="K5" s="83">
        <v>0.26041666666666669</v>
      </c>
      <c r="L5" s="81" t="s">
        <v>127</v>
      </c>
      <c r="M5" s="84">
        <v>0.30495689655172414</v>
      </c>
      <c r="N5" s="81" t="s">
        <v>178</v>
      </c>
      <c r="O5" s="84">
        <v>0.13403416557161629</v>
      </c>
      <c r="P5" s="81" t="s">
        <v>143</v>
      </c>
      <c r="Q5" s="85">
        <v>8488.2791327913274</v>
      </c>
      <c r="R5" s="81" t="s">
        <v>179</v>
      </c>
      <c r="S5" s="85">
        <v>-7667.226890756303</v>
      </c>
      <c r="T5" s="81" t="s">
        <v>126</v>
      </c>
      <c r="U5" s="83">
        <v>4.0983606557377046E-2</v>
      </c>
      <c r="V5" s="81" t="s">
        <v>181</v>
      </c>
      <c r="W5" s="83">
        <v>0.125</v>
      </c>
      <c r="X5" s="81" t="s">
        <v>126</v>
      </c>
      <c r="Y5" s="84">
        <v>0.27144298688193741</v>
      </c>
      <c r="Z5" s="81" t="s">
        <v>127</v>
      </c>
      <c r="AA5" s="84">
        <v>0.30926724137931033</v>
      </c>
      <c r="AB5" s="81" t="s">
        <v>178</v>
      </c>
      <c r="AC5" s="84">
        <v>0.58536585365853655</v>
      </c>
      <c r="AD5" s="81" t="s">
        <v>177</v>
      </c>
      <c r="AE5" s="84">
        <v>0.42201834862385323</v>
      </c>
      <c r="AF5" s="81" t="s">
        <v>182</v>
      </c>
      <c r="AG5" s="84">
        <v>0.48192771084337349</v>
      </c>
      <c r="AH5" s="81" t="s">
        <v>177</v>
      </c>
      <c r="AI5" s="88">
        <v>122100</v>
      </c>
    </row>
    <row r="6" spans="1:35" x14ac:dyDescent="0.4">
      <c r="A6" s="78">
        <v>4</v>
      </c>
      <c r="B6" s="79" t="s">
        <v>178</v>
      </c>
      <c r="C6" s="80">
        <v>52.29999999999999</v>
      </c>
      <c r="D6" s="81" t="s">
        <v>127</v>
      </c>
      <c r="E6" s="93">
        <v>0.77477477477477286</v>
      </c>
      <c r="F6" s="81" t="s">
        <v>127</v>
      </c>
      <c r="G6" s="82">
        <v>1.954954954954955</v>
      </c>
      <c r="H6" s="81" t="s">
        <v>177</v>
      </c>
      <c r="I6" s="83">
        <v>0.39473684210526316</v>
      </c>
      <c r="J6" s="81" t="s">
        <v>127</v>
      </c>
      <c r="K6" s="83">
        <v>0.30630630630630629</v>
      </c>
      <c r="L6" s="81" t="s">
        <v>143</v>
      </c>
      <c r="M6" s="84">
        <v>0.29478729778310364</v>
      </c>
      <c r="N6" s="81" t="s">
        <v>166</v>
      </c>
      <c r="O6" s="84">
        <v>0.15352697095435686</v>
      </c>
      <c r="P6" s="81" t="s">
        <v>181</v>
      </c>
      <c r="Q6" s="85">
        <v>8456.4516129032254</v>
      </c>
      <c r="R6" s="81" t="s">
        <v>126</v>
      </c>
      <c r="S6" s="85">
        <v>-7880.3149606299212</v>
      </c>
      <c r="T6" s="81" t="s">
        <v>178</v>
      </c>
      <c r="U6" s="83">
        <v>8.3333333333333329E-2</v>
      </c>
      <c r="V6" s="81" t="s">
        <v>126</v>
      </c>
      <c r="W6" s="83">
        <v>0.12295081967213115</v>
      </c>
      <c r="X6" s="81" t="s">
        <v>178</v>
      </c>
      <c r="Y6" s="84">
        <v>0.26938239159001315</v>
      </c>
      <c r="Z6" s="81" t="s">
        <v>166</v>
      </c>
      <c r="AA6" s="84">
        <v>0.23443983402489627</v>
      </c>
      <c r="AB6" s="81" t="s">
        <v>179</v>
      </c>
      <c r="AC6" s="84">
        <v>0.57396449704142016</v>
      </c>
      <c r="AD6" s="81" t="s">
        <v>182</v>
      </c>
      <c r="AE6" s="84">
        <v>0.41891891891891891</v>
      </c>
      <c r="AF6" s="81" t="s">
        <v>179</v>
      </c>
      <c r="AG6" s="84">
        <v>0.45783132530120479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178</v>
      </c>
      <c r="E7" s="93">
        <v>0.54479166666666656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177</v>
      </c>
      <c r="K7" s="83">
        <v>0.31578947368421051</v>
      </c>
      <c r="L7" s="81" t="s">
        <v>178</v>
      </c>
      <c r="M7" s="84">
        <v>0.29040735873850199</v>
      </c>
      <c r="N7" s="81" t="s">
        <v>143</v>
      </c>
      <c r="O7" s="84">
        <v>0.16317155981625725</v>
      </c>
      <c r="P7" s="81" t="s">
        <v>178</v>
      </c>
      <c r="Q7" s="85">
        <v>8432.1266968325799</v>
      </c>
      <c r="R7" s="81" t="s">
        <v>178</v>
      </c>
      <c r="S7" s="85">
        <v>-7909.8039215686276</v>
      </c>
      <c r="T7" s="81" t="s">
        <v>181</v>
      </c>
      <c r="U7" s="83">
        <v>8.3333333333333329E-2</v>
      </c>
      <c r="V7" s="81" t="s">
        <v>127</v>
      </c>
      <c r="W7" s="83">
        <v>0.10810810810810811</v>
      </c>
      <c r="X7" s="81" t="s">
        <v>222</v>
      </c>
      <c r="Y7" s="84">
        <v>0.26666666666666666</v>
      </c>
      <c r="Z7" s="81" t="s">
        <v>143</v>
      </c>
      <c r="AA7" s="84">
        <v>0.22927900938685838</v>
      </c>
      <c r="AB7" s="81" t="s">
        <v>143</v>
      </c>
      <c r="AC7" s="84">
        <v>0.55826771653543306</v>
      </c>
      <c r="AD7" s="81" t="s">
        <v>178</v>
      </c>
      <c r="AE7" s="84">
        <v>0.41317365269461076</v>
      </c>
      <c r="AF7" s="81" t="s">
        <v>178</v>
      </c>
      <c r="AG7" s="84">
        <v>0.45248868778280543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181</v>
      </c>
      <c r="C8" s="80">
        <v>2.1999999999999957</v>
      </c>
      <c r="D8" s="81" t="s">
        <v>181</v>
      </c>
      <c r="E8" s="93">
        <v>9.1666666666666494E-2</v>
      </c>
      <c r="F8" s="81" t="s">
        <v>143</v>
      </c>
      <c r="G8" s="82">
        <v>2</v>
      </c>
      <c r="H8" s="81" t="s">
        <v>127</v>
      </c>
      <c r="I8" s="83">
        <v>0.35135135135135137</v>
      </c>
      <c r="J8" s="81" t="s">
        <v>143</v>
      </c>
      <c r="K8" s="83">
        <v>0.33333333333333331</v>
      </c>
      <c r="L8" s="81" t="s">
        <v>177</v>
      </c>
      <c r="M8" s="84">
        <v>0.28431372549019607</v>
      </c>
      <c r="N8" s="81" t="s">
        <v>181</v>
      </c>
      <c r="O8" s="84">
        <v>0.16593886462882096</v>
      </c>
      <c r="P8" s="81" t="s">
        <v>126</v>
      </c>
      <c r="Q8" s="85">
        <v>8267.8362573099421</v>
      </c>
      <c r="R8" s="81" t="s">
        <v>143</v>
      </c>
      <c r="S8" s="85">
        <v>-7923.2558139534885</v>
      </c>
      <c r="T8" s="81" t="s">
        <v>179</v>
      </c>
      <c r="U8" s="83">
        <v>8.5714285714285715E-2</v>
      </c>
      <c r="V8" s="81" t="s">
        <v>143</v>
      </c>
      <c r="W8" s="83">
        <v>9.7844112769485903E-2</v>
      </c>
      <c r="X8" s="81" t="s">
        <v>181</v>
      </c>
      <c r="Y8" s="84">
        <v>0.26637554585152839</v>
      </c>
      <c r="Z8" s="81" t="s">
        <v>126</v>
      </c>
      <c r="AA8" s="84">
        <v>0.22401614530776992</v>
      </c>
      <c r="AB8" s="81" t="s">
        <v>177</v>
      </c>
      <c r="AC8" s="84">
        <v>0.54922279792746109</v>
      </c>
      <c r="AD8" s="81" t="s">
        <v>179</v>
      </c>
      <c r="AE8" s="84">
        <v>0.41228070175438597</v>
      </c>
      <c r="AF8" s="81" t="s">
        <v>143</v>
      </c>
      <c r="AG8" s="84">
        <v>0.44105691056910568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143</v>
      </c>
      <c r="C9" s="80">
        <v>-4.9737991503207013E-14</v>
      </c>
      <c r="D9" s="81" t="s">
        <v>143</v>
      </c>
      <c r="E9" s="93">
        <v>-8.2484231348602006E-17</v>
      </c>
      <c r="F9" s="81" t="s">
        <v>178</v>
      </c>
      <c r="G9" s="82">
        <v>2.0104166666666665</v>
      </c>
      <c r="H9" s="81" t="s">
        <v>143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0.2799325463743676</v>
      </c>
      <c r="N9" s="81" t="s">
        <v>177</v>
      </c>
      <c r="O9" s="84">
        <v>0.16993464052287582</v>
      </c>
      <c r="P9" s="81" t="s">
        <v>179</v>
      </c>
      <c r="Q9" s="85">
        <v>8094.5783132530123</v>
      </c>
      <c r="R9" s="81" t="s">
        <v>222</v>
      </c>
      <c r="S9" s="85">
        <v>-8000</v>
      </c>
      <c r="T9" s="81" t="s">
        <v>143</v>
      </c>
      <c r="U9" s="83">
        <v>9.7844112769485903E-2</v>
      </c>
      <c r="V9" s="81" t="s">
        <v>178</v>
      </c>
      <c r="W9" s="83">
        <v>9.375E-2</v>
      </c>
      <c r="X9" s="81" t="s">
        <v>143</v>
      </c>
      <c r="Y9" s="84">
        <v>0.2536448971439984</v>
      </c>
      <c r="Z9" s="81" t="s">
        <v>182</v>
      </c>
      <c r="AA9" s="84">
        <v>0.22155688622754491</v>
      </c>
      <c r="AB9" s="81" t="s">
        <v>195</v>
      </c>
      <c r="AC9" s="84">
        <v>0.53333333333333333</v>
      </c>
      <c r="AD9" s="81" t="s">
        <v>143</v>
      </c>
      <c r="AE9" s="84">
        <v>0.41202090592334495</v>
      </c>
      <c r="AF9" s="81" t="s">
        <v>126</v>
      </c>
      <c r="AG9" s="84">
        <v>0.41812865497076024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179</v>
      </c>
      <c r="E10" s="93">
        <v>-6.5428571428571427</v>
      </c>
      <c r="F10" s="81" t="s">
        <v>195</v>
      </c>
      <c r="G10" s="82">
        <v>2.1428571428571428</v>
      </c>
      <c r="H10" s="81" t="s">
        <v>166</v>
      </c>
      <c r="I10" s="83">
        <v>0.31481481481481483</v>
      </c>
      <c r="J10" s="81" t="s">
        <v>179</v>
      </c>
      <c r="K10" s="83">
        <v>0.38571428571428573</v>
      </c>
      <c r="L10" s="81" t="s">
        <v>181</v>
      </c>
      <c r="M10" s="84">
        <v>0.27074235807860264</v>
      </c>
      <c r="N10" s="81" t="s">
        <v>182</v>
      </c>
      <c r="O10" s="84">
        <v>0.18862275449101795</v>
      </c>
      <c r="P10" s="81" t="s">
        <v>182</v>
      </c>
      <c r="Q10" s="85">
        <v>7730.1204819277109</v>
      </c>
      <c r="R10" s="81" t="s">
        <v>127</v>
      </c>
      <c r="S10" s="85">
        <v>-8149.1525423728817</v>
      </c>
      <c r="T10" s="81" t="s">
        <v>177</v>
      </c>
      <c r="U10" s="83">
        <v>0.10526315789473684</v>
      </c>
      <c r="V10" s="81" t="s">
        <v>166</v>
      </c>
      <c r="W10" s="83">
        <v>3.7037037037037035E-2</v>
      </c>
      <c r="X10" s="81" t="s">
        <v>195</v>
      </c>
      <c r="Y10" s="84">
        <v>0.24193548387096775</v>
      </c>
      <c r="Z10" s="81" t="s">
        <v>178</v>
      </c>
      <c r="AA10" s="84">
        <v>0.21944809461235218</v>
      </c>
      <c r="AB10" s="81" t="s">
        <v>182</v>
      </c>
      <c r="AC10" s="84">
        <v>0.52173913043478259</v>
      </c>
      <c r="AD10" s="81" t="s">
        <v>127</v>
      </c>
      <c r="AE10" s="84">
        <v>0.37630662020905925</v>
      </c>
      <c r="AF10" s="81" t="s">
        <v>166</v>
      </c>
      <c r="AG10" s="84">
        <v>0.41463414634146339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-415.00000000000011</v>
      </c>
      <c r="D11" s="81" t="s">
        <v>166</v>
      </c>
      <c r="E11" s="93">
        <v>-7.6851851851851869</v>
      </c>
      <c r="F11" s="81" t="s">
        <v>179</v>
      </c>
      <c r="G11" s="82">
        <v>2.157142857142857</v>
      </c>
      <c r="H11" s="81" t="s">
        <v>178</v>
      </c>
      <c r="I11" s="83">
        <v>0.25</v>
      </c>
      <c r="J11" s="81" t="s">
        <v>166</v>
      </c>
      <c r="K11" s="83">
        <v>0.48148148148148145</v>
      </c>
      <c r="L11" s="81" t="s">
        <v>166</v>
      </c>
      <c r="M11" s="84">
        <v>0.25518672199170123</v>
      </c>
      <c r="N11" s="81" t="s">
        <v>127</v>
      </c>
      <c r="O11" s="84">
        <v>0.19073275862068967</v>
      </c>
      <c r="P11" s="81" t="s">
        <v>195</v>
      </c>
      <c r="Q11" s="85">
        <v>7473.333333333333</v>
      </c>
      <c r="R11" s="81" t="s">
        <v>177</v>
      </c>
      <c r="S11" s="85">
        <v>-8158.6538461538457</v>
      </c>
      <c r="T11" s="81" t="s">
        <v>127</v>
      </c>
      <c r="U11" s="83">
        <v>0.13513513513513514</v>
      </c>
      <c r="V11" s="81" t="s">
        <v>179</v>
      </c>
      <c r="W11" s="83">
        <v>2.8571428571428571E-2</v>
      </c>
      <c r="X11" s="81" t="s">
        <v>127</v>
      </c>
      <c r="Y11" s="84">
        <v>0.23060344827586207</v>
      </c>
      <c r="Z11" s="81" t="s">
        <v>179</v>
      </c>
      <c r="AA11" s="84">
        <v>0.19224283305227655</v>
      </c>
      <c r="AB11" s="81" t="s">
        <v>127</v>
      </c>
      <c r="AC11" s="84">
        <v>0.5</v>
      </c>
      <c r="AD11" s="81" t="s">
        <v>166</v>
      </c>
      <c r="AE11" s="84">
        <v>0.36283185840707965</v>
      </c>
      <c r="AF11" s="81" t="s">
        <v>127</v>
      </c>
      <c r="AG11" s="84">
        <v>0.40636042402826855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-458</v>
      </c>
      <c r="D12" s="81" t="s">
        <v>195</v>
      </c>
      <c r="E12" s="93">
        <v>-14.971428571428573</v>
      </c>
      <c r="F12" s="81" t="s">
        <v>166</v>
      </c>
      <c r="G12" s="82">
        <v>2.1666666666666665</v>
      </c>
      <c r="H12" s="81" t="s">
        <v>179</v>
      </c>
      <c r="I12" s="83">
        <v>0.22857142857142856</v>
      </c>
      <c r="J12" s="81" t="s">
        <v>182</v>
      </c>
      <c r="K12" s="83">
        <v>0.56097560975609762</v>
      </c>
      <c r="L12" s="81" t="s">
        <v>182</v>
      </c>
      <c r="M12" s="84">
        <v>0.24850299401197604</v>
      </c>
      <c r="N12" s="81" t="s">
        <v>195</v>
      </c>
      <c r="O12" s="84">
        <v>0.19354838709677419</v>
      </c>
      <c r="P12" s="81" t="s">
        <v>222</v>
      </c>
      <c r="Q12" s="85">
        <v>7385.7142857142853</v>
      </c>
      <c r="R12" s="81" t="s">
        <v>182</v>
      </c>
      <c r="S12" s="85">
        <v>-8312.6984126984134</v>
      </c>
      <c r="T12" s="81" t="s">
        <v>182</v>
      </c>
      <c r="U12" s="83">
        <v>0.21951219512195122</v>
      </c>
      <c r="V12" s="81" t="s">
        <v>182</v>
      </c>
      <c r="W12" s="83">
        <v>2.4390243902439025E-2</v>
      </c>
      <c r="X12" s="81" t="s">
        <v>182</v>
      </c>
      <c r="Y12" s="84">
        <v>0.20658682634730538</v>
      </c>
      <c r="Z12" s="81" t="s">
        <v>177</v>
      </c>
      <c r="AA12" s="84">
        <v>0.1781045751633987</v>
      </c>
      <c r="AB12" s="81" t="s">
        <v>222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-624.80000000000007</v>
      </c>
      <c r="D13" s="81" t="s">
        <v>182</v>
      </c>
      <c r="E13" s="93">
        <v>-15.239024390243904</v>
      </c>
      <c r="F13" s="81" t="s">
        <v>182</v>
      </c>
      <c r="G13" s="82">
        <v>2.4146341463414633</v>
      </c>
      <c r="H13" s="81" t="s">
        <v>182</v>
      </c>
      <c r="I13" s="83">
        <v>0.14634146341463414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0.20067453625632378</v>
      </c>
      <c r="P13" s="81" t="s">
        <v>166</v>
      </c>
      <c r="Q13" s="85">
        <v>7054.4715447154467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0.14730290456431536</v>
      </c>
      <c r="Z13" s="81" t="s">
        <v>181</v>
      </c>
      <c r="AA13" s="84">
        <v>0.15283842794759825</v>
      </c>
      <c r="AB13" s="81" t="s">
        <v>166</v>
      </c>
      <c r="AC13" s="84">
        <v>0.49295774647887325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60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603</v>
      </c>
      <c r="C2" s="149"/>
      <c r="E2" s="58" t="s">
        <v>66</v>
      </c>
      <c r="F2" s="55" t="s">
        <v>22</v>
      </c>
      <c r="G2" s="43">
        <v>1139</v>
      </c>
      <c r="H2" s="128">
        <f>IF(B$17=0,0,G2/B$17)</f>
        <v>0.77168021680216803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-21.666666666666668</v>
      </c>
      <c r="P2" s="114">
        <v>600</v>
      </c>
      <c r="Q2" s="98">
        <v>-13000</v>
      </c>
    </row>
    <row r="3" spans="1:17" x14ac:dyDescent="0.4">
      <c r="A3" s="51" t="s">
        <v>8</v>
      </c>
      <c r="B3" s="150">
        <v>5007</v>
      </c>
      <c r="C3" s="151"/>
      <c r="E3" s="59" t="s">
        <v>72</v>
      </c>
      <c r="F3" s="56" t="s">
        <v>27</v>
      </c>
      <c r="G3" s="44">
        <v>787</v>
      </c>
      <c r="H3" s="129">
        <f>IF(B$17=0,0,G3/B$17)</f>
        <v>0.53319783197831983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8.5470085470085468</v>
      </c>
      <c r="P3" s="115">
        <v>585</v>
      </c>
      <c r="Q3" s="99">
        <v>5000</v>
      </c>
    </row>
    <row r="4" spans="1:17" x14ac:dyDescent="0.4">
      <c r="A4" s="51" t="s">
        <v>6</v>
      </c>
      <c r="B4" s="152">
        <v>-4.9737991503207013E-14</v>
      </c>
      <c r="C4" s="153"/>
      <c r="E4" s="59" t="s">
        <v>64</v>
      </c>
      <c r="F4" s="56" t="s">
        <v>20</v>
      </c>
      <c r="G4" s="44">
        <v>678</v>
      </c>
      <c r="H4" s="129">
        <f>IF(B$17=0,0,G4/B$17)</f>
        <v>0.45934959349593496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-16.216216216216218</v>
      </c>
      <c r="P4" s="115">
        <v>555</v>
      </c>
      <c r="Q4" s="99">
        <v>-9000</v>
      </c>
    </row>
    <row r="5" spans="1:17" x14ac:dyDescent="0.4">
      <c r="A5" s="51" t="s">
        <v>7</v>
      </c>
      <c r="B5" s="154">
        <f>IF(B$2=0,0,B$4/B$2)</f>
        <v>-8.2484231348602006E-17</v>
      </c>
      <c r="C5" s="155"/>
      <c r="E5" s="59" t="s">
        <v>171</v>
      </c>
      <c r="F5" s="56" t="s">
        <v>172</v>
      </c>
      <c r="G5" s="44">
        <v>594</v>
      </c>
      <c r="H5" s="129">
        <f>IF(B$17=0,0,G5/B$17)</f>
        <v>0.40243902439024393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11.494252873563218</v>
      </c>
      <c r="P5" s="115">
        <v>522</v>
      </c>
      <c r="Q5" s="99">
        <v>6000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461</v>
      </c>
      <c r="H6" s="129">
        <f>IF(B$17=0,0,G6/B$17)</f>
        <v>0.31233062330623307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10.416666666666666</v>
      </c>
      <c r="P6" s="115">
        <v>480</v>
      </c>
      <c r="Q6" s="99">
        <v>5000</v>
      </c>
    </row>
    <row r="7" spans="1:17" x14ac:dyDescent="0.4">
      <c r="A7" s="51" t="s">
        <v>2</v>
      </c>
      <c r="B7" s="44">
        <v>201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417</v>
      </c>
      <c r="H7" s="129">
        <f>IF(B$17=0,0,G7/B$17)</f>
        <v>0.28252032520325204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15.384615384615385</v>
      </c>
      <c r="P7" s="116">
        <v>390</v>
      </c>
      <c r="Q7" s="100">
        <v>6000</v>
      </c>
    </row>
    <row r="8" spans="1:17" x14ac:dyDescent="0.4">
      <c r="A8" s="51" t="s">
        <v>3</v>
      </c>
      <c r="B8" s="44">
        <v>201</v>
      </c>
      <c r="C8" s="37">
        <f t="shared" si="1"/>
        <v>0.33333333333333331</v>
      </c>
      <c r="E8" s="59" t="s">
        <v>69</v>
      </c>
      <c r="F8" s="56" t="s">
        <v>24</v>
      </c>
      <c r="G8" s="44">
        <v>221</v>
      </c>
      <c r="H8" s="129">
        <f>IF(B$17=0,0,G8/B$17)</f>
        <v>0.14972899728997291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201</v>
      </c>
      <c r="C9" s="38">
        <f t="shared" si="1"/>
        <v>0.33333333333333331</v>
      </c>
      <c r="E9" s="59" t="s">
        <v>89</v>
      </c>
      <c r="F9" s="56" t="s">
        <v>44</v>
      </c>
      <c r="G9" s="44">
        <v>199</v>
      </c>
      <c r="H9" s="129">
        <f>IF(B$17=0,0,G9/B$17)</f>
        <v>0.1348238482384824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59</v>
      </c>
      <c r="C10" s="38">
        <f t="shared" si="1"/>
        <v>9.7844112769485903E-2</v>
      </c>
      <c r="E10" s="59" t="s">
        <v>65</v>
      </c>
      <c r="F10" s="56" t="s">
        <v>21</v>
      </c>
      <c r="G10" s="44">
        <v>159</v>
      </c>
      <c r="H10" s="129">
        <f>IF(B$17=0,0,G10/B$17)</f>
        <v>0.10772357723577236</v>
      </c>
      <c r="I10" s="90">
        <v>7</v>
      </c>
      <c r="K10" s="36">
        <v>8</v>
      </c>
      <c r="L10" s="95">
        <v>-46.9</v>
      </c>
      <c r="N10" s="110" t="s">
        <v>162</v>
      </c>
      <c r="O10" s="120">
        <f>IF(P10=0,0,Q10/P10)</f>
        <v>-1.6587064676616921</v>
      </c>
      <c r="P10" s="114">
        <v>201</v>
      </c>
      <c r="Q10" s="102">
        <v>-333.40000000000009</v>
      </c>
    </row>
    <row r="11" spans="1:17" x14ac:dyDescent="0.4">
      <c r="A11" s="52" t="s">
        <v>138</v>
      </c>
      <c r="B11" s="45">
        <v>59</v>
      </c>
      <c r="C11" s="38">
        <f t="shared" si="1"/>
        <v>9.7844112769485903E-2</v>
      </c>
      <c r="E11" s="59" t="s">
        <v>70</v>
      </c>
      <c r="F11" s="56" t="s">
        <v>25</v>
      </c>
      <c r="G11" s="44">
        <v>142</v>
      </c>
      <c r="H11" s="129">
        <f>IF(B$17=0,0,G11/B$17)</f>
        <v>9.6205962059620592E-2</v>
      </c>
      <c r="I11" s="90">
        <v>7</v>
      </c>
      <c r="K11" s="36">
        <v>9</v>
      </c>
      <c r="L11" s="95">
        <v>0</v>
      </c>
      <c r="N11" s="111" t="s">
        <v>163</v>
      </c>
      <c r="O11" s="121">
        <f>IF(P11=0,0,Q11/P11)</f>
        <v>1.9213930348258703</v>
      </c>
      <c r="P11" s="115">
        <v>201</v>
      </c>
      <c r="Q11" s="103">
        <v>386.19999999999993</v>
      </c>
    </row>
    <row r="12" spans="1:17" x14ac:dyDescent="0.4">
      <c r="A12" s="53" t="s">
        <v>158</v>
      </c>
      <c r="B12" s="46">
        <v>60</v>
      </c>
      <c r="C12" s="40">
        <f t="shared" si="1"/>
        <v>9.950248756218906E-2</v>
      </c>
      <c r="E12" s="59" t="s">
        <v>71</v>
      </c>
      <c r="F12" s="56" t="s">
        <v>26</v>
      </c>
      <c r="G12" s="44">
        <v>116</v>
      </c>
      <c r="H12" s="129">
        <f>IF(B$17=0,0,G12/B$17)</f>
        <v>7.8590785907859076E-2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-0.26268656716417976</v>
      </c>
      <c r="P12" s="116">
        <v>201</v>
      </c>
      <c r="Q12" s="104">
        <v>-52.800000000000132</v>
      </c>
    </row>
    <row r="13" spans="1:17" x14ac:dyDescent="0.4">
      <c r="A13" s="54" t="s">
        <v>121</v>
      </c>
      <c r="B13" s="47">
        <v>1270</v>
      </c>
      <c r="C13" s="42">
        <f>IF(B$3=0,0,B13/B$3)</f>
        <v>0.2536448971439984</v>
      </c>
      <c r="E13" s="59" t="s">
        <v>83</v>
      </c>
      <c r="F13" s="56" t="s">
        <v>38</v>
      </c>
      <c r="G13" s="44">
        <v>80</v>
      </c>
      <c r="H13" s="129">
        <f>IF(B$17=0,0,G13/B$17)</f>
        <v>5.4200542005420058E-2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1148</v>
      </c>
      <c r="C14" s="37">
        <f>IF(B$3=0,0,B14/B$3)</f>
        <v>0.22927900938685838</v>
      </c>
      <c r="E14" s="59" t="s">
        <v>86</v>
      </c>
      <c r="F14" s="56" t="s">
        <v>41</v>
      </c>
      <c r="G14" s="44">
        <v>73</v>
      </c>
      <c r="H14" s="129">
        <f>IF(B$17=0,0,G14/B$17)</f>
        <v>4.9457994579945798E-2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709</v>
      </c>
      <c r="C15" s="35">
        <f>IF(B$13=0,0,B15/B$13)</f>
        <v>0.55826771653543306</v>
      </c>
      <c r="E15" s="59" t="s">
        <v>167</v>
      </c>
      <c r="F15" s="56" t="s">
        <v>168</v>
      </c>
      <c r="G15" s="44">
        <v>39</v>
      </c>
      <c r="H15" s="129">
        <f>IF(B$17=0,0,G15/B$17)</f>
        <v>2.6422764227642278E-2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22.858536585365837</v>
      </c>
      <c r="P15" s="114">
        <v>82</v>
      </c>
      <c r="Q15" s="102">
        <v>1874.3999999999985</v>
      </c>
    </row>
    <row r="16" spans="1:17" x14ac:dyDescent="0.4">
      <c r="A16" s="50" t="s">
        <v>124</v>
      </c>
      <c r="B16" s="43">
        <v>473</v>
      </c>
      <c r="C16" s="35">
        <f>IF(B$14=0,0,B16/B$14)</f>
        <v>0.41202090592334495</v>
      </c>
      <c r="E16" s="59" t="s">
        <v>78</v>
      </c>
      <c r="F16" s="56" t="s">
        <v>33</v>
      </c>
      <c r="G16" s="44">
        <v>37</v>
      </c>
      <c r="H16" s="129">
        <f>IF(B$17=0,0,G16/B$17)</f>
        <v>2.5067750677506776E-2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1476</v>
      </c>
      <c r="C17" s="35">
        <f>IF(B$3=0,0,B17/B$3)</f>
        <v>0.29478729778310364</v>
      </c>
      <c r="E17" s="59" t="s">
        <v>81</v>
      </c>
      <c r="F17" s="56" t="s">
        <v>36</v>
      </c>
      <c r="G17" s="44">
        <v>25</v>
      </c>
      <c r="H17" s="129">
        <f>IF(B$17=0,0,G17/B$17)</f>
        <v>1.6937669376693765E-2</v>
      </c>
      <c r="I17" s="90">
        <v>6</v>
      </c>
      <c r="K17" s="36">
        <v>15</v>
      </c>
      <c r="L17" s="95">
        <v>0</v>
      </c>
      <c r="N17" s="111" t="s">
        <v>166</v>
      </c>
      <c r="O17" s="121">
        <f>IF(P17=0,0,Q17/P17)</f>
        <v>11.527777777777775</v>
      </c>
      <c r="P17" s="115">
        <v>108</v>
      </c>
      <c r="Q17" s="103">
        <v>1244.9999999999998</v>
      </c>
    </row>
    <row r="18" spans="1:17" x14ac:dyDescent="0.4">
      <c r="A18" s="51" t="s">
        <v>12</v>
      </c>
      <c r="B18" s="44">
        <v>651</v>
      </c>
      <c r="C18" s="37">
        <f>IF(B$17=0,0,B18/B$17)</f>
        <v>0.44105691056910568</v>
      </c>
      <c r="E18" s="59" t="s">
        <v>91</v>
      </c>
      <c r="F18" s="56" t="s">
        <v>46</v>
      </c>
      <c r="G18" s="44">
        <v>21</v>
      </c>
      <c r="H18" s="129">
        <f>IF(B$17=0,0,G18/B$17)</f>
        <v>1.4227642276422764E-2</v>
      </c>
      <c r="I18" s="90">
        <v>4</v>
      </c>
      <c r="K18" s="36">
        <v>16</v>
      </c>
      <c r="L18" s="95">
        <v>-28.2</v>
      </c>
      <c r="N18" s="111" t="s">
        <v>179</v>
      </c>
      <c r="O18" s="121">
        <f>IF(P18=0,0,Q18/P18)</f>
        <v>9.8142857142857132</v>
      </c>
      <c r="P18" s="115">
        <v>140</v>
      </c>
      <c r="Q18" s="103">
        <v>1373.9999999999998</v>
      </c>
    </row>
    <row r="19" spans="1:17" x14ac:dyDescent="0.4">
      <c r="A19" s="51" t="s">
        <v>11</v>
      </c>
      <c r="B19" s="44">
        <v>825</v>
      </c>
      <c r="C19" s="37">
        <f>IF(B$17=0,0,B19/B$17)</f>
        <v>0.55894308943089432</v>
      </c>
      <c r="E19" s="59" t="s">
        <v>79</v>
      </c>
      <c r="F19" s="56" t="s">
        <v>34</v>
      </c>
      <c r="G19" s="44">
        <v>17</v>
      </c>
      <c r="H19" s="129">
        <f>IF(B$17=0,0,G19/B$17)</f>
        <v>1.1517615176151762E-2</v>
      </c>
      <c r="I19" s="90">
        <v>5</v>
      </c>
      <c r="K19" s="36">
        <v>17</v>
      </c>
      <c r="L19" s="95">
        <v>-20.5</v>
      </c>
      <c r="N19" s="111" t="s">
        <v>181</v>
      </c>
      <c r="O19" s="121">
        <f>IF(P19=0,0,Q19/P19)</f>
        <v>-0.13750000000000018</v>
      </c>
      <c r="P19" s="115">
        <v>48</v>
      </c>
      <c r="Q19" s="103">
        <v>-6.6000000000000085</v>
      </c>
    </row>
    <row r="20" spans="1:17" x14ac:dyDescent="0.4">
      <c r="A20" s="51" t="s">
        <v>13</v>
      </c>
      <c r="B20" s="44">
        <v>817</v>
      </c>
      <c r="C20" s="37">
        <f>IF(B$3=0,0,B20/B$3)</f>
        <v>0.16317155981625725</v>
      </c>
      <c r="E20" s="59" t="s">
        <v>75</v>
      </c>
      <c r="F20" s="56" t="s">
        <v>30</v>
      </c>
      <c r="G20" s="44">
        <v>10</v>
      </c>
      <c r="H20" s="129">
        <f>IF(B$17=0,0,G20/B$17)</f>
        <v>6.7750677506775072E-3</v>
      </c>
      <c r="I20" s="90">
        <v>5</v>
      </c>
      <c r="K20" s="36">
        <v>18</v>
      </c>
      <c r="L20" s="95">
        <v>0</v>
      </c>
      <c r="N20" s="111" t="s">
        <v>178</v>
      </c>
      <c r="O20" s="121">
        <f>IF(P20=0,0,Q20/P20)</f>
        <v>-0.81718750000000107</v>
      </c>
      <c r="P20" s="115">
        <v>192</v>
      </c>
      <c r="Q20" s="103">
        <v>-156.9000000000002</v>
      </c>
    </row>
    <row r="21" spans="1:17" x14ac:dyDescent="0.4">
      <c r="A21" s="51" t="s">
        <v>169</v>
      </c>
      <c r="B21" s="44">
        <v>7</v>
      </c>
      <c r="C21" s="131">
        <v>2</v>
      </c>
      <c r="E21" s="59" t="s">
        <v>92</v>
      </c>
      <c r="F21" s="56" t="s">
        <v>47</v>
      </c>
      <c r="G21" s="44">
        <v>9</v>
      </c>
      <c r="H21" s="129">
        <f>IF(B$17=0,0,G21/B$17)</f>
        <v>6.0975609756097563E-3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>IF(P21=0,0,Q21/P21)</f>
        <v>-1.1621621621621678</v>
      </c>
      <c r="P21" s="115">
        <v>222</v>
      </c>
      <c r="Q21" s="103">
        <v>-258.00000000000125</v>
      </c>
    </row>
    <row r="22" spans="1:17" x14ac:dyDescent="0.4">
      <c r="A22" s="51" t="s">
        <v>170</v>
      </c>
      <c r="B22" s="44">
        <v>31</v>
      </c>
      <c r="C22" s="131">
        <v>8</v>
      </c>
      <c r="E22" s="59" t="s">
        <v>74</v>
      </c>
      <c r="F22" s="56" t="s">
        <v>29</v>
      </c>
      <c r="G22" s="44">
        <v>6</v>
      </c>
      <c r="H22" s="129">
        <f>IF(B$17=0,0,G22/B$17)</f>
        <v>4.0650406504065045E-3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-6.428289473684206</v>
      </c>
      <c r="P22" s="115">
        <v>152</v>
      </c>
      <c r="Q22" s="103">
        <v>-977.09999999999934</v>
      </c>
    </row>
    <row r="23" spans="1:17" x14ac:dyDescent="0.4">
      <c r="A23" s="51" t="s">
        <v>5</v>
      </c>
      <c r="B23" s="48">
        <f>IF(B$17=0,0,C23/B$17)</f>
        <v>8488.2791327913274</v>
      </c>
      <c r="C23" s="39">
        <v>12528700</v>
      </c>
      <c r="E23" s="59" t="s">
        <v>73</v>
      </c>
      <c r="F23" s="56" t="s">
        <v>28</v>
      </c>
      <c r="G23" s="44">
        <v>5</v>
      </c>
      <c r="H23" s="129">
        <f>IF(B$17=0,0,G23/B$17)</f>
        <v>3.3875338753387536E-3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-13.65</v>
      </c>
      <c r="P23" s="115">
        <v>244</v>
      </c>
      <c r="Q23" s="103">
        <v>-3330.6</v>
      </c>
    </row>
    <row r="24" spans="1:17" x14ac:dyDescent="0.4">
      <c r="A24" s="52" t="s">
        <v>216</v>
      </c>
      <c r="B24" s="136">
        <f>IF($B$17-B$16=0,0,C24/($B$17-B$16))</f>
        <v>9058.6241276171477</v>
      </c>
      <c r="C24" s="137">
        <v>9085800</v>
      </c>
      <c r="E24" s="59" t="s">
        <v>77</v>
      </c>
      <c r="F24" s="56" t="s">
        <v>32</v>
      </c>
      <c r="G24" s="44">
        <v>5</v>
      </c>
      <c r="H24" s="129">
        <f>IF(B$17=0,0,G24/B$17)</f>
        <v>3.3875338753387536E-3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7278.8583509513746</v>
      </c>
      <c r="C25" s="137">
        <v>3442900</v>
      </c>
      <c r="E25" s="59" t="s">
        <v>85</v>
      </c>
      <c r="F25" s="56" t="s">
        <v>40</v>
      </c>
      <c r="G25" s="44">
        <v>5</v>
      </c>
      <c r="H25" s="129">
        <f>IF(B$17=0,0,G25/B$17)</f>
        <v>3.3875338753387536E-3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-7923.2558139534885</v>
      </c>
      <c r="C26" s="137">
        <v>-6473300</v>
      </c>
      <c r="E26" s="59" t="s">
        <v>88</v>
      </c>
      <c r="F26" s="56" t="s">
        <v>43</v>
      </c>
      <c r="G26" s="44">
        <v>5</v>
      </c>
      <c r="H26" s="129">
        <f>IF(B$17=0,0,G26/B$17)</f>
        <v>3.3875338753387536E-3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2.7100271002710027E-3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2.0325203252032522E-3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2.7960854803275414E-3</v>
      </c>
      <c r="E29" s="59" t="s">
        <v>95</v>
      </c>
      <c r="F29" s="56" t="s">
        <v>50</v>
      </c>
      <c r="G29" s="44">
        <v>3</v>
      </c>
      <c r="H29" s="129">
        <f>IF(B$17=0,0,G29/B$17)</f>
        <v>2.0325203252032522E-3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1.3550135501355014E-3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1.3550135501355014E-3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6.7750677506775068E-4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6.7750677506775068E-4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6.7750677506775068E-4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6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54</v>
      </c>
      <c r="C2" s="149"/>
      <c r="E2" s="58" t="s">
        <v>66</v>
      </c>
      <c r="F2" s="55" t="s">
        <v>22</v>
      </c>
      <c r="G2" s="43">
        <v>84</v>
      </c>
      <c r="H2" s="128">
        <f>IF(B$17=0,0,G2/B$17)</f>
        <v>0.68292682926829273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1235.1851851851852</v>
      </c>
      <c r="P2" s="114">
        <v>54</v>
      </c>
      <c r="Q2" s="98">
        <v>66700</v>
      </c>
    </row>
    <row r="3" spans="1:17" x14ac:dyDescent="0.4">
      <c r="A3" s="51" t="s">
        <v>8</v>
      </c>
      <c r="B3" s="150">
        <v>482</v>
      </c>
      <c r="C3" s="151"/>
      <c r="E3" s="59" t="s">
        <v>72</v>
      </c>
      <c r="F3" s="56" t="s">
        <v>27</v>
      </c>
      <c r="G3" s="44">
        <v>66</v>
      </c>
      <c r="H3" s="129">
        <f>IF(B$17=0,0,G3/B$17)</f>
        <v>0.53658536585365857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-1107.5471698113208</v>
      </c>
      <c r="P3" s="115">
        <v>53</v>
      </c>
      <c r="Q3" s="99">
        <v>-58700</v>
      </c>
    </row>
    <row r="4" spans="1:17" x14ac:dyDescent="0.4">
      <c r="A4" s="51" t="s">
        <v>6</v>
      </c>
      <c r="B4" s="152">
        <v>-415.00000000000011</v>
      </c>
      <c r="C4" s="153"/>
      <c r="E4" s="59" t="s">
        <v>171</v>
      </c>
      <c r="F4" s="56" t="s">
        <v>172</v>
      </c>
      <c r="G4" s="44">
        <v>47</v>
      </c>
      <c r="H4" s="129">
        <f>IF(B$17=0,0,G4/B$17)</f>
        <v>0.38211382113821141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0"/>
        <v>-1900</v>
      </c>
      <c r="P4" s="115">
        <v>51</v>
      </c>
      <c r="Q4" s="99">
        <v>-96900</v>
      </c>
    </row>
    <row r="5" spans="1:17" x14ac:dyDescent="0.4">
      <c r="A5" s="51" t="s">
        <v>7</v>
      </c>
      <c r="B5" s="154">
        <f>IF(B$2=0,0,B$4/B$2)</f>
        <v>-7.6851851851851869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0.27642276422764228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-1622</v>
      </c>
      <c r="P5" s="115">
        <v>50</v>
      </c>
      <c r="Q5" s="99">
        <v>-81100</v>
      </c>
    </row>
    <row r="6" spans="1:17" x14ac:dyDescent="0.4">
      <c r="A6" s="51" t="s">
        <v>1</v>
      </c>
      <c r="B6" s="144">
        <f>IF(B$2=0,0,(B$7*1+B$8*2+B$9*3)/B$2)</f>
        <v>2.1666666666666665</v>
      </c>
      <c r="C6" s="145"/>
      <c r="E6" s="59" t="s">
        <v>68</v>
      </c>
      <c r="F6" s="56" t="s">
        <v>12</v>
      </c>
      <c r="G6" s="44">
        <v>34</v>
      </c>
      <c r="H6" s="129">
        <f>IF(B$17=0,0,G6/B$17)</f>
        <v>0.27642276422764228</v>
      </c>
      <c r="I6" s="90">
        <v>9</v>
      </c>
      <c r="K6" s="36">
        <v>4</v>
      </c>
      <c r="L6" s="95">
        <v>-30.7</v>
      </c>
      <c r="N6" s="111" t="s">
        <v>134</v>
      </c>
      <c r="O6" s="118">
        <f t="shared" si="0"/>
        <v>-285.71428571428572</v>
      </c>
      <c r="P6" s="115">
        <v>49</v>
      </c>
      <c r="Q6" s="99">
        <v>-14000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0.31481481481481483</v>
      </c>
      <c r="E7" s="59" t="s">
        <v>69</v>
      </c>
      <c r="F7" s="56" t="s">
        <v>24</v>
      </c>
      <c r="G7" s="44">
        <v>26</v>
      </c>
      <c r="H7" s="129">
        <f>IF(B$17=0,0,G7/B$17)</f>
        <v>0.21138211382113822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-1839.0243902439024</v>
      </c>
      <c r="P7" s="116">
        <v>41</v>
      </c>
      <c r="Q7" s="100">
        <v>-75400</v>
      </c>
    </row>
    <row r="8" spans="1:17" x14ac:dyDescent="0.4">
      <c r="A8" s="51" t="s">
        <v>3</v>
      </c>
      <c r="B8" s="44">
        <v>11</v>
      </c>
      <c r="C8" s="37">
        <f t="shared" si="1"/>
        <v>0.20370370370370369</v>
      </c>
      <c r="E8" s="59" t="s">
        <v>67</v>
      </c>
      <c r="F8" s="56" t="s">
        <v>23</v>
      </c>
      <c r="G8" s="44">
        <v>18</v>
      </c>
      <c r="H8" s="129">
        <f>IF(B$17=0,0,G8/B$17)</f>
        <v>0.14634146341463414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1"/>
        <v>0.48148148148148145</v>
      </c>
      <c r="E9" s="59" t="s">
        <v>70</v>
      </c>
      <c r="F9" s="56" t="s">
        <v>25</v>
      </c>
      <c r="G9" s="44">
        <v>18</v>
      </c>
      <c r="H9" s="129">
        <f>IF(B$17=0,0,G9/B$17)</f>
        <v>0.14634146341463414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3.7037037037037035E-2</v>
      </c>
      <c r="E10" s="59" t="s">
        <v>71</v>
      </c>
      <c r="F10" s="56" t="s">
        <v>26</v>
      </c>
      <c r="G10" s="44">
        <v>12</v>
      </c>
      <c r="H10" s="129">
        <f>IF(B$17=0,0,G10/B$17)</f>
        <v>9.7560975609756101E-2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2" t="s">
        <v>138</v>
      </c>
      <c r="B11" s="45">
        <v>2</v>
      </c>
      <c r="C11" s="38">
        <f t="shared" si="1"/>
        <v>3.7037037037037035E-2</v>
      </c>
      <c r="E11" s="59" t="s">
        <v>83</v>
      </c>
      <c r="F11" s="56" t="s">
        <v>38</v>
      </c>
      <c r="G11" s="44">
        <v>12</v>
      </c>
      <c r="H11" s="129">
        <f>IF(B$17=0,0,G11/B$17)</f>
        <v>9.7560975609756101E-2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0.14814814814814814</v>
      </c>
      <c r="E12" s="59" t="s">
        <v>65</v>
      </c>
      <c r="F12" s="56" t="s">
        <v>21</v>
      </c>
      <c r="G12" s="44">
        <v>9</v>
      </c>
      <c r="H12" s="129">
        <f>IF(B$17=0,0,G12/B$17)</f>
        <v>7.3170731707317069E-2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-6.2105263157894726</v>
      </c>
      <c r="P12" s="116">
        <v>19</v>
      </c>
      <c r="Q12" s="104">
        <v>-117.99999999999999</v>
      </c>
    </row>
    <row r="13" spans="1:17" x14ac:dyDescent="0.4">
      <c r="A13" s="54" t="s">
        <v>121</v>
      </c>
      <c r="B13" s="47">
        <v>71</v>
      </c>
      <c r="C13" s="42">
        <f>IF(B$3=0,0,B13/B$3)</f>
        <v>0.14730290456431536</v>
      </c>
      <c r="E13" s="59" t="s">
        <v>89</v>
      </c>
      <c r="F13" s="56" t="s">
        <v>44</v>
      </c>
      <c r="G13" s="44">
        <v>8</v>
      </c>
      <c r="H13" s="129">
        <f>IF(B$17=0,0,G13/B$17)</f>
        <v>6.5040650406504072E-2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113</v>
      </c>
      <c r="C14" s="37">
        <f>IF(B$3=0,0,B14/B$3)</f>
        <v>0.23443983402489627</v>
      </c>
      <c r="E14" s="59" t="s">
        <v>81</v>
      </c>
      <c r="F14" s="56" t="s">
        <v>36</v>
      </c>
      <c r="G14" s="44">
        <v>4</v>
      </c>
      <c r="H14" s="129">
        <f>IF(B$17=0,0,G14/B$17)</f>
        <v>3.2520325203252036E-2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0.49295774647887325</v>
      </c>
      <c r="E15" s="59" t="s">
        <v>86</v>
      </c>
      <c r="F15" s="56" t="s">
        <v>41</v>
      </c>
      <c r="G15" s="44">
        <v>4</v>
      </c>
      <c r="H15" s="129">
        <f>IF(B$17=0,0,G15/B$17)</f>
        <v>3.2520325203252036E-2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41</v>
      </c>
      <c r="C16" s="35">
        <f>IF(B$14=0,0,B16/B$14)</f>
        <v>0.36283185840707965</v>
      </c>
      <c r="E16" s="59" t="s">
        <v>91</v>
      </c>
      <c r="F16" s="56" t="s">
        <v>46</v>
      </c>
      <c r="G16" s="44">
        <v>3</v>
      </c>
      <c r="H16" s="129">
        <f>IF(B$17=0,0,G16/B$17)</f>
        <v>2.4390243902439025E-2</v>
      </c>
      <c r="I16" s="90">
        <v>2</v>
      </c>
      <c r="K16" s="36">
        <v>14</v>
      </c>
      <c r="L16" s="95">
        <v>-51.1</v>
      </c>
      <c r="N16" s="111" t="s">
        <v>178</v>
      </c>
      <c r="O16" s="121">
        <f>IF(P16=0,0,Q16/P16)</f>
        <v>-4.7411764705882362</v>
      </c>
      <c r="P16" s="115">
        <v>17</v>
      </c>
      <c r="Q16" s="103">
        <v>-80.600000000000009</v>
      </c>
    </row>
    <row r="17" spans="1:17" x14ac:dyDescent="0.4">
      <c r="A17" s="50" t="s">
        <v>10</v>
      </c>
      <c r="B17" s="43">
        <f>B19+B18</f>
        <v>123</v>
      </c>
      <c r="C17" s="35">
        <f>IF(B$3=0,0,B17/B$3)</f>
        <v>0.25518672199170123</v>
      </c>
      <c r="E17" s="59" t="s">
        <v>88</v>
      </c>
      <c r="F17" s="56" t="s">
        <v>43</v>
      </c>
      <c r="G17" s="44">
        <v>2</v>
      </c>
      <c r="H17" s="129">
        <f>IF(B$17=0,0,G17/B$17)</f>
        <v>1.6260162601626018E-2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>IF(P17=0,0,Q17/P17)</f>
        <v>-7.5172413793103461</v>
      </c>
      <c r="P17" s="115">
        <v>29</v>
      </c>
      <c r="Q17" s="103">
        <v>-218.00000000000003</v>
      </c>
    </row>
    <row r="18" spans="1:17" x14ac:dyDescent="0.4">
      <c r="A18" s="51" t="s">
        <v>12</v>
      </c>
      <c r="B18" s="44">
        <v>51</v>
      </c>
      <c r="C18" s="37">
        <f>IF(B$17=0,0,B18/B$17)</f>
        <v>0.41463414634146339</v>
      </c>
      <c r="E18" s="59" t="s">
        <v>74</v>
      </c>
      <c r="F18" s="56" t="s">
        <v>29</v>
      </c>
      <c r="G18" s="44">
        <v>1</v>
      </c>
      <c r="H18" s="129">
        <f>IF(B$17=0,0,G18/B$17)</f>
        <v>8.130081300813009E-3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>IF(P18=0,0,Q18/P18)</f>
        <v>-7.7958333333333343</v>
      </c>
      <c r="P18" s="115">
        <v>24</v>
      </c>
      <c r="Q18" s="103">
        <v>-187.10000000000002</v>
      </c>
    </row>
    <row r="19" spans="1:17" x14ac:dyDescent="0.4">
      <c r="A19" s="51" t="s">
        <v>11</v>
      </c>
      <c r="B19" s="44">
        <v>72</v>
      </c>
      <c r="C19" s="37">
        <f>IF(B$17=0,0,B19/B$17)</f>
        <v>0.58536585365853655</v>
      </c>
      <c r="E19" s="59" t="s">
        <v>75</v>
      </c>
      <c r="F19" s="56" t="s">
        <v>30</v>
      </c>
      <c r="G19" s="44">
        <v>1</v>
      </c>
      <c r="H19" s="129">
        <f>IF(B$17=0,0,G19/B$17)</f>
        <v>8.130081300813009E-3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>IF(P19=0,0,Q19/P19)</f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74</v>
      </c>
      <c r="C20" s="37">
        <f>IF(B$3=0,0,B20/B$3)</f>
        <v>0.15352697095435686</v>
      </c>
      <c r="E20" s="59" t="s">
        <v>77</v>
      </c>
      <c r="F20" s="56" t="s">
        <v>32</v>
      </c>
      <c r="G20" s="44">
        <v>1</v>
      </c>
      <c r="H20" s="129">
        <f>IF(B$17=0,0,G20/B$17)</f>
        <v>8.130081300813009E-3</v>
      </c>
      <c r="I20" s="90">
        <v>2</v>
      </c>
      <c r="K20" s="36">
        <v>18</v>
      </c>
      <c r="L20" s="95">
        <v>-80.2</v>
      </c>
      <c r="N20" s="111" t="s">
        <v>182</v>
      </c>
      <c r="O20" s="121">
        <f>IF(P20=0,0,Q20/P20)</f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8.130081300813009E-3</v>
      </c>
      <c r="I21" s="90">
        <v>1</v>
      </c>
      <c r="K21" s="36">
        <v>19</v>
      </c>
      <c r="L21" s="95">
        <v>-115.1</v>
      </c>
      <c r="N21" s="111" t="s">
        <v>177</v>
      </c>
      <c r="O21" s="121">
        <f>IF(P21=0,0,Q21/P21)</f>
        <v>-38.991666666666667</v>
      </c>
      <c r="P21" s="115">
        <v>12</v>
      </c>
      <c r="Q21" s="103">
        <v>-467.9</v>
      </c>
    </row>
    <row r="22" spans="1:17" x14ac:dyDescent="0.4">
      <c r="A22" s="51" t="s">
        <v>170</v>
      </c>
      <c r="B22" s="44">
        <v>32</v>
      </c>
      <c r="C22" s="131">
        <v>4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7054.4715447154467</v>
      </c>
      <c r="C23" s="39">
        <v>867700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7352.4390243902435</v>
      </c>
      <c r="C24" s="137">
        <v>602900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6458.5365853658541</v>
      </c>
      <c r="C25" s="137">
        <v>264800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-7594.594594594595</v>
      </c>
      <c r="C26" s="137">
        <v>-562000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4.1493775933609959E-3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</sheetData>
  <sortState xmlns:xlrd2="http://schemas.microsoft.com/office/spreadsheetml/2017/richdata2" ref="N15:Q21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122</v>
      </c>
      <c r="C2" s="149"/>
      <c r="E2" s="58" t="s">
        <v>66</v>
      </c>
      <c r="F2" s="55" t="s">
        <v>22</v>
      </c>
      <c r="G2" s="43">
        <v>232</v>
      </c>
      <c r="H2" s="128">
        <f>IF(B$17=0,0,G2/B$17)</f>
        <v>0.67836257309941517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1395.8677685950413</v>
      </c>
      <c r="P2" s="114">
        <v>121</v>
      </c>
      <c r="Q2" s="98">
        <v>168900</v>
      </c>
    </row>
    <row r="3" spans="1:17" x14ac:dyDescent="0.4">
      <c r="A3" s="51" t="s">
        <v>8</v>
      </c>
      <c r="B3" s="150">
        <v>991</v>
      </c>
      <c r="C3" s="151"/>
      <c r="E3" s="59" t="s">
        <v>72</v>
      </c>
      <c r="F3" s="56" t="s">
        <v>27</v>
      </c>
      <c r="G3" s="44">
        <v>170</v>
      </c>
      <c r="H3" s="129">
        <f>IF(B$17=0,0,G3/B$17)</f>
        <v>0.49707602339181284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941.52542372881351</v>
      </c>
      <c r="P3" s="115">
        <v>118</v>
      </c>
      <c r="Q3" s="99">
        <v>111100</v>
      </c>
    </row>
    <row r="4" spans="1:17" x14ac:dyDescent="0.4">
      <c r="A4" s="51" t="s">
        <v>6</v>
      </c>
      <c r="B4" s="152">
        <v>1110.2</v>
      </c>
      <c r="C4" s="153"/>
      <c r="E4" s="59" t="s">
        <v>64</v>
      </c>
      <c r="F4" s="56" t="s">
        <v>20</v>
      </c>
      <c r="G4" s="44">
        <v>152</v>
      </c>
      <c r="H4" s="129">
        <f>IF(B$17=0,0,G4/B$17)</f>
        <v>0.44444444444444442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951.75438596491233</v>
      </c>
      <c r="P4" s="115">
        <v>114</v>
      </c>
      <c r="Q4" s="99">
        <v>108500</v>
      </c>
    </row>
    <row r="5" spans="1:17" x14ac:dyDescent="0.4">
      <c r="A5" s="51" t="s">
        <v>7</v>
      </c>
      <c r="B5" s="154">
        <f>IF(B$2=0,0,B$4/B$2)</f>
        <v>9.1</v>
      </c>
      <c r="C5" s="155"/>
      <c r="E5" s="59" t="s">
        <v>171</v>
      </c>
      <c r="F5" s="56" t="s">
        <v>172</v>
      </c>
      <c r="G5" s="44">
        <v>128</v>
      </c>
      <c r="H5" s="129">
        <f>IF(B$17=0,0,G5/B$17)</f>
        <v>0.3742690058479532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307.61904761904759</v>
      </c>
      <c r="P5" s="115">
        <v>105</v>
      </c>
      <c r="Q5" s="99">
        <v>32300</v>
      </c>
    </row>
    <row r="6" spans="1:17" x14ac:dyDescent="0.4">
      <c r="A6" s="51" t="s">
        <v>1</v>
      </c>
      <c r="B6" s="144">
        <f>IF(B$2=0,0,(B$7*1+B$8*2+B$9*3)/B$2)</f>
        <v>1.778688524590164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0.28947368421052633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1975.5102040816328</v>
      </c>
      <c r="P6" s="115">
        <v>98</v>
      </c>
      <c r="Q6" s="99">
        <v>193600</v>
      </c>
    </row>
    <row r="7" spans="1:17" x14ac:dyDescent="0.4">
      <c r="A7" s="51" t="s">
        <v>2</v>
      </c>
      <c r="B7" s="44">
        <v>56</v>
      </c>
      <c r="C7" s="37">
        <f t="shared" ref="C7:C12" si="1">IF(B$2=0,0,B7/B$2)</f>
        <v>0.45901639344262296</v>
      </c>
      <c r="E7" s="59" t="s">
        <v>67</v>
      </c>
      <c r="F7" s="56" t="s">
        <v>23</v>
      </c>
      <c r="G7" s="44">
        <v>85</v>
      </c>
      <c r="H7" s="129">
        <f>IF(B$17=0,0,G7/B$17)</f>
        <v>0.24853801169590642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37</v>
      </c>
      <c r="C8" s="37">
        <f t="shared" si="1"/>
        <v>0.30327868852459017</v>
      </c>
      <c r="E8" s="59" t="s">
        <v>89</v>
      </c>
      <c r="F8" s="56" t="s">
        <v>44</v>
      </c>
      <c r="G8" s="44">
        <v>54</v>
      </c>
      <c r="H8" s="129">
        <f>IF(B$17=0,0,G8/B$17)</f>
        <v>0.15789473684210525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0.23770491803278687</v>
      </c>
      <c r="E9" s="59" t="s">
        <v>69</v>
      </c>
      <c r="F9" s="56" t="s">
        <v>24</v>
      </c>
      <c r="G9" s="44">
        <v>52</v>
      </c>
      <c r="H9" s="129">
        <f>IF(B$17=0,0,G9/B$17)</f>
        <v>0.15204678362573099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4.0983606557377046E-2</v>
      </c>
      <c r="E10" s="59" t="s">
        <v>65</v>
      </c>
      <c r="F10" s="56" t="s">
        <v>21</v>
      </c>
      <c r="G10" s="44">
        <v>42</v>
      </c>
      <c r="H10" s="129">
        <f>IF(B$17=0,0,G10/B$17)</f>
        <v>0.12280701754385964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0.12295081967213115</v>
      </c>
      <c r="E11" s="59" t="s">
        <v>71</v>
      </c>
      <c r="F11" s="56" t="s">
        <v>26</v>
      </c>
      <c r="G11" s="44">
        <v>24</v>
      </c>
      <c r="H11" s="129">
        <f>IF(B$17=0,0,G11/B$17)</f>
        <v>7.0175438596491224E-2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13</v>
      </c>
      <c r="C12" s="40">
        <f t="shared" si="1"/>
        <v>0.10655737704918032</v>
      </c>
      <c r="E12" s="59" t="s">
        <v>86</v>
      </c>
      <c r="F12" s="56" t="s">
        <v>41</v>
      </c>
      <c r="G12" s="44">
        <v>20</v>
      </c>
      <c r="H12" s="129">
        <f>IF(B$17=0,0,G12/B$17)</f>
        <v>5.8479532163742687E-2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12.238636363636362</v>
      </c>
      <c r="P12" s="116">
        <v>44</v>
      </c>
      <c r="Q12" s="104">
        <v>538.49999999999989</v>
      </c>
    </row>
    <row r="13" spans="1:17" x14ac:dyDescent="0.4">
      <c r="A13" s="54" t="s">
        <v>121</v>
      </c>
      <c r="B13" s="47">
        <v>269</v>
      </c>
      <c r="C13" s="42">
        <f>IF(B$3=0,0,B13/B$3)</f>
        <v>0.27144298688193741</v>
      </c>
      <c r="E13" s="59" t="s">
        <v>70</v>
      </c>
      <c r="F13" s="56" t="s">
        <v>25</v>
      </c>
      <c r="G13" s="44">
        <v>19</v>
      </c>
      <c r="H13" s="129">
        <f>IF(B$17=0,0,G13/B$17)</f>
        <v>5.5555555555555552E-2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222</v>
      </c>
      <c r="C14" s="37">
        <f>IF(B$3=0,0,B14/B$3)</f>
        <v>0.22401614530776992</v>
      </c>
      <c r="E14" s="59" t="s">
        <v>83</v>
      </c>
      <c r="F14" s="56" t="s">
        <v>38</v>
      </c>
      <c r="G14" s="44">
        <v>15</v>
      </c>
      <c r="H14" s="129">
        <f>IF(B$17=0,0,G14/B$17)</f>
        <v>4.3859649122807015E-2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162</v>
      </c>
      <c r="C15" s="35">
        <f>IF(B$13=0,0,B15/B$13)</f>
        <v>0.60223048327137552</v>
      </c>
      <c r="E15" s="59" t="s">
        <v>78</v>
      </c>
      <c r="F15" s="56" t="s">
        <v>33</v>
      </c>
      <c r="G15" s="44">
        <v>14</v>
      </c>
      <c r="H15" s="129">
        <f>IF(B$17=0,0,G15/B$17)</f>
        <v>4.0935672514619881E-2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108</v>
      </c>
      <c r="C16" s="35">
        <f>IF(B$14=0,0,B16/B$14)</f>
        <v>0.48648648648648651</v>
      </c>
      <c r="E16" s="59" t="s">
        <v>167</v>
      </c>
      <c r="F16" s="56" t="s">
        <v>168</v>
      </c>
      <c r="G16" s="44">
        <v>13</v>
      </c>
      <c r="H16" s="129">
        <f>IF(B$17=0,0,G16/B$17)</f>
        <v>3.8011695906432746E-2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342</v>
      </c>
      <c r="C17" s="35">
        <f>IF(B$3=0,0,B17/B$3)</f>
        <v>0.34510595358224017</v>
      </c>
      <c r="E17" s="59" t="s">
        <v>77</v>
      </c>
      <c r="F17" s="56" t="s">
        <v>32</v>
      </c>
      <c r="G17" s="44">
        <v>3</v>
      </c>
      <c r="H17" s="129">
        <f>IF(B$17=0,0,G17/B$17)</f>
        <v>8.771929824561403E-3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143</v>
      </c>
      <c r="C18" s="37">
        <f>IF(B$17=0,0,B18/B$17)</f>
        <v>0.41812865497076024</v>
      </c>
      <c r="E18" s="59" t="s">
        <v>84</v>
      </c>
      <c r="F18" s="56" t="s">
        <v>39</v>
      </c>
      <c r="G18" s="44">
        <v>3</v>
      </c>
      <c r="H18" s="129">
        <f>IF(B$17=0,0,G18/B$17)</f>
        <v>8.771929824561403E-3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199</v>
      </c>
      <c r="C19" s="37">
        <f>IF(B$17=0,0,B19/B$17)</f>
        <v>0.58187134502923976</v>
      </c>
      <c r="E19" s="59" t="s">
        <v>92</v>
      </c>
      <c r="F19" s="56" t="s">
        <v>47</v>
      </c>
      <c r="G19" s="44">
        <v>3</v>
      </c>
      <c r="H19" s="129">
        <f>IF(B$17=0,0,G19/B$17)</f>
        <v>8.771929824561403E-3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127</v>
      </c>
      <c r="C20" s="37">
        <f>IF(B$3=0,0,B20/B$3)</f>
        <v>0.12815338042381433</v>
      </c>
      <c r="E20" s="59" t="s">
        <v>75</v>
      </c>
      <c r="F20" s="56" t="s">
        <v>30</v>
      </c>
      <c r="G20" s="44">
        <v>2</v>
      </c>
      <c r="H20" s="129">
        <f>IF(B$17=0,0,G20/B$17)</f>
        <v>5.8479532163742687E-3</v>
      </c>
      <c r="I20" s="90">
        <v>6</v>
      </c>
      <c r="K20" s="36">
        <v>18</v>
      </c>
      <c r="L20" s="95">
        <v>352.39999999999992</v>
      </c>
      <c r="N20" s="111" t="s">
        <v>166</v>
      </c>
      <c r="O20" s="121">
        <f>IF(P20=0,0,Q20/P20)</f>
        <v>7.5172413793103452</v>
      </c>
      <c r="P20" s="115">
        <v>29</v>
      </c>
      <c r="Q20" s="103">
        <v>218</v>
      </c>
    </row>
    <row r="21" spans="1:17" x14ac:dyDescent="0.4">
      <c r="A21" s="51" t="s">
        <v>169</v>
      </c>
      <c r="B21" s="44">
        <v>5</v>
      </c>
      <c r="C21" s="131">
        <v>2</v>
      </c>
      <c r="E21" s="59" t="s">
        <v>79</v>
      </c>
      <c r="F21" s="56" t="s">
        <v>34</v>
      </c>
      <c r="G21" s="44">
        <v>2</v>
      </c>
      <c r="H21" s="129">
        <f>IF(B$17=0,0,G21/B$17)</f>
        <v>5.8479532163742687E-3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>IF(P21=0,0,Q21/P21)</f>
        <v>-6.1749999999999989</v>
      </c>
      <c r="P21" s="115">
        <v>28</v>
      </c>
      <c r="Q21" s="103">
        <v>-172.89999999999998</v>
      </c>
    </row>
    <row r="22" spans="1:17" x14ac:dyDescent="0.4">
      <c r="A22" s="51" t="s">
        <v>170</v>
      </c>
      <c r="B22" s="44">
        <v>43</v>
      </c>
      <c r="C22" s="131">
        <v>14</v>
      </c>
      <c r="E22" s="59" t="s">
        <v>81</v>
      </c>
      <c r="F22" s="56" t="s">
        <v>36</v>
      </c>
      <c r="G22" s="44">
        <v>2</v>
      </c>
      <c r="H22" s="129">
        <f>IF(B$17=0,0,G22/B$17)</f>
        <v>5.8479532163742687E-3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8267.8362573099421</v>
      </c>
      <c r="C23" s="39">
        <v>2827600</v>
      </c>
      <c r="E23" s="59" t="s">
        <v>85</v>
      </c>
      <c r="F23" s="56" t="s">
        <v>40</v>
      </c>
      <c r="G23" s="44">
        <v>2</v>
      </c>
      <c r="H23" s="129">
        <f>IF(B$17=0,0,G23/B$17)</f>
        <v>5.8479532163742687E-3</v>
      </c>
      <c r="I23" s="90">
        <v>2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8525.6410256410254</v>
      </c>
      <c r="C24" s="137">
        <v>1995000</v>
      </c>
      <c r="E24" s="59" t="s">
        <v>88</v>
      </c>
      <c r="F24" s="56" t="s">
        <v>43</v>
      </c>
      <c r="G24" s="44">
        <v>2</v>
      </c>
      <c r="H24" s="129">
        <f>IF(B$17=0,0,G24/B$17)</f>
        <v>5.8479532163742687E-3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7709.2592592592591</v>
      </c>
      <c r="C25" s="137">
        <v>832600</v>
      </c>
      <c r="E25" s="59" t="s">
        <v>91</v>
      </c>
      <c r="F25" s="56" t="s">
        <v>46</v>
      </c>
      <c r="G25" s="44">
        <v>2</v>
      </c>
      <c r="H25" s="129">
        <f>IF(B$17=0,0,G25/B$17)</f>
        <v>5.8479532163742687E-3</v>
      </c>
      <c r="I25" s="90">
        <v>8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-7880.3149606299212</v>
      </c>
      <c r="C26" s="137">
        <v>-1000800</v>
      </c>
      <c r="E26" s="59" t="s">
        <v>74</v>
      </c>
      <c r="F26" s="56" t="s">
        <v>29</v>
      </c>
      <c r="G26" s="44">
        <v>1</v>
      </c>
      <c r="H26" s="129">
        <f>IF(B$17=0,0,G26/B$17)</f>
        <v>2.9239766081871343E-3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2.9239766081871343E-3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2.9239766081871343E-3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1.0090817356205853E-3</v>
      </c>
      <c r="E29" s="59" t="s">
        <v>106</v>
      </c>
      <c r="F29" s="56" t="s">
        <v>113</v>
      </c>
      <c r="G29" s="44">
        <v>1</v>
      </c>
      <c r="H29" s="129">
        <f>IF(B$17=0,0,G29/B$17)</f>
        <v>2.9239766081871343E-3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13"/>
  <sheetViews>
    <sheetView showGridLines="0" topLeftCell="D1" zoomScale="96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111</v>
      </c>
      <c r="C2" s="149"/>
      <c r="E2" s="58" t="s">
        <v>66</v>
      </c>
      <c r="F2" s="55" t="s">
        <v>22</v>
      </c>
      <c r="G2" s="43">
        <v>251</v>
      </c>
      <c r="H2" s="128">
        <f>IF(B$17=0,0,G2/B$17)</f>
        <v>0.88692579505300351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-1837.2727272727273</v>
      </c>
      <c r="P2" s="114">
        <v>110</v>
      </c>
      <c r="Q2" s="98">
        <v>-202100</v>
      </c>
    </row>
    <row r="3" spans="1:17" x14ac:dyDescent="0.4">
      <c r="A3" s="51" t="s">
        <v>8</v>
      </c>
      <c r="B3" s="150">
        <v>928</v>
      </c>
      <c r="C3" s="151"/>
      <c r="E3" s="59" t="s">
        <v>72</v>
      </c>
      <c r="F3" s="56" t="s">
        <v>27</v>
      </c>
      <c r="G3" s="44">
        <v>162</v>
      </c>
      <c r="H3" s="129">
        <f>IF(B$17=0,0,G3/B$17)</f>
        <v>0.57243816254416957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1638.3177570093458</v>
      </c>
      <c r="P3" s="115">
        <v>107</v>
      </c>
      <c r="Q3" s="99">
        <v>175300</v>
      </c>
    </row>
    <row r="4" spans="1:17" x14ac:dyDescent="0.4">
      <c r="A4" s="51" t="s">
        <v>6</v>
      </c>
      <c r="B4" s="152">
        <v>85.999999999999787</v>
      </c>
      <c r="C4" s="153"/>
      <c r="E4" s="59" t="s">
        <v>171</v>
      </c>
      <c r="F4" s="56" t="s">
        <v>172</v>
      </c>
      <c r="G4" s="44">
        <v>118</v>
      </c>
      <c r="H4" s="129">
        <f>IF(B$17=0,0,G4/B$17)</f>
        <v>0.41696113074204949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-92</v>
      </c>
      <c r="P4" s="115">
        <v>100</v>
      </c>
      <c r="Q4" s="99">
        <v>-9200</v>
      </c>
    </row>
    <row r="5" spans="1:17" x14ac:dyDescent="0.4">
      <c r="A5" s="51" t="s">
        <v>7</v>
      </c>
      <c r="B5" s="154">
        <f>IF(B$2=0,0,B$4/B$2)</f>
        <v>0.77477477477477286</v>
      </c>
      <c r="C5" s="155"/>
      <c r="E5" s="59" t="s">
        <v>64</v>
      </c>
      <c r="F5" s="56" t="s">
        <v>20</v>
      </c>
      <c r="G5" s="44">
        <v>109</v>
      </c>
      <c r="H5" s="129">
        <f>IF(B$17=0,0,G5/B$17)</f>
        <v>0.38515901060070673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738.29787234042556</v>
      </c>
      <c r="P5" s="115">
        <v>94</v>
      </c>
      <c r="Q5" s="99">
        <v>69400</v>
      </c>
    </row>
    <row r="6" spans="1:17" x14ac:dyDescent="0.4">
      <c r="A6" s="51" t="s">
        <v>1</v>
      </c>
      <c r="B6" s="144">
        <f>IF(B$2=0,0,(B$7*1+B$8*2+B$9*3)/B$2)</f>
        <v>1.954954954954955</v>
      </c>
      <c r="C6" s="145"/>
      <c r="E6" s="59" t="s">
        <v>68</v>
      </c>
      <c r="F6" s="56" t="s">
        <v>12</v>
      </c>
      <c r="G6" s="44">
        <v>76</v>
      </c>
      <c r="H6" s="129">
        <f>IF(B$17=0,0,G6/B$17)</f>
        <v>0.26855123674911663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-911.62790697674416</v>
      </c>
      <c r="P6" s="115">
        <v>86</v>
      </c>
      <c r="Q6" s="99">
        <v>-78400</v>
      </c>
    </row>
    <row r="7" spans="1:17" x14ac:dyDescent="0.4">
      <c r="A7" s="51" t="s">
        <v>2</v>
      </c>
      <c r="B7" s="44">
        <v>39</v>
      </c>
      <c r="C7" s="37">
        <f t="shared" ref="C7:C12" si="1">IF(B$2=0,0,B7/B$2)</f>
        <v>0.35135135135135137</v>
      </c>
      <c r="E7" s="59" t="s">
        <v>67</v>
      </c>
      <c r="F7" s="56" t="s">
        <v>23</v>
      </c>
      <c r="G7" s="44">
        <v>58</v>
      </c>
      <c r="H7" s="129">
        <f>IF(B$17=0,0,G7/B$17)</f>
        <v>0.20494699646643111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1350</v>
      </c>
      <c r="P7" s="116">
        <v>72</v>
      </c>
      <c r="Q7" s="100">
        <v>97200</v>
      </c>
    </row>
    <row r="8" spans="1:17" x14ac:dyDescent="0.4">
      <c r="A8" s="51" t="s">
        <v>3</v>
      </c>
      <c r="B8" s="44">
        <v>38</v>
      </c>
      <c r="C8" s="37">
        <f t="shared" si="1"/>
        <v>0.34234234234234234</v>
      </c>
      <c r="E8" s="59" t="s">
        <v>89</v>
      </c>
      <c r="F8" s="56" t="s">
        <v>44</v>
      </c>
      <c r="G8" s="44">
        <v>34</v>
      </c>
      <c r="H8" s="129">
        <f>IF(B$17=0,0,G8/B$17)</f>
        <v>0.12014134275618374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0.30630630630630629</v>
      </c>
      <c r="E9" s="59" t="s">
        <v>69</v>
      </c>
      <c r="F9" s="56" t="s">
        <v>24</v>
      </c>
      <c r="G9" s="44">
        <v>33</v>
      </c>
      <c r="H9" s="129">
        <f>IF(B$17=0,0,G9/B$17)</f>
        <v>0.1166077738515901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0.13513513513513514</v>
      </c>
      <c r="E10" s="59" t="s">
        <v>65</v>
      </c>
      <c r="F10" s="56" t="s">
        <v>21</v>
      </c>
      <c r="G10" s="44">
        <v>26</v>
      </c>
      <c r="H10" s="129">
        <f>IF(B$17=0,0,G10/B$17)</f>
        <v>9.187279151943463E-2</v>
      </c>
      <c r="I10" s="90">
        <v>8</v>
      </c>
      <c r="K10" s="36">
        <v>8</v>
      </c>
      <c r="L10" s="95">
        <v>-56.79999999999999</v>
      </c>
      <c r="N10" s="110" t="s">
        <v>162</v>
      </c>
      <c r="O10" s="120">
        <f>IF(P10=0,0,Q10/P10)</f>
        <v>1.257142857142858</v>
      </c>
      <c r="P10" s="114">
        <v>28</v>
      </c>
      <c r="Q10" s="102">
        <v>35.200000000000024</v>
      </c>
    </row>
    <row r="11" spans="1:17" x14ac:dyDescent="0.4">
      <c r="A11" s="52" t="s">
        <v>138</v>
      </c>
      <c r="B11" s="45">
        <v>12</v>
      </c>
      <c r="C11" s="38">
        <f t="shared" si="1"/>
        <v>0.10810810810810811</v>
      </c>
      <c r="E11" s="59" t="s">
        <v>71</v>
      </c>
      <c r="F11" s="56" t="s">
        <v>26</v>
      </c>
      <c r="G11" s="44">
        <v>26</v>
      </c>
      <c r="H11" s="129">
        <f>IF(B$17=0,0,G11/B$17)</f>
        <v>9.187279151943463E-2</v>
      </c>
      <c r="I11" s="90">
        <v>6</v>
      </c>
      <c r="K11" s="36">
        <v>9</v>
      </c>
      <c r="L11" s="95">
        <v>-83.699999999999989</v>
      </c>
      <c r="N11" s="111" t="s">
        <v>163</v>
      </c>
      <c r="O11" s="121">
        <f>IF(P11=0,0,Q11/P11)</f>
        <v>7.6142857142857157</v>
      </c>
      <c r="P11" s="115">
        <v>35</v>
      </c>
      <c r="Q11" s="103">
        <v>266.50000000000006</v>
      </c>
    </row>
    <row r="12" spans="1:17" x14ac:dyDescent="0.4">
      <c r="A12" s="53" t="s">
        <v>158</v>
      </c>
      <c r="B12" s="46">
        <v>19</v>
      </c>
      <c r="C12" s="40">
        <f t="shared" si="1"/>
        <v>0.17117117117117117</v>
      </c>
      <c r="E12" s="59" t="s">
        <v>70</v>
      </c>
      <c r="F12" s="56" t="s">
        <v>25</v>
      </c>
      <c r="G12" s="44">
        <v>24</v>
      </c>
      <c r="H12" s="129">
        <f>IF(B$17=0,0,G12/B$17)</f>
        <v>8.4805653710247356E-2</v>
      </c>
      <c r="I12" s="90">
        <v>8</v>
      </c>
      <c r="K12" s="36">
        <v>10</v>
      </c>
      <c r="L12" s="95">
        <v>-78.399999999999991</v>
      </c>
      <c r="N12" s="112" t="s">
        <v>164</v>
      </c>
      <c r="O12" s="122">
        <f>IF(P12=0,0,Q12/P12)</f>
        <v>-4.4937500000000012</v>
      </c>
      <c r="P12" s="116">
        <v>48</v>
      </c>
      <c r="Q12" s="104">
        <v>-215.70000000000005</v>
      </c>
    </row>
    <row r="13" spans="1:17" x14ac:dyDescent="0.4">
      <c r="A13" s="54" t="s">
        <v>121</v>
      </c>
      <c r="B13" s="47">
        <v>214</v>
      </c>
      <c r="C13" s="42">
        <f>IF(B$3=0,0,B13/B$3)</f>
        <v>0.23060344827586207</v>
      </c>
      <c r="E13" s="59" t="s">
        <v>86</v>
      </c>
      <c r="F13" s="56" t="s">
        <v>41</v>
      </c>
      <c r="G13" s="44">
        <v>19</v>
      </c>
      <c r="H13" s="129">
        <f>IF(B$17=0,0,G13/B$17)</f>
        <v>6.7137809187279157E-2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287</v>
      </c>
      <c r="C14" s="37">
        <f>IF(B$3=0,0,B14/B$3)</f>
        <v>0.30926724137931033</v>
      </c>
      <c r="E14" s="59" t="s">
        <v>83</v>
      </c>
      <c r="F14" s="56" t="s">
        <v>38</v>
      </c>
      <c r="G14" s="44">
        <v>17</v>
      </c>
      <c r="H14" s="129">
        <f>IF(B$17=0,0,G14/B$17)</f>
        <v>6.0070671378091869E-2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107</v>
      </c>
      <c r="C15" s="35">
        <f>IF(B$13=0,0,B15/B$13)</f>
        <v>0.5</v>
      </c>
      <c r="E15" s="59" t="s">
        <v>78</v>
      </c>
      <c r="F15" s="56" t="s">
        <v>33</v>
      </c>
      <c r="G15" s="44">
        <v>9</v>
      </c>
      <c r="H15" s="129">
        <f>IF(B$17=0,0,G15/B$17)</f>
        <v>3.1802120141342753E-2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 t="shared" ref="O15:O22" si="2"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108</v>
      </c>
      <c r="C16" s="35">
        <f>IF(B$14=0,0,B16/B$14)</f>
        <v>0.37630662020905925</v>
      </c>
      <c r="E16" s="59" t="s">
        <v>91</v>
      </c>
      <c r="F16" s="56" t="s">
        <v>46</v>
      </c>
      <c r="G16" s="44">
        <v>9</v>
      </c>
      <c r="H16" s="129">
        <f>IF(B$17=0,0,G16/B$17)</f>
        <v>3.1802120141342753E-2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 t="shared" si="2"/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283</v>
      </c>
      <c r="C17" s="35">
        <f>IF(B$3=0,0,B17/B$3)</f>
        <v>0.30495689655172414</v>
      </c>
      <c r="E17" s="59" t="s">
        <v>81</v>
      </c>
      <c r="F17" s="56" t="s">
        <v>36</v>
      </c>
      <c r="G17" s="44">
        <v>6</v>
      </c>
      <c r="H17" s="129">
        <f>IF(B$17=0,0,G17/B$17)</f>
        <v>2.1201413427561839E-2</v>
      </c>
      <c r="I17" s="90">
        <v>4</v>
      </c>
      <c r="K17" s="36">
        <v>15</v>
      </c>
      <c r="L17" s="95">
        <v>-144.30000000000001</v>
      </c>
      <c r="N17" s="111" t="s">
        <v>179</v>
      </c>
      <c r="O17" s="121">
        <f t="shared" si="2"/>
        <v>14.68333333333333</v>
      </c>
      <c r="P17" s="115">
        <v>36</v>
      </c>
      <c r="Q17" s="103">
        <v>528.59999999999991</v>
      </c>
    </row>
    <row r="18" spans="1:17" x14ac:dyDescent="0.4">
      <c r="A18" s="51" t="s">
        <v>12</v>
      </c>
      <c r="B18" s="44">
        <v>115</v>
      </c>
      <c r="C18" s="37">
        <f>IF(B$17=0,0,B18/B$17)</f>
        <v>0.40636042402826855</v>
      </c>
      <c r="E18" s="59" t="s">
        <v>79</v>
      </c>
      <c r="F18" s="56" t="s">
        <v>34</v>
      </c>
      <c r="G18" s="44">
        <v>5</v>
      </c>
      <c r="H18" s="129">
        <f>IF(B$17=0,0,G18/B$17)</f>
        <v>1.7667844522968199E-2</v>
      </c>
      <c r="I18" s="90">
        <v>3</v>
      </c>
      <c r="K18" s="36">
        <v>16</v>
      </c>
      <c r="L18" s="95">
        <v>-187.3</v>
      </c>
      <c r="N18" s="111" t="s">
        <v>181</v>
      </c>
      <c r="O18" s="121">
        <f t="shared" si="2"/>
        <v>13.5</v>
      </c>
      <c r="P18" s="115">
        <v>5</v>
      </c>
      <c r="Q18" s="103">
        <v>67.5</v>
      </c>
    </row>
    <row r="19" spans="1:17" x14ac:dyDescent="0.4">
      <c r="A19" s="51" t="s">
        <v>11</v>
      </c>
      <c r="B19" s="44">
        <v>168</v>
      </c>
      <c r="C19" s="37">
        <f>IF(B$17=0,0,B19/B$17)</f>
        <v>0.59363957597173145</v>
      </c>
      <c r="E19" s="59" t="s">
        <v>167</v>
      </c>
      <c r="F19" s="56" t="s">
        <v>168</v>
      </c>
      <c r="G19" s="44">
        <v>3</v>
      </c>
      <c r="H19" s="129">
        <f>IF(B$17=0,0,G19/B$17)</f>
        <v>1.0600706713780919E-2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 t="shared" si="2"/>
        <v>8.0312500000000053</v>
      </c>
      <c r="P19" s="115">
        <v>32</v>
      </c>
      <c r="Q19" s="103">
        <v>257.00000000000017</v>
      </c>
    </row>
    <row r="20" spans="1:17" x14ac:dyDescent="0.4">
      <c r="A20" s="51" t="s">
        <v>13</v>
      </c>
      <c r="B20" s="44">
        <v>177</v>
      </c>
      <c r="C20" s="37">
        <f>IF(B$3=0,0,B20/B$3)</f>
        <v>0.19073275862068967</v>
      </c>
      <c r="E20" s="59" t="s">
        <v>74</v>
      </c>
      <c r="F20" s="56" t="s">
        <v>29</v>
      </c>
      <c r="G20" s="44">
        <v>2</v>
      </c>
      <c r="H20" s="129">
        <f>IF(B$17=0,0,G20/B$17)</f>
        <v>7.0671378091872791E-3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 t="shared" si="2"/>
        <v>7.7958333333333316</v>
      </c>
      <c r="P20" s="115">
        <v>24</v>
      </c>
      <c r="Q20" s="103">
        <v>187.09999999999997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2</v>
      </c>
      <c r="H21" s="129">
        <f>IF(B$17=0,0,G21/B$17)</f>
        <v>7.0671378091872791E-3</v>
      </c>
      <c r="I21" s="90">
        <v>4</v>
      </c>
      <c r="K21" s="36">
        <v>19</v>
      </c>
      <c r="L21" s="95">
        <v>-162.40000000000003</v>
      </c>
      <c r="N21" s="111" t="s">
        <v>178</v>
      </c>
      <c r="O21" s="121">
        <f t="shared" si="2"/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2</v>
      </c>
      <c r="E22" s="59" t="s">
        <v>92</v>
      </c>
      <c r="F22" s="56" t="s">
        <v>47</v>
      </c>
      <c r="G22" s="44">
        <v>2</v>
      </c>
      <c r="H22" s="129">
        <f>IF(B$17=0,0,G22/B$17)</f>
        <v>7.0671378091872791E-3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 t="shared" si="2"/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8542.7561837455833</v>
      </c>
      <c r="C23" s="39">
        <v>2417600</v>
      </c>
      <c r="E23" s="59" t="s">
        <v>73</v>
      </c>
      <c r="F23" s="56" t="s">
        <v>28</v>
      </c>
      <c r="G23" s="44">
        <v>1</v>
      </c>
      <c r="H23" s="129">
        <f>IF(B$17=0,0,G23/B$17)</f>
        <v>3.5335689045936395E-3</v>
      </c>
      <c r="I23" s="90">
        <v>3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9056</v>
      </c>
      <c r="C24" s="137">
        <v>1584800</v>
      </c>
      <c r="E24" s="59" t="s">
        <v>77</v>
      </c>
      <c r="F24" s="56" t="s">
        <v>32</v>
      </c>
      <c r="G24" s="44">
        <v>1</v>
      </c>
      <c r="H24" s="129">
        <f>IF(B$17=0,0,G24/B$17)</f>
        <v>3.5335689045936395E-3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7711.1111111111113</v>
      </c>
      <c r="C25" s="137">
        <v>832800</v>
      </c>
      <c r="E25" s="59" t="s">
        <v>84</v>
      </c>
      <c r="F25" s="56" t="s">
        <v>39</v>
      </c>
      <c r="G25" s="44">
        <v>1</v>
      </c>
      <c r="H25" s="129">
        <f>IF(B$17=0,0,G25/B$17)</f>
        <v>3.5335689045936395E-3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-8149.1525423728817</v>
      </c>
      <c r="C26" s="137">
        <v>-1442400</v>
      </c>
      <c r="E26" s="59" t="s">
        <v>95</v>
      </c>
      <c r="F26" s="56" t="s">
        <v>50</v>
      </c>
      <c r="G26" s="44">
        <v>1</v>
      </c>
      <c r="H26" s="129">
        <f>IF(B$17=0,0,G26/B$17)</f>
        <v>3.5335689045936395E-3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3.2327586206896551E-3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</sheetData>
  <sortState xmlns:xlrd2="http://schemas.microsoft.com/office/spreadsheetml/2017/richdata2" ref="E2:I11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72"/>
  <sheetViews>
    <sheetView showGridLines="0" topLeftCell="C1" zoomScale="97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70</v>
      </c>
      <c r="C2" s="149"/>
      <c r="E2" s="58" t="s">
        <v>66</v>
      </c>
      <c r="F2" s="55" t="s">
        <v>22</v>
      </c>
      <c r="G2" s="43">
        <v>131</v>
      </c>
      <c r="H2" s="128">
        <f>IF(B$17=0,0,G2/B$17)</f>
        <v>0.78915662650602414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-33.333333333333336</v>
      </c>
      <c r="P2" s="114">
        <v>69</v>
      </c>
      <c r="Q2" s="98">
        <v>-2300</v>
      </c>
    </row>
    <row r="3" spans="1:17" x14ac:dyDescent="0.4">
      <c r="A3" s="51" t="s">
        <v>8</v>
      </c>
      <c r="B3" s="150">
        <v>593</v>
      </c>
      <c r="C3" s="151"/>
      <c r="E3" s="59" t="s">
        <v>64</v>
      </c>
      <c r="F3" s="56" t="s">
        <v>20</v>
      </c>
      <c r="G3" s="44">
        <v>96</v>
      </c>
      <c r="H3" s="129">
        <f>IF(B$17=0,0,G3/B$17)</f>
        <v>0.57831325301204817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-869.11764705882354</v>
      </c>
      <c r="P3" s="115">
        <v>68</v>
      </c>
      <c r="Q3" s="99">
        <v>-59100</v>
      </c>
    </row>
    <row r="4" spans="1:17" x14ac:dyDescent="0.4">
      <c r="A4" s="51" t="s">
        <v>6</v>
      </c>
      <c r="B4" s="152">
        <v>-458</v>
      </c>
      <c r="C4" s="153"/>
      <c r="E4" s="59" t="s">
        <v>72</v>
      </c>
      <c r="F4" s="56" t="s">
        <v>27</v>
      </c>
      <c r="G4" s="44">
        <v>84</v>
      </c>
      <c r="H4" s="129">
        <f>IF(B$17=0,0,G4/B$17)</f>
        <v>0.50602409638554213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846.03174603174602</v>
      </c>
      <c r="P4" s="115">
        <v>63</v>
      </c>
      <c r="Q4" s="99">
        <v>53300</v>
      </c>
    </row>
    <row r="5" spans="1:17" x14ac:dyDescent="0.4">
      <c r="A5" s="51" t="s">
        <v>7</v>
      </c>
      <c r="B5" s="154">
        <f>IF(B$2=0,0,B$4/B$2)</f>
        <v>-6.5428571428571427</v>
      </c>
      <c r="C5" s="155"/>
      <c r="E5" s="59" t="s">
        <v>171</v>
      </c>
      <c r="F5" s="56" t="s">
        <v>172</v>
      </c>
      <c r="G5" s="44">
        <v>70</v>
      </c>
      <c r="H5" s="129">
        <f>IF(B$17=0,0,G5/B$17)</f>
        <v>0.42168674698795183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-1324.1935483870968</v>
      </c>
      <c r="P5" s="115">
        <v>62</v>
      </c>
      <c r="Q5" s="99">
        <v>-82100</v>
      </c>
    </row>
    <row r="6" spans="1:17" x14ac:dyDescent="0.4">
      <c r="A6" s="51" t="s">
        <v>1</v>
      </c>
      <c r="B6" s="144">
        <f>IF(B$2=0,0,(B$7*1+B$8*2+B$9*3)/B$2)</f>
        <v>2.157142857142857</v>
      </c>
      <c r="C6" s="145"/>
      <c r="E6" s="59" t="s">
        <v>68</v>
      </c>
      <c r="F6" s="56" t="s">
        <v>12</v>
      </c>
      <c r="G6" s="44">
        <v>58</v>
      </c>
      <c r="H6" s="129">
        <f>IF(B$17=0,0,G6/B$17)</f>
        <v>0.3493975903614458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-3210.1694915254238</v>
      </c>
      <c r="P6" s="115">
        <v>59</v>
      </c>
      <c r="Q6" s="99">
        <v>-189400</v>
      </c>
    </row>
    <row r="7" spans="1:17" x14ac:dyDescent="0.4">
      <c r="A7" s="51" t="s">
        <v>2</v>
      </c>
      <c r="B7" s="44">
        <v>16</v>
      </c>
      <c r="C7" s="37">
        <f t="shared" ref="C7:C12" si="1">IF(B$2=0,0,B7/B$2)</f>
        <v>0.22857142857142856</v>
      </c>
      <c r="E7" s="59" t="s">
        <v>67</v>
      </c>
      <c r="F7" s="56" t="s">
        <v>23</v>
      </c>
      <c r="G7" s="44">
        <v>49</v>
      </c>
      <c r="H7" s="129">
        <f>IF(B$17=0,0,G7/B$17)</f>
        <v>0.29518072289156627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-1372.5490196078431</v>
      </c>
      <c r="P7" s="116">
        <v>51</v>
      </c>
      <c r="Q7" s="100">
        <v>-70000</v>
      </c>
    </row>
    <row r="8" spans="1:17" x14ac:dyDescent="0.4">
      <c r="A8" s="51" t="s">
        <v>3</v>
      </c>
      <c r="B8" s="44">
        <v>27</v>
      </c>
      <c r="C8" s="37">
        <f t="shared" si="1"/>
        <v>0.38571428571428573</v>
      </c>
      <c r="E8" s="59" t="s">
        <v>70</v>
      </c>
      <c r="F8" s="56" t="s">
        <v>25</v>
      </c>
      <c r="G8" s="44">
        <v>25</v>
      </c>
      <c r="H8" s="129">
        <f>IF(B$17=0,0,G8/B$17)</f>
        <v>0.15060240963855423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0.38571428571428573</v>
      </c>
      <c r="E9" s="59" t="s">
        <v>69</v>
      </c>
      <c r="F9" s="56" t="s">
        <v>24</v>
      </c>
      <c r="G9" s="44">
        <v>24</v>
      </c>
      <c r="H9" s="129">
        <f>IF(B$17=0,0,G9/B$17)</f>
        <v>0.14457831325301204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8.5714285714285715E-2</v>
      </c>
      <c r="E10" s="59" t="s">
        <v>89</v>
      </c>
      <c r="F10" s="56" t="s">
        <v>44</v>
      </c>
      <c r="G10" s="44">
        <v>20</v>
      </c>
      <c r="H10" s="129">
        <f>IF(B$17=0,0,G10/B$17)</f>
        <v>0.12048192771084337</v>
      </c>
      <c r="I10" s="90">
        <v>7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2.8571428571428571E-2</v>
      </c>
      <c r="E11" s="59" t="s">
        <v>65</v>
      </c>
      <c r="F11" s="56" t="s">
        <v>21</v>
      </c>
      <c r="G11" s="44">
        <v>19</v>
      </c>
      <c r="H11" s="129">
        <f>IF(B$17=0,0,G11/B$17)</f>
        <v>0.1144578313253012</v>
      </c>
      <c r="I11" s="90">
        <v>5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7.1428571428571425E-2</v>
      </c>
      <c r="E12" s="59" t="s">
        <v>83</v>
      </c>
      <c r="F12" s="56" t="s">
        <v>38</v>
      </c>
      <c r="G12" s="44">
        <v>10</v>
      </c>
      <c r="H12" s="129">
        <f>IF(B$17=0,0,G12/B$17)</f>
        <v>6.0240963855421686E-2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4" t="s">
        <v>121</v>
      </c>
      <c r="B13" s="47">
        <v>169</v>
      </c>
      <c r="C13" s="42">
        <f>IF(B$3=0,0,B13/B$3)</f>
        <v>0.28499156829679595</v>
      </c>
      <c r="E13" s="59" t="s">
        <v>71</v>
      </c>
      <c r="F13" s="56" t="s">
        <v>26</v>
      </c>
      <c r="G13" s="44">
        <v>7</v>
      </c>
      <c r="H13" s="129">
        <f>IF(B$17=0,0,G13/B$17)</f>
        <v>4.2168674698795178E-2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114</v>
      </c>
      <c r="C14" s="37">
        <f>IF(B$3=0,0,B14/B$3)</f>
        <v>0.19224283305227655</v>
      </c>
      <c r="E14" s="59" t="s">
        <v>78</v>
      </c>
      <c r="F14" s="56" t="s">
        <v>33</v>
      </c>
      <c r="G14" s="44">
        <v>6</v>
      </c>
      <c r="H14" s="129">
        <f>IF(B$17=0,0,G14/B$17)</f>
        <v>3.614457831325301E-2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97</v>
      </c>
      <c r="C15" s="35">
        <f>IF(B$13=0,0,B15/B$13)</f>
        <v>0.57396449704142016</v>
      </c>
      <c r="E15" s="59" t="s">
        <v>86</v>
      </c>
      <c r="F15" s="56" t="s">
        <v>41</v>
      </c>
      <c r="G15" s="44">
        <v>4</v>
      </c>
      <c r="H15" s="129">
        <f>IF(B$17=0,0,G15/B$17)</f>
        <v>2.4096385542168676E-2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47</v>
      </c>
      <c r="C16" s="35">
        <f>IF(B$14=0,0,B16/B$14)</f>
        <v>0.41228070175438597</v>
      </c>
      <c r="E16" s="59" t="s">
        <v>81</v>
      </c>
      <c r="F16" s="56" t="s">
        <v>36</v>
      </c>
      <c r="G16" s="44">
        <v>3</v>
      </c>
      <c r="H16" s="129">
        <f>IF(B$17=0,0,G16/B$17)</f>
        <v>1.8072289156626505E-2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166</v>
      </c>
      <c r="C17" s="35">
        <f>IF(B$3=0,0,B17/B$3)</f>
        <v>0.2799325463743676</v>
      </c>
      <c r="E17" s="59" t="s">
        <v>167</v>
      </c>
      <c r="F17" s="56" t="s">
        <v>168</v>
      </c>
      <c r="G17" s="44">
        <v>3</v>
      </c>
      <c r="H17" s="129">
        <f>IF(B$17=0,0,G17/B$17)</f>
        <v>1.8072289156626505E-2</v>
      </c>
      <c r="I17" s="90">
        <v>5</v>
      </c>
      <c r="K17" s="36">
        <v>15</v>
      </c>
      <c r="L17" s="95">
        <v>-221.5</v>
      </c>
      <c r="N17" s="111" t="s">
        <v>177</v>
      </c>
      <c r="O17" s="121">
        <f t="shared" si="2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12</v>
      </c>
      <c r="B18" s="44">
        <v>76</v>
      </c>
      <c r="C18" s="37">
        <f>IF(B$17=0,0,B18/B$17)</f>
        <v>0.45783132530120479</v>
      </c>
      <c r="E18" s="59" t="s">
        <v>75</v>
      </c>
      <c r="F18" s="56" t="s">
        <v>30</v>
      </c>
      <c r="G18" s="44">
        <v>2</v>
      </c>
      <c r="H18" s="129">
        <f>IF(B$17=0,0,G18/B$17)</f>
        <v>1.2048192771084338E-2</v>
      </c>
      <c r="I18" s="90">
        <v>2</v>
      </c>
      <c r="K18" s="36">
        <v>16</v>
      </c>
      <c r="L18" s="95">
        <v>-224.3</v>
      </c>
      <c r="N18" s="111" t="s">
        <v>181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11</v>
      </c>
      <c r="B19" s="44">
        <v>90</v>
      </c>
      <c r="C19" s="37">
        <f>IF(B$17=0,0,B19/B$17)</f>
        <v>0.54216867469879515</v>
      </c>
      <c r="E19" s="59" t="s">
        <v>79</v>
      </c>
      <c r="F19" s="56" t="s">
        <v>34</v>
      </c>
      <c r="G19" s="44">
        <v>2</v>
      </c>
      <c r="H19" s="129">
        <f>IF(B$17=0,0,G19/B$17)</f>
        <v>1.2048192771084338E-2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119</v>
      </c>
      <c r="C20" s="37">
        <f>IF(B$3=0,0,B20/B$3)</f>
        <v>0.20067453625632378</v>
      </c>
      <c r="E20" s="59" t="s">
        <v>91</v>
      </c>
      <c r="F20" s="56" t="s">
        <v>46</v>
      </c>
      <c r="G20" s="44">
        <v>1</v>
      </c>
      <c r="H20" s="129">
        <f>IF(B$17=0,0,G20/B$17)</f>
        <v>6.024096385542169E-3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2"/>
        <v>-14.68333333333333</v>
      </c>
      <c r="P20" s="115">
        <v>36</v>
      </c>
      <c r="Q20" s="103">
        <v>-528.59999999999991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2"/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5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8094.5783132530123</v>
      </c>
      <c r="C23" s="39">
        <v>1343700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8694.1176470588234</v>
      </c>
      <c r="C24" s="137">
        <v>1034600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6576.5957446808507</v>
      </c>
      <c r="C25" s="137">
        <v>309100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-7667.226890756303</v>
      </c>
      <c r="C26" s="137">
        <v>-912400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5.0590219224283303E-3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</sheetData>
  <sortState xmlns:xlrd2="http://schemas.microsoft.com/office/spreadsheetml/2017/richdata2" ref="E2:I7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7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76</v>
      </c>
      <c r="C2" s="149"/>
      <c r="E2" s="58" t="s">
        <v>66</v>
      </c>
      <c r="F2" s="55" t="s">
        <v>22</v>
      </c>
      <c r="G2" s="43">
        <v>144</v>
      </c>
      <c r="H2" s="128">
        <f>IF(B$17=0,0,G2/B$17)</f>
        <v>0.82758620689655171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1264.4736842105262</v>
      </c>
      <c r="P2" s="114">
        <v>76</v>
      </c>
      <c r="Q2" s="98">
        <v>96100</v>
      </c>
    </row>
    <row r="3" spans="1:17" x14ac:dyDescent="0.4">
      <c r="A3" s="51" t="s">
        <v>8</v>
      </c>
      <c r="B3" s="150">
        <v>612</v>
      </c>
      <c r="C3" s="151"/>
      <c r="E3" s="59" t="s">
        <v>72</v>
      </c>
      <c r="F3" s="56" t="s">
        <v>27</v>
      </c>
      <c r="G3" s="44">
        <v>98</v>
      </c>
      <c r="H3" s="129">
        <f>IF(B$17=0,0,G3/B$17)</f>
        <v>0.56321839080459768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-2520.5479452054797</v>
      </c>
      <c r="P3" s="115">
        <v>73</v>
      </c>
      <c r="Q3" s="99">
        <v>-184000</v>
      </c>
    </row>
    <row r="4" spans="1:17" x14ac:dyDescent="0.4">
      <c r="A4" s="51" t="s">
        <v>6</v>
      </c>
      <c r="B4" s="152">
        <v>325.7000000000001</v>
      </c>
      <c r="C4" s="153"/>
      <c r="E4" s="59" t="s">
        <v>64</v>
      </c>
      <c r="F4" s="56" t="s">
        <v>20</v>
      </c>
      <c r="G4" s="44">
        <v>93</v>
      </c>
      <c r="H4" s="129">
        <f>IF(B$17=0,0,G4/B$17)</f>
        <v>0.53448275862068961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54">
        <f>IF(B$2=0,0,B$4/B$2)</f>
        <v>4.2855263157894754</v>
      </c>
      <c r="C5" s="155"/>
      <c r="E5" s="59" t="s">
        <v>67</v>
      </c>
      <c r="F5" s="56" t="s">
        <v>23</v>
      </c>
      <c r="G5" s="44">
        <v>72</v>
      </c>
      <c r="H5" s="129">
        <f>IF(B$17=0,0,G5/B$17)</f>
        <v>0.41379310344827586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44">
        <f>IF(B$2=0,0,(B$7*1+B$8*2+B$9*3)/B$2)</f>
        <v>1.9210526315789473</v>
      </c>
      <c r="C6" s="145"/>
      <c r="E6" s="59" t="s">
        <v>171</v>
      </c>
      <c r="F6" s="56" t="s">
        <v>172</v>
      </c>
      <c r="G6" s="44">
        <v>66</v>
      </c>
      <c r="H6" s="129">
        <f>IF(B$17=0,0,G6/B$17)</f>
        <v>0.37931034482758619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0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30</v>
      </c>
      <c r="C7" s="37">
        <f t="shared" ref="C7:C12" si="1">IF(B$2=0,0,B7/B$2)</f>
        <v>0.39473684210526316</v>
      </c>
      <c r="E7" s="59" t="s">
        <v>68</v>
      </c>
      <c r="F7" s="56" t="s">
        <v>12</v>
      </c>
      <c r="G7" s="44">
        <v>64</v>
      </c>
      <c r="H7" s="129">
        <f>IF(B$17=0,0,G7/B$17)</f>
        <v>0.36781609195402298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-83.720930232558146</v>
      </c>
      <c r="P7" s="116">
        <v>43</v>
      </c>
      <c r="Q7" s="100">
        <v>-3600</v>
      </c>
    </row>
    <row r="8" spans="1:17" x14ac:dyDescent="0.4">
      <c r="A8" s="51" t="s">
        <v>3</v>
      </c>
      <c r="B8" s="44">
        <v>22</v>
      </c>
      <c r="C8" s="37">
        <f t="shared" si="1"/>
        <v>0.28947368421052633</v>
      </c>
      <c r="E8" s="59" t="s">
        <v>89</v>
      </c>
      <c r="F8" s="56" t="s">
        <v>44</v>
      </c>
      <c r="G8" s="44">
        <v>40</v>
      </c>
      <c r="H8" s="129">
        <f>IF(B$17=0,0,G8/B$17)</f>
        <v>0.22988505747126436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0.31578947368421051</v>
      </c>
      <c r="E9" s="59" t="s">
        <v>69</v>
      </c>
      <c r="F9" s="56" t="s">
        <v>24</v>
      </c>
      <c r="G9" s="44">
        <v>35</v>
      </c>
      <c r="H9" s="129">
        <f>IF(B$17=0,0,G9/B$17)</f>
        <v>0.20114942528735633</v>
      </c>
      <c r="I9" s="90">
        <v>3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0.10526315789473684</v>
      </c>
      <c r="E10" s="59" t="s">
        <v>65</v>
      </c>
      <c r="F10" s="56" t="s">
        <v>21</v>
      </c>
      <c r="G10" s="44">
        <v>25</v>
      </c>
      <c r="H10" s="129">
        <f>IF(B$17=0,0,G10/B$17)</f>
        <v>0.14367816091954022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2" t="s">
        <v>138</v>
      </c>
      <c r="B11" s="45">
        <v>14</v>
      </c>
      <c r="C11" s="38">
        <f t="shared" si="1"/>
        <v>0.18421052631578946</v>
      </c>
      <c r="E11" s="59" t="s">
        <v>70</v>
      </c>
      <c r="F11" s="56" t="s">
        <v>25</v>
      </c>
      <c r="G11" s="44">
        <v>20</v>
      </c>
      <c r="H11" s="129">
        <f>IF(B$17=0,0,G11/B$17)</f>
        <v>0.11494252873563218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6.3617647058823517</v>
      </c>
      <c r="P11" s="115">
        <v>34</v>
      </c>
      <c r="Q11" s="103">
        <v>216.29999999999995</v>
      </c>
    </row>
    <row r="12" spans="1:17" x14ac:dyDescent="0.4">
      <c r="A12" s="53" t="s">
        <v>158</v>
      </c>
      <c r="B12" s="46">
        <v>8</v>
      </c>
      <c r="C12" s="40">
        <f t="shared" si="1"/>
        <v>0.10526315789473684</v>
      </c>
      <c r="E12" s="59" t="s">
        <v>167</v>
      </c>
      <c r="F12" s="56" t="s">
        <v>168</v>
      </c>
      <c r="G12" s="44">
        <v>13</v>
      </c>
      <c r="H12" s="129">
        <f>IF(B$17=0,0,G12/B$17)</f>
        <v>7.4712643678160925E-2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4" t="s">
        <v>121</v>
      </c>
      <c r="B13" s="47">
        <v>193</v>
      </c>
      <c r="C13" s="42">
        <f>IF(B$3=0,0,B13/B$3)</f>
        <v>0.315359477124183</v>
      </c>
      <c r="E13" s="59" t="s">
        <v>71</v>
      </c>
      <c r="F13" s="56" t="s">
        <v>26</v>
      </c>
      <c r="G13" s="44">
        <v>9</v>
      </c>
      <c r="H13" s="129">
        <f>IF(B$17=0,0,G13/B$17)</f>
        <v>5.1724137931034482E-2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0.1781045751633987</v>
      </c>
      <c r="E14" s="59" t="s">
        <v>83</v>
      </c>
      <c r="F14" s="56" t="s">
        <v>38</v>
      </c>
      <c r="G14" s="44">
        <v>7</v>
      </c>
      <c r="H14" s="129">
        <f>IF(B$17=0,0,G14/B$17)</f>
        <v>4.0229885057471264E-2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106</v>
      </c>
      <c r="C15" s="35">
        <f>IF(B$13=0,0,B15/B$13)</f>
        <v>0.54922279792746109</v>
      </c>
      <c r="E15" s="59" t="s">
        <v>86</v>
      </c>
      <c r="F15" s="56" t="s">
        <v>41</v>
      </c>
      <c r="G15" s="44">
        <v>5</v>
      </c>
      <c r="H15" s="129">
        <f>IF(B$17=0,0,G15/B$17)</f>
        <v>2.8735632183908046E-2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46</v>
      </c>
      <c r="C16" s="35">
        <f>IF(B$14=0,0,B16/B$14)</f>
        <v>0.42201834862385323</v>
      </c>
      <c r="E16" s="59" t="s">
        <v>81</v>
      </c>
      <c r="F16" s="56" t="s">
        <v>36</v>
      </c>
      <c r="G16" s="44">
        <v>4</v>
      </c>
      <c r="H16" s="129">
        <f>IF(B$17=0,0,G16/B$17)</f>
        <v>2.2988505747126436E-2</v>
      </c>
      <c r="I16" s="90">
        <v>3</v>
      </c>
      <c r="K16" s="36">
        <v>14</v>
      </c>
      <c r="L16" s="95">
        <v>-86.499999999999972</v>
      </c>
      <c r="N16" s="111" t="s">
        <v>166</v>
      </c>
      <c r="O16" s="121">
        <f>IF(P16=0,0,Q16/P16)</f>
        <v>38.991666666666667</v>
      </c>
      <c r="P16" s="115">
        <v>12</v>
      </c>
      <c r="Q16" s="103">
        <v>467.9</v>
      </c>
    </row>
    <row r="17" spans="1:17" x14ac:dyDescent="0.4">
      <c r="A17" s="50" t="s">
        <v>10</v>
      </c>
      <c r="B17" s="43">
        <f>B19+B18</f>
        <v>174</v>
      </c>
      <c r="C17" s="35">
        <f>IF(B$3=0,0,B17/B$3)</f>
        <v>0.28431372549019607</v>
      </c>
      <c r="E17" s="59" t="s">
        <v>92</v>
      </c>
      <c r="F17" s="56" t="s">
        <v>47</v>
      </c>
      <c r="G17" s="44">
        <v>4</v>
      </c>
      <c r="H17" s="129">
        <f>IF(B$17=0,0,G17/B$17)</f>
        <v>2.2988505747126436E-2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17.12777777777778</v>
      </c>
      <c r="P17" s="115">
        <v>18</v>
      </c>
      <c r="Q17" s="103">
        <v>308.3</v>
      </c>
    </row>
    <row r="18" spans="1:17" x14ac:dyDescent="0.4">
      <c r="A18" s="51" t="s">
        <v>12</v>
      </c>
      <c r="B18" s="44">
        <v>84</v>
      </c>
      <c r="C18" s="37">
        <f>IF(B$17=0,0,B18/B$17)</f>
        <v>0.48275862068965519</v>
      </c>
      <c r="E18" s="59" t="s">
        <v>91</v>
      </c>
      <c r="F18" s="56" t="s">
        <v>46</v>
      </c>
      <c r="G18" s="44">
        <v>3</v>
      </c>
      <c r="H18" s="129">
        <f>IF(B$17=0,0,G18/B$17)</f>
        <v>1.7241379310344827E-2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>IF(P18=0,0,Q18/P18)</f>
        <v>10.6025641025641</v>
      </c>
      <c r="P18" s="115">
        <v>39</v>
      </c>
      <c r="Q18" s="103">
        <v>413.49999999999994</v>
      </c>
    </row>
    <row r="19" spans="1:17" x14ac:dyDescent="0.4">
      <c r="A19" s="51" t="s">
        <v>11</v>
      </c>
      <c r="B19" s="44">
        <v>90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1</v>
      </c>
      <c r="H19" s="129">
        <f>IF(B$17=0,0,G19/B$17)</f>
        <v>5.7471264367816091E-3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>IF(P19=0,0,Q19/P19)</f>
        <v>6.1749999999999972</v>
      </c>
      <c r="P19" s="115">
        <v>28</v>
      </c>
      <c r="Q19" s="103">
        <v>172.89999999999992</v>
      </c>
    </row>
    <row r="20" spans="1:17" x14ac:dyDescent="0.4">
      <c r="A20" s="51" t="s">
        <v>13</v>
      </c>
      <c r="B20" s="44">
        <v>104</v>
      </c>
      <c r="C20" s="37">
        <f>IF(B$3=0,0,B20/B$3)</f>
        <v>0.16993464052287582</v>
      </c>
      <c r="E20" s="59" t="s">
        <v>75</v>
      </c>
      <c r="F20" s="56" t="s">
        <v>30</v>
      </c>
      <c r="G20" s="44">
        <v>1</v>
      </c>
      <c r="H20" s="129">
        <f>IF(B$17=0,0,G20/B$17)</f>
        <v>5.7471264367816091E-3</v>
      </c>
      <c r="I20" s="90">
        <v>7</v>
      </c>
      <c r="K20" s="36">
        <v>18</v>
      </c>
      <c r="L20" s="95">
        <v>-24.999999999999968</v>
      </c>
      <c r="N20" s="111" t="s">
        <v>179</v>
      </c>
      <c r="O20" s="121">
        <f>IF(P20=0,0,Q20/P20)</f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78</v>
      </c>
      <c r="F21" s="56" t="s">
        <v>33</v>
      </c>
      <c r="G21" s="44">
        <v>1</v>
      </c>
      <c r="H21" s="129">
        <f>IF(B$17=0,0,G21/B$17)</f>
        <v>5.7471264367816091E-3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-8.0312500000000018</v>
      </c>
      <c r="P21" s="115">
        <v>32</v>
      </c>
      <c r="Q21" s="103">
        <v>-257.00000000000006</v>
      </c>
    </row>
    <row r="22" spans="1:17" x14ac:dyDescent="0.4">
      <c r="A22" s="51" t="s">
        <v>170</v>
      </c>
      <c r="B22" s="44">
        <v>25</v>
      </c>
      <c r="C22" s="131">
        <v>0</v>
      </c>
      <c r="E22" s="59" t="s">
        <v>79</v>
      </c>
      <c r="F22" s="56" t="s">
        <v>34</v>
      </c>
      <c r="G22" s="44">
        <v>1</v>
      </c>
      <c r="H22" s="129">
        <f>IF(B$17=0,0,G22/B$17)</f>
        <v>5.7471264367816091E-3</v>
      </c>
      <c r="I22" s="90">
        <v>7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10798.275862068966</v>
      </c>
      <c r="C23" s="39">
        <v>1878900</v>
      </c>
      <c r="E23" s="59" t="s">
        <v>85</v>
      </c>
      <c r="F23" s="56" t="s">
        <v>40</v>
      </c>
      <c r="G23" s="44">
        <v>1</v>
      </c>
      <c r="H23" s="129">
        <f>IF(B$17=0,0,G23/B$17)</f>
        <v>5.7471264367816091E-3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11707.8125</v>
      </c>
      <c r="C24" s="137">
        <v>1498600</v>
      </c>
      <c r="E24" s="59" t="s">
        <v>90</v>
      </c>
      <c r="F24" s="56" t="s">
        <v>45</v>
      </c>
      <c r="G24" s="44">
        <v>1</v>
      </c>
      <c r="H24" s="129">
        <f>IF(B$17=0,0,G24/B$17)</f>
        <v>5.7471264367816091E-3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8267.391304347826</v>
      </c>
      <c r="C25" s="137">
        <v>380300</v>
      </c>
      <c r="E25" s="59" t="s">
        <v>93</v>
      </c>
      <c r="F25" s="56" t="s">
        <v>48</v>
      </c>
      <c r="G25" s="44">
        <v>1</v>
      </c>
      <c r="H25" s="129">
        <f>IF(B$17=0,0,G25/B$17)</f>
        <v>5.7471264367816091E-3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-8158.6538461538457</v>
      </c>
      <c r="C26" s="137">
        <v>-848500</v>
      </c>
      <c r="E26" s="59" t="s">
        <v>97</v>
      </c>
      <c r="F26" s="56" t="s">
        <v>52</v>
      </c>
      <c r="G26" s="44">
        <v>1</v>
      </c>
      <c r="H26" s="129">
        <f>IF(B$17=0,0,G26/B$17)</f>
        <v>5.7471264367816091E-3</v>
      </c>
      <c r="I26" s="90">
        <v>1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74</v>
      </c>
      <c r="F27" s="56" t="s">
        <v>29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122100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96</v>
      </c>
      <c r="C2" s="149"/>
      <c r="E2" s="58" t="s">
        <v>66</v>
      </c>
      <c r="F2" s="55" t="s">
        <v>22</v>
      </c>
      <c r="G2" s="43">
        <v>166</v>
      </c>
      <c r="H2" s="128">
        <f>IF(B$17=0,0,G2/B$17)</f>
        <v>0.75113122171945701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912.5</v>
      </c>
      <c r="P2" s="114">
        <v>96</v>
      </c>
      <c r="Q2" s="98">
        <v>87600</v>
      </c>
    </row>
    <row r="3" spans="1:17" x14ac:dyDescent="0.4">
      <c r="A3" s="51" t="s">
        <v>8</v>
      </c>
      <c r="B3" s="150">
        <v>761</v>
      </c>
      <c r="C3" s="151"/>
      <c r="E3" s="59" t="s">
        <v>72</v>
      </c>
      <c r="F3" s="56" t="s">
        <v>27</v>
      </c>
      <c r="G3" s="44">
        <v>122</v>
      </c>
      <c r="H3" s="129">
        <f>IF(B$17=0,0,G3/B$17)</f>
        <v>0.55203619909502266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652.68817204301081</v>
      </c>
      <c r="P3" s="115">
        <v>93</v>
      </c>
      <c r="Q3" s="99">
        <v>60700</v>
      </c>
    </row>
    <row r="4" spans="1:17" x14ac:dyDescent="0.4">
      <c r="A4" s="51" t="s">
        <v>6</v>
      </c>
      <c r="B4" s="152">
        <v>52.29999999999999</v>
      </c>
      <c r="C4" s="153"/>
      <c r="E4" s="59" t="s">
        <v>64</v>
      </c>
      <c r="F4" s="56" t="s">
        <v>20</v>
      </c>
      <c r="G4" s="44">
        <v>113</v>
      </c>
      <c r="H4" s="129">
        <f>IF(B$17=0,0,G4/B$17)</f>
        <v>0.5113122171945701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-358.62068965517244</v>
      </c>
      <c r="P4" s="115">
        <v>87</v>
      </c>
      <c r="Q4" s="99">
        <v>-31200</v>
      </c>
    </row>
    <row r="5" spans="1:17" x14ac:dyDescent="0.4">
      <c r="A5" s="51" t="s">
        <v>7</v>
      </c>
      <c r="B5" s="154">
        <f>IF(B$2=0,0,B$4/B$2)</f>
        <v>0.54479166666666656</v>
      </c>
      <c r="C5" s="155"/>
      <c r="E5" s="59" t="s">
        <v>171</v>
      </c>
      <c r="F5" s="56" t="s">
        <v>172</v>
      </c>
      <c r="G5" s="44">
        <v>105</v>
      </c>
      <c r="H5" s="129">
        <f>IF(B$17=0,0,G5/B$17)</f>
        <v>0.47511312217194568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64.556962025316452</v>
      </c>
      <c r="P5" s="115">
        <v>79</v>
      </c>
      <c r="Q5" s="99">
        <v>5100</v>
      </c>
    </row>
    <row r="6" spans="1:17" x14ac:dyDescent="0.4">
      <c r="A6" s="51" t="s">
        <v>1</v>
      </c>
      <c r="B6" s="144">
        <f>IF(B$2=0,0,(B$7*1+B$8*2+B$9*3)/B$2)</f>
        <v>2.0104166666666665</v>
      </c>
      <c r="C6" s="145"/>
      <c r="E6" s="59" t="s">
        <v>67</v>
      </c>
      <c r="F6" s="56" t="s">
        <v>23</v>
      </c>
      <c r="G6" s="44">
        <v>88</v>
      </c>
      <c r="H6" s="129">
        <f>IF(B$17=0,0,G6/B$17)</f>
        <v>0.39819004524886875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-671.01449275362324</v>
      </c>
      <c r="P6" s="115">
        <v>69</v>
      </c>
      <c r="Q6" s="99">
        <v>-46300</v>
      </c>
    </row>
    <row r="7" spans="1:17" x14ac:dyDescent="0.4">
      <c r="A7" s="51" t="s">
        <v>2</v>
      </c>
      <c r="B7" s="44">
        <v>24</v>
      </c>
      <c r="C7" s="37">
        <f t="shared" ref="C7:C12" si="1">IF(B$2=0,0,B7/B$2)</f>
        <v>0.25</v>
      </c>
      <c r="E7" s="59" t="s">
        <v>68</v>
      </c>
      <c r="F7" s="56" t="s">
        <v>12</v>
      </c>
      <c r="G7" s="44">
        <v>74</v>
      </c>
      <c r="H7" s="129">
        <f>IF(B$17=0,0,G7/B$17)</f>
        <v>0.33484162895927599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-579.66101694915255</v>
      </c>
      <c r="P7" s="116">
        <v>59</v>
      </c>
      <c r="Q7" s="100">
        <v>-34200</v>
      </c>
    </row>
    <row r="8" spans="1:17" x14ac:dyDescent="0.4">
      <c r="A8" s="51" t="s">
        <v>3</v>
      </c>
      <c r="B8" s="44">
        <v>47</v>
      </c>
      <c r="C8" s="37">
        <f t="shared" si="1"/>
        <v>0.48958333333333331</v>
      </c>
      <c r="E8" s="59" t="s">
        <v>69</v>
      </c>
      <c r="F8" s="56" t="s">
        <v>24</v>
      </c>
      <c r="G8" s="44">
        <v>31</v>
      </c>
      <c r="H8" s="129">
        <f>IF(B$17=0,0,G8/B$17)</f>
        <v>0.14027149321266968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0.26041666666666669</v>
      </c>
      <c r="E9" s="59" t="s">
        <v>71</v>
      </c>
      <c r="F9" s="56" t="s">
        <v>26</v>
      </c>
      <c r="G9" s="44">
        <v>22</v>
      </c>
      <c r="H9" s="129">
        <f>IF(B$17=0,0,G9/B$17)</f>
        <v>9.9547511312217188E-2</v>
      </c>
      <c r="I9" s="90">
        <v>2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8.3333333333333329E-2</v>
      </c>
      <c r="E10" s="59" t="s">
        <v>89</v>
      </c>
      <c r="F10" s="56" t="s">
        <v>44</v>
      </c>
      <c r="G10" s="44">
        <v>21</v>
      </c>
      <c r="H10" s="129">
        <f>IF(B$17=0,0,G10/B$17)</f>
        <v>9.5022624434389136E-2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0.74390243902439002</v>
      </c>
      <c r="P10" s="114">
        <v>41</v>
      </c>
      <c r="Q10" s="102">
        <v>30.499999999999993</v>
      </c>
    </row>
    <row r="11" spans="1:17" x14ac:dyDescent="0.4">
      <c r="A11" s="52" t="s">
        <v>138</v>
      </c>
      <c r="B11" s="45">
        <v>9</v>
      </c>
      <c r="C11" s="38">
        <f t="shared" si="1"/>
        <v>9.375E-2</v>
      </c>
      <c r="E11" s="59" t="s">
        <v>70</v>
      </c>
      <c r="F11" s="56" t="s">
        <v>25</v>
      </c>
      <c r="G11" s="44">
        <v>18</v>
      </c>
      <c r="H11" s="129">
        <f>IF(B$17=0,0,G11/B$17)</f>
        <v>8.1447963800904979E-2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3.1172413793103448</v>
      </c>
      <c r="P11" s="115">
        <v>29</v>
      </c>
      <c r="Q11" s="103">
        <v>90.4</v>
      </c>
    </row>
    <row r="12" spans="1:17" x14ac:dyDescent="0.4">
      <c r="A12" s="53" t="s">
        <v>158</v>
      </c>
      <c r="B12" s="46">
        <v>5</v>
      </c>
      <c r="C12" s="40">
        <f t="shared" si="1"/>
        <v>5.2083333333333336E-2</v>
      </c>
      <c r="E12" s="59" t="s">
        <v>65</v>
      </c>
      <c r="F12" s="56" t="s">
        <v>21</v>
      </c>
      <c r="G12" s="44">
        <v>17</v>
      </c>
      <c r="H12" s="129">
        <f>IF(B$17=0,0,G12/B$17)</f>
        <v>7.6923076923076927E-2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205</v>
      </c>
      <c r="C13" s="42">
        <f>IF(B$3=0,0,B13/B$3)</f>
        <v>0.26938239159001315</v>
      </c>
      <c r="E13" s="59" t="s">
        <v>86</v>
      </c>
      <c r="F13" s="56" t="s">
        <v>41</v>
      </c>
      <c r="G13" s="44">
        <v>12</v>
      </c>
      <c r="H13" s="129">
        <f>IF(B$17=0,0,G13/B$17)</f>
        <v>5.4298642533936653E-2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167</v>
      </c>
      <c r="C14" s="37">
        <f>IF(B$3=0,0,B14/B$3)</f>
        <v>0.21944809461235218</v>
      </c>
      <c r="E14" s="59" t="s">
        <v>83</v>
      </c>
      <c r="F14" s="56" t="s">
        <v>38</v>
      </c>
      <c r="G14" s="44">
        <v>8</v>
      </c>
      <c r="H14" s="129">
        <f>IF(B$17=0,0,G14/B$17)</f>
        <v>3.6199095022624438E-2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120</v>
      </c>
      <c r="C15" s="35">
        <f>IF(B$13=0,0,B15/B$13)</f>
        <v>0.58536585365853655</v>
      </c>
      <c r="E15" s="59" t="s">
        <v>79</v>
      </c>
      <c r="F15" s="56" t="s">
        <v>34</v>
      </c>
      <c r="G15" s="44">
        <v>6</v>
      </c>
      <c r="H15" s="129">
        <f>IF(B$17=0,0,G15/B$17)</f>
        <v>2.7149321266968326E-2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69</v>
      </c>
      <c r="C16" s="35">
        <f>IF(B$14=0,0,B16/B$14)</f>
        <v>0.41317365269461076</v>
      </c>
      <c r="E16" s="59" t="s">
        <v>167</v>
      </c>
      <c r="F16" s="56" t="s">
        <v>168</v>
      </c>
      <c r="G16" s="44">
        <v>6</v>
      </c>
      <c r="H16" s="129">
        <f>IF(B$17=0,0,G16/B$17)</f>
        <v>2.7149321266968326E-2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221</v>
      </c>
      <c r="C17" s="35">
        <f>IF(B$3=0,0,B17/B$3)</f>
        <v>0.29040735873850199</v>
      </c>
      <c r="E17" s="59" t="s">
        <v>73</v>
      </c>
      <c r="F17" s="56" t="s">
        <v>28</v>
      </c>
      <c r="G17" s="44">
        <v>3</v>
      </c>
      <c r="H17" s="129">
        <f>IF(B$17=0,0,G17/B$17)</f>
        <v>1.3574660633484163E-2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25.104347826086954</v>
      </c>
      <c r="P17" s="115">
        <v>23</v>
      </c>
      <c r="Q17" s="103">
        <v>577.4</v>
      </c>
    </row>
    <row r="18" spans="1:17" x14ac:dyDescent="0.4">
      <c r="A18" s="51" t="s">
        <v>12</v>
      </c>
      <c r="B18" s="44">
        <v>100</v>
      </c>
      <c r="C18" s="37">
        <f>IF(B$17=0,0,B18/B$17)</f>
        <v>0.45248868778280543</v>
      </c>
      <c r="E18" s="59" t="s">
        <v>78</v>
      </c>
      <c r="F18" s="56" t="s">
        <v>33</v>
      </c>
      <c r="G18" s="44">
        <v>3</v>
      </c>
      <c r="H18" s="129">
        <f>IF(B$17=0,0,G18/B$17)</f>
        <v>1.3574660633484163E-2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121</v>
      </c>
      <c r="C19" s="37">
        <f>IF(B$17=0,0,B19/B$17)</f>
        <v>0.54751131221719462</v>
      </c>
      <c r="E19" s="59" t="s">
        <v>81</v>
      </c>
      <c r="F19" s="56" t="s">
        <v>36</v>
      </c>
      <c r="G19" s="44">
        <v>3</v>
      </c>
      <c r="H19" s="129">
        <f>IF(B$17=0,0,G19/B$17)</f>
        <v>1.3574660633484163E-2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102</v>
      </c>
      <c r="C20" s="37">
        <f>IF(B$3=0,0,B20/B$3)</f>
        <v>0.13403416557161629</v>
      </c>
      <c r="E20" s="59" t="s">
        <v>91</v>
      </c>
      <c r="F20" s="56" t="s">
        <v>46</v>
      </c>
      <c r="G20" s="44">
        <v>2</v>
      </c>
      <c r="H20" s="129">
        <f>IF(B$17=0,0,G20/B$17)</f>
        <v>9.0497737556561094E-3</v>
      </c>
      <c r="I20" s="90">
        <v>6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74</v>
      </c>
      <c r="F21" s="56" t="s">
        <v>29</v>
      </c>
      <c r="G21" s="44">
        <v>1</v>
      </c>
      <c r="H21" s="129">
        <f>IF(B$17=0,0,G21/B$17)</f>
        <v>4.5248868778280547E-3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4</v>
      </c>
      <c r="E22" s="59" t="s">
        <v>75</v>
      </c>
      <c r="F22" s="56" t="s">
        <v>30</v>
      </c>
      <c r="G22" s="44">
        <v>1</v>
      </c>
      <c r="H22" s="129">
        <f>IF(B$17=0,0,G22/B$17)</f>
        <v>4.5248868778280547E-3</v>
      </c>
      <c r="I22" s="90">
        <v>8</v>
      </c>
      <c r="K22" s="36">
        <v>20</v>
      </c>
      <c r="L22" s="95">
        <v>-93.199999999999989</v>
      </c>
      <c r="N22" s="111" t="s">
        <v>177</v>
      </c>
      <c r="O22" s="121">
        <f t="shared" si="2"/>
        <v>-10.602564102564102</v>
      </c>
      <c r="P22" s="115">
        <v>39</v>
      </c>
      <c r="Q22" s="103">
        <v>-413.5</v>
      </c>
    </row>
    <row r="23" spans="1:17" x14ac:dyDescent="0.4">
      <c r="A23" s="51" t="s">
        <v>5</v>
      </c>
      <c r="B23" s="48">
        <f>IF(B$17=0,0,C23/B$17)</f>
        <v>8432.1266968325799</v>
      </c>
      <c r="C23" s="39">
        <v>1863500</v>
      </c>
      <c r="E23" s="59" t="s">
        <v>85</v>
      </c>
      <c r="F23" s="56" t="s">
        <v>40</v>
      </c>
      <c r="G23" s="44">
        <v>1</v>
      </c>
      <c r="H23" s="129">
        <f>IF(B$17=0,0,G23/B$17)</f>
        <v>4.5248868778280547E-3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2"/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9348.6842105263149</v>
      </c>
      <c r="C24" s="137">
        <v>1421000</v>
      </c>
      <c r="E24" s="59" t="s">
        <v>87</v>
      </c>
      <c r="F24" s="56" t="s">
        <v>42</v>
      </c>
      <c r="G24" s="44">
        <v>1</v>
      </c>
      <c r="H24" s="129">
        <f>IF(B$17=0,0,G24/B$17)</f>
        <v>4.5248868778280547E-3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6413.04347826087</v>
      </c>
      <c r="C25" s="137">
        <v>442500</v>
      </c>
      <c r="E25" s="59" t="s">
        <v>88</v>
      </c>
      <c r="F25" s="56" t="s">
        <v>43</v>
      </c>
      <c r="G25" s="44">
        <v>1</v>
      </c>
      <c r="H25" s="129">
        <f>IF(B$17=0,0,G25/B$17)</f>
        <v>4.5248868778280547E-3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-7909.8039215686276</v>
      </c>
      <c r="C26" s="137">
        <v>-806800</v>
      </c>
      <c r="E26" s="59" t="s">
        <v>93</v>
      </c>
      <c r="F26" s="56" t="s">
        <v>48</v>
      </c>
      <c r="G26" s="44">
        <v>1</v>
      </c>
      <c r="H26" s="129">
        <f>IF(B$17=0,0,G26/B$17)</f>
        <v>4.5248868778280547E-3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4.5248868778280547E-3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2.6281208935611039E-3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</sheetData>
  <sortState xmlns:xlrd2="http://schemas.microsoft.com/office/spreadsheetml/2017/richdata2" ref="E2:I9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54</v>
      </c>
      <c r="H2" s="128">
        <f>IF(B$17=0,0,G2/B$17)</f>
        <v>0.6506024096385542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-2853.6585365853657</v>
      </c>
      <c r="P2" s="114">
        <v>41</v>
      </c>
      <c r="Q2" s="98">
        <v>-117000</v>
      </c>
    </row>
    <row r="3" spans="1:17" x14ac:dyDescent="0.4">
      <c r="A3" s="51" t="s">
        <v>8</v>
      </c>
      <c r="B3" s="150">
        <v>334</v>
      </c>
      <c r="C3" s="151"/>
      <c r="E3" s="59" t="s">
        <v>72</v>
      </c>
      <c r="F3" s="56" t="s">
        <v>27</v>
      </c>
      <c r="G3" s="44">
        <v>50</v>
      </c>
      <c r="H3" s="129">
        <f>IF(B$17=0,0,G3/B$17)</f>
        <v>0.60240963855421692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-182.92682926829269</v>
      </c>
      <c r="P3" s="115">
        <v>41</v>
      </c>
      <c r="Q3" s="99">
        <v>-7500</v>
      </c>
    </row>
    <row r="4" spans="1:17" x14ac:dyDescent="0.4">
      <c r="A4" s="51" t="s">
        <v>6</v>
      </c>
      <c r="B4" s="152">
        <v>-624.80000000000007</v>
      </c>
      <c r="C4" s="153"/>
      <c r="E4" s="59" t="s">
        <v>64</v>
      </c>
      <c r="F4" s="56" t="s">
        <v>20</v>
      </c>
      <c r="G4" s="44">
        <v>35</v>
      </c>
      <c r="H4" s="129">
        <f>IF(B$17=0,0,G4/B$17)</f>
        <v>0.42168674698795183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-1695.1219512195121</v>
      </c>
      <c r="P4" s="115">
        <v>41</v>
      </c>
      <c r="Q4" s="99">
        <v>-69500</v>
      </c>
    </row>
    <row r="5" spans="1:17" x14ac:dyDescent="0.4">
      <c r="A5" s="51" t="s">
        <v>7</v>
      </c>
      <c r="B5" s="154">
        <f>IF(B$2=0,0,B$4/B$2)</f>
        <v>-15.239024390243904</v>
      </c>
      <c r="C5" s="155"/>
      <c r="E5" s="59" t="s">
        <v>171</v>
      </c>
      <c r="F5" s="56" t="s">
        <v>172</v>
      </c>
      <c r="G5" s="44">
        <v>30</v>
      </c>
      <c r="H5" s="129">
        <f>IF(B$17=0,0,G5/B$17)</f>
        <v>0.36144578313253012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0"/>
        <v>-2732.4324324324325</v>
      </c>
      <c r="P5" s="115">
        <v>37</v>
      </c>
      <c r="Q5" s="99">
        <v>-101100</v>
      </c>
    </row>
    <row r="6" spans="1:17" x14ac:dyDescent="0.4">
      <c r="A6" s="51" t="s">
        <v>1</v>
      </c>
      <c r="B6" s="144">
        <f>IF(B$2=0,0,(B$7*1+B$8*2+B$9*3)/B$2)</f>
        <v>2.4146341463414633</v>
      </c>
      <c r="C6" s="145"/>
      <c r="E6" s="59" t="s">
        <v>68</v>
      </c>
      <c r="F6" s="56" t="s">
        <v>12</v>
      </c>
      <c r="G6" s="44">
        <v>24</v>
      </c>
      <c r="H6" s="129">
        <f>IF(B$17=0,0,G6/B$17)</f>
        <v>0.28915662650602408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-1362.8571428571429</v>
      </c>
      <c r="P6" s="115">
        <v>35</v>
      </c>
      <c r="Q6" s="99">
        <v>-47700</v>
      </c>
    </row>
    <row r="7" spans="1:17" x14ac:dyDescent="0.4">
      <c r="A7" s="51" t="s">
        <v>2</v>
      </c>
      <c r="B7" s="44">
        <v>6</v>
      </c>
      <c r="C7" s="37">
        <f t="shared" ref="C7:C12" si="1">IF(B$2=0,0,B7/B$2)</f>
        <v>0.14634146341463414</v>
      </c>
      <c r="E7" s="59" t="s">
        <v>67</v>
      </c>
      <c r="F7" s="56" t="s">
        <v>23</v>
      </c>
      <c r="G7" s="44">
        <v>21</v>
      </c>
      <c r="H7" s="129">
        <f>IF(B$17=0,0,G7/B$17)</f>
        <v>0.25301204819277107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-3571.4285714285716</v>
      </c>
      <c r="P7" s="116">
        <v>28</v>
      </c>
      <c r="Q7" s="100">
        <v>-100000</v>
      </c>
    </row>
    <row r="8" spans="1:17" x14ac:dyDescent="0.4">
      <c r="A8" s="51" t="s">
        <v>3</v>
      </c>
      <c r="B8" s="44">
        <v>12</v>
      </c>
      <c r="C8" s="37">
        <f t="shared" si="1"/>
        <v>0.29268292682926828</v>
      </c>
      <c r="E8" s="59" t="s">
        <v>89</v>
      </c>
      <c r="F8" s="56" t="s">
        <v>44</v>
      </c>
      <c r="G8" s="44">
        <v>12</v>
      </c>
      <c r="H8" s="129">
        <f>IF(B$17=0,0,G8/B$17)</f>
        <v>0.14457831325301204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0.56097560975609762</v>
      </c>
      <c r="E9" s="59" t="s">
        <v>70</v>
      </c>
      <c r="F9" s="56" t="s">
        <v>25</v>
      </c>
      <c r="G9" s="44">
        <v>10</v>
      </c>
      <c r="H9" s="129">
        <f>IF(B$17=0,0,G9/B$17)</f>
        <v>0.12048192771084337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9</v>
      </c>
      <c r="C10" s="38">
        <f t="shared" si="1"/>
        <v>0.21951219512195122</v>
      </c>
      <c r="E10" s="59" t="s">
        <v>65</v>
      </c>
      <c r="F10" s="56" t="s">
        <v>21</v>
      </c>
      <c r="G10" s="44">
        <v>9</v>
      </c>
      <c r="H10" s="129">
        <f>IF(B$17=0,0,G10/B$17)</f>
        <v>0.10843373493975904</v>
      </c>
      <c r="I10" s="90">
        <v>6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2.4390243902439025E-2</v>
      </c>
      <c r="E11" s="59" t="s">
        <v>71</v>
      </c>
      <c r="F11" s="56" t="s">
        <v>26</v>
      </c>
      <c r="G11" s="44">
        <v>8</v>
      </c>
      <c r="H11" s="129">
        <f>IF(B$17=0,0,G11/B$17)</f>
        <v>9.6385542168674704E-2</v>
      </c>
      <c r="I11" s="90">
        <v>5</v>
      </c>
      <c r="K11" s="36">
        <v>9</v>
      </c>
      <c r="L11" s="95">
        <v>-150.6</v>
      </c>
      <c r="N11" s="111" t="s">
        <v>163</v>
      </c>
      <c r="O11" s="121">
        <f>IF(P11=0,0,Q11/P11)</f>
        <v>-10.381818181818181</v>
      </c>
      <c r="P11" s="115">
        <v>11</v>
      </c>
      <c r="Q11" s="103">
        <v>-114.19999999999999</v>
      </c>
    </row>
    <row r="12" spans="1:17" x14ac:dyDescent="0.4">
      <c r="A12" s="53" t="s">
        <v>158</v>
      </c>
      <c r="B12" s="46">
        <v>1</v>
      </c>
      <c r="C12" s="40">
        <f t="shared" si="1"/>
        <v>2.4390243902439025E-2</v>
      </c>
      <c r="E12" s="59" t="s">
        <v>69</v>
      </c>
      <c r="F12" s="56" t="s">
        <v>24</v>
      </c>
      <c r="G12" s="44">
        <v>6</v>
      </c>
      <c r="H12" s="129">
        <f>IF(B$17=0,0,G12/B$17)</f>
        <v>7.2289156626506021E-2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4" t="s">
        <v>121</v>
      </c>
      <c r="B13" s="47">
        <v>69</v>
      </c>
      <c r="C13" s="42">
        <f>IF(B$3=0,0,B13/B$3)</f>
        <v>0.20658682634730538</v>
      </c>
      <c r="E13" s="59" t="s">
        <v>83</v>
      </c>
      <c r="F13" s="56" t="s">
        <v>38</v>
      </c>
      <c r="G13" s="44">
        <v>6</v>
      </c>
      <c r="H13" s="129">
        <f>IF(B$17=0,0,G13/B$17)</f>
        <v>7.2289156626506021E-2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74</v>
      </c>
      <c r="C14" s="37">
        <f>IF(B$3=0,0,B14/B$3)</f>
        <v>0.22155688622754491</v>
      </c>
      <c r="E14" s="59" t="s">
        <v>86</v>
      </c>
      <c r="F14" s="56" t="s">
        <v>41</v>
      </c>
      <c r="G14" s="44">
        <v>5</v>
      </c>
      <c r="H14" s="129">
        <f>IF(B$17=0,0,G14/B$17)</f>
        <v>6.0240963855421686E-2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0.52173913043478259</v>
      </c>
      <c r="E15" s="59" t="s">
        <v>81</v>
      </c>
      <c r="F15" s="56" t="s">
        <v>36</v>
      </c>
      <c r="G15" s="44">
        <v>2</v>
      </c>
      <c r="H15" s="129">
        <f>IF(B$17=0,0,G15/B$17)</f>
        <v>2.4096385542168676E-2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31</v>
      </c>
      <c r="C16" s="35">
        <f>IF(B$14=0,0,B16/B$14)</f>
        <v>0.41891891891891891</v>
      </c>
      <c r="E16" s="59" t="s">
        <v>74</v>
      </c>
      <c r="F16" s="56" t="s">
        <v>29</v>
      </c>
      <c r="G16" s="44">
        <v>1</v>
      </c>
      <c r="H16" s="129">
        <f>IF(B$17=0,0,G16/B$17)</f>
        <v>1.2048192771084338E-2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-17.12777777777778</v>
      </c>
      <c r="P16" s="115">
        <v>18</v>
      </c>
      <c r="Q16" s="103">
        <v>-308.3</v>
      </c>
    </row>
    <row r="17" spans="1:17" x14ac:dyDescent="0.4">
      <c r="A17" s="50" t="s">
        <v>10</v>
      </c>
      <c r="B17" s="43">
        <f>B19+B18</f>
        <v>83</v>
      </c>
      <c r="C17" s="35">
        <f>IF(B$3=0,0,B17/B$3)</f>
        <v>0.24850299401197604</v>
      </c>
      <c r="E17" s="59" t="s">
        <v>78</v>
      </c>
      <c r="F17" s="56" t="s">
        <v>33</v>
      </c>
      <c r="G17" s="44">
        <v>1</v>
      </c>
      <c r="H17" s="129">
        <f>IF(B$17=0,0,G17/B$17)</f>
        <v>1.2048192771084338E-2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40</v>
      </c>
      <c r="C18" s="37">
        <f>IF(B$17=0,0,B18/B$17)</f>
        <v>0.48192771084337349</v>
      </c>
      <c r="E18" s="59" t="s">
        <v>91</v>
      </c>
      <c r="F18" s="56" t="s">
        <v>46</v>
      </c>
      <c r="G18" s="44">
        <v>1</v>
      </c>
      <c r="H18" s="129">
        <f>IF(B$17=0,0,G18/B$17)</f>
        <v>1.2048192771084338E-2</v>
      </c>
      <c r="I18" s="90">
        <v>5</v>
      </c>
      <c r="K18" s="36">
        <v>16</v>
      </c>
      <c r="L18" s="95">
        <v>-320.30000000000007</v>
      </c>
      <c r="N18" s="111" t="s">
        <v>178</v>
      </c>
      <c r="O18" s="121">
        <f t="shared" si="2"/>
        <v>-25.104347826086954</v>
      </c>
      <c r="P18" s="115">
        <v>23</v>
      </c>
      <c r="Q18" s="103">
        <v>-577.4</v>
      </c>
    </row>
    <row r="19" spans="1:17" x14ac:dyDescent="0.4">
      <c r="A19" s="51" t="s">
        <v>11</v>
      </c>
      <c r="B19" s="44">
        <v>43</v>
      </c>
      <c r="C19" s="37">
        <f>IF(B$17=0,0,B19/B$17)</f>
        <v>0.51807228915662651</v>
      </c>
      <c r="E19" s="59" t="s">
        <v>95</v>
      </c>
      <c r="F19" s="56" t="s">
        <v>50</v>
      </c>
      <c r="G19" s="44">
        <v>1</v>
      </c>
      <c r="H19" s="129">
        <f>IF(B$17=0,0,G19/B$17)</f>
        <v>1.2048192771084338E-2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63</v>
      </c>
      <c r="C20" s="37">
        <f>IF(B$3=0,0,B20/B$3)</f>
        <v>0.18862275449101795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19</v>
      </c>
      <c r="C22" s="131">
        <v>1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7730.1204819277109</v>
      </c>
      <c r="C23" s="39">
        <v>641600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8138.4615384615381</v>
      </c>
      <c r="C24" s="137">
        <v>423200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8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7045.1612903225805</v>
      </c>
      <c r="C25" s="137">
        <v>218400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-8312.6984126984134</v>
      </c>
      <c r="C26" s="137">
        <v>-523700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2.9940119760479044E-3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-570.10000000000014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-524.90000000000009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-573.70000000000005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-624.80000000000007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6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4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8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8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  <row r="41" spans="1:17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2.6315789473684209E-2</v>
      </c>
      <c r="M41" s="63">
        <v>0.189873417721519</v>
      </c>
      <c r="N41" s="63">
        <v>0.22468354430379747</v>
      </c>
      <c r="O41" s="63">
        <v>0.53333333333333333</v>
      </c>
      <c r="P41" s="63">
        <v>0.40845070422535212</v>
      </c>
      <c r="Q41" s="63">
        <v>0.48051948051948051</v>
      </c>
    </row>
    <row r="42" spans="1:17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2.564102564102564E-2</v>
      </c>
      <c r="M42" s="63">
        <v>0.19135802469135801</v>
      </c>
      <c r="N42" s="63">
        <v>0.22839506172839505</v>
      </c>
      <c r="O42" s="63">
        <v>0.54838709677419351</v>
      </c>
      <c r="P42" s="63">
        <v>0.41891891891891891</v>
      </c>
      <c r="Q42" s="63">
        <v>0.49382716049382713</v>
      </c>
    </row>
    <row r="43" spans="1:17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2.5000000000000001E-2</v>
      </c>
      <c r="M43" s="63">
        <v>0.19877675840978593</v>
      </c>
      <c r="N43" s="63">
        <v>0.22629969418960244</v>
      </c>
      <c r="O43" s="63">
        <v>0.53846153846153844</v>
      </c>
      <c r="P43" s="63">
        <v>0.41891891891891891</v>
      </c>
      <c r="Q43" s="63">
        <v>0.48780487804878048</v>
      </c>
    </row>
    <row r="44" spans="1:17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2.4390243902439025E-2</v>
      </c>
      <c r="M44" s="63">
        <v>0.20658682634730538</v>
      </c>
      <c r="N44" s="63">
        <v>0.22155688622754491</v>
      </c>
      <c r="O44" s="63">
        <v>0.52173913043478259</v>
      </c>
      <c r="P44" s="63">
        <v>0.41891891891891891</v>
      </c>
      <c r="Q44" s="63">
        <v>0.48192771084337349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  <row r="96" spans="1:17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8.6021505376344093E-2</v>
      </c>
      <c r="M96" s="63">
        <v>0.27052489905787347</v>
      </c>
      <c r="N96" s="63">
        <v>0.21938088829071331</v>
      </c>
      <c r="O96" s="63">
        <v>0.58208955223880599</v>
      </c>
      <c r="P96" s="63">
        <v>0.41717791411042943</v>
      </c>
      <c r="Q96" s="63">
        <v>0.46046511627906977</v>
      </c>
    </row>
    <row r="97" spans="1:17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8.5106382978723402E-2</v>
      </c>
      <c r="M97" s="63">
        <v>0.27030625832223704</v>
      </c>
      <c r="N97" s="63">
        <v>0.21970705725699069</v>
      </c>
      <c r="O97" s="63">
        <v>0.58128078817733986</v>
      </c>
      <c r="P97" s="63">
        <v>0.41212121212121211</v>
      </c>
      <c r="Q97" s="63">
        <v>0.45622119815668205</v>
      </c>
    </row>
    <row r="98" spans="1:17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9.4736842105263161E-2</v>
      </c>
      <c r="M98" s="63">
        <v>0.27055702917771884</v>
      </c>
      <c r="N98" s="63">
        <v>0.21883289124668434</v>
      </c>
      <c r="O98" s="63">
        <v>0.58333333333333337</v>
      </c>
      <c r="P98" s="63">
        <v>0.41212121212121211</v>
      </c>
      <c r="Q98" s="63">
        <v>0.45412844036697247</v>
      </c>
    </row>
    <row r="99" spans="1:17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9.375E-2</v>
      </c>
      <c r="M99" s="63">
        <v>0.26938239159001315</v>
      </c>
      <c r="N99" s="63">
        <v>0.21944809461235218</v>
      </c>
      <c r="O99" s="63">
        <v>0.58536585365853655</v>
      </c>
      <c r="P99" s="63">
        <v>0.41317365269461076</v>
      </c>
      <c r="Q99" s="63">
        <v>0.45248868778280543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7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  <row r="70" spans="1:17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0.17910447761194029</v>
      </c>
      <c r="M70" s="63">
        <v>0.31760435571687839</v>
      </c>
      <c r="N70" s="63">
        <v>0.17785843920145192</v>
      </c>
      <c r="O70" s="63">
        <v>0.55428571428571427</v>
      </c>
      <c r="P70" s="63">
        <v>0.44897959183673469</v>
      </c>
      <c r="Q70" s="63">
        <v>0.47499999999999998</v>
      </c>
    </row>
    <row r="71" spans="1:17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0.19117647058823528</v>
      </c>
      <c r="M71" s="63">
        <v>0.31899641577060933</v>
      </c>
      <c r="N71" s="63">
        <v>0.17921146953405018</v>
      </c>
      <c r="O71" s="63">
        <v>0.5561797752808989</v>
      </c>
      <c r="P71" s="63">
        <v>0.45</v>
      </c>
      <c r="Q71" s="63">
        <v>0.48170731707317072</v>
      </c>
    </row>
    <row r="72" spans="1:17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0.18840579710144928</v>
      </c>
      <c r="M72" s="63">
        <v>0.31802120141342755</v>
      </c>
      <c r="N72" s="63">
        <v>0.17667844522968199</v>
      </c>
      <c r="O72" s="63">
        <v>0.55555555555555558</v>
      </c>
      <c r="P72" s="63">
        <v>0.45</v>
      </c>
      <c r="Q72" s="63">
        <v>0.48484848484848486</v>
      </c>
    </row>
    <row r="73" spans="1:17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0.18571428571428572</v>
      </c>
      <c r="M73" s="63">
        <v>0.31533101045296169</v>
      </c>
      <c r="N73" s="63">
        <v>0.17944250871080139</v>
      </c>
      <c r="O73" s="63">
        <v>0.55801104972375692</v>
      </c>
      <c r="P73" s="63">
        <v>0.43689320388349512</v>
      </c>
      <c r="Q73" s="63">
        <v>0.48192771084337349</v>
      </c>
    </row>
    <row r="74" spans="1:17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0.18309859154929578</v>
      </c>
      <c r="M74" s="63">
        <v>0.31715771230502598</v>
      </c>
      <c r="N74" s="63">
        <v>0.17850953206239167</v>
      </c>
      <c r="O74" s="63">
        <v>0.55737704918032782</v>
      </c>
      <c r="P74" s="63">
        <v>0.43689320388349512</v>
      </c>
      <c r="Q74" s="63">
        <v>0.47904191616766467</v>
      </c>
    </row>
    <row r="75" spans="1:17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0.19444444444444445</v>
      </c>
      <c r="M75" s="63">
        <v>0.3202054794520548</v>
      </c>
      <c r="N75" s="63">
        <v>0.17636986301369864</v>
      </c>
      <c r="O75" s="63">
        <v>0.56149732620320858</v>
      </c>
      <c r="P75" s="63">
        <v>0.43689320388349512</v>
      </c>
      <c r="Q75" s="63">
        <v>0.47647058823529409</v>
      </c>
    </row>
    <row r="76" spans="1:17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0.19178082191780821</v>
      </c>
      <c r="M76" s="63">
        <v>0.32081911262798635</v>
      </c>
      <c r="N76" s="63">
        <v>0.17576791808873721</v>
      </c>
      <c r="O76" s="63">
        <v>0.55851063829787229</v>
      </c>
      <c r="P76" s="63">
        <v>0.43689320388349512</v>
      </c>
      <c r="Q76" s="63">
        <v>0.47647058823529409</v>
      </c>
    </row>
    <row r="77" spans="1:17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0.1891891891891892</v>
      </c>
      <c r="M77" s="63">
        <v>0.31871838111298484</v>
      </c>
      <c r="N77" s="63">
        <v>0.17537942664418213</v>
      </c>
      <c r="O77" s="63">
        <v>0.55555555555555558</v>
      </c>
      <c r="P77" s="63">
        <v>0.43269230769230771</v>
      </c>
      <c r="Q77" s="63">
        <v>0.47647058823529409</v>
      </c>
    </row>
    <row r="78" spans="1:17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0.18666666666666668</v>
      </c>
      <c r="M78" s="63">
        <v>0.31788079470198677</v>
      </c>
      <c r="N78" s="63">
        <v>0.17549668874172186</v>
      </c>
      <c r="O78" s="63">
        <v>0.55208333333333337</v>
      </c>
      <c r="P78" s="63">
        <v>0.42452830188679247</v>
      </c>
      <c r="Q78" s="63">
        <v>0.47674418604651164</v>
      </c>
    </row>
    <row r="79" spans="1:17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0.18421052631578946</v>
      </c>
      <c r="M79" s="63">
        <v>0.315359477124183</v>
      </c>
      <c r="N79" s="63">
        <v>0.1781045751633987</v>
      </c>
      <c r="O79" s="63">
        <v>0.54922279792746109</v>
      </c>
      <c r="P79" s="63">
        <v>0.42201834862385323</v>
      </c>
      <c r="Q79" s="63">
        <v>0.48275862068965519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  <row r="71" spans="1:17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2.9411764705882353E-2</v>
      </c>
      <c r="M71" s="63">
        <v>0.28869565217391302</v>
      </c>
      <c r="N71" s="63">
        <v>0.19130434782608696</v>
      </c>
      <c r="O71" s="63">
        <v>0.57228915662650603</v>
      </c>
      <c r="P71" s="63">
        <v>0.40909090909090912</v>
      </c>
      <c r="Q71" s="63">
        <v>0.4567901234567901</v>
      </c>
    </row>
    <row r="72" spans="1:17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2.8985507246376812E-2</v>
      </c>
      <c r="M72" s="63">
        <v>0.28694158075601373</v>
      </c>
      <c r="N72" s="63">
        <v>0.19243986254295534</v>
      </c>
      <c r="O72" s="63">
        <v>0.56886227544910184</v>
      </c>
      <c r="P72" s="63">
        <v>0.4107142857142857</v>
      </c>
      <c r="Q72" s="63">
        <v>0.45398773006134968</v>
      </c>
    </row>
    <row r="73" spans="1:17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2.8571428571428571E-2</v>
      </c>
      <c r="M73" s="63">
        <v>0.28499156829679595</v>
      </c>
      <c r="N73" s="63">
        <v>0.19224283305227655</v>
      </c>
      <c r="O73" s="63">
        <v>0.57396449704142016</v>
      </c>
      <c r="P73" s="63">
        <v>0.41228070175438597</v>
      </c>
      <c r="Q73" s="63">
        <v>0.45783132530120479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1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  <row r="110" spans="1:17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9.3457943925233641E-2</v>
      </c>
      <c r="M110" s="63">
        <v>0.23085460599334073</v>
      </c>
      <c r="N110" s="63">
        <v>0.30410654827968925</v>
      </c>
      <c r="O110" s="63">
        <v>0.50480769230769229</v>
      </c>
      <c r="P110" s="63">
        <v>0.36861313868613138</v>
      </c>
      <c r="Q110" s="63">
        <v>0.40808823529411764</v>
      </c>
    </row>
    <row r="111" spans="1:17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9.2592592592592587E-2</v>
      </c>
      <c r="M111" s="63">
        <v>0.23017621145374451</v>
      </c>
      <c r="N111" s="63">
        <v>0.30616740088105726</v>
      </c>
      <c r="O111" s="63">
        <v>0.50239234449760761</v>
      </c>
      <c r="P111" s="63">
        <v>0.37050359712230213</v>
      </c>
      <c r="Q111" s="63">
        <v>0.4051094890510949</v>
      </c>
    </row>
    <row r="112" spans="1:17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0.10091743119266056</v>
      </c>
      <c r="M112" s="63">
        <v>0.22967032967032966</v>
      </c>
      <c r="N112" s="63">
        <v>0.30659340659340661</v>
      </c>
      <c r="O112" s="63">
        <v>0.50239234449760761</v>
      </c>
      <c r="P112" s="63">
        <v>0.36917562724014336</v>
      </c>
      <c r="Q112" s="63">
        <v>0.40363636363636363</v>
      </c>
    </row>
    <row r="113" spans="1:17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0.10909090909090909</v>
      </c>
      <c r="M113" s="63">
        <v>0.23009814612868049</v>
      </c>
      <c r="N113" s="63">
        <v>0.3075245365321701</v>
      </c>
      <c r="O113" s="63">
        <v>0.50236966824644547</v>
      </c>
      <c r="P113" s="63">
        <v>0.37234042553191488</v>
      </c>
      <c r="Q113" s="63">
        <v>0.4050179211469534</v>
      </c>
    </row>
    <row r="114" spans="1:17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0.10810810810810811</v>
      </c>
      <c r="M114" s="63">
        <v>0.23060344827586207</v>
      </c>
      <c r="N114" s="63">
        <v>0.30926724137931033</v>
      </c>
      <c r="O114" s="63">
        <v>0.5</v>
      </c>
      <c r="P114" s="63">
        <v>0.37630662020905925</v>
      </c>
      <c r="Q114" s="63">
        <v>0.40636042402826855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  <row r="125" spans="1:17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0.12295081967213115</v>
      </c>
      <c r="M125" s="63">
        <v>0.27144298688193741</v>
      </c>
      <c r="N125" s="63">
        <v>0.22401614530776992</v>
      </c>
      <c r="O125" s="63">
        <v>0.60223048327137552</v>
      </c>
      <c r="P125" s="63">
        <v>0.48648648648648651</v>
      </c>
      <c r="Q125" s="63">
        <v>0.41812865497076024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  <row r="55" spans="1:17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3.8461538461538464E-2</v>
      </c>
      <c r="M55" s="63">
        <v>0.15203426124197003</v>
      </c>
      <c r="N55" s="63">
        <v>0.23126338329764454</v>
      </c>
      <c r="O55" s="63">
        <v>0.49295774647887325</v>
      </c>
      <c r="P55" s="63">
        <v>0.37037037037037035</v>
      </c>
      <c r="Q55" s="63">
        <v>0.41322314049586778</v>
      </c>
    </row>
    <row r="56" spans="1:17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3.7735849056603772E-2</v>
      </c>
      <c r="M56" s="63">
        <v>0.14978902953586498</v>
      </c>
      <c r="N56" s="63">
        <v>0.23417721518987342</v>
      </c>
      <c r="O56" s="63">
        <v>0.49295774647887325</v>
      </c>
      <c r="P56" s="63">
        <v>0.36936936936936937</v>
      </c>
      <c r="Q56" s="63">
        <v>0.41463414634146339</v>
      </c>
    </row>
    <row r="57" spans="1:17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3.7037037037037035E-2</v>
      </c>
      <c r="M57" s="63">
        <v>0.14730290456431536</v>
      </c>
      <c r="N57" s="63">
        <v>0.23443983402489627</v>
      </c>
      <c r="O57" s="63">
        <v>0.49295774647887325</v>
      </c>
      <c r="P57" s="63">
        <v>0.36283185840707965</v>
      </c>
      <c r="Q57" s="63">
        <v>0.41463414634146339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2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  <row r="195" spans="1:17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9.375E-2</v>
      </c>
      <c r="M195" s="63">
        <v>0.25290215588723053</v>
      </c>
      <c r="N195" s="63">
        <v>0.22864842454394693</v>
      </c>
      <c r="O195" s="63">
        <v>0.55901639344262299</v>
      </c>
      <c r="P195" s="63">
        <v>0.41160471441523117</v>
      </c>
      <c r="Q195" s="63">
        <v>0.44264602392681213</v>
      </c>
    </row>
    <row r="196" spans="1:17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9.499136442141623E-2</v>
      </c>
      <c r="M196" s="63">
        <v>0.25263157894736843</v>
      </c>
      <c r="N196" s="63">
        <v>0.22951496388028897</v>
      </c>
      <c r="O196" s="63">
        <v>0.55882352941176472</v>
      </c>
      <c r="P196" s="63">
        <v>0.41187050359712229</v>
      </c>
      <c r="Q196" s="63">
        <v>0.44296710986703991</v>
      </c>
    </row>
    <row r="197" spans="1:17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9.4501718213058417E-2</v>
      </c>
      <c r="M197" s="63">
        <v>0.25302936948038612</v>
      </c>
      <c r="N197" s="63">
        <v>0.22879441363729719</v>
      </c>
      <c r="O197" s="63">
        <v>0.55925324675324672</v>
      </c>
      <c r="P197" s="63">
        <v>0.41292639138240572</v>
      </c>
      <c r="Q197" s="63">
        <v>0.44359331476323122</v>
      </c>
    </row>
    <row r="198" spans="1:17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9.4017094017094016E-2</v>
      </c>
      <c r="M198" s="63">
        <v>0.25281013693030863</v>
      </c>
      <c r="N198" s="63">
        <v>0.22930717351318208</v>
      </c>
      <c r="O198" s="63">
        <v>0.56022635408245758</v>
      </c>
      <c r="P198" s="63">
        <v>0.41176470588235292</v>
      </c>
      <c r="Q198" s="63">
        <v>0.44352044352044351</v>
      </c>
    </row>
    <row r="199" spans="1:17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9.5238095238095233E-2</v>
      </c>
      <c r="M199" s="63">
        <v>0.25356997144022847</v>
      </c>
      <c r="N199" s="63">
        <v>0.22888616891064872</v>
      </c>
      <c r="O199" s="63">
        <v>0.55993563958165726</v>
      </c>
      <c r="P199" s="63">
        <v>0.41176470588235292</v>
      </c>
      <c r="Q199" s="63">
        <v>0.44260027662517287</v>
      </c>
    </row>
    <row r="200" spans="1:17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9.6446700507614211E-2</v>
      </c>
      <c r="M200" s="63">
        <v>0.25431647369490146</v>
      </c>
      <c r="N200" s="63">
        <v>0.22831606743855373</v>
      </c>
      <c r="O200" s="63">
        <v>0.55990415335463262</v>
      </c>
      <c r="P200" s="63">
        <v>0.41192170818505336</v>
      </c>
      <c r="Q200" s="63">
        <v>0.44184445973847214</v>
      </c>
    </row>
    <row r="201" spans="1:17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9.7643097643097643E-2</v>
      </c>
      <c r="M201" s="63">
        <v>0.25441265976871574</v>
      </c>
      <c r="N201" s="63">
        <v>0.22844390342868737</v>
      </c>
      <c r="O201" s="63">
        <v>0.55901116427432218</v>
      </c>
      <c r="P201" s="63">
        <v>0.41207815275310833</v>
      </c>
      <c r="Q201" s="63">
        <v>0.44123711340206184</v>
      </c>
    </row>
    <row r="202" spans="1:17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9.8827470686767172E-2</v>
      </c>
      <c r="M202" s="63">
        <v>0.25414141414141417</v>
      </c>
      <c r="N202" s="63">
        <v>0.22868686868686869</v>
      </c>
      <c r="O202" s="63">
        <v>0.55802861685214622</v>
      </c>
      <c r="P202" s="63">
        <v>0.41254416961130741</v>
      </c>
      <c r="Q202" s="63">
        <v>0.44109589041095892</v>
      </c>
    </row>
    <row r="203" spans="1:17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9.8333333333333328E-2</v>
      </c>
      <c r="M203" s="63">
        <v>0.25406381697772429</v>
      </c>
      <c r="N203" s="63">
        <v>0.22897852699177201</v>
      </c>
      <c r="O203" s="63">
        <v>0.55766192733017372</v>
      </c>
      <c r="P203" s="63">
        <v>0.41279579316389131</v>
      </c>
      <c r="Q203" s="63">
        <v>0.44179714091218514</v>
      </c>
    </row>
    <row r="204" spans="1:17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9.7844112769485903E-2</v>
      </c>
      <c r="M204" s="63">
        <v>0.2536448971439984</v>
      </c>
      <c r="N204" s="63">
        <v>0.22927900938685838</v>
      </c>
      <c r="O204" s="63">
        <v>0.55826771653543306</v>
      </c>
      <c r="P204" s="63">
        <v>0.41202090592334495</v>
      </c>
      <c r="Q204" s="63">
        <v>0.44105691056910568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2019-11-18T09:10:25Z</dcterms:modified>
</cp:coreProperties>
</file>