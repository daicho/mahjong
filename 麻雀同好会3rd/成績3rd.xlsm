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333E205-2C94-4B7B-99D5-F3E900F401F5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711" r:id="rId6"/>
    <sheet name="たかの" sheetId="5713" r:id="rId7"/>
    <sheet name="だいち" sheetId="5715" r:id="rId8"/>
    <sheet name="ただ" sheetId="5717" r:id="rId9"/>
    <sheet name="りくと" sheetId="5719" r:id="rId10"/>
    <sheet name="れんたろう" sheetId="5721" r:id="rId11"/>
    <sheet name="まっつん" sheetId="5723" r:id="rId12"/>
    <sheet name="のり" sheetId="5725" r:id="rId13"/>
    <sheet name="ぱぱ" sheetId="5727" r:id="rId14"/>
    <sheet name="ほたに" sheetId="5729" r:id="rId15"/>
    <sheet name="ほたに2" sheetId="5730" state="hidden" r:id="rId16"/>
    <sheet name="ぱぱ2" sheetId="5728" state="hidden" r:id="rId17"/>
    <sheet name="のり2" sheetId="5726" state="hidden" r:id="rId18"/>
    <sheet name="まっつん2" sheetId="5724" state="hidden" r:id="rId19"/>
    <sheet name="れんたろう2" sheetId="5722" state="hidden" r:id="rId20"/>
    <sheet name="りくと2" sheetId="5720" state="hidden" r:id="rId21"/>
    <sheet name="ただ2" sheetId="5718" state="hidden" r:id="rId22"/>
    <sheet name="だいち2" sheetId="5716" state="hidden" r:id="rId23"/>
    <sheet name="たかの2" sheetId="5714" state="hidden" r:id="rId24"/>
    <sheet name="全体2" sheetId="57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21" l="1"/>
  <c r="O19" i="5729"/>
  <c r="O15" i="5719" l="1"/>
  <c r="O18" i="5725"/>
  <c r="O16" i="5729" l="1"/>
  <c r="O22" i="5719"/>
  <c r="O20" i="5713" l="1"/>
  <c r="O16" i="5715"/>
  <c r="O15" i="5725"/>
  <c r="O19" i="5725"/>
  <c r="O20" i="5723" l="1"/>
  <c r="O18" i="5727"/>
  <c r="O16" i="5717" l="1"/>
  <c r="O17" i="5723"/>
  <c r="O20" i="5725"/>
  <c r="O17" i="5725"/>
  <c r="O18" i="5713" l="1"/>
  <c r="O19" i="5727"/>
  <c r="O20" i="5727"/>
  <c r="O18" i="5719"/>
  <c r="O18" i="5717" l="1"/>
  <c r="O20" i="5721"/>
  <c r="O19" i="5721" l="1"/>
  <c r="O20" i="5715"/>
  <c r="O22" i="5725"/>
  <c r="O17" i="5729"/>
  <c r="O15" i="5729"/>
  <c r="O21" i="5727"/>
  <c r="O15" i="5717" l="1"/>
  <c r="O17" i="5717"/>
  <c r="O18" i="5729"/>
  <c r="O20" i="5729"/>
  <c r="C27" i="5729"/>
  <c r="B24" i="5729"/>
  <c r="C20" i="5729"/>
  <c r="B17" i="5729"/>
  <c r="H50" i="5729" s="1"/>
  <c r="C16" i="5729"/>
  <c r="C15" i="5729"/>
  <c r="C14" i="5729"/>
  <c r="C13" i="5729"/>
  <c r="O12" i="5729"/>
  <c r="C12" i="5729"/>
  <c r="O11" i="5729"/>
  <c r="C11" i="5729"/>
  <c r="O10" i="5729"/>
  <c r="C10" i="5729"/>
  <c r="C9" i="5729"/>
  <c r="C8" i="5729"/>
  <c r="O7" i="5729"/>
  <c r="C7" i="5729"/>
  <c r="O6" i="5729"/>
  <c r="B6" i="5729"/>
  <c r="O5" i="5729"/>
  <c r="B5" i="5729"/>
  <c r="O4" i="5729"/>
  <c r="O3" i="5729"/>
  <c r="O2" i="5729"/>
  <c r="O22" i="5723"/>
  <c r="O15" i="5723"/>
  <c r="O16" i="5711"/>
  <c r="H19" i="5729" l="1"/>
  <c r="H3" i="5729"/>
  <c r="H11" i="5729"/>
  <c r="H17" i="5729"/>
  <c r="H39" i="5729"/>
  <c r="H4" i="5729"/>
  <c r="H5" i="5729"/>
  <c r="H21" i="5729"/>
  <c r="H15" i="5729"/>
  <c r="H2" i="5729"/>
  <c r="H12" i="5729"/>
  <c r="C18" i="5729"/>
  <c r="H9" i="5729"/>
  <c r="H14" i="5729"/>
  <c r="H7" i="5729"/>
  <c r="H8" i="5729"/>
  <c r="H16" i="5729"/>
  <c r="H13" i="5729"/>
  <c r="H33" i="5729"/>
  <c r="H44" i="5729"/>
  <c r="H49" i="5729"/>
  <c r="H29" i="5729"/>
  <c r="H35" i="5729"/>
  <c r="H40" i="5729"/>
  <c r="H45" i="5729"/>
  <c r="H51" i="5729"/>
  <c r="C19" i="5729"/>
  <c r="H25" i="5729"/>
  <c r="H27" i="5729"/>
  <c r="H31" i="5729"/>
  <c r="H36" i="5729"/>
  <c r="H41" i="5729"/>
  <c r="H47" i="5729"/>
  <c r="H6" i="5729"/>
  <c r="H10" i="5729"/>
  <c r="H18" i="5729"/>
  <c r="H20" i="5729"/>
  <c r="C17" i="5729"/>
  <c r="H23" i="5729"/>
  <c r="B23" i="5729"/>
  <c r="H32" i="5729"/>
  <c r="H37" i="5729"/>
  <c r="H43" i="5729"/>
  <c r="H48" i="5729"/>
  <c r="H52" i="5729"/>
  <c r="H22" i="5729"/>
  <c r="H24" i="5729"/>
  <c r="H26" i="5729"/>
  <c r="H28" i="5729"/>
  <c r="H30" i="5729"/>
  <c r="H34" i="5729"/>
  <c r="H38" i="5729"/>
  <c r="H42" i="5729"/>
  <c r="H46" i="5729"/>
  <c r="O18" i="5715" l="1"/>
  <c r="O19" i="5719"/>
  <c r="O17" i="5715" l="1"/>
  <c r="O18" i="5723"/>
  <c r="O21" i="5723"/>
  <c r="O15" i="5713"/>
  <c r="O19" i="5717"/>
  <c r="O16" i="5719"/>
  <c r="O17" i="5719"/>
  <c r="O19" i="5713"/>
  <c r="O22" i="5717"/>
  <c r="O15" i="5715"/>
  <c r="O17" i="5727"/>
  <c r="O22" i="5727"/>
  <c r="O21" i="5721" l="1"/>
  <c r="O17" i="5721"/>
  <c r="O16" i="5727"/>
  <c r="O15" i="5727"/>
  <c r="C27" i="5727"/>
  <c r="B24" i="5727"/>
  <c r="C20" i="5727"/>
  <c r="B17" i="5727"/>
  <c r="H50" i="5727" s="1"/>
  <c r="C16" i="5727"/>
  <c r="C15" i="5727"/>
  <c r="C14" i="5727"/>
  <c r="C13" i="5727"/>
  <c r="O12" i="5727"/>
  <c r="C12" i="5727"/>
  <c r="O11" i="5727"/>
  <c r="C11" i="5727"/>
  <c r="O10" i="5727"/>
  <c r="C10" i="5727"/>
  <c r="C9" i="5727"/>
  <c r="C8" i="5727"/>
  <c r="O7" i="5727"/>
  <c r="C7" i="5727"/>
  <c r="O6" i="5727"/>
  <c r="B6" i="5727"/>
  <c r="O5" i="5727"/>
  <c r="B5" i="5727"/>
  <c r="O4" i="5727"/>
  <c r="O3" i="5727"/>
  <c r="O2" i="5727"/>
  <c r="O15" i="5711"/>
  <c r="O16" i="5725"/>
  <c r="O21" i="5725"/>
  <c r="C27" i="5725"/>
  <c r="B24" i="5725"/>
  <c r="C20" i="5725"/>
  <c r="C17" i="5725"/>
  <c r="B17" i="5725"/>
  <c r="H52" i="5725" s="1"/>
  <c r="C16" i="5725"/>
  <c r="C15" i="5725"/>
  <c r="C14" i="5725"/>
  <c r="C13" i="5725"/>
  <c r="O12" i="5725"/>
  <c r="C12" i="5725"/>
  <c r="O11" i="5725"/>
  <c r="C11" i="5725"/>
  <c r="O10" i="5725"/>
  <c r="H4" i="5725"/>
  <c r="C10" i="5725"/>
  <c r="C9" i="5725"/>
  <c r="H11" i="5725"/>
  <c r="C8" i="5725"/>
  <c r="O7" i="5725"/>
  <c r="H15" i="5725"/>
  <c r="C7" i="5725"/>
  <c r="O6" i="5725"/>
  <c r="B6" i="5725"/>
  <c r="O5" i="5725"/>
  <c r="B5" i="5725"/>
  <c r="O4" i="5725"/>
  <c r="H2" i="5725"/>
  <c r="O3" i="5725"/>
  <c r="O2" i="5725"/>
  <c r="H3" i="5725"/>
  <c r="O23" i="5711"/>
  <c r="H19" i="5727" l="1"/>
  <c r="H3" i="5727"/>
  <c r="H20" i="5727"/>
  <c r="H9" i="5727"/>
  <c r="H7" i="5727"/>
  <c r="H2" i="5727"/>
  <c r="H22" i="5727"/>
  <c r="H29" i="5727"/>
  <c r="H33" i="5727"/>
  <c r="H10" i="5727"/>
  <c r="H18" i="5727"/>
  <c r="H23" i="5727"/>
  <c r="H12" i="5727"/>
  <c r="H40" i="5727"/>
  <c r="H11" i="5727"/>
  <c r="H4" i="5727"/>
  <c r="C18" i="5727"/>
  <c r="H51" i="5727"/>
  <c r="H44" i="5727"/>
  <c r="H35" i="5727"/>
  <c r="H45" i="5727"/>
  <c r="H26" i="5727"/>
  <c r="H13" i="5727"/>
  <c r="H39" i="5727"/>
  <c r="H49" i="5727"/>
  <c r="H6" i="5727"/>
  <c r="H27" i="5727"/>
  <c r="H36" i="5727"/>
  <c r="H47" i="5727"/>
  <c r="H5" i="5727"/>
  <c r="C19" i="5727"/>
  <c r="H17" i="5727"/>
  <c r="H31" i="5727"/>
  <c r="H41" i="5727"/>
  <c r="H8" i="5727"/>
  <c r="H14" i="5727"/>
  <c r="H21" i="5727"/>
  <c r="C17" i="5727"/>
  <c r="H15" i="5727"/>
  <c r="B23" i="5727"/>
  <c r="H32" i="5727"/>
  <c r="H37" i="5727"/>
  <c r="H43" i="5727"/>
  <c r="H48" i="5727"/>
  <c r="H52" i="5727"/>
  <c r="H24" i="5727"/>
  <c r="H25" i="5727"/>
  <c r="H16" i="5727"/>
  <c r="H28" i="5727"/>
  <c r="H30" i="5727"/>
  <c r="H34" i="5727"/>
  <c r="H38" i="5727"/>
  <c r="H42" i="5727"/>
  <c r="H46" i="5727"/>
  <c r="H23" i="5725"/>
  <c r="H24" i="5725"/>
  <c r="H26" i="5725"/>
  <c r="H28" i="5725"/>
  <c r="H30" i="5725"/>
  <c r="H34" i="5725"/>
  <c r="H38" i="5725"/>
  <c r="H42" i="5725"/>
  <c r="H46" i="5725"/>
  <c r="H50" i="5725"/>
  <c r="H19" i="5725"/>
  <c r="H21" i="5725"/>
  <c r="C19" i="5725"/>
  <c r="H10" i="5725"/>
  <c r="H31" i="5725"/>
  <c r="H35" i="5725"/>
  <c r="H39" i="5725"/>
  <c r="H43" i="5725"/>
  <c r="H47" i="5725"/>
  <c r="H51" i="5725"/>
  <c r="H8" i="5725"/>
  <c r="H7" i="5725"/>
  <c r="H9" i="5725"/>
  <c r="H16" i="5725"/>
  <c r="H22" i="5725"/>
  <c r="H12" i="5725"/>
  <c r="H25" i="5725"/>
  <c r="H13" i="5725"/>
  <c r="H14" i="5725"/>
  <c r="H32" i="5725"/>
  <c r="H36" i="5725"/>
  <c r="H40" i="5725"/>
  <c r="H44" i="5725"/>
  <c r="H48" i="5725"/>
  <c r="H6" i="5725"/>
  <c r="H5" i="5725"/>
  <c r="H18" i="5725"/>
  <c r="H20" i="5725"/>
  <c r="H17" i="5725"/>
  <c r="C18" i="5725"/>
  <c r="B23" i="5725"/>
  <c r="H27" i="5725"/>
  <c r="H29" i="5725"/>
  <c r="H33" i="5725"/>
  <c r="H37" i="5725"/>
  <c r="H41" i="5725"/>
  <c r="H45" i="5725"/>
  <c r="H49" i="5725"/>
  <c r="O19" i="5723" l="1"/>
  <c r="O16" i="5723"/>
  <c r="C27" i="5723"/>
  <c r="B24" i="5723"/>
  <c r="C20" i="5723"/>
  <c r="B17" i="5723"/>
  <c r="H52" i="5723" s="1"/>
  <c r="C16" i="5723"/>
  <c r="C15" i="5723"/>
  <c r="C14" i="5723"/>
  <c r="C13" i="5723"/>
  <c r="O12" i="5723"/>
  <c r="C12" i="5723"/>
  <c r="O11" i="5723"/>
  <c r="C11" i="5723"/>
  <c r="O10" i="5723"/>
  <c r="C10" i="5723"/>
  <c r="C9" i="5723"/>
  <c r="C8" i="5723"/>
  <c r="O7" i="5723"/>
  <c r="C7" i="5723"/>
  <c r="O6" i="5723"/>
  <c r="B6" i="5723"/>
  <c r="O5" i="5723"/>
  <c r="B5" i="5723"/>
  <c r="O4" i="5723"/>
  <c r="O3" i="5723"/>
  <c r="O2" i="5723"/>
  <c r="O16" i="5721"/>
  <c r="O18" i="5721"/>
  <c r="C27" i="5721"/>
  <c r="B24" i="5721"/>
  <c r="C20" i="5721"/>
  <c r="B17" i="5721"/>
  <c r="H7" i="5721" s="1"/>
  <c r="C16" i="5721"/>
  <c r="C15" i="5721"/>
  <c r="C14" i="5721"/>
  <c r="C13" i="5721"/>
  <c r="O12" i="5721"/>
  <c r="C12" i="5721"/>
  <c r="O11" i="5721"/>
  <c r="C11" i="5721"/>
  <c r="O10" i="5721"/>
  <c r="C10" i="5721"/>
  <c r="C9" i="5721"/>
  <c r="C8" i="5721"/>
  <c r="O7" i="5721"/>
  <c r="C7" i="5721"/>
  <c r="O6" i="5721"/>
  <c r="B6" i="5721"/>
  <c r="O5" i="5721"/>
  <c r="B5" i="5721"/>
  <c r="O4" i="5721"/>
  <c r="O3" i="5721"/>
  <c r="O2" i="5721"/>
  <c r="O17" i="5711"/>
  <c r="O21" i="5719"/>
  <c r="O20" i="5719"/>
  <c r="C27" i="5719"/>
  <c r="B24" i="5719"/>
  <c r="C20" i="5719"/>
  <c r="B17" i="5719"/>
  <c r="H52" i="5719" s="1"/>
  <c r="C16" i="5719"/>
  <c r="C15" i="5719"/>
  <c r="C14" i="5719"/>
  <c r="C13" i="5719"/>
  <c r="O12" i="5719"/>
  <c r="C12" i="5719"/>
  <c r="O11" i="5719"/>
  <c r="C11" i="5719"/>
  <c r="O10" i="5719"/>
  <c r="C10" i="5719"/>
  <c r="C9" i="5719"/>
  <c r="C8" i="5719"/>
  <c r="O7" i="5719"/>
  <c r="C7" i="5719"/>
  <c r="O6" i="5719"/>
  <c r="B6" i="5719"/>
  <c r="O5" i="5719"/>
  <c r="B5" i="5719"/>
  <c r="O4" i="5719"/>
  <c r="O3" i="5719"/>
  <c r="O2" i="5719"/>
  <c r="O19" i="5711"/>
  <c r="O20" i="5711"/>
  <c r="H10" i="5719" l="1"/>
  <c r="H45" i="5719"/>
  <c r="H37" i="5719"/>
  <c r="H4" i="5719"/>
  <c r="H27" i="5719"/>
  <c r="H7" i="5719"/>
  <c r="H17" i="5719"/>
  <c r="H5" i="5719"/>
  <c r="H9" i="5719"/>
  <c r="H22" i="5719"/>
  <c r="C19" i="5719"/>
  <c r="H3" i="5719"/>
  <c r="H2" i="5719"/>
  <c r="H8" i="5719"/>
  <c r="H11" i="5719"/>
  <c r="H19" i="5723"/>
  <c r="H2" i="5723"/>
  <c r="H8" i="5723"/>
  <c r="H9" i="5723"/>
  <c r="C17" i="5723"/>
  <c r="H34" i="5723"/>
  <c r="H49" i="5723"/>
  <c r="H11" i="5723"/>
  <c r="H23" i="5723"/>
  <c r="H29" i="5723"/>
  <c r="H45" i="5723"/>
  <c r="H3" i="5723"/>
  <c r="H22" i="5723"/>
  <c r="H4" i="5723"/>
  <c r="H7" i="5723"/>
  <c r="H14" i="5723"/>
  <c r="C19" i="5723"/>
  <c r="H15" i="5723"/>
  <c r="H38" i="5723"/>
  <c r="H5" i="5723"/>
  <c r="H27" i="5723"/>
  <c r="H33" i="5723"/>
  <c r="H41" i="5723"/>
  <c r="H48" i="5723"/>
  <c r="H10" i="5723"/>
  <c r="H25" i="5723"/>
  <c r="H12" i="5723"/>
  <c r="H13" i="5723"/>
  <c r="H37" i="5723"/>
  <c r="H44" i="5723"/>
  <c r="H20" i="5723"/>
  <c r="H26" i="5723"/>
  <c r="H28" i="5723"/>
  <c r="H17" i="5723"/>
  <c r="H31" i="5723"/>
  <c r="H18" i="5723"/>
  <c r="H36" i="5723"/>
  <c r="H40" i="5723"/>
  <c r="H43" i="5723"/>
  <c r="H47" i="5723"/>
  <c r="H51" i="5723"/>
  <c r="H6" i="5723"/>
  <c r="H21" i="5723"/>
  <c r="H24" i="5723"/>
  <c r="H16" i="5723"/>
  <c r="C18" i="5723"/>
  <c r="B23" i="5723"/>
  <c r="H30" i="5723"/>
  <c r="H32" i="5723"/>
  <c r="H35" i="5723"/>
  <c r="H39" i="5723"/>
  <c r="H42" i="5723"/>
  <c r="H46" i="5723"/>
  <c r="H50" i="5723"/>
  <c r="H3" i="5721"/>
  <c r="H2" i="5721"/>
  <c r="H5" i="5721"/>
  <c r="H13" i="5721"/>
  <c r="C19" i="5721"/>
  <c r="H28" i="5721"/>
  <c r="H29" i="5721"/>
  <c r="H33" i="5721"/>
  <c r="H41" i="5721"/>
  <c r="H49" i="5721"/>
  <c r="H9" i="5721"/>
  <c r="H17" i="5721"/>
  <c r="H23" i="5721"/>
  <c r="C17" i="5721"/>
  <c r="H14" i="5721"/>
  <c r="B23" i="5721"/>
  <c r="H35" i="5721"/>
  <c r="H43" i="5721"/>
  <c r="H51" i="5721"/>
  <c r="H10" i="5721"/>
  <c r="H6" i="5721"/>
  <c r="H16" i="5721"/>
  <c r="H21" i="5721"/>
  <c r="H25" i="5721"/>
  <c r="H31" i="5721"/>
  <c r="H37" i="5721"/>
  <c r="H45" i="5721"/>
  <c r="H52" i="5721"/>
  <c r="H4" i="5721"/>
  <c r="H20" i="5721"/>
  <c r="H22" i="5721"/>
  <c r="H24" i="5721"/>
  <c r="C18" i="5721"/>
  <c r="H11" i="5721"/>
  <c r="H15" i="5721"/>
  <c r="H12" i="5721"/>
  <c r="H39" i="5721"/>
  <c r="H47" i="5721"/>
  <c r="H26" i="5721"/>
  <c r="H27" i="5721"/>
  <c r="H18" i="5721"/>
  <c r="H30" i="5721"/>
  <c r="H19" i="5721"/>
  <c r="H34" i="5721"/>
  <c r="H38" i="5721"/>
  <c r="H42" i="5721"/>
  <c r="H46" i="5721"/>
  <c r="H50" i="5721"/>
  <c r="H8" i="5721"/>
  <c r="H32" i="5721"/>
  <c r="H36" i="5721"/>
  <c r="H40" i="5721"/>
  <c r="H44" i="5721"/>
  <c r="H48" i="5721"/>
  <c r="H15" i="5719"/>
  <c r="H32" i="5719"/>
  <c r="H40" i="5719"/>
  <c r="H48" i="5719"/>
  <c r="H13" i="5719"/>
  <c r="C17" i="5719"/>
  <c r="H16" i="5719"/>
  <c r="H33" i="5719"/>
  <c r="H41" i="5719"/>
  <c r="H49" i="5719"/>
  <c r="H6" i="5719"/>
  <c r="H24" i="5719"/>
  <c r="H18" i="5719"/>
  <c r="H12" i="5719"/>
  <c r="H36" i="5719"/>
  <c r="H44" i="5719"/>
  <c r="H20" i="5719"/>
  <c r="H25" i="5719"/>
  <c r="H26" i="5719"/>
  <c r="H28" i="5719"/>
  <c r="H30" i="5719"/>
  <c r="H19" i="5719"/>
  <c r="H35" i="5719"/>
  <c r="H39" i="5719"/>
  <c r="H43" i="5719"/>
  <c r="H47" i="5719"/>
  <c r="H51" i="5719"/>
  <c r="H21" i="5719"/>
  <c r="H23" i="5719"/>
  <c r="H14" i="5719"/>
  <c r="C18" i="5719"/>
  <c r="B23" i="5719"/>
  <c r="H29" i="5719"/>
  <c r="H31" i="5719"/>
  <c r="H34" i="5719"/>
  <c r="H38" i="5719"/>
  <c r="H42" i="5719"/>
  <c r="H46" i="5719"/>
  <c r="H50" i="5719"/>
  <c r="O21" i="5717" l="1"/>
  <c r="O20" i="5717"/>
  <c r="C27" i="5717"/>
  <c r="B24" i="5717"/>
  <c r="C20" i="5717"/>
  <c r="B17" i="5717"/>
  <c r="H20" i="5717" s="1"/>
  <c r="C16" i="5717"/>
  <c r="C15" i="5717"/>
  <c r="C14" i="5717"/>
  <c r="C13" i="5717"/>
  <c r="O12" i="5717"/>
  <c r="C12" i="5717"/>
  <c r="O11" i="5717"/>
  <c r="C11" i="5717"/>
  <c r="O10" i="5717"/>
  <c r="C10" i="5717"/>
  <c r="C9" i="5717"/>
  <c r="C8" i="5717"/>
  <c r="O7" i="5717"/>
  <c r="C7" i="5717"/>
  <c r="O6" i="5717"/>
  <c r="B6" i="5717"/>
  <c r="O5" i="5717"/>
  <c r="B5" i="5717"/>
  <c r="O4" i="5717"/>
  <c r="O3" i="5717"/>
  <c r="O2" i="5717"/>
  <c r="O21" i="5715"/>
  <c r="O19" i="5715"/>
  <c r="C27" i="5715"/>
  <c r="B24" i="5715"/>
  <c r="C20" i="5715"/>
  <c r="B17" i="5715"/>
  <c r="H16" i="5715" s="1"/>
  <c r="C16" i="5715"/>
  <c r="C15" i="5715"/>
  <c r="C14" i="5715"/>
  <c r="C13" i="5715"/>
  <c r="O12" i="5715"/>
  <c r="C12" i="5715"/>
  <c r="O11" i="5715"/>
  <c r="C11" i="5715"/>
  <c r="O10" i="5715"/>
  <c r="C10" i="5715"/>
  <c r="C9" i="5715"/>
  <c r="C8" i="5715"/>
  <c r="O7" i="5715"/>
  <c r="C7" i="5715"/>
  <c r="O6" i="5715"/>
  <c r="B6" i="5715"/>
  <c r="O5" i="5715"/>
  <c r="B5" i="5715"/>
  <c r="O4" i="5715"/>
  <c r="O3" i="5715"/>
  <c r="O2" i="5715"/>
  <c r="O18" i="5711"/>
  <c r="O16" i="5713"/>
  <c r="O17" i="5713"/>
  <c r="C27" i="5713"/>
  <c r="B24" i="5713"/>
  <c r="C20" i="5713"/>
  <c r="B17" i="5713"/>
  <c r="H51" i="5713" s="1"/>
  <c r="C16" i="5713"/>
  <c r="C15" i="5713"/>
  <c r="C14" i="5713"/>
  <c r="C13" i="5713"/>
  <c r="O12" i="5713"/>
  <c r="C12" i="5713"/>
  <c r="O11" i="5713"/>
  <c r="C11" i="5713"/>
  <c r="O10" i="5713"/>
  <c r="C10" i="5713"/>
  <c r="C9" i="5713"/>
  <c r="C8" i="5713"/>
  <c r="O7" i="5713"/>
  <c r="C7" i="5713"/>
  <c r="O6" i="5713"/>
  <c r="B6" i="5713"/>
  <c r="O5" i="5713"/>
  <c r="B5" i="5713"/>
  <c r="O4" i="5713"/>
  <c r="O3" i="5713"/>
  <c r="O2" i="5713"/>
  <c r="O21" i="5711"/>
  <c r="O22" i="5711"/>
  <c r="C27" i="5711"/>
  <c r="B24" i="5711"/>
  <c r="C20" i="5711"/>
  <c r="B17" i="5711"/>
  <c r="H51" i="5711" s="1"/>
  <c r="C16" i="5711"/>
  <c r="C15" i="5711"/>
  <c r="C14" i="5711"/>
  <c r="C13" i="5711"/>
  <c r="O12" i="5711"/>
  <c r="C12" i="5711"/>
  <c r="O11" i="5711"/>
  <c r="C11" i="5711"/>
  <c r="O10" i="5711"/>
  <c r="C10" i="5711"/>
  <c r="C9" i="5711"/>
  <c r="C8" i="5711"/>
  <c r="O7" i="5711"/>
  <c r="C7" i="5711"/>
  <c r="O6" i="5711"/>
  <c r="B6" i="5711"/>
  <c r="O5" i="5711"/>
  <c r="B5" i="5711"/>
  <c r="O4" i="5711"/>
  <c r="O3" i="5711"/>
  <c r="O2" i="5711"/>
  <c r="H5" i="5717" l="1"/>
  <c r="H3" i="5717"/>
  <c r="H2" i="5717"/>
  <c r="H29" i="5717"/>
  <c r="H33" i="5717"/>
  <c r="H9" i="5717"/>
  <c r="H22" i="5717"/>
  <c r="H24" i="5717"/>
  <c r="C17" i="5717"/>
  <c r="H18" i="5717"/>
  <c r="B23" i="5717"/>
  <c r="H34" i="5717"/>
  <c r="H42" i="5717"/>
  <c r="H50" i="5717"/>
  <c r="H27" i="5717"/>
  <c r="H41" i="5717"/>
  <c r="H8" i="5717"/>
  <c r="H45" i="5717"/>
  <c r="H4" i="5717"/>
  <c r="H13" i="5717"/>
  <c r="C19" i="5717"/>
  <c r="H49" i="5717"/>
  <c r="H11" i="5717"/>
  <c r="H6" i="5717"/>
  <c r="H10" i="5717"/>
  <c r="H19" i="5717"/>
  <c r="H17" i="5717"/>
  <c r="H37" i="5717"/>
  <c r="H7" i="5717"/>
  <c r="H21" i="5717"/>
  <c r="H23" i="5717"/>
  <c r="H14" i="5717"/>
  <c r="C18" i="5717"/>
  <c r="H15" i="5717"/>
  <c r="H12" i="5717"/>
  <c r="H31" i="5717"/>
  <c r="H38" i="5717"/>
  <c r="H46" i="5717"/>
  <c r="H52" i="5717"/>
  <c r="H25" i="5717"/>
  <c r="H26" i="5717"/>
  <c r="H28" i="5717"/>
  <c r="H30" i="5717"/>
  <c r="H16" i="5717"/>
  <c r="H35" i="5717"/>
  <c r="H39" i="5717"/>
  <c r="H43" i="5717"/>
  <c r="H47" i="5717"/>
  <c r="H51" i="5717"/>
  <c r="H32" i="5717"/>
  <c r="H36" i="5717"/>
  <c r="H40" i="5717"/>
  <c r="H44" i="5717"/>
  <c r="H48" i="5717"/>
  <c r="H2" i="5715"/>
  <c r="H4" i="5715"/>
  <c r="H11" i="5715"/>
  <c r="H3" i="5715"/>
  <c r="H10" i="5715"/>
  <c r="H7" i="5715"/>
  <c r="H12" i="5715"/>
  <c r="H20" i="5715"/>
  <c r="H30" i="5715"/>
  <c r="H18" i="5715"/>
  <c r="H33" i="5715"/>
  <c r="H34" i="5715"/>
  <c r="H41" i="5715"/>
  <c r="H49" i="5715"/>
  <c r="H6" i="5715"/>
  <c r="H27" i="5715"/>
  <c r="H29" i="5715"/>
  <c r="H15" i="5715"/>
  <c r="C18" i="5715"/>
  <c r="B23" i="5715"/>
  <c r="H35" i="5715"/>
  <c r="H42" i="5715"/>
  <c r="H50" i="5715"/>
  <c r="H21" i="5715"/>
  <c r="H8" i="5715"/>
  <c r="H37" i="5715"/>
  <c r="H45" i="5715"/>
  <c r="H5" i="5715"/>
  <c r="H9" i="5715"/>
  <c r="H28" i="5715"/>
  <c r="H17" i="5715"/>
  <c r="C17" i="5715"/>
  <c r="H14" i="5715"/>
  <c r="H24" i="5715"/>
  <c r="H38" i="5715"/>
  <c r="H46" i="5715"/>
  <c r="H52" i="5715"/>
  <c r="H31" i="5715"/>
  <c r="H32" i="5715"/>
  <c r="H22" i="5715"/>
  <c r="H23" i="5715"/>
  <c r="H25" i="5715"/>
  <c r="H26" i="5715"/>
  <c r="H39" i="5715"/>
  <c r="H43" i="5715"/>
  <c r="H47" i="5715"/>
  <c r="H51" i="5715"/>
  <c r="C19" i="5715"/>
  <c r="H13" i="5715"/>
  <c r="H19" i="5715"/>
  <c r="H36" i="5715"/>
  <c r="H40" i="5715"/>
  <c r="H44" i="5715"/>
  <c r="H48" i="5715"/>
  <c r="H3" i="5713"/>
  <c r="H8" i="5713"/>
  <c r="H28" i="5713"/>
  <c r="H24" i="5713"/>
  <c r="H9" i="5713"/>
  <c r="H21" i="5713"/>
  <c r="H23" i="5713"/>
  <c r="H2" i="5713"/>
  <c r="H10" i="5713"/>
  <c r="H25" i="5713"/>
  <c r="H30" i="5713"/>
  <c r="H5" i="5713"/>
  <c r="H19" i="5713"/>
  <c r="H40" i="5713"/>
  <c r="H48" i="5713"/>
  <c r="C18" i="5713"/>
  <c r="B23" i="5713"/>
  <c r="H33" i="5713"/>
  <c r="H41" i="5713"/>
  <c r="H49" i="5713"/>
  <c r="H13" i="5713"/>
  <c r="H14" i="5713"/>
  <c r="H36" i="5713"/>
  <c r="H44" i="5713"/>
  <c r="H4" i="5713"/>
  <c r="H11" i="5713"/>
  <c r="H6" i="5713"/>
  <c r="H20" i="5713"/>
  <c r="C17" i="5713"/>
  <c r="H16" i="5713"/>
  <c r="H31" i="5713"/>
  <c r="H37" i="5713"/>
  <c r="H45" i="5713"/>
  <c r="H52" i="5713"/>
  <c r="H26" i="5713"/>
  <c r="H27" i="5713"/>
  <c r="H29" i="5713"/>
  <c r="H17" i="5713"/>
  <c r="H18" i="5713"/>
  <c r="H34" i="5713"/>
  <c r="H38" i="5713"/>
  <c r="H42" i="5713"/>
  <c r="H46" i="5713"/>
  <c r="H50" i="5713"/>
  <c r="H7" i="5713"/>
  <c r="H22" i="5713"/>
  <c r="H15" i="5713"/>
  <c r="C19" i="5713"/>
  <c r="H12" i="5713"/>
  <c r="H32" i="5713"/>
  <c r="H35" i="5713"/>
  <c r="H39" i="5713"/>
  <c r="H43" i="5713"/>
  <c r="H47" i="5713"/>
  <c r="H6" i="5711"/>
  <c r="H33" i="5711"/>
  <c r="H41" i="5711"/>
  <c r="H4" i="5711"/>
  <c r="H31" i="5711"/>
  <c r="H13" i="5711"/>
  <c r="H12" i="5711"/>
  <c r="H17" i="5711"/>
  <c r="C18" i="5711"/>
  <c r="H45" i="5711"/>
  <c r="H23" i="5711"/>
  <c r="H8" i="5711"/>
  <c r="H2" i="5711"/>
  <c r="H32" i="5711"/>
  <c r="H28" i="5711"/>
  <c r="H14" i="5711"/>
  <c r="H36" i="5711"/>
  <c r="H10" i="5711"/>
  <c r="H7" i="5711"/>
  <c r="H15" i="5711"/>
  <c r="H37" i="5711"/>
  <c r="H46" i="5711"/>
  <c r="H50" i="5711"/>
  <c r="H19" i="5711"/>
  <c r="H11" i="5711"/>
  <c r="H3" i="5711"/>
  <c r="C19" i="5711"/>
  <c r="H25" i="5711"/>
  <c r="H27" i="5711"/>
  <c r="H20" i="5711"/>
  <c r="H38" i="5711"/>
  <c r="H42" i="5711"/>
  <c r="H48" i="5711"/>
  <c r="H5" i="5711"/>
  <c r="H9" i="5711"/>
  <c r="H24" i="5711"/>
  <c r="H21" i="5711"/>
  <c r="C17" i="5711"/>
  <c r="H16" i="5711"/>
  <c r="B23" i="5711"/>
  <c r="H29" i="5711"/>
  <c r="H39" i="5711"/>
  <c r="H44" i="5711"/>
  <c r="H49" i="5711"/>
  <c r="H52" i="5711"/>
  <c r="H34" i="5711"/>
  <c r="H35" i="5711"/>
  <c r="H22" i="5711"/>
  <c r="H26" i="5711"/>
  <c r="H18" i="5711"/>
  <c r="H30" i="5711"/>
  <c r="H40" i="5711"/>
  <c r="H43" i="5711"/>
  <c r="H47" i="571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<sst xmlns="http://schemas.openxmlformats.org/spreadsheetml/2006/main" count="2480" uniqueCount="216">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</sst>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全体!$K$2:$K$263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全体!$L$2:$L$263</c:f>
              <c:numCache>
                <c:formatCode>\+0.0;\-0.0;\±0</c:formatCode>
                <c:ptCount val="26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35-4C81-BE0F-A694ABCEA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-23.255813953488371</c:v>
                </c:pt>
                <c:pt idx="1">
                  <c:v>16.260162601626018</c:v>
                </c:pt>
                <c:pt idx="2">
                  <c:v>-20.833333333333332</c:v>
                </c:pt>
                <c:pt idx="3">
                  <c:v>17.777777777777779</c:v>
                </c:pt>
                <c:pt idx="4">
                  <c:v>14.492753623188406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A-43DD-AC50-C6876A044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6-401D-B157-8DB650AD6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20.833333333333332</c:v>
                </c:pt>
                <c:pt idx="1">
                  <c:v>-404.3478260869565</c:v>
                </c:pt>
                <c:pt idx="2">
                  <c:v>1204.5454545454545</c:v>
                </c:pt>
                <c:pt idx="3">
                  <c:v>-440.90909090909093</c:v>
                </c:pt>
                <c:pt idx="4">
                  <c:v>-1659.090909090909</c:v>
                </c:pt>
                <c:pt idx="5">
                  <c:v>-3052.6315789473683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F4-4327-8043-99BD893CA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F5-4C51-8E92-123E71DD5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666.66666666666663</c:v>
                </c:pt>
                <c:pt idx="1">
                  <c:v>-196.07843137254903</c:v>
                </c:pt>
                <c:pt idx="2">
                  <c:v>-747.05882352941171</c:v>
                </c:pt>
                <c:pt idx="3">
                  <c:v>373.91304347826087</c:v>
                </c:pt>
                <c:pt idx="4">
                  <c:v>5154.545454545455</c:v>
                </c:pt>
                <c:pt idx="5">
                  <c:v>4474.2857142857147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A-4DEB-8855-1A7A517FE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9A-453A-AE6D-0F2A5DF9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-277.08333333333331</c:v>
                </c:pt>
                <c:pt idx="1">
                  <c:v>1269.5652173913043</c:v>
                </c:pt>
                <c:pt idx="2">
                  <c:v>2200</c:v>
                </c:pt>
                <c:pt idx="3">
                  <c:v>2521.4285714285716</c:v>
                </c:pt>
                <c:pt idx="4">
                  <c:v>-1748.7179487179487</c:v>
                </c:pt>
                <c:pt idx="5">
                  <c:v>1038.7096774193549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1-4B90-8DD5-F2860BA61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5D-47EB-B881-A641ACB69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-1593.3333333333333</c:v>
                </c:pt>
                <c:pt idx="2">
                  <c:v>2189.655172413793</c:v>
                </c:pt>
                <c:pt idx="3">
                  <c:v>-1600</c:v>
                </c:pt>
                <c:pt idx="4">
                  <c:v>-3833.3333333333335</c:v>
                </c:pt>
                <c:pt idx="5">
                  <c:v>-1828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A-4E5E-AE8F-1D4F47554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C-4A68-A94B-B4CFDAC5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7-4780-AD19-AC992591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F-4293-8BC7-6F6361686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D3-4A18-BDF9-BFDFF7F86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E-4B9C-BB0A-4A5ED933F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F5D-9A7E-5D5894246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4-4475-8D68-636961503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9-4458-ACD8-3C6EDF600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7-4A83-9D5B-D2E2F0612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0-4637-9FB5-C3C2C630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444771921533334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8372521899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04656523743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64.2072213500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79.2452830188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81327800829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352236053480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438794726930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75471698113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4270015698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809BE3-C08D-47A9-857C-1149631B1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D19709-8EA6-4B4E-AFAB-5D721B064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C265CD-6422-4728-A9AD-D0824DA56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D5DC9F-525B-4A49-A40B-7736AA17A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465CF1-311E-4997-806F-C0E8F39AD3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ECFEA6-95AC-49AC-83EC-95C9D9D4B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EBBC6C-803C-414D-BE7A-4C3E8DB6C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E25A68-D424-495F-AA3F-E1AC5C5BE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E06EC5-9F95-4D4E-ACC3-AF5D00BB1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FDC7A0-265D-4762-841E-A13D0EE95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0C954B-5E1C-4A84-B99D-0C3F83F85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0F5620-D9C9-4E8B-9595-ED78D779B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E2BB47-BF66-4320-9803-50453DB3F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2C8FCB-1D89-47B4-A21D-5AC182231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C1D731-9503-48B8-8162-F1B50518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97013E-7C19-48FD-B110-B78CE90F2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4C6771-2F7B-4944-B2D4-AEA658E98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E4CB66-C973-4B61-B784-23817ABD0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A829E8-C9B4-4F23-BA73-0E43B40A9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F27654-D74C-4C5F-94AD-2A335DCE69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43742.090381944443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43742.090381944443</v>
      </c>
      <c r="C11" s="30" t="s">
        <v>129</v>
      </c>
    </row>
    <row r="12" spans="1:12" x14ac:dyDescent="0.4">
      <c r="A12" s="30" t="s">
        <v>200</v>
      </c>
      <c r="B12" s="31">
        <v>43742.090381944443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43742.090381944443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43745.602835648147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43745.024594907409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43745.602847222224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43745.602847222224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43745.024594907409</v>
      </c>
      <c r="C18" s="30" t="s">
        <v>129</v>
      </c>
    </row>
    <row r="19" spans="1:12" x14ac:dyDescent="0.4">
      <c r="A19" s="30" t="s">
        <v>207</v>
      </c>
      <c r="B19" s="31">
        <v>43748.026620370372</v>
      </c>
      <c r="C19" s="30" t="s">
        <v>129</v>
      </c>
    </row>
    <row r="20" spans="1:12" x14ac:dyDescent="0.4">
      <c r="A20" s="30" t="s">
        <v>208</v>
      </c>
      <c r="B20" s="31">
        <v>43748.026620370372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43748.026620370372</v>
      </c>
      <c r="C21" s="30" t="s">
        <v>129</v>
      </c>
    </row>
    <row r="22" spans="1:12" x14ac:dyDescent="0.4">
      <c r="A22" s="30" t="s">
        <v>210</v>
      </c>
      <c r="B22" s="31">
        <v>43748.026620370372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43748.026620370372</v>
      </c>
      <c r="C23" s="30" t="s">
        <v>129</v>
      </c>
    </row>
    <row r="24" spans="1:12" x14ac:dyDescent="0.4">
      <c r="A24" s="30" t="s">
        <v>212</v>
      </c>
      <c r="B24" s="31">
        <v>43751.127928240741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43751.127928240741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  <row r="26" spans="1:12" x14ac:dyDescent="0.4">
      <c r="A26" s="30" t="s">
        <v>214</v>
      </c>
      <c r="B26" s="31">
        <v>43752.484606481485</v>
      </c>
      <c r="C26" s="30" t="s">
        <v>129</v>
      </c>
      <c r="D26" s="30" t="s">
        <v>130</v>
      </c>
      <c r="E26" s="30" t="s">
        <v>185</v>
      </c>
      <c r="F26" s="30" t="s">
        <v>186</v>
      </c>
      <c r="G26" s="30" t="s">
        <v>187</v>
      </c>
      <c r="H26" s="30" t="s">
        <v>188</v>
      </c>
    </row>
    <row r="27" spans="1:12" x14ac:dyDescent="0.4">
      <c r="A27" s="30" t="s">
        <v>215</v>
      </c>
      <c r="B27" s="31">
        <v>43752.726238425923</v>
      </c>
      <c r="C27" s="30" t="s">
        <v>129</v>
      </c>
      <c r="D27" s="30" t="s">
        <v>130</v>
      </c>
      <c r="E27" s="30" t="s">
        <v>185</v>
      </c>
      <c r="F27" s="30" t="s">
        <v>186</v>
      </c>
      <c r="G27" s="30" t="s">
        <v>187</v>
      </c>
      <c r="H27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261</v>
      </c>
    </row>
    <row r="2" spans="1:2" x14ac:dyDescent="0.4">
      <c r="A2" t="s">
        <v>167</v>
      </c>
      <c r="B2">
        <v>24</v>
      </c>
    </row>
    <row r="3" spans="1:2" x14ac:dyDescent="0.4">
      <c r="A3" t="s">
        <v>127</v>
      </c>
      <c r="B3">
        <v>55</v>
      </c>
    </row>
    <row r="4" spans="1:2" x14ac:dyDescent="0.4">
      <c r="A4" t="s">
        <v>128</v>
      </c>
      <c r="B4">
        <v>49</v>
      </c>
    </row>
    <row r="5" spans="1:2" x14ac:dyDescent="0.4">
      <c r="A5" t="s">
        <v>180</v>
      </c>
      <c r="B5">
        <v>31</v>
      </c>
    </row>
    <row r="6" spans="1:2" x14ac:dyDescent="0.4">
      <c r="A6" t="s">
        <v>178</v>
      </c>
      <c r="B6">
        <v>28</v>
      </c>
    </row>
    <row r="7" spans="1:2" x14ac:dyDescent="0.4">
      <c r="A7" t="s">
        <v>179</v>
      </c>
      <c r="B7">
        <v>36</v>
      </c>
    </row>
    <row r="8" spans="1:2" x14ac:dyDescent="0.4">
      <c r="A8" t="s">
        <v>183</v>
      </c>
      <c r="B8">
        <v>20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0.98783730920535828</v>
      </c>
      <c r="G2" s="163"/>
      <c r="H2" s="162">
        <v>0.96019186341448737</v>
      </c>
      <c r="I2" s="163"/>
      <c r="J2" s="162">
        <v>0.9959861551485838</v>
      </c>
      <c r="K2" s="163"/>
      <c r="L2" s="162">
        <v>0.930824512181473</v>
      </c>
      <c r="M2" s="163"/>
      <c r="N2" s="162">
        <v>0.73912660050178169</v>
      </c>
      <c r="O2" s="163"/>
      <c r="P2" s="162">
        <v>0.21398831061819926</v>
      </c>
      <c r="Q2" s="163"/>
      <c r="R2" s="162">
        <v>0.55501263608113438</v>
      </c>
      <c r="S2" s="163"/>
      <c r="T2" s="162">
        <v>0.61198364652315429</v>
      </c>
      <c r="U2" s="163"/>
      <c r="V2" s="162">
        <v>0.62092865604182168</v>
      </c>
      <c r="W2" s="163"/>
      <c r="X2" s="162">
        <v>0.49014223416268704</v>
      </c>
      <c r="Y2" s="163"/>
      <c r="Z2" s="162">
        <v>5.8468618211814562E-3</v>
      </c>
      <c r="AA2" s="163"/>
      <c r="AB2" s="162">
        <v>0.51782820574505095</v>
      </c>
      <c r="AC2" s="163"/>
      <c r="AD2" s="162">
        <v>0.39449129051364906</v>
      </c>
      <c r="AE2" s="163"/>
      <c r="AF2" s="162">
        <v>0.10682989725448165</v>
      </c>
      <c r="AG2" s="163"/>
      <c r="AH2" s="162">
        <v>0.45988371562884572</v>
      </c>
      <c r="AI2" s="163"/>
    </row>
    <row r="3" spans="1:35" x14ac:dyDescent="0.4">
      <c r="A3" s="74">
        <v>1</v>
      </c>
      <c r="B3" s="75" t="s">
        <v>127</v>
      </c>
      <c r="C3" s="76">
        <v>584.59999999999991</v>
      </c>
      <c r="D3" s="77" t="s">
        <v>182</v>
      </c>
      <c r="E3" s="96">
        <v>11.463636363636365</v>
      </c>
      <c r="F3" s="77" t="s">
        <v>127</v>
      </c>
      <c r="G3" s="78">
        <v>1.6909090909090909</v>
      </c>
      <c r="H3" s="77" t="s">
        <v>127</v>
      </c>
      <c r="I3" s="79">
        <v>0.50909090909090904</v>
      </c>
      <c r="J3" s="77" t="s">
        <v>182</v>
      </c>
      <c r="K3" s="79">
        <v>0.18181818181818182</v>
      </c>
      <c r="L3" s="77" t="s">
        <v>127</v>
      </c>
      <c r="M3" s="80">
        <v>0.34977578475336324</v>
      </c>
      <c r="N3" s="77" t="s">
        <v>182</v>
      </c>
      <c r="O3" s="80">
        <v>0.11650485436893204</v>
      </c>
      <c r="P3" s="77" t="s">
        <v>178</v>
      </c>
      <c r="Q3" s="81">
        <v>10853.571428571429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0.21428571428571427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0.55000000000000004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222.79999999999984</v>
      </c>
      <c r="D4" s="85" t="s">
        <v>127</v>
      </c>
      <c r="E4" s="97">
        <v>10.629090909090907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</v>
      </c>
      <c r="L4" s="85" t="s">
        <v>182</v>
      </c>
      <c r="M4" s="88">
        <v>0.3300970873786408</v>
      </c>
      <c r="N4" s="85" t="s">
        <v>127</v>
      </c>
      <c r="O4" s="88">
        <v>0.1367713004484305</v>
      </c>
      <c r="P4" s="85" t="s">
        <v>128</v>
      </c>
      <c r="Q4" s="89">
        <v>8746.6666666666661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0.2808988764044944</v>
      </c>
      <c r="Z4" s="85" t="s">
        <v>128</v>
      </c>
      <c r="AA4" s="88">
        <v>0.31904761904761902</v>
      </c>
      <c r="AB4" s="85" t="s">
        <v>127</v>
      </c>
      <c r="AC4" s="88">
        <v>0.6339285714285714</v>
      </c>
      <c r="AD4" s="85" t="s">
        <v>178</v>
      </c>
      <c r="AE4" s="88">
        <v>0.48936170212765956</v>
      </c>
      <c r="AF4" s="85" t="s">
        <v>167</v>
      </c>
      <c r="AG4" s="88">
        <v>0.49056603773584906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4.5469387755102009</v>
      </c>
      <c r="F5" s="85" t="s">
        <v>128</v>
      </c>
      <c r="G5" s="86">
        <v>1.8775510204081634</v>
      </c>
      <c r="H5" s="85" t="s">
        <v>196</v>
      </c>
      <c r="I5" s="87">
        <v>0.42857142857142855</v>
      </c>
      <c r="J5" s="85" t="s">
        <v>128</v>
      </c>
      <c r="K5" s="87">
        <v>0.26530612244897961</v>
      </c>
      <c r="L5" s="85" t="s">
        <v>128</v>
      </c>
      <c r="M5" s="88">
        <v>0.32142857142857145</v>
      </c>
      <c r="N5" s="85" t="s">
        <v>179</v>
      </c>
      <c r="O5" s="88">
        <v>0.1404109589041096</v>
      </c>
      <c r="P5" s="85" t="s">
        <v>144</v>
      </c>
      <c r="Q5" s="89">
        <v>8264.2072213500778</v>
      </c>
      <c r="R5" s="85" t="s">
        <v>127</v>
      </c>
      <c r="S5" s="89">
        <v>-7181.9672131147545</v>
      </c>
      <c r="T5" s="85" t="s">
        <v>127</v>
      </c>
      <c r="U5" s="87">
        <v>5.4545454545454543E-2</v>
      </c>
      <c r="V5" s="85" t="s">
        <v>128</v>
      </c>
      <c r="W5" s="87">
        <v>0.16326530612244897</v>
      </c>
      <c r="X5" s="85" t="s">
        <v>178</v>
      </c>
      <c r="Y5" s="88">
        <v>0.27777777777777779</v>
      </c>
      <c r="Z5" s="85" t="s">
        <v>179</v>
      </c>
      <c r="AA5" s="88">
        <v>0.28767123287671231</v>
      </c>
      <c r="AB5" s="85" t="s">
        <v>180</v>
      </c>
      <c r="AC5" s="88">
        <v>0.58666666666666667</v>
      </c>
      <c r="AD5" s="85" t="s">
        <v>180</v>
      </c>
      <c r="AE5" s="88">
        <v>0.4375</v>
      </c>
      <c r="AF5" s="85" t="s">
        <v>178</v>
      </c>
      <c r="AG5" s="88">
        <v>0.4642857142857143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-1.4210854715202004E-14</v>
      </c>
      <c r="D6" s="85" t="s">
        <v>144</v>
      </c>
      <c r="E6" s="97">
        <v>-5.4447719215333345E-17</v>
      </c>
      <c r="F6" s="85" t="s">
        <v>178</v>
      </c>
      <c r="G6" s="86">
        <v>1.9642857142857142</v>
      </c>
      <c r="H6" s="85" t="s">
        <v>128</v>
      </c>
      <c r="I6" s="87">
        <v>0.38775510204081631</v>
      </c>
      <c r="J6" s="85" t="s">
        <v>178</v>
      </c>
      <c r="K6" s="87">
        <v>0.32142857142857145</v>
      </c>
      <c r="L6" s="85" t="s">
        <v>144</v>
      </c>
      <c r="M6" s="88">
        <v>0.29368372521899494</v>
      </c>
      <c r="N6" s="85" t="s">
        <v>178</v>
      </c>
      <c r="O6" s="88">
        <v>0.16666666666666666</v>
      </c>
      <c r="P6" s="85" t="s">
        <v>179</v>
      </c>
      <c r="Q6" s="89">
        <v>8108.75</v>
      </c>
      <c r="R6" s="85" t="s">
        <v>179</v>
      </c>
      <c r="S6" s="89">
        <v>-7207.3170731707314</v>
      </c>
      <c r="T6" s="85" t="s">
        <v>180</v>
      </c>
      <c r="U6" s="87">
        <v>6.4516129032258063E-2</v>
      </c>
      <c r="V6" s="85" t="s">
        <v>196</v>
      </c>
      <c r="W6" s="87">
        <v>0.14285714285714285</v>
      </c>
      <c r="X6" s="85" t="s">
        <v>127</v>
      </c>
      <c r="Y6" s="88">
        <v>0.25112107623318386</v>
      </c>
      <c r="Z6" s="85" t="s">
        <v>144</v>
      </c>
      <c r="AA6" s="88">
        <v>0.24435223605348086</v>
      </c>
      <c r="AB6" s="85" t="s">
        <v>144</v>
      </c>
      <c r="AC6" s="88">
        <v>0.55743879472693036</v>
      </c>
      <c r="AD6" s="85" t="s">
        <v>144</v>
      </c>
      <c r="AE6" s="88">
        <v>0.42075471698113209</v>
      </c>
      <c r="AF6" s="85" t="s">
        <v>183</v>
      </c>
      <c r="AG6" s="88">
        <v>0.4375</v>
      </c>
      <c r="AH6" s="85" t="s">
        <v>167</v>
      </c>
      <c r="AI6" s="92">
        <v>86900</v>
      </c>
    </row>
    <row r="7" spans="1:35" x14ac:dyDescent="0.4">
      <c r="A7" s="82">
        <v>5</v>
      </c>
      <c r="B7" s="83" t="s">
        <v>178</v>
      </c>
      <c r="C7" s="84">
        <v>-10.999999999999972</v>
      </c>
      <c r="D7" s="85" t="s">
        <v>178</v>
      </c>
      <c r="E7" s="97">
        <v>-0.39285714285714185</v>
      </c>
      <c r="F7" s="85" t="s">
        <v>144</v>
      </c>
      <c r="G7" s="86">
        <v>2</v>
      </c>
      <c r="H7" s="85" t="s">
        <v>178</v>
      </c>
      <c r="I7" s="87">
        <v>0.35714285714285715</v>
      </c>
      <c r="J7" s="85" t="s">
        <v>144</v>
      </c>
      <c r="K7" s="87">
        <v>0.33333333333333331</v>
      </c>
      <c r="L7" s="85" t="s">
        <v>180</v>
      </c>
      <c r="M7" s="88">
        <v>0.28464419475655428</v>
      </c>
      <c r="N7" s="85" t="s">
        <v>144</v>
      </c>
      <c r="O7" s="88">
        <v>0.17104656523743661</v>
      </c>
      <c r="P7" s="85" t="s">
        <v>127</v>
      </c>
      <c r="Q7" s="89">
        <v>7975.6410256410254</v>
      </c>
      <c r="R7" s="85" t="s">
        <v>180</v>
      </c>
      <c r="S7" s="89">
        <v>-7345.2830188679245</v>
      </c>
      <c r="T7" s="85" t="s">
        <v>179</v>
      </c>
      <c r="U7" s="87">
        <v>0.1111111111111111</v>
      </c>
      <c r="V7" s="85" t="s">
        <v>144</v>
      </c>
      <c r="W7" s="87">
        <v>0.11494252873563218</v>
      </c>
      <c r="X7" s="85" t="s">
        <v>144</v>
      </c>
      <c r="Y7" s="88">
        <v>0.24481327800829875</v>
      </c>
      <c r="Z7" s="85" t="s">
        <v>167</v>
      </c>
      <c r="AA7" s="88">
        <v>0.22815533980582525</v>
      </c>
      <c r="AB7" s="85" t="s">
        <v>128</v>
      </c>
      <c r="AC7" s="88">
        <v>0.55555555555555558</v>
      </c>
      <c r="AD7" s="85" t="s">
        <v>179</v>
      </c>
      <c r="AE7" s="88">
        <v>0.40476190476190477</v>
      </c>
      <c r="AF7" s="85" t="s">
        <v>179</v>
      </c>
      <c r="AG7" s="88">
        <v>0.42499999999999999</v>
      </c>
      <c r="AH7" s="85" t="s">
        <v>127</v>
      </c>
      <c r="AI7" s="92">
        <v>86200</v>
      </c>
    </row>
    <row r="8" spans="1:35" x14ac:dyDescent="0.4">
      <c r="A8" s="82">
        <v>6</v>
      </c>
      <c r="B8" s="83" t="s">
        <v>179</v>
      </c>
      <c r="C8" s="84">
        <v>-65.399999999999977</v>
      </c>
      <c r="D8" s="85" t="s">
        <v>179</v>
      </c>
      <c r="E8" s="97">
        <v>-1.816666666666666</v>
      </c>
      <c r="F8" s="85" t="s">
        <v>167</v>
      </c>
      <c r="G8" s="86">
        <v>2.125</v>
      </c>
      <c r="H8" s="85" t="s">
        <v>144</v>
      </c>
      <c r="I8" s="87">
        <v>0.33333333333333331</v>
      </c>
      <c r="J8" s="85" t="s">
        <v>179</v>
      </c>
      <c r="K8" s="87">
        <v>0.3611111111111111</v>
      </c>
      <c r="L8" s="85" t="s">
        <v>179</v>
      </c>
      <c r="M8" s="88">
        <v>0.27397260273972601</v>
      </c>
      <c r="N8" s="85" t="s">
        <v>167</v>
      </c>
      <c r="O8" s="88">
        <v>0.17475728155339806</v>
      </c>
      <c r="P8" s="85" t="s">
        <v>182</v>
      </c>
      <c r="Q8" s="89">
        <v>7779.411764705882</v>
      </c>
      <c r="R8" s="85" t="s">
        <v>128</v>
      </c>
      <c r="S8" s="89">
        <v>-7620.9302325581393</v>
      </c>
      <c r="T8" s="85" t="s">
        <v>144</v>
      </c>
      <c r="U8" s="87">
        <v>0.11494252873563218</v>
      </c>
      <c r="V8" s="85" t="s">
        <v>127</v>
      </c>
      <c r="W8" s="87">
        <v>0.10909090909090909</v>
      </c>
      <c r="X8" s="85" t="s">
        <v>196</v>
      </c>
      <c r="Y8" s="88">
        <v>0.24193548387096775</v>
      </c>
      <c r="Z8" s="85" t="s">
        <v>127</v>
      </c>
      <c r="AA8" s="88">
        <v>0.22421524663677131</v>
      </c>
      <c r="AB8" s="85" t="s">
        <v>196</v>
      </c>
      <c r="AC8" s="88">
        <v>0.53333333333333333</v>
      </c>
      <c r="AD8" s="85" t="s">
        <v>128</v>
      </c>
      <c r="AE8" s="88">
        <v>0.40298507462686567</v>
      </c>
      <c r="AF8" s="85" t="s">
        <v>144</v>
      </c>
      <c r="AG8" s="88">
        <v>0.41444270015698587</v>
      </c>
      <c r="AH8" s="85" t="s">
        <v>183</v>
      </c>
      <c r="AI8" s="92">
        <v>85100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-4.6500000000000004</v>
      </c>
      <c r="F9" s="85" t="s">
        <v>179</v>
      </c>
      <c r="G9" s="86">
        <v>2.1388888888888888</v>
      </c>
      <c r="H9" s="85" t="s">
        <v>167</v>
      </c>
      <c r="I9" s="87">
        <v>0.29166666666666669</v>
      </c>
      <c r="J9" s="85" t="s">
        <v>167</v>
      </c>
      <c r="K9" s="87">
        <v>0.41666666666666669</v>
      </c>
      <c r="L9" s="85" t="s">
        <v>178</v>
      </c>
      <c r="M9" s="88">
        <v>0.25925925925925924</v>
      </c>
      <c r="N9" s="85" t="s">
        <v>196</v>
      </c>
      <c r="O9" s="88">
        <v>0.19354838709677419</v>
      </c>
      <c r="P9" s="85" t="s">
        <v>167</v>
      </c>
      <c r="Q9" s="89">
        <v>7605.6603773584902</v>
      </c>
      <c r="R9" s="85" t="s">
        <v>144</v>
      </c>
      <c r="S9" s="89">
        <v>-7679.2452830188677</v>
      </c>
      <c r="T9" s="85" t="s">
        <v>128</v>
      </c>
      <c r="U9" s="87">
        <v>0.14285714285714285</v>
      </c>
      <c r="V9" s="85" t="s">
        <v>179</v>
      </c>
      <c r="W9" s="87">
        <v>8.3333333333333329E-2</v>
      </c>
      <c r="X9" s="85" t="s">
        <v>179</v>
      </c>
      <c r="Y9" s="88">
        <v>0.2363013698630137</v>
      </c>
      <c r="Z9" s="85" t="s">
        <v>178</v>
      </c>
      <c r="AA9" s="88">
        <v>0.21759259259259259</v>
      </c>
      <c r="AB9" s="85" t="s">
        <v>167</v>
      </c>
      <c r="AC9" s="88">
        <v>0.52631578947368418</v>
      </c>
      <c r="AD9" s="85" t="s">
        <v>183</v>
      </c>
      <c r="AE9" s="88">
        <v>0.33333333333333331</v>
      </c>
      <c r="AF9" s="85" t="s">
        <v>127</v>
      </c>
      <c r="AG9" s="88">
        <v>0.39102564102564102</v>
      </c>
      <c r="AH9" s="85" t="s">
        <v>178</v>
      </c>
      <c r="AI9" s="92">
        <v>83000</v>
      </c>
    </row>
    <row r="10" spans="1:35" x14ac:dyDescent="0.4">
      <c r="A10" s="82">
        <v>8</v>
      </c>
      <c r="B10" s="83" t="s">
        <v>167</v>
      </c>
      <c r="C10" s="84">
        <v>-111.60000000000001</v>
      </c>
      <c r="D10" s="85" t="s">
        <v>180</v>
      </c>
      <c r="E10" s="97">
        <v>-6.8580645161290317</v>
      </c>
      <c r="F10" s="85" t="s">
        <v>196</v>
      </c>
      <c r="G10" s="86">
        <v>2.1428571428571428</v>
      </c>
      <c r="H10" s="85" t="s">
        <v>179</v>
      </c>
      <c r="I10" s="87">
        <v>0.22222222222222221</v>
      </c>
      <c r="J10" s="85" t="s">
        <v>180</v>
      </c>
      <c r="K10" s="87">
        <v>0.41935483870967744</v>
      </c>
      <c r="L10" s="85" t="s">
        <v>167</v>
      </c>
      <c r="M10" s="88">
        <v>0.25728155339805825</v>
      </c>
      <c r="N10" s="85" t="s">
        <v>180</v>
      </c>
      <c r="O10" s="88">
        <v>0.19850187265917604</v>
      </c>
      <c r="P10" s="85" t="s">
        <v>183</v>
      </c>
      <c r="Q10" s="89">
        <v>7496.875</v>
      </c>
      <c r="R10" s="85" t="s">
        <v>196</v>
      </c>
      <c r="S10" s="89">
        <v>-9075</v>
      </c>
      <c r="T10" s="85" t="s">
        <v>178</v>
      </c>
      <c r="U10" s="87">
        <v>0.17857142857142858</v>
      </c>
      <c r="V10" s="85" t="s">
        <v>180</v>
      </c>
      <c r="W10" s="87">
        <v>6.4516129032258063E-2</v>
      </c>
      <c r="X10" s="85" t="s">
        <v>128</v>
      </c>
      <c r="Y10" s="88">
        <v>0.23571428571428571</v>
      </c>
      <c r="Z10" s="85" t="s">
        <v>183</v>
      </c>
      <c r="AA10" s="88">
        <v>0.21019108280254778</v>
      </c>
      <c r="AB10" s="85" t="s">
        <v>179</v>
      </c>
      <c r="AC10" s="88">
        <v>0.52173913043478259</v>
      </c>
      <c r="AD10" s="85" t="s">
        <v>182</v>
      </c>
      <c r="AE10" s="88">
        <v>0.33333333333333331</v>
      </c>
      <c r="AF10" s="85" t="s">
        <v>180</v>
      </c>
      <c r="AG10" s="88">
        <v>0.38157894736842107</v>
      </c>
      <c r="AH10" s="85" t="s">
        <v>179</v>
      </c>
      <c r="AI10" s="92">
        <v>81700</v>
      </c>
    </row>
    <row r="11" spans="1:35" x14ac:dyDescent="0.4">
      <c r="A11" s="82">
        <v>9</v>
      </c>
      <c r="B11" s="83" t="s">
        <v>180</v>
      </c>
      <c r="C11" s="84">
        <v>-212.6</v>
      </c>
      <c r="D11" s="85" t="s">
        <v>196</v>
      </c>
      <c r="E11" s="97">
        <v>-14.971428571428573</v>
      </c>
      <c r="F11" s="85" t="s">
        <v>180</v>
      </c>
      <c r="G11" s="86">
        <v>2.225806451612903</v>
      </c>
      <c r="H11" s="85" t="s">
        <v>180</v>
      </c>
      <c r="I11" s="87">
        <v>0.19354838709677419</v>
      </c>
      <c r="J11" s="85" t="s">
        <v>196</v>
      </c>
      <c r="K11" s="87">
        <v>0.5714285714285714</v>
      </c>
      <c r="L11" s="85" t="s">
        <v>196</v>
      </c>
      <c r="M11" s="88">
        <v>0.24193548387096775</v>
      </c>
      <c r="N11" s="85" t="s">
        <v>128</v>
      </c>
      <c r="O11" s="88">
        <v>0.20476190476190476</v>
      </c>
      <c r="P11" s="85" t="s">
        <v>196</v>
      </c>
      <c r="Q11" s="89">
        <v>7473.333333333333</v>
      </c>
      <c r="R11" s="85" t="s">
        <v>183</v>
      </c>
      <c r="S11" s="89">
        <v>-9173.5294117647063</v>
      </c>
      <c r="T11" s="85" t="s">
        <v>183</v>
      </c>
      <c r="U11" s="87">
        <v>0.25</v>
      </c>
      <c r="V11" s="85" t="s">
        <v>183</v>
      </c>
      <c r="W11" s="87">
        <v>0.05</v>
      </c>
      <c r="X11" s="85" t="s">
        <v>183</v>
      </c>
      <c r="Y11" s="88">
        <v>0.21019108280254778</v>
      </c>
      <c r="Z11" s="85" t="s">
        <v>180</v>
      </c>
      <c r="AA11" s="88">
        <v>0.1797752808988764</v>
      </c>
      <c r="AB11" s="85" t="s">
        <v>183</v>
      </c>
      <c r="AC11" s="88">
        <v>0.51515151515151514</v>
      </c>
      <c r="AD11" s="85" t="s">
        <v>167</v>
      </c>
      <c r="AE11" s="88">
        <v>0.2978723404255319</v>
      </c>
      <c r="AF11" s="85" t="s">
        <v>128</v>
      </c>
      <c r="AG11" s="88">
        <v>0.37777777777777777</v>
      </c>
      <c r="AH11" s="85" t="s">
        <v>180</v>
      </c>
      <c r="AI11" s="92">
        <v>69300</v>
      </c>
    </row>
    <row r="12" spans="1:35" x14ac:dyDescent="0.4">
      <c r="A12" s="82">
        <v>10</v>
      </c>
      <c r="B12" s="83" t="s">
        <v>183</v>
      </c>
      <c r="C12" s="84">
        <v>-428.10000000000008</v>
      </c>
      <c r="D12" s="85" t="s">
        <v>183</v>
      </c>
      <c r="E12" s="97">
        <v>-21.405000000000005</v>
      </c>
      <c r="F12" s="85" t="s">
        <v>183</v>
      </c>
      <c r="G12" s="86">
        <v>2.5499999999999998</v>
      </c>
      <c r="H12" s="85" t="s">
        <v>183</v>
      </c>
      <c r="I12" s="87">
        <v>0.05</v>
      </c>
      <c r="J12" s="85" t="s">
        <v>183</v>
      </c>
      <c r="K12" s="87">
        <v>0.6</v>
      </c>
      <c r="L12" s="85" t="s">
        <v>183</v>
      </c>
      <c r="M12" s="88">
        <v>0.20382165605095542</v>
      </c>
      <c r="N12" s="85" t="s">
        <v>183</v>
      </c>
      <c r="O12" s="88">
        <v>0.21656050955414013</v>
      </c>
      <c r="P12" s="85" t="s">
        <v>180</v>
      </c>
      <c r="Q12" s="89">
        <v>7410.5263157894733</v>
      </c>
      <c r="R12" s="85" t="s">
        <v>178</v>
      </c>
      <c r="S12" s="89">
        <v>-9508.3333333333339</v>
      </c>
      <c r="T12" s="85" t="s">
        <v>196</v>
      </c>
      <c r="U12" s="87">
        <v>0.5714285714285714</v>
      </c>
      <c r="V12" s="85" t="s">
        <v>167</v>
      </c>
      <c r="W12" s="87">
        <v>4.1666666666666664E-2</v>
      </c>
      <c r="X12" s="85" t="s">
        <v>167</v>
      </c>
      <c r="Y12" s="88">
        <v>0.18446601941747573</v>
      </c>
      <c r="Z12" s="85" t="s">
        <v>182</v>
      </c>
      <c r="AA12" s="88">
        <v>0.14563106796116504</v>
      </c>
      <c r="AB12" s="85" t="s">
        <v>178</v>
      </c>
      <c r="AC12" s="88">
        <v>0.41666666666666669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196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D353-8949-45EA-97E9-EE9755353170}">
  <sheetPr codeName="Sheet4"/>
  <dimension ref="A1:Q2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261</v>
      </c>
      <c r="C2" s="151"/>
      <c r="E2" s="62" t="s">
        <v>67</v>
      </c>
      <c r="F2" s="59" t="s">
        <v>23</v>
      </c>
      <c r="G2" s="46">
        <v>487</v>
      </c>
      <c r="H2" s="132">
        <f>IF(B$17=0,0,G2/B$17)</f>
        <v>0.76452119309262168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-23.255813953488371</v>
      </c>
      <c r="P2" s="118">
        <v>258</v>
      </c>
      <c r="Q2" s="102">
        <v>-6000</v>
      </c>
    </row>
    <row r="3" spans="1:17" x14ac:dyDescent="0.4">
      <c r="A3" s="55" t="s">
        <v>8</v>
      </c>
      <c r="B3" s="152">
        <v>2169</v>
      </c>
      <c r="C3" s="153"/>
      <c r="E3" s="63" t="s">
        <v>73</v>
      </c>
      <c r="F3" s="60" t="s">
        <v>28</v>
      </c>
      <c r="G3" s="47">
        <v>371</v>
      </c>
      <c r="H3" s="133">
        <f>IF(B$17=0,0,G3/B$17)</f>
        <v>0.58241758241758246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16.260162601626018</v>
      </c>
      <c r="P3" s="119">
        <v>246</v>
      </c>
      <c r="Q3" s="103">
        <v>4000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65</v>
      </c>
      <c r="F4" s="60" t="s">
        <v>21</v>
      </c>
      <c r="G4" s="47">
        <v>289</v>
      </c>
      <c r="H4" s="133">
        <f>IF(B$17=0,0,G4/B$17)</f>
        <v>0.45368916797488223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-20.833333333333332</v>
      </c>
      <c r="P4" s="119">
        <v>240</v>
      </c>
      <c r="Q4" s="103">
        <v>-5000</v>
      </c>
    </row>
    <row r="5" spans="1:17" x14ac:dyDescent="0.4">
      <c r="A5" s="55" t="s">
        <v>7</v>
      </c>
      <c r="B5" s="156">
        <f>IF(B$2=0,0,B$4/B$2)</f>
        <v>-5.4447719215333345E-17</v>
      </c>
      <c r="C5" s="157"/>
      <c r="E5" s="63" t="s">
        <v>172</v>
      </c>
      <c r="F5" s="60" t="s">
        <v>173</v>
      </c>
      <c r="G5" s="47">
        <v>228</v>
      </c>
      <c r="H5" s="133">
        <f>IF(B$17=0,0,G5/B$17)</f>
        <v>0.35792778649921508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17.777777777777779</v>
      </c>
      <c r="P5" s="119">
        <v>225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191</v>
      </c>
      <c r="H6" s="133">
        <f>IF(B$17=0,0,G6/B$17)</f>
        <v>0.29984301412872844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14.492753623188406</v>
      </c>
      <c r="P6" s="119">
        <v>207</v>
      </c>
      <c r="Q6" s="103">
        <v>3000</v>
      </c>
    </row>
    <row r="7" spans="1:17" x14ac:dyDescent="0.4">
      <c r="A7" s="55" t="s">
        <v>2</v>
      </c>
      <c r="B7" s="47">
        <v>87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187</v>
      </c>
      <c r="H7" s="133">
        <f>IF(B$17=0,0,G7/B$17)</f>
        <v>0.29356357927786497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171</v>
      </c>
      <c r="Q7" s="104">
        <v>0</v>
      </c>
    </row>
    <row r="8" spans="1:17" x14ac:dyDescent="0.4">
      <c r="A8" s="55" t="s">
        <v>3</v>
      </c>
      <c r="B8" s="47">
        <v>87</v>
      </c>
      <c r="C8" s="39">
        <f t="shared" si="1"/>
        <v>0.33333333333333331</v>
      </c>
      <c r="E8" s="63" t="s">
        <v>90</v>
      </c>
      <c r="F8" s="60" t="s">
        <v>45</v>
      </c>
      <c r="G8" s="47">
        <v>87</v>
      </c>
      <c r="H8" s="133">
        <f>IF(B$17=0,0,G8/B$17)</f>
        <v>0.13657770800627944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87</v>
      </c>
      <c r="C9" s="40">
        <f t="shared" si="1"/>
        <v>0.33333333333333331</v>
      </c>
      <c r="E9" s="63" t="s">
        <v>70</v>
      </c>
      <c r="F9" s="60" t="s">
        <v>25</v>
      </c>
      <c r="G9" s="47">
        <v>81</v>
      </c>
      <c r="H9" s="133">
        <f>IF(B$17=0,0,G9/B$17)</f>
        <v>0.1271585557299843</v>
      </c>
      <c r="I9" s="94">
        <v>6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30</v>
      </c>
      <c r="C10" s="40">
        <f t="shared" si="1"/>
        <v>0.11494252873563218</v>
      </c>
      <c r="E10" s="63" t="s">
        <v>66</v>
      </c>
      <c r="F10" s="60" t="s">
        <v>22</v>
      </c>
      <c r="G10" s="47">
        <v>59</v>
      </c>
      <c r="H10" s="133">
        <f>IF(B$17=0,0,G10/B$17)</f>
        <v>9.2621664050235475E-2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1.2160919540229873</v>
      </c>
      <c r="P10" s="118">
        <v>87</v>
      </c>
      <c r="Q10" s="106">
        <v>105.7999999999999</v>
      </c>
    </row>
    <row r="11" spans="1:17" x14ac:dyDescent="0.4">
      <c r="A11" s="56" t="s">
        <v>139</v>
      </c>
      <c r="B11" s="48">
        <v>30</v>
      </c>
      <c r="C11" s="40">
        <f t="shared" si="1"/>
        <v>0.11494252873563218</v>
      </c>
      <c r="E11" s="63" t="s">
        <v>71</v>
      </c>
      <c r="F11" s="60" t="s">
        <v>26</v>
      </c>
      <c r="G11" s="47">
        <v>51</v>
      </c>
      <c r="H11" s="133">
        <f>IF(B$17=0,0,G11/B$17)</f>
        <v>8.0062794348508631E-2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-6.2068965517241115E-2</v>
      </c>
      <c r="P11" s="119">
        <v>87</v>
      </c>
      <c r="Q11" s="107">
        <v>-5.3999999999999773</v>
      </c>
    </row>
    <row r="12" spans="1:17" x14ac:dyDescent="0.4">
      <c r="A12" s="57" t="s">
        <v>159</v>
      </c>
      <c r="B12" s="49">
        <v>24</v>
      </c>
      <c r="C12" s="42">
        <f t="shared" si="1"/>
        <v>9.1954022988505746E-2</v>
      </c>
      <c r="E12" s="63" t="s">
        <v>72</v>
      </c>
      <c r="F12" s="60" t="s">
        <v>27</v>
      </c>
      <c r="G12" s="47">
        <v>47</v>
      </c>
      <c r="H12" s="133">
        <f>IF(B$17=0,0,G12/B$17)</f>
        <v>7.378335949764521E-2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-1.1540229885057471</v>
      </c>
      <c r="P12" s="120">
        <v>87</v>
      </c>
      <c r="Q12" s="108">
        <v>-100.4</v>
      </c>
    </row>
    <row r="13" spans="1:17" x14ac:dyDescent="0.4">
      <c r="A13" s="58" t="s">
        <v>122</v>
      </c>
      <c r="B13" s="50">
        <v>531</v>
      </c>
      <c r="C13" s="44">
        <f>IF(B$3=0,0,B13/B$3)</f>
        <v>0.24481327800829875</v>
      </c>
      <c r="E13" s="63" t="s">
        <v>84</v>
      </c>
      <c r="F13" s="60" t="s">
        <v>39</v>
      </c>
      <c r="G13" s="47">
        <v>35</v>
      </c>
      <c r="H13" s="133">
        <f>IF(B$17=0,0,G13/B$17)</f>
        <v>5.4945054945054944E-2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530</v>
      </c>
      <c r="C14" s="39">
        <f>IF(B$3=0,0,B14/B$3)</f>
        <v>0.24435223605348086</v>
      </c>
      <c r="E14" s="63" t="s">
        <v>87</v>
      </c>
      <c r="F14" s="60" t="s">
        <v>42</v>
      </c>
      <c r="G14" s="47">
        <v>28</v>
      </c>
      <c r="H14" s="133">
        <f>IF(B$17=0,0,G14/B$17)</f>
        <v>4.3956043956043959E-2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296</v>
      </c>
      <c r="C15" s="37">
        <f>IF(B$13=0,0,B15/B$13)</f>
        <v>0.55743879472693036</v>
      </c>
      <c r="E15" s="63" t="s">
        <v>79</v>
      </c>
      <c r="F15" s="60" t="s">
        <v>34</v>
      </c>
      <c r="G15" s="47">
        <v>15</v>
      </c>
      <c r="H15" s="133">
        <f>IF(B$17=0,0,G15/B$17)</f>
        <v>2.3547880690737835E-2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32.107500000000002</v>
      </c>
      <c r="P15" s="118">
        <v>40</v>
      </c>
      <c r="Q15" s="106">
        <v>1284.3</v>
      </c>
    </row>
    <row r="16" spans="1:17" x14ac:dyDescent="0.4">
      <c r="A16" s="54" t="s">
        <v>125</v>
      </c>
      <c r="B16" s="46">
        <v>223</v>
      </c>
      <c r="C16" s="37">
        <f>IF(B$14=0,0,B16/B$14)</f>
        <v>0.42075471698113209</v>
      </c>
      <c r="E16" s="63" t="s">
        <v>82</v>
      </c>
      <c r="F16" s="60" t="s">
        <v>37</v>
      </c>
      <c r="G16" s="47">
        <v>12</v>
      </c>
      <c r="H16" s="133">
        <f>IF(B$17=0,0,G16/B$17)</f>
        <v>1.8838304552590265E-2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637</v>
      </c>
      <c r="C17" s="37">
        <f>IF(B$3=0,0,B17/B$3)</f>
        <v>0.29368372521899494</v>
      </c>
      <c r="E17" s="63" t="s">
        <v>80</v>
      </c>
      <c r="F17" s="60" t="s">
        <v>35</v>
      </c>
      <c r="G17" s="47">
        <v>10</v>
      </c>
      <c r="H17" s="133">
        <f>IF(B$17=0,0,G17/B$17)</f>
        <v>1.5698587127158554E-2</v>
      </c>
      <c r="I17" s="94">
        <v>4</v>
      </c>
      <c r="K17" s="38">
        <v>15</v>
      </c>
      <c r="L17" s="99">
        <v>0</v>
      </c>
      <c r="N17" s="115" t="s">
        <v>180</v>
      </c>
      <c r="O17" s="125">
        <f>IF(P17=0,0,Q17/P17)</f>
        <v>10.287096774193552</v>
      </c>
      <c r="P17" s="119">
        <v>62</v>
      </c>
      <c r="Q17" s="107">
        <v>637.80000000000018</v>
      </c>
    </row>
    <row r="18" spans="1:17" x14ac:dyDescent="0.4">
      <c r="A18" s="55" t="s">
        <v>12</v>
      </c>
      <c r="B18" s="47">
        <v>264</v>
      </c>
      <c r="C18" s="39">
        <f>IF(B$17=0,0,B18/B$17)</f>
        <v>0.41444270015698587</v>
      </c>
      <c r="E18" s="63" t="s">
        <v>92</v>
      </c>
      <c r="F18" s="60" t="s">
        <v>47</v>
      </c>
      <c r="G18" s="47">
        <v>10</v>
      </c>
      <c r="H18" s="133">
        <f>IF(B$17=0,0,G18/B$17)</f>
        <v>1.5698587127158554E-2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>IF(P18=0,0,Q18/P18)</f>
        <v>6.9749999999999988</v>
      </c>
      <c r="P18" s="119">
        <v>48</v>
      </c>
      <c r="Q18" s="107">
        <v>334.79999999999995</v>
      </c>
    </row>
    <row r="19" spans="1:17" x14ac:dyDescent="0.4">
      <c r="A19" s="55" t="s">
        <v>11</v>
      </c>
      <c r="B19" s="47">
        <v>373</v>
      </c>
      <c r="C19" s="39">
        <f>IF(B$17=0,0,B19/B$17)</f>
        <v>0.58555729984301408</v>
      </c>
      <c r="E19" s="63" t="s">
        <v>168</v>
      </c>
      <c r="F19" s="60" t="s">
        <v>169</v>
      </c>
      <c r="G19" s="47">
        <v>8</v>
      </c>
      <c r="H19" s="133">
        <f>IF(B$17=0,0,G19/B$17)</f>
        <v>1.2558869701726845E-2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2.7250000000000001</v>
      </c>
      <c r="P19" s="119">
        <v>72</v>
      </c>
      <c r="Q19" s="107">
        <v>196.20000000000002</v>
      </c>
    </row>
    <row r="20" spans="1:17" x14ac:dyDescent="0.4">
      <c r="A20" s="55" t="s">
        <v>13</v>
      </c>
      <c r="B20" s="47">
        <v>371</v>
      </c>
      <c r="C20" s="39">
        <f>IF(B$3=0,0,B20/B$3)</f>
        <v>0.17104656523743661</v>
      </c>
      <c r="E20" s="63" t="s">
        <v>93</v>
      </c>
      <c r="F20" s="60" t="s">
        <v>48</v>
      </c>
      <c r="G20" s="47">
        <v>5</v>
      </c>
      <c r="H20" s="133">
        <f>IF(B$17=0,0,G20/B$17)</f>
        <v>7.8492935635792772E-3</v>
      </c>
      <c r="I20" s="94">
        <v>3</v>
      </c>
      <c r="K20" s="38">
        <v>18</v>
      </c>
      <c r="L20" s="99">
        <v>0</v>
      </c>
      <c r="N20" s="115" t="s">
        <v>178</v>
      </c>
      <c r="O20" s="125">
        <f>IF(P20=0,0,Q20/P20)</f>
        <v>0.5892857142857133</v>
      </c>
      <c r="P20" s="119">
        <v>56</v>
      </c>
      <c r="Q20" s="107">
        <v>32.999999999999943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6.2794348508634227E-3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-6.8204081632653093</v>
      </c>
      <c r="P21" s="119">
        <v>98</v>
      </c>
      <c r="Q21" s="107">
        <v>-668.40000000000032</v>
      </c>
    </row>
    <row r="22" spans="1:17" x14ac:dyDescent="0.4">
      <c r="A22" s="55" t="s">
        <v>171</v>
      </c>
      <c r="B22" s="47">
        <v>26</v>
      </c>
      <c r="C22" s="135">
        <v>3</v>
      </c>
      <c r="E22" s="63" t="s">
        <v>86</v>
      </c>
      <c r="F22" s="60" t="s">
        <v>41</v>
      </c>
      <c r="G22" s="47">
        <v>4</v>
      </c>
      <c r="H22" s="133">
        <f>IF(B$17=0,0,G22/B$17)</f>
        <v>6.2794348508634227E-3</v>
      </c>
      <c r="I22" s="94">
        <v>5</v>
      </c>
      <c r="K22" s="38">
        <v>20</v>
      </c>
      <c r="L22" s="99">
        <v>-61.199999999999996</v>
      </c>
      <c r="N22" s="115" t="s">
        <v>127</v>
      </c>
      <c r="O22" s="125">
        <f>IF(P22=0,0,Q22/P22)</f>
        <v>-15.94363636363636</v>
      </c>
      <c r="P22" s="119">
        <v>110</v>
      </c>
      <c r="Q22" s="107">
        <v>-1753.7999999999995</v>
      </c>
    </row>
    <row r="23" spans="1:17" x14ac:dyDescent="0.4">
      <c r="A23" s="55" t="s">
        <v>5</v>
      </c>
      <c r="B23" s="51">
        <f>IF(B$17=0,0,C23/B$17)</f>
        <v>8264.2072213500778</v>
      </c>
      <c r="C23" s="41">
        <v>5264300</v>
      </c>
      <c r="E23" s="63" t="s">
        <v>75</v>
      </c>
      <c r="F23" s="60" t="s">
        <v>30</v>
      </c>
      <c r="G23" s="47">
        <v>3</v>
      </c>
      <c r="H23" s="133">
        <f>IF(B$17=0,0,G23/B$17)</f>
        <v>4.7095761381475663E-3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-7679.2452830188677</v>
      </c>
      <c r="C24" s="45">
        <v>-2849000</v>
      </c>
      <c r="E24" s="63" t="s">
        <v>76</v>
      </c>
      <c r="F24" s="60" t="s">
        <v>31</v>
      </c>
      <c r="G24" s="47">
        <v>3</v>
      </c>
      <c r="H24" s="133">
        <f>IF(B$17=0,0,G24/B$17)</f>
        <v>4.7095761381475663E-3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3</v>
      </c>
      <c r="H25" s="133">
        <f>IF(B$17=0,0,G25/B$17)</f>
        <v>4.7095761381475663E-3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3.1397174254317113E-3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7</v>
      </c>
      <c r="C27" s="42">
        <f>IF(B$3=0,0,B27/B$3)</f>
        <v>3.2272936837252188E-3</v>
      </c>
      <c r="E27" s="63" t="s">
        <v>88</v>
      </c>
      <c r="F27" s="60" t="s">
        <v>43</v>
      </c>
      <c r="G27" s="47">
        <v>1</v>
      </c>
      <c r="H27" s="133">
        <f>IF(B$17=0,0,G27/B$17)</f>
        <v>1.5698587127158557E-3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1.5698587127158557E-3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94</v>
      </c>
      <c r="F29" s="60" t="s">
        <v>49</v>
      </c>
      <c r="G29" s="47">
        <v>1</v>
      </c>
      <c r="H29" s="133">
        <f>IF(B$17=0,0,G29/B$17)</f>
        <v>1.5698587127158557E-3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1.5698587127158557E-3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102</v>
      </c>
      <c r="F31" s="60" t="s">
        <v>57</v>
      </c>
      <c r="G31" s="47">
        <v>1</v>
      </c>
      <c r="H31" s="133">
        <f>IF(B$17=0,0,G31/B$17)</f>
        <v>1.5698587127158557E-3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74</v>
      </c>
      <c r="F32" s="60" t="s">
        <v>29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  <row r="246" spans="11:12" x14ac:dyDescent="0.4">
      <c r="K246" s="38">
        <v>244</v>
      </c>
      <c r="L246" s="99">
        <v>34.099999999999966</v>
      </c>
    </row>
    <row r="247" spans="11:12" x14ac:dyDescent="0.4">
      <c r="K247" s="38">
        <v>245</v>
      </c>
      <c r="L247" s="99">
        <v>47.799999999999969</v>
      </c>
    </row>
    <row r="248" spans="11:12" x14ac:dyDescent="0.4">
      <c r="K248" s="38">
        <v>246</v>
      </c>
      <c r="L248" s="99">
        <v>-2.8421709430404007E-14</v>
      </c>
    </row>
    <row r="249" spans="11:12" x14ac:dyDescent="0.4">
      <c r="K249" s="38">
        <v>247</v>
      </c>
      <c r="L249" s="99">
        <v>-47.300000000000026</v>
      </c>
    </row>
    <row r="250" spans="11:12" x14ac:dyDescent="0.4">
      <c r="K250" s="38">
        <v>248</v>
      </c>
      <c r="L250" s="99">
        <v>-42.700000000000024</v>
      </c>
    </row>
    <row r="251" spans="11:12" x14ac:dyDescent="0.4">
      <c r="K251" s="38">
        <v>249</v>
      </c>
      <c r="L251" s="99">
        <v>-2.1316282072803006E-14</v>
      </c>
    </row>
    <row r="252" spans="11:12" x14ac:dyDescent="0.4">
      <c r="K252" s="38">
        <v>250</v>
      </c>
      <c r="L252" s="99">
        <v>-32.300000000000018</v>
      </c>
    </row>
    <row r="253" spans="11:12" x14ac:dyDescent="0.4">
      <c r="K253" s="38">
        <v>251</v>
      </c>
      <c r="L253" s="99">
        <v>-5.2000000000000171</v>
      </c>
    </row>
    <row r="254" spans="11:12" x14ac:dyDescent="0.4">
      <c r="K254" s="38">
        <v>252</v>
      </c>
      <c r="L254" s="99">
        <v>-1.6875389974302379E-14</v>
      </c>
    </row>
    <row r="255" spans="11:12" x14ac:dyDescent="0.4">
      <c r="K255" s="38">
        <v>253</v>
      </c>
      <c r="L255" s="99">
        <v>-2.9000000000000168</v>
      </c>
    </row>
    <row r="256" spans="11:12" x14ac:dyDescent="0.4">
      <c r="K256" s="38">
        <v>254</v>
      </c>
      <c r="L256" s="99">
        <v>15.099999999999984</v>
      </c>
    </row>
    <row r="257" spans="11:12" x14ac:dyDescent="0.4">
      <c r="K257" s="38">
        <v>255</v>
      </c>
      <c r="L257" s="99">
        <v>-1.5987211554602254E-14</v>
      </c>
    </row>
    <row r="258" spans="11:12" x14ac:dyDescent="0.4">
      <c r="K258" s="38">
        <v>256</v>
      </c>
      <c r="L258" s="99">
        <v>-45.100000000000016</v>
      </c>
    </row>
    <row r="259" spans="11:12" x14ac:dyDescent="0.4">
      <c r="K259" s="38">
        <v>257</v>
      </c>
      <c r="L259" s="99">
        <v>8.3999999999999844</v>
      </c>
    </row>
    <row r="260" spans="11:12" x14ac:dyDescent="0.4">
      <c r="K260" s="38">
        <v>258</v>
      </c>
      <c r="L260" s="99">
        <v>-1.5987211554602254E-14</v>
      </c>
    </row>
    <row r="261" spans="11:12" x14ac:dyDescent="0.4">
      <c r="K261" s="38">
        <v>259</v>
      </c>
      <c r="L261" s="99">
        <v>-27.500000000000014</v>
      </c>
    </row>
    <row r="262" spans="11:12" x14ac:dyDescent="0.4">
      <c r="K262" s="38">
        <v>260</v>
      </c>
      <c r="L262" s="99">
        <v>-7.0000000000000142</v>
      </c>
    </row>
    <row r="263" spans="11:12" x14ac:dyDescent="0.4">
      <c r="K263" s="38">
        <v>261</v>
      </c>
      <c r="L263" s="99">
        <v>-1.4210854715202004E-14</v>
      </c>
    </row>
  </sheetData>
  <sortState xmlns:xlrd2="http://schemas.microsoft.com/office/spreadsheetml/2017/richdata2" ref="E2:I264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4BB6A-E159-494E-A6FE-96CA557DCC49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32</v>
      </c>
      <c r="H2" s="132">
        <f>IF(B$17=0,0,G2/B$17)</f>
        <v>0.60377358490566035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20.833333333333332</v>
      </c>
      <c r="P2" s="118">
        <v>24</v>
      </c>
      <c r="Q2" s="102">
        <v>500</v>
      </c>
    </row>
    <row r="3" spans="1:17" x14ac:dyDescent="0.4">
      <c r="A3" s="55" t="s">
        <v>8</v>
      </c>
      <c r="B3" s="152">
        <v>206</v>
      </c>
      <c r="C3" s="153"/>
      <c r="E3" s="63" t="s">
        <v>73</v>
      </c>
      <c r="F3" s="60" t="s">
        <v>28</v>
      </c>
      <c r="G3" s="47">
        <v>26</v>
      </c>
      <c r="H3" s="133">
        <f>IF(B$17=0,0,G3/B$17)</f>
        <v>0.49056603773584906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0"/>
        <v>-404.3478260869565</v>
      </c>
      <c r="P3" s="119">
        <v>23</v>
      </c>
      <c r="Q3" s="103">
        <v>-9300</v>
      </c>
    </row>
    <row r="4" spans="1:17" x14ac:dyDescent="0.4">
      <c r="A4" s="55" t="s">
        <v>6</v>
      </c>
      <c r="B4" s="154">
        <v>-111.60000000000001</v>
      </c>
      <c r="C4" s="155"/>
      <c r="E4" s="63" t="s">
        <v>172</v>
      </c>
      <c r="F4" s="60" t="s">
        <v>173</v>
      </c>
      <c r="G4" s="47">
        <v>20</v>
      </c>
      <c r="H4" s="133">
        <f>IF(B$17=0,0,G4/B$17)</f>
        <v>0.37735849056603776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-4.6500000000000004</v>
      </c>
      <c r="C5" s="157"/>
      <c r="E5" s="63" t="s">
        <v>65</v>
      </c>
      <c r="F5" s="60" t="s">
        <v>21</v>
      </c>
      <c r="G5" s="47">
        <v>18</v>
      </c>
      <c r="H5" s="133">
        <f>IF(B$17=0,0,G5/B$17)</f>
        <v>0.33962264150943394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-440.90909090909093</v>
      </c>
      <c r="P5" s="119">
        <v>22</v>
      </c>
      <c r="Q5" s="103">
        <v>-9700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18</v>
      </c>
      <c r="H6" s="133">
        <f>IF(B$17=0,0,G6/B$17)</f>
        <v>0.33962264150943394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-1659.090909090909</v>
      </c>
      <c r="P6" s="119">
        <v>22</v>
      </c>
      <c r="Q6" s="103">
        <v>-36500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0.29166666666666669</v>
      </c>
      <c r="E7" s="63" t="s">
        <v>70</v>
      </c>
      <c r="F7" s="60" t="s">
        <v>25</v>
      </c>
      <c r="G7" s="47">
        <v>14</v>
      </c>
      <c r="H7" s="133">
        <f>IF(B$17=0,0,G7/B$17)</f>
        <v>0.26415094339622641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-3052.6315789473683</v>
      </c>
      <c r="P7" s="120">
        <v>19</v>
      </c>
      <c r="Q7" s="104">
        <v>-58000</v>
      </c>
    </row>
    <row r="8" spans="1:17" x14ac:dyDescent="0.4">
      <c r="A8" s="55" t="s">
        <v>3</v>
      </c>
      <c r="B8" s="47">
        <v>7</v>
      </c>
      <c r="C8" s="39">
        <f t="shared" si="1"/>
        <v>0.29166666666666669</v>
      </c>
      <c r="E8" s="63" t="s">
        <v>71</v>
      </c>
      <c r="F8" s="60" t="s">
        <v>26</v>
      </c>
      <c r="G8" s="47">
        <v>9</v>
      </c>
      <c r="H8" s="133">
        <f>IF(B$17=0,0,G8/B$17)</f>
        <v>0.16981132075471697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0.41666666666666669</v>
      </c>
      <c r="E9" s="63" t="s">
        <v>68</v>
      </c>
      <c r="F9" s="60" t="s">
        <v>24</v>
      </c>
      <c r="G9" s="47">
        <v>8</v>
      </c>
      <c r="H9" s="133">
        <f>IF(B$17=0,0,G9/B$17)</f>
        <v>0.15094339622641509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7</v>
      </c>
      <c r="H10" s="133">
        <f>IF(B$17=0,0,G10/B$17)</f>
        <v>0.13207547169811321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-0.88749999999999973</v>
      </c>
      <c r="P10" s="118">
        <v>8</v>
      </c>
      <c r="Q10" s="106">
        <v>-7.0999999999999979</v>
      </c>
    </row>
    <row r="11" spans="1:17" x14ac:dyDescent="0.4">
      <c r="A11" s="56" t="s">
        <v>139</v>
      </c>
      <c r="B11" s="48">
        <v>1</v>
      </c>
      <c r="C11" s="40">
        <f t="shared" si="1"/>
        <v>4.1666666666666664E-2</v>
      </c>
      <c r="E11" s="63" t="s">
        <v>66</v>
      </c>
      <c r="F11" s="60" t="s">
        <v>22</v>
      </c>
      <c r="G11" s="47">
        <v>6</v>
      </c>
      <c r="H11" s="133">
        <f>IF(B$17=0,0,G11/B$17)</f>
        <v>0.11320754716981132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0.125</v>
      </c>
      <c r="E12" s="63" t="s">
        <v>84</v>
      </c>
      <c r="F12" s="60" t="s">
        <v>39</v>
      </c>
      <c r="G12" s="47">
        <v>4</v>
      </c>
      <c r="H12" s="133">
        <f>IF(B$17=0,0,G12/B$17)</f>
        <v>7.5471698113207544E-2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38</v>
      </c>
      <c r="C13" s="44">
        <f>IF(B$3=0,0,B13/B$3)</f>
        <v>0.18446601941747573</v>
      </c>
      <c r="E13" s="63" t="s">
        <v>82</v>
      </c>
      <c r="F13" s="60" t="s">
        <v>37</v>
      </c>
      <c r="G13" s="47">
        <v>2</v>
      </c>
      <c r="H13" s="133">
        <f>IF(B$17=0,0,G13/B$17)</f>
        <v>3.7735849056603772E-2</v>
      </c>
      <c r="I13" s="94">
        <v>2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0.22815533980582525</v>
      </c>
      <c r="E14" s="63" t="s">
        <v>90</v>
      </c>
      <c r="F14" s="60" t="s">
        <v>45</v>
      </c>
      <c r="G14" s="47">
        <v>2</v>
      </c>
      <c r="H14" s="133">
        <f>IF(B$17=0,0,G14/B$17)</f>
        <v>3.7735849056603772E-2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78</v>
      </c>
      <c r="F15" s="60" t="s">
        <v>33</v>
      </c>
      <c r="G15" s="47">
        <v>1</v>
      </c>
      <c r="H15" s="133">
        <f>IF(B$17=0,0,G15/B$17)</f>
        <v>1.8867924528301886E-2</v>
      </c>
      <c r="I15" s="94">
        <v>2</v>
      </c>
      <c r="K15" s="38">
        <v>13</v>
      </c>
      <c r="L15" s="99">
        <v>-66.2</v>
      </c>
      <c r="N15" s="114" t="s">
        <v>179</v>
      </c>
      <c r="O15" s="124">
        <f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125</v>
      </c>
      <c r="B16" s="46">
        <v>14</v>
      </c>
      <c r="C16" s="37">
        <f>IF(B$14=0,0,B16/B$14)</f>
        <v>0.2978723404255319</v>
      </c>
      <c r="E16" s="63" t="s">
        <v>87</v>
      </c>
      <c r="F16" s="60" t="s">
        <v>42</v>
      </c>
      <c r="G16" s="47">
        <v>1</v>
      </c>
      <c r="H16" s="133">
        <f>IF(B$17=0,0,G16/B$17)</f>
        <v>1.8867924528301886E-2</v>
      </c>
      <c r="I16" s="94">
        <v>10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0.25728155339805825</v>
      </c>
      <c r="E17" s="63" t="s">
        <v>89</v>
      </c>
      <c r="F17" s="60" t="s">
        <v>44</v>
      </c>
      <c r="G17" s="47">
        <v>1</v>
      </c>
      <c r="H17" s="133">
        <f>IF(B$17=0,0,G17/B$17)</f>
        <v>1.8867924528301886E-2</v>
      </c>
      <c r="I17" s="94">
        <v>1</v>
      </c>
      <c r="K17" s="38">
        <v>15</v>
      </c>
      <c r="L17" s="99">
        <v>-65.2</v>
      </c>
      <c r="N17" s="115" t="s">
        <v>127</v>
      </c>
      <c r="O17" s="125">
        <f>IF(P17=0,0,Q17/P17)</f>
        <v>-4.0833333333333339</v>
      </c>
      <c r="P17" s="119">
        <v>18</v>
      </c>
      <c r="Q17" s="107">
        <v>-73.500000000000014</v>
      </c>
    </row>
    <row r="18" spans="1:17" x14ac:dyDescent="0.4">
      <c r="A18" s="55" t="s">
        <v>12</v>
      </c>
      <c r="B18" s="47">
        <v>26</v>
      </c>
      <c r="C18" s="39">
        <f>IF(B$17=0,0,B18/B$17)</f>
        <v>0.49056603773584906</v>
      </c>
      <c r="E18" s="63" t="s">
        <v>92</v>
      </c>
      <c r="F18" s="60" t="s">
        <v>47</v>
      </c>
      <c r="G18" s="47">
        <v>1</v>
      </c>
      <c r="H18" s="133">
        <f>IF(B$17=0,0,G18/B$17)</f>
        <v>1.8867924528301886E-2</v>
      </c>
      <c r="I18" s="94">
        <v>2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27</v>
      </c>
      <c r="C19" s="39">
        <f>IF(B$17=0,0,B19/B$17)</f>
        <v>0.50943396226415094</v>
      </c>
      <c r="E19" s="63" t="s">
        <v>94</v>
      </c>
      <c r="F19" s="60" t="s">
        <v>49</v>
      </c>
      <c r="G19" s="47">
        <v>1</v>
      </c>
      <c r="H19" s="133">
        <f>IF(B$17=0,0,G19/B$17)</f>
        <v>1.8867924528301886E-2</v>
      </c>
      <c r="I19" s="94">
        <v>1</v>
      </c>
      <c r="K19" s="38">
        <v>17</v>
      </c>
      <c r="L19" s="99">
        <v>-65.2</v>
      </c>
      <c r="N19" s="115" t="s">
        <v>180</v>
      </c>
      <c r="O19" s="125">
        <f>IF(P19=0,0,Q19/P19)</f>
        <v>-23.900000000000002</v>
      </c>
      <c r="P19" s="119">
        <v>9</v>
      </c>
      <c r="Q19" s="107">
        <v>-215.10000000000002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0.17475728155339806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10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7605.6603773584902</v>
      </c>
      <c r="C23" s="41">
        <v>403100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8" t="s">
        <v>151</v>
      </c>
      <c r="B26" s="142">
        <v>86900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57" t="s">
        <v>142</v>
      </c>
      <c r="B27" s="65">
        <v>2</v>
      </c>
      <c r="C27" s="42">
        <f>IF(B$3=0,0,B27/B$3)</f>
        <v>9.7087378640776691E-3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9A72E-DD71-4F7D-A77F-E59CE3C3EDCA}">
  <sheetPr codeName="Sheet9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55</v>
      </c>
      <c r="C2" s="151"/>
      <c r="E2" s="62" t="s">
        <v>67</v>
      </c>
      <c r="F2" s="59" t="s">
        <v>23</v>
      </c>
      <c r="G2" s="46">
        <v>101</v>
      </c>
      <c r="H2" s="132">
        <f>IF(B$17=0,0,G2/B$17)</f>
        <v>0.64743589743589747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666.66666666666663</v>
      </c>
      <c r="P2" s="118">
        <v>54</v>
      </c>
      <c r="Q2" s="102">
        <v>36000</v>
      </c>
    </row>
    <row r="3" spans="1:17" x14ac:dyDescent="0.4">
      <c r="A3" s="55" t="s">
        <v>8</v>
      </c>
      <c r="B3" s="152">
        <v>446</v>
      </c>
      <c r="C3" s="153"/>
      <c r="E3" s="63" t="s">
        <v>73</v>
      </c>
      <c r="F3" s="60" t="s">
        <v>28</v>
      </c>
      <c r="G3" s="47">
        <v>81</v>
      </c>
      <c r="H3" s="133">
        <f>IF(B$17=0,0,G3/B$17)</f>
        <v>0.51923076923076927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-196.07843137254903</v>
      </c>
      <c r="P3" s="119">
        <v>51</v>
      </c>
      <c r="Q3" s="103">
        <v>-10000</v>
      </c>
    </row>
    <row r="4" spans="1:17" x14ac:dyDescent="0.4">
      <c r="A4" s="55" t="s">
        <v>6</v>
      </c>
      <c r="B4" s="154">
        <v>584.59999999999991</v>
      </c>
      <c r="C4" s="155"/>
      <c r="E4" s="63" t="s">
        <v>65</v>
      </c>
      <c r="F4" s="60" t="s">
        <v>21</v>
      </c>
      <c r="G4" s="47">
        <v>65</v>
      </c>
      <c r="H4" s="133">
        <f>IF(B$17=0,0,G4/B$17)</f>
        <v>0.41666666666666669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-747.05882352941171</v>
      </c>
      <c r="P4" s="119">
        <v>51</v>
      </c>
      <c r="Q4" s="103">
        <v>-38100</v>
      </c>
    </row>
    <row r="5" spans="1:17" x14ac:dyDescent="0.4">
      <c r="A5" s="55" t="s">
        <v>7</v>
      </c>
      <c r="B5" s="156">
        <f>IF(B$2=0,0,B$4/B$2)</f>
        <v>10.629090909090907</v>
      </c>
      <c r="C5" s="157"/>
      <c r="E5" s="63" t="s">
        <v>172</v>
      </c>
      <c r="F5" s="60" t="s">
        <v>173</v>
      </c>
      <c r="G5" s="47">
        <v>51</v>
      </c>
      <c r="H5" s="133">
        <f>IF(B$17=0,0,G5/B$17)</f>
        <v>0.32692307692307693</v>
      </c>
      <c r="I5" s="94">
        <v>9</v>
      </c>
      <c r="K5" s="38">
        <v>3</v>
      </c>
      <c r="L5" s="99">
        <v>40.400000000000006</v>
      </c>
      <c r="N5" s="115" t="s">
        <v>134</v>
      </c>
      <c r="O5" s="122">
        <f t="shared" si="0"/>
        <v>373.91304347826087</v>
      </c>
      <c r="P5" s="119">
        <v>46</v>
      </c>
      <c r="Q5" s="103">
        <v>17200</v>
      </c>
    </row>
    <row r="6" spans="1:17" x14ac:dyDescent="0.4">
      <c r="A6" s="55" t="s">
        <v>1</v>
      </c>
      <c r="B6" s="146">
        <f>IF(B$2=0,0,(B$7*1+B$8*2+B$9*3)/B$2)</f>
        <v>1.6909090909090909</v>
      </c>
      <c r="C6" s="147"/>
      <c r="E6" s="63" t="s">
        <v>68</v>
      </c>
      <c r="F6" s="60" t="s">
        <v>24</v>
      </c>
      <c r="G6" s="47">
        <v>46</v>
      </c>
      <c r="H6" s="133">
        <f>IF(B$17=0,0,G6/B$17)</f>
        <v>0.29487179487179488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5154.545454545455</v>
      </c>
      <c r="P6" s="119">
        <v>44</v>
      </c>
      <c r="Q6" s="103">
        <v>226800</v>
      </c>
    </row>
    <row r="7" spans="1:17" x14ac:dyDescent="0.4">
      <c r="A7" s="55" t="s">
        <v>2</v>
      </c>
      <c r="B7" s="47">
        <v>28</v>
      </c>
      <c r="C7" s="39">
        <f t="shared" ref="C7:C12" si="1">IF(B$2=0,0,B7/B$2)</f>
        <v>0.50909090909090904</v>
      </c>
      <c r="E7" s="63" t="s">
        <v>69</v>
      </c>
      <c r="F7" s="60" t="s">
        <v>12</v>
      </c>
      <c r="G7" s="47">
        <v>40</v>
      </c>
      <c r="H7" s="133">
        <f>IF(B$17=0,0,G7/B$17)</f>
        <v>0.25641025641025639</v>
      </c>
      <c r="I7" s="94">
        <v>8</v>
      </c>
      <c r="K7" s="38">
        <v>5</v>
      </c>
      <c r="L7" s="99">
        <v>99.9</v>
      </c>
      <c r="N7" s="116" t="s">
        <v>136</v>
      </c>
      <c r="O7" s="123">
        <f t="shared" si="0"/>
        <v>4474.2857142857147</v>
      </c>
      <c r="P7" s="120">
        <v>35</v>
      </c>
      <c r="Q7" s="104">
        <v>156600</v>
      </c>
    </row>
    <row r="8" spans="1:17" x14ac:dyDescent="0.4">
      <c r="A8" s="55" t="s">
        <v>3</v>
      </c>
      <c r="B8" s="47">
        <v>16</v>
      </c>
      <c r="C8" s="39">
        <f t="shared" si="1"/>
        <v>0.29090909090909089</v>
      </c>
      <c r="E8" s="63" t="s">
        <v>90</v>
      </c>
      <c r="F8" s="60" t="s">
        <v>45</v>
      </c>
      <c r="G8" s="47">
        <v>28</v>
      </c>
      <c r="H8" s="133">
        <f>IF(B$17=0,0,G8/B$17)</f>
        <v>0.17948717948717949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0.2</v>
      </c>
      <c r="E9" s="63" t="s">
        <v>70</v>
      </c>
      <c r="F9" s="60" t="s">
        <v>25</v>
      </c>
      <c r="G9" s="47">
        <v>20</v>
      </c>
      <c r="H9" s="133">
        <f>IF(B$17=0,0,G9/B$17)</f>
        <v>0.12820512820512819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5.4545454545454543E-2</v>
      </c>
      <c r="E10" s="63" t="s">
        <v>66</v>
      </c>
      <c r="F10" s="60" t="s">
        <v>22</v>
      </c>
      <c r="G10" s="47">
        <v>15</v>
      </c>
      <c r="H10" s="133">
        <f>IF(B$17=0,0,G10/B$17)</f>
        <v>9.6153846153846159E-2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17.981818181818181</v>
      </c>
      <c r="P10" s="118">
        <v>11</v>
      </c>
      <c r="Q10" s="106">
        <v>197.79999999999998</v>
      </c>
    </row>
    <row r="11" spans="1:17" x14ac:dyDescent="0.4">
      <c r="A11" s="56" t="s">
        <v>139</v>
      </c>
      <c r="B11" s="48">
        <v>6</v>
      </c>
      <c r="C11" s="40">
        <f t="shared" si="1"/>
        <v>0.10909090909090909</v>
      </c>
      <c r="E11" s="63" t="s">
        <v>71</v>
      </c>
      <c r="F11" s="60" t="s">
        <v>26</v>
      </c>
      <c r="G11" s="47">
        <v>11</v>
      </c>
      <c r="H11" s="133">
        <f>IF(B$17=0,0,G11/B$17)</f>
        <v>7.0512820512820512E-2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7.179166666666668</v>
      </c>
      <c r="P11" s="119">
        <v>24</v>
      </c>
      <c r="Q11" s="107">
        <v>172.30000000000004</v>
      </c>
    </row>
    <row r="12" spans="1:17" x14ac:dyDescent="0.4">
      <c r="A12" s="57" t="s">
        <v>159</v>
      </c>
      <c r="B12" s="49">
        <v>7</v>
      </c>
      <c r="C12" s="42">
        <f t="shared" si="1"/>
        <v>0.12727272727272726</v>
      </c>
      <c r="E12" s="63" t="s">
        <v>72</v>
      </c>
      <c r="F12" s="60" t="s">
        <v>27</v>
      </c>
      <c r="G12" s="47">
        <v>11</v>
      </c>
      <c r="H12" s="133">
        <f>IF(B$17=0,0,G12/B$17)</f>
        <v>7.0512820512820512E-2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10.724999999999998</v>
      </c>
      <c r="P12" s="120">
        <v>20</v>
      </c>
      <c r="Q12" s="108">
        <v>214.49999999999997</v>
      </c>
    </row>
    <row r="13" spans="1:17" x14ac:dyDescent="0.4">
      <c r="A13" s="58" t="s">
        <v>122</v>
      </c>
      <c r="B13" s="50">
        <v>112</v>
      </c>
      <c r="C13" s="44">
        <f>IF(B$3=0,0,B13/B$3)</f>
        <v>0.25112107623318386</v>
      </c>
      <c r="E13" s="63" t="s">
        <v>84</v>
      </c>
      <c r="F13" s="60" t="s">
        <v>39</v>
      </c>
      <c r="G13" s="47">
        <v>7</v>
      </c>
      <c r="H13" s="133">
        <f>IF(B$17=0,0,G13/B$17)</f>
        <v>4.4871794871794872E-2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100</v>
      </c>
      <c r="C14" s="39">
        <f>IF(B$3=0,0,B14/B$3)</f>
        <v>0.22421524663677131</v>
      </c>
      <c r="E14" s="63" t="s">
        <v>87</v>
      </c>
      <c r="F14" s="60" t="s">
        <v>42</v>
      </c>
      <c r="G14" s="47">
        <v>6</v>
      </c>
      <c r="H14" s="133">
        <f>IF(B$17=0,0,G14/B$17)</f>
        <v>3.8461538461538464E-2</v>
      </c>
      <c r="I14" s="94">
        <v>6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71</v>
      </c>
      <c r="C15" s="37">
        <f>IF(B$13=0,0,B15/B$13)</f>
        <v>0.6339285714285714</v>
      </c>
      <c r="E15" s="63" t="s">
        <v>79</v>
      </c>
      <c r="F15" s="60" t="s">
        <v>34</v>
      </c>
      <c r="G15" s="47">
        <v>5</v>
      </c>
      <c r="H15" s="133">
        <f>IF(B$17=0,0,G15/B$17)</f>
        <v>3.2051282051282048E-2</v>
      </c>
      <c r="I15" s="94">
        <v>2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55</v>
      </c>
      <c r="C16" s="37">
        <f>IF(B$14=0,0,B16/B$14)</f>
        <v>0.55000000000000004</v>
      </c>
      <c r="E16" s="63" t="s">
        <v>168</v>
      </c>
      <c r="F16" s="60" t="s">
        <v>169</v>
      </c>
      <c r="G16" s="47">
        <v>5</v>
      </c>
      <c r="H16" s="133">
        <f>IF(B$17=0,0,G16/B$17)</f>
        <v>3.2051282051282048E-2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47.199999999999989</v>
      </c>
      <c r="P16" s="119">
        <v>6</v>
      </c>
      <c r="Q16" s="107">
        <v>283.19999999999993</v>
      </c>
    </row>
    <row r="17" spans="1:17" x14ac:dyDescent="0.4">
      <c r="A17" s="54" t="s">
        <v>10</v>
      </c>
      <c r="B17" s="46">
        <f>B19+B18</f>
        <v>156</v>
      </c>
      <c r="C17" s="37">
        <f>IF(B$3=0,0,B17/B$3)</f>
        <v>0.34977578475336324</v>
      </c>
      <c r="E17" s="63" t="s">
        <v>78</v>
      </c>
      <c r="F17" s="60" t="s">
        <v>33</v>
      </c>
      <c r="G17" s="47">
        <v>3</v>
      </c>
      <c r="H17" s="133">
        <f>IF(B$17=0,0,G17/B$17)</f>
        <v>1.9230769230769232E-2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>IF(P17=0,0,Q17/P17)</f>
        <v>22.126666666666679</v>
      </c>
      <c r="P17" s="119">
        <v>15</v>
      </c>
      <c r="Q17" s="107">
        <v>331.9000000000002</v>
      </c>
    </row>
    <row r="18" spans="1:17" x14ac:dyDescent="0.4">
      <c r="A18" s="55" t="s">
        <v>12</v>
      </c>
      <c r="B18" s="47">
        <v>61</v>
      </c>
      <c r="C18" s="39">
        <f>IF(B$17=0,0,B18/B$17)</f>
        <v>0.39102564102564102</v>
      </c>
      <c r="E18" s="63" t="s">
        <v>85</v>
      </c>
      <c r="F18" s="60" t="s">
        <v>40</v>
      </c>
      <c r="G18" s="47">
        <v>3</v>
      </c>
      <c r="H18" s="133">
        <f>IF(B$17=0,0,G18/B$17)</f>
        <v>1.9230769230769232E-2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18.555</v>
      </c>
      <c r="P18" s="119">
        <v>20</v>
      </c>
      <c r="Q18" s="107">
        <v>371.1</v>
      </c>
    </row>
    <row r="19" spans="1:17" x14ac:dyDescent="0.4">
      <c r="A19" s="55" t="s">
        <v>11</v>
      </c>
      <c r="B19" s="47">
        <v>95</v>
      </c>
      <c r="C19" s="39">
        <f>IF(B$17=0,0,B19/B$17)</f>
        <v>0.60897435897435892</v>
      </c>
      <c r="E19" s="63" t="s">
        <v>93</v>
      </c>
      <c r="F19" s="60" t="s">
        <v>48</v>
      </c>
      <c r="G19" s="47">
        <v>2</v>
      </c>
      <c r="H19" s="133">
        <f>IF(B$17=0,0,G19/B$17)</f>
        <v>1.282051282051282E-2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12.389189189189189</v>
      </c>
      <c r="P19" s="119">
        <v>37</v>
      </c>
      <c r="Q19" s="107">
        <v>458.4</v>
      </c>
    </row>
    <row r="20" spans="1:17" x14ac:dyDescent="0.4">
      <c r="A20" s="55" t="s">
        <v>13</v>
      </c>
      <c r="B20" s="47">
        <v>61</v>
      </c>
      <c r="C20" s="39">
        <f>IF(B$3=0,0,B20/B$3)</f>
        <v>0.1367713004484305</v>
      </c>
      <c r="E20" s="63" t="s">
        <v>75</v>
      </c>
      <c r="F20" s="60" t="s">
        <v>30</v>
      </c>
      <c r="G20" s="47">
        <v>1</v>
      </c>
      <c r="H20" s="133">
        <f>IF(B$17=0,0,G20/B$17)</f>
        <v>6.41025641025641E-3</v>
      </c>
      <c r="I20" s="94">
        <v>3</v>
      </c>
      <c r="K20" s="38">
        <v>18</v>
      </c>
      <c r="L20" s="99">
        <v>352.39999999999992</v>
      </c>
      <c r="N20" s="115" t="s">
        <v>178</v>
      </c>
      <c r="O20" s="125">
        <f>IF(P20=0,0,Q20/P20)</f>
        <v>7.8636363636363633</v>
      </c>
      <c r="P20" s="119">
        <v>11</v>
      </c>
      <c r="Q20" s="107">
        <v>86.5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6.41025641025641E-3</v>
      </c>
      <c r="I21" s="94">
        <v>8</v>
      </c>
      <c r="K21" s="38">
        <v>19</v>
      </c>
      <c r="L21" s="99">
        <v>383.19999999999993</v>
      </c>
      <c r="N21" s="115" t="s">
        <v>167</v>
      </c>
      <c r="O21" s="125">
        <f>IF(P21=0,0,Q21/P21)</f>
        <v>4.0833333333333321</v>
      </c>
      <c r="P21" s="119">
        <v>18</v>
      </c>
      <c r="Q21" s="107">
        <v>73.499999999999972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86</v>
      </c>
      <c r="F22" s="60" t="s">
        <v>41</v>
      </c>
      <c r="G22" s="47">
        <v>1</v>
      </c>
      <c r="H22" s="133">
        <f>IF(B$17=0,0,G22/B$17)</f>
        <v>6.41025641025641E-3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7975.6410256410254</v>
      </c>
      <c r="C23" s="41">
        <v>1244200</v>
      </c>
      <c r="E23" s="63" t="s">
        <v>89</v>
      </c>
      <c r="F23" s="60" t="s">
        <v>44</v>
      </c>
      <c r="G23" s="47">
        <v>1</v>
      </c>
      <c r="H23" s="133">
        <f>IF(B$17=0,0,G23/B$17)</f>
        <v>6.41025641025641E-3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-7181.9672131147545</v>
      </c>
      <c r="C24" s="45">
        <v>-438100</v>
      </c>
      <c r="E24" s="63" t="s">
        <v>91</v>
      </c>
      <c r="F24" s="60" t="s">
        <v>46</v>
      </c>
      <c r="G24" s="47">
        <v>1</v>
      </c>
      <c r="H24" s="133">
        <f>IF(B$17=0,0,G24/B$17)</f>
        <v>6.41025641025641E-3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6.41025641025641E-3</v>
      </c>
      <c r="I25" s="94">
        <v>7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6.41025641025641E-3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  <row r="54" spans="5:12" x14ac:dyDescent="0.4">
      <c r="K54" s="38">
        <v>52</v>
      </c>
      <c r="L54" s="99">
        <v>534.89999999999986</v>
      </c>
    </row>
    <row r="55" spans="5:12" x14ac:dyDescent="0.4">
      <c r="K55" s="38">
        <v>53</v>
      </c>
      <c r="L55" s="99">
        <v>539.49999999999989</v>
      </c>
    </row>
    <row r="56" spans="5:12" x14ac:dyDescent="0.4">
      <c r="K56" s="38">
        <v>54</v>
      </c>
      <c r="L56" s="99">
        <v>566.59999999999991</v>
      </c>
    </row>
    <row r="57" spans="5:12" x14ac:dyDescent="0.4">
      <c r="K57" s="38">
        <v>55</v>
      </c>
      <c r="L57" s="99">
        <v>584.59999999999991</v>
      </c>
    </row>
  </sheetData>
  <sortState xmlns:xlrd2="http://schemas.microsoft.com/office/spreadsheetml/2017/richdata2" ref="E2:I58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E941E-2214-4873-A156-D728E462103C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49</v>
      </c>
      <c r="C2" s="151"/>
      <c r="E2" s="62" t="s">
        <v>67</v>
      </c>
      <c r="F2" s="59" t="s">
        <v>23</v>
      </c>
      <c r="G2" s="46">
        <v>127</v>
      </c>
      <c r="H2" s="132">
        <f>IF(B$17=0,0,G2/B$17)</f>
        <v>0.94074074074074077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-277.08333333333331</v>
      </c>
      <c r="P2" s="118">
        <v>48</v>
      </c>
      <c r="Q2" s="102">
        <v>-13300</v>
      </c>
    </row>
    <row r="3" spans="1:17" x14ac:dyDescent="0.4">
      <c r="A3" s="55" t="s">
        <v>8</v>
      </c>
      <c r="B3" s="152">
        <v>420</v>
      </c>
      <c r="C3" s="153"/>
      <c r="E3" s="63" t="s">
        <v>73</v>
      </c>
      <c r="F3" s="60" t="s">
        <v>28</v>
      </c>
      <c r="G3" s="47">
        <v>83</v>
      </c>
      <c r="H3" s="133">
        <f>IF(B$17=0,0,G3/B$17)</f>
        <v>0.61481481481481481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1269.5652173913043</v>
      </c>
      <c r="P3" s="119">
        <v>46</v>
      </c>
      <c r="Q3" s="103">
        <v>58400</v>
      </c>
    </row>
    <row r="4" spans="1:17" x14ac:dyDescent="0.4">
      <c r="A4" s="55" t="s">
        <v>6</v>
      </c>
      <c r="B4" s="154">
        <v>222.79999999999984</v>
      </c>
      <c r="C4" s="155"/>
      <c r="E4" s="63" t="s">
        <v>172</v>
      </c>
      <c r="F4" s="60" t="s">
        <v>173</v>
      </c>
      <c r="G4" s="47">
        <v>57</v>
      </c>
      <c r="H4" s="133">
        <f>IF(B$17=0,0,G4/B$17)</f>
        <v>0.42222222222222222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2200</v>
      </c>
      <c r="P4" s="119">
        <v>45</v>
      </c>
      <c r="Q4" s="103">
        <v>99000</v>
      </c>
    </row>
    <row r="5" spans="1:17" x14ac:dyDescent="0.4">
      <c r="A5" s="55" t="s">
        <v>7</v>
      </c>
      <c r="B5" s="156">
        <f>IF(B$2=0,0,B$4/B$2)</f>
        <v>4.5469387755102009</v>
      </c>
      <c r="C5" s="157"/>
      <c r="E5" s="63" t="s">
        <v>65</v>
      </c>
      <c r="F5" s="60" t="s">
        <v>21</v>
      </c>
      <c r="G5" s="47">
        <v>56</v>
      </c>
      <c r="H5" s="133">
        <f>IF(B$17=0,0,G5/B$17)</f>
        <v>0.4148148148148148</v>
      </c>
      <c r="I5" s="94">
        <v>9</v>
      </c>
      <c r="K5" s="38">
        <v>3</v>
      </c>
      <c r="L5" s="99">
        <v>-58.599999999999994</v>
      </c>
      <c r="N5" s="115" t="s">
        <v>134</v>
      </c>
      <c r="O5" s="122">
        <f t="shared" si="0"/>
        <v>2521.4285714285716</v>
      </c>
      <c r="P5" s="119">
        <v>42</v>
      </c>
      <c r="Q5" s="103">
        <v>105900</v>
      </c>
    </row>
    <row r="6" spans="1:17" x14ac:dyDescent="0.4">
      <c r="A6" s="55" t="s">
        <v>1</v>
      </c>
      <c r="B6" s="146">
        <f>IF(B$2=0,0,(B$7*1+B$8*2+B$9*3)/B$2)</f>
        <v>1.8775510204081634</v>
      </c>
      <c r="C6" s="147"/>
      <c r="E6" s="63" t="s">
        <v>69</v>
      </c>
      <c r="F6" s="60" t="s">
        <v>12</v>
      </c>
      <c r="G6" s="47">
        <v>40</v>
      </c>
      <c r="H6" s="133">
        <f>IF(B$17=0,0,G6/B$17)</f>
        <v>0.29629629629629628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-1748.7179487179487</v>
      </c>
      <c r="P6" s="119">
        <v>39</v>
      </c>
      <c r="Q6" s="103">
        <v>-68200</v>
      </c>
    </row>
    <row r="7" spans="1:17" x14ac:dyDescent="0.4">
      <c r="A7" s="55" t="s">
        <v>2</v>
      </c>
      <c r="B7" s="47">
        <v>19</v>
      </c>
      <c r="C7" s="39">
        <f t="shared" ref="C7:C12" si="1">IF(B$2=0,0,B7/B$2)</f>
        <v>0.38775510204081631</v>
      </c>
      <c r="E7" s="63" t="s">
        <v>68</v>
      </c>
      <c r="F7" s="60" t="s">
        <v>24</v>
      </c>
      <c r="G7" s="47">
        <v>37</v>
      </c>
      <c r="H7" s="133">
        <f>IF(B$17=0,0,G7/B$17)</f>
        <v>0.27407407407407408</v>
      </c>
      <c r="I7" s="94">
        <v>8</v>
      </c>
      <c r="K7" s="38">
        <v>5</v>
      </c>
      <c r="L7" s="99">
        <v>-11.299999999999994</v>
      </c>
      <c r="N7" s="116" t="s">
        <v>136</v>
      </c>
      <c r="O7" s="123">
        <f t="shared" si="0"/>
        <v>1038.7096774193549</v>
      </c>
      <c r="P7" s="120">
        <v>31</v>
      </c>
      <c r="Q7" s="104">
        <v>32200</v>
      </c>
    </row>
    <row r="8" spans="1:17" x14ac:dyDescent="0.4">
      <c r="A8" s="55" t="s">
        <v>3</v>
      </c>
      <c r="B8" s="47">
        <v>17</v>
      </c>
      <c r="C8" s="39">
        <f t="shared" si="1"/>
        <v>0.34693877551020408</v>
      </c>
      <c r="E8" s="63" t="s">
        <v>90</v>
      </c>
      <c r="F8" s="60" t="s">
        <v>45</v>
      </c>
      <c r="G8" s="47">
        <v>18</v>
      </c>
      <c r="H8" s="133">
        <f>IF(B$17=0,0,G8/B$17)</f>
        <v>0.13333333333333333</v>
      </c>
      <c r="I8" s="94">
        <v>4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0.26530612244897961</v>
      </c>
      <c r="E9" s="63" t="s">
        <v>70</v>
      </c>
      <c r="F9" s="60" t="s">
        <v>25</v>
      </c>
      <c r="G9" s="47">
        <v>12</v>
      </c>
      <c r="H9" s="133">
        <f>IF(B$17=0,0,G9/B$17)</f>
        <v>8.8888888888888892E-2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1"/>
        <v>0.14285714285714285</v>
      </c>
      <c r="E10" s="63" t="s">
        <v>72</v>
      </c>
      <c r="F10" s="60" t="s">
        <v>27</v>
      </c>
      <c r="G10" s="47">
        <v>12</v>
      </c>
      <c r="H10" s="133">
        <f>IF(B$17=0,0,G10/B$17)</f>
        <v>8.8888888888888892E-2</v>
      </c>
      <c r="I10" s="94">
        <v>4</v>
      </c>
      <c r="K10" s="38">
        <v>8</v>
      </c>
      <c r="L10" s="99">
        <v>-56.79999999999999</v>
      </c>
      <c r="N10" s="114" t="s">
        <v>163</v>
      </c>
      <c r="O10" s="124">
        <f>IF(P10=0,0,Q10/P10)</f>
        <v>7.5785714285714301</v>
      </c>
      <c r="P10" s="118">
        <v>14</v>
      </c>
      <c r="Q10" s="106">
        <v>106.10000000000002</v>
      </c>
    </row>
    <row r="11" spans="1:17" x14ac:dyDescent="0.4">
      <c r="A11" s="56" t="s">
        <v>139</v>
      </c>
      <c r="B11" s="48">
        <v>8</v>
      </c>
      <c r="C11" s="40">
        <f t="shared" si="1"/>
        <v>0.16326530612244897</v>
      </c>
      <c r="E11" s="63" t="s">
        <v>66</v>
      </c>
      <c r="F11" s="60" t="s">
        <v>22</v>
      </c>
      <c r="G11" s="47">
        <v>11</v>
      </c>
      <c r="H11" s="133">
        <f>IF(B$17=0,0,G11/B$17)</f>
        <v>8.1481481481481488E-2</v>
      </c>
      <c r="I11" s="94">
        <v>9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11</v>
      </c>
      <c r="C12" s="42">
        <f t="shared" si="1"/>
        <v>0.22448979591836735</v>
      </c>
      <c r="E12" s="63" t="s">
        <v>87</v>
      </c>
      <c r="F12" s="60" t="s">
        <v>42</v>
      </c>
      <c r="G12" s="47">
        <v>9</v>
      </c>
      <c r="H12" s="133">
        <f>IF(B$17=0,0,G12/B$17)</f>
        <v>6.6666666666666666E-2</v>
      </c>
      <c r="I12" s="94">
        <v>1</v>
      </c>
      <c r="K12" s="38">
        <v>10</v>
      </c>
      <c r="L12" s="99">
        <v>-78.399999999999991</v>
      </c>
      <c r="N12" s="116" t="s">
        <v>165</v>
      </c>
      <c r="O12" s="126">
        <f>IF(P12=0,0,Q12/P12)</f>
        <v>1.5090909090909086</v>
      </c>
      <c r="P12" s="120">
        <v>22</v>
      </c>
      <c r="Q12" s="108">
        <v>33.199999999999989</v>
      </c>
    </row>
    <row r="13" spans="1:17" x14ac:dyDescent="0.4">
      <c r="A13" s="58" t="s">
        <v>122</v>
      </c>
      <c r="B13" s="50">
        <v>99</v>
      </c>
      <c r="C13" s="44">
        <f>IF(B$3=0,0,B13/B$3)</f>
        <v>0.23571428571428571</v>
      </c>
      <c r="E13" s="63" t="s">
        <v>71</v>
      </c>
      <c r="F13" s="60" t="s">
        <v>26</v>
      </c>
      <c r="G13" s="47">
        <v>8</v>
      </c>
      <c r="H13" s="133">
        <f>IF(B$17=0,0,G13/B$17)</f>
        <v>5.9259259259259262E-2</v>
      </c>
      <c r="I13" s="94">
        <v>8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0.31904761904761902</v>
      </c>
      <c r="E14" s="63" t="s">
        <v>79</v>
      </c>
      <c r="F14" s="60" t="s">
        <v>34</v>
      </c>
      <c r="G14" s="47">
        <v>5</v>
      </c>
      <c r="H14" s="133">
        <f>IF(B$17=0,0,G14/B$17)</f>
        <v>3.7037037037037035E-2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0.55555555555555558</v>
      </c>
      <c r="E15" s="63" t="s">
        <v>84</v>
      </c>
      <c r="F15" s="60" t="s">
        <v>39</v>
      </c>
      <c r="G15" s="47">
        <v>5</v>
      </c>
      <c r="H15" s="133">
        <f>IF(B$17=0,0,G15/B$17)</f>
        <v>3.7037037037037035E-2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54</v>
      </c>
      <c r="C16" s="37">
        <f>IF(B$14=0,0,B16/B$14)</f>
        <v>0.40298507462686567</v>
      </c>
      <c r="E16" s="63" t="s">
        <v>92</v>
      </c>
      <c r="F16" s="60" t="s">
        <v>47</v>
      </c>
      <c r="G16" s="47">
        <v>5</v>
      </c>
      <c r="H16" s="133">
        <f>IF(B$17=0,0,G16/B$17)</f>
        <v>3.7037037037037035E-2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0.32142857142857145</v>
      </c>
      <c r="E17" s="63" t="s">
        <v>80</v>
      </c>
      <c r="F17" s="60" t="s">
        <v>35</v>
      </c>
      <c r="G17" s="47">
        <v>4</v>
      </c>
      <c r="H17" s="133">
        <f>IF(B$17=0,0,G17/B$17)</f>
        <v>2.9629629629629631E-2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51</v>
      </c>
      <c r="C18" s="39">
        <f>IF(B$17=0,0,B18/B$17)</f>
        <v>0.37777777777777777</v>
      </c>
      <c r="E18" s="63" t="s">
        <v>82</v>
      </c>
      <c r="F18" s="60" t="s">
        <v>37</v>
      </c>
      <c r="G18" s="47">
        <v>2</v>
      </c>
      <c r="H18" s="133">
        <f>IF(B$17=0,0,G18/B$17)</f>
        <v>1.4814814814814815E-2</v>
      </c>
      <c r="I18" s="94">
        <v>7</v>
      </c>
      <c r="K18" s="38">
        <v>16</v>
      </c>
      <c r="L18" s="99">
        <v>-187.3</v>
      </c>
      <c r="N18" s="115" t="s">
        <v>178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84</v>
      </c>
      <c r="C19" s="39">
        <f>IF(B$17=0,0,B19/B$17)</f>
        <v>0.62222222222222223</v>
      </c>
      <c r="E19" s="63" t="s">
        <v>75</v>
      </c>
      <c r="F19" s="60" t="s">
        <v>30</v>
      </c>
      <c r="G19" s="47">
        <v>1</v>
      </c>
      <c r="H19" s="133">
        <f>IF(B$17=0,0,G19/B$17)</f>
        <v>7.4074074074074077E-3</v>
      </c>
      <c r="I19" s="94">
        <v>2</v>
      </c>
      <c r="K19" s="38">
        <v>17</v>
      </c>
      <c r="L19" s="99">
        <v>-179.70000000000002</v>
      </c>
      <c r="N19" s="115" t="s">
        <v>180</v>
      </c>
      <c r="O19" s="125">
        <f>IF(P19=0,0,Q19/P19)</f>
        <v>6.223529411764706</v>
      </c>
      <c r="P19" s="119">
        <v>17</v>
      </c>
      <c r="Q19" s="107">
        <v>105.8</v>
      </c>
    </row>
    <row r="20" spans="1:17" x14ac:dyDescent="0.4">
      <c r="A20" s="55" t="s">
        <v>13</v>
      </c>
      <c r="B20" s="47">
        <v>86</v>
      </c>
      <c r="C20" s="39">
        <f>IF(B$3=0,0,B20/B$3)</f>
        <v>0.20476190476190476</v>
      </c>
      <c r="E20" s="63" t="s">
        <v>168</v>
      </c>
      <c r="F20" s="60" t="s">
        <v>169</v>
      </c>
      <c r="G20" s="47">
        <v>1</v>
      </c>
      <c r="H20" s="133">
        <f>IF(B$17=0,0,G20/B$17)</f>
        <v>7.4074074074074077E-3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-12.389189189189187</v>
      </c>
      <c r="P21" s="119">
        <v>37</v>
      </c>
      <c r="Q21" s="107">
        <v>-458.39999999999992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1180800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-7620.9302325581393</v>
      </c>
      <c r="C24" s="45">
        <v>-655400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2.3809523809523812E-3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D31A8-9D14-4698-9DB1-7CE89FFE15B8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67</v>
      </c>
      <c r="F2" s="59" t="s">
        <v>23</v>
      </c>
      <c r="G2" s="46">
        <v>51</v>
      </c>
      <c r="H2" s="132">
        <f>IF(B$17=0,0,G2/B$17)</f>
        <v>0.67105263157894735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216.66666666666666</v>
      </c>
      <c r="P2" s="118">
        <v>30</v>
      </c>
      <c r="Q2" s="102">
        <v>6500</v>
      </c>
    </row>
    <row r="3" spans="1:17" x14ac:dyDescent="0.4">
      <c r="A3" s="55" t="s">
        <v>8</v>
      </c>
      <c r="B3" s="152">
        <v>267</v>
      </c>
      <c r="C3" s="153"/>
      <c r="E3" s="63" t="s">
        <v>65</v>
      </c>
      <c r="F3" s="60" t="s">
        <v>21</v>
      </c>
      <c r="G3" s="47">
        <v>44</v>
      </c>
      <c r="H3" s="133">
        <f>IF(B$17=0,0,G3/B$17)</f>
        <v>0.57894736842105265</v>
      </c>
      <c r="I3" s="94">
        <v>2</v>
      </c>
      <c r="K3" s="38">
        <v>1</v>
      </c>
      <c r="L3" s="99">
        <v>-37.799999999999997</v>
      </c>
      <c r="N3" s="115" t="s">
        <v>132</v>
      </c>
      <c r="O3" s="122">
        <f t="shared" si="0"/>
        <v>-1593.3333333333333</v>
      </c>
      <c r="P3" s="119">
        <v>30</v>
      </c>
      <c r="Q3" s="103">
        <v>-47800</v>
      </c>
    </row>
    <row r="4" spans="1:17" x14ac:dyDescent="0.4">
      <c r="A4" s="55" t="s">
        <v>6</v>
      </c>
      <c r="B4" s="154">
        <v>-212.6</v>
      </c>
      <c r="C4" s="155"/>
      <c r="E4" s="63" t="s">
        <v>73</v>
      </c>
      <c r="F4" s="60" t="s">
        <v>28</v>
      </c>
      <c r="G4" s="47">
        <v>41</v>
      </c>
      <c r="H4" s="133">
        <f>IF(B$17=0,0,G4/B$17)</f>
        <v>0.53947368421052633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2189.655172413793</v>
      </c>
      <c r="P4" s="119">
        <v>29</v>
      </c>
      <c r="Q4" s="103">
        <v>63500</v>
      </c>
    </row>
    <row r="5" spans="1:17" x14ac:dyDescent="0.4">
      <c r="A5" s="55" t="s">
        <v>7</v>
      </c>
      <c r="B5" s="156">
        <f>IF(B$2=0,0,B$4/B$2)</f>
        <v>-6.8580645161290317</v>
      </c>
      <c r="C5" s="157"/>
      <c r="E5" s="63" t="s">
        <v>172</v>
      </c>
      <c r="F5" s="60" t="s">
        <v>173</v>
      </c>
      <c r="G5" s="47">
        <v>25</v>
      </c>
      <c r="H5" s="133">
        <f>IF(B$17=0,0,G5/B$17)</f>
        <v>0.32894736842105265</v>
      </c>
      <c r="I5" s="94">
        <v>8</v>
      </c>
      <c r="K5" s="38">
        <v>3</v>
      </c>
      <c r="L5" s="99">
        <v>-17.599999999999998</v>
      </c>
      <c r="N5" s="115" t="s">
        <v>134</v>
      </c>
      <c r="O5" s="122">
        <f t="shared" si="0"/>
        <v>-1600</v>
      </c>
      <c r="P5" s="119">
        <v>28</v>
      </c>
      <c r="Q5" s="103">
        <v>-44800</v>
      </c>
    </row>
    <row r="6" spans="1:17" x14ac:dyDescent="0.4">
      <c r="A6" s="55" t="s">
        <v>1</v>
      </c>
      <c r="B6" s="146">
        <f>IF(B$2=0,0,(B$7*1+B$8*2+B$9*3)/B$2)</f>
        <v>2.225806451612903</v>
      </c>
      <c r="C6" s="147"/>
      <c r="E6" s="63" t="s">
        <v>68</v>
      </c>
      <c r="F6" s="60" t="s">
        <v>24</v>
      </c>
      <c r="G6" s="47">
        <v>22</v>
      </c>
      <c r="H6" s="133">
        <f>IF(B$17=0,0,G6/B$17)</f>
        <v>0.28947368421052633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-3833.3333333333335</v>
      </c>
      <c r="P6" s="119">
        <v>27</v>
      </c>
      <c r="Q6" s="103">
        <v>-103500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0.19354838709677419</v>
      </c>
      <c r="E7" s="63" t="s">
        <v>69</v>
      </c>
      <c r="F7" s="60" t="s">
        <v>12</v>
      </c>
      <c r="G7" s="47">
        <v>19</v>
      </c>
      <c r="H7" s="133">
        <f>IF(B$17=0,0,G7/B$17)</f>
        <v>0.25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-1828</v>
      </c>
      <c r="P7" s="120">
        <v>25</v>
      </c>
      <c r="Q7" s="104">
        <v>-45700</v>
      </c>
    </row>
    <row r="8" spans="1:17" x14ac:dyDescent="0.4">
      <c r="A8" s="55" t="s">
        <v>3</v>
      </c>
      <c r="B8" s="47">
        <v>12</v>
      </c>
      <c r="C8" s="39">
        <f t="shared" si="1"/>
        <v>0.38709677419354838</v>
      </c>
      <c r="E8" s="63" t="s">
        <v>70</v>
      </c>
      <c r="F8" s="60" t="s">
        <v>25</v>
      </c>
      <c r="G8" s="47">
        <v>11</v>
      </c>
      <c r="H8" s="133">
        <f>IF(B$17=0,0,G8/B$17)</f>
        <v>0.14473684210526316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0.41935483870967744</v>
      </c>
      <c r="E9" s="63" t="s">
        <v>71</v>
      </c>
      <c r="F9" s="60" t="s">
        <v>26</v>
      </c>
      <c r="G9" s="47">
        <v>9</v>
      </c>
      <c r="H9" s="133">
        <f>IF(B$17=0,0,G9/B$17)</f>
        <v>0.11842105263157894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6.4516129032258063E-2</v>
      </c>
      <c r="E10" s="63" t="s">
        <v>66</v>
      </c>
      <c r="F10" s="60" t="s">
        <v>22</v>
      </c>
      <c r="G10" s="47">
        <v>8</v>
      </c>
      <c r="H10" s="133">
        <f>IF(B$17=0,0,G10/B$17)</f>
        <v>0.10526315789473684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6.4516129032258063E-2</v>
      </c>
      <c r="E11" s="63" t="s">
        <v>90</v>
      </c>
      <c r="F11" s="60" t="s">
        <v>45</v>
      </c>
      <c r="G11" s="47">
        <v>8</v>
      </c>
      <c r="H11" s="133">
        <f>IF(B$17=0,0,G11/B$17)</f>
        <v>0.10526315789473684</v>
      </c>
      <c r="I11" s="94">
        <v>7</v>
      </c>
      <c r="K11" s="38">
        <v>9</v>
      </c>
      <c r="L11" s="99">
        <v>-74.199999999999989</v>
      </c>
      <c r="N11" s="115" t="s">
        <v>164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159</v>
      </c>
      <c r="B12" s="49">
        <v>2</v>
      </c>
      <c r="C12" s="42">
        <f t="shared" si="1"/>
        <v>6.4516129032258063E-2</v>
      </c>
      <c r="E12" s="63" t="s">
        <v>84</v>
      </c>
      <c r="F12" s="60" t="s">
        <v>39</v>
      </c>
      <c r="G12" s="47">
        <v>7</v>
      </c>
      <c r="H12" s="133">
        <f>IF(B$17=0,0,G12/B$17)</f>
        <v>9.2105263157894732E-2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-16.687499999999996</v>
      </c>
      <c r="P12" s="120">
        <v>8</v>
      </c>
      <c r="Q12" s="108">
        <v>-133.49999999999997</v>
      </c>
    </row>
    <row r="13" spans="1:17" x14ac:dyDescent="0.4">
      <c r="A13" s="58" t="s">
        <v>122</v>
      </c>
      <c r="B13" s="50">
        <v>75</v>
      </c>
      <c r="C13" s="44">
        <f>IF(B$3=0,0,B13/B$3)</f>
        <v>0.2808988764044944</v>
      </c>
      <c r="E13" s="63" t="s">
        <v>72</v>
      </c>
      <c r="F13" s="60" t="s">
        <v>27</v>
      </c>
      <c r="G13" s="47">
        <v>5</v>
      </c>
      <c r="H13" s="133">
        <f>IF(B$17=0,0,G13/B$17)</f>
        <v>6.5789473684210523E-2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48</v>
      </c>
      <c r="C14" s="39">
        <f>IF(B$3=0,0,B14/B$3)</f>
        <v>0.1797752808988764</v>
      </c>
      <c r="E14" s="63" t="s">
        <v>79</v>
      </c>
      <c r="F14" s="60" t="s">
        <v>34</v>
      </c>
      <c r="G14" s="47">
        <v>2</v>
      </c>
      <c r="H14" s="133">
        <f>IF(B$17=0,0,G14/B$17)</f>
        <v>2.6315789473684209E-2</v>
      </c>
      <c r="I14" s="94">
        <v>4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82</v>
      </c>
      <c r="F15" s="60" t="s">
        <v>37</v>
      </c>
      <c r="G15" s="47">
        <v>2</v>
      </c>
      <c r="H15" s="133">
        <f>IF(B$17=0,0,G15/B$17)</f>
        <v>2.6315789473684209E-2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21</v>
      </c>
      <c r="C16" s="37">
        <f>IF(B$14=0,0,B16/B$14)</f>
        <v>0.4375</v>
      </c>
      <c r="E16" s="63" t="s">
        <v>87</v>
      </c>
      <c r="F16" s="60" t="s">
        <v>42</v>
      </c>
      <c r="G16" s="47">
        <v>2</v>
      </c>
      <c r="H16" s="133">
        <f>IF(B$17=0,0,G16/B$17)</f>
        <v>2.6315789473684209E-2</v>
      </c>
      <c r="I16" s="94">
        <v>9</v>
      </c>
      <c r="K16" s="38">
        <v>14</v>
      </c>
      <c r="L16" s="99">
        <v>-204.8</v>
      </c>
      <c r="N16" s="115" t="s">
        <v>167</v>
      </c>
      <c r="O16" s="125">
        <f>IF(P16=0,0,Q16/P16)</f>
        <v>23.9</v>
      </c>
      <c r="P16" s="119">
        <v>9</v>
      </c>
      <c r="Q16" s="107">
        <v>215.1</v>
      </c>
    </row>
    <row r="17" spans="1:17" x14ac:dyDescent="0.4">
      <c r="A17" s="54" t="s">
        <v>10</v>
      </c>
      <c r="B17" s="46">
        <f>B19+B18</f>
        <v>76</v>
      </c>
      <c r="C17" s="37">
        <f>IF(B$3=0,0,B17/B$3)</f>
        <v>0.28464419475655428</v>
      </c>
      <c r="E17" s="63" t="s">
        <v>76</v>
      </c>
      <c r="F17" s="60" t="s">
        <v>31</v>
      </c>
      <c r="G17" s="47">
        <v>1</v>
      </c>
      <c r="H17" s="133">
        <f>IF(B$17=0,0,G17/B$17)</f>
        <v>1.3157894736842105E-2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>IF(P17=0,0,Q17/P17)</f>
        <v>-6.2235294117647078</v>
      </c>
      <c r="P17" s="119">
        <v>17</v>
      </c>
      <c r="Q17" s="107">
        <v>-105.80000000000003</v>
      </c>
    </row>
    <row r="18" spans="1:17" x14ac:dyDescent="0.4">
      <c r="A18" s="55" t="s">
        <v>12</v>
      </c>
      <c r="B18" s="47">
        <v>29</v>
      </c>
      <c r="C18" s="39">
        <f>IF(B$17=0,0,B18/B$17)</f>
        <v>0.38157894736842107</v>
      </c>
      <c r="E18" s="63" t="s">
        <v>80</v>
      </c>
      <c r="F18" s="60" t="s">
        <v>35</v>
      </c>
      <c r="G18" s="47">
        <v>1</v>
      </c>
      <c r="H18" s="133">
        <f>IF(B$17=0,0,G18/B$17)</f>
        <v>1.3157894736842105E-2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0.61842105263157898</v>
      </c>
      <c r="E19" s="63" t="s">
        <v>92</v>
      </c>
      <c r="F19" s="60" t="s">
        <v>47</v>
      </c>
      <c r="G19" s="47">
        <v>1</v>
      </c>
      <c r="H19" s="133">
        <f>IF(B$17=0,0,G19/B$17)</f>
        <v>1.3157894736842105E-2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>IF(P19=0,0,Q19/P19)</f>
        <v>-18.555000000000003</v>
      </c>
      <c r="P19" s="119">
        <v>20</v>
      </c>
      <c r="Q19" s="107">
        <v>-371.10000000000008</v>
      </c>
    </row>
    <row r="20" spans="1:17" x14ac:dyDescent="0.4">
      <c r="A20" s="55" t="s">
        <v>13</v>
      </c>
      <c r="B20" s="47">
        <v>53</v>
      </c>
      <c r="C20" s="39">
        <f>IF(B$3=0,0,B20/B$3)</f>
        <v>0.19850187265917604</v>
      </c>
      <c r="E20" s="63" t="s">
        <v>168</v>
      </c>
      <c r="F20" s="60" t="s">
        <v>169</v>
      </c>
      <c r="G20" s="47">
        <v>1</v>
      </c>
      <c r="H20" s="133">
        <f>IF(B$17=0,0,G20/B$17)</f>
        <v>1.3157894736842105E-2</v>
      </c>
      <c r="I20" s="94">
        <v>2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>IF(P21=0,0,Q21/P21)</f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7410.5263157894733</v>
      </c>
      <c r="C23" s="41">
        <v>563200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-7345.2830188679245</v>
      </c>
      <c r="C24" s="45">
        <v>-389300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3.7453183520599251E-3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9681-5F3D-416B-BF6E-0E840981AB8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>IF(B$17=0,0,G2/B$17)</f>
        <v>0.8392857142857143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1250</v>
      </c>
      <c r="P2" s="118">
        <v>28</v>
      </c>
      <c r="Q2" s="102">
        <v>35000</v>
      </c>
    </row>
    <row r="3" spans="1:17" x14ac:dyDescent="0.4">
      <c r="A3" s="55" t="s">
        <v>8</v>
      </c>
      <c r="B3" s="152">
        <v>216</v>
      </c>
      <c r="C3" s="153"/>
      <c r="E3" s="63" t="s">
        <v>73</v>
      </c>
      <c r="F3" s="60" t="s">
        <v>28</v>
      </c>
      <c r="G3" s="47">
        <v>42</v>
      </c>
      <c r="H3" s="133">
        <f>IF(B$17=0,0,G3/B$17)</f>
        <v>0.75</v>
      </c>
      <c r="I3" s="94">
        <v>2</v>
      </c>
      <c r="K3" s="38">
        <v>1</v>
      </c>
      <c r="L3" s="99">
        <v>-9.1</v>
      </c>
      <c r="N3" s="115" t="s">
        <v>132</v>
      </c>
      <c r="O3" s="122">
        <f t="shared" si="0"/>
        <v>-2996.1538461538462</v>
      </c>
      <c r="P3" s="119">
        <v>26</v>
      </c>
      <c r="Q3" s="103">
        <v>-77900</v>
      </c>
    </row>
    <row r="4" spans="1:17" x14ac:dyDescent="0.4">
      <c r="A4" s="55" t="s">
        <v>6</v>
      </c>
      <c r="B4" s="154">
        <v>-10.999999999999972</v>
      </c>
      <c r="C4" s="155"/>
      <c r="E4" s="63" t="s">
        <v>68</v>
      </c>
      <c r="F4" s="60" t="s">
        <v>24</v>
      </c>
      <c r="G4" s="47">
        <v>26</v>
      </c>
      <c r="H4" s="133">
        <f>IF(B$17=0,0,G4/B$17)</f>
        <v>0.4642857142857143</v>
      </c>
      <c r="I4" s="94">
        <v>2</v>
      </c>
      <c r="K4" s="38">
        <v>2</v>
      </c>
      <c r="L4" s="99">
        <v>-67.3</v>
      </c>
      <c r="N4" s="115" t="s">
        <v>133</v>
      </c>
      <c r="O4" s="122">
        <f t="shared" si="0"/>
        <v>1016</v>
      </c>
      <c r="P4" s="119">
        <v>25</v>
      </c>
      <c r="Q4" s="103">
        <v>25400</v>
      </c>
    </row>
    <row r="5" spans="1:17" x14ac:dyDescent="0.4">
      <c r="A5" s="55" t="s">
        <v>7</v>
      </c>
      <c r="B5" s="156">
        <f>IF(B$2=0,0,B$4/B$2)</f>
        <v>-0.39285714285714185</v>
      </c>
      <c r="C5" s="157"/>
      <c r="E5" s="63" t="s">
        <v>65</v>
      </c>
      <c r="F5" s="60" t="s">
        <v>21</v>
      </c>
      <c r="G5" s="47">
        <v>25</v>
      </c>
      <c r="H5" s="133">
        <f>IF(B$17=0,0,G5/B$17)</f>
        <v>0.44642857142857145</v>
      </c>
      <c r="I5" s="94">
        <v>6</v>
      </c>
      <c r="K5" s="38">
        <v>3</v>
      </c>
      <c r="L5" s="99">
        <v>-113.8</v>
      </c>
      <c r="N5" s="115" t="s">
        <v>134</v>
      </c>
      <c r="O5" s="122">
        <f t="shared" si="0"/>
        <v>4086.9565217391305</v>
      </c>
      <c r="P5" s="119">
        <v>23</v>
      </c>
      <c r="Q5" s="103">
        <v>94000</v>
      </c>
    </row>
    <row r="6" spans="1:17" x14ac:dyDescent="0.4">
      <c r="A6" s="55" t="s">
        <v>1</v>
      </c>
      <c r="B6" s="146">
        <f>IF(B$2=0,0,(B$7*1+B$8*2+B$9*3)/B$2)</f>
        <v>1.9642857142857142</v>
      </c>
      <c r="C6" s="147"/>
      <c r="E6" s="63" t="s">
        <v>69</v>
      </c>
      <c r="F6" s="60" t="s">
        <v>12</v>
      </c>
      <c r="G6" s="47">
        <v>20</v>
      </c>
      <c r="H6" s="133">
        <f>IF(B$17=0,0,G6/B$17)</f>
        <v>0.35714285714285715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-2160</v>
      </c>
      <c r="P6" s="119">
        <v>20</v>
      </c>
      <c r="Q6" s="103">
        <v>-43200</v>
      </c>
    </row>
    <row r="7" spans="1:17" x14ac:dyDescent="0.4">
      <c r="A7" s="55" t="s">
        <v>2</v>
      </c>
      <c r="B7" s="47">
        <v>10</v>
      </c>
      <c r="C7" s="39">
        <f t="shared" ref="C7:C12" si="1">IF(B$2=0,0,B7/B$2)</f>
        <v>0.35714285714285715</v>
      </c>
      <c r="E7" s="63" t="s">
        <v>172</v>
      </c>
      <c r="F7" s="60" t="s">
        <v>173</v>
      </c>
      <c r="G7" s="47">
        <v>18</v>
      </c>
      <c r="H7" s="133">
        <f>IF(B$17=0,0,G7/B$17)</f>
        <v>0.32142857142857145</v>
      </c>
      <c r="I7" s="94">
        <v>10</v>
      </c>
      <c r="K7" s="38">
        <v>5</v>
      </c>
      <c r="L7" s="99">
        <v>-118.3</v>
      </c>
      <c r="N7" s="116" t="s">
        <v>136</v>
      </c>
      <c r="O7" s="123">
        <f t="shared" si="0"/>
        <v>-3620</v>
      </c>
      <c r="P7" s="120">
        <v>15</v>
      </c>
      <c r="Q7" s="104">
        <v>-54300</v>
      </c>
    </row>
    <row r="8" spans="1:17" x14ac:dyDescent="0.4">
      <c r="A8" s="55" t="s">
        <v>3</v>
      </c>
      <c r="B8" s="47">
        <v>9</v>
      </c>
      <c r="C8" s="39">
        <f t="shared" si="1"/>
        <v>0.32142857142857145</v>
      </c>
      <c r="E8" s="63" t="s">
        <v>90</v>
      </c>
      <c r="F8" s="60" t="s">
        <v>45</v>
      </c>
      <c r="G8" s="47">
        <v>16</v>
      </c>
      <c r="H8" s="133">
        <f>IF(B$17=0,0,G8/B$17)</f>
        <v>0.2857142857142857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0.32142857142857145</v>
      </c>
      <c r="E9" s="63" t="s">
        <v>70</v>
      </c>
      <c r="F9" s="60" t="s">
        <v>25</v>
      </c>
      <c r="G9" s="47">
        <v>8</v>
      </c>
      <c r="H9" s="133">
        <f>IF(B$17=0,0,G9/B$17)</f>
        <v>0.14285714285714285</v>
      </c>
      <c r="I9" s="94">
        <v>4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0.17857142857142858</v>
      </c>
      <c r="E10" s="63" t="s">
        <v>66</v>
      </c>
      <c r="F10" s="60" t="s">
        <v>22</v>
      </c>
      <c r="G10" s="47">
        <v>5</v>
      </c>
      <c r="H10" s="133">
        <f>IF(B$17=0,0,G10/B$17)</f>
        <v>8.9285714285714288E-2</v>
      </c>
      <c r="I10" s="94">
        <v>7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6</v>
      </c>
      <c r="C11" s="40">
        <f t="shared" si="1"/>
        <v>0.21428571428571427</v>
      </c>
      <c r="E11" s="63" t="s">
        <v>84</v>
      </c>
      <c r="F11" s="60" t="s">
        <v>39</v>
      </c>
      <c r="G11" s="47">
        <v>4</v>
      </c>
      <c r="H11" s="133">
        <f>IF(B$17=0,0,G11/B$17)</f>
        <v>7.1428571428571425E-2</v>
      </c>
      <c r="I11" s="94">
        <v>4</v>
      </c>
      <c r="K11" s="38">
        <v>9</v>
      </c>
      <c r="L11" s="99">
        <v>-120.99999999999999</v>
      </c>
      <c r="N11" s="115" t="s">
        <v>164</v>
      </c>
      <c r="O11" s="125">
        <f>IF(P11=0,0,Q11/P11)</f>
        <v>-1.025000000000001</v>
      </c>
      <c r="P11" s="119">
        <v>12</v>
      </c>
      <c r="Q11" s="107">
        <v>-12.300000000000011</v>
      </c>
    </row>
    <row r="12" spans="1:17" x14ac:dyDescent="0.4">
      <c r="A12" s="57" t="s">
        <v>159</v>
      </c>
      <c r="B12" s="49">
        <v>1</v>
      </c>
      <c r="C12" s="42">
        <f t="shared" si="1"/>
        <v>3.5714285714285712E-2</v>
      </c>
      <c r="E12" s="63" t="s">
        <v>93</v>
      </c>
      <c r="F12" s="60" t="s">
        <v>48</v>
      </c>
      <c r="G12" s="47">
        <v>3</v>
      </c>
      <c r="H12" s="133">
        <f>IF(B$17=0,0,G12/B$17)</f>
        <v>5.3571428571428568E-2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-7.6428571428571406</v>
      </c>
      <c r="P12" s="120">
        <v>7</v>
      </c>
      <c r="Q12" s="108">
        <v>-53.499999999999986</v>
      </c>
    </row>
    <row r="13" spans="1:17" x14ac:dyDescent="0.4">
      <c r="A13" s="58" t="s">
        <v>122</v>
      </c>
      <c r="B13" s="50">
        <v>60</v>
      </c>
      <c r="C13" s="44">
        <f>IF(B$3=0,0,B13/B$3)</f>
        <v>0.27777777777777779</v>
      </c>
      <c r="E13" s="63" t="s">
        <v>71</v>
      </c>
      <c r="F13" s="60" t="s">
        <v>26</v>
      </c>
      <c r="G13" s="47">
        <v>2</v>
      </c>
      <c r="H13" s="133">
        <f>IF(B$17=0,0,G13/B$17)</f>
        <v>3.5714285714285712E-2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0.21759259259259259</v>
      </c>
      <c r="E14" s="63" t="s">
        <v>82</v>
      </c>
      <c r="F14" s="60" t="s">
        <v>37</v>
      </c>
      <c r="G14" s="47">
        <v>2</v>
      </c>
      <c r="H14" s="133">
        <f>IF(B$17=0,0,G14/B$17)</f>
        <v>3.5714285714285712E-2</v>
      </c>
      <c r="I14" s="94">
        <v>3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25</v>
      </c>
      <c r="C15" s="37">
        <f>IF(B$13=0,0,B15/B$13)</f>
        <v>0.41666666666666669</v>
      </c>
      <c r="E15" s="63" t="s">
        <v>87</v>
      </c>
      <c r="F15" s="60" t="s">
        <v>42</v>
      </c>
      <c r="G15" s="47">
        <v>2</v>
      </c>
      <c r="H15" s="133">
        <f>IF(B$17=0,0,G15/B$17)</f>
        <v>3.5714285714285712E-2</v>
      </c>
      <c r="I15" s="94">
        <v>8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23</v>
      </c>
      <c r="C16" s="37">
        <f>IF(B$14=0,0,B16/B$14)</f>
        <v>0.48936170212765956</v>
      </c>
      <c r="E16" s="63" t="s">
        <v>72</v>
      </c>
      <c r="F16" s="60" t="s">
        <v>27</v>
      </c>
      <c r="G16" s="47">
        <v>1</v>
      </c>
      <c r="H16" s="133">
        <f>IF(B$17=0,0,G16/B$17)</f>
        <v>1.7857142857142856E-2</v>
      </c>
      <c r="I16" s="94">
        <v>10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0.25925925925925924</v>
      </c>
      <c r="E17" s="63" t="s">
        <v>76</v>
      </c>
      <c r="F17" s="60" t="s">
        <v>31</v>
      </c>
      <c r="G17" s="47">
        <v>1</v>
      </c>
      <c r="H17" s="133">
        <f>IF(B$17=0,0,G17/B$17)</f>
        <v>1.7857142857142856E-2</v>
      </c>
      <c r="I17" s="94">
        <v>2</v>
      </c>
      <c r="K17" s="38">
        <v>15</v>
      </c>
      <c r="L17" s="99">
        <v>-101.79999999999997</v>
      </c>
      <c r="N17" s="115" t="s">
        <v>183</v>
      </c>
      <c r="O17" s="125">
        <f>IF(P17=0,0,Q17/P17)</f>
        <v>20.209090909090907</v>
      </c>
      <c r="P17" s="119">
        <v>11</v>
      </c>
      <c r="Q17" s="107">
        <v>222.29999999999998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0.4642857142857143</v>
      </c>
      <c r="E18" s="63" t="s">
        <v>86</v>
      </c>
      <c r="F18" s="60" t="s">
        <v>41</v>
      </c>
      <c r="G18" s="47">
        <v>1</v>
      </c>
      <c r="H18" s="133">
        <f>IF(B$17=0,0,G18/B$17)</f>
        <v>1.7857142857142856E-2</v>
      </c>
      <c r="I18" s="94">
        <v>2</v>
      </c>
      <c r="K18" s="38">
        <v>16</v>
      </c>
      <c r="L18" s="99">
        <v>-63.099999999999966</v>
      </c>
      <c r="N18" s="115" t="s">
        <v>179</v>
      </c>
      <c r="O18" s="125">
        <f>IF(P18=0,0,Q18/P18)</f>
        <v>10.112500000000002</v>
      </c>
      <c r="P18" s="119">
        <v>16</v>
      </c>
      <c r="Q18" s="107">
        <v>161.80000000000004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0.5357142857142857</v>
      </c>
      <c r="E19" s="63" t="s">
        <v>92</v>
      </c>
      <c r="F19" s="60" t="s">
        <v>47</v>
      </c>
      <c r="G19" s="47">
        <v>1</v>
      </c>
      <c r="H19" s="133">
        <f>IF(B$17=0,0,G19/B$17)</f>
        <v>1.7857142857142856E-2</v>
      </c>
      <c r="I19" s="94">
        <v>3</v>
      </c>
      <c r="K19" s="38">
        <v>17</v>
      </c>
      <c r="L19" s="99">
        <v>-55.799999999999969</v>
      </c>
      <c r="N19" s="115" t="s">
        <v>127</v>
      </c>
      <c r="O19" s="125">
        <f>IF(P19=0,0,Q19/P19)</f>
        <v>-7.8636363636363651</v>
      </c>
      <c r="P19" s="119">
        <v>11</v>
      </c>
      <c r="Q19" s="107">
        <v>-86.500000000000014</v>
      </c>
    </row>
    <row r="20" spans="1:17" x14ac:dyDescent="0.4">
      <c r="A20" s="55" t="s">
        <v>13</v>
      </c>
      <c r="B20" s="47">
        <v>36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-24.999999999999968</v>
      </c>
      <c r="N20" s="115" t="s">
        <v>128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10853.571428571429</v>
      </c>
      <c r="C23" s="41">
        <v>607800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-9508.3333333333339</v>
      </c>
      <c r="C24" s="45">
        <v>-342300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-37.699999999999974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-84.999999999999972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-31.499999999999972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-10.999999999999972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8E5-B308-4D3D-965E-797C7FF1FAB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36</v>
      </c>
      <c r="C2" s="151"/>
      <c r="E2" s="62" t="s">
        <v>73</v>
      </c>
      <c r="F2" s="59" t="s">
        <v>28</v>
      </c>
      <c r="G2" s="46">
        <v>65</v>
      </c>
      <c r="H2" s="132">
        <f>IF(B$17=0,0,G2/B$17)</f>
        <v>0.8125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1216.6666666666667</v>
      </c>
      <c r="P2" s="118">
        <v>36</v>
      </c>
      <c r="Q2" s="102">
        <v>43800</v>
      </c>
    </row>
    <row r="3" spans="1:17" x14ac:dyDescent="0.4">
      <c r="A3" s="55" t="s">
        <v>8</v>
      </c>
      <c r="B3" s="152">
        <v>292</v>
      </c>
      <c r="C3" s="153"/>
      <c r="E3" s="63" t="s">
        <v>67</v>
      </c>
      <c r="F3" s="60" t="s">
        <v>23</v>
      </c>
      <c r="G3" s="47">
        <v>58</v>
      </c>
      <c r="H3" s="133">
        <f>IF(B$17=0,0,G3/B$17)</f>
        <v>0.72499999999999998</v>
      </c>
      <c r="I3" s="94">
        <v>6</v>
      </c>
      <c r="K3" s="38">
        <v>1</v>
      </c>
      <c r="L3" s="99">
        <v>46.9</v>
      </c>
      <c r="N3" s="115" t="s">
        <v>132</v>
      </c>
      <c r="O3" s="122">
        <f t="shared" si="0"/>
        <v>1390.909090909091</v>
      </c>
      <c r="P3" s="119">
        <v>33</v>
      </c>
      <c r="Q3" s="103">
        <v>45900</v>
      </c>
    </row>
    <row r="4" spans="1:17" x14ac:dyDescent="0.4">
      <c r="A4" s="55" t="s">
        <v>6</v>
      </c>
      <c r="B4" s="154">
        <v>-65.399999999999977</v>
      </c>
      <c r="C4" s="155"/>
      <c r="E4" s="63" t="s">
        <v>65</v>
      </c>
      <c r="F4" s="60" t="s">
        <v>21</v>
      </c>
      <c r="G4" s="47">
        <v>35</v>
      </c>
      <c r="H4" s="133">
        <f>IF(B$17=0,0,G4/B$17)</f>
        <v>0.4375</v>
      </c>
      <c r="I4" s="94">
        <v>7</v>
      </c>
      <c r="K4" s="38">
        <v>2</v>
      </c>
      <c r="L4" s="99">
        <v>8.1000000000000014</v>
      </c>
      <c r="N4" s="115" t="s">
        <v>133</v>
      </c>
      <c r="O4" s="122">
        <f t="shared" si="0"/>
        <v>-3641.9354838709678</v>
      </c>
      <c r="P4" s="119">
        <v>31</v>
      </c>
      <c r="Q4" s="103">
        <v>-112900</v>
      </c>
    </row>
    <row r="5" spans="1:17" x14ac:dyDescent="0.4">
      <c r="A5" s="55" t="s">
        <v>7</v>
      </c>
      <c r="B5" s="156">
        <f>IF(B$2=0,0,B$4/B$2)</f>
        <v>-1.816666666666666</v>
      </c>
      <c r="C5" s="157"/>
      <c r="E5" s="63" t="s">
        <v>172</v>
      </c>
      <c r="F5" s="60" t="s">
        <v>173</v>
      </c>
      <c r="G5" s="47">
        <v>27</v>
      </c>
      <c r="H5" s="133">
        <f>IF(B$17=0,0,G5/B$17)</f>
        <v>0.33750000000000002</v>
      </c>
      <c r="I5" s="94">
        <v>6</v>
      </c>
      <c r="K5" s="38">
        <v>3</v>
      </c>
      <c r="L5" s="99">
        <v>25.8</v>
      </c>
      <c r="N5" s="115" t="s">
        <v>134</v>
      </c>
      <c r="O5" s="122">
        <f t="shared" si="0"/>
        <v>32.142857142857146</v>
      </c>
      <c r="P5" s="119">
        <v>28</v>
      </c>
      <c r="Q5" s="103">
        <v>900</v>
      </c>
    </row>
    <row r="6" spans="1:17" x14ac:dyDescent="0.4">
      <c r="A6" s="55" t="s">
        <v>1</v>
      </c>
      <c r="B6" s="146">
        <f>IF(B$2=0,0,(B$7*1+B$8*2+B$9*3)/B$2)</f>
        <v>2.1388888888888888</v>
      </c>
      <c r="C6" s="147"/>
      <c r="E6" s="63" t="s">
        <v>68</v>
      </c>
      <c r="F6" s="60" t="s">
        <v>24</v>
      </c>
      <c r="G6" s="47">
        <v>24</v>
      </c>
      <c r="H6" s="133">
        <f>IF(B$17=0,0,G6/B$17)</f>
        <v>0.3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-721.73913043478262</v>
      </c>
      <c r="P6" s="119">
        <v>23</v>
      </c>
      <c r="Q6" s="103">
        <v>-16600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0.22222222222222221</v>
      </c>
      <c r="E7" s="63" t="s">
        <v>69</v>
      </c>
      <c r="F7" s="60" t="s">
        <v>12</v>
      </c>
      <c r="G7" s="47">
        <v>24</v>
      </c>
      <c r="H7" s="133">
        <f>IF(B$17=0,0,G7/B$17)</f>
        <v>0.3</v>
      </c>
      <c r="I7" s="94">
        <v>4</v>
      </c>
      <c r="K7" s="38">
        <v>5</v>
      </c>
      <c r="L7" s="99">
        <v>-1.6000000000000014</v>
      </c>
      <c r="N7" s="116" t="s">
        <v>136</v>
      </c>
      <c r="O7" s="123">
        <f t="shared" si="0"/>
        <v>1119.047619047619</v>
      </c>
      <c r="P7" s="120">
        <v>21</v>
      </c>
      <c r="Q7" s="104">
        <v>23500</v>
      </c>
    </row>
    <row r="8" spans="1:17" x14ac:dyDescent="0.4">
      <c r="A8" s="55" t="s">
        <v>3</v>
      </c>
      <c r="B8" s="47">
        <v>15</v>
      </c>
      <c r="C8" s="39">
        <f t="shared" si="1"/>
        <v>0.41666666666666669</v>
      </c>
      <c r="E8" s="63" t="s">
        <v>90</v>
      </c>
      <c r="F8" s="60" t="s">
        <v>45</v>
      </c>
      <c r="G8" s="47">
        <v>9</v>
      </c>
      <c r="H8" s="133">
        <f>IF(B$17=0,0,G8/B$17)</f>
        <v>0.1125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0.3611111111111111</v>
      </c>
      <c r="E9" s="63" t="s">
        <v>70</v>
      </c>
      <c r="F9" s="60" t="s">
        <v>25</v>
      </c>
      <c r="G9" s="47">
        <v>7</v>
      </c>
      <c r="H9" s="133">
        <f>IF(B$17=0,0,G9/B$17)</f>
        <v>8.7499999999999994E-2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0.1111111111111111</v>
      </c>
      <c r="E10" s="63" t="s">
        <v>66</v>
      </c>
      <c r="F10" s="60" t="s">
        <v>22</v>
      </c>
      <c r="G10" s="47">
        <v>4</v>
      </c>
      <c r="H10" s="133">
        <f>IF(B$17=0,0,G10/B$17)</f>
        <v>0.05</v>
      </c>
      <c r="I10" s="94">
        <v>10</v>
      </c>
      <c r="K10" s="38">
        <v>8</v>
      </c>
      <c r="L10" s="99">
        <v>-46.7</v>
      </c>
      <c r="N10" s="114" t="s">
        <v>163</v>
      </c>
      <c r="O10" s="124">
        <f>IF(P10=0,0,Q10/P10)</f>
        <v>3.3285714285714287</v>
      </c>
      <c r="P10" s="118">
        <v>14</v>
      </c>
      <c r="Q10" s="106">
        <v>46.6</v>
      </c>
    </row>
    <row r="11" spans="1:17" x14ac:dyDescent="0.4">
      <c r="A11" s="56" t="s">
        <v>139</v>
      </c>
      <c r="B11" s="48">
        <v>3</v>
      </c>
      <c r="C11" s="40">
        <f t="shared" si="1"/>
        <v>8.3333333333333329E-2</v>
      </c>
      <c r="E11" s="63" t="s">
        <v>71</v>
      </c>
      <c r="F11" s="60" t="s">
        <v>26</v>
      </c>
      <c r="G11" s="47">
        <v>4</v>
      </c>
      <c r="H11" s="133">
        <f>IF(B$17=0,0,G11/B$17)</f>
        <v>0.05</v>
      </c>
      <c r="I11" s="94">
        <v>9</v>
      </c>
      <c r="K11" s="38">
        <v>9</v>
      </c>
      <c r="L11" s="99">
        <v>-90.9</v>
      </c>
      <c r="N11" s="115" t="s">
        <v>164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80</v>
      </c>
      <c r="F12" s="60" t="s">
        <v>35</v>
      </c>
      <c r="G12" s="47">
        <v>4</v>
      </c>
      <c r="H12" s="133">
        <f>IF(B$17=0,0,G12/B$17)</f>
        <v>0.05</v>
      </c>
      <c r="I12" s="94">
        <v>2</v>
      </c>
      <c r="K12" s="38">
        <v>10</v>
      </c>
      <c r="L12" s="99">
        <v>-146.69999999999999</v>
      </c>
      <c r="N12" s="116" t="s">
        <v>165</v>
      </c>
      <c r="O12" s="126">
        <f>IF(P12=0,0,Q12/P12)</f>
        <v>-6.5692307692307699</v>
      </c>
      <c r="P12" s="120">
        <v>13</v>
      </c>
      <c r="Q12" s="108">
        <v>-85.4</v>
      </c>
    </row>
    <row r="13" spans="1:17" x14ac:dyDescent="0.4">
      <c r="A13" s="58" t="s">
        <v>122</v>
      </c>
      <c r="B13" s="50">
        <v>69</v>
      </c>
      <c r="C13" s="44">
        <f>IF(B$3=0,0,B13/B$3)</f>
        <v>0.2363013698630137</v>
      </c>
      <c r="E13" s="63" t="s">
        <v>84</v>
      </c>
      <c r="F13" s="60" t="s">
        <v>39</v>
      </c>
      <c r="G13" s="47">
        <v>4</v>
      </c>
      <c r="H13" s="133">
        <f>IF(B$17=0,0,G13/B$17)</f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0.28767123287671231</v>
      </c>
      <c r="E14" s="63" t="s">
        <v>72</v>
      </c>
      <c r="F14" s="60" t="s">
        <v>27</v>
      </c>
      <c r="G14" s="47">
        <v>3</v>
      </c>
      <c r="H14" s="133">
        <f>IF(B$17=0,0,G14/B$17)</f>
        <v>3.7499999999999999E-2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36</v>
      </c>
      <c r="C15" s="37">
        <f>IF(B$13=0,0,B15/B$13)</f>
        <v>0.52173913043478259</v>
      </c>
      <c r="E15" s="63" t="s">
        <v>87</v>
      </c>
      <c r="F15" s="60" t="s">
        <v>42</v>
      </c>
      <c r="G15" s="47">
        <v>3</v>
      </c>
      <c r="H15" s="133">
        <f>IF(B$17=0,0,G15/B$17)</f>
        <v>3.7499999999999999E-2</v>
      </c>
      <c r="I15" s="94">
        <v>7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34</v>
      </c>
      <c r="C16" s="37">
        <f>IF(B$14=0,0,B16/B$14)</f>
        <v>0.40476190476190477</v>
      </c>
      <c r="E16" s="63" t="s">
        <v>79</v>
      </c>
      <c r="F16" s="60" t="s">
        <v>34</v>
      </c>
      <c r="G16" s="47">
        <v>2</v>
      </c>
      <c r="H16" s="133">
        <f>IF(B$17=0,0,G16/B$17)</f>
        <v>2.5000000000000001E-2</v>
      </c>
      <c r="I16" s="94">
        <v>5</v>
      </c>
      <c r="K16" s="38">
        <v>14</v>
      </c>
      <c r="L16" s="99">
        <v>-25.79999999999999</v>
      </c>
      <c r="N16" s="115" t="s">
        <v>180</v>
      </c>
      <c r="O16" s="125">
        <f>IF(P16=0,0,Q16/P16)</f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0.27397260273972601</v>
      </c>
      <c r="E17" s="63" t="s">
        <v>86</v>
      </c>
      <c r="F17" s="60" t="s">
        <v>41</v>
      </c>
      <c r="G17" s="47">
        <v>1</v>
      </c>
      <c r="H17" s="133">
        <f>IF(B$17=0,0,G17/B$17)</f>
        <v>1.2500000000000001E-2</v>
      </c>
      <c r="I17" s="94">
        <v>3</v>
      </c>
      <c r="K17" s="38">
        <v>15</v>
      </c>
      <c r="L17" s="99">
        <v>-35.499999999999986</v>
      </c>
      <c r="N17" s="115" t="s">
        <v>183</v>
      </c>
      <c r="O17" s="125">
        <f>IF(P17=0,0,Q17/P17)</f>
        <v>24.055555555555557</v>
      </c>
      <c r="P17" s="119">
        <v>9</v>
      </c>
      <c r="Q17" s="107">
        <v>216.5</v>
      </c>
    </row>
    <row r="18" spans="1:17" x14ac:dyDescent="0.4">
      <c r="A18" s="55" t="s">
        <v>12</v>
      </c>
      <c r="B18" s="47">
        <v>34</v>
      </c>
      <c r="C18" s="39">
        <f>IF(B$17=0,0,B18/B$17)</f>
        <v>0.42499999999999999</v>
      </c>
      <c r="E18" s="63" t="s">
        <v>92</v>
      </c>
      <c r="F18" s="60" t="s">
        <v>47</v>
      </c>
      <c r="G18" s="47">
        <v>1</v>
      </c>
      <c r="H18" s="133">
        <f>IF(B$17=0,0,G18/B$17)</f>
        <v>1.2500000000000001E-2</v>
      </c>
      <c r="I18" s="94">
        <v>6</v>
      </c>
      <c r="K18" s="38">
        <v>16</v>
      </c>
      <c r="L18" s="99">
        <v>-35.599999999999987</v>
      </c>
      <c r="N18" s="115" t="s">
        <v>167</v>
      </c>
      <c r="O18" s="125">
        <f>IF(P18=0,0,Q18/P18)</f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46</v>
      </c>
      <c r="C19" s="39">
        <f>IF(B$17=0,0,B19/B$17)</f>
        <v>0.57499999999999996</v>
      </c>
      <c r="E19" s="63" t="s">
        <v>102</v>
      </c>
      <c r="F19" s="60" t="s">
        <v>57</v>
      </c>
      <c r="G19" s="47">
        <v>1</v>
      </c>
      <c r="H19" s="133">
        <f>IF(B$17=0,0,G19/B$17)</f>
        <v>1.2500000000000001E-2</v>
      </c>
      <c r="I19" s="94">
        <v>1</v>
      </c>
      <c r="K19" s="38">
        <v>17</v>
      </c>
      <c r="L19" s="99">
        <v>-29.799999999999986</v>
      </c>
      <c r="N19" s="115" t="s">
        <v>178</v>
      </c>
      <c r="O19" s="125">
        <f>IF(P19=0,0,Q19/P19)</f>
        <v>-10.112500000000004</v>
      </c>
      <c r="P19" s="119">
        <v>16</v>
      </c>
      <c r="Q19" s="107">
        <v>-161.80000000000007</v>
      </c>
    </row>
    <row r="20" spans="1:17" x14ac:dyDescent="0.4">
      <c r="A20" s="55" t="s">
        <v>13</v>
      </c>
      <c r="B20" s="47">
        <v>41</v>
      </c>
      <c r="C20" s="39">
        <f>IF(B$3=0,0,B20/B$3)</f>
        <v>0.1404109589041096</v>
      </c>
      <c r="E20" s="63" t="s">
        <v>168</v>
      </c>
      <c r="F20" s="60" t="s">
        <v>169</v>
      </c>
      <c r="G20" s="47">
        <v>1</v>
      </c>
      <c r="H20" s="133">
        <f>IF(B$17=0,0,G20/B$17)</f>
        <v>1.2500000000000001E-2</v>
      </c>
      <c r="I20" s="94">
        <v>4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-56.399999999999991</v>
      </c>
      <c r="N21" s="115" t="s">
        <v>127</v>
      </c>
      <c r="O21" s="125">
        <f>IF(P21=0,0,Q21/P21)</f>
        <v>-22.126666666666672</v>
      </c>
      <c r="P21" s="119">
        <v>15</v>
      </c>
      <c r="Q21" s="107">
        <v>-331.90000000000009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128</v>
      </c>
      <c r="O22" s="125">
        <f>IF(P22=0,0,Q22/P22)</f>
        <v>-26.150000000000002</v>
      </c>
      <c r="P22" s="119">
        <v>14</v>
      </c>
      <c r="Q22" s="107">
        <v>-366.1</v>
      </c>
    </row>
    <row r="23" spans="1:17" x14ac:dyDescent="0.4">
      <c r="A23" s="55" t="s">
        <v>5</v>
      </c>
      <c r="B23" s="51">
        <f>IF(B$17=0,0,C23/B$17)</f>
        <v>8108.75</v>
      </c>
      <c r="C23" s="41">
        <v>648700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-7207.3170731707314</v>
      </c>
      <c r="C24" s="45">
        <v>-295500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4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2</v>
      </c>
      <c r="C27" s="42">
        <f>IF(B$3=0,0,B27/B$3)</f>
        <v>6.8493150684931503E-3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-41.29999999999999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-54.099999999999994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-61.29999999999999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-109.69999999999999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-107.29999999999998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-54.09999999999998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-48.899999999999977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-63.999999999999979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-72.399999999999977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-65.399999999999977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DE5B-9517-4DFB-9109-69508944BD5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23</v>
      </c>
      <c r="H2" s="132">
        <f>IF(B$17=0,0,G2/B$17)</f>
        <v>0.71875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-3570</v>
      </c>
      <c r="P2" s="118">
        <v>20</v>
      </c>
      <c r="Q2" s="102">
        <v>-71400</v>
      </c>
    </row>
    <row r="3" spans="1:17" x14ac:dyDescent="0.4">
      <c r="A3" s="55" t="s">
        <v>8</v>
      </c>
      <c r="B3" s="152">
        <v>157</v>
      </c>
      <c r="C3" s="153"/>
      <c r="E3" s="63" t="s">
        <v>65</v>
      </c>
      <c r="F3" s="60" t="s">
        <v>21</v>
      </c>
      <c r="G3" s="47">
        <v>17</v>
      </c>
      <c r="H3" s="133">
        <f>IF(B$17=0,0,G3/B$17)</f>
        <v>0.53125</v>
      </c>
      <c r="I3" s="94">
        <v>4</v>
      </c>
      <c r="K3" s="38">
        <v>1</v>
      </c>
      <c r="L3" s="99">
        <v>-12</v>
      </c>
      <c r="N3" s="115" t="s">
        <v>132</v>
      </c>
      <c r="O3" s="122">
        <f t="shared" si="0"/>
        <v>-450</v>
      </c>
      <c r="P3" s="119">
        <v>20</v>
      </c>
      <c r="Q3" s="103">
        <v>-9000</v>
      </c>
    </row>
    <row r="4" spans="1:17" x14ac:dyDescent="0.4">
      <c r="A4" s="55" t="s">
        <v>6</v>
      </c>
      <c r="B4" s="154">
        <v>-428.10000000000008</v>
      </c>
      <c r="C4" s="155"/>
      <c r="E4" s="63" t="s">
        <v>73</v>
      </c>
      <c r="F4" s="60" t="s">
        <v>28</v>
      </c>
      <c r="G4" s="47">
        <v>16</v>
      </c>
      <c r="H4" s="133">
        <f>IF(B$17=0,0,G4/B$17)</f>
        <v>0.5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0"/>
        <v>-1830</v>
      </c>
      <c r="P4" s="119">
        <v>20</v>
      </c>
      <c r="Q4" s="103">
        <v>-36600</v>
      </c>
    </row>
    <row r="5" spans="1:17" x14ac:dyDescent="0.4">
      <c r="A5" s="55" t="s">
        <v>7</v>
      </c>
      <c r="B5" s="156">
        <f>IF(B$2=0,0,B$4/B$2)</f>
        <v>-21.405000000000005</v>
      </c>
      <c r="C5" s="157"/>
      <c r="E5" s="63" t="s">
        <v>68</v>
      </c>
      <c r="F5" s="60" t="s">
        <v>24</v>
      </c>
      <c r="G5" s="47">
        <v>14</v>
      </c>
      <c r="H5" s="133">
        <f>IF(B$17=0,0,G5/B$17)</f>
        <v>0.4375</v>
      </c>
      <c r="I5" s="94">
        <v>3</v>
      </c>
      <c r="K5" s="38">
        <v>3</v>
      </c>
      <c r="L5" s="99">
        <v>-33.6</v>
      </c>
      <c r="N5" s="115" t="s">
        <v>134</v>
      </c>
      <c r="O5" s="122">
        <f t="shared" si="0"/>
        <v>-5405.2631578947367</v>
      </c>
      <c r="P5" s="119">
        <v>19</v>
      </c>
      <c r="Q5" s="103">
        <v>-102700</v>
      </c>
    </row>
    <row r="6" spans="1:17" x14ac:dyDescent="0.4">
      <c r="A6" s="55" t="s">
        <v>1</v>
      </c>
      <c r="B6" s="146">
        <f>IF(B$2=0,0,(B$7*1+B$8*2+B$9*3)/B$2)</f>
        <v>2.5499999999999998</v>
      </c>
      <c r="C6" s="147"/>
      <c r="E6" s="63" t="s">
        <v>172</v>
      </c>
      <c r="F6" s="60" t="s">
        <v>173</v>
      </c>
      <c r="G6" s="47">
        <v>11</v>
      </c>
      <c r="H6" s="133">
        <f>IF(B$17=0,0,G6/B$17)</f>
        <v>0.34375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0"/>
        <v>-2216.6666666666665</v>
      </c>
      <c r="P6" s="119">
        <v>18</v>
      </c>
      <c r="Q6" s="103">
        <v>-39900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0.05</v>
      </c>
      <c r="E7" s="63" t="s">
        <v>69</v>
      </c>
      <c r="F7" s="60" t="s">
        <v>12</v>
      </c>
      <c r="G7" s="47">
        <v>9</v>
      </c>
      <c r="H7" s="133">
        <f>IF(B$17=0,0,G7/B$17)</f>
        <v>0.28125</v>
      </c>
      <c r="I7" s="94">
        <v>7</v>
      </c>
      <c r="K7" s="38">
        <v>5</v>
      </c>
      <c r="L7" s="99">
        <v>-124.3</v>
      </c>
      <c r="N7" s="116" t="s">
        <v>136</v>
      </c>
      <c r="O7" s="123">
        <f t="shared" si="0"/>
        <v>-3900</v>
      </c>
      <c r="P7" s="120">
        <v>15</v>
      </c>
      <c r="Q7" s="104">
        <v>-58500</v>
      </c>
    </row>
    <row r="8" spans="1:17" x14ac:dyDescent="0.4">
      <c r="A8" s="55" t="s">
        <v>3</v>
      </c>
      <c r="B8" s="47">
        <v>7</v>
      </c>
      <c r="C8" s="39">
        <f t="shared" si="1"/>
        <v>0.35</v>
      </c>
      <c r="E8" s="63" t="s">
        <v>66</v>
      </c>
      <c r="F8" s="60" t="s">
        <v>22</v>
      </c>
      <c r="G8" s="47">
        <v>4</v>
      </c>
      <c r="H8" s="133">
        <f>IF(B$17=0,0,G8/B$17)</f>
        <v>0.125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0.6</v>
      </c>
      <c r="E9" s="63" t="s">
        <v>72</v>
      </c>
      <c r="F9" s="60" t="s">
        <v>27</v>
      </c>
      <c r="G9" s="47">
        <v>3</v>
      </c>
      <c r="H9" s="133">
        <f>IF(B$17=0,0,G9/B$17)</f>
        <v>9.375E-2</v>
      </c>
      <c r="I9" s="94">
        <v>3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0.25</v>
      </c>
      <c r="E10" s="63" t="s">
        <v>84</v>
      </c>
      <c r="F10" s="60" t="s">
        <v>39</v>
      </c>
      <c r="G10" s="47">
        <v>3</v>
      </c>
      <c r="H10" s="133">
        <f>IF(B$17=0,0,G10/B$17)</f>
        <v>9.375E-2</v>
      </c>
      <c r="I10" s="94">
        <v>1</v>
      </c>
      <c r="K10" s="38">
        <v>8</v>
      </c>
      <c r="L10" s="99">
        <v>-152.6</v>
      </c>
      <c r="N10" s="114" t="s">
        <v>163</v>
      </c>
      <c r="O10" s="124">
        <f>IF(P10=0,0,Q10/P10)</f>
        <v>-27.1</v>
      </c>
      <c r="P10" s="118">
        <v>13</v>
      </c>
      <c r="Q10" s="106">
        <v>-352.3</v>
      </c>
    </row>
    <row r="11" spans="1:17" x14ac:dyDescent="0.4">
      <c r="A11" s="56" t="s">
        <v>139</v>
      </c>
      <c r="B11" s="48">
        <v>1</v>
      </c>
      <c r="C11" s="40">
        <f t="shared" si="1"/>
        <v>0.05</v>
      </c>
      <c r="E11" s="63" t="s">
        <v>71</v>
      </c>
      <c r="F11" s="60" t="s">
        <v>26</v>
      </c>
      <c r="G11" s="47">
        <v>2</v>
      </c>
      <c r="H11" s="133">
        <f>IF(B$17=0,0,G11/B$17)</f>
        <v>6.25E-2</v>
      </c>
      <c r="I11" s="94">
        <v>7</v>
      </c>
      <c r="K11" s="38">
        <v>9</v>
      </c>
      <c r="L11" s="99">
        <v>-150.6</v>
      </c>
      <c r="N11" s="115" t="s">
        <v>164</v>
      </c>
      <c r="O11" s="125">
        <f>IF(P11=0,0,Q11/P11)</f>
        <v>-0.67999999999999861</v>
      </c>
      <c r="P11" s="119">
        <v>5</v>
      </c>
      <c r="Q11" s="107">
        <v>-3.3999999999999928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2</v>
      </c>
      <c r="H12" s="133">
        <f>IF(B$17=0,0,G12/B$17)</f>
        <v>6.25E-2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33</v>
      </c>
      <c r="C13" s="44">
        <f>IF(B$3=0,0,B13/B$3)</f>
        <v>0.21019108280254778</v>
      </c>
      <c r="E13" s="63" t="s">
        <v>87</v>
      </c>
      <c r="F13" s="60" t="s">
        <v>42</v>
      </c>
      <c r="G13" s="47">
        <v>2</v>
      </c>
      <c r="H13" s="133">
        <f>IF(B$17=0,0,G13/B$17)</f>
        <v>6.25E-2</v>
      </c>
      <c r="I13" s="94">
        <v>3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0.21019108280254778</v>
      </c>
      <c r="E14" s="63" t="s">
        <v>90</v>
      </c>
      <c r="F14" s="60" t="s">
        <v>45</v>
      </c>
      <c r="G14" s="47">
        <v>2</v>
      </c>
      <c r="H14" s="133">
        <f>IF(B$17=0,0,G14/B$17)</f>
        <v>6.25E-2</v>
      </c>
      <c r="I14" s="94">
        <v>8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0.51515151515151514</v>
      </c>
      <c r="E15" s="63" t="s">
        <v>70</v>
      </c>
      <c r="F15" s="60" t="s">
        <v>25</v>
      </c>
      <c r="G15" s="47">
        <v>1</v>
      </c>
      <c r="H15" s="133">
        <f>IF(B$17=0,0,G15/B$17)</f>
        <v>3.125E-2</v>
      </c>
      <c r="I15" s="94">
        <v>10</v>
      </c>
      <c r="K15" s="38">
        <v>13</v>
      </c>
      <c r="L15" s="99">
        <v>-217.60000000000002</v>
      </c>
      <c r="N15" s="114" t="s">
        <v>167</v>
      </c>
      <c r="O15" s="124">
        <f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11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1</v>
      </c>
      <c r="H16" s="133">
        <f>IF(B$17=0,0,G16/B$17)</f>
        <v>3.125E-2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>IF(P16=0,0,Q16/P16)</f>
        <v>-20.209090909090907</v>
      </c>
      <c r="P16" s="119">
        <v>11</v>
      </c>
      <c r="Q16" s="107">
        <v>-222.29999999999998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0.20382165605095542</v>
      </c>
      <c r="E17" s="63" t="s">
        <v>79</v>
      </c>
      <c r="F17" s="60" t="s">
        <v>34</v>
      </c>
      <c r="G17" s="47">
        <v>1</v>
      </c>
      <c r="H17" s="133">
        <f>IF(B$17=0,0,G17/B$17)</f>
        <v>3.125E-2</v>
      </c>
      <c r="I17" s="94">
        <v>3</v>
      </c>
      <c r="K17" s="38">
        <v>15</v>
      </c>
      <c r="L17" s="99">
        <v>-272.50000000000006</v>
      </c>
      <c r="N17" s="115" t="s">
        <v>179</v>
      </c>
      <c r="O17" s="125">
        <f>IF(P17=0,0,Q17/P17)</f>
        <v>-24.055555555555557</v>
      </c>
      <c r="P17" s="119">
        <v>9</v>
      </c>
      <c r="Q17" s="107">
        <v>-216.5</v>
      </c>
    </row>
    <row r="18" spans="1:17" x14ac:dyDescent="0.4">
      <c r="A18" s="55" t="s">
        <v>12</v>
      </c>
      <c r="B18" s="47">
        <v>14</v>
      </c>
      <c r="C18" s="39">
        <f>IF(B$17=0,0,B18/B$17)</f>
        <v>0.4375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-320.30000000000007</v>
      </c>
      <c r="N18" s="115" t="s">
        <v>180</v>
      </c>
      <c r="O18" s="125">
        <f>IF(P18=0,0,Q18/P18)</f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18</v>
      </c>
      <c r="C19" s="39">
        <f>IF(B$17=0,0,B19/B$17)</f>
        <v>0.5625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-352.60000000000008</v>
      </c>
      <c r="N19" s="115" t="s">
        <v>127</v>
      </c>
      <c r="O19" s="125">
        <f>IF(P19=0,0,Q19/P19)</f>
        <v>-47.199999999999996</v>
      </c>
      <c r="P19" s="119">
        <v>6</v>
      </c>
      <c r="Q19" s="107">
        <v>-283.2</v>
      </c>
    </row>
    <row r="20" spans="1:17" x14ac:dyDescent="0.4">
      <c r="A20" s="55" t="s">
        <v>13</v>
      </c>
      <c r="B20" s="47">
        <v>34</v>
      </c>
      <c r="C20" s="39">
        <f>IF(B$3=0,0,B20/B$3)</f>
        <v>0.21656050955414013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-355.50000000000006</v>
      </c>
      <c r="N20" s="115" t="s">
        <v>128</v>
      </c>
      <c r="O20" s="125">
        <f>IF(P20=0,0,Q20/P20)</f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-400.60000000000008</v>
      </c>
      <c r="N21" s="115" t="s">
        <v>182</v>
      </c>
      <c r="O21" s="125">
        <f>IF(P21=0,0,Q21/P21)</f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8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-428.10000000000008</v>
      </c>
      <c r="N22" s="115" t="s">
        <v>196</v>
      </c>
      <c r="O22" s="125">
        <f>IF(P22=0,0,Q22/P22)</f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7496.875</v>
      </c>
      <c r="C23" s="41">
        <v>239900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-9173.5294117647063</v>
      </c>
      <c r="C24" s="45">
        <v>-311900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142</v>
      </c>
      <c r="B27" s="65">
        <v>1</v>
      </c>
      <c r="C27" s="42">
        <f>IF(B$3=0,0,B27/B$3)</f>
        <v>6.369426751592357E-3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C22D4-40AF-4753-964A-7FFD72604F4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9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4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5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9CA8-6A20-43DD-A406-767E527E30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>IF(B$17=0,0,G2/B$17)</f>
        <v>0.73333333333333328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>IF(B$17=0,0,G3/B$17)</f>
        <v>0.53333333333333333</v>
      </c>
      <c r="I3" s="94">
        <v>3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>IF(B$17=0,0,G4/B$17)</f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>IF(B$17=0,0,G6/B$17)</f>
        <v>0.33333333333333331</v>
      </c>
      <c r="I6" s="94">
        <v>7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66</v>
      </c>
      <c r="F7" s="60" t="s">
        <v>22</v>
      </c>
      <c r="G7" s="47">
        <v>3</v>
      </c>
      <c r="H7" s="133">
        <f>IF(B$17=0,0,G7/B$17)</f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3</v>
      </c>
      <c r="H8" s="133">
        <f>IF(B$17=0,0,G8/B$17)</f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90</v>
      </c>
      <c r="F9" s="60" t="s">
        <v>45</v>
      </c>
      <c r="G9" s="47">
        <v>2</v>
      </c>
      <c r="H9" s="133">
        <f>IF(B$17=0,0,G9/B$17)</f>
        <v>0.13333333333333333</v>
      </c>
      <c r="I9" s="94">
        <v>4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70</v>
      </c>
      <c r="F10" s="60" t="s">
        <v>25</v>
      </c>
      <c r="G10" s="47">
        <v>1</v>
      </c>
      <c r="H10" s="133">
        <f>IF(B$17=0,0,G10/B$17)</f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71</v>
      </c>
      <c r="F11" s="60" t="s">
        <v>26</v>
      </c>
      <c r="G11" s="47">
        <v>1</v>
      </c>
      <c r="H11" s="133">
        <f>IF(B$17=0,0,G11/B$17)</f>
        <v>6.6666666666666666E-2</v>
      </c>
      <c r="I11" s="94">
        <v>6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1</v>
      </c>
      <c r="H12" s="133">
        <f>IF(B$17=0,0,G12/B$17)</f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>IF(B$17=0,0,G13/B$17)</f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>IF(B$17=0,0,G14/B$17)</f>
        <v>6.6666666666666666E-2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>IF(B$17=0,0,G15/B$17)</f>
        <v>6.6666666666666666E-2</v>
      </c>
      <c r="I15" s="94">
        <v>1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5</v>
      </c>
      <c r="N18" s="115" t="s">
        <v>179</v>
      </c>
      <c r="O18" s="125">
        <f>IF(P18=0,0,Q18/P18)</f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178</v>
      </c>
      <c r="O19" s="125">
        <f>IF(P19=0,0,Q19/P19)</f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128</v>
      </c>
      <c r="O20" s="125">
        <f>IF(P20=0,0,Q20/P20)</f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3">
    <sortCondition descending="1" ref="H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17208-D0F4-49E8-B51C-1120F0C58F4F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95DE-C806-4E35-B58B-E0C4F93AEA90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A409-B72A-4FAF-AA5D-10CC8C845EE3}">
  <sheetPr codeName="Sheet2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  <row r="19" spans="1:17" x14ac:dyDescent="0.4">
      <c r="A19" s="69">
        <v>16</v>
      </c>
      <c r="B19" s="66">
        <v>-320.30000000000007</v>
      </c>
      <c r="C19" s="66">
        <v>-20.018750000000004</v>
      </c>
      <c r="D19" s="71">
        <v>2.5</v>
      </c>
      <c r="E19" s="67">
        <v>6.25E-2</v>
      </c>
      <c r="F19" s="67">
        <v>0.5625</v>
      </c>
      <c r="G19" s="67">
        <v>0.21875</v>
      </c>
      <c r="H19" s="67">
        <v>0.21875</v>
      </c>
      <c r="I19" s="68">
        <v>7917.8571428571431</v>
      </c>
      <c r="J19" s="68">
        <v>-9821.4285714285706</v>
      </c>
      <c r="K19" s="67">
        <v>0.25</v>
      </c>
      <c r="L19" s="67">
        <v>6.25E-2</v>
      </c>
      <c r="M19" s="67">
        <v>0.2421875</v>
      </c>
      <c r="N19" s="67">
        <v>0.234375</v>
      </c>
      <c r="O19" s="67">
        <v>0.5161290322580645</v>
      </c>
      <c r="P19" s="67">
        <v>0.33333333333333331</v>
      </c>
      <c r="Q19" s="67">
        <v>0.5</v>
      </c>
    </row>
    <row r="20" spans="1:17" x14ac:dyDescent="0.4">
      <c r="A20" s="69">
        <v>17</v>
      </c>
      <c r="B20" s="66">
        <v>-352.60000000000008</v>
      </c>
      <c r="C20" s="66">
        <v>-20.74117647058824</v>
      </c>
      <c r="D20" s="71">
        <v>2.5294117647058822</v>
      </c>
      <c r="E20" s="67">
        <v>5.8823529411764705E-2</v>
      </c>
      <c r="F20" s="67">
        <v>0.58823529411764708</v>
      </c>
      <c r="G20" s="67">
        <v>0.22058823529411764</v>
      </c>
      <c r="H20" s="67">
        <v>0.22794117647058823</v>
      </c>
      <c r="I20" s="68">
        <v>7876.666666666667</v>
      </c>
      <c r="J20" s="68">
        <v>-9593.5483870967746</v>
      </c>
      <c r="K20" s="67">
        <v>0.23529411764705882</v>
      </c>
      <c r="L20" s="67">
        <v>5.8823529411764705E-2</v>
      </c>
      <c r="M20" s="67">
        <v>0.23529411764705882</v>
      </c>
      <c r="N20" s="67">
        <v>0.22794117647058823</v>
      </c>
      <c r="O20" s="67">
        <v>0.53125</v>
      </c>
      <c r="P20" s="67">
        <v>0.32258064516129031</v>
      </c>
      <c r="Q20" s="67">
        <v>0.46666666666666667</v>
      </c>
    </row>
    <row r="21" spans="1:17" x14ac:dyDescent="0.4">
      <c r="A21" s="69">
        <v>18</v>
      </c>
      <c r="B21" s="66">
        <v>-355.50000000000006</v>
      </c>
      <c r="C21" s="66">
        <v>-19.750000000000004</v>
      </c>
      <c r="D21" s="71">
        <v>2.5</v>
      </c>
      <c r="E21" s="67">
        <v>5.5555555555555552E-2</v>
      </c>
      <c r="F21" s="67">
        <v>0.55555555555555558</v>
      </c>
      <c r="G21" s="67">
        <v>0.22377622377622378</v>
      </c>
      <c r="H21" s="67">
        <v>0.21678321678321677</v>
      </c>
      <c r="I21" s="68">
        <v>7496.875</v>
      </c>
      <c r="J21" s="68">
        <v>-9593.5483870967746</v>
      </c>
      <c r="K21" s="67">
        <v>0.22222222222222221</v>
      </c>
      <c r="L21" s="67">
        <v>5.5555555555555552E-2</v>
      </c>
      <c r="M21" s="67">
        <v>0.23076923076923078</v>
      </c>
      <c r="N21" s="67">
        <v>0.23076923076923078</v>
      </c>
      <c r="O21" s="67">
        <v>0.51515151515151514</v>
      </c>
      <c r="P21" s="67">
        <v>0.33333333333333331</v>
      </c>
      <c r="Q21" s="67">
        <v>0.4375</v>
      </c>
    </row>
    <row r="22" spans="1:17" x14ac:dyDescent="0.4">
      <c r="A22" s="69">
        <v>19</v>
      </c>
      <c r="B22" s="66">
        <v>-400.60000000000008</v>
      </c>
      <c r="C22" s="66">
        <v>-21.084210526315793</v>
      </c>
      <c r="D22" s="71">
        <v>2.5263157894736841</v>
      </c>
      <c r="E22" s="67">
        <v>5.2631578947368418E-2</v>
      </c>
      <c r="F22" s="67">
        <v>0.57894736842105265</v>
      </c>
      <c r="G22" s="67">
        <v>0.2119205298013245</v>
      </c>
      <c r="H22" s="67">
        <v>0.2251655629139073</v>
      </c>
      <c r="I22" s="68">
        <v>7496.875</v>
      </c>
      <c r="J22" s="68">
        <v>-9173.5294117647063</v>
      </c>
      <c r="K22" s="67">
        <v>0.26315789473684209</v>
      </c>
      <c r="L22" s="67">
        <v>5.2631578947368418E-2</v>
      </c>
      <c r="M22" s="67">
        <v>0.2185430463576159</v>
      </c>
      <c r="N22" s="67">
        <v>0.2185430463576159</v>
      </c>
      <c r="O22" s="67">
        <v>0.51515151515151514</v>
      </c>
      <c r="P22" s="67">
        <v>0.33333333333333331</v>
      </c>
      <c r="Q22" s="67">
        <v>0.4375</v>
      </c>
    </row>
    <row r="23" spans="1:17" x14ac:dyDescent="0.4">
      <c r="A23" s="69">
        <v>20</v>
      </c>
      <c r="B23" s="66">
        <v>-428.10000000000008</v>
      </c>
      <c r="C23" s="66">
        <v>-21.405000000000005</v>
      </c>
      <c r="D23" s="71">
        <v>2.5499999999999998</v>
      </c>
      <c r="E23" s="67">
        <v>0.05</v>
      </c>
      <c r="F23" s="67">
        <v>0.6</v>
      </c>
      <c r="G23" s="67">
        <v>0.20382165605095542</v>
      </c>
      <c r="H23" s="67">
        <v>0.21656050955414013</v>
      </c>
      <c r="I23" s="68">
        <v>7496.875</v>
      </c>
      <c r="J23" s="68">
        <v>-9173.5294117647063</v>
      </c>
      <c r="K23" s="67">
        <v>0.25</v>
      </c>
      <c r="L23" s="67">
        <v>0.05</v>
      </c>
      <c r="M23" s="67">
        <v>0.21019108280254778</v>
      </c>
      <c r="N23" s="67">
        <v>0.21019108280254778</v>
      </c>
      <c r="O23" s="67">
        <v>0.51515151515151514</v>
      </c>
      <c r="P23" s="67">
        <v>0.33333333333333331</v>
      </c>
      <c r="Q23" s="67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5586D-877C-44C3-8F43-7E3D4EC3A38C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  <row r="35" spans="1:17" x14ac:dyDescent="0.4">
      <c r="A35" s="69">
        <v>32</v>
      </c>
      <c r="B35" s="66">
        <v>-54.09999999999998</v>
      </c>
      <c r="C35" s="66">
        <v>-1.6906249999999994</v>
      </c>
      <c r="D35" s="71">
        <v>2.125</v>
      </c>
      <c r="E35" s="67">
        <v>0.25</v>
      </c>
      <c r="F35" s="67">
        <v>0.375</v>
      </c>
      <c r="G35" s="67">
        <v>0.27376425855513309</v>
      </c>
      <c r="H35" s="67">
        <v>0.14828897338403041</v>
      </c>
      <c r="I35" s="68">
        <v>8494.4444444444453</v>
      </c>
      <c r="J35" s="68">
        <v>-7305.1282051282051</v>
      </c>
      <c r="K35" s="67">
        <v>0.125</v>
      </c>
      <c r="L35" s="67">
        <v>9.375E-2</v>
      </c>
      <c r="M35" s="67">
        <v>0.2509505703422053</v>
      </c>
      <c r="N35" s="67">
        <v>0.28136882129277568</v>
      </c>
      <c r="O35" s="67">
        <v>0.51515151515151514</v>
      </c>
      <c r="P35" s="67">
        <v>0.40540540540540543</v>
      </c>
      <c r="Q35" s="67">
        <v>0.40277777777777779</v>
      </c>
    </row>
    <row r="36" spans="1:17" x14ac:dyDescent="0.4">
      <c r="A36" s="69">
        <v>33</v>
      </c>
      <c r="B36" s="66">
        <v>-48.899999999999977</v>
      </c>
      <c r="C36" s="66">
        <v>-1.481818181818181</v>
      </c>
      <c r="D36" s="71">
        <v>2.1212121212121211</v>
      </c>
      <c r="E36" s="67">
        <v>0.24242424242424243</v>
      </c>
      <c r="F36" s="67">
        <v>0.36363636363636365</v>
      </c>
      <c r="G36" s="67">
        <v>0.26568265682656828</v>
      </c>
      <c r="H36" s="67">
        <v>0.14391143911439114</v>
      </c>
      <c r="I36" s="68">
        <v>8494.4444444444453</v>
      </c>
      <c r="J36" s="68">
        <v>-7305.1282051282051</v>
      </c>
      <c r="K36" s="67">
        <v>0.12121212121212122</v>
      </c>
      <c r="L36" s="67">
        <v>9.0909090909090912E-2</v>
      </c>
      <c r="M36" s="67">
        <v>0.24723247232472326</v>
      </c>
      <c r="N36" s="67">
        <v>0.28413284132841327</v>
      </c>
      <c r="O36" s="67">
        <v>0.5074626865671642</v>
      </c>
      <c r="P36" s="67">
        <v>0.38961038961038963</v>
      </c>
      <c r="Q36" s="67">
        <v>0.40277777777777779</v>
      </c>
    </row>
    <row r="37" spans="1:17" x14ac:dyDescent="0.4">
      <c r="A37" s="69">
        <v>34</v>
      </c>
      <c r="B37" s="66">
        <v>-63.999999999999979</v>
      </c>
      <c r="C37" s="66">
        <v>-1.8823529411764699</v>
      </c>
      <c r="D37" s="71">
        <v>2.1470588235294117</v>
      </c>
      <c r="E37" s="67">
        <v>0.23529411764705882</v>
      </c>
      <c r="F37" s="67">
        <v>0.38235294117647056</v>
      </c>
      <c r="G37" s="67">
        <v>0.26618705035971224</v>
      </c>
      <c r="H37" s="67">
        <v>0.14388489208633093</v>
      </c>
      <c r="I37" s="68">
        <v>8339.1891891891901</v>
      </c>
      <c r="J37" s="68">
        <v>-7187.5</v>
      </c>
      <c r="K37" s="67">
        <v>0.11764705882352941</v>
      </c>
      <c r="L37" s="67">
        <v>8.8235294117647065E-2</v>
      </c>
      <c r="M37" s="67">
        <v>0.24100719424460432</v>
      </c>
      <c r="N37" s="67">
        <v>0.29136690647482016</v>
      </c>
      <c r="O37" s="67">
        <v>0.5074626865671642</v>
      </c>
      <c r="P37" s="67">
        <v>0.39506172839506171</v>
      </c>
      <c r="Q37" s="67">
        <v>0.40540540540540543</v>
      </c>
    </row>
    <row r="38" spans="1:17" x14ac:dyDescent="0.4">
      <c r="A38" s="69">
        <v>35</v>
      </c>
      <c r="B38" s="66">
        <v>-72.399999999999977</v>
      </c>
      <c r="C38" s="66">
        <v>-2.0685714285714281</v>
      </c>
      <c r="D38" s="71">
        <v>2.1428571428571428</v>
      </c>
      <c r="E38" s="67">
        <v>0.22857142857142856</v>
      </c>
      <c r="F38" s="67">
        <v>0.37142857142857144</v>
      </c>
      <c r="G38" s="67">
        <v>0.26923076923076922</v>
      </c>
      <c r="H38" s="67">
        <v>0.13986013986013987</v>
      </c>
      <c r="I38" s="68">
        <v>8112.9870129870133</v>
      </c>
      <c r="J38" s="68">
        <v>-7187.5</v>
      </c>
      <c r="K38" s="67">
        <v>0.11428571428571428</v>
      </c>
      <c r="L38" s="67">
        <v>8.5714285714285715E-2</v>
      </c>
      <c r="M38" s="67">
        <v>0.23426573426573427</v>
      </c>
      <c r="N38" s="67">
        <v>0.2937062937062937</v>
      </c>
      <c r="O38" s="67">
        <v>0.5074626865671642</v>
      </c>
      <c r="P38" s="67">
        <v>0.40476190476190477</v>
      </c>
      <c r="Q38" s="67">
        <v>0.41558441558441561</v>
      </c>
    </row>
    <row r="39" spans="1:17" x14ac:dyDescent="0.4">
      <c r="A39" s="69">
        <v>36</v>
      </c>
      <c r="B39" s="66">
        <v>-65.399999999999977</v>
      </c>
      <c r="C39" s="66">
        <v>-1.816666666666666</v>
      </c>
      <c r="D39" s="71">
        <v>2.1388888888888888</v>
      </c>
      <c r="E39" s="67">
        <v>0.22222222222222221</v>
      </c>
      <c r="F39" s="67">
        <v>0.3611111111111111</v>
      </c>
      <c r="G39" s="67">
        <v>0.27397260273972601</v>
      </c>
      <c r="H39" s="67">
        <v>0.1404109589041096</v>
      </c>
      <c r="I39" s="68">
        <v>8108.75</v>
      </c>
      <c r="J39" s="68">
        <v>-7207.3170731707314</v>
      </c>
      <c r="K39" s="67">
        <v>0.1111111111111111</v>
      </c>
      <c r="L39" s="67">
        <v>8.3333333333333329E-2</v>
      </c>
      <c r="M39" s="67">
        <v>0.2363013698630137</v>
      </c>
      <c r="N39" s="67">
        <v>0.28767123287671231</v>
      </c>
      <c r="O39" s="67">
        <v>0.52173913043478259</v>
      </c>
      <c r="P39" s="67">
        <v>0.40476190476190477</v>
      </c>
      <c r="Q39" s="67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88E1-EBA2-4471-A54C-0304FFD6C256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  <row r="28" spans="1:17" x14ac:dyDescent="0.4">
      <c r="A28" s="69">
        <v>25</v>
      </c>
      <c r="B28" s="66">
        <v>-37.699999999999974</v>
      </c>
      <c r="C28" s="66">
        <v>-1.5079999999999989</v>
      </c>
      <c r="D28" s="71">
        <v>2</v>
      </c>
      <c r="E28" s="67">
        <v>0.32</v>
      </c>
      <c r="F28" s="67">
        <v>0.32</v>
      </c>
      <c r="G28" s="67">
        <v>0.25380710659898476</v>
      </c>
      <c r="H28" s="67">
        <v>0.16751269035532995</v>
      </c>
      <c r="I28" s="68">
        <v>10744</v>
      </c>
      <c r="J28" s="68">
        <v>-9403.0303030303039</v>
      </c>
      <c r="K28" s="67">
        <v>0.16</v>
      </c>
      <c r="L28" s="67">
        <v>0.2</v>
      </c>
      <c r="M28" s="67">
        <v>0.26903553299492383</v>
      </c>
      <c r="N28" s="67">
        <v>0.22842639593908629</v>
      </c>
      <c r="O28" s="67">
        <v>0.37735849056603776</v>
      </c>
      <c r="P28" s="67">
        <v>0.48888888888888887</v>
      </c>
      <c r="Q28" s="67">
        <v>0.46</v>
      </c>
    </row>
    <row r="29" spans="1:17" x14ac:dyDescent="0.4">
      <c r="A29" s="69">
        <v>26</v>
      </c>
      <c r="B29" s="66">
        <v>-84.999999999999972</v>
      </c>
      <c r="C29" s="66">
        <v>-3.2692307692307683</v>
      </c>
      <c r="D29" s="71">
        <v>2.0384615384615383</v>
      </c>
      <c r="E29" s="67">
        <v>0.30769230769230771</v>
      </c>
      <c r="F29" s="67">
        <v>0.34615384615384615</v>
      </c>
      <c r="G29" s="67">
        <v>0.24752475247524752</v>
      </c>
      <c r="H29" s="67">
        <v>0.17326732673267325</v>
      </c>
      <c r="I29" s="68">
        <v>10744</v>
      </c>
      <c r="J29" s="68">
        <v>-9551.4285714285706</v>
      </c>
      <c r="K29" s="67">
        <v>0.19230769230769232</v>
      </c>
      <c r="L29" s="67">
        <v>0.19230769230769232</v>
      </c>
      <c r="M29" s="67">
        <v>0.2722772277227723</v>
      </c>
      <c r="N29" s="67">
        <v>0.22277227722772278</v>
      </c>
      <c r="O29" s="67">
        <v>0.36363636363636365</v>
      </c>
      <c r="P29" s="67">
        <v>0.48888888888888887</v>
      </c>
      <c r="Q29" s="67">
        <v>0.46</v>
      </c>
    </row>
    <row r="30" spans="1:17" x14ac:dyDescent="0.4">
      <c r="A30" s="69">
        <v>27</v>
      </c>
      <c r="B30" s="66">
        <v>-31.499999999999972</v>
      </c>
      <c r="C30" s="66">
        <v>-1.1666666666666656</v>
      </c>
      <c r="D30" s="71">
        <v>2</v>
      </c>
      <c r="E30" s="67">
        <v>0.33333333333333331</v>
      </c>
      <c r="F30" s="67">
        <v>0.33333333333333331</v>
      </c>
      <c r="G30" s="67">
        <v>0.25714285714285712</v>
      </c>
      <c r="H30" s="67">
        <v>0.16666666666666666</v>
      </c>
      <c r="I30" s="68">
        <v>10811.111111111111</v>
      </c>
      <c r="J30" s="68">
        <v>-9551.4285714285706</v>
      </c>
      <c r="K30" s="67">
        <v>0.18518518518518517</v>
      </c>
      <c r="L30" s="67">
        <v>0.22222222222222221</v>
      </c>
      <c r="M30" s="67">
        <v>0.27619047619047621</v>
      </c>
      <c r="N30" s="67">
        <v>0.21904761904761905</v>
      </c>
      <c r="O30" s="67">
        <v>0.39655172413793105</v>
      </c>
      <c r="P30" s="67">
        <v>0.5</v>
      </c>
      <c r="Q30" s="67">
        <v>0.46296296296296297</v>
      </c>
    </row>
    <row r="31" spans="1:17" x14ac:dyDescent="0.4">
      <c r="A31" s="69">
        <v>28</v>
      </c>
      <c r="B31" s="66">
        <v>-10.999999999999972</v>
      </c>
      <c r="C31" s="66">
        <v>-0.39285714285714185</v>
      </c>
      <c r="D31" s="71">
        <v>1.9642857142857142</v>
      </c>
      <c r="E31" s="67">
        <v>0.35714285714285715</v>
      </c>
      <c r="F31" s="67">
        <v>0.32142857142857145</v>
      </c>
      <c r="G31" s="67">
        <v>0.25925925925925924</v>
      </c>
      <c r="H31" s="67">
        <v>0.16666666666666666</v>
      </c>
      <c r="I31" s="68">
        <v>10853.571428571429</v>
      </c>
      <c r="J31" s="68">
        <v>-9508.3333333333339</v>
      </c>
      <c r="K31" s="67">
        <v>0.17857142857142858</v>
      </c>
      <c r="L31" s="67">
        <v>0.21428571428571427</v>
      </c>
      <c r="M31" s="67">
        <v>0.27777777777777779</v>
      </c>
      <c r="N31" s="67">
        <v>0.21759259259259259</v>
      </c>
      <c r="O31" s="67">
        <v>0.41666666666666669</v>
      </c>
      <c r="P31" s="67">
        <v>0.48936170212765956</v>
      </c>
      <c r="Q31" s="67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D0754-3F0F-4DB0-8B6F-0549B3CF21A7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7AD6-83C4-4080-945C-98AE9745A2E4}">
  <sheetPr codeName="Sheet12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F67C-6B2E-4E39-BDEA-BDB5FB23946B}">
  <sheetPr codeName="Sheet10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  <row r="55" spans="1:17" x14ac:dyDescent="0.4">
      <c r="A55" s="69">
        <v>52</v>
      </c>
      <c r="B55" s="66">
        <v>534.89999999999986</v>
      </c>
      <c r="C55" s="66">
        <v>10.286538461538459</v>
      </c>
      <c r="D55" s="71">
        <v>1.7115384615384615</v>
      </c>
      <c r="E55" s="67">
        <v>0.5</v>
      </c>
      <c r="F55" s="67">
        <v>0.21153846153846154</v>
      </c>
      <c r="G55" s="67">
        <v>0.34741784037558687</v>
      </c>
      <c r="H55" s="67">
        <v>0.13145539906103287</v>
      </c>
      <c r="I55" s="68">
        <v>8003.3783783783783</v>
      </c>
      <c r="J55" s="68">
        <v>-7310.7142857142853</v>
      </c>
      <c r="K55" s="67">
        <v>5.7692307692307696E-2</v>
      </c>
      <c r="L55" s="67">
        <v>0.11538461538461539</v>
      </c>
      <c r="M55" s="67">
        <v>0.25117370892018781</v>
      </c>
      <c r="N55" s="67">
        <v>0.22300469483568075</v>
      </c>
      <c r="O55" s="67">
        <v>0.62616822429906538</v>
      </c>
      <c r="P55" s="67">
        <v>0.55789473684210522</v>
      </c>
      <c r="Q55" s="67">
        <v>0.38513513513513514</v>
      </c>
    </row>
    <row r="56" spans="1:17" x14ac:dyDescent="0.4">
      <c r="A56" s="69">
        <v>53</v>
      </c>
      <c r="B56" s="66">
        <v>539.49999999999989</v>
      </c>
      <c r="C56" s="66">
        <v>10.179245283018865</v>
      </c>
      <c r="D56" s="71">
        <v>1.7169811320754718</v>
      </c>
      <c r="E56" s="67">
        <v>0.49056603773584906</v>
      </c>
      <c r="F56" s="67">
        <v>0.20754716981132076</v>
      </c>
      <c r="G56" s="67">
        <v>0.3480278422273782</v>
      </c>
      <c r="H56" s="67">
        <v>0.13225058004640372</v>
      </c>
      <c r="I56" s="68">
        <v>8030</v>
      </c>
      <c r="J56" s="68">
        <v>-7385.9649122807014</v>
      </c>
      <c r="K56" s="67">
        <v>5.6603773584905662E-2</v>
      </c>
      <c r="L56" s="67">
        <v>0.11320754716981132</v>
      </c>
      <c r="M56" s="67">
        <v>0.25058004640371229</v>
      </c>
      <c r="N56" s="67">
        <v>0.22273781902552203</v>
      </c>
      <c r="O56" s="67">
        <v>0.62962962962962965</v>
      </c>
      <c r="P56" s="67">
        <v>0.55208333333333337</v>
      </c>
      <c r="Q56" s="67">
        <v>0.38666666666666666</v>
      </c>
    </row>
    <row r="57" spans="1:17" x14ac:dyDescent="0.4">
      <c r="A57" s="69">
        <v>54</v>
      </c>
      <c r="B57" s="66">
        <v>566.59999999999991</v>
      </c>
      <c r="C57" s="66">
        <v>10.49259259259259</v>
      </c>
      <c r="D57" s="71">
        <v>1.7037037037037037</v>
      </c>
      <c r="E57" s="67">
        <v>0.5</v>
      </c>
      <c r="F57" s="67">
        <v>0.20370370370370369</v>
      </c>
      <c r="G57" s="67">
        <v>0.35079726651480636</v>
      </c>
      <c r="H57" s="67">
        <v>0.13439635535307518</v>
      </c>
      <c r="I57" s="68">
        <v>8001.2987012987014</v>
      </c>
      <c r="J57" s="68">
        <v>-7383.0508474576272</v>
      </c>
      <c r="K57" s="67">
        <v>5.5555555555555552E-2</v>
      </c>
      <c r="L57" s="67">
        <v>0.1111111111111111</v>
      </c>
      <c r="M57" s="67">
        <v>0.24829157175398633</v>
      </c>
      <c r="N57" s="67">
        <v>0.2255125284738041</v>
      </c>
      <c r="O57" s="67">
        <v>0.6330275229357798</v>
      </c>
      <c r="P57" s="67">
        <v>0.55555555555555558</v>
      </c>
      <c r="Q57" s="67">
        <v>0.38311688311688313</v>
      </c>
    </row>
    <row r="58" spans="1:17" x14ac:dyDescent="0.4">
      <c r="A58" s="69">
        <v>55</v>
      </c>
      <c r="B58" s="66">
        <v>584.59999999999991</v>
      </c>
      <c r="C58" s="66">
        <v>10.629090909090907</v>
      </c>
      <c r="D58" s="71">
        <v>1.6909090909090909</v>
      </c>
      <c r="E58" s="67">
        <v>0.50909090909090904</v>
      </c>
      <c r="F58" s="67">
        <v>0.2</v>
      </c>
      <c r="G58" s="67">
        <v>0.34977578475336324</v>
      </c>
      <c r="H58" s="67">
        <v>0.1367713004484305</v>
      </c>
      <c r="I58" s="68">
        <v>7975.6410256410254</v>
      </c>
      <c r="J58" s="68">
        <v>-7181.9672131147545</v>
      </c>
      <c r="K58" s="67">
        <v>5.4545454545454543E-2</v>
      </c>
      <c r="L58" s="67">
        <v>0.10909090909090909</v>
      </c>
      <c r="M58" s="67">
        <v>0.25112107623318386</v>
      </c>
      <c r="N58" s="67">
        <v>0.22421524663677131</v>
      </c>
      <c r="O58" s="67">
        <v>0.6339285714285714</v>
      </c>
      <c r="P58" s="67">
        <v>0.55000000000000004</v>
      </c>
      <c r="Q58" s="67">
        <v>0.39102564102564102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1589A-C79E-417B-A2B8-81C3A0AA257F}">
  <sheetPr codeName="Sheet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7AB89-8C80-46C3-905A-F0B0CC0083AD}">
  <sheetPr codeName="Sheet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  <row r="85" spans="1:17" x14ac:dyDescent="0.4">
      <c r="A85" s="69">
        <v>82</v>
      </c>
      <c r="B85" s="66">
        <v>-2.8421709430404007E-14</v>
      </c>
      <c r="C85" s="66">
        <v>-1.1553540418863419E-16</v>
      </c>
      <c r="D85" s="71">
        <v>2</v>
      </c>
      <c r="E85" s="67">
        <v>0.33333333333333331</v>
      </c>
      <c r="F85" s="67">
        <v>0.33333333333333331</v>
      </c>
      <c r="G85" s="67">
        <v>0.29414610546686021</v>
      </c>
      <c r="H85" s="67">
        <v>0.17174649250120949</v>
      </c>
      <c r="I85" s="68">
        <v>8288.6513157894733</v>
      </c>
      <c r="J85" s="68">
        <v>-7720.5633802816901</v>
      </c>
      <c r="K85" s="67">
        <v>0.11382113821138211</v>
      </c>
      <c r="L85" s="67">
        <v>0.11382113821138211</v>
      </c>
      <c r="M85" s="67">
        <v>0.24818577648766327</v>
      </c>
      <c r="N85" s="67">
        <v>0.24479922593130141</v>
      </c>
      <c r="O85" s="67">
        <v>0.55165692007797273</v>
      </c>
      <c r="P85" s="67">
        <v>0.42094861660079053</v>
      </c>
      <c r="Q85" s="67">
        <v>0.41282894736842107</v>
      </c>
    </row>
    <row r="86" spans="1:17" x14ac:dyDescent="0.4">
      <c r="A86" s="69">
        <v>83</v>
      </c>
      <c r="B86" s="66">
        <v>-2.1316282072803006E-14</v>
      </c>
      <c r="C86" s="66">
        <v>-8.560755852531328E-17</v>
      </c>
      <c r="D86" s="71">
        <v>2</v>
      </c>
      <c r="E86" s="67">
        <v>0.33333333333333331</v>
      </c>
      <c r="F86" s="67">
        <v>0.33333333333333331</v>
      </c>
      <c r="G86" s="67">
        <v>0.29442843419788667</v>
      </c>
      <c r="H86" s="67">
        <v>0.17195004803073968</v>
      </c>
      <c r="I86" s="68">
        <v>8317.6182707993466</v>
      </c>
      <c r="J86" s="68">
        <v>-7755.3072625698323</v>
      </c>
      <c r="K86" s="67">
        <v>0.11646586345381527</v>
      </c>
      <c r="L86" s="67">
        <v>0.11646586345381527</v>
      </c>
      <c r="M86" s="67">
        <v>0.24831892411143131</v>
      </c>
      <c r="N86" s="67">
        <v>0.24543707973102785</v>
      </c>
      <c r="O86" s="67">
        <v>0.55125725338491294</v>
      </c>
      <c r="P86" s="67">
        <v>0.42074363992172209</v>
      </c>
      <c r="Q86" s="67">
        <v>0.41272430668841764</v>
      </c>
    </row>
    <row r="87" spans="1:17" x14ac:dyDescent="0.4">
      <c r="A87" s="69">
        <v>84</v>
      </c>
      <c r="B87" s="66">
        <v>-1.6875389974302379E-14</v>
      </c>
      <c r="C87" s="66">
        <v>-6.6965833231358645E-17</v>
      </c>
      <c r="D87" s="71">
        <v>2</v>
      </c>
      <c r="E87" s="67">
        <v>0.33333333333333331</v>
      </c>
      <c r="F87" s="67">
        <v>0.33333333333333331</v>
      </c>
      <c r="G87" s="67">
        <v>0.29392212725546057</v>
      </c>
      <c r="H87" s="67">
        <v>0.17236467236467237</v>
      </c>
      <c r="I87" s="68">
        <v>8305.3311793214871</v>
      </c>
      <c r="J87" s="68">
        <v>-7750.4132231404956</v>
      </c>
      <c r="K87" s="67">
        <v>0.11507936507936507</v>
      </c>
      <c r="L87" s="67">
        <v>0.11507936507936507</v>
      </c>
      <c r="M87" s="67">
        <v>0.24691358024691357</v>
      </c>
      <c r="N87" s="67">
        <v>0.24596391263057929</v>
      </c>
      <c r="O87" s="67">
        <v>0.55192307692307696</v>
      </c>
      <c r="P87" s="67">
        <v>0.41891891891891891</v>
      </c>
      <c r="Q87" s="67">
        <v>0.41033925686591277</v>
      </c>
    </row>
    <row r="88" spans="1:17" x14ac:dyDescent="0.4">
      <c r="A88" s="69">
        <v>85</v>
      </c>
      <c r="B88" s="66">
        <v>-1.5987211554602254E-14</v>
      </c>
      <c r="C88" s="66">
        <v>-6.2694947272950016E-17</v>
      </c>
      <c r="D88" s="71">
        <v>2</v>
      </c>
      <c r="E88" s="67">
        <v>0.33333333333333331</v>
      </c>
      <c r="F88" s="67">
        <v>0.33333333333333331</v>
      </c>
      <c r="G88" s="67">
        <v>0.29384109073812881</v>
      </c>
      <c r="H88" s="67">
        <v>0.17207334273624825</v>
      </c>
      <c r="I88" s="68">
        <v>8259.36</v>
      </c>
      <c r="J88" s="68">
        <v>-7700.8196721311479</v>
      </c>
      <c r="K88" s="67">
        <v>0.11372549019607843</v>
      </c>
      <c r="L88" s="67">
        <v>0.11372549019607843</v>
      </c>
      <c r="M88" s="67">
        <v>0.24635637047484721</v>
      </c>
      <c r="N88" s="67">
        <v>0.24682651622002821</v>
      </c>
      <c r="O88" s="67">
        <v>0.55152671755725191</v>
      </c>
      <c r="P88" s="67">
        <v>0.41904761904761906</v>
      </c>
      <c r="Q88" s="67">
        <v>0.41120000000000001</v>
      </c>
    </row>
    <row r="89" spans="1:17" x14ac:dyDescent="0.4">
      <c r="A89" s="69">
        <v>86</v>
      </c>
      <c r="B89" s="66">
        <v>-1.5987211554602254E-14</v>
      </c>
      <c r="C89" s="66">
        <v>-6.1965936258148271E-17</v>
      </c>
      <c r="D89" s="71">
        <v>2</v>
      </c>
      <c r="E89" s="67">
        <v>0.33333333333333331</v>
      </c>
      <c r="F89" s="67">
        <v>0.33333333333333331</v>
      </c>
      <c r="G89" s="67">
        <v>0.29381682938168296</v>
      </c>
      <c r="H89" s="67">
        <v>0.17154811715481172</v>
      </c>
      <c r="I89" s="68">
        <v>8253.6392405063289</v>
      </c>
      <c r="J89" s="68">
        <v>-7677.5067750677508</v>
      </c>
      <c r="K89" s="67">
        <v>0.11627906976744186</v>
      </c>
      <c r="L89" s="67">
        <v>0.11627906976744186</v>
      </c>
      <c r="M89" s="67">
        <v>0.24500232450023246</v>
      </c>
      <c r="N89" s="67">
        <v>0.24593212459321245</v>
      </c>
      <c r="O89" s="67">
        <v>0.5540796963946869</v>
      </c>
      <c r="P89" s="67">
        <v>0.42155009451795838</v>
      </c>
      <c r="Q89" s="67">
        <v>0.41297468354430378</v>
      </c>
    </row>
    <row r="90" spans="1:17" x14ac:dyDescent="0.4">
      <c r="A90" s="69">
        <v>87</v>
      </c>
      <c r="B90" s="66">
        <v>-1.4210854715202004E-14</v>
      </c>
      <c r="C90" s="66">
        <v>-5.4447719215333345E-17</v>
      </c>
      <c r="D90" s="71">
        <v>2</v>
      </c>
      <c r="E90" s="67">
        <v>0.33333333333333331</v>
      </c>
      <c r="F90" s="67">
        <v>0.33333333333333331</v>
      </c>
      <c r="G90" s="67">
        <v>0.29368372521899494</v>
      </c>
      <c r="H90" s="67">
        <v>0.17104656523743661</v>
      </c>
      <c r="I90" s="68">
        <v>8264.2072213500778</v>
      </c>
      <c r="J90" s="68">
        <v>-7679.2452830188677</v>
      </c>
      <c r="K90" s="67">
        <v>0.11494252873563218</v>
      </c>
      <c r="L90" s="67">
        <v>0.11494252873563218</v>
      </c>
      <c r="M90" s="67">
        <v>0.24481327800829875</v>
      </c>
      <c r="N90" s="67">
        <v>0.24435223605348086</v>
      </c>
      <c r="O90" s="67">
        <v>0.55743879472693036</v>
      </c>
      <c r="P90" s="67">
        <v>0.42075471698113209</v>
      </c>
      <c r="Q90" s="67">
        <v>0.41444270015698587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2019-10-14T11:53:17Z</dcterms:modified>
</cp:coreProperties>
</file>