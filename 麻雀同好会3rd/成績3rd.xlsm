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8C1908D-475C-47AA-AA12-65E8F62CD2E2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771" r:id="rId6"/>
    <sheet name="たかの" sheetId="5773" r:id="rId7"/>
    <sheet name="だいち" sheetId="5775" r:id="rId8"/>
    <sheet name="ただ" sheetId="5777" r:id="rId9"/>
    <sheet name="りくと" sheetId="5779" r:id="rId10"/>
    <sheet name="れんたろう" sheetId="5781" r:id="rId11"/>
    <sheet name="まっつん" sheetId="5783" r:id="rId12"/>
    <sheet name="のり" sheetId="5785" r:id="rId13"/>
    <sheet name="ぱぱ" sheetId="5787" r:id="rId14"/>
    <sheet name="ほたに" sheetId="5789" r:id="rId15"/>
    <sheet name="ほたに2" sheetId="5790" state="hidden" r:id="rId16"/>
    <sheet name="ぱぱ2" sheetId="5788" state="hidden" r:id="rId17"/>
    <sheet name="のり2" sheetId="5786" state="hidden" r:id="rId18"/>
    <sheet name="まっつん2" sheetId="5784" state="hidden" r:id="rId19"/>
    <sheet name="れんたろう2" sheetId="5782" state="hidden" r:id="rId20"/>
    <sheet name="りくと2" sheetId="5780" state="hidden" r:id="rId21"/>
    <sheet name="ただ2" sheetId="5778" state="hidden" r:id="rId22"/>
    <sheet name="だいち2" sheetId="5776" state="hidden" r:id="rId23"/>
    <sheet name="たかの2" sheetId="5774" state="hidden" r:id="rId24"/>
    <sheet name="全体2" sheetId="577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81" l="1"/>
  <c r="O19" i="5789"/>
  <c r="O15" i="5779" l="1"/>
  <c r="O18" i="5785"/>
  <c r="O16" i="5789" l="1"/>
  <c r="O22" i="5779"/>
  <c r="O20" i="5773" l="1"/>
  <c r="O16" i="5775"/>
  <c r="O15" i="5785"/>
  <c r="O19" i="5785"/>
  <c r="O20" i="5783" l="1"/>
  <c r="O18" i="5787"/>
  <c r="O16" i="5777" l="1"/>
  <c r="O17" i="5783"/>
  <c r="O20" i="5785"/>
  <c r="O17" i="5785"/>
  <c r="O18" i="5773" l="1"/>
  <c r="O19" i="5787"/>
  <c r="O20" i="5787"/>
  <c r="O18" i="5779"/>
  <c r="O18" i="5777" l="1"/>
  <c r="O20" i="5781"/>
  <c r="O19" i="5781" l="1"/>
  <c r="O20" i="5775"/>
  <c r="O22" i="5785"/>
  <c r="O17" i="5789"/>
  <c r="O15" i="5789"/>
  <c r="O21" i="5787"/>
  <c r="O15" i="5777" l="1"/>
  <c r="O17" i="5777"/>
  <c r="O18" i="5789"/>
  <c r="O20" i="5789"/>
  <c r="C29" i="5789"/>
  <c r="B26" i="5789"/>
  <c r="B24" i="5789"/>
  <c r="C20" i="5789"/>
  <c r="B17" i="5789"/>
  <c r="H50" i="5789" s="1"/>
  <c r="C16" i="5789"/>
  <c r="C15" i="5789"/>
  <c r="C14" i="5789"/>
  <c r="C13" i="5789"/>
  <c r="O12" i="5789"/>
  <c r="C12" i="5789"/>
  <c r="O11" i="5789"/>
  <c r="C11" i="5789"/>
  <c r="O10" i="5789"/>
  <c r="C10" i="5789"/>
  <c r="C9" i="5789"/>
  <c r="C8" i="5789"/>
  <c r="O7" i="5789"/>
  <c r="C7" i="5789"/>
  <c r="O6" i="5789"/>
  <c r="B6" i="5789"/>
  <c r="O5" i="5789"/>
  <c r="B5" i="5789"/>
  <c r="O4" i="5789"/>
  <c r="O3" i="5789"/>
  <c r="O2" i="5789"/>
  <c r="O22" i="5783"/>
  <c r="O15" i="5783"/>
  <c r="O16" i="5771"/>
  <c r="H19" i="5789" l="1"/>
  <c r="B23" i="5789"/>
  <c r="H9" i="5789"/>
  <c r="H39" i="5789"/>
  <c r="H11" i="5789"/>
  <c r="C17" i="5789"/>
  <c r="H16" i="5789"/>
  <c r="H31" i="5789"/>
  <c r="H47" i="5789"/>
  <c r="H4" i="5789"/>
  <c r="H43" i="5789"/>
  <c r="H2" i="5789"/>
  <c r="C18" i="5789"/>
  <c r="B25" i="5789"/>
  <c r="H3" i="5789"/>
  <c r="H5" i="5789"/>
  <c r="H21" i="5789"/>
  <c r="H35" i="5789"/>
  <c r="H51" i="5789"/>
  <c r="H22" i="5789"/>
  <c r="H24" i="5789"/>
  <c r="H26" i="5789"/>
  <c r="H27" i="5789"/>
  <c r="H29" i="5789"/>
  <c r="H32" i="5789"/>
  <c r="H36" i="5789"/>
  <c r="H40" i="5789"/>
  <c r="H44" i="5789"/>
  <c r="H48" i="5789"/>
  <c r="H6" i="5789"/>
  <c r="H10" i="5789"/>
  <c r="H18" i="5789"/>
  <c r="H20" i="5789"/>
  <c r="C19" i="5789"/>
  <c r="H14" i="5789"/>
  <c r="H33" i="5789"/>
  <c r="H37" i="5789"/>
  <c r="H41" i="5789"/>
  <c r="H45" i="5789"/>
  <c r="H49" i="5789"/>
  <c r="H52" i="5789"/>
  <c r="H7" i="5789"/>
  <c r="H8" i="5789"/>
  <c r="H12" i="5789"/>
  <c r="H17" i="5789"/>
  <c r="H13" i="5789"/>
  <c r="H23" i="5789"/>
  <c r="H25" i="5789"/>
  <c r="H15" i="5789"/>
  <c r="H28" i="5789"/>
  <c r="H30" i="5789"/>
  <c r="H34" i="5789"/>
  <c r="H38" i="5789"/>
  <c r="H42" i="5789"/>
  <c r="H46" i="5789"/>
  <c r="O18" i="5775" l="1"/>
  <c r="O19" i="5779"/>
  <c r="O17" i="5775" l="1"/>
  <c r="O18" i="5783"/>
  <c r="O21" i="5783"/>
  <c r="O15" i="5773"/>
  <c r="O19" i="5777"/>
  <c r="O16" i="5779"/>
  <c r="O17" i="5779"/>
  <c r="O19" i="5773"/>
  <c r="O22" i="5777"/>
  <c r="O15" i="5775"/>
  <c r="O17" i="5787"/>
  <c r="O22" i="5787"/>
  <c r="O21" i="5781" l="1"/>
  <c r="O17" i="5781"/>
  <c r="O16" i="5787"/>
  <c r="O15" i="5787"/>
  <c r="C29" i="5787"/>
  <c r="B26" i="5787"/>
  <c r="B24" i="5787"/>
  <c r="C20" i="5787"/>
  <c r="B17" i="5787"/>
  <c r="H5" i="5787" s="1"/>
  <c r="C16" i="5787"/>
  <c r="C15" i="5787"/>
  <c r="C14" i="5787"/>
  <c r="C13" i="5787"/>
  <c r="O12" i="5787"/>
  <c r="C12" i="5787"/>
  <c r="O11" i="5787"/>
  <c r="C11" i="5787"/>
  <c r="O10" i="5787"/>
  <c r="C10" i="5787"/>
  <c r="C9" i="5787"/>
  <c r="C8" i="5787"/>
  <c r="O7" i="5787"/>
  <c r="C7" i="5787"/>
  <c r="O6" i="5787"/>
  <c r="B6" i="5787"/>
  <c r="O5" i="5787"/>
  <c r="B5" i="5787"/>
  <c r="O4" i="5787"/>
  <c r="O3" i="5787"/>
  <c r="O2" i="5787"/>
  <c r="O15" i="5771"/>
  <c r="O16" i="5785"/>
  <c r="O21" i="5785"/>
  <c r="C29" i="5785"/>
  <c r="B26" i="5785"/>
  <c r="B24" i="5785"/>
  <c r="C20" i="5785"/>
  <c r="B17" i="5785"/>
  <c r="H50" i="5785" s="1"/>
  <c r="H17" i="5785"/>
  <c r="C16" i="5785"/>
  <c r="C15" i="5785"/>
  <c r="C14" i="5785"/>
  <c r="C13" i="5785"/>
  <c r="O12" i="5785"/>
  <c r="C12" i="5785"/>
  <c r="O11" i="5785"/>
  <c r="C11" i="5785"/>
  <c r="O10" i="5785"/>
  <c r="C10" i="5785"/>
  <c r="C9" i="5785"/>
  <c r="C8" i="5785"/>
  <c r="O7" i="5785"/>
  <c r="C7" i="5785"/>
  <c r="O6" i="5785"/>
  <c r="B6" i="5785"/>
  <c r="O5" i="5785"/>
  <c r="B5" i="5785"/>
  <c r="O4" i="5785"/>
  <c r="O3" i="5785"/>
  <c r="O2" i="5785"/>
  <c r="O23" i="5771"/>
  <c r="H4" i="5785" l="1"/>
  <c r="H20" i="5785"/>
  <c r="H6" i="5787"/>
  <c r="H2" i="5787"/>
  <c r="H3" i="5787"/>
  <c r="H9" i="5787"/>
  <c r="H2" i="5785"/>
  <c r="H3" i="5785"/>
  <c r="H11" i="5785"/>
  <c r="C18" i="5785"/>
  <c r="H18" i="5785"/>
  <c r="C19" i="5787"/>
  <c r="H27" i="5787"/>
  <c r="H28" i="5787"/>
  <c r="H34" i="5787"/>
  <c r="H42" i="5787"/>
  <c r="H50" i="5787"/>
  <c r="H8" i="5787"/>
  <c r="H14" i="5787"/>
  <c r="H21" i="5787"/>
  <c r="C17" i="5787"/>
  <c r="H15" i="5787"/>
  <c r="H37" i="5787"/>
  <c r="H45" i="5787"/>
  <c r="H52" i="5787"/>
  <c r="H11" i="5787"/>
  <c r="H4" i="5787"/>
  <c r="H10" i="5787"/>
  <c r="H19" i="5787"/>
  <c r="H23" i="5787"/>
  <c r="H12" i="5787"/>
  <c r="H30" i="5787"/>
  <c r="H38" i="5787"/>
  <c r="H46" i="5787"/>
  <c r="H7" i="5787"/>
  <c r="H18" i="5787"/>
  <c r="H20" i="5787"/>
  <c r="H22" i="5787"/>
  <c r="C18" i="5787"/>
  <c r="H26" i="5787"/>
  <c r="H33" i="5787"/>
  <c r="H41" i="5787"/>
  <c r="H49" i="5787"/>
  <c r="B23" i="5787"/>
  <c r="B25" i="5787"/>
  <c r="H13" i="5787"/>
  <c r="H31" i="5787"/>
  <c r="H35" i="5787"/>
  <c r="H39" i="5787"/>
  <c r="H43" i="5787"/>
  <c r="H47" i="5787"/>
  <c r="H51" i="5787"/>
  <c r="H24" i="5787"/>
  <c r="H25" i="5787"/>
  <c r="H16" i="5787"/>
  <c r="H17" i="5787"/>
  <c r="H29" i="5787"/>
  <c r="H32" i="5787"/>
  <c r="H36" i="5787"/>
  <c r="H40" i="5787"/>
  <c r="H44" i="5787"/>
  <c r="H48" i="5787"/>
  <c r="H35" i="5785"/>
  <c r="H5" i="5785"/>
  <c r="C17" i="5785"/>
  <c r="B25" i="5785"/>
  <c r="H43" i="5785"/>
  <c r="H47" i="5785"/>
  <c r="H31" i="5785"/>
  <c r="H51" i="5785"/>
  <c r="B23" i="5785"/>
  <c r="H14" i="5785"/>
  <c r="H39" i="5785"/>
  <c r="H23" i="5785"/>
  <c r="H24" i="5785"/>
  <c r="H26" i="5785"/>
  <c r="H27" i="5785"/>
  <c r="H29" i="5785"/>
  <c r="H32" i="5785"/>
  <c r="H36" i="5785"/>
  <c r="H40" i="5785"/>
  <c r="H44" i="5785"/>
  <c r="H48" i="5785"/>
  <c r="H6" i="5785"/>
  <c r="H15" i="5785"/>
  <c r="H19" i="5785"/>
  <c r="H21" i="5785"/>
  <c r="C19" i="5785"/>
  <c r="H10" i="5785"/>
  <c r="H33" i="5785"/>
  <c r="H37" i="5785"/>
  <c r="H41" i="5785"/>
  <c r="H45" i="5785"/>
  <c r="H49" i="5785"/>
  <c r="H52" i="5785"/>
  <c r="H8" i="5785"/>
  <c r="H7" i="5785"/>
  <c r="H9" i="5785"/>
  <c r="H16" i="5785"/>
  <c r="H22" i="5785"/>
  <c r="H12" i="5785"/>
  <c r="H25" i="5785"/>
  <c r="H13" i="5785"/>
  <c r="H28" i="5785"/>
  <c r="H30" i="5785"/>
  <c r="H34" i="5785"/>
  <c r="H38" i="5785"/>
  <c r="H42" i="5785"/>
  <c r="H46" i="5785"/>
  <c r="O19" i="5783" l="1"/>
  <c r="O16" i="5783"/>
  <c r="C29" i="5783"/>
  <c r="B26" i="5783"/>
  <c r="B24" i="5783"/>
  <c r="C20" i="5783"/>
  <c r="B17" i="5783"/>
  <c r="H52" i="5783" s="1"/>
  <c r="C16" i="5783"/>
  <c r="C15" i="5783"/>
  <c r="C14" i="5783"/>
  <c r="C13" i="5783"/>
  <c r="O12" i="5783"/>
  <c r="C12" i="5783"/>
  <c r="O11" i="5783"/>
  <c r="C11" i="5783"/>
  <c r="O10" i="5783"/>
  <c r="C10" i="5783"/>
  <c r="C9" i="5783"/>
  <c r="C8" i="5783"/>
  <c r="O7" i="5783"/>
  <c r="C7" i="5783"/>
  <c r="O6" i="5783"/>
  <c r="B6" i="5783"/>
  <c r="O5" i="5783"/>
  <c r="B5" i="5783"/>
  <c r="O4" i="5783"/>
  <c r="O3" i="5783"/>
  <c r="O2" i="5783"/>
  <c r="O16" i="5781"/>
  <c r="O18" i="5781"/>
  <c r="C29" i="5781"/>
  <c r="B26" i="5781"/>
  <c r="B24" i="5781"/>
  <c r="C20" i="5781"/>
  <c r="B17" i="5781"/>
  <c r="H50" i="5781" s="1"/>
  <c r="C16" i="5781"/>
  <c r="C15" i="5781"/>
  <c r="C14" i="5781"/>
  <c r="C13" i="5781"/>
  <c r="O12" i="5781"/>
  <c r="C12" i="5781"/>
  <c r="O11" i="5781"/>
  <c r="C11" i="5781"/>
  <c r="O10" i="5781"/>
  <c r="C10" i="5781"/>
  <c r="C9" i="5781"/>
  <c r="C8" i="5781"/>
  <c r="O7" i="5781"/>
  <c r="C7" i="5781"/>
  <c r="O6" i="5781"/>
  <c r="B6" i="5781"/>
  <c r="O5" i="5781"/>
  <c r="B5" i="5781"/>
  <c r="O4" i="5781"/>
  <c r="O3" i="5781"/>
  <c r="O2" i="5781"/>
  <c r="O17" i="5771"/>
  <c r="O21" i="5779"/>
  <c r="O20" i="5779"/>
  <c r="C29" i="5779"/>
  <c r="B26" i="5779"/>
  <c r="B24" i="5779"/>
  <c r="C20" i="5779"/>
  <c r="B17" i="5779"/>
  <c r="H5" i="5779" s="1"/>
  <c r="C16" i="5779"/>
  <c r="C15" i="5779"/>
  <c r="C14" i="5779"/>
  <c r="C13" i="5779"/>
  <c r="O12" i="5779"/>
  <c r="C12" i="5779"/>
  <c r="O11" i="5779"/>
  <c r="C11" i="5779"/>
  <c r="O10" i="5779"/>
  <c r="C10" i="5779"/>
  <c r="C9" i="5779"/>
  <c r="C8" i="5779"/>
  <c r="O7" i="5779"/>
  <c r="C7" i="5779"/>
  <c r="O6" i="5779"/>
  <c r="B6" i="5779"/>
  <c r="O5" i="5779"/>
  <c r="B5" i="5779"/>
  <c r="O4" i="5779"/>
  <c r="O3" i="5779"/>
  <c r="O2" i="5779"/>
  <c r="O19" i="5771"/>
  <c r="O20" i="5771"/>
  <c r="H11" i="5783" l="1"/>
  <c r="H6" i="5783"/>
  <c r="H24" i="5783"/>
  <c r="H22" i="5779"/>
  <c r="H13" i="5779"/>
  <c r="H3" i="5779"/>
  <c r="H23" i="5779"/>
  <c r="H38" i="5779"/>
  <c r="H6" i="5779"/>
  <c r="H2" i="5779"/>
  <c r="H15" i="5779"/>
  <c r="H52" i="5779"/>
  <c r="H10" i="5779"/>
  <c r="H7" i="5779"/>
  <c r="H21" i="5779"/>
  <c r="C18" i="5779"/>
  <c r="H9" i="5779"/>
  <c r="H4" i="5779"/>
  <c r="C19" i="5779"/>
  <c r="H13" i="5781"/>
  <c r="H4" i="5781"/>
  <c r="B23" i="5783"/>
  <c r="H8" i="5783"/>
  <c r="H41" i="5783"/>
  <c r="C18" i="5783"/>
  <c r="H48" i="5783"/>
  <c r="C17" i="5783"/>
  <c r="H44" i="5783"/>
  <c r="H3" i="5783"/>
  <c r="H21" i="5783"/>
  <c r="B25" i="5783"/>
  <c r="H33" i="5783"/>
  <c r="H4" i="5783"/>
  <c r="H2" i="5783"/>
  <c r="H16" i="5783"/>
  <c r="H37" i="5783"/>
  <c r="H20" i="5783"/>
  <c r="H26" i="5783"/>
  <c r="H17" i="5783"/>
  <c r="H32" i="5783"/>
  <c r="H38" i="5783"/>
  <c r="H19" i="5783"/>
  <c r="H49" i="5783"/>
  <c r="H10" i="5783"/>
  <c r="H7" i="5783"/>
  <c r="H14" i="5783"/>
  <c r="H22" i="5783"/>
  <c r="H12" i="5783"/>
  <c r="H27" i="5783"/>
  <c r="H29" i="5783"/>
  <c r="H15" i="5783"/>
  <c r="H31" i="5783"/>
  <c r="H18" i="5783"/>
  <c r="H36" i="5783"/>
  <c r="H40" i="5783"/>
  <c r="H43" i="5783"/>
  <c r="H47" i="5783"/>
  <c r="H51" i="5783"/>
  <c r="H28" i="5783"/>
  <c r="H30" i="5783"/>
  <c r="H34" i="5783"/>
  <c r="H45" i="5783"/>
  <c r="H5" i="5783"/>
  <c r="H9" i="5783"/>
  <c r="H23" i="5783"/>
  <c r="H25" i="5783"/>
  <c r="C19" i="5783"/>
  <c r="H13" i="5783"/>
  <c r="H35" i="5783"/>
  <c r="H39" i="5783"/>
  <c r="H42" i="5783"/>
  <c r="H46" i="5783"/>
  <c r="H50" i="5783"/>
  <c r="C17" i="5781"/>
  <c r="H2" i="5781"/>
  <c r="H22" i="5781"/>
  <c r="H43" i="5781"/>
  <c r="B23" i="5781"/>
  <c r="H8" i="5781"/>
  <c r="H39" i="5781"/>
  <c r="H20" i="5781"/>
  <c r="C18" i="5781"/>
  <c r="B25" i="5781"/>
  <c r="H12" i="5781"/>
  <c r="H47" i="5781"/>
  <c r="H5" i="5781"/>
  <c r="H3" i="5781"/>
  <c r="H24" i="5781"/>
  <c r="H35" i="5781"/>
  <c r="H51" i="5781"/>
  <c r="H26" i="5781"/>
  <c r="H27" i="5781"/>
  <c r="H18" i="5781"/>
  <c r="H29" i="5781"/>
  <c r="H31" i="5781"/>
  <c r="H32" i="5781"/>
  <c r="H36" i="5781"/>
  <c r="H40" i="5781"/>
  <c r="H44" i="5781"/>
  <c r="H48" i="5781"/>
  <c r="H7" i="5781"/>
  <c r="H9" i="5781"/>
  <c r="H17" i="5781"/>
  <c r="H23" i="5781"/>
  <c r="C19" i="5781"/>
  <c r="H11" i="5781"/>
  <c r="H33" i="5781"/>
  <c r="H37" i="5781"/>
  <c r="H41" i="5781"/>
  <c r="H45" i="5781"/>
  <c r="H49" i="5781"/>
  <c r="H52" i="5781"/>
  <c r="H10" i="5781"/>
  <c r="H6" i="5781"/>
  <c r="H16" i="5781"/>
  <c r="H21" i="5781"/>
  <c r="H25" i="5781"/>
  <c r="H14" i="5781"/>
  <c r="H28" i="5781"/>
  <c r="H15" i="5781"/>
  <c r="H30" i="5781"/>
  <c r="H19" i="5781"/>
  <c r="H34" i="5781"/>
  <c r="H38" i="5781"/>
  <c r="H42" i="5781"/>
  <c r="H46" i="5781"/>
  <c r="H42" i="5779"/>
  <c r="H46" i="5779"/>
  <c r="H8" i="5779"/>
  <c r="H17" i="5779"/>
  <c r="H24" i="5779"/>
  <c r="C17" i="5779"/>
  <c r="H12" i="5779"/>
  <c r="H34" i="5779"/>
  <c r="H50" i="5779"/>
  <c r="H18" i="5779"/>
  <c r="H16" i="5779"/>
  <c r="H27" i="5779"/>
  <c r="H14" i="5779"/>
  <c r="H30" i="5779"/>
  <c r="H19" i="5779"/>
  <c r="H35" i="5779"/>
  <c r="H39" i="5779"/>
  <c r="H43" i="5779"/>
  <c r="H47" i="5779"/>
  <c r="H51" i="5779"/>
  <c r="B23" i="5779"/>
  <c r="B25" i="5779"/>
  <c r="H11" i="5779"/>
  <c r="H32" i="5779"/>
  <c r="H36" i="5779"/>
  <c r="H40" i="5779"/>
  <c r="H44" i="5779"/>
  <c r="H48" i="5779"/>
  <c r="H20" i="5779"/>
  <c r="H25" i="5779"/>
  <c r="H26" i="5779"/>
  <c r="H28" i="5779"/>
  <c r="H29" i="5779"/>
  <c r="H31" i="5779"/>
  <c r="H33" i="5779"/>
  <c r="H37" i="5779"/>
  <c r="H41" i="5779"/>
  <c r="H45" i="5779"/>
  <c r="H49" i="5779"/>
  <c r="O21" i="5777" l="1"/>
  <c r="O20" i="5777"/>
  <c r="C29" i="5777"/>
  <c r="B26" i="5777"/>
  <c r="B24" i="5777"/>
  <c r="C20" i="5777"/>
  <c r="B17" i="5777"/>
  <c r="H20" i="5777" s="1"/>
  <c r="C16" i="5777"/>
  <c r="C15" i="5777"/>
  <c r="C14" i="5777"/>
  <c r="C13" i="5777"/>
  <c r="O12" i="5777"/>
  <c r="C12" i="5777"/>
  <c r="O11" i="5777"/>
  <c r="C11" i="5777"/>
  <c r="O10" i="5777"/>
  <c r="C10" i="5777"/>
  <c r="C9" i="5777"/>
  <c r="C8" i="5777"/>
  <c r="O7" i="5777"/>
  <c r="C7" i="5777"/>
  <c r="O6" i="5777"/>
  <c r="B6" i="5777"/>
  <c r="O5" i="5777"/>
  <c r="B5" i="5777"/>
  <c r="O4" i="5777"/>
  <c r="O3" i="5777"/>
  <c r="O2" i="5777"/>
  <c r="O21" i="5775"/>
  <c r="O19" i="5775"/>
  <c r="C29" i="5775"/>
  <c r="B26" i="5775"/>
  <c r="B24" i="5775"/>
  <c r="C20" i="5775"/>
  <c r="B17" i="5775"/>
  <c r="H16" i="5775" s="1"/>
  <c r="C16" i="5775"/>
  <c r="C15" i="5775"/>
  <c r="C14" i="5775"/>
  <c r="C13" i="5775"/>
  <c r="O12" i="5775"/>
  <c r="C12" i="5775"/>
  <c r="O11" i="5775"/>
  <c r="C11" i="5775"/>
  <c r="O10" i="5775"/>
  <c r="C10" i="5775"/>
  <c r="C9" i="5775"/>
  <c r="C8" i="5775"/>
  <c r="O7" i="5775"/>
  <c r="C7" i="5775"/>
  <c r="O6" i="5775"/>
  <c r="B6" i="5775"/>
  <c r="O5" i="5775"/>
  <c r="B5" i="5775"/>
  <c r="O4" i="5775"/>
  <c r="O3" i="5775"/>
  <c r="O2" i="5775"/>
  <c r="O18" i="5771"/>
  <c r="O16" i="5773"/>
  <c r="O17" i="5773"/>
  <c r="C29" i="5773"/>
  <c r="B26" i="5773"/>
  <c r="B24" i="5773"/>
  <c r="C20" i="5773"/>
  <c r="B17" i="5773"/>
  <c r="H4" i="5773" s="1"/>
  <c r="C16" i="5773"/>
  <c r="C15" i="5773"/>
  <c r="C14" i="5773"/>
  <c r="C13" i="5773"/>
  <c r="O12" i="5773"/>
  <c r="C12" i="5773"/>
  <c r="O11" i="5773"/>
  <c r="C11" i="5773"/>
  <c r="O10" i="5773"/>
  <c r="C10" i="5773"/>
  <c r="C9" i="5773"/>
  <c r="C8" i="5773"/>
  <c r="O7" i="5773"/>
  <c r="C7" i="5773"/>
  <c r="O6" i="5773"/>
  <c r="B6" i="5773"/>
  <c r="O5" i="5773"/>
  <c r="B5" i="5773"/>
  <c r="O4" i="5773"/>
  <c r="O3" i="5773"/>
  <c r="O2" i="5773"/>
  <c r="O21" i="5771"/>
  <c r="O22" i="5771"/>
  <c r="C29" i="5771"/>
  <c r="B26" i="5771"/>
  <c r="B24" i="5771"/>
  <c r="C20" i="5771"/>
  <c r="B17" i="5771"/>
  <c r="H52" i="5771" s="1"/>
  <c r="C16" i="5771"/>
  <c r="C15" i="5771"/>
  <c r="C14" i="5771"/>
  <c r="C13" i="5771"/>
  <c r="O12" i="5771"/>
  <c r="C12" i="5771"/>
  <c r="O11" i="5771"/>
  <c r="C11" i="5771"/>
  <c r="O10" i="5771"/>
  <c r="C10" i="5771"/>
  <c r="C9" i="5771"/>
  <c r="C8" i="5771"/>
  <c r="O7" i="5771"/>
  <c r="C7" i="5771"/>
  <c r="O6" i="5771"/>
  <c r="B6" i="5771"/>
  <c r="O5" i="5771"/>
  <c r="B5" i="5771"/>
  <c r="O4" i="5771"/>
  <c r="O3" i="5771"/>
  <c r="O2" i="5771"/>
  <c r="H11" i="5775" l="1"/>
  <c r="H5" i="5777"/>
  <c r="H12" i="5777"/>
  <c r="H2" i="5777"/>
  <c r="H3" i="5777"/>
  <c r="H4" i="5775"/>
  <c r="H8" i="5773"/>
  <c r="H5" i="5773"/>
  <c r="H7" i="5773"/>
  <c r="H22" i="5773"/>
  <c r="H2" i="5773"/>
  <c r="C17" i="5777"/>
  <c r="H25" i="5777"/>
  <c r="H28" i="5777"/>
  <c r="H31" i="5777"/>
  <c r="H37" i="5777"/>
  <c r="H45" i="5777"/>
  <c r="H49" i="5777"/>
  <c r="H11" i="5777"/>
  <c r="H14" i="5777"/>
  <c r="H34" i="5777"/>
  <c r="H52" i="5777"/>
  <c r="H9" i="5777"/>
  <c r="H6" i="5777"/>
  <c r="H10" i="5777"/>
  <c r="H19" i="5777"/>
  <c r="H17" i="5777"/>
  <c r="H18" i="5777"/>
  <c r="H27" i="5777"/>
  <c r="H13" i="5777"/>
  <c r="H30" i="5777"/>
  <c r="H16" i="5777"/>
  <c r="H35" i="5777"/>
  <c r="H39" i="5777"/>
  <c r="H43" i="5777"/>
  <c r="H47" i="5777"/>
  <c r="H51" i="5777"/>
  <c r="H26" i="5777"/>
  <c r="H29" i="5777"/>
  <c r="H33" i="5777"/>
  <c r="H41" i="5777"/>
  <c r="H4" i="5777"/>
  <c r="H22" i="5777"/>
  <c r="H24" i="5777"/>
  <c r="C19" i="5777"/>
  <c r="H38" i="5777"/>
  <c r="H42" i="5777"/>
  <c r="H46" i="5777"/>
  <c r="H50" i="5777"/>
  <c r="H7" i="5777"/>
  <c r="H21" i="5777"/>
  <c r="H23" i="5777"/>
  <c r="H15" i="5777"/>
  <c r="C18" i="5777"/>
  <c r="B23" i="5777"/>
  <c r="B25" i="5777"/>
  <c r="H8" i="5777"/>
  <c r="H32" i="5777"/>
  <c r="H36" i="5777"/>
  <c r="H40" i="5777"/>
  <c r="H44" i="5777"/>
  <c r="H48" i="5777"/>
  <c r="C17" i="5775"/>
  <c r="H2" i="5775"/>
  <c r="H3" i="5775"/>
  <c r="H32" i="5775"/>
  <c r="H33" i="5775"/>
  <c r="H37" i="5775"/>
  <c r="H5" i="5775"/>
  <c r="H9" i="5775"/>
  <c r="H42" i="5775"/>
  <c r="H52" i="5775"/>
  <c r="H10" i="5775"/>
  <c r="H7" i="5775"/>
  <c r="H12" i="5775"/>
  <c r="H20" i="5775"/>
  <c r="H30" i="5775"/>
  <c r="H21" i="5775"/>
  <c r="H18" i="5775"/>
  <c r="H14" i="5775"/>
  <c r="H23" i="5775"/>
  <c r="H25" i="5775"/>
  <c r="H26" i="5775"/>
  <c r="H39" i="5775"/>
  <c r="H43" i="5775"/>
  <c r="H47" i="5775"/>
  <c r="H51" i="5775"/>
  <c r="H31" i="5775"/>
  <c r="H22" i="5775"/>
  <c r="H24" i="5775"/>
  <c r="H34" i="5775"/>
  <c r="H41" i="5775"/>
  <c r="H45" i="5775"/>
  <c r="H49" i="5775"/>
  <c r="H28" i="5775"/>
  <c r="H17" i="5775"/>
  <c r="C19" i="5775"/>
  <c r="H13" i="5775"/>
  <c r="H35" i="5775"/>
  <c r="H38" i="5775"/>
  <c r="H46" i="5775"/>
  <c r="H50" i="5775"/>
  <c r="H6" i="5775"/>
  <c r="H27" i="5775"/>
  <c r="H29" i="5775"/>
  <c r="H15" i="5775"/>
  <c r="C18" i="5775"/>
  <c r="B23" i="5775"/>
  <c r="B25" i="5775"/>
  <c r="H8" i="5775"/>
  <c r="H19" i="5775"/>
  <c r="H36" i="5775"/>
  <c r="H40" i="5775"/>
  <c r="H44" i="5775"/>
  <c r="H48" i="5775"/>
  <c r="H12" i="5771"/>
  <c r="H3" i="5773"/>
  <c r="C17" i="5773"/>
  <c r="B25" i="5773"/>
  <c r="H32" i="5773"/>
  <c r="H39" i="5773"/>
  <c r="H47" i="5773"/>
  <c r="H41" i="5773"/>
  <c r="H6" i="5773"/>
  <c r="C18" i="5773"/>
  <c r="H13" i="5773"/>
  <c r="H43" i="5773"/>
  <c r="H51" i="5773"/>
  <c r="H16" i="5773"/>
  <c r="H12" i="5773"/>
  <c r="H33" i="5773"/>
  <c r="H49" i="5773"/>
  <c r="H11" i="5773"/>
  <c r="H10" i="5773"/>
  <c r="H21" i="5773"/>
  <c r="B23" i="5773"/>
  <c r="H35" i="5773"/>
  <c r="H9" i="5773"/>
  <c r="H20" i="5773"/>
  <c r="H23" i="5773"/>
  <c r="H24" i="5773"/>
  <c r="C19" i="5773"/>
  <c r="H37" i="5773"/>
  <c r="H45" i="5773"/>
  <c r="H52" i="5773"/>
  <c r="H25" i="5773"/>
  <c r="H14" i="5773"/>
  <c r="H28" i="5773"/>
  <c r="H17" i="5773"/>
  <c r="H15" i="5773"/>
  <c r="H18" i="5773"/>
  <c r="H34" i="5773"/>
  <c r="H38" i="5773"/>
  <c r="H42" i="5773"/>
  <c r="H46" i="5773"/>
  <c r="H50" i="5773"/>
  <c r="H26" i="5773"/>
  <c r="H27" i="5773"/>
  <c r="H29" i="5773"/>
  <c r="H30" i="5773"/>
  <c r="H31" i="5773"/>
  <c r="H19" i="5773"/>
  <c r="H36" i="5773"/>
  <c r="H40" i="5773"/>
  <c r="H44" i="5773"/>
  <c r="H48" i="5773"/>
  <c r="H17" i="5771"/>
  <c r="H2" i="5771"/>
  <c r="H4" i="5771"/>
  <c r="H7" i="5771"/>
  <c r="H23" i="5771"/>
  <c r="H16" i="5771"/>
  <c r="H26" i="5771"/>
  <c r="H10" i="5771"/>
  <c r="H11" i="5771"/>
  <c r="H3" i="5771"/>
  <c r="C17" i="5771"/>
  <c r="H25" i="5771"/>
  <c r="H14" i="5771"/>
  <c r="H18" i="5771"/>
  <c r="H30" i="5771"/>
  <c r="H40" i="5771"/>
  <c r="H43" i="5771"/>
  <c r="H47" i="5771"/>
  <c r="H51" i="5771"/>
  <c r="H6" i="5771"/>
  <c r="H32" i="5771"/>
  <c r="H33" i="5771"/>
  <c r="H15" i="5771"/>
  <c r="C18" i="5771"/>
  <c r="B23" i="5771"/>
  <c r="B25" i="5771"/>
  <c r="H8" i="5771"/>
  <c r="H20" i="5771"/>
  <c r="H37" i="5771"/>
  <c r="H41" i="5771"/>
  <c r="H44" i="5771"/>
  <c r="H48" i="5771"/>
  <c r="H19" i="5771"/>
  <c r="H34" i="5771"/>
  <c r="H35" i="5771"/>
  <c r="H22" i="5771"/>
  <c r="H27" i="5771"/>
  <c r="H28" i="5771"/>
  <c r="H29" i="5771"/>
  <c r="H38" i="5771"/>
  <c r="H31" i="5771"/>
  <c r="H45" i="5771"/>
  <c r="H49" i="5771"/>
  <c r="H5" i="5771"/>
  <c r="H9" i="5771"/>
  <c r="H24" i="5771"/>
  <c r="H21" i="5771"/>
  <c r="C19" i="5771"/>
  <c r="H13" i="5771"/>
  <c r="H36" i="5771"/>
  <c r="H39" i="5771"/>
  <c r="H42" i="5771"/>
  <c r="H46" i="5771"/>
  <c r="H50" i="5771"/>
  <c r="B25" i="2228" l="1"/>
  <c r="B26" i="2228"/>
  <c r="B23" i="2228"/>
  <c r="C16" i="2228"/>
  <c r="B24" i="2228"/>
  <c r="C29" i="2228" l="1"/>
  <c r="C20" i="2228"/>
  <c r="C17" i="2228"/>
  <c r="B17" i="2228"/>
  <c r="H52" i="2228" s="1"/>
  <c r="C15" i="2228"/>
  <c r="C14" i="2228"/>
  <c r="H13" i="2228"/>
  <c r="C13" i="2228"/>
  <c r="O12" i="2228"/>
  <c r="C12" i="2228"/>
  <c r="O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15" i="2228" l="1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<sst xmlns="http://schemas.openxmlformats.org/spreadsheetml/2006/main" count="2505" uniqueCount="218">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</sst>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1-44D0-8601-3AD91666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-22.471910112359552</c:v>
                </c:pt>
                <c:pt idx="1">
                  <c:v>15.686274509803921</c:v>
                </c:pt>
                <c:pt idx="2">
                  <c:v>-20.080321285140563</c:v>
                </c:pt>
                <c:pt idx="3">
                  <c:v>17.094017094017094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E-49D6-973D-0A13455D6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D-4640-81D3-C1EE15FB8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742.30769230769226</c:v>
                </c:pt>
                <c:pt idx="1">
                  <c:v>-1040</c:v>
                </c:pt>
                <c:pt idx="2">
                  <c:v>1212.5</c:v>
                </c:pt>
                <c:pt idx="3">
                  <c:v>-1525</c:v>
                </c:pt>
                <c:pt idx="4">
                  <c:v>-1200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CC-4518-9CDE-48CEE1D4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D0C-B1B5-C471CFF7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650.87719298245611</c:v>
                </c:pt>
                <c:pt idx="1">
                  <c:v>235.18518518518519</c:v>
                </c:pt>
                <c:pt idx="2">
                  <c:v>-609.25925925925924</c:v>
                </c:pt>
                <c:pt idx="3">
                  <c:v>191.83673469387756</c:v>
                </c:pt>
                <c:pt idx="4">
                  <c:v>4591.489361702128</c:v>
                </c:pt>
                <c:pt idx="5">
                  <c:v>4516.2162162162158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8-45B4-B2BC-E751703E4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0-4C4F-9EC6-2861CCCC7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-604</c:v>
                </c:pt>
                <c:pt idx="1">
                  <c:v>1158.3333333333333</c:v>
                </c:pt>
                <c:pt idx="2">
                  <c:v>2157.4468085106382</c:v>
                </c:pt>
                <c:pt idx="3">
                  <c:v>3252.2727272727275</c:v>
                </c:pt>
                <c:pt idx="4">
                  <c:v>-1563.4146341463415</c:v>
                </c:pt>
                <c:pt idx="5">
                  <c:v>865.625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2E-4B3E-9E3C-7BA5941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59-4DEE-8D50-26D19509D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7-4CA5-AF92-44A77E231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0C-4CCE-ADE1-9CA5EA0E2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A6-4981-A4E7-BC5C7C29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48-422D-9F4B-B3C63CE4A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1-4114-B435-8E567F4B6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A-413B-9B4F-9F821DD5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F-49F9-B60A-4A21BF5DE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C2-4D88-8A89-9BB3BC3D0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4-4094-9634-21316FEC3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B-498D-960F-D411A22C9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97B-81B1-73D015157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26327952414889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7000445037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4948820649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25.7186081694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7.258485639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77080551846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9599465954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36363636363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1981981981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4916792738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0F032E-FC66-4715-81F6-FA7D2BDE27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2D16FC-AC90-46A7-A3F3-DE472C39D9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D8C27C-819C-4309-836E-9432AA740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FEDE4E-7320-4363-AEE3-77B1D8DE9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48575B-625E-47A7-9D36-24CF3078C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CB5951-9E9C-4BE5-90CB-BE1DBC565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2104C3-E55F-4980-AF23-4C4AE54AD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73B6EE-0A61-4832-AB30-728AE1EAD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C1A596-36AD-4E30-866F-2C3398610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1F253C-412C-48D3-83B0-5F583EF2E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C54C6F-0111-4E52-B415-93060B1B3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0F8FA6-E5D1-4189-ADD6-71A62332A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B19565-2F05-4A75-AE92-26108DFEA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AF1D20-CA77-4AD7-A797-75664E2FF4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55AAE2-B7D1-46CF-AE37-65D0D3F87E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7389B3-D931-4B32-864F-EBEE06DA9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79A64-E965-4308-9F6A-74C2FA768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44069-FB97-4ADC-A777-23489B1E0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2C6120-A4E1-43B6-B931-71A83076E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D7C80B-162D-4806-AD03-ECD8CE550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165</v>
      </c>
      <c r="F1" s="12" t="s">
        <v>115</v>
      </c>
      <c r="G1" s="26" t="s">
        <v>116</v>
      </c>
      <c r="H1" s="130" t="s">
        <v>117</v>
      </c>
      <c r="I1" s="100" t="s">
        <v>152</v>
      </c>
      <c r="K1" s="2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157</v>
      </c>
    </row>
    <row r="2" spans="1:17" x14ac:dyDescent="0.4">
      <c r="A2" s="21" t="s">
        <v>9</v>
      </c>
      <c r="B2" s="152">
        <v>0</v>
      </c>
      <c r="C2" s="153"/>
      <c r="E2" s="62" t="s">
        <v>64</v>
      </c>
      <c r="F2" s="27" t="s">
        <v>20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65</v>
      </c>
      <c r="F3" s="28" t="s">
        <v>21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66</v>
      </c>
      <c r="F4" s="28" t="s">
        <v>22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67</v>
      </c>
      <c r="F5" s="28" t="s">
        <v>23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68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69</v>
      </c>
      <c r="F7" s="28" t="s">
        <v>24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23" t="s">
        <v>18</v>
      </c>
      <c r="B10" s="16">
        <v>0</v>
      </c>
      <c r="C10" s="7">
        <f t="shared" si="2"/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 t="shared" si="2"/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121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118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123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124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169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170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56" t="s">
        <v>215</v>
      </c>
      <c r="B24" s="140">
        <f>IF(B$20=0,0,C24/B$20)</f>
        <v>0</v>
      </c>
      <c r="C24" s="141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56" t="s">
        <v>216</v>
      </c>
      <c r="B25" s="140">
        <f>IF($B$17-B$16=0,0,C25/($B$17-B$16))</f>
        <v>0</v>
      </c>
      <c r="C25" s="141">
        <v>0</v>
      </c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24" t="s">
        <v>217</v>
      </c>
      <c r="B26" s="19">
        <f>IF(B$16=0,0,C26/B$16)</f>
        <v>0</v>
      </c>
      <c r="C26" s="13">
        <v>0</v>
      </c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90" t="s">
        <v>140</v>
      </c>
      <c r="B27" s="146">
        <v>0</v>
      </c>
      <c r="C27" s="147"/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A28" s="58" t="s">
        <v>150</v>
      </c>
      <c r="B28" s="144">
        <v>-1000000</v>
      </c>
      <c r="C28" s="145"/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A29" s="24" t="s">
        <v>141</v>
      </c>
      <c r="B29" s="32">
        <v>0</v>
      </c>
      <c r="C29" s="9">
        <f>IF(B$3=0,0,B29/B$3)</f>
        <v>0</v>
      </c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112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60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167</v>
      </c>
      <c r="F50" s="60" t="s">
        <v>168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171</v>
      </c>
      <c r="F51" s="137" t="s">
        <v>172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175</v>
      </c>
      <c r="B2" s="31">
        <v>43735.329375000001</v>
      </c>
      <c r="C2" s="30" t="s">
        <v>128</v>
      </c>
      <c r="D2" s="30" t="s">
        <v>129</v>
      </c>
    </row>
    <row r="3" spans="1:12" x14ac:dyDescent="0.4">
      <c r="A3" s="30" t="s">
        <v>176</v>
      </c>
      <c r="B3" s="31">
        <v>43735.329293981478</v>
      </c>
      <c r="C3" s="30" t="s">
        <v>128</v>
      </c>
    </row>
    <row r="4" spans="1:12" x14ac:dyDescent="0.4">
      <c r="A4" s="30" t="s">
        <v>180</v>
      </c>
      <c r="B4" s="31">
        <v>43735.329201388886</v>
      </c>
      <c r="C4" s="30" t="s">
        <v>128</v>
      </c>
    </row>
    <row r="5" spans="1:12" x14ac:dyDescent="0.4">
      <c r="A5" s="30" t="s">
        <v>183</v>
      </c>
      <c r="B5" s="31">
        <v>43737.872604166667</v>
      </c>
      <c r="C5" s="30" t="s">
        <v>128</v>
      </c>
      <c r="D5" s="30" t="s">
        <v>129</v>
      </c>
      <c r="E5" s="30" t="s">
        <v>184</v>
      </c>
      <c r="F5" s="30" t="s">
        <v>185</v>
      </c>
      <c r="G5" s="30" t="s">
        <v>186</v>
      </c>
      <c r="H5" s="30" t="s">
        <v>187</v>
      </c>
    </row>
    <row r="6" spans="1:12" x14ac:dyDescent="0.4">
      <c r="A6" s="30" t="s">
        <v>188</v>
      </c>
      <c r="B6" s="31">
        <v>43737.872604166667</v>
      </c>
      <c r="C6" s="30" t="s">
        <v>128</v>
      </c>
      <c r="D6" s="30" t="s">
        <v>129</v>
      </c>
      <c r="E6" s="30" t="s">
        <v>184</v>
      </c>
    </row>
    <row r="7" spans="1:12" x14ac:dyDescent="0.4">
      <c r="A7" s="30" t="s">
        <v>189</v>
      </c>
      <c r="B7" s="31">
        <v>43737.873645833337</v>
      </c>
      <c r="C7" s="30" t="s">
        <v>128</v>
      </c>
      <c r="D7" s="30" t="s">
        <v>129</v>
      </c>
      <c r="E7" s="30" t="s">
        <v>184</v>
      </c>
      <c r="F7" s="30" t="s">
        <v>185</v>
      </c>
      <c r="G7" s="30" t="s">
        <v>186</v>
      </c>
      <c r="H7" s="30" t="s">
        <v>187</v>
      </c>
      <c r="I7" s="30" t="s">
        <v>190</v>
      </c>
      <c r="J7" s="30" t="s">
        <v>191</v>
      </c>
      <c r="K7" s="30" t="s">
        <v>192</v>
      </c>
      <c r="L7" s="30" t="s">
        <v>193</v>
      </c>
    </row>
    <row r="8" spans="1:12" x14ac:dyDescent="0.4">
      <c r="A8" s="30" t="s">
        <v>197</v>
      </c>
      <c r="B8" s="31">
        <v>43739.760312500002</v>
      </c>
      <c r="C8" s="30" t="s">
        <v>128</v>
      </c>
    </row>
    <row r="9" spans="1:12" x14ac:dyDescent="0.4">
      <c r="A9" s="30" t="s">
        <v>194</v>
      </c>
      <c r="B9" s="31">
        <v>43739.760069444441</v>
      </c>
      <c r="C9" s="30" t="s">
        <v>129</v>
      </c>
      <c r="D9" s="30" t="s">
        <v>184</v>
      </c>
      <c r="E9" s="30" t="s">
        <v>128</v>
      </c>
    </row>
    <row r="10" spans="1:12" x14ac:dyDescent="0.4">
      <c r="A10" s="30" t="s">
        <v>196</v>
      </c>
      <c r="B10" s="31">
        <v>43742.090381944443</v>
      </c>
      <c r="C10" s="30" t="s">
        <v>128</v>
      </c>
      <c r="D10" s="30" t="s">
        <v>129</v>
      </c>
      <c r="E10" s="30" t="s">
        <v>184</v>
      </c>
      <c r="F10" s="30" t="s">
        <v>185</v>
      </c>
      <c r="G10" s="30" t="s">
        <v>186</v>
      </c>
      <c r="H10" s="30" t="s">
        <v>187</v>
      </c>
    </row>
    <row r="11" spans="1:12" x14ac:dyDescent="0.4">
      <c r="A11" s="30" t="s">
        <v>198</v>
      </c>
      <c r="B11" s="31">
        <v>43742.090381944443</v>
      </c>
      <c r="C11" s="30" t="s">
        <v>128</v>
      </c>
    </row>
    <row r="12" spans="1:12" x14ac:dyDescent="0.4">
      <c r="A12" s="30" t="s">
        <v>199</v>
      </c>
      <c r="B12" s="31">
        <v>43742.090381944443</v>
      </c>
      <c r="C12" s="30" t="s">
        <v>128</v>
      </c>
      <c r="D12" s="30" t="s">
        <v>129</v>
      </c>
      <c r="E12" s="30" t="s">
        <v>184</v>
      </c>
    </row>
    <row r="13" spans="1:12" x14ac:dyDescent="0.4">
      <c r="A13" s="30" t="s">
        <v>201</v>
      </c>
      <c r="B13" s="31">
        <v>43742.090381944443</v>
      </c>
      <c r="C13" s="30" t="s">
        <v>128</v>
      </c>
      <c r="D13" s="30" t="s">
        <v>129</v>
      </c>
    </row>
    <row r="14" spans="1:12" x14ac:dyDescent="0.4">
      <c r="A14" s="30" t="s">
        <v>200</v>
      </c>
      <c r="B14" s="31">
        <v>43745.602835648147</v>
      </c>
      <c r="C14" s="30" t="s">
        <v>128</v>
      </c>
      <c r="D14" s="30" t="s">
        <v>129</v>
      </c>
      <c r="E14" s="30" t="s">
        <v>184</v>
      </c>
      <c r="F14" s="30" t="s">
        <v>185</v>
      </c>
    </row>
    <row r="15" spans="1:12" x14ac:dyDescent="0.4">
      <c r="A15" s="30" t="s">
        <v>202</v>
      </c>
      <c r="B15" s="31">
        <v>43745.024594907409</v>
      </c>
      <c r="C15" s="30" t="s">
        <v>128</v>
      </c>
      <c r="D15" s="30" t="s">
        <v>129</v>
      </c>
    </row>
    <row r="16" spans="1:12" x14ac:dyDescent="0.4">
      <c r="A16" s="30" t="s">
        <v>203</v>
      </c>
      <c r="B16" s="31">
        <v>43745.602847222224</v>
      </c>
      <c r="C16" s="30" t="s">
        <v>128</v>
      </c>
      <c r="D16" s="30" t="s">
        <v>129</v>
      </c>
      <c r="E16" s="30" t="s">
        <v>184</v>
      </c>
      <c r="F16" s="30" t="s">
        <v>185</v>
      </c>
    </row>
    <row r="17" spans="1:12" x14ac:dyDescent="0.4">
      <c r="A17" s="30" t="s">
        <v>204</v>
      </c>
      <c r="B17" s="31">
        <v>43745.602847222224</v>
      </c>
      <c r="C17" s="30" t="s">
        <v>128</v>
      </c>
      <c r="D17" s="30" t="s">
        <v>129</v>
      </c>
    </row>
    <row r="18" spans="1:12" x14ac:dyDescent="0.4">
      <c r="A18" s="30" t="s">
        <v>205</v>
      </c>
      <c r="B18" s="31">
        <v>43745.024594907409</v>
      </c>
      <c r="C18" s="30" t="s">
        <v>128</v>
      </c>
    </row>
    <row r="19" spans="1:12" x14ac:dyDescent="0.4">
      <c r="A19" s="30" t="s">
        <v>206</v>
      </c>
      <c r="B19" s="31">
        <v>43748.026620370372</v>
      </c>
      <c r="C19" s="30" t="s">
        <v>128</v>
      </c>
    </row>
    <row r="20" spans="1:12" x14ac:dyDescent="0.4">
      <c r="A20" s="30" t="s">
        <v>207</v>
      </c>
      <c r="B20" s="31">
        <v>43748.026620370372</v>
      </c>
      <c r="C20" s="30" t="s">
        <v>128</v>
      </c>
      <c r="D20" s="30" t="s">
        <v>129</v>
      </c>
    </row>
    <row r="21" spans="1:12" x14ac:dyDescent="0.4">
      <c r="A21" s="30" t="s">
        <v>208</v>
      </c>
      <c r="B21" s="31">
        <v>43748.026620370372</v>
      </c>
      <c r="C21" s="30" t="s">
        <v>128</v>
      </c>
    </row>
    <row r="22" spans="1:12" x14ac:dyDescent="0.4">
      <c r="A22" s="30" t="s">
        <v>209</v>
      </c>
      <c r="B22" s="31">
        <v>43748.026620370372</v>
      </c>
      <c r="C22" s="30" t="s">
        <v>128</v>
      </c>
      <c r="D22" s="30" t="s">
        <v>129</v>
      </c>
      <c r="E22" s="30" t="s">
        <v>184</v>
      </c>
    </row>
    <row r="23" spans="1:12" x14ac:dyDescent="0.4">
      <c r="A23" s="30" t="s">
        <v>210</v>
      </c>
      <c r="B23" s="31">
        <v>43748.026620370372</v>
      </c>
      <c r="C23" s="30" t="s">
        <v>128</v>
      </c>
    </row>
    <row r="24" spans="1:12" x14ac:dyDescent="0.4">
      <c r="A24" s="30" t="s">
        <v>211</v>
      </c>
      <c r="B24" s="31">
        <v>43751.127928240741</v>
      </c>
      <c r="C24" s="30" t="s">
        <v>128</v>
      </c>
      <c r="D24" s="30" t="s">
        <v>129</v>
      </c>
      <c r="E24" s="30" t="s">
        <v>184</v>
      </c>
      <c r="F24" s="30" t="s">
        <v>185</v>
      </c>
      <c r="G24" s="30" t="s">
        <v>186</v>
      </c>
    </row>
    <row r="25" spans="1:12" x14ac:dyDescent="0.4">
      <c r="A25" s="30" t="s">
        <v>212</v>
      </c>
      <c r="B25" s="31">
        <v>43751.127928240741</v>
      </c>
      <c r="C25" s="30" t="s">
        <v>128</v>
      </c>
      <c r="D25" s="30" t="s">
        <v>129</v>
      </c>
      <c r="E25" s="30" t="s">
        <v>184</v>
      </c>
      <c r="F25" s="30" t="s">
        <v>185</v>
      </c>
      <c r="G25" s="30" t="s">
        <v>186</v>
      </c>
      <c r="H25" s="30" t="s">
        <v>187</v>
      </c>
      <c r="I25" s="30" t="s">
        <v>190</v>
      </c>
      <c r="J25" s="30" t="s">
        <v>191</v>
      </c>
      <c r="K25" s="30" t="s">
        <v>192</v>
      </c>
      <c r="L25" s="30" t="s">
        <v>193</v>
      </c>
    </row>
    <row r="26" spans="1:12" x14ac:dyDescent="0.4">
      <c r="A26" s="30" t="s">
        <v>213</v>
      </c>
      <c r="B26" s="31">
        <v>43752.484606481485</v>
      </c>
      <c r="C26" s="30" t="s">
        <v>128</v>
      </c>
      <c r="D26" s="30" t="s">
        <v>129</v>
      </c>
      <c r="E26" s="30" t="s">
        <v>184</v>
      </c>
      <c r="F26" s="30" t="s">
        <v>185</v>
      </c>
      <c r="G26" s="30" t="s">
        <v>186</v>
      </c>
      <c r="H26" s="30" t="s">
        <v>187</v>
      </c>
    </row>
    <row r="27" spans="1:12" x14ac:dyDescent="0.4">
      <c r="A27" s="30" t="s">
        <v>214</v>
      </c>
      <c r="B27" s="31">
        <v>43753.081296296295</v>
      </c>
      <c r="C27" s="30" t="s">
        <v>128</v>
      </c>
      <c r="D27" s="30" t="s">
        <v>129</v>
      </c>
      <c r="E27" s="30" t="s">
        <v>184</v>
      </c>
      <c r="F27" s="30" t="s">
        <v>185</v>
      </c>
      <c r="G27" s="30" t="s">
        <v>186</v>
      </c>
      <c r="H27" s="30" t="s">
        <v>187</v>
      </c>
      <c r="I27" s="30" t="s">
        <v>190</v>
      </c>
      <c r="J27" s="30" t="s">
        <v>191</v>
      </c>
      <c r="K27" s="30" t="s">
        <v>192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270</v>
      </c>
    </row>
    <row r="2" spans="1:2" x14ac:dyDescent="0.4">
      <c r="A2" t="s">
        <v>166</v>
      </c>
      <c r="B2">
        <v>26</v>
      </c>
    </row>
    <row r="3" spans="1:2" x14ac:dyDescent="0.4">
      <c r="A3" t="s">
        <v>126</v>
      </c>
      <c r="B3">
        <v>58</v>
      </c>
    </row>
    <row r="4" spans="1:2" x14ac:dyDescent="0.4">
      <c r="A4" t="s">
        <v>127</v>
      </c>
      <c r="B4">
        <v>51</v>
      </c>
    </row>
    <row r="5" spans="1:2" x14ac:dyDescent="0.4">
      <c r="A5" t="s">
        <v>179</v>
      </c>
      <c r="B5">
        <v>33</v>
      </c>
    </row>
    <row r="6" spans="1:2" x14ac:dyDescent="0.4">
      <c r="A6" t="s">
        <v>177</v>
      </c>
      <c r="B6">
        <v>28</v>
      </c>
    </row>
    <row r="7" spans="1:2" x14ac:dyDescent="0.4">
      <c r="A7" t="s">
        <v>178</v>
      </c>
      <c r="B7">
        <v>36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15</v>
      </c>
      <c r="G1" s="161"/>
      <c r="H1" s="160" t="s">
        <v>14</v>
      </c>
      <c r="I1" s="161"/>
      <c r="J1" s="160" t="s">
        <v>160</v>
      </c>
      <c r="K1" s="161"/>
      <c r="L1" s="160" t="s">
        <v>147</v>
      </c>
      <c r="M1" s="161"/>
      <c r="N1" s="160" t="s">
        <v>148</v>
      </c>
      <c r="O1" s="161"/>
      <c r="P1" s="160" t="s">
        <v>5</v>
      </c>
      <c r="Q1" s="161"/>
      <c r="R1" s="160" t="s">
        <v>16</v>
      </c>
      <c r="S1" s="161"/>
      <c r="T1" s="160" t="s">
        <v>17</v>
      </c>
      <c r="U1" s="161"/>
      <c r="V1" s="160" t="s">
        <v>139</v>
      </c>
      <c r="W1" s="161"/>
      <c r="X1" s="160" t="s">
        <v>122</v>
      </c>
      <c r="Y1" s="161"/>
      <c r="Z1" s="160" t="s">
        <v>119</v>
      </c>
      <c r="AA1" s="161"/>
      <c r="AB1" s="160" t="s">
        <v>125</v>
      </c>
      <c r="AC1" s="161"/>
      <c r="AD1" s="160" t="s">
        <v>149</v>
      </c>
      <c r="AE1" s="161"/>
      <c r="AF1" s="160" t="s">
        <v>142</v>
      </c>
      <c r="AG1" s="161"/>
      <c r="AH1" s="160" t="s">
        <v>151</v>
      </c>
      <c r="AI1" s="161"/>
    </row>
    <row r="2" spans="1:35" x14ac:dyDescent="0.4">
      <c r="A2" s="72" t="s">
        <v>159</v>
      </c>
      <c r="B2" s="162"/>
      <c r="C2" s="163"/>
      <c r="D2" s="162"/>
      <c r="E2" s="163"/>
      <c r="F2" s="164">
        <v>0.98648217948588379</v>
      </c>
      <c r="G2" s="165"/>
      <c r="H2" s="164">
        <v>0.95917916660339142</v>
      </c>
      <c r="I2" s="165"/>
      <c r="J2" s="164">
        <v>0.99399775755755138</v>
      </c>
      <c r="K2" s="165"/>
      <c r="L2" s="164">
        <v>0.92174259152211069</v>
      </c>
      <c r="M2" s="165"/>
      <c r="N2" s="164">
        <v>0.73499620934078425</v>
      </c>
      <c r="O2" s="165"/>
      <c r="P2" s="164">
        <v>0.24196070355944599</v>
      </c>
      <c r="Q2" s="165"/>
      <c r="R2" s="164">
        <v>0.56656449253690122</v>
      </c>
      <c r="S2" s="165"/>
      <c r="T2" s="164">
        <v>0.59778981340166792</v>
      </c>
      <c r="U2" s="165"/>
      <c r="V2" s="164">
        <v>0.61761687006538779</v>
      </c>
      <c r="W2" s="165"/>
      <c r="X2" s="164">
        <v>0.44545556602210823</v>
      </c>
      <c r="Y2" s="165"/>
      <c r="Z2" s="164">
        <v>6.6661605690397294E-2</v>
      </c>
      <c r="AA2" s="165"/>
      <c r="AB2" s="164">
        <v>0.51497905343160844</v>
      </c>
      <c r="AC2" s="165"/>
      <c r="AD2" s="164">
        <v>0.36043653896161887</v>
      </c>
      <c r="AE2" s="165"/>
      <c r="AF2" s="164">
        <v>0.15326099670019513</v>
      </c>
      <c r="AG2" s="165"/>
      <c r="AH2" s="164">
        <v>0.49195559475064587</v>
      </c>
      <c r="AI2" s="165"/>
    </row>
    <row r="3" spans="1:35" x14ac:dyDescent="0.4">
      <c r="A3" s="74">
        <v>1</v>
      </c>
      <c r="B3" s="75" t="s">
        <v>126</v>
      </c>
      <c r="C3" s="76">
        <v>597.59999999999991</v>
      </c>
      <c r="D3" s="77" t="s">
        <v>181</v>
      </c>
      <c r="E3" s="96">
        <v>11.463636363636365</v>
      </c>
      <c r="F3" s="77" t="s">
        <v>126</v>
      </c>
      <c r="G3" s="78">
        <v>1.7068965517241379</v>
      </c>
      <c r="H3" s="77" t="s">
        <v>126</v>
      </c>
      <c r="I3" s="79">
        <v>0.48275862068965519</v>
      </c>
      <c r="J3" s="77" t="s">
        <v>181</v>
      </c>
      <c r="K3" s="79">
        <v>0.18181818181818182</v>
      </c>
      <c r="L3" s="77" t="s">
        <v>126</v>
      </c>
      <c r="M3" s="80">
        <v>0.34533898305084748</v>
      </c>
      <c r="N3" s="77" t="s">
        <v>181</v>
      </c>
      <c r="O3" s="80">
        <v>0.11650485436893204</v>
      </c>
      <c r="P3" s="77" t="s">
        <v>177</v>
      </c>
      <c r="Q3" s="81">
        <v>10853.571428571429</v>
      </c>
      <c r="R3" s="77" t="s">
        <v>181</v>
      </c>
      <c r="S3" s="81">
        <v>-6041.666666666667</v>
      </c>
      <c r="T3" s="77" t="s">
        <v>166</v>
      </c>
      <c r="U3" s="79">
        <v>0</v>
      </c>
      <c r="V3" s="77" t="s">
        <v>177</v>
      </c>
      <c r="W3" s="79">
        <v>0.21428571428571427</v>
      </c>
      <c r="X3" s="77" t="s">
        <v>181</v>
      </c>
      <c r="Y3" s="80">
        <v>0.29126213592233008</v>
      </c>
      <c r="Z3" s="77" t="s">
        <v>195</v>
      </c>
      <c r="AA3" s="80">
        <v>0.35483870967741937</v>
      </c>
      <c r="AB3" s="77" t="s">
        <v>181</v>
      </c>
      <c r="AC3" s="80">
        <v>0.66666666666666663</v>
      </c>
      <c r="AD3" s="77" t="s">
        <v>126</v>
      </c>
      <c r="AE3" s="80">
        <v>0.52727272727272723</v>
      </c>
      <c r="AF3" s="77" t="s">
        <v>181</v>
      </c>
      <c r="AG3" s="80">
        <v>0.52941176470588236</v>
      </c>
      <c r="AH3" s="77" t="s">
        <v>181</v>
      </c>
      <c r="AI3" s="91">
        <v>95200</v>
      </c>
    </row>
    <row r="4" spans="1:35" x14ac:dyDescent="0.4">
      <c r="A4" s="82">
        <v>2</v>
      </c>
      <c r="B4" s="83" t="s">
        <v>127</v>
      </c>
      <c r="C4" s="84">
        <v>269.99999999999983</v>
      </c>
      <c r="D4" s="85" t="s">
        <v>126</v>
      </c>
      <c r="E4" s="97">
        <v>10.303448275862067</v>
      </c>
      <c r="F4" s="85" t="s">
        <v>181</v>
      </c>
      <c r="G4" s="86">
        <v>1.7272727272727273</v>
      </c>
      <c r="H4" s="85" t="s">
        <v>181</v>
      </c>
      <c r="I4" s="87">
        <v>0.45454545454545453</v>
      </c>
      <c r="J4" s="85" t="s">
        <v>126</v>
      </c>
      <c r="K4" s="87">
        <v>0.18965517241379309</v>
      </c>
      <c r="L4" s="85" t="s">
        <v>181</v>
      </c>
      <c r="M4" s="88">
        <v>0.3300970873786408</v>
      </c>
      <c r="N4" s="85" t="s">
        <v>178</v>
      </c>
      <c r="O4" s="88">
        <v>0.1404109589041096</v>
      </c>
      <c r="P4" s="85" t="s">
        <v>127</v>
      </c>
      <c r="Q4" s="89">
        <v>8604.1958041958042</v>
      </c>
      <c r="R4" s="85" t="s">
        <v>166</v>
      </c>
      <c r="S4" s="89">
        <v>-6605.2631578947367</v>
      </c>
      <c r="T4" s="85" t="s">
        <v>181</v>
      </c>
      <c r="U4" s="87">
        <v>0</v>
      </c>
      <c r="V4" s="85" t="s">
        <v>181</v>
      </c>
      <c r="W4" s="87">
        <v>0.18181818181818182</v>
      </c>
      <c r="X4" s="85" t="s">
        <v>179</v>
      </c>
      <c r="Y4" s="88">
        <v>0.28521126760563381</v>
      </c>
      <c r="Z4" s="85" t="s">
        <v>127</v>
      </c>
      <c r="AA4" s="88">
        <v>0.32420091324200911</v>
      </c>
      <c r="AB4" s="85" t="s">
        <v>126</v>
      </c>
      <c r="AC4" s="88">
        <v>0.62184873949579833</v>
      </c>
      <c r="AD4" s="85" t="s">
        <v>177</v>
      </c>
      <c r="AE4" s="88">
        <v>0.48936170212765956</v>
      </c>
      <c r="AF4" s="85" t="s">
        <v>166</v>
      </c>
      <c r="AG4" s="88">
        <v>0.47368421052631576</v>
      </c>
      <c r="AH4" s="85" t="s">
        <v>143</v>
      </c>
      <c r="AI4" s="92">
        <v>95200</v>
      </c>
    </row>
    <row r="5" spans="1:35" x14ac:dyDescent="0.4">
      <c r="A5" s="82">
        <v>3</v>
      </c>
      <c r="B5" s="83" t="s">
        <v>181</v>
      </c>
      <c r="C5" s="84">
        <v>126.10000000000001</v>
      </c>
      <c r="D5" s="85" t="s">
        <v>127</v>
      </c>
      <c r="E5" s="97">
        <v>5.2941176470588198</v>
      </c>
      <c r="F5" s="85" t="s">
        <v>127</v>
      </c>
      <c r="G5" s="86">
        <v>1.8431372549019607</v>
      </c>
      <c r="H5" s="85" t="s">
        <v>195</v>
      </c>
      <c r="I5" s="87">
        <v>0.42857142857142855</v>
      </c>
      <c r="J5" s="85" t="s">
        <v>127</v>
      </c>
      <c r="K5" s="87">
        <v>0.25490196078431371</v>
      </c>
      <c r="L5" s="85" t="s">
        <v>127</v>
      </c>
      <c r="M5" s="88">
        <v>0.32648401826484019</v>
      </c>
      <c r="N5" s="85" t="s">
        <v>126</v>
      </c>
      <c r="O5" s="88">
        <v>0.14194915254237289</v>
      </c>
      <c r="P5" s="85" t="s">
        <v>143</v>
      </c>
      <c r="Q5" s="89">
        <v>8225.7186081694399</v>
      </c>
      <c r="R5" s="85" t="s">
        <v>126</v>
      </c>
      <c r="S5" s="89">
        <v>-7052.2388059701489</v>
      </c>
      <c r="T5" s="85" t="s">
        <v>126</v>
      </c>
      <c r="U5" s="87">
        <v>5.1724137931034482E-2</v>
      </c>
      <c r="V5" s="85" t="s">
        <v>127</v>
      </c>
      <c r="W5" s="87">
        <v>0.15686274509803921</v>
      </c>
      <c r="X5" s="85" t="s">
        <v>177</v>
      </c>
      <c r="Y5" s="88">
        <v>0.27777777777777779</v>
      </c>
      <c r="Z5" s="85" t="s">
        <v>178</v>
      </c>
      <c r="AA5" s="88">
        <v>0.28767123287671231</v>
      </c>
      <c r="AB5" s="85" t="s">
        <v>179</v>
      </c>
      <c r="AC5" s="88">
        <v>0.58024691358024694</v>
      </c>
      <c r="AD5" s="85" t="s">
        <v>179</v>
      </c>
      <c r="AE5" s="88">
        <v>0.44</v>
      </c>
      <c r="AF5" s="85" t="s">
        <v>177</v>
      </c>
      <c r="AG5" s="88">
        <v>0.4642857142857143</v>
      </c>
      <c r="AH5" s="85" t="s">
        <v>127</v>
      </c>
      <c r="AI5" s="92">
        <v>91800</v>
      </c>
    </row>
    <row r="6" spans="1:35" x14ac:dyDescent="0.4">
      <c r="A6" s="82">
        <v>4</v>
      </c>
      <c r="B6" s="83" t="s">
        <v>143</v>
      </c>
      <c r="C6" s="84">
        <v>-1.4210854715202004E-14</v>
      </c>
      <c r="D6" s="85" t="s">
        <v>143</v>
      </c>
      <c r="E6" s="97">
        <v>-5.2632795241488905E-17</v>
      </c>
      <c r="F6" s="85" t="s">
        <v>177</v>
      </c>
      <c r="G6" s="86">
        <v>1.9642857142857142</v>
      </c>
      <c r="H6" s="85" t="s">
        <v>127</v>
      </c>
      <c r="I6" s="87">
        <v>0.41176470588235292</v>
      </c>
      <c r="J6" s="85" t="s">
        <v>177</v>
      </c>
      <c r="K6" s="87">
        <v>0.32142857142857145</v>
      </c>
      <c r="L6" s="85" t="s">
        <v>143</v>
      </c>
      <c r="M6" s="88">
        <v>0.29417000445037828</v>
      </c>
      <c r="N6" s="85" t="s">
        <v>177</v>
      </c>
      <c r="O6" s="88">
        <v>0.16666666666666666</v>
      </c>
      <c r="P6" s="85" t="s">
        <v>178</v>
      </c>
      <c r="Q6" s="89">
        <v>8108.75</v>
      </c>
      <c r="R6" s="85" t="s">
        <v>178</v>
      </c>
      <c r="S6" s="89">
        <v>-7207.3170731707314</v>
      </c>
      <c r="T6" s="85" t="s">
        <v>179</v>
      </c>
      <c r="U6" s="87">
        <v>6.0606060606060608E-2</v>
      </c>
      <c r="V6" s="85" t="s">
        <v>195</v>
      </c>
      <c r="W6" s="87">
        <v>0.14285714285714285</v>
      </c>
      <c r="X6" s="85" t="s">
        <v>126</v>
      </c>
      <c r="Y6" s="88">
        <v>0.2521186440677966</v>
      </c>
      <c r="Z6" s="85" t="s">
        <v>143</v>
      </c>
      <c r="AA6" s="88">
        <v>0.24699599465954605</v>
      </c>
      <c r="AB6" s="85" t="s">
        <v>127</v>
      </c>
      <c r="AC6" s="88">
        <v>0.56730769230769229</v>
      </c>
      <c r="AD6" s="85" t="s">
        <v>143</v>
      </c>
      <c r="AE6" s="88">
        <v>0.41981981981981981</v>
      </c>
      <c r="AF6" s="85" t="s">
        <v>182</v>
      </c>
      <c r="AG6" s="88">
        <v>0.4375</v>
      </c>
      <c r="AH6" s="85" t="s">
        <v>166</v>
      </c>
      <c r="AI6" s="92">
        <v>86900</v>
      </c>
    </row>
    <row r="7" spans="1:35" x14ac:dyDescent="0.4">
      <c r="A7" s="82">
        <v>5</v>
      </c>
      <c r="B7" s="83" t="s">
        <v>177</v>
      </c>
      <c r="C7" s="84">
        <v>-10.999999999999972</v>
      </c>
      <c r="D7" s="85" t="s">
        <v>177</v>
      </c>
      <c r="E7" s="97">
        <v>-0.39285714285714185</v>
      </c>
      <c r="F7" s="85" t="s">
        <v>143</v>
      </c>
      <c r="G7" s="86">
        <v>2</v>
      </c>
      <c r="H7" s="85" t="s">
        <v>177</v>
      </c>
      <c r="I7" s="87">
        <v>0.35714285714285715</v>
      </c>
      <c r="J7" s="85" t="s">
        <v>143</v>
      </c>
      <c r="K7" s="87">
        <v>0.33333333333333331</v>
      </c>
      <c r="L7" s="85" t="s">
        <v>179</v>
      </c>
      <c r="M7" s="88">
        <v>0.28521126760563381</v>
      </c>
      <c r="N7" s="85" t="s">
        <v>166</v>
      </c>
      <c r="O7" s="88">
        <v>0.17040358744394618</v>
      </c>
      <c r="P7" s="85" t="s">
        <v>126</v>
      </c>
      <c r="Q7" s="89">
        <v>8076.687116564417</v>
      </c>
      <c r="R7" s="85" t="s">
        <v>179</v>
      </c>
      <c r="S7" s="89">
        <v>-7358.181818181818</v>
      </c>
      <c r="T7" s="85" t="s">
        <v>178</v>
      </c>
      <c r="U7" s="87">
        <v>0.1111111111111111</v>
      </c>
      <c r="V7" s="85" t="s">
        <v>143</v>
      </c>
      <c r="W7" s="87">
        <v>0.1111111111111111</v>
      </c>
      <c r="X7" s="85" t="s">
        <v>143</v>
      </c>
      <c r="Y7" s="88">
        <v>0.24477080551846908</v>
      </c>
      <c r="Z7" s="85" t="s">
        <v>166</v>
      </c>
      <c r="AA7" s="88">
        <v>0.23318385650224216</v>
      </c>
      <c r="AB7" s="85" t="s">
        <v>143</v>
      </c>
      <c r="AC7" s="88">
        <v>0.55636363636363639</v>
      </c>
      <c r="AD7" s="85" t="s">
        <v>178</v>
      </c>
      <c r="AE7" s="88">
        <v>0.40476190476190477</v>
      </c>
      <c r="AF7" s="85" t="s">
        <v>178</v>
      </c>
      <c r="AG7" s="88">
        <v>0.42499999999999999</v>
      </c>
      <c r="AH7" s="85" t="s">
        <v>126</v>
      </c>
      <c r="AI7" s="92">
        <v>86200</v>
      </c>
    </row>
    <row r="8" spans="1:35" x14ac:dyDescent="0.4">
      <c r="A8" s="82">
        <v>6</v>
      </c>
      <c r="B8" s="83" t="s">
        <v>178</v>
      </c>
      <c r="C8" s="84">
        <v>-65.399999999999977</v>
      </c>
      <c r="D8" s="85" t="s">
        <v>178</v>
      </c>
      <c r="E8" s="97">
        <v>-1.816666666666666</v>
      </c>
      <c r="F8" s="85" t="s">
        <v>166</v>
      </c>
      <c r="G8" s="86">
        <v>2.1153846153846154</v>
      </c>
      <c r="H8" s="85" t="s">
        <v>143</v>
      </c>
      <c r="I8" s="87">
        <v>0.33333333333333331</v>
      </c>
      <c r="J8" s="85" t="s">
        <v>178</v>
      </c>
      <c r="K8" s="87">
        <v>0.3611111111111111</v>
      </c>
      <c r="L8" s="85" t="s">
        <v>178</v>
      </c>
      <c r="M8" s="88">
        <v>0.27397260273972601</v>
      </c>
      <c r="N8" s="85" t="s">
        <v>143</v>
      </c>
      <c r="O8" s="88">
        <v>0.17044948820649755</v>
      </c>
      <c r="P8" s="85" t="s">
        <v>181</v>
      </c>
      <c r="Q8" s="89">
        <v>7779.411764705882</v>
      </c>
      <c r="R8" s="85" t="s">
        <v>127</v>
      </c>
      <c r="S8" s="89">
        <v>-7609.090909090909</v>
      </c>
      <c r="T8" s="85" t="s">
        <v>143</v>
      </c>
      <c r="U8" s="87">
        <v>0.1111111111111111</v>
      </c>
      <c r="V8" s="85" t="s">
        <v>126</v>
      </c>
      <c r="W8" s="87">
        <v>0.10344827586206896</v>
      </c>
      <c r="X8" s="85" t="s">
        <v>195</v>
      </c>
      <c r="Y8" s="88">
        <v>0.24193548387096775</v>
      </c>
      <c r="Z8" s="85" t="s">
        <v>126</v>
      </c>
      <c r="AA8" s="88">
        <v>0.23305084745762711</v>
      </c>
      <c r="AB8" s="85" t="s">
        <v>195</v>
      </c>
      <c r="AC8" s="88">
        <v>0.53333333333333333</v>
      </c>
      <c r="AD8" s="85" t="s">
        <v>127</v>
      </c>
      <c r="AE8" s="88">
        <v>0.40140845070422537</v>
      </c>
      <c r="AF8" s="85" t="s">
        <v>143</v>
      </c>
      <c r="AG8" s="88">
        <v>0.41754916792738278</v>
      </c>
      <c r="AH8" s="85" t="s">
        <v>182</v>
      </c>
      <c r="AI8" s="92">
        <v>85100</v>
      </c>
    </row>
    <row r="9" spans="1:35" x14ac:dyDescent="0.4">
      <c r="A9" s="82">
        <v>7</v>
      </c>
      <c r="B9" s="83" t="s">
        <v>195</v>
      </c>
      <c r="C9" s="84">
        <v>-104.80000000000001</v>
      </c>
      <c r="D9" s="85" t="s">
        <v>166</v>
      </c>
      <c r="E9" s="97">
        <v>-4.7346153846153856</v>
      </c>
      <c r="F9" s="85" t="s">
        <v>178</v>
      </c>
      <c r="G9" s="86">
        <v>2.1388888888888888</v>
      </c>
      <c r="H9" s="85" t="s">
        <v>166</v>
      </c>
      <c r="I9" s="87">
        <v>0.30769230769230771</v>
      </c>
      <c r="J9" s="85" t="s">
        <v>166</v>
      </c>
      <c r="K9" s="87">
        <v>0.42307692307692307</v>
      </c>
      <c r="L9" s="85" t="s">
        <v>177</v>
      </c>
      <c r="M9" s="88">
        <v>0.25925925925925924</v>
      </c>
      <c r="N9" s="85" t="s">
        <v>195</v>
      </c>
      <c r="O9" s="88">
        <v>0.19354838709677419</v>
      </c>
      <c r="P9" s="85" t="s">
        <v>182</v>
      </c>
      <c r="Q9" s="89">
        <v>7496.875</v>
      </c>
      <c r="R9" s="85" t="s">
        <v>143</v>
      </c>
      <c r="S9" s="89">
        <v>-7647.258485639687</v>
      </c>
      <c r="T9" s="85" t="s">
        <v>127</v>
      </c>
      <c r="U9" s="87">
        <v>0.13725490196078433</v>
      </c>
      <c r="V9" s="85" t="s">
        <v>178</v>
      </c>
      <c r="W9" s="87">
        <v>8.3333333333333329E-2</v>
      </c>
      <c r="X9" s="85" t="s">
        <v>127</v>
      </c>
      <c r="Y9" s="88">
        <v>0.23744292237442921</v>
      </c>
      <c r="Z9" s="85" t="s">
        <v>177</v>
      </c>
      <c r="AA9" s="88">
        <v>0.21759259259259259</v>
      </c>
      <c r="AB9" s="85" t="s">
        <v>178</v>
      </c>
      <c r="AC9" s="88">
        <v>0.52173913043478259</v>
      </c>
      <c r="AD9" s="85" t="s">
        <v>182</v>
      </c>
      <c r="AE9" s="88">
        <v>0.33333333333333331</v>
      </c>
      <c r="AF9" s="85" t="s">
        <v>126</v>
      </c>
      <c r="AG9" s="88">
        <v>0.3987730061349693</v>
      </c>
      <c r="AH9" s="85" t="s">
        <v>177</v>
      </c>
      <c r="AI9" s="92">
        <v>83000</v>
      </c>
    </row>
    <row r="10" spans="1:35" x14ac:dyDescent="0.4">
      <c r="A10" s="82">
        <v>8</v>
      </c>
      <c r="B10" s="83" t="s">
        <v>166</v>
      </c>
      <c r="C10" s="84">
        <v>-123.10000000000002</v>
      </c>
      <c r="D10" s="85" t="s">
        <v>179</v>
      </c>
      <c r="E10" s="97">
        <v>-7.9181818181818189</v>
      </c>
      <c r="F10" s="85" t="s">
        <v>195</v>
      </c>
      <c r="G10" s="86">
        <v>2.1428571428571428</v>
      </c>
      <c r="H10" s="85" t="s">
        <v>178</v>
      </c>
      <c r="I10" s="87">
        <v>0.22222222222222221</v>
      </c>
      <c r="J10" s="85" t="s">
        <v>179</v>
      </c>
      <c r="K10" s="87">
        <v>0.45454545454545453</v>
      </c>
      <c r="L10" s="85" t="s">
        <v>166</v>
      </c>
      <c r="M10" s="88">
        <v>0.2556053811659193</v>
      </c>
      <c r="N10" s="85" t="s">
        <v>179</v>
      </c>
      <c r="O10" s="88">
        <v>0.19366197183098591</v>
      </c>
      <c r="P10" s="85" t="s">
        <v>195</v>
      </c>
      <c r="Q10" s="89">
        <v>7473.333333333333</v>
      </c>
      <c r="R10" s="85" t="s">
        <v>195</v>
      </c>
      <c r="S10" s="89">
        <v>-9075</v>
      </c>
      <c r="T10" s="85" t="s">
        <v>177</v>
      </c>
      <c r="U10" s="87">
        <v>0.17857142857142858</v>
      </c>
      <c r="V10" s="85" t="s">
        <v>179</v>
      </c>
      <c r="W10" s="87">
        <v>6.0606060606060608E-2</v>
      </c>
      <c r="X10" s="85" t="s">
        <v>178</v>
      </c>
      <c r="Y10" s="88">
        <v>0.2363013698630137</v>
      </c>
      <c r="Z10" s="85" t="s">
        <v>182</v>
      </c>
      <c r="AA10" s="88">
        <v>0.21019108280254778</v>
      </c>
      <c r="AB10" s="85" t="s">
        <v>182</v>
      </c>
      <c r="AC10" s="88">
        <v>0.51515151515151514</v>
      </c>
      <c r="AD10" s="85" t="s">
        <v>181</v>
      </c>
      <c r="AE10" s="88">
        <v>0.33333333333333331</v>
      </c>
      <c r="AF10" s="85" t="s">
        <v>179</v>
      </c>
      <c r="AG10" s="88">
        <v>0.39506172839506171</v>
      </c>
      <c r="AH10" s="85" t="s">
        <v>178</v>
      </c>
      <c r="AI10" s="92">
        <v>81700</v>
      </c>
    </row>
    <row r="11" spans="1:35" x14ac:dyDescent="0.4">
      <c r="A11" s="82">
        <v>9</v>
      </c>
      <c r="B11" s="83" t="s">
        <v>179</v>
      </c>
      <c r="C11" s="84">
        <v>-261.3</v>
      </c>
      <c r="D11" s="85" t="s">
        <v>195</v>
      </c>
      <c r="E11" s="97">
        <v>-14.971428571428573</v>
      </c>
      <c r="F11" s="85" t="s">
        <v>179</v>
      </c>
      <c r="G11" s="86">
        <v>2.2727272727272729</v>
      </c>
      <c r="H11" s="85" t="s">
        <v>179</v>
      </c>
      <c r="I11" s="87">
        <v>0.18181818181818182</v>
      </c>
      <c r="J11" s="85" t="s">
        <v>195</v>
      </c>
      <c r="K11" s="87">
        <v>0.5714285714285714</v>
      </c>
      <c r="L11" s="85" t="s">
        <v>195</v>
      </c>
      <c r="M11" s="88">
        <v>0.24193548387096775</v>
      </c>
      <c r="N11" s="85" t="s">
        <v>127</v>
      </c>
      <c r="O11" s="88">
        <v>0.20091324200913241</v>
      </c>
      <c r="P11" s="85" t="s">
        <v>166</v>
      </c>
      <c r="Q11" s="89">
        <v>7424.5614035087719</v>
      </c>
      <c r="R11" s="85" t="s">
        <v>182</v>
      </c>
      <c r="S11" s="89">
        <v>-9173.5294117647063</v>
      </c>
      <c r="T11" s="85" t="s">
        <v>182</v>
      </c>
      <c r="U11" s="87">
        <v>0.25</v>
      </c>
      <c r="V11" s="85" t="s">
        <v>182</v>
      </c>
      <c r="W11" s="87">
        <v>0.05</v>
      </c>
      <c r="X11" s="85" t="s">
        <v>182</v>
      </c>
      <c r="Y11" s="88">
        <v>0.21019108280254778</v>
      </c>
      <c r="Z11" s="85" t="s">
        <v>179</v>
      </c>
      <c r="AA11" s="88">
        <v>0.176056338028169</v>
      </c>
      <c r="AB11" s="85" t="s">
        <v>166</v>
      </c>
      <c r="AC11" s="88">
        <v>0.51282051282051277</v>
      </c>
      <c r="AD11" s="85" t="s">
        <v>166</v>
      </c>
      <c r="AE11" s="88">
        <v>0.32692307692307693</v>
      </c>
      <c r="AF11" s="85" t="s">
        <v>127</v>
      </c>
      <c r="AG11" s="88">
        <v>0.38461538461538464</v>
      </c>
      <c r="AH11" s="85" t="s">
        <v>179</v>
      </c>
      <c r="AI11" s="92">
        <v>69300</v>
      </c>
    </row>
    <row r="12" spans="1:35" x14ac:dyDescent="0.4">
      <c r="A12" s="82">
        <v>10</v>
      </c>
      <c r="B12" s="83" t="s">
        <v>182</v>
      </c>
      <c r="C12" s="84">
        <v>-428.10000000000008</v>
      </c>
      <c r="D12" s="85" t="s">
        <v>182</v>
      </c>
      <c r="E12" s="97">
        <v>-21.405000000000005</v>
      </c>
      <c r="F12" s="85" t="s">
        <v>182</v>
      </c>
      <c r="G12" s="86">
        <v>2.5499999999999998</v>
      </c>
      <c r="H12" s="85" t="s">
        <v>182</v>
      </c>
      <c r="I12" s="87">
        <v>0.05</v>
      </c>
      <c r="J12" s="85" t="s">
        <v>182</v>
      </c>
      <c r="K12" s="87">
        <v>0.6</v>
      </c>
      <c r="L12" s="85" t="s">
        <v>182</v>
      </c>
      <c r="M12" s="88">
        <v>0.20382165605095542</v>
      </c>
      <c r="N12" s="85" t="s">
        <v>182</v>
      </c>
      <c r="O12" s="88">
        <v>0.21656050955414013</v>
      </c>
      <c r="P12" s="85" t="s">
        <v>179</v>
      </c>
      <c r="Q12" s="89">
        <v>7334.5679012345681</v>
      </c>
      <c r="R12" s="85" t="s">
        <v>177</v>
      </c>
      <c r="S12" s="89">
        <v>-9508.3333333333339</v>
      </c>
      <c r="T12" s="85" t="s">
        <v>195</v>
      </c>
      <c r="U12" s="87">
        <v>0.5714285714285714</v>
      </c>
      <c r="V12" s="85" t="s">
        <v>166</v>
      </c>
      <c r="W12" s="87">
        <v>3.8461538461538464E-2</v>
      </c>
      <c r="X12" s="85" t="s">
        <v>166</v>
      </c>
      <c r="Y12" s="88">
        <v>0.17488789237668162</v>
      </c>
      <c r="Z12" s="85" t="s">
        <v>181</v>
      </c>
      <c r="AA12" s="88">
        <v>0.14563106796116504</v>
      </c>
      <c r="AB12" s="85" t="s">
        <v>177</v>
      </c>
      <c r="AC12" s="88">
        <v>0.41666666666666669</v>
      </c>
      <c r="AD12" s="85" t="s">
        <v>195</v>
      </c>
      <c r="AE12" s="88">
        <v>0.27272727272727271</v>
      </c>
      <c r="AF12" s="85" t="s">
        <v>195</v>
      </c>
      <c r="AG12" s="88">
        <v>0.33333333333333331</v>
      </c>
      <c r="AH12" s="85" t="s">
        <v>195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C538-582E-426A-AE2A-549E23CE829D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143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270</v>
      </c>
      <c r="C2" s="153"/>
      <c r="E2" s="62" t="s">
        <v>66</v>
      </c>
      <c r="F2" s="59" t="s">
        <v>22</v>
      </c>
      <c r="G2" s="46">
        <v>506</v>
      </c>
      <c r="H2" s="132">
        <f>IF(B$17=0,0,G2/B$17)</f>
        <v>0.76550680786686842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-22.471910112359552</v>
      </c>
      <c r="P2" s="118">
        <v>267</v>
      </c>
      <c r="Q2" s="102">
        <v>-6000</v>
      </c>
    </row>
    <row r="3" spans="1:17" x14ac:dyDescent="0.4">
      <c r="A3" s="55" t="s">
        <v>8</v>
      </c>
      <c r="B3" s="154">
        <v>2247</v>
      </c>
      <c r="C3" s="155"/>
      <c r="E3" s="63" t="s">
        <v>72</v>
      </c>
      <c r="F3" s="60" t="s">
        <v>27</v>
      </c>
      <c r="G3" s="47">
        <v>381</v>
      </c>
      <c r="H3" s="133">
        <f>IF(B$17=0,0,G3/B$17)</f>
        <v>0.57639939485627834</v>
      </c>
      <c r="I3" s="94">
        <v>4</v>
      </c>
      <c r="K3" s="38">
        <v>1</v>
      </c>
      <c r="L3" s="99">
        <v>-4.5999999999999996</v>
      </c>
      <c r="N3" s="115" t="s">
        <v>131</v>
      </c>
      <c r="O3" s="122">
        <f t="shared" si="0"/>
        <v>15.686274509803921</v>
      </c>
      <c r="P3" s="119">
        <v>255</v>
      </c>
      <c r="Q3" s="103">
        <v>4000</v>
      </c>
    </row>
    <row r="4" spans="1:17" x14ac:dyDescent="0.4">
      <c r="A4" s="55" t="s">
        <v>6</v>
      </c>
      <c r="B4" s="156">
        <v>-1.4210854715202004E-14</v>
      </c>
      <c r="C4" s="157"/>
      <c r="E4" s="63" t="s">
        <v>64</v>
      </c>
      <c r="F4" s="60" t="s">
        <v>20</v>
      </c>
      <c r="G4" s="47">
        <v>299</v>
      </c>
      <c r="H4" s="133">
        <f>IF(B$17=0,0,G4/B$17)</f>
        <v>0.45234493192133129</v>
      </c>
      <c r="I4" s="94">
        <v>5</v>
      </c>
      <c r="K4" s="38">
        <v>2</v>
      </c>
      <c r="L4" s="99">
        <v>45.6</v>
      </c>
      <c r="N4" s="115" t="s">
        <v>132</v>
      </c>
      <c r="O4" s="122">
        <f t="shared" si="0"/>
        <v>-20.080321285140563</v>
      </c>
      <c r="P4" s="119">
        <v>249</v>
      </c>
      <c r="Q4" s="103">
        <v>-5000</v>
      </c>
    </row>
    <row r="5" spans="1:17" x14ac:dyDescent="0.4">
      <c r="A5" s="55" t="s">
        <v>7</v>
      </c>
      <c r="B5" s="158">
        <f>IF(B$2=0,0,B$4/B$2)</f>
        <v>-5.2632795241488905E-17</v>
      </c>
      <c r="C5" s="159"/>
      <c r="E5" s="63" t="s">
        <v>171</v>
      </c>
      <c r="F5" s="60" t="s">
        <v>172</v>
      </c>
      <c r="G5" s="47">
        <v>240</v>
      </c>
      <c r="H5" s="133">
        <f>IF(B$17=0,0,G5/B$17)</f>
        <v>0.36308623298033282</v>
      </c>
      <c r="I5" s="94">
        <v>4</v>
      </c>
      <c r="K5" s="38">
        <v>3</v>
      </c>
      <c r="L5" s="99">
        <v>0</v>
      </c>
      <c r="N5" s="115" t="s">
        <v>133</v>
      </c>
      <c r="O5" s="122">
        <f t="shared" si="0"/>
        <v>17.094017094017094</v>
      </c>
      <c r="P5" s="119">
        <v>234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67</v>
      </c>
      <c r="F6" s="60" t="s">
        <v>23</v>
      </c>
      <c r="G6" s="47">
        <v>197</v>
      </c>
      <c r="H6" s="133">
        <f>IF(B$17=0,0,G6/B$17)</f>
        <v>0.29803328290468989</v>
      </c>
      <c r="I6" s="94">
        <v>6</v>
      </c>
      <c r="K6" s="38">
        <v>4</v>
      </c>
      <c r="L6" s="99">
        <v>24.5</v>
      </c>
      <c r="N6" s="115" t="s">
        <v>134</v>
      </c>
      <c r="O6" s="122">
        <f t="shared" si="0"/>
        <v>13.888888888888889</v>
      </c>
      <c r="P6" s="119">
        <v>216</v>
      </c>
      <c r="Q6" s="103">
        <v>3000</v>
      </c>
    </row>
    <row r="7" spans="1:17" x14ac:dyDescent="0.4">
      <c r="A7" s="55" t="s">
        <v>2</v>
      </c>
      <c r="B7" s="47">
        <v>90</v>
      </c>
      <c r="C7" s="39">
        <f t="shared" ref="C7:C12" si="1">IF(B$2=0,0,B7/B$2)</f>
        <v>0.33333333333333331</v>
      </c>
      <c r="E7" s="63" t="s">
        <v>68</v>
      </c>
      <c r="F7" s="60" t="s">
        <v>12</v>
      </c>
      <c r="G7" s="47">
        <v>193</v>
      </c>
      <c r="H7" s="133">
        <f>IF(B$17=0,0,G7/B$17)</f>
        <v>0.291981845688351</v>
      </c>
      <c r="I7" s="94">
        <v>6</v>
      </c>
      <c r="K7" s="38">
        <v>5</v>
      </c>
      <c r="L7" s="99">
        <v>-11.299999999999997</v>
      </c>
      <c r="N7" s="116" t="s">
        <v>135</v>
      </c>
      <c r="O7" s="123">
        <f t="shared" si="0"/>
        <v>0</v>
      </c>
      <c r="P7" s="120">
        <v>177</v>
      </c>
      <c r="Q7" s="104">
        <v>0</v>
      </c>
    </row>
    <row r="8" spans="1:17" x14ac:dyDescent="0.4">
      <c r="A8" s="55" t="s">
        <v>3</v>
      </c>
      <c r="B8" s="47">
        <v>90</v>
      </c>
      <c r="C8" s="39">
        <f t="shared" si="1"/>
        <v>0.33333333333333331</v>
      </c>
      <c r="E8" s="63" t="s">
        <v>89</v>
      </c>
      <c r="F8" s="60" t="s">
        <v>44</v>
      </c>
      <c r="G8" s="47">
        <v>91</v>
      </c>
      <c r="H8" s="133">
        <f>IF(B$17=0,0,G8/B$17)</f>
        <v>0.13767019667170954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90</v>
      </c>
      <c r="C9" s="40">
        <f t="shared" si="1"/>
        <v>0.33333333333333331</v>
      </c>
      <c r="E9" s="63" t="s">
        <v>69</v>
      </c>
      <c r="F9" s="60" t="s">
        <v>24</v>
      </c>
      <c r="G9" s="47">
        <v>83</v>
      </c>
      <c r="H9" s="133">
        <f>IF(B$17=0,0,G9/B$17)</f>
        <v>0.12556732223903178</v>
      </c>
      <c r="I9" s="94">
        <v>6</v>
      </c>
      <c r="K9" s="38">
        <v>7</v>
      </c>
      <c r="L9" s="99">
        <v>-37.799999999999997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30</v>
      </c>
      <c r="C10" s="40">
        <f t="shared" si="1"/>
        <v>0.1111111111111111</v>
      </c>
      <c r="E10" s="63" t="s">
        <v>65</v>
      </c>
      <c r="F10" s="60" t="s">
        <v>21</v>
      </c>
      <c r="G10" s="47">
        <v>62</v>
      </c>
      <c r="H10" s="133">
        <f>IF(B$17=0,0,G10/B$17)</f>
        <v>9.3797276853252648E-2</v>
      </c>
      <c r="I10" s="94">
        <v>5</v>
      </c>
      <c r="K10" s="38">
        <v>8</v>
      </c>
      <c r="L10" s="99">
        <v>-46.9</v>
      </c>
      <c r="N10" s="114" t="s">
        <v>162</v>
      </c>
      <c r="O10" s="124">
        <f>IF(P10=0,0,Q10/P10)</f>
        <v>1.6722222222222209</v>
      </c>
      <c r="P10" s="118">
        <v>90</v>
      </c>
      <c r="Q10" s="106">
        <v>150.49999999999989</v>
      </c>
    </row>
    <row r="11" spans="1:17" x14ac:dyDescent="0.4">
      <c r="A11" s="56" t="s">
        <v>138</v>
      </c>
      <c r="B11" s="48">
        <v>30</v>
      </c>
      <c r="C11" s="40">
        <f t="shared" si="1"/>
        <v>0.1111111111111111</v>
      </c>
      <c r="E11" s="63" t="s">
        <v>70</v>
      </c>
      <c r="F11" s="60" t="s">
        <v>25</v>
      </c>
      <c r="G11" s="47">
        <v>54</v>
      </c>
      <c r="H11" s="133">
        <f>IF(B$17=0,0,G11/B$17)</f>
        <v>8.169440242057488E-2</v>
      </c>
      <c r="I11" s="94">
        <v>4</v>
      </c>
      <c r="K11" s="38">
        <v>9</v>
      </c>
      <c r="L11" s="99">
        <v>0</v>
      </c>
      <c r="N11" s="115" t="s">
        <v>163</v>
      </c>
      <c r="O11" s="125">
        <f>IF(P11=0,0,Q11/P11)</f>
        <v>-0.24999999999999975</v>
      </c>
      <c r="P11" s="119">
        <v>90</v>
      </c>
      <c r="Q11" s="107">
        <v>-22.499999999999979</v>
      </c>
    </row>
    <row r="12" spans="1:17" x14ac:dyDescent="0.4">
      <c r="A12" s="57" t="s">
        <v>158</v>
      </c>
      <c r="B12" s="49">
        <v>26</v>
      </c>
      <c r="C12" s="42">
        <f t="shared" si="1"/>
        <v>9.6296296296296297E-2</v>
      </c>
      <c r="E12" s="63" t="s">
        <v>71</v>
      </c>
      <c r="F12" s="60" t="s">
        <v>26</v>
      </c>
      <c r="G12" s="47">
        <v>48</v>
      </c>
      <c r="H12" s="133">
        <f>IF(B$17=0,0,G12/B$17)</f>
        <v>7.2617246596066568E-2</v>
      </c>
      <c r="I12" s="94">
        <v>5</v>
      </c>
      <c r="K12" s="38">
        <v>10</v>
      </c>
      <c r="L12" s="99">
        <v>-12</v>
      </c>
      <c r="N12" s="116" t="s">
        <v>164</v>
      </c>
      <c r="O12" s="126">
        <f>IF(P12=0,0,Q12/P12)</f>
        <v>-1.4222222222222225</v>
      </c>
      <c r="P12" s="120">
        <v>90</v>
      </c>
      <c r="Q12" s="108">
        <v>-128.00000000000003</v>
      </c>
    </row>
    <row r="13" spans="1:17" x14ac:dyDescent="0.4">
      <c r="A13" s="58" t="s">
        <v>121</v>
      </c>
      <c r="B13" s="50">
        <v>550</v>
      </c>
      <c r="C13" s="44">
        <f>IF(B$3=0,0,B13/B$3)</f>
        <v>0.24477080551846908</v>
      </c>
      <c r="E13" s="63" t="s">
        <v>83</v>
      </c>
      <c r="F13" s="60" t="s">
        <v>38</v>
      </c>
      <c r="G13" s="47">
        <v>38</v>
      </c>
      <c r="H13" s="133">
        <f>IF(B$17=0,0,G13/B$17)</f>
        <v>5.7488653555219364E-2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555</v>
      </c>
      <c r="C14" s="39">
        <f>IF(B$3=0,0,B14/B$3)</f>
        <v>0.24699599465954605</v>
      </c>
      <c r="E14" s="63" t="s">
        <v>86</v>
      </c>
      <c r="F14" s="60" t="s">
        <v>41</v>
      </c>
      <c r="G14" s="47">
        <v>29</v>
      </c>
      <c r="H14" s="133">
        <f>IF(B$17=0,0,G14/B$17)</f>
        <v>4.3872919818456882E-2</v>
      </c>
      <c r="I14" s="94">
        <v>5</v>
      </c>
      <c r="K14" s="38">
        <v>12</v>
      </c>
      <c r="L14" s="99">
        <v>0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306</v>
      </c>
      <c r="C15" s="37">
        <f>IF(B$13=0,0,B15/B$13)</f>
        <v>0.55636363636363639</v>
      </c>
      <c r="E15" s="63" t="s">
        <v>78</v>
      </c>
      <c r="F15" s="60" t="s">
        <v>33</v>
      </c>
      <c r="G15" s="47">
        <v>15</v>
      </c>
      <c r="H15" s="133">
        <f>IF(B$17=0,0,G15/B$17)</f>
        <v>2.2692889561270801E-2</v>
      </c>
      <c r="I15" s="94">
        <v>6</v>
      </c>
      <c r="K15" s="38">
        <v>13</v>
      </c>
      <c r="L15" s="99">
        <v>-1.7</v>
      </c>
      <c r="N15" s="114" t="s">
        <v>182</v>
      </c>
      <c r="O15" s="124">
        <f>IF(P15=0,0,Q15/P15)</f>
        <v>32.107500000000002</v>
      </c>
      <c r="P15" s="118">
        <v>40</v>
      </c>
      <c r="Q15" s="106">
        <v>1284.3</v>
      </c>
    </row>
    <row r="16" spans="1:17" x14ac:dyDescent="0.4">
      <c r="A16" s="54" t="s">
        <v>124</v>
      </c>
      <c r="B16" s="46">
        <v>233</v>
      </c>
      <c r="C16" s="37">
        <f>IF(B$14=0,0,B16/B$14)</f>
        <v>0.41981981981981981</v>
      </c>
      <c r="E16" s="63" t="s">
        <v>81</v>
      </c>
      <c r="F16" s="60" t="s">
        <v>36</v>
      </c>
      <c r="G16" s="47">
        <v>12</v>
      </c>
      <c r="H16" s="133">
        <f>IF(B$17=0,0,G16/B$17)</f>
        <v>1.8154311649016642E-2</v>
      </c>
      <c r="I16" s="94">
        <v>6</v>
      </c>
      <c r="K16" s="38">
        <v>14</v>
      </c>
      <c r="L16" s="99">
        <v>24.3</v>
      </c>
      <c r="N16" s="115" t="s">
        <v>195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661</v>
      </c>
      <c r="C17" s="37">
        <f>IF(B$3=0,0,B17/B$3)</f>
        <v>0.29417000445037828</v>
      </c>
      <c r="E17" s="63" t="s">
        <v>79</v>
      </c>
      <c r="F17" s="60" t="s">
        <v>34</v>
      </c>
      <c r="G17" s="47">
        <v>10</v>
      </c>
      <c r="H17" s="133">
        <f>IF(B$17=0,0,G17/B$17)</f>
        <v>1.5128593040847202E-2</v>
      </c>
      <c r="I17" s="94">
        <v>4</v>
      </c>
      <c r="K17" s="38">
        <v>15</v>
      </c>
      <c r="L17" s="99">
        <v>0</v>
      </c>
      <c r="N17" s="115" t="s">
        <v>179</v>
      </c>
      <c r="O17" s="125">
        <f>IF(P17=0,0,Q17/P17)</f>
        <v>11.877272727272732</v>
      </c>
      <c r="P17" s="119">
        <v>66</v>
      </c>
      <c r="Q17" s="107">
        <v>783.90000000000032</v>
      </c>
    </row>
    <row r="18" spans="1:17" x14ac:dyDescent="0.4">
      <c r="A18" s="55" t="s">
        <v>12</v>
      </c>
      <c r="B18" s="47">
        <v>276</v>
      </c>
      <c r="C18" s="39">
        <f>IF(B$17=0,0,B18/B$17)</f>
        <v>0.41754916792738278</v>
      </c>
      <c r="E18" s="63" t="s">
        <v>91</v>
      </c>
      <c r="F18" s="60" t="s">
        <v>46</v>
      </c>
      <c r="G18" s="47">
        <v>10</v>
      </c>
      <c r="H18" s="133">
        <f>IF(B$17=0,0,G18/B$17)</f>
        <v>1.5128593040847202E-2</v>
      </c>
      <c r="I18" s="94">
        <v>4</v>
      </c>
      <c r="K18" s="38">
        <v>16</v>
      </c>
      <c r="L18" s="99">
        <v>-28.2</v>
      </c>
      <c r="N18" s="115" t="s">
        <v>166</v>
      </c>
      <c r="O18" s="125">
        <f>IF(P18=0,0,Q18/P18)</f>
        <v>7.1019230769230761</v>
      </c>
      <c r="P18" s="119">
        <v>52</v>
      </c>
      <c r="Q18" s="107">
        <v>369.29999999999995</v>
      </c>
    </row>
    <row r="19" spans="1:17" x14ac:dyDescent="0.4">
      <c r="A19" s="55" t="s">
        <v>11</v>
      </c>
      <c r="B19" s="47">
        <v>385</v>
      </c>
      <c r="C19" s="39">
        <f>IF(B$17=0,0,B19/B$17)</f>
        <v>0.58245083207261727</v>
      </c>
      <c r="E19" s="63" t="s">
        <v>167</v>
      </c>
      <c r="F19" s="60" t="s">
        <v>168</v>
      </c>
      <c r="G19" s="47">
        <v>8</v>
      </c>
      <c r="H19" s="133">
        <f>IF(B$17=0,0,G19/B$17)</f>
        <v>1.2102874432677761E-2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>IF(P19=0,0,Q19/P19)</f>
        <v>2.7250000000000001</v>
      </c>
      <c r="P19" s="119">
        <v>72</v>
      </c>
      <c r="Q19" s="107">
        <v>196.20000000000002</v>
      </c>
    </row>
    <row r="20" spans="1:17" x14ac:dyDescent="0.4">
      <c r="A20" s="55" t="s">
        <v>13</v>
      </c>
      <c r="B20" s="47">
        <v>383</v>
      </c>
      <c r="C20" s="39">
        <f>IF(B$3=0,0,B20/B$3)</f>
        <v>0.17044948820649755</v>
      </c>
      <c r="E20" s="63" t="s">
        <v>92</v>
      </c>
      <c r="F20" s="60" t="s">
        <v>47</v>
      </c>
      <c r="G20" s="47">
        <v>5</v>
      </c>
      <c r="H20" s="133">
        <f>IF(B$17=0,0,G20/B$17)</f>
        <v>7.5642965204236008E-3</v>
      </c>
      <c r="I20" s="94">
        <v>3</v>
      </c>
      <c r="K20" s="38">
        <v>18</v>
      </c>
      <c r="L20" s="99">
        <v>0</v>
      </c>
      <c r="N20" s="115" t="s">
        <v>177</v>
      </c>
      <c r="O20" s="125">
        <f>IF(P20=0,0,Q20/P20)</f>
        <v>0.5892857142857133</v>
      </c>
      <c r="P20" s="119">
        <v>56</v>
      </c>
      <c r="Q20" s="107">
        <v>32.999999999999943</v>
      </c>
    </row>
    <row r="21" spans="1:17" x14ac:dyDescent="0.4">
      <c r="A21" s="55" t="s">
        <v>169</v>
      </c>
      <c r="B21" s="47">
        <v>7</v>
      </c>
      <c r="C21" s="135">
        <v>3</v>
      </c>
      <c r="E21" s="63" t="s">
        <v>77</v>
      </c>
      <c r="F21" s="60" t="s">
        <v>32</v>
      </c>
      <c r="G21" s="47">
        <v>4</v>
      </c>
      <c r="H21" s="133">
        <f>IF(B$17=0,0,G21/B$17)</f>
        <v>6.0514372163388806E-3</v>
      </c>
      <c r="I21" s="94">
        <v>3</v>
      </c>
      <c r="K21" s="38">
        <v>19</v>
      </c>
      <c r="L21" s="99">
        <v>-22.4</v>
      </c>
      <c r="N21" s="115" t="s">
        <v>127</v>
      </c>
      <c r="O21" s="125">
        <f>IF(P21=0,0,Q21/P21)</f>
        <v>-7.9411764705882399</v>
      </c>
      <c r="P21" s="119">
        <v>102</v>
      </c>
      <c r="Q21" s="107">
        <v>-810.00000000000045</v>
      </c>
    </row>
    <row r="22" spans="1:17" x14ac:dyDescent="0.4">
      <c r="A22" s="55" t="s">
        <v>170</v>
      </c>
      <c r="B22" s="47">
        <v>26</v>
      </c>
      <c r="C22" s="135">
        <v>5</v>
      </c>
      <c r="E22" s="63" t="s">
        <v>85</v>
      </c>
      <c r="F22" s="60" t="s">
        <v>40</v>
      </c>
      <c r="G22" s="47">
        <v>4</v>
      </c>
      <c r="H22" s="133">
        <f>IF(B$17=0,0,G22/B$17)</f>
        <v>6.0514372163388806E-3</v>
      </c>
      <c r="I22" s="94">
        <v>5</v>
      </c>
      <c r="K22" s="38">
        <v>20</v>
      </c>
      <c r="L22" s="99">
        <v>-61.199999999999996</v>
      </c>
      <c r="N22" s="115" t="s">
        <v>126</v>
      </c>
      <c r="O22" s="125">
        <f>IF(P22=0,0,Q22/P22)</f>
        <v>-15.4551724137931</v>
      </c>
      <c r="P22" s="119">
        <v>116</v>
      </c>
      <c r="Q22" s="107">
        <v>-1792.7999999999997</v>
      </c>
    </row>
    <row r="23" spans="1:17" x14ac:dyDescent="0.4">
      <c r="A23" s="55" t="s">
        <v>5</v>
      </c>
      <c r="B23" s="51">
        <f>IF(B$17=0,0,C23/B$17)</f>
        <v>8225.7186081694399</v>
      </c>
      <c r="C23" s="41">
        <v>5437200</v>
      </c>
      <c r="E23" s="63" t="s">
        <v>74</v>
      </c>
      <c r="F23" s="60" t="s">
        <v>29</v>
      </c>
      <c r="G23" s="47">
        <v>3</v>
      </c>
      <c r="H23" s="133">
        <f>IF(B$17=0,0,G23/B$17)</f>
        <v>4.5385779122541605E-3</v>
      </c>
      <c r="I23" s="94">
        <v>4</v>
      </c>
      <c r="K23" s="38">
        <v>21</v>
      </c>
      <c r="L23" s="99">
        <v>7.1054273576010019E-15</v>
      </c>
      <c r="N23" s="115" t="s">
        <v>181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6" t="s">
        <v>215</v>
      </c>
      <c r="B24" s="140">
        <f>IF(B$20=0,0,C24/B$20)</f>
        <v>-7647.258485639687</v>
      </c>
      <c r="C24" s="141">
        <v>-2928900</v>
      </c>
      <c r="E24" s="63" t="s">
        <v>75</v>
      </c>
      <c r="F24" s="60" t="s">
        <v>30</v>
      </c>
      <c r="G24" s="47">
        <v>3</v>
      </c>
      <c r="H24" s="133">
        <f>IF(B$17=0,0,G24/B$17)</f>
        <v>4.5385779122541605E-3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56" t="s">
        <v>216</v>
      </c>
      <c r="B25" s="140">
        <f>IF($B$17-B$16=0,0,C25/($B$17-B$16))</f>
        <v>8813.3177570093467</v>
      </c>
      <c r="C25" s="141">
        <v>3772100</v>
      </c>
      <c r="E25" s="63" t="s">
        <v>84</v>
      </c>
      <c r="F25" s="60" t="s">
        <v>39</v>
      </c>
      <c r="G25" s="47">
        <v>3</v>
      </c>
      <c r="H25" s="133">
        <f>IF(B$17=0,0,G25/B$17)</f>
        <v>4.5385779122541605E-3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7" t="s">
        <v>217</v>
      </c>
      <c r="B26" s="52">
        <f>IF(B$16=0,0,C26/B$16)</f>
        <v>7146.3519313304723</v>
      </c>
      <c r="C26" s="45">
        <v>1665100</v>
      </c>
      <c r="E26" s="63" t="s">
        <v>88</v>
      </c>
      <c r="F26" s="60" t="s">
        <v>43</v>
      </c>
      <c r="G26" s="47">
        <v>3</v>
      </c>
      <c r="H26" s="133">
        <f>IF(B$17=0,0,G26/B$17)</f>
        <v>4.5385779122541605E-3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90" t="s">
        <v>140</v>
      </c>
      <c r="B27" s="146">
        <v>8</v>
      </c>
      <c r="C27" s="147"/>
      <c r="E27" s="63" t="s">
        <v>87</v>
      </c>
      <c r="F27" s="60" t="s">
        <v>42</v>
      </c>
      <c r="G27" s="47">
        <v>1</v>
      </c>
      <c r="H27" s="133">
        <f>IF(B$17=0,0,G27/B$17)</f>
        <v>1.5128593040847202E-3</v>
      </c>
      <c r="I27" s="94">
        <v>2</v>
      </c>
      <c r="K27" s="38">
        <v>25</v>
      </c>
      <c r="L27" s="99">
        <v>15.000000000000007</v>
      </c>
    </row>
    <row r="28" spans="1:17" x14ac:dyDescent="0.4">
      <c r="A28" s="58" t="s">
        <v>150</v>
      </c>
      <c r="B28" s="144">
        <v>95200</v>
      </c>
      <c r="C28" s="145"/>
      <c r="E28" s="63" t="s">
        <v>90</v>
      </c>
      <c r="F28" s="60" t="s">
        <v>45</v>
      </c>
      <c r="G28" s="47">
        <v>1</v>
      </c>
      <c r="H28" s="133">
        <f>IF(B$17=0,0,G28/B$17)</f>
        <v>1.5128593040847202E-3</v>
      </c>
      <c r="I28" s="94">
        <v>2</v>
      </c>
      <c r="K28" s="38">
        <v>26</v>
      </c>
      <c r="L28" s="99">
        <v>0.60000000000000675</v>
      </c>
    </row>
    <row r="29" spans="1:17" x14ac:dyDescent="0.4">
      <c r="A29" s="57" t="s">
        <v>141</v>
      </c>
      <c r="B29" s="65">
        <v>8</v>
      </c>
      <c r="C29" s="42">
        <f>IF(B$3=0,0,B29/B$3)</f>
        <v>3.5603026257231864E-3</v>
      </c>
      <c r="E29" s="63" t="s">
        <v>93</v>
      </c>
      <c r="F29" s="60" t="s">
        <v>48</v>
      </c>
      <c r="G29" s="47">
        <v>1</v>
      </c>
      <c r="H29" s="133">
        <f>IF(B$17=0,0,G29/B$17)</f>
        <v>1.5128593040847202E-3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95</v>
      </c>
      <c r="F30" s="60" t="s">
        <v>50</v>
      </c>
      <c r="G30" s="47">
        <v>1</v>
      </c>
      <c r="H30" s="133">
        <f>IF(B$17=0,0,G30/B$17)</f>
        <v>1.5128593040847202E-3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101</v>
      </c>
      <c r="F31" s="60" t="s">
        <v>56</v>
      </c>
      <c r="G31" s="47">
        <v>1</v>
      </c>
      <c r="H31" s="133">
        <f>IF(B$17=0,0,G31/B$17)</f>
        <v>1.5128593040847202E-3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73</v>
      </c>
      <c r="F32" s="60" t="s">
        <v>28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76</v>
      </c>
      <c r="F33" s="60" t="s">
        <v>31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80</v>
      </c>
      <c r="F34" s="60" t="s">
        <v>35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82</v>
      </c>
      <c r="F35" s="60" t="s">
        <v>37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94</v>
      </c>
      <c r="F36" s="60" t="s">
        <v>49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96</v>
      </c>
      <c r="F37" s="60" t="s">
        <v>51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98</v>
      </c>
      <c r="F39" s="60" t="s">
        <v>53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  <row r="246" spans="11:12" x14ac:dyDescent="0.4">
      <c r="K246" s="38">
        <v>244</v>
      </c>
      <c r="L246" s="99">
        <v>34.099999999999966</v>
      </c>
    </row>
    <row r="247" spans="11:12" x14ac:dyDescent="0.4">
      <c r="K247" s="38">
        <v>245</v>
      </c>
      <c r="L247" s="99">
        <v>47.799999999999969</v>
      </c>
    </row>
    <row r="248" spans="11:12" x14ac:dyDescent="0.4">
      <c r="K248" s="38">
        <v>246</v>
      </c>
      <c r="L248" s="99">
        <v>-2.8421709430404007E-14</v>
      </c>
    </row>
    <row r="249" spans="11:12" x14ac:dyDescent="0.4">
      <c r="K249" s="38">
        <v>247</v>
      </c>
      <c r="L249" s="99">
        <v>-47.300000000000026</v>
      </c>
    </row>
    <row r="250" spans="11:12" x14ac:dyDescent="0.4">
      <c r="K250" s="38">
        <v>248</v>
      </c>
      <c r="L250" s="99">
        <v>-42.700000000000024</v>
      </c>
    </row>
    <row r="251" spans="11:12" x14ac:dyDescent="0.4">
      <c r="K251" s="38">
        <v>249</v>
      </c>
      <c r="L251" s="99">
        <v>-2.1316282072803006E-14</v>
      </c>
    </row>
    <row r="252" spans="11:12" x14ac:dyDescent="0.4">
      <c r="K252" s="38">
        <v>250</v>
      </c>
      <c r="L252" s="99">
        <v>-32.300000000000018</v>
      </c>
    </row>
    <row r="253" spans="11:12" x14ac:dyDescent="0.4">
      <c r="K253" s="38">
        <v>251</v>
      </c>
      <c r="L253" s="99">
        <v>-5.2000000000000171</v>
      </c>
    </row>
    <row r="254" spans="11:12" x14ac:dyDescent="0.4">
      <c r="K254" s="38">
        <v>252</v>
      </c>
      <c r="L254" s="99">
        <v>-1.6875389974302379E-14</v>
      </c>
    </row>
    <row r="255" spans="11:12" x14ac:dyDescent="0.4">
      <c r="K255" s="38">
        <v>253</v>
      </c>
      <c r="L255" s="99">
        <v>-2.9000000000000168</v>
      </c>
    </row>
    <row r="256" spans="11:12" x14ac:dyDescent="0.4">
      <c r="K256" s="38">
        <v>254</v>
      </c>
      <c r="L256" s="99">
        <v>15.099999999999984</v>
      </c>
    </row>
    <row r="257" spans="11:12" x14ac:dyDescent="0.4">
      <c r="K257" s="38">
        <v>255</v>
      </c>
      <c r="L257" s="99">
        <v>-1.5987211554602254E-14</v>
      </c>
    </row>
    <row r="258" spans="11:12" x14ac:dyDescent="0.4">
      <c r="K258" s="38">
        <v>256</v>
      </c>
      <c r="L258" s="99">
        <v>-45.100000000000016</v>
      </c>
    </row>
    <row r="259" spans="11:12" x14ac:dyDescent="0.4">
      <c r="K259" s="38">
        <v>257</v>
      </c>
      <c r="L259" s="99">
        <v>8.3999999999999844</v>
      </c>
    </row>
    <row r="260" spans="11:12" x14ac:dyDescent="0.4">
      <c r="K260" s="38">
        <v>258</v>
      </c>
      <c r="L260" s="99">
        <v>-1.5987211554602254E-14</v>
      </c>
    </row>
    <row r="261" spans="11:12" x14ac:dyDescent="0.4">
      <c r="K261" s="38">
        <v>259</v>
      </c>
      <c r="L261" s="99">
        <v>-27.500000000000014</v>
      </c>
    </row>
    <row r="262" spans="11:12" x14ac:dyDescent="0.4">
      <c r="K262" s="38">
        <v>260</v>
      </c>
      <c r="L262" s="99">
        <v>-7.0000000000000142</v>
      </c>
    </row>
    <row r="263" spans="11:12" x14ac:dyDescent="0.4">
      <c r="K263" s="38">
        <v>261</v>
      </c>
      <c r="L263" s="99">
        <v>-1.4210854715202004E-14</v>
      </c>
    </row>
    <row r="264" spans="11:12" x14ac:dyDescent="0.4">
      <c r="K264" s="38">
        <v>262</v>
      </c>
      <c r="L264" s="99">
        <v>6.0999999999999854</v>
      </c>
    </row>
    <row r="265" spans="11:12" x14ac:dyDescent="0.4">
      <c r="K265" s="38">
        <v>263</v>
      </c>
      <c r="L265" s="99">
        <v>-26.100000000000016</v>
      </c>
    </row>
    <row r="266" spans="11:12" x14ac:dyDescent="0.4">
      <c r="K266" s="38">
        <v>264</v>
      </c>
      <c r="L266" s="99">
        <v>-1.4210854715202004E-14</v>
      </c>
    </row>
    <row r="267" spans="11:12" x14ac:dyDescent="0.4">
      <c r="K267" s="38">
        <v>265</v>
      </c>
      <c r="L267" s="99">
        <v>14.099999999999985</v>
      </c>
    </row>
    <row r="268" spans="11:12" x14ac:dyDescent="0.4">
      <c r="K268" s="38">
        <v>266</v>
      </c>
      <c r="L268" s="99">
        <v>16.499999999999986</v>
      </c>
    </row>
    <row r="269" spans="11:12" x14ac:dyDescent="0.4">
      <c r="K269" s="38">
        <v>267</v>
      </c>
      <c r="L269" s="99">
        <v>-1.4210854715202004E-14</v>
      </c>
    </row>
    <row r="270" spans="11:12" x14ac:dyDescent="0.4">
      <c r="K270" s="38">
        <v>268</v>
      </c>
      <c r="L270" s="99">
        <v>4.4999999999999858</v>
      </c>
    </row>
    <row r="271" spans="11:12" x14ac:dyDescent="0.4">
      <c r="K271" s="38">
        <v>269</v>
      </c>
      <c r="L271" s="99">
        <v>-21.100000000000016</v>
      </c>
    </row>
    <row r="272" spans="11:12" x14ac:dyDescent="0.4">
      <c r="K272" s="38">
        <v>270</v>
      </c>
      <c r="L272" s="99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5191-B7DC-446D-9996-E515AF5DE722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166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26</v>
      </c>
      <c r="C2" s="153"/>
      <c r="E2" s="62" t="s">
        <v>66</v>
      </c>
      <c r="F2" s="59" t="s">
        <v>22</v>
      </c>
      <c r="G2" s="46">
        <v>34</v>
      </c>
      <c r="H2" s="132">
        <f>IF(B$17=0,0,G2/B$17)</f>
        <v>0.59649122807017541</v>
      </c>
      <c r="I2" s="93">
        <v>10</v>
      </c>
      <c r="K2" s="36">
        <v>0</v>
      </c>
      <c r="L2" s="98">
        <v>0</v>
      </c>
      <c r="N2" s="114" t="s">
        <v>130</v>
      </c>
      <c r="O2" s="121">
        <f t="shared" ref="O2:O7" si="0">IF(P2=0,0,Q2/P2)</f>
        <v>742.30769230769226</v>
      </c>
      <c r="P2" s="118">
        <v>26</v>
      </c>
      <c r="Q2" s="102">
        <v>19300</v>
      </c>
    </row>
    <row r="3" spans="1:17" x14ac:dyDescent="0.4">
      <c r="A3" s="55" t="s">
        <v>8</v>
      </c>
      <c r="B3" s="154">
        <v>223</v>
      </c>
      <c r="C3" s="155"/>
      <c r="E3" s="63" t="s">
        <v>72</v>
      </c>
      <c r="F3" s="60" t="s">
        <v>27</v>
      </c>
      <c r="G3" s="47">
        <v>27</v>
      </c>
      <c r="H3" s="133">
        <f>IF(B$17=0,0,G3/B$17)</f>
        <v>0.47368421052631576</v>
      </c>
      <c r="I3" s="94">
        <v>8</v>
      </c>
      <c r="K3" s="38">
        <v>1</v>
      </c>
      <c r="L3" s="99">
        <v>-4.5999999999999996</v>
      </c>
      <c r="N3" s="115" t="s">
        <v>131</v>
      </c>
      <c r="O3" s="122">
        <f t="shared" si="0"/>
        <v>-1040</v>
      </c>
      <c r="P3" s="119">
        <v>25</v>
      </c>
      <c r="Q3" s="103">
        <v>-26000</v>
      </c>
    </row>
    <row r="4" spans="1:17" x14ac:dyDescent="0.4">
      <c r="A4" s="55" t="s">
        <v>6</v>
      </c>
      <c r="B4" s="156">
        <v>-123.10000000000002</v>
      </c>
      <c r="C4" s="157"/>
      <c r="E4" s="63" t="s">
        <v>171</v>
      </c>
      <c r="F4" s="60" t="s">
        <v>172</v>
      </c>
      <c r="G4" s="47">
        <v>22</v>
      </c>
      <c r="H4" s="133">
        <f>IF(B$17=0,0,G4/B$17)</f>
        <v>0.38596491228070173</v>
      </c>
      <c r="I4" s="94">
        <v>3</v>
      </c>
      <c r="K4" s="38">
        <v>2</v>
      </c>
      <c r="L4" s="99">
        <v>19.899999999999999</v>
      </c>
      <c r="N4" s="115" t="s">
        <v>132</v>
      </c>
      <c r="O4" s="122">
        <f t="shared" si="0"/>
        <v>1212.5</v>
      </c>
      <c r="P4" s="119">
        <v>24</v>
      </c>
      <c r="Q4" s="103">
        <v>29100</v>
      </c>
    </row>
    <row r="5" spans="1:17" x14ac:dyDescent="0.4">
      <c r="A5" s="55" t="s">
        <v>7</v>
      </c>
      <c r="B5" s="158">
        <f>IF(B$2=0,0,B$4/B$2)</f>
        <v>-4.7346153846153856</v>
      </c>
      <c r="C5" s="159"/>
      <c r="E5" s="63" t="s">
        <v>64</v>
      </c>
      <c r="F5" s="60" t="s">
        <v>20</v>
      </c>
      <c r="G5" s="47">
        <v>18</v>
      </c>
      <c r="H5" s="133">
        <f>IF(B$17=0,0,G5/B$17)</f>
        <v>0.31578947368421051</v>
      </c>
      <c r="I5" s="94">
        <v>10</v>
      </c>
      <c r="K5" s="38">
        <v>3</v>
      </c>
      <c r="L5" s="99">
        <v>-8.3000000000000007</v>
      </c>
      <c r="N5" s="115" t="s">
        <v>133</v>
      </c>
      <c r="O5" s="122">
        <f t="shared" si="0"/>
        <v>-1525</v>
      </c>
      <c r="P5" s="119">
        <v>24</v>
      </c>
      <c r="Q5" s="103">
        <v>-36600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68</v>
      </c>
      <c r="F6" s="60" t="s">
        <v>12</v>
      </c>
      <c r="G6" s="47">
        <v>18</v>
      </c>
      <c r="H6" s="133">
        <f>IF(B$17=0,0,G6/B$17)</f>
        <v>0.31578947368421051</v>
      </c>
      <c r="I6" s="94">
        <v>3</v>
      </c>
      <c r="K6" s="38">
        <v>4</v>
      </c>
      <c r="L6" s="99">
        <v>-30.7</v>
      </c>
      <c r="N6" s="115" t="s">
        <v>134</v>
      </c>
      <c r="O6" s="122">
        <f t="shared" si="0"/>
        <v>-1200</v>
      </c>
      <c r="P6" s="119">
        <v>24</v>
      </c>
      <c r="Q6" s="103">
        <v>-28800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0.30769230769230771</v>
      </c>
      <c r="E7" s="63" t="s">
        <v>69</v>
      </c>
      <c r="F7" s="60" t="s">
        <v>24</v>
      </c>
      <c r="G7" s="47">
        <v>14</v>
      </c>
      <c r="H7" s="133">
        <f>IF(B$17=0,0,G7/B$17)</f>
        <v>0.24561403508771928</v>
      </c>
      <c r="I7" s="94">
        <v>1</v>
      </c>
      <c r="K7" s="38">
        <v>5</v>
      </c>
      <c r="L7" s="99">
        <v>-55.8</v>
      </c>
      <c r="N7" s="116" t="s">
        <v>135</v>
      </c>
      <c r="O7" s="123">
        <f t="shared" si="0"/>
        <v>-2750</v>
      </c>
      <c r="P7" s="120">
        <v>20</v>
      </c>
      <c r="Q7" s="104">
        <v>-55000</v>
      </c>
    </row>
    <row r="8" spans="1:17" x14ac:dyDescent="0.4">
      <c r="A8" s="55" t="s">
        <v>3</v>
      </c>
      <c r="B8" s="47">
        <v>7</v>
      </c>
      <c r="C8" s="39">
        <f t="shared" si="1"/>
        <v>0.26923076923076922</v>
      </c>
      <c r="E8" s="63" t="s">
        <v>70</v>
      </c>
      <c r="F8" s="60" t="s">
        <v>25</v>
      </c>
      <c r="G8" s="47">
        <v>10</v>
      </c>
      <c r="H8" s="133">
        <f>IF(B$17=0,0,G8/B$17)</f>
        <v>0.17543859649122806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0.42307692307692307</v>
      </c>
      <c r="E9" s="63" t="s">
        <v>67</v>
      </c>
      <c r="F9" s="60" t="s">
        <v>23</v>
      </c>
      <c r="G9" s="47">
        <v>8</v>
      </c>
      <c r="H9" s="133">
        <f>IF(B$17=0,0,G9/B$17)</f>
        <v>0.14035087719298245</v>
      </c>
      <c r="I9" s="94">
        <v>10</v>
      </c>
      <c r="K9" s="38">
        <v>7</v>
      </c>
      <c r="L9" s="99">
        <v>-71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7</v>
      </c>
      <c r="H10" s="133">
        <f>IF(B$17=0,0,G10/B$17)</f>
        <v>0.12280701754385964</v>
      </c>
      <c r="I10" s="94">
        <v>1</v>
      </c>
      <c r="K10" s="38">
        <v>8</v>
      </c>
      <c r="L10" s="99">
        <v>-76.900000000000006</v>
      </c>
      <c r="N10" s="114" t="s">
        <v>162</v>
      </c>
      <c r="O10" s="124">
        <f>IF(P10=0,0,Q10/P10)</f>
        <v>0.77777777777777801</v>
      </c>
      <c r="P10" s="118">
        <v>9</v>
      </c>
      <c r="Q10" s="106">
        <v>7.0000000000000018</v>
      </c>
    </row>
    <row r="11" spans="1:17" x14ac:dyDescent="0.4">
      <c r="A11" s="56" t="s">
        <v>138</v>
      </c>
      <c r="B11" s="48">
        <v>1</v>
      </c>
      <c r="C11" s="40">
        <f t="shared" si="1"/>
        <v>3.8461538461538464E-2</v>
      </c>
      <c r="E11" s="63" t="s">
        <v>65</v>
      </c>
      <c r="F11" s="60" t="s">
        <v>21</v>
      </c>
      <c r="G11" s="47">
        <v>6</v>
      </c>
      <c r="H11" s="133">
        <f>IF(B$17=0,0,G11/B$17)</f>
        <v>0.10526315789473684</v>
      </c>
      <c r="I11" s="94">
        <v>4</v>
      </c>
      <c r="K11" s="38">
        <v>9</v>
      </c>
      <c r="L11" s="99">
        <v>-59.500000000000007</v>
      </c>
      <c r="N11" s="115" t="s">
        <v>163</v>
      </c>
      <c r="O11" s="125">
        <f>IF(P11=0,0,Q11/P11)</f>
        <v>-17.25</v>
      </c>
      <c r="P11" s="119">
        <v>6</v>
      </c>
      <c r="Q11" s="107">
        <v>-103.5</v>
      </c>
    </row>
    <row r="12" spans="1:17" x14ac:dyDescent="0.4">
      <c r="A12" s="57" t="s">
        <v>158</v>
      </c>
      <c r="B12" s="49">
        <v>4</v>
      </c>
      <c r="C12" s="42">
        <f t="shared" si="1"/>
        <v>0.15384615384615385</v>
      </c>
      <c r="E12" s="63" t="s">
        <v>83</v>
      </c>
      <c r="F12" s="60" t="s">
        <v>38</v>
      </c>
      <c r="G12" s="47">
        <v>5</v>
      </c>
      <c r="H12" s="133">
        <f>IF(B$17=0,0,G12/B$17)</f>
        <v>8.771929824561403E-2</v>
      </c>
      <c r="I12" s="94">
        <v>2</v>
      </c>
      <c r="K12" s="38">
        <v>10</v>
      </c>
      <c r="L12" s="99">
        <v>-32.700000000000003</v>
      </c>
      <c r="N12" s="116" t="s">
        <v>164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121</v>
      </c>
      <c r="B13" s="50">
        <v>39</v>
      </c>
      <c r="C13" s="44">
        <f>IF(B$3=0,0,B13/B$3)</f>
        <v>0.17488789237668162</v>
      </c>
      <c r="E13" s="63" t="s">
        <v>89</v>
      </c>
      <c r="F13" s="60" t="s">
        <v>44</v>
      </c>
      <c r="G13" s="47">
        <v>3</v>
      </c>
      <c r="H13" s="133">
        <f>IF(B$17=0,0,G13/B$17)</f>
        <v>5.2631578947368418E-2</v>
      </c>
      <c r="I13" s="94">
        <v>10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52</v>
      </c>
      <c r="C14" s="39">
        <f>IF(B$3=0,0,B14/B$3)</f>
        <v>0.23318385650224216</v>
      </c>
      <c r="E14" s="63" t="s">
        <v>81</v>
      </c>
      <c r="F14" s="60" t="s">
        <v>36</v>
      </c>
      <c r="G14" s="47">
        <v>2</v>
      </c>
      <c r="H14" s="133">
        <f>IF(B$17=0,0,G14/B$17)</f>
        <v>3.5087719298245612E-2</v>
      </c>
      <c r="I14" s="94">
        <v>3</v>
      </c>
      <c r="K14" s="38">
        <v>12</v>
      </c>
      <c r="L14" s="99">
        <v>-59.5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20</v>
      </c>
      <c r="C15" s="37">
        <f>IF(B$13=0,0,B15/B$13)</f>
        <v>0.51282051282051277</v>
      </c>
      <c r="E15" s="63" t="s">
        <v>88</v>
      </c>
      <c r="F15" s="60" t="s">
        <v>43</v>
      </c>
      <c r="G15" s="47">
        <v>2</v>
      </c>
      <c r="H15" s="133">
        <f>IF(B$17=0,0,G15/B$17)</f>
        <v>3.5087719298245612E-2</v>
      </c>
      <c r="I15" s="94">
        <v>1</v>
      </c>
      <c r="K15" s="38">
        <v>13</v>
      </c>
      <c r="L15" s="99">
        <v>-66.2</v>
      </c>
      <c r="N15" s="114" t="s">
        <v>178</v>
      </c>
      <c r="O15" s="124">
        <f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124</v>
      </c>
      <c r="B16" s="46">
        <v>17</v>
      </c>
      <c r="C16" s="37">
        <f>IF(B$14=0,0,B16/B$14)</f>
        <v>0.32692307692307693</v>
      </c>
      <c r="E16" s="63" t="s">
        <v>77</v>
      </c>
      <c r="F16" s="60" t="s">
        <v>32</v>
      </c>
      <c r="G16" s="47">
        <v>1</v>
      </c>
      <c r="H16" s="133">
        <f>IF(B$17=0,0,G16/B$17)</f>
        <v>1.7543859649122806E-2</v>
      </c>
      <c r="I16" s="94">
        <v>2</v>
      </c>
      <c r="K16" s="38">
        <v>14</v>
      </c>
      <c r="L16" s="99">
        <v>-51.1</v>
      </c>
      <c r="N16" s="115" t="s">
        <v>127</v>
      </c>
      <c r="O16" s="125">
        <f>IF(P16=0,0,Q16/P16)</f>
        <v>-2.6909090909090909</v>
      </c>
      <c r="P16" s="119">
        <v>11</v>
      </c>
      <c r="Q16" s="107">
        <v>-29.6</v>
      </c>
    </row>
    <row r="17" spans="1:17" x14ac:dyDescent="0.4">
      <c r="A17" s="54" t="s">
        <v>10</v>
      </c>
      <c r="B17" s="46">
        <f>B19+B18</f>
        <v>57</v>
      </c>
      <c r="C17" s="37">
        <f>IF(B$3=0,0,B17/B$3)</f>
        <v>0.2556053811659193</v>
      </c>
      <c r="E17" s="63" t="s">
        <v>86</v>
      </c>
      <c r="F17" s="60" t="s">
        <v>41</v>
      </c>
      <c r="G17" s="47">
        <v>1</v>
      </c>
      <c r="H17" s="133">
        <f>IF(B$17=0,0,G17/B$17)</f>
        <v>1.7543859649122806E-2</v>
      </c>
      <c r="I17" s="94">
        <v>10</v>
      </c>
      <c r="K17" s="38">
        <v>15</v>
      </c>
      <c r="L17" s="99">
        <v>-65.2</v>
      </c>
      <c r="N17" s="115" t="s">
        <v>126</v>
      </c>
      <c r="O17" s="125">
        <f>IF(P17=0,0,Q17/P17)</f>
        <v>-4.5950000000000006</v>
      </c>
      <c r="P17" s="119">
        <v>20</v>
      </c>
      <c r="Q17" s="107">
        <v>-91.9</v>
      </c>
    </row>
    <row r="18" spans="1:17" x14ac:dyDescent="0.4">
      <c r="A18" s="55" t="s">
        <v>12</v>
      </c>
      <c r="B18" s="47">
        <v>27</v>
      </c>
      <c r="C18" s="39">
        <f>IF(B$17=0,0,B18/B$17)</f>
        <v>0.47368421052631576</v>
      </c>
      <c r="E18" s="63" t="s">
        <v>91</v>
      </c>
      <c r="F18" s="60" t="s">
        <v>46</v>
      </c>
      <c r="G18" s="47">
        <v>1</v>
      </c>
      <c r="H18" s="133">
        <f>IF(B$17=0,0,G18/B$17)</f>
        <v>1.7543859649122806E-2</v>
      </c>
      <c r="I18" s="94">
        <v>3</v>
      </c>
      <c r="K18" s="38">
        <v>16</v>
      </c>
      <c r="L18" s="99">
        <v>-70.600000000000009</v>
      </c>
      <c r="N18" s="115" t="s">
        <v>181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0.52631578947368418</v>
      </c>
      <c r="E19" s="63" t="s">
        <v>93</v>
      </c>
      <c r="F19" s="60" t="s">
        <v>48</v>
      </c>
      <c r="G19" s="47">
        <v>1</v>
      </c>
      <c r="H19" s="133">
        <f>IF(B$17=0,0,G19/B$17)</f>
        <v>1.7543859649122806E-2</v>
      </c>
      <c r="I19" s="94">
        <v>1</v>
      </c>
      <c r="K19" s="38">
        <v>17</v>
      </c>
      <c r="L19" s="99">
        <v>-65.2</v>
      </c>
      <c r="N19" s="115" t="s">
        <v>179</v>
      </c>
      <c r="O19" s="125">
        <f>IF(P19=0,0,Q19/P19)</f>
        <v>-18.450000000000003</v>
      </c>
      <c r="P19" s="119">
        <v>10</v>
      </c>
      <c r="Q19" s="107">
        <v>-184.50000000000003</v>
      </c>
    </row>
    <row r="20" spans="1:17" x14ac:dyDescent="0.4">
      <c r="A20" s="55" t="s">
        <v>13</v>
      </c>
      <c r="B20" s="47">
        <v>38</v>
      </c>
      <c r="C20" s="39">
        <f>IF(B$3=0,0,B20/B$3)</f>
        <v>0.17040358744394618</v>
      </c>
      <c r="E20" s="63" t="s">
        <v>73</v>
      </c>
      <c r="F20" s="60" t="s">
        <v>28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182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170</v>
      </c>
      <c r="B22" s="47">
        <v>23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7424.5614035087719</v>
      </c>
      <c r="C23" s="41">
        <v>423200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-111.4</v>
      </c>
    </row>
    <row r="24" spans="1:17" x14ac:dyDescent="0.4">
      <c r="A24" s="56" t="s">
        <v>215</v>
      </c>
      <c r="B24" s="140">
        <f>IF(B$20=0,0,C24/B$20)</f>
        <v>-6605.2631578947367</v>
      </c>
      <c r="C24" s="141">
        <v>-251000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56" t="s">
        <v>216</v>
      </c>
      <c r="B25" s="140">
        <f>IF($B$17-B$16=0,0,C25/($B$17-B$16))</f>
        <v>7877.5</v>
      </c>
      <c r="C25" s="141">
        <v>315100</v>
      </c>
      <c r="E25" s="63" t="s">
        <v>79</v>
      </c>
      <c r="F25" s="60" t="s">
        <v>34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7" t="s">
        <v>217</v>
      </c>
      <c r="B26" s="52">
        <f>IF(B$16=0,0,C26/B$16)</f>
        <v>6358.8235294117649</v>
      </c>
      <c r="C26" s="45">
        <v>108100</v>
      </c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90" t="s">
        <v>140</v>
      </c>
      <c r="B27" s="146">
        <v>3</v>
      </c>
      <c r="C27" s="147"/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-97.500000000000014</v>
      </c>
    </row>
    <row r="28" spans="1:17" x14ac:dyDescent="0.4">
      <c r="A28" s="58" t="s">
        <v>150</v>
      </c>
      <c r="B28" s="144">
        <v>86900</v>
      </c>
      <c r="C28" s="145"/>
      <c r="E28" s="63" t="s">
        <v>84</v>
      </c>
      <c r="F28" s="60" t="s">
        <v>39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-123.10000000000002</v>
      </c>
    </row>
    <row r="29" spans="1:17" x14ac:dyDescent="0.4">
      <c r="A29" s="57" t="s">
        <v>141</v>
      </c>
      <c r="B29" s="65">
        <v>2</v>
      </c>
      <c r="C29" s="42">
        <f>IF(B$3=0,0,B29/B$3)</f>
        <v>8.9686098654708519E-3</v>
      </c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87</v>
      </c>
      <c r="F30" s="60" t="s">
        <v>42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F8A69-095D-4D63-ACC3-F0FDCD9A6DDF}">
  <sheetPr codeName="Sheet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126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58</v>
      </c>
      <c r="C2" s="153"/>
      <c r="E2" s="62" t="s">
        <v>66</v>
      </c>
      <c r="F2" s="59" t="s">
        <v>22</v>
      </c>
      <c r="G2" s="46">
        <v>112</v>
      </c>
      <c r="H2" s="132">
        <f>IF(B$17=0,0,G2/B$17)</f>
        <v>0.68711656441717794</v>
      </c>
      <c r="I2" s="93">
        <v>8</v>
      </c>
      <c r="K2" s="36">
        <v>0</v>
      </c>
      <c r="L2" s="98">
        <v>0</v>
      </c>
      <c r="N2" s="114" t="s">
        <v>130</v>
      </c>
      <c r="O2" s="121">
        <f t="shared" ref="O2:O7" si="0">IF(P2=0,0,Q2/P2)</f>
        <v>650.87719298245611</v>
      </c>
      <c r="P2" s="118">
        <v>57</v>
      </c>
      <c r="Q2" s="102">
        <v>37100</v>
      </c>
    </row>
    <row r="3" spans="1:17" x14ac:dyDescent="0.4">
      <c r="A3" s="55" t="s">
        <v>8</v>
      </c>
      <c r="B3" s="154">
        <v>472</v>
      </c>
      <c r="C3" s="155"/>
      <c r="E3" s="63" t="s">
        <v>72</v>
      </c>
      <c r="F3" s="60" t="s">
        <v>27</v>
      </c>
      <c r="G3" s="47">
        <v>84</v>
      </c>
      <c r="H3" s="133">
        <f>IF(B$17=0,0,G3/B$17)</f>
        <v>0.51533742331288346</v>
      </c>
      <c r="I3" s="94">
        <v>6</v>
      </c>
      <c r="K3" s="38">
        <v>1</v>
      </c>
      <c r="L3" s="99">
        <v>50.2</v>
      </c>
      <c r="N3" s="115" t="s">
        <v>131</v>
      </c>
      <c r="O3" s="122">
        <f t="shared" si="0"/>
        <v>235.18518518518519</v>
      </c>
      <c r="P3" s="119">
        <v>54</v>
      </c>
      <c r="Q3" s="103">
        <v>12700</v>
      </c>
    </row>
    <row r="4" spans="1:17" x14ac:dyDescent="0.4">
      <c r="A4" s="55" t="s">
        <v>6</v>
      </c>
      <c r="B4" s="156">
        <v>597.59999999999991</v>
      </c>
      <c r="C4" s="157"/>
      <c r="E4" s="63" t="s">
        <v>64</v>
      </c>
      <c r="F4" s="60" t="s">
        <v>20</v>
      </c>
      <c r="G4" s="47">
        <v>68</v>
      </c>
      <c r="H4" s="133">
        <f>IF(B$17=0,0,G4/B$17)</f>
        <v>0.41717791411042943</v>
      </c>
      <c r="I4" s="94">
        <v>9</v>
      </c>
      <c r="K4" s="38">
        <v>2</v>
      </c>
      <c r="L4" s="99">
        <v>14.400000000000006</v>
      </c>
      <c r="N4" s="115" t="s">
        <v>132</v>
      </c>
      <c r="O4" s="122">
        <f t="shared" si="0"/>
        <v>-609.25925925925924</v>
      </c>
      <c r="P4" s="119">
        <v>54</v>
      </c>
      <c r="Q4" s="103">
        <v>-32900</v>
      </c>
    </row>
    <row r="5" spans="1:17" x14ac:dyDescent="0.4">
      <c r="A5" s="55" t="s">
        <v>7</v>
      </c>
      <c r="B5" s="158">
        <f>IF(B$2=0,0,B$4/B$2)</f>
        <v>10.303448275862067</v>
      </c>
      <c r="C5" s="159"/>
      <c r="E5" s="63" t="s">
        <v>171</v>
      </c>
      <c r="F5" s="60" t="s">
        <v>172</v>
      </c>
      <c r="G5" s="47">
        <v>55</v>
      </c>
      <c r="H5" s="133">
        <f>IF(B$17=0,0,G5/B$17)</f>
        <v>0.33742331288343558</v>
      </c>
      <c r="I5" s="94">
        <v>7</v>
      </c>
      <c r="K5" s="38">
        <v>3</v>
      </c>
      <c r="L5" s="99">
        <v>40.400000000000006</v>
      </c>
      <c r="N5" s="115" t="s">
        <v>133</v>
      </c>
      <c r="O5" s="122">
        <f t="shared" si="0"/>
        <v>191.83673469387756</v>
      </c>
      <c r="P5" s="119">
        <v>49</v>
      </c>
      <c r="Q5" s="103">
        <v>9400</v>
      </c>
    </row>
    <row r="6" spans="1:17" x14ac:dyDescent="0.4">
      <c r="A6" s="55" t="s">
        <v>1</v>
      </c>
      <c r="B6" s="148">
        <f>IF(B$2=0,0,(B$7*1+B$8*2+B$9*3)/B$2)</f>
        <v>1.7068965517241379</v>
      </c>
      <c r="C6" s="149"/>
      <c r="E6" s="63" t="s">
        <v>67</v>
      </c>
      <c r="F6" s="60" t="s">
        <v>23</v>
      </c>
      <c r="G6" s="47">
        <v>47</v>
      </c>
      <c r="H6" s="133">
        <f>IF(B$17=0,0,G6/B$17)</f>
        <v>0.28834355828220859</v>
      </c>
      <c r="I6" s="94">
        <v>7</v>
      </c>
      <c r="K6" s="38">
        <v>4</v>
      </c>
      <c r="L6" s="99">
        <v>101.60000000000001</v>
      </c>
      <c r="N6" s="115" t="s">
        <v>134</v>
      </c>
      <c r="O6" s="122">
        <f t="shared" si="0"/>
        <v>4591.489361702128</v>
      </c>
      <c r="P6" s="119">
        <v>47</v>
      </c>
      <c r="Q6" s="103">
        <v>215800</v>
      </c>
    </row>
    <row r="7" spans="1:17" x14ac:dyDescent="0.4">
      <c r="A7" s="55" t="s">
        <v>2</v>
      </c>
      <c r="B7" s="47">
        <v>28</v>
      </c>
      <c r="C7" s="39">
        <f t="shared" ref="C7:C12" si="1">IF(B$2=0,0,B7/B$2)</f>
        <v>0.48275862068965519</v>
      </c>
      <c r="E7" s="63" t="s">
        <v>68</v>
      </c>
      <c r="F7" s="60" t="s">
        <v>12</v>
      </c>
      <c r="G7" s="47">
        <v>42</v>
      </c>
      <c r="H7" s="133">
        <f>IF(B$17=0,0,G7/B$17)</f>
        <v>0.25766871165644173</v>
      </c>
      <c r="I7" s="94">
        <v>9</v>
      </c>
      <c r="K7" s="38">
        <v>5</v>
      </c>
      <c r="L7" s="99">
        <v>99.9</v>
      </c>
      <c r="N7" s="116" t="s">
        <v>135</v>
      </c>
      <c r="O7" s="123">
        <f t="shared" si="0"/>
        <v>4516.2162162162158</v>
      </c>
      <c r="P7" s="120">
        <v>37</v>
      </c>
      <c r="Q7" s="104">
        <v>167100</v>
      </c>
    </row>
    <row r="8" spans="1:17" x14ac:dyDescent="0.4">
      <c r="A8" s="55" t="s">
        <v>3</v>
      </c>
      <c r="B8" s="47">
        <v>19</v>
      </c>
      <c r="C8" s="39">
        <f t="shared" si="1"/>
        <v>0.32758620689655171</v>
      </c>
      <c r="E8" s="63" t="s">
        <v>89</v>
      </c>
      <c r="F8" s="60" t="s">
        <v>44</v>
      </c>
      <c r="G8" s="47">
        <v>30</v>
      </c>
      <c r="H8" s="133">
        <f>IF(B$17=0,0,G8/B$17)</f>
        <v>0.18404907975460122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0.18965517241379309</v>
      </c>
      <c r="E9" s="63" t="s">
        <v>69</v>
      </c>
      <c r="F9" s="60" t="s">
        <v>24</v>
      </c>
      <c r="G9" s="47">
        <v>22</v>
      </c>
      <c r="H9" s="133">
        <f>IF(B$17=0,0,G9/B$17)</f>
        <v>0.13496932515337423</v>
      </c>
      <c r="I9" s="94">
        <v>5</v>
      </c>
      <c r="K9" s="38">
        <v>7</v>
      </c>
      <c r="L9" s="99">
        <v>113.3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3</v>
      </c>
      <c r="C10" s="40">
        <f t="shared" si="1"/>
        <v>5.1724137931034482E-2</v>
      </c>
      <c r="E10" s="63" t="s">
        <v>65</v>
      </c>
      <c r="F10" s="60" t="s">
        <v>21</v>
      </c>
      <c r="G10" s="47">
        <v>15</v>
      </c>
      <c r="H10" s="133">
        <f>IF(B$17=0,0,G10/B$17)</f>
        <v>9.202453987730061E-2</v>
      </c>
      <c r="I10" s="94">
        <v>6</v>
      </c>
      <c r="K10" s="38">
        <v>8</v>
      </c>
      <c r="L10" s="99">
        <v>148.1</v>
      </c>
      <c r="N10" s="114" t="s">
        <v>162</v>
      </c>
      <c r="O10" s="124">
        <f>IF(P10=0,0,Q10/P10)</f>
        <v>16.858333333333331</v>
      </c>
      <c r="P10" s="118">
        <v>12</v>
      </c>
      <c r="Q10" s="106">
        <v>202.29999999999998</v>
      </c>
    </row>
    <row r="11" spans="1:17" x14ac:dyDescent="0.4">
      <c r="A11" s="56" t="s">
        <v>138</v>
      </c>
      <c r="B11" s="48">
        <v>6</v>
      </c>
      <c r="C11" s="40">
        <f t="shared" si="1"/>
        <v>0.10344827586206896</v>
      </c>
      <c r="E11" s="63" t="s">
        <v>70</v>
      </c>
      <c r="F11" s="60" t="s">
        <v>25</v>
      </c>
      <c r="G11" s="47">
        <v>11</v>
      </c>
      <c r="H11" s="133">
        <f>IF(B$17=0,0,G11/B$17)</f>
        <v>6.7484662576687116E-2</v>
      </c>
      <c r="I11" s="94">
        <v>5</v>
      </c>
      <c r="K11" s="38">
        <v>9</v>
      </c>
      <c r="L11" s="99">
        <v>180.89999999999998</v>
      </c>
      <c r="N11" s="115" t="s">
        <v>163</v>
      </c>
      <c r="O11" s="125">
        <f>IF(P11=0,0,Q11/P11)</f>
        <v>6.9538461538461558</v>
      </c>
      <c r="P11" s="119">
        <v>26</v>
      </c>
      <c r="Q11" s="107">
        <v>180.80000000000004</v>
      </c>
    </row>
    <row r="12" spans="1:17" x14ac:dyDescent="0.4">
      <c r="A12" s="57" t="s">
        <v>158</v>
      </c>
      <c r="B12" s="49">
        <v>7</v>
      </c>
      <c r="C12" s="42">
        <f t="shared" si="1"/>
        <v>0.1206896551724138</v>
      </c>
      <c r="E12" s="63" t="s">
        <v>71</v>
      </c>
      <c r="F12" s="60" t="s">
        <v>26</v>
      </c>
      <c r="G12" s="47">
        <v>11</v>
      </c>
      <c r="H12" s="133">
        <f>IF(B$17=0,0,G12/B$17)</f>
        <v>6.7484662576687116E-2</v>
      </c>
      <c r="I12" s="94">
        <v>6</v>
      </c>
      <c r="K12" s="38">
        <v>10</v>
      </c>
      <c r="L12" s="99">
        <v>158.19999999999999</v>
      </c>
      <c r="N12" s="116" t="s">
        <v>164</v>
      </c>
      <c r="O12" s="126">
        <f>IF(P12=0,0,Q12/P12)</f>
        <v>10.724999999999998</v>
      </c>
      <c r="P12" s="120">
        <v>20</v>
      </c>
      <c r="Q12" s="108">
        <v>214.49999999999997</v>
      </c>
    </row>
    <row r="13" spans="1:17" x14ac:dyDescent="0.4">
      <c r="A13" s="58" t="s">
        <v>121</v>
      </c>
      <c r="B13" s="50">
        <v>119</v>
      </c>
      <c r="C13" s="44">
        <f>IF(B$3=0,0,B13/B$3)</f>
        <v>0.2521186440677966</v>
      </c>
      <c r="E13" s="63" t="s">
        <v>83</v>
      </c>
      <c r="F13" s="60" t="s">
        <v>38</v>
      </c>
      <c r="G13" s="47">
        <v>8</v>
      </c>
      <c r="H13" s="133">
        <f>IF(B$17=0,0,G13/B$17)</f>
        <v>4.9079754601226995E-2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110</v>
      </c>
      <c r="C14" s="39">
        <f>IF(B$3=0,0,B14/B$3)</f>
        <v>0.23305084745762711</v>
      </c>
      <c r="E14" s="63" t="s">
        <v>86</v>
      </c>
      <c r="F14" s="60" t="s">
        <v>41</v>
      </c>
      <c r="G14" s="47">
        <v>6</v>
      </c>
      <c r="H14" s="133">
        <f>IF(B$17=0,0,G14/B$17)</f>
        <v>3.6809815950920248E-2</v>
      </c>
      <c r="I14" s="94">
        <v>8</v>
      </c>
      <c r="K14" s="38">
        <v>12</v>
      </c>
      <c r="L14" s="99">
        <v>184.89999999999998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74</v>
      </c>
      <c r="C15" s="37">
        <f>IF(B$13=0,0,B15/B$13)</f>
        <v>0.62184873949579833</v>
      </c>
      <c r="E15" s="63" t="s">
        <v>78</v>
      </c>
      <c r="F15" s="60" t="s">
        <v>33</v>
      </c>
      <c r="G15" s="47">
        <v>5</v>
      </c>
      <c r="H15" s="133">
        <f>IF(B$17=0,0,G15/B$17)</f>
        <v>3.0674846625766871E-2</v>
      </c>
      <c r="I15" s="94">
        <v>3</v>
      </c>
      <c r="K15" s="38">
        <v>13</v>
      </c>
      <c r="L15" s="99">
        <v>206.39999999999998</v>
      </c>
      <c r="N15" s="114" t="s">
        <v>181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124</v>
      </c>
      <c r="B16" s="46">
        <v>58</v>
      </c>
      <c r="C16" s="37">
        <f>IF(B$14=0,0,B16/B$14)</f>
        <v>0.52727272727272723</v>
      </c>
      <c r="E16" s="63" t="s">
        <v>167</v>
      </c>
      <c r="F16" s="60" t="s">
        <v>168</v>
      </c>
      <c r="G16" s="47">
        <v>5</v>
      </c>
      <c r="H16" s="133">
        <f>IF(B$17=0,0,G16/B$17)</f>
        <v>3.0674846625766871E-2</v>
      </c>
      <c r="I16" s="94">
        <v>1</v>
      </c>
      <c r="K16" s="38">
        <v>14</v>
      </c>
      <c r="L16" s="99">
        <v>240.09999999999997</v>
      </c>
      <c r="N16" s="115" t="s">
        <v>182</v>
      </c>
      <c r="O16" s="125">
        <f>IF(P16=0,0,Q16/P16)</f>
        <v>47.199999999999989</v>
      </c>
      <c r="P16" s="119">
        <v>6</v>
      </c>
      <c r="Q16" s="107">
        <v>283.19999999999993</v>
      </c>
    </row>
    <row r="17" spans="1:17" x14ac:dyDescent="0.4">
      <c r="A17" s="54" t="s">
        <v>10</v>
      </c>
      <c r="B17" s="46">
        <f>B19+B18</f>
        <v>163</v>
      </c>
      <c r="C17" s="37">
        <f>IF(B$3=0,0,B17/B$3)</f>
        <v>0.34533898305084748</v>
      </c>
      <c r="E17" s="63" t="s">
        <v>77</v>
      </c>
      <c r="F17" s="60" t="s">
        <v>32</v>
      </c>
      <c r="G17" s="47">
        <v>3</v>
      </c>
      <c r="H17" s="133">
        <f>IF(B$17=0,0,G17/B$17)</f>
        <v>1.8404907975460124E-2</v>
      </c>
      <c r="I17" s="94">
        <v>1</v>
      </c>
      <c r="K17" s="38">
        <v>15</v>
      </c>
      <c r="L17" s="99">
        <v>269.49999999999994</v>
      </c>
      <c r="N17" s="115" t="s">
        <v>178</v>
      </c>
      <c r="O17" s="125">
        <f>IF(P17=0,0,Q17/P17)</f>
        <v>22.126666666666679</v>
      </c>
      <c r="P17" s="119">
        <v>15</v>
      </c>
      <c r="Q17" s="107">
        <v>331.9000000000002</v>
      </c>
    </row>
    <row r="18" spans="1:17" x14ac:dyDescent="0.4">
      <c r="A18" s="55" t="s">
        <v>12</v>
      </c>
      <c r="B18" s="47">
        <v>65</v>
      </c>
      <c r="C18" s="39">
        <f>IF(B$17=0,0,B18/B$17)</f>
        <v>0.3987730061349693</v>
      </c>
      <c r="E18" s="63" t="s">
        <v>84</v>
      </c>
      <c r="F18" s="60" t="s">
        <v>39</v>
      </c>
      <c r="G18" s="47">
        <v>3</v>
      </c>
      <c r="H18" s="133">
        <f>IF(B$17=0,0,G18/B$17)</f>
        <v>1.8404907975460124E-2</v>
      </c>
      <c r="I18" s="94">
        <v>1</v>
      </c>
      <c r="K18" s="38">
        <v>16</v>
      </c>
      <c r="L18" s="99">
        <v>323.69999999999993</v>
      </c>
      <c r="N18" s="115" t="s">
        <v>179</v>
      </c>
      <c r="O18" s="125">
        <f>IF(P18=0,0,Q18/P18)</f>
        <v>19.468181818181819</v>
      </c>
      <c r="P18" s="119">
        <v>22</v>
      </c>
      <c r="Q18" s="107">
        <v>428.3</v>
      </c>
    </row>
    <row r="19" spans="1:17" x14ac:dyDescent="0.4">
      <c r="A19" s="55" t="s">
        <v>11</v>
      </c>
      <c r="B19" s="47">
        <v>98</v>
      </c>
      <c r="C19" s="39">
        <f>IF(B$17=0,0,B19/B$17)</f>
        <v>0.60122699386503065</v>
      </c>
      <c r="E19" s="63" t="s">
        <v>92</v>
      </c>
      <c r="F19" s="60" t="s">
        <v>47</v>
      </c>
      <c r="G19" s="47">
        <v>2</v>
      </c>
      <c r="H19" s="133">
        <f>IF(B$17=0,0,G19/B$17)</f>
        <v>1.2269938650306749E-2</v>
      </c>
      <c r="I19" s="94">
        <v>2</v>
      </c>
      <c r="K19" s="38">
        <v>17</v>
      </c>
      <c r="L19" s="99">
        <v>359.09999999999991</v>
      </c>
      <c r="N19" s="115" t="s">
        <v>127</v>
      </c>
      <c r="O19" s="125">
        <f>IF(P19=0,0,Q19/P19)</f>
        <v>10.815384615384614</v>
      </c>
      <c r="P19" s="119">
        <v>39</v>
      </c>
      <c r="Q19" s="107">
        <v>421.79999999999995</v>
      </c>
    </row>
    <row r="20" spans="1:17" x14ac:dyDescent="0.4">
      <c r="A20" s="55" t="s">
        <v>13</v>
      </c>
      <c r="B20" s="47">
        <v>67</v>
      </c>
      <c r="C20" s="39">
        <f>IF(B$3=0,0,B20/B$3)</f>
        <v>0.14194915254237289</v>
      </c>
      <c r="E20" s="63" t="s">
        <v>74</v>
      </c>
      <c r="F20" s="60" t="s">
        <v>29</v>
      </c>
      <c r="G20" s="47">
        <v>1</v>
      </c>
      <c r="H20" s="133">
        <f>IF(B$17=0,0,G20/B$17)</f>
        <v>6.1349693251533744E-3</v>
      </c>
      <c r="I20" s="94">
        <v>3</v>
      </c>
      <c r="K20" s="38">
        <v>18</v>
      </c>
      <c r="L20" s="99">
        <v>352.39999999999992</v>
      </c>
      <c r="N20" s="115" t="s">
        <v>177</v>
      </c>
      <c r="O20" s="125">
        <f>IF(P20=0,0,Q20/P20)</f>
        <v>7.8636363636363633</v>
      </c>
      <c r="P20" s="119">
        <v>11</v>
      </c>
      <c r="Q20" s="107">
        <v>86.5</v>
      </c>
    </row>
    <row r="21" spans="1:17" x14ac:dyDescent="0.4">
      <c r="A21" s="55" t="s">
        <v>169</v>
      </c>
      <c r="B21" s="47">
        <v>5</v>
      </c>
      <c r="C21" s="135">
        <v>0</v>
      </c>
      <c r="E21" s="63" t="s">
        <v>81</v>
      </c>
      <c r="F21" s="60" t="s">
        <v>36</v>
      </c>
      <c r="G21" s="47">
        <v>1</v>
      </c>
      <c r="H21" s="133">
        <f>IF(B$17=0,0,G21/B$17)</f>
        <v>6.1349693251533744E-3</v>
      </c>
      <c r="I21" s="94">
        <v>8</v>
      </c>
      <c r="K21" s="38">
        <v>19</v>
      </c>
      <c r="L21" s="99">
        <v>383.19999999999993</v>
      </c>
      <c r="N21" s="115" t="s">
        <v>166</v>
      </c>
      <c r="O21" s="125">
        <f>IF(P21=0,0,Q21/P21)</f>
        <v>4.5949999999999989</v>
      </c>
      <c r="P21" s="119">
        <v>20</v>
      </c>
      <c r="Q21" s="107">
        <v>91.899999999999977</v>
      </c>
    </row>
    <row r="22" spans="1:17" x14ac:dyDescent="0.4">
      <c r="A22" s="55" t="s">
        <v>170</v>
      </c>
      <c r="B22" s="47">
        <v>27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6.1349693251533744E-3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8076.687116564417</v>
      </c>
      <c r="C23" s="41">
        <v>1316500</v>
      </c>
      <c r="E23" s="63" t="s">
        <v>88</v>
      </c>
      <c r="F23" s="60" t="s">
        <v>43</v>
      </c>
      <c r="G23" s="47">
        <v>1</v>
      </c>
      <c r="H23" s="133">
        <f>IF(B$17=0,0,G23/B$17)</f>
        <v>6.1349693251533744E-3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6" t="s">
        <v>215</v>
      </c>
      <c r="B24" s="140">
        <f>IF(B$20=0,0,C24/B$20)</f>
        <v>-7052.2388059701489</v>
      </c>
      <c r="C24" s="141">
        <v>-472500</v>
      </c>
      <c r="E24" s="63" t="s">
        <v>90</v>
      </c>
      <c r="F24" s="60" t="s">
        <v>45</v>
      </c>
      <c r="G24" s="47">
        <v>1</v>
      </c>
      <c r="H24" s="133">
        <f>IF(B$17=0,0,G24/B$17)</f>
        <v>6.1349693251533744E-3</v>
      </c>
      <c r="I24" s="94">
        <v>1</v>
      </c>
      <c r="K24" s="38">
        <v>22</v>
      </c>
      <c r="L24" s="99">
        <v>414.2999999999999</v>
      </c>
    </row>
    <row r="25" spans="1:17" x14ac:dyDescent="0.4">
      <c r="A25" s="56" t="s">
        <v>216</v>
      </c>
      <c r="B25" s="140">
        <f>IF($B$17-B$16=0,0,C25/($B$17-B$16))</f>
        <v>8040</v>
      </c>
      <c r="C25" s="141">
        <v>844200</v>
      </c>
      <c r="E25" s="63" t="s">
        <v>91</v>
      </c>
      <c r="F25" s="60" t="s">
        <v>46</v>
      </c>
      <c r="G25" s="47">
        <v>1</v>
      </c>
      <c r="H25" s="133">
        <f>IF(B$17=0,0,G25/B$17)</f>
        <v>6.1349693251533744E-3</v>
      </c>
      <c r="I25" s="94">
        <v>7</v>
      </c>
      <c r="K25" s="38">
        <v>23</v>
      </c>
      <c r="L25" s="99">
        <v>356.2999999999999</v>
      </c>
    </row>
    <row r="26" spans="1:17" x14ac:dyDescent="0.4">
      <c r="A26" s="57" t="s">
        <v>217</v>
      </c>
      <c r="B26" s="52">
        <f>IF(B$16=0,0,C26/B$16)</f>
        <v>8143.1034482758623</v>
      </c>
      <c r="C26" s="45">
        <v>472300</v>
      </c>
      <c r="E26" s="63" t="s">
        <v>95</v>
      </c>
      <c r="F26" s="60" t="s">
        <v>50</v>
      </c>
      <c r="G26" s="47">
        <v>1</v>
      </c>
      <c r="H26" s="133">
        <f>IF(B$17=0,0,G26/B$17)</f>
        <v>6.1349693251533744E-3</v>
      </c>
      <c r="I26" s="94">
        <v>1</v>
      </c>
      <c r="K26" s="38">
        <v>24</v>
      </c>
      <c r="L26" s="99">
        <v>329.89999999999992</v>
      </c>
    </row>
    <row r="27" spans="1:17" x14ac:dyDescent="0.4">
      <c r="A27" s="90" t="s">
        <v>140</v>
      </c>
      <c r="B27" s="146">
        <v>7</v>
      </c>
      <c r="C27" s="147"/>
      <c r="E27" s="63" t="s">
        <v>73</v>
      </c>
      <c r="F27" s="60" t="s">
        <v>28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A28" s="58" t="s">
        <v>150</v>
      </c>
      <c r="B28" s="144">
        <v>86200</v>
      </c>
      <c r="C28" s="145"/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79</v>
      </c>
      <c r="F30" s="60" t="s">
        <v>34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80</v>
      </c>
      <c r="F31" s="60" t="s">
        <v>35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82</v>
      </c>
      <c r="F32" s="60" t="s">
        <v>37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87</v>
      </c>
      <c r="F33" s="60" t="s">
        <v>42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93</v>
      </c>
      <c r="F34" s="60" t="s">
        <v>48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  <row r="54" spans="5:12" x14ac:dyDescent="0.4">
      <c r="K54" s="38">
        <v>52</v>
      </c>
      <c r="L54" s="99">
        <v>534.89999999999986</v>
      </c>
    </row>
    <row r="55" spans="5:12" x14ac:dyDescent="0.4">
      <c r="K55" s="38">
        <v>53</v>
      </c>
      <c r="L55" s="99">
        <v>539.49999999999989</v>
      </c>
    </row>
    <row r="56" spans="5:12" x14ac:dyDescent="0.4">
      <c r="K56" s="38">
        <v>54</v>
      </c>
      <c r="L56" s="99">
        <v>566.59999999999991</v>
      </c>
    </row>
    <row r="57" spans="5:12" x14ac:dyDescent="0.4">
      <c r="K57" s="38">
        <v>55</v>
      </c>
      <c r="L57" s="99">
        <v>584.59999999999991</v>
      </c>
    </row>
    <row r="58" spans="5:12" x14ac:dyDescent="0.4">
      <c r="K58" s="38">
        <v>56</v>
      </c>
      <c r="L58" s="99">
        <v>590.69999999999993</v>
      </c>
    </row>
    <row r="59" spans="5:12" x14ac:dyDescent="0.4">
      <c r="K59" s="38">
        <v>57</v>
      </c>
      <c r="L59" s="99">
        <v>593.09999999999991</v>
      </c>
    </row>
    <row r="60" spans="5:12" x14ac:dyDescent="0.4">
      <c r="K60" s="38">
        <v>58</v>
      </c>
      <c r="L60" s="99">
        <v>597.59999999999991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FB14E-5432-4A9F-81A6-AFA94FA03746}">
  <sheetPr codeName="Sheet11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51</v>
      </c>
      <c r="C2" s="153"/>
      <c r="E2" s="62" t="s">
        <v>66</v>
      </c>
      <c r="F2" s="59" t="s">
        <v>22</v>
      </c>
      <c r="G2" s="46">
        <v>129</v>
      </c>
      <c r="H2" s="132">
        <f>IF(B$17=0,0,G2/B$17)</f>
        <v>0.90209790209790208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-604</v>
      </c>
      <c r="P2" s="118">
        <v>50</v>
      </c>
      <c r="Q2" s="102">
        <v>-30200</v>
      </c>
    </row>
    <row r="3" spans="1:17" x14ac:dyDescent="0.4">
      <c r="A3" s="55" t="s">
        <v>8</v>
      </c>
      <c r="B3" s="154">
        <v>438</v>
      </c>
      <c r="C3" s="155"/>
      <c r="E3" s="63" t="s">
        <v>72</v>
      </c>
      <c r="F3" s="60" t="s">
        <v>27</v>
      </c>
      <c r="G3" s="47">
        <v>87</v>
      </c>
      <c r="H3" s="133">
        <f>IF(B$17=0,0,G3/B$17)</f>
        <v>0.60839160839160844</v>
      </c>
      <c r="I3" s="94">
        <v>3</v>
      </c>
      <c r="K3" s="38">
        <v>1</v>
      </c>
      <c r="L3" s="99">
        <v>-45.6</v>
      </c>
      <c r="N3" s="115" t="s">
        <v>131</v>
      </c>
      <c r="O3" s="122">
        <f t="shared" si="0"/>
        <v>1158.3333333333333</v>
      </c>
      <c r="P3" s="119">
        <v>48</v>
      </c>
      <c r="Q3" s="103">
        <v>55600</v>
      </c>
    </row>
    <row r="4" spans="1:17" x14ac:dyDescent="0.4">
      <c r="A4" s="55" t="s">
        <v>6</v>
      </c>
      <c r="B4" s="156">
        <v>269.99999999999983</v>
      </c>
      <c r="C4" s="157"/>
      <c r="E4" s="63" t="s">
        <v>171</v>
      </c>
      <c r="F4" s="60" t="s">
        <v>172</v>
      </c>
      <c r="G4" s="47">
        <v>61</v>
      </c>
      <c r="H4" s="133">
        <f>IF(B$17=0,0,G4/B$17)</f>
        <v>0.42657342657342656</v>
      </c>
      <c r="I4" s="94">
        <v>1</v>
      </c>
      <c r="K4" s="38">
        <v>2</v>
      </c>
      <c r="L4" s="99">
        <v>-34.299999999999997</v>
      </c>
      <c r="N4" s="115" t="s">
        <v>132</v>
      </c>
      <c r="O4" s="122">
        <f t="shared" si="0"/>
        <v>2157.4468085106382</v>
      </c>
      <c r="P4" s="119">
        <v>47</v>
      </c>
      <c r="Q4" s="103">
        <v>101400</v>
      </c>
    </row>
    <row r="5" spans="1:17" x14ac:dyDescent="0.4">
      <c r="A5" s="55" t="s">
        <v>7</v>
      </c>
      <c r="B5" s="158">
        <f>IF(B$2=0,0,B$4/B$2)</f>
        <v>5.2941176470588198</v>
      </c>
      <c r="C5" s="159"/>
      <c r="E5" s="63" t="s">
        <v>64</v>
      </c>
      <c r="F5" s="60" t="s">
        <v>20</v>
      </c>
      <c r="G5" s="47">
        <v>60</v>
      </c>
      <c r="H5" s="133">
        <f>IF(B$17=0,0,G5/B$17)</f>
        <v>0.41958041958041958</v>
      </c>
      <c r="I5" s="94">
        <v>8</v>
      </c>
      <c r="K5" s="38">
        <v>3</v>
      </c>
      <c r="L5" s="99">
        <v>-58.599999999999994</v>
      </c>
      <c r="N5" s="115" t="s">
        <v>133</v>
      </c>
      <c r="O5" s="122">
        <f t="shared" si="0"/>
        <v>3252.2727272727275</v>
      </c>
      <c r="P5" s="119">
        <v>44</v>
      </c>
      <c r="Q5" s="103">
        <v>143100</v>
      </c>
    </row>
    <row r="6" spans="1:17" x14ac:dyDescent="0.4">
      <c r="A6" s="55" t="s">
        <v>1</v>
      </c>
      <c r="B6" s="148">
        <f>IF(B$2=0,0,(B$7*1+B$8*2+B$9*3)/B$2)</f>
        <v>1.8431372549019607</v>
      </c>
      <c r="C6" s="149"/>
      <c r="E6" s="63" t="s">
        <v>68</v>
      </c>
      <c r="F6" s="60" t="s">
        <v>12</v>
      </c>
      <c r="G6" s="47">
        <v>42</v>
      </c>
      <c r="H6" s="133">
        <f>IF(B$17=0,0,G6/B$17)</f>
        <v>0.2937062937062937</v>
      </c>
      <c r="I6" s="94">
        <v>5</v>
      </c>
      <c r="K6" s="38">
        <v>4</v>
      </c>
      <c r="L6" s="99">
        <v>-38.099999999999994</v>
      </c>
      <c r="N6" s="115" t="s">
        <v>134</v>
      </c>
      <c r="O6" s="122">
        <f t="shared" si="0"/>
        <v>-1563.4146341463415</v>
      </c>
      <c r="P6" s="119">
        <v>41</v>
      </c>
      <c r="Q6" s="103">
        <v>-64100</v>
      </c>
    </row>
    <row r="7" spans="1:17" x14ac:dyDescent="0.4">
      <c r="A7" s="55" t="s">
        <v>2</v>
      </c>
      <c r="B7" s="47">
        <v>21</v>
      </c>
      <c r="C7" s="39">
        <f t="shared" ref="C7:C12" si="1">IF(B$2=0,0,B7/B$2)</f>
        <v>0.41176470588235292</v>
      </c>
      <c r="E7" s="63" t="s">
        <v>67</v>
      </c>
      <c r="F7" s="60" t="s">
        <v>23</v>
      </c>
      <c r="G7" s="47">
        <v>39</v>
      </c>
      <c r="H7" s="133">
        <f>IF(B$17=0,0,G7/B$17)</f>
        <v>0.27272727272727271</v>
      </c>
      <c r="I7" s="94">
        <v>8</v>
      </c>
      <c r="K7" s="38">
        <v>5</v>
      </c>
      <c r="L7" s="99">
        <v>-11.299999999999994</v>
      </c>
      <c r="N7" s="116" t="s">
        <v>135</v>
      </c>
      <c r="O7" s="123">
        <f t="shared" si="0"/>
        <v>865.625</v>
      </c>
      <c r="P7" s="120">
        <v>32</v>
      </c>
      <c r="Q7" s="104">
        <v>27700</v>
      </c>
    </row>
    <row r="8" spans="1:17" x14ac:dyDescent="0.4">
      <c r="A8" s="55" t="s">
        <v>3</v>
      </c>
      <c r="B8" s="47">
        <v>17</v>
      </c>
      <c r="C8" s="39">
        <f t="shared" si="1"/>
        <v>0.33333333333333331</v>
      </c>
      <c r="E8" s="63" t="s">
        <v>89</v>
      </c>
      <c r="F8" s="60" t="s">
        <v>44</v>
      </c>
      <c r="G8" s="47">
        <v>19</v>
      </c>
      <c r="H8" s="133">
        <f>IF(B$17=0,0,G8/B$17)</f>
        <v>0.13286713286713286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0.25490196078431371</v>
      </c>
      <c r="E9" s="63" t="s">
        <v>65</v>
      </c>
      <c r="F9" s="60" t="s">
        <v>21</v>
      </c>
      <c r="G9" s="47">
        <v>13</v>
      </c>
      <c r="H9" s="133">
        <f>IF(B$17=0,0,G9/B$17)</f>
        <v>9.0909090909090912E-2</v>
      </c>
      <c r="I9" s="94">
        <v>7</v>
      </c>
      <c r="K9" s="38">
        <v>7</v>
      </c>
      <c r="L9" s="99">
        <v>-9.4999999999999929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7</v>
      </c>
      <c r="C10" s="40">
        <f t="shared" si="1"/>
        <v>0.13725490196078433</v>
      </c>
      <c r="E10" s="63" t="s">
        <v>71</v>
      </c>
      <c r="F10" s="60" t="s">
        <v>26</v>
      </c>
      <c r="G10" s="47">
        <v>13</v>
      </c>
      <c r="H10" s="133">
        <f>IF(B$17=0,0,G10/B$17)</f>
        <v>9.0909090909090912E-2</v>
      </c>
      <c r="I10" s="94">
        <v>4</v>
      </c>
      <c r="K10" s="38">
        <v>8</v>
      </c>
      <c r="L10" s="99">
        <v>-56.79999999999999</v>
      </c>
      <c r="N10" s="114" t="s">
        <v>162</v>
      </c>
      <c r="O10" s="124">
        <f>IF(P10=0,0,Q10/P10)</f>
        <v>8.8133333333333344</v>
      </c>
      <c r="P10" s="118">
        <v>15</v>
      </c>
      <c r="Q10" s="106">
        <v>132.20000000000002</v>
      </c>
    </row>
    <row r="11" spans="1:17" x14ac:dyDescent="0.4">
      <c r="A11" s="56" t="s">
        <v>138</v>
      </c>
      <c r="B11" s="48">
        <v>8</v>
      </c>
      <c r="C11" s="40">
        <f t="shared" si="1"/>
        <v>0.15686274509803921</v>
      </c>
      <c r="E11" s="63" t="s">
        <v>69</v>
      </c>
      <c r="F11" s="60" t="s">
        <v>24</v>
      </c>
      <c r="G11" s="47">
        <v>12</v>
      </c>
      <c r="H11" s="133">
        <f>IF(B$17=0,0,G11/B$17)</f>
        <v>8.3916083916083919E-2</v>
      </c>
      <c r="I11" s="94">
        <v>8</v>
      </c>
      <c r="K11" s="38">
        <v>9</v>
      </c>
      <c r="L11" s="99">
        <v>-83.699999999999989</v>
      </c>
      <c r="N11" s="115" t="s">
        <v>163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158</v>
      </c>
      <c r="B12" s="49">
        <v>12</v>
      </c>
      <c r="C12" s="42">
        <f t="shared" si="1"/>
        <v>0.23529411764705882</v>
      </c>
      <c r="E12" s="63" t="s">
        <v>70</v>
      </c>
      <c r="F12" s="60" t="s">
        <v>25</v>
      </c>
      <c r="G12" s="47">
        <v>9</v>
      </c>
      <c r="H12" s="133">
        <f>IF(B$17=0,0,G12/B$17)</f>
        <v>6.2937062937062943E-2</v>
      </c>
      <c r="I12" s="94">
        <v>7</v>
      </c>
      <c r="K12" s="38">
        <v>10</v>
      </c>
      <c r="L12" s="99">
        <v>-78.399999999999991</v>
      </c>
      <c r="N12" s="116" t="s">
        <v>164</v>
      </c>
      <c r="O12" s="126">
        <f>IF(P12=0,0,Q12/P12)</f>
        <v>2.3608695652173908</v>
      </c>
      <c r="P12" s="120">
        <v>23</v>
      </c>
      <c r="Q12" s="108">
        <v>54.29999999999999</v>
      </c>
    </row>
    <row r="13" spans="1:17" x14ac:dyDescent="0.4">
      <c r="A13" s="58" t="s">
        <v>121</v>
      </c>
      <c r="B13" s="50">
        <v>104</v>
      </c>
      <c r="C13" s="44">
        <f>IF(B$3=0,0,B13/B$3)</f>
        <v>0.23744292237442921</v>
      </c>
      <c r="E13" s="63" t="s">
        <v>86</v>
      </c>
      <c r="F13" s="60" t="s">
        <v>41</v>
      </c>
      <c r="G13" s="47">
        <v>9</v>
      </c>
      <c r="H13" s="133">
        <f>IF(B$17=0,0,G13/B$17)</f>
        <v>6.2937062937062943E-2</v>
      </c>
      <c r="I13" s="94">
        <v>2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142</v>
      </c>
      <c r="C14" s="39">
        <f>IF(B$3=0,0,B14/B$3)</f>
        <v>0.32420091324200911</v>
      </c>
      <c r="E14" s="63" t="s">
        <v>83</v>
      </c>
      <c r="F14" s="60" t="s">
        <v>38</v>
      </c>
      <c r="G14" s="47">
        <v>6</v>
      </c>
      <c r="H14" s="133">
        <f>IF(B$17=0,0,G14/B$17)</f>
        <v>4.195804195804196E-2</v>
      </c>
      <c r="I14" s="94">
        <v>9</v>
      </c>
      <c r="K14" s="38">
        <v>12</v>
      </c>
      <c r="L14" s="99">
        <v>-89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59</v>
      </c>
      <c r="C15" s="37">
        <f>IF(B$13=0,0,B15/B$13)</f>
        <v>0.56730769230769229</v>
      </c>
      <c r="E15" s="63" t="s">
        <v>78</v>
      </c>
      <c r="F15" s="60" t="s">
        <v>33</v>
      </c>
      <c r="G15" s="47">
        <v>5</v>
      </c>
      <c r="H15" s="133">
        <f>IF(B$17=0,0,G15/B$17)</f>
        <v>3.4965034965034968E-2</v>
      </c>
      <c r="I15" s="94">
        <v>1</v>
      </c>
      <c r="K15" s="38">
        <v>13</v>
      </c>
      <c r="L15" s="99">
        <v>-86.8</v>
      </c>
      <c r="N15" s="114" t="s">
        <v>195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124</v>
      </c>
      <c r="B16" s="46">
        <v>57</v>
      </c>
      <c r="C16" s="37">
        <f>IF(B$14=0,0,B16/B$14)</f>
        <v>0.40140845070422537</v>
      </c>
      <c r="E16" s="63" t="s">
        <v>91</v>
      </c>
      <c r="F16" s="60" t="s">
        <v>46</v>
      </c>
      <c r="G16" s="47">
        <v>5</v>
      </c>
      <c r="H16" s="133">
        <f>IF(B$17=0,0,G16/B$17)</f>
        <v>3.4965034965034968E-2</v>
      </c>
      <c r="I16" s="94">
        <v>1</v>
      </c>
      <c r="K16" s="38">
        <v>14</v>
      </c>
      <c r="L16" s="99">
        <v>-138.4</v>
      </c>
      <c r="N16" s="115" t="s">
        <v>182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0.32648401826484019</v>
      </c>
      <c r="E17" s="63" t="s">
        <v>79</v>
      </c>
      <c r="F17" s="60" t="s">
        <v>34</v>
      </c>
      <c r="G17" s="47">
        <v>4</v>
      </c>
      <c r="H17" s="133">
        <f>IF(B$17=0,0,G17/B$17)</f>
        <v>2.7972027972027972E-2</v>
      </c>
      <c r="I17" s="94">
        <v>3</v>
      </c>
      <c r="K17" s="38">
        <v>15</v>
      </c>
      <c r="L17" s="99">
        <v>-144.30000000000001</v>
      </c>
      <c r="N17" s="115" t="s">
        <v>178</v>
      </c>
      <c r="O17" s="125">
        <f>IF(P17=0,0,Q17/P17)</f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55</v>
      </c>
      <c r="C18" s="39">
        <f>IF(B$17=0,0,B18/B$17)</f>
        <v>0.38461538461538464</v>
      </c>
      <c r="E18" s="63" t="s">
        <v>81</v>
      </c>
      <c r="F18" s="60" t="s">
        <v>36</v>
      </c>
      <c r="G18" s="47">
        <v>2</v>
      </c>
      <c r="H18" s="133">
        <f>IF(B$17=0,0,G18/B$17)</f>
        <v>1.3986013986013986E-2</v>
      </c>
      <c r="I18" s="94">
        <v>7</v>
      </c>
      <c r="K18" s="38">
        <v>16</v>
      </c>
      <c r="L18" s="99">
        <v>-187.3</v>
      </c>
      <c r="N18" s="115" t="s">
        <v>177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88</v>
      </c>
      <c r="C19" s="39">
        <f>IF(B$17=0,0,B19/B$17)</f>
        <v>0.61538461538461542</v>
      </c>
      <c r="E19" s="63" t="s">
        <v>74</v>
      </c>
      <c r="F19" s="60" t="s">
        <v>29</v>
      </c>
      <c r="G19" s="47">
        <v>1</v>
      </c>
      <c r="H19" s="133">
        <f>IF(B$17=0,0,G19/B$17)</f>
        <v>6.993006993006993E-3</v>
      </c>
      <c r="I19" s="94">
        <v>2</v>
      </c>
      <c r="K19" s="38">
        <v>17</v>
      </c>
      <c r="L19" s="99">
        <v>-179.70000000000002</v>
      </c>
      <c r="N19" s="115" t="s">
        <v>179</v>
      </c>
      <c r="O19" s="125">
        <f>IF(P19=0,0,Q19/P19)</f>
        <v>9.1166666666666671</v>
      </c>
      <c r="P19" s="119">
        <v>18</v>
      </c>
      <c r="Q19" s="107">
        <v>164.10000000000002</v>
      </c>
    </row>
    <row r="20" spans="1:17" x14ac:dyDescent="0.4">
      <c r="A20" s="55" t="s">
        <v>13</v>
      </c>
      <c r="B20" s="47">
        <v>88</v>
      </c>
      <c r="C20" s="39">
        <f>IF(B$3=0,0,B20/B$3)</f>
        <v>0.20091324200913241</v>
      </c>
      <c r="E20" s="63" t="s">
        <v>167</v>
      </c>
      <c r="F20" s="60" t="s">
        <v>168</v>
      </c>
      <c r="G20" s="47">
        <v>1</v>
      </c>
      <c r="H20" s="133">
        <f>IF(B$17=0,0,G20/B$17)</f>
        <v>6.993006993006993E-3</v>
      </c>
      <c r="I20" s="94">
        <v>5</v>
      </c>
      <c r="K20" s="38">
        <v>18</v>
      </c>
      <c r="L20" s="99">
        <v>-112.90000000000002</v>
      </c>
      <c r="N20" s="115" t="s">
        <v>166</v>
      </c>
      <c r="O20" s="125">
        <f>IF(P20=0,0,Q20/P20)</f>
        <v>2.6909090909090905</v>
      </c>
      <c r="P20" s="119">
        <v>11</v>
      </c>
      <c r="Q20" s="107">
        <v>29.599999999999994</v>
      </c>
    </row>
    <row r="21" spans="1:17" x14ac:dyDescent="0.4">
      <c r="A21" s="55" t="s">
        <v>169</v>
      </c>
      <c r="B21" s="47">
        <v>7</v>
      </c>
      <c r="C21" s="135">
        <v>3</v>
      </c>
      <c r="E21" s="63" t="s">
        <v>73</v>
      </c>
      <c r="F21" s="60" t="s">
        <v>28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126</v>
      </c>
      <c r="O21" s="125">
        <f>IF(P21=0,0,Q21/P21)</f>
        <v>-10.815384615384612</v>
      </c>
      <c r="P21" s="119">
        <v>39</v>
      </c>
      <c r="Q21" s="107">
        <v>-421.7999999999999</v>
      </c>
    </row>
    <row r="22" spans="1:17" x14ac:dyDescent="0.4">
      <c r="A22" s="55" t="s">
        <v>170</v>
      </c>
      <c r="B22" s="47">
        <v>23</v>
      </c>
      <c r="C22" s="135">
        <v>5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181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8604.1958041958042</v>
      </c>
      <c r="C23" s="41">
        <v>1230400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6" t="s">
        <v>215</v>
      </c>
      <c r="B24" s="140">
        <f>IF(B$20=0,0,C24/B$20)</f>
        <v>-7609.090909090909</v>
      </c>
      <c r="C24" s="141">
        <v>-669600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56" t="s">
        <v>216</v>
      </c>
      <c r="B25" s="140">
        <f>IF($B$17-B$16=0,0,C25/($B$17-B$16))</f>
        <v>9340.6976744186049</v>
      </c>
      <c r="C25" s="141">
        <v>803300</v>
      </c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7" t="s">
        <v>217</v>
      </c>
      <c r="B26" s="52">
        <f>IF(B$16=0,0,C26/B$16)</f>
        <v>7492.9824561403511</v>
      </c>
      <c r="C26" s="45">
        <v>427100</v>
      </c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90" t="s">
        <v>140</v>
      </c>
      <c r="B27" s="146">
        <v>8</v>
      </c>
      <c r="C27" s="147"/>
      <c r="E27" s="63" t="s">
        <v>84</v>
      </c>
      <c r="F27" s="60" t="s">
        <v>39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A28" s="58" t="s">
        <v>150</v>
      </c>
      <c r="B28" s="144">
        <v>91800</v>
      </c>
      <c r="C28" s="145"/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-2.6000000000000387</v>
      </c>
    </row>
    <row r="29" spans="1:17" x14ac:dyDescent="0.4">
      <c r="A29" s="57" t="s">
        <v>141</v>
      </c>
      <c r="B29" s="65">
        <v>1</v>
      </c>
      <c r="C29" s="42">
        <f>IF(B$3=0,0,B29/B$3)</f>
        <v>2.2831050228310501E-3</v>
      </c>
      <c r="E29" s="63" t="s">
        <v>87</v>
      </c>
      <c r="F29" s="60" t="s">
        <v>42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248.89999999999984</v>
      </c>
    </row>
    <row r="53" spans="5:12" x14ac:dyDescent="0.4">
      <c r="K53" s="38">
        <v>51</v>
      </c>
      <c r="L53" s="99">
        <v>269.99999999999983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3141-2D64-4B42-902F-F39D09CF0B5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33</v>
      </c>
      <c r="C2" s="153"/>
      <c r="E2" s="62" t="s">
        <v>66</v>
      </c>
      <c r="F2" s="59" t="s">
        <v>22</v>
      </c>
      <c r="G2" s="46">
        <v>55</v>
      </c>
      <c r="H2" s="132">
        <f>IF(B$17=0,0,G2/B$17)</f>
        <v>0.67901234567901236</v>
      </c>
      <c r="I2" s="93">
        <v>9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109.375</v>
      </c>
      <c r="P2" s="118">
        <v>32</v>
      </c>
      <c r="Q2" s="102">
        <v>3500</v>
      </c>
    </row>
    <row r="3" spans="1:17" x14ac:dyDescent="0.4">
      <c r="A3" s="55" t="s">
        <v>8</v>
      </c>
      <c r="B3" s="154">
        <v>284</v>
      </c>
      <c r="C3" s="155"/>
      <c r="E3" s="63" t="s">
        <v>64</v>
      </c>
      <c r="F3" s="60" t="s">
        <v>20</v>
      </c>
      <c r="G3" s="47">
        <v>47</v>
      </c>
      <c r="H3" s="133">
        <f>IF(B$17=0,0,G3/B$17)</f>
        <v>0.58024691358024694</v>
      </c>
      <c r="I3" s="94">
        <v>2</v>
      </c>
      <c r="K3" s="38">
        <v>1</v>
      </c>
      <c r="L3" s="99">
        <v>-37.799999999999997</v>
      </c>
      <c r="N3" s="115" t="s">
        <v>131</v>
      </c>
      <c r="O3" s="122">
        <f t="shared" si="0"/>
        <v>-1593.75</v>
      </c>
      <c r="P3" s="119">
        <v>32</v>
      </c>
      <c r="Q3" s="103">
        <v>-51000</v>
      </c>
    </row>
    <row r="4" spans="1:17" x14ac:dyDescent="0.4">
      <c r="A4" s="55" t="s">
        <v>6</v>
      </c>
      <c r="B4" s="156">
        <v>-261.3</v>
      </c>
      <c r="C4" s="157"/>
      <c r="E4" s="63" t="s">
        <v>72</v>
      </c>
      <c r="F4" s="60" t="s">
        <v>27</v>
      </c>
      <c r="G4" s="47">
        <v>43</v>
      </c>
      <c r="H4" s="133">
        <f>IF(B$17=0,0,G4/B$17)</f>
        <v>0.53086419753086422</v>
      </c>
      <c r="I4" s="94">
        <v>5</v>
      </c>
      <c r="K4" s="38">
        <v>2</v>
      </c>
      <c r="L4" s="99">
        <v>-30.099999999999998</v>
      </c>
      <c r="N4" s="115" t="s">
        <v>132</v>
      </c>
      <c r="O4" s="122">
        <f t="shared" si="0"/>
        <v>1719.3548387096773</v>
      </c>
      <c r="P4" s="119">
        <v>31</v>
      </c>
      <c r="Q4" s="103">
        <v>53300</v>
      </c>
    </row>
    <row r="5" spans="1:17" x14ac:dyDescent="0.4">
      <c r="A5" s="55" t="s">
        <v>7</v>
      </c>
      <c r="B5" s="158">
        <f>IF(B$2=0,0,B$4/B$2)</f>
        <v>-7.9181818181818189</v>
      </c>
      <c r="C5" s="159"/>
      <c r="E5" s="63" t="s">
        <v>171</v>
      </c>
      <c r="F5" s="60" t="s">
        <v>172</v>
      </c>
      <c r="G5" s="47">
        <v>27</v>
      </c>
      <c r="H5" s="133">
        <f>IF(B$17=0,0,G5/B$17)</f>
        <v>0.33333333333333331</v>
      </c>
      <c r="I5" s="94">
        <v>8</v>
      </c>
      <c r="K5" s="38">
        <v>3</v>
      </c>
      <c r="L5" s="99">
        <v>-17.599999999999998</v>
      </c>
      <c r="N5" s="115" t="s">
        <v>133</v>
      </c>
      <c r="O5" s="122">
        <f t="shared" si="0"/>
        <v>-1576.6666666666667</v>
      </c>
      <c r="P5" s="119">
        <v>30</v>
      </c>
      <c r="Q5" s="103">
        <v>-47300</v>
      </c>
    </row>
    <row r="6" spans="1:17" x14ac:dyDescent="0.4">
      <c r="A6" s="55" t="s">
        <v>1</v>
      </c>
      <c r="B6" s="148">
        <f>IF(B$2=0,0,(B$7*1+B$8*2+B$9*3)/B$2)</f>
        <v>2.2727272727272729</v>
      </c>
      <c r="C6" s="149"/>
      <c r="E6" s="63" t="s">
        <v>67</v>
      </c>
      <c r="F6" s="60" t="s">
        <v>23</v>
      </c>
      <c r="G6" s="47">
        <v>25</v>
      </c>
      <c r="H6" s="133">
        <f>IF(B$17=0,0,G6/B$17)</f>
        <v>0.30864197530864196</v>
      </c>
      <c r="I6" s="94">
        <v>4</v>
      </c>
      <c r="K6" s="38">
        <v>4</v>
      </c>
      <c r="L6" s="99">
        <v>-54.899999999999991</v>
      </c>
      <c r="N6" s="115" t="s">
        <v>134</v>
      </c>
      <c r="O6" s="122">
        <f t="shared" si="0"/>
        <v>-3596.5517241379312</v>
      </c>
      <c r="P6" s="119">
        <v>29</v>
      </c>
      <c r="Q6" s="103">
        <v>-104300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0.18181818181818182</v>
      </c>
      <c r="E7" s="63" t="s">
        <v>68</v>
      </c>
      <c r="F7" s="60" t="s">
        <v>12</v>
      </c>
      <c r="G7" s="47">
        <v>21</v>
      </c>
      <c r="H7" s="133">
        <f>IF(B$17=0,0,G7/B$17)</f>
        <v>0.25925925925925924</v>
      </c>
      <c r="I7" s="94">
        <v>8</v>
      </c>
      <c r="K7" s="38">
        <v>5</v>
      </c>
      <c r="L7" s="99">
        <v>-33.699999999999989</v>
      </c>
      <c r="N7" s="116" t="s">
        <v>135</v>
      </c>
      <c r="O7" s="123">
        <f t="shared" si="0"/>
        <v>-2025.9259259259259</v>
      </c>
      <c r="P7" s="120">
        <v>27</v>
      </c>
      <c r="Q7" s="104">
        <v>-54700</v>
      </c>
    </row>
    <row r="8" spans="1:17" x14ac:dyDescent="0.4">
      <c r="A8" s="55" t="s">
        <v>3</v>
      </c>
      <c r="B8" s="47">
        <v>12</v>
      </c>
      <c r="C8" s="39">
        <f t="shared" si="1"/>
        <v>0.36363636363636365</v>
      </c>
      <c r="E8" s="63" t="s">
        <v>69</v>
      </c>
      <c r="F8" s="60" t="s">
        <v>24</v>
      </c>
      <c r="G8" s="47">
        <v>11</v>
      </c>
      <c r="H8" s="133">
        <f>IF(B$17=0,0,G8/B$17)</f>
        <v>0.13580246913580246</v>
      </c>
      <c r="I8" s="94">
        <v>4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si="1"/>
        <v>0.45454545454545453</v>
      </c>
      <c r="E9" s="63" t="s">
        <v>70</v>
      </c>
      <c r="F9" s="60" t="s">
        <v>25</v>
      </c>
      <c r="G9" s="47">
        <v>10</v>
      </c>
      <c r="H9" s="133">
        <f>IF(B$17=0,0,G9/B$17)</f>
        <v>0.12345679012345678</v>
      </c>
      <c r="I9" s="94">
        <v>3</v>
      </c>
      <c r="K9" s="38">
        <v>7</v>
      </c>
      <c r="L9" s="99">
        <v>-39.499999999999993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2</v>
      </c>
      <c r="C10" s="40">
        <f t="shared" si="1"/>
        <v>6.0606060606060608E-2</v>
      </c>
      <c r="E10" s="63" t="s">
        <v>65</v>
      </c>
      <c r="F10" s="60" t="s">
        <v>21</v>
      </c>
      <c r="G10" s="47">
        <v>9</v>
      </c>
      <c r="H10" s="133">
        <f>IF(B$17=0,0,G10/B$17)</f>
        <v>0.1111111111111111</v>
      </c>
      <c r="I10" s="94">
        <v>3</v>
      </c>
      <c r="K10" s="38">
        <v>8</v>
      </c>
      <c r="L10" s="99">
        <v>-62.999999999999993</v>
      </c>
      <c r="N10" s="114" t="s">
        <v>162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138</v>
      </c>
      <c r="B11" s="48">
        <v>2</v>
      </c>
      <c r="C11" s="40">
        <f t="shared" si="1"/>
        <v>6.0606060606060608E-2</v>
      </c>
      <c r="E11" s="63" t="s">
        <v>89</v>
      </c>
      <c r="F11" s="60" t="s">
        <v>44</v>
      </c>
      <c r="G11" s="47">
        <v>8</v>
      </c>
      <c r="H11" s="133">
        <f>IF(B$17=0,0,G11/B$17)</f>
        <v>9.8765432098765427E-2</v>
      </c>
      <c r="I11" s="94">
        <v>7</v>
      </c>
      <c r="K11" s="38">
        <v>9</v>
      </c>
      <c r="L11" s="99">
        <v>-74.199999999999989</v>
      </c>
      <c r="N11" s="115" t="s">
        <v>163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158</v>
      </c>
      <c r="B12" s="49">
        <v>2</v>
      </c>
      <c r="C12" s="42">
        <f t="shared" si="1"/>
        <v>6.0606060606060608E-2</v>
      </c>
      <c r="E12" s="63" t="s">
        <v>83</v>
      </c>
      <c r="F12" s="60" t="s">
        <v>38</v>
      </c>
      <c r="G12" s="47">
        <v>7</v>
      </c>
      <c r="H12" s="133">
        <f>IF(B$17=0,0,G12/B$17)</f>
        <v>8.6419753086419748E-2</v>
      </c>
      <c r="I12" s="94">
        <v>3</v>
      </c>
      <c r="K12" s="38">
        <v>10</v>
      </c>
      <c r="L12" s="99">
        <v>-117.19999999999999</v>
      </c>
      <c r="N12" s="116" t="s">
        <v>164</v>
      </c>
      <c r="O12" s="126">
        <f>IF(P12=0,0,Q12/P12)</f>
        <v>-18.22</v>
      </c>
      <c r="P12" s="120">
        <v>10</v>
      </c>
      <c r="Q12" s="108">
        <v>-182.2</v>
      </c>
    </row>
    <row r="13" spans="1:17" x14ac:dyDescent="0.4">
      <c r="A13" s="58" t="s">
        <v>121</v>
      </c>
      <c r="B13" s="50">
        <v>81</v>
      </c>
      <c r="C13" s="44">
        <f>IF(B$3=0,0,B13/B$3)</f>
        <v>0.28521126760563381</v>
      </c>
      <c r="E13" s="63" t="s">
        <v>71</v>
      </c>
      <c r="F13" s="60" t="s">
        <v>26</v>
      </c>
      <c r="G13" s="47">
        <v>5</v>
      </c>
      <c r="H13" s="133">
        <f>IF(B$17=0,0,G13/B$17)</f>
        <v>6.1728395061728392E-2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50</v>
      </c>
      <c r="C14" s="39">
        <f>IF(B$3=0,0,B14/B$3)</f>
        <v>0.176056338028169</v>
      </c>
      <c r="E14" s="63" t="s">
        <v>86</v>
      </c>
      <c r="F14" s="60" t="s">
        <v>41</v>
      </c>
      <c r="G14" s="47">
        <v>3</v>
      </c>
      <c r="H14" s="133">
        <f>IF(B$17=0,0,G14/B$17)</f>
        <v>3.7037037037037035E-2</v>
      </c>
      <c r="I14" s="94">
        <v>7</v>
      </c>
      <c r="K14" s="38">
        <v>12</v>
      </c>
      <c r="L14" s="99">
        <v>-158.6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47</v>
      </c>
      <c r="C15" s="37">
        <f>IF(B$13=0,0,B15/B$13)</f>
        <v>0.58024691358024694</v>
      </c>
      <c r="E15" s="63" t="s">
        <v>78</v>
      </c>
      <c r="F15" s="60" t="s">
        <v>33</v>
      </c>
      <c r="G15" s="47">
        <v>2</v>
      </c>
      <c r="H15" s="133">
        <f>IF(B$17=0,0,G15/B$17)</f>
        <v>2.4691358024691357E-2</v>
      </c>
      <c r="I15" s="94">
        <v>5</v>
      </c>
      <c r="K15" s="38">
        <v>13</v>
      </c>
      <c r="L15" s="99">
        <v>-207.3</v>
      </c>
      <c r="N15" s="114" t="s">
        <v>182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124</v>
      </c>
      <c r="B16" s="46">
        <v>22</v>
      </c>
      <c r="C16" s="37">
        <f>IF(B$14=0,0,B16/B$14)</f>
        <v>0.44</v>
      </c>
      <c r="E16" s="63" t="s">
        <v>81</v>
      </c>
      <c r="F16" s="60" t="s">
        <v>36</v>
      </c>
      <c r="G16" s="47">
        <v>2</v>
      </c>
      <c r="H16" s="133">
        <f>IF(B$17=0,0,G16/B$17)</f>
        <v>2.4691358024691357E-2</v>
      </c>
      <c r="I16" s="94">
        <v>5</v>
      </c>
      <c r="K16" s="38">
        <v>14</v>
      </c>
      <c r="L16" s="99">
        <v>-204.8</v>
      </c>
      <c r="N16" s="115" t="s">
        <v>166</v>
      </c>
      <c r="O16" s="125">
        <f>IF(P16=0,0,Q16/P16)</f>
        <v>18.45</v>
      </c>
      <c r="P16" s="119">
        <v>10</v>
      </c>
      <c r="Q16" s="107">
        <v>184.5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0.28521126760563381</v>
      </c>
      <c r="E17" s="63" t="s">
        <v>75</v>
      </c>
      <c r="F17" s="60" t="s">
        <v>30</v>
      </c>
      <c r="G17" s="47">
        <v>1</v>
      </c>
      <c r="H17" s="133">
        <f>IF(B$17=0,0,G17/B$17)</f>
        <v>1.2345679012345678E-2</v>
      </c>
      <c r="I17" s="94">
        <v>3</v>
      </c>
      <c r="K17" s="38">
        <v>15</v>
      </c>
      <c r="L17" s="99">
        <v>-221.5</v>
      </c>
      <c r="N17" s="115" t="s">
        <v>127</v>
      </c>
      <c r="O17" s="125">
        <f>IF(P17=0,0,Q17/P17)</f>
        <v>-9.1166666666666671</v>
      </c>
      <c r="P17" s="119">
        <v>18</v>
      </c>
      <c r="Q17" s="107">
        <v>-164.10000000000002</v>
      </c>
    </row>
    <row r="18" spans="1:17" x14ac:dyDescent="0.4">
      <c r="A18" s="55" t="s">
        <v>12</v>
      </c>
      <c r="B18" s="47">
        <v>32</v>
      </c>
      <c r="C18" s="39">
        <f>IF(B$17=0,0,B18/B$17)</f>
        <v>0.39506172839506171</v>
      </c>
      <c r="E18" s="63" t="s">
        <v>79</v>
      </c>
      <c r="F18" s="60" t="s">
        <v>34</v>
      </c>
      <c r="G18" s="47">
        <v>1</v>
      </c>
      <c r="H18" s="133">
        <f>IF(B$17=0,0,G18/B$17)</f>
        <v>1.2345679012345678E-2</v>
      </c>
      <c r="I18" s="94">
        <v>5</v>
      </c>
      <c r="K18" s="38">
        <v>16</v>
      </c>
      <c r="L18" s="99">
        <v>-224.3</v>
      </c>
      <c r="N18" s="115" t="s">
        <v>181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49</v>
      </c>
      <c r="C19" s="39">
        <f>IF(B$17=0,0,B19/B$17)</f>
        <v>0.60493827160493829</v>
      </c>
      <c r="E19" s="63" t="s">
        <v>91</v>
      </c>
      <c r="F19" s="60" t="s">
        <v>46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-251.4</v>
      </c>
      <c r="N19" s="115" t="s">
        <v>126</v>
      </c>
      <c r="O19" s="125">
        <f>IF(P19=0,0,Q19/P19)</f>
        <v>-19.468181818181822</v>
      </c>
      <c r="P19" s="119">
        <v>22</v>
      </c>
      <c r="Q19" s="107">
        <v>-428.30000000000007</v>
      </c>
    </row>
    <row r="20" spans="1:17" x14ac:dyDescent="0.4">
      <c r="A20" s="55" t="s">
        <v>13</v>
      </c>
      <c r="B20" s="47">
        <v>55</v>
      </c>
      <c r="C20" s="39">
        <f>IF(B$3=0,0,B20/B$3)</f>
        <v>0.19366197183098591</v>
      </c>
      <c r="E20" s="63" t="s">
        <v>167</v>
      </c>
      <c r="F20" s="60" t="s">
        <v>168</v>
      </c>
      <c r="G20" s="47">
        <v>1</v>
      </c>
      <c r="H20" s="133">
        <f>IF(B$17=0,0,G20/B$17)</f>
        <v>1.2345679012345678E-2</v>
      </c>
      <c r="I20" s="94">
        <v>3</v>
      </c>
      <c r="K20" s="38">
        <v>18</v>
      </c>
      <c r="L20" s="99">
        <v>-240</v>
      </c>
      <c r="N20" s="115" t="s">
        <v>177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73</v>
      </c>
      <c r="F21" s="60" t="s">
        <v>28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178</v>
      </c>
      <c r="O21" s="125">
        <f>IF(P21=0,0,Q21/P21)</f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170</v>
      </c>
      <c r="B22" s="47">
        <v>21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195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7334.5679012345681</v>
      </c>
      <c r="C23" s="41">
        <v>594100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6" t="s">
        <v>215</v>
      </c>
      <c r="B24" s="140">
        <f>IF(B$20=0,0,C24/B$20)</f>
        <v>-7358.181818181818</v>
      </c>
      <c r="C24" s="141">
        <v>-404700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56" t="s">
        <v>216</v>
      </c>
      <c r="B25" s="140">
        <f>IF($B$17-B$16=0,0,C25/($B$17-B$16))</f>
        <v>7750.8474576271183</v>
      </c>
      <c r="C25" s="141">
        <v>457300</v>
      </c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7" t="s">
        <v>217</v>
      </c>
      <c r="B26" s="52">
        <f>IF(B$16=0,0,C26/B$16)</f>
        <v>6218.181818181818</v>
      </c>
      <c r="C26" s="45">
        <v>136800</v>
      </c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90" t="s">
        <v>140</v>
      </c>
      <c r="B27" s="146">
        <v>8</v>
      </c>
      <c r="C27" s="147"/>
      <c r="E27" s="63" t="s">
        <v>84</v>
      </c>
      <c r="F27" s="60" t="s">
        <v>39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A28" s="58" t="s">
        <v>150</v>
      </c>
      <c r="B28" s="144">
        <v>69300</v>
      </c>
      <c r="C28" s="145"/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-186.00000000000003</v>
      </c>
    </row>
    <row r="29" spans="1:17" x14ac:dyDescent="0.4">
      <c r="A29" s="57" t="s">
        <v>141</v>
      </c>
      <c r="B29" s="65">
        <v>2</v>
      </c>
      <c r="C29" s="42">
        <f>IF(B$3=0,0,B29/B$3)</f>
        <v>7.0422535211267607E-3</v>
      </c>
      <c r="E29" s="63" t="s">
        <v>87</v>
      </c>
      <c r="F29" s="60" t="s">
        <v>42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-244.8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-261.3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3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109</v>
      </c>
      <c r="F49" s="60" t="s">
        <v>61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110</v>
      </c>
      <c r="F50" s="60" t="s">
        <v>62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111</v>
      </c>
      <c r="F51" s="137" t="s">
        <v>63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A6568-949A-4433-B052-EAC0007A66C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28</v>
      </c>
      <c r="C2" s="153"/>
      <c r="E2" s="62" t="s">
        <v>66</v>
      </c>
      <c r="F2" s="59" t="s">
        <v>22</v>
      </c>
      <c r="G2" s="46">
        <v>47</v>
      </c>
      <c r="H2" s="132">
        <f>IF(B$17=0,0,G2/B$17)</f>
        <v>0.8392857142857143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1250</v>
      </c>
      <c r="P2" s="118">
        <v>28</v>
      </c>
      <c r="Q2" s="102">
        <v>35000</v>
      </c>
    </row>
    <row r="3" spans="1:17" x14ac:dyDescent="0.4">
      <c r="A3" s="55" t="s">
        <v>8</v>
      </c>
      <c r="B3" s="154">
        <v>216</v>
      </c>
      <c r="C3" s="155"/>
      <c r="E3" s="63" t="s">
        <v>72</v>
      </c>
      <c r="F3" s="60" t="s">
        <v>27</v>
      </c>
      <c r="G3" s="47">
        <v>42</v>
      </c>
      <c r="H3" s="133">
        <f>IF(B$17=0,0,G3/B$17)</f>
        <v>0.75</v>
      </c>
      <c r="I3" s="94">
        <v>2</v>
      </c>
      <c r="K3" s="38">
        <v>1</v>
      </c>
      <c r="L3" s="99">
        <v>-9.1</v>
      </c>
      <c r="N3" s="115" t="s">
        <v>131</v>
      </c>
      <c r="O3" s="122">
        <f t="shared" si="0"/>
        <v>-2996.1538461538462</v>
      </c>
      <c r="P3" s="119">
        <v>26</v>
      </c>
      <c r="Q3" s="103">
        <v>-77900</v>
      </c>
    </row>
    <row r="4" spans="1:17" x14ac:dyDescent="0.4">
      <c r="A4" s="55" t="s">
        <v>6</v>
      </c>
      <c r="B4" s="156">
        <v>-10.999999999999972</v>
      </c>
      <c r="C4" s="157"/>
      <c r="E4" s="63" t="s">
        <v>67</v>
      </c>
      <c r="F4" s="60" t="s">
        <v>23</v>
      </c>
      <c r="G4" s="47">
        <v>26</v>
      </c>
      <c r="H4" s="133">
        <f>IF(B$17=0,0,G4/B$17)</f>
        <v>0.4642857142857143</v>
      </c>
      <c r="I4" s="94">
        <v>2</v>
      </c>
      <c r="K4" s="38">
        <v>2</v>
      </c>
      <c r="L4" s="99">
        <v>-67.3</v>
      </c>
      <c r="N4" s="115" t="s">
        <v>132</v>
      </c>
      <c r="O4" s="122">
        <f t="shared" si="0"/>
        <v>1016</v>
      </c>
      <c r="P4" s="119">
        <v>25</v>
      </c>
      <c r="Q4" s="103">
        <v>25400</v>
      </c>
    </row>
    <row r="5" spans="1:17" x14ac:dyDescent="0.4">
      <c r="A5" s="55" t="s">
        <v>7</v>
      </c>
      <c r="B5" s="158">
        <f>IF(B$2=0,0,B$4/B$2)</f>
        <v>-0.39285714285714185</v>
      </c>
      <c r="C5" s="159"/>
      <c r="E5" s="63" t="s">
        <v>64</v>
      </c>
      <c r="F5" s="60" t="s">
        <v>20</v>
      </c>
      <c r="G5" s="47">
        <v>25</v>
      </c>
      <c r="H5" s="133">
        <f>IF(B$17=0,0,G5/B$17)</f>
        <v>0.44642857142857145</v>
      </c>
      <c r="I5" s="94">
        <v>6</v>
      </c>
      <c r="K5" s="38">
        <v>3</v>
      </c>
      <c r="L5" s="99">
        <v>-113.8</v>
      </c>
      <c r="N5" s="115" t="s">
        <v>133</v>
      </c>
      <c r="O5" s="122">
        <f t="shared" si="0"/>
        <v>4086.9565217391305</v>
      </c>
      <c r="P5" s="119">
        <v>23</v>
      </c>
      <c r="Q5" s="103">
        <v>94000</v>
      </c>
    </row>
    <row r="6" spans="1:17" x14ac:dyDescent="0.4">
      <c r="A6" s="55" t="s">
        <v>1</v>
      </c>
      <c r="B6" s="148">
        <f>IF(B$2=0,0,(B$7*1+B$8*2+B$9*3)/B$2)</f>
        <v>1.9642857142857142</v>
      </c>
      <c r="C6" s="149"/>
      <c r="E6" s="63" t="s">
        <v>68</v>
      </c>
      <c r="F6" s="60" t="s">
        <v>12</v>
      </c>
      <c r="G6" s="47">
        <v>20</v>
      </c>
      <c r="H6" s="133">
        <f>IF(B$17=0,0,G6/B$17)</f>
        <v>0.35714285714285715</v>
      </c>
      <c r="I6" s="94">
        <v>2</v>
      </c>
      <c r="K6" s="38">
        <v>4</v>
      </c>
      <c r="L6" s="99">
        <v>-74.599999999999994</v>
      </c>
      <c r="N6" s="115" t="s">
        <v>134</v>
      </c>
      <c r="O6" s="122">
        <f t="shared" si="0"/>
        <v>-2160</v>
      </c>
      <c r="P6" s="119">
        <v>20</v>
      </c>
      <c r="Q6" s="103">
        <v>-43200</v>
      </c>
    </row>
    <row r="7" spans="1:17" x14ac:dyDescent="0.4">
      <c r="A7" s="55" t="s">
        <v>2</v>
      </c>
      <c r="B7" s="47">
        <v>10</v>
      </c>
      <c r="C7" s="39">
        <f t="shared" ref="C7:C12" si="1">IF(B$2=0,0,B7/B$2)</f>
        <v>0.35714285714285715</v>
      </c>
      <c r="E7" s="63" t="s">
        <v>171</v>
      </c>
      <c r="F7" s="60" t="s">
        <v>172</v>
      </c>
      <c r="G7" s="47">
        <v>18</v>
      </c>
      <c r="H7" s="133">
        <f>IF(B$17=0,0,G7/B$17)</f>
        <v>0.32142857142857145</v>
      </c>
      <c r="I7" s="94">
        <v>10</v>
      </c>
      <c r="K7" s="38">
        <v>5</v>
      </c>
      <c r="L7" s="99">
        <v>-118.3</v>
      </c>
      <c r="N7" s="116" t="s">
        <v>135</v>
      </c>
      <c r="O7" s="123">
        <f t="shared" si="0"/>
        <v>-3620</v>
      </c>
      <c r="P7" s="120">
        <v>15</v>
      </c>
      <c r="Q7" s="104">
        <v>-54300</v>
      </c>
    </row>
    <row r="8" spans="1:17" x14ac:dyDescent="0.4">
      <c r="A8" s="55" t="s">
        <v>3</v>
      </c>
      <c r="B8" s="47">
        <v>9</v>
      </c>
      <c r="C8" s="39">
        <f t="shared" si="1"/>
        <v>0.32142857142857145</v>
      </c>
      <c r="E8" s="63" t="s">
        <v>89</v>
      </c>
      <c r="F8" s="60" t="s">
        <v>44</v>
      </c>
      <c r="G8" s="47">
        <v>16</v>
      </c>
      <c r="H8" s="133">
        <f>IF(B$17=0,0,G8/B$17)</f>
        <v>0.2857142857142857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0.32142857142857145</v>
      </c>
      <c r="E9" s="63" t="s">
        <v>69</v>
      </c>
      <c r="F9" s="60" t="s">
        <v>24</v>
      </c>
      <c r="G9" s="47">
        <v>8</v>
      </c>
      <c r="H9" s="133">
        <f>IF(B$17=0,0,G9/B$17)</f>
        <v>0.14285714285714285</v>
      </c>
      <c r="I9" s="94">
        <v>3</v>
      </c>
      <c r="K9" s="38">
        <v>7</v>
      </c>
      <c r="L9" s="99">
        <v>-60.8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5</v>
      </c>
      <c r="C10" s="40">
        <f t="shared" si="1"/>
        <v>0.17857142857142858</v>
      </c>
      <c r="E10" s="63" t="s">
        <v>65</v>
      </c>
      <c r="F10" s="60" t="s">
        <v>21</v>
      </c>
      <c r="G10" s="47">
        <v>5</v>
      </c>
      <c r="H10" s="133">
        <f>IF(B$17=0,0,G10/B$17)</f>
        <v>8.9285714285714288E-2</v>
      </c>
      <c r="I10" s="94">
        <v>8</v>
      </c>
      <c r="K10" s="38">
        <v>8</v>
      </c>
      <c r="L10" s="99">
        <v>-110.19999999999999</v>
      </c>
      <c r="N10" s="114" t="s">
        <v>162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138</v>
      </c>
      <c r="B11" s="48">
        <v>6</v>
      </c>
      <c r="C11" s="40">
        <f t="shared" si="1"/>
        <v>0.21428571428571427</v>
      </c>
      <c r="E11" s="63" t="s">
        <v>83</v>
      </c>
      <c r="F11" s="60" t="s">
        <v>38</v>
      </c>
      <c r="G11" s="47">
        <v>4</v>
      </c>
      <c r="H11" s="133">
        <f>IF(B$17=0,0,G11/B$17)</f>
        <v>7.1428571428571425E-2</v>
      </c>
      <c r="I11" s="94">
        <v>4</v>
      </c>
      <c r="K11" s="38">
        <v>9</v>
      </c>
      <c r="L11" s="99">
        <v>-120.99999999999999</v>
      </c>
      <c r="N11" s="115" t="s">
        <v>163</v>
      </c>
      <c r="O11" s="125">
        <f>IF(P11=0,0,Q11/P11)</f>
        <v>-1.025000000000001</v>
      </c>
      <c r="P11" s="119">
        <v>12</v>
      </c>
      <c r="Q11" s="107">
        <v>-12.300000000000011</v>
      </c>
    </row>
    <row r="12" spans="1:17" x14ac:dyDescent="0.4">
      <c r="A12" s="57" t="s">
        <v>158</v>
      </c>
      <c r="B12" s="49">
        <v>1</v>
      </c>
      <c r="C12" s="42">
        <f t="shared" si="1"/>
        <v>3.5714285714285712E-2</v>
      </c>
      <c r="E12" s="63" t="s">
        <v>92</v>
      </c>
      <c r="F12" s="60" t="s">
        <v>47</v>
      </c>
      <c r="G12" s="47">
        <v>3</v>
      </c>
      <c r="H12" s="133">
        <f>IF(B$17=0,0,G12/B$17)</f>
        <v>5.3571428571428568E-2</v>
      </c>
      <c r="I12" s="94">
        <v>1</v>
      </c>
      <c r="K12" s="38">
        <v>10</v>
      </c>
      <c r="L12" s="99">
        <v>-113.29999999999998</v>
      </c>
      <c r="N12" s="116" t="s">
        <v>164</v>
      </c>
      <c r="O12" s="126">
        <f>IF(P12=0,0,Q12/P12)</f>
        <v>-7.6428571428571406</v>
      </c>
      <c r="P12" s="120">
        <v>7</v>
      </c>
      <c r="Q12" s="108">
        <v>-53.499999999999986</v>
      </c>
    </row>
    <row r="13" spans="1:17" x14ac:dyDescent="0.4">
      <c r="A13" s="58" t="s">
        <v>121</v>
      </c>
      <c r="B13" s="50">
        <v>60</v>
      </c>
      <c r="C13" s="44">
        <f>IF(B$3=0,0,B13/B$3)</f>
        <v>0.27777777777777779</v>
      </c>
      <c r="E13" s="63" t="s">
        <v>70</v>
      </c>
      <c r="F13" s="60" t="s">
        <v>25</v>
      </c>
      <c r="G13" s="47">
        <v>2</v>
      </c>
      <c r="H13" s="133">
        <f>IF(B$17=0,0,G13/B$17)</f>
        <v>3.5714285714285712E-2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47</v>
      </c>
      <c r="C14" s="39">
        <f>IF(B$3=0,0,B14/B$3)</f>
        <v>0.21759259259259259</v>
      </c>
      <c r="E14" s="63" t="s">
        <v>81</v>
      </c>
      <c r="F14" s="60" t="s">
        <v>36</v>
      </c>
      <c r="G14" s="47">
        <v>2</v>
      </c>
      <c r="H14" s="133">
        <f>IF(B$17=0,0,G14/B$17)</f>
        <v>3.5714285714285712E-2</v>
      </c>
      <c r="I14" s="94">
        <v>2</v>
      </c>
      <c r="K14" s="38">
        <v>12</v>
      </c>
      <c r="L14" s="99">
        <v>-110.49999999999999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25</v>
      </c>
      <c r="C15" s="37">
        <f>IF(B$13=0,0,B15/B$13)</f>
        <v>0.41666666666666669</v>
      </c>
      <c r="E15" s="63" t="s">
        <v>86</v>
      </c>
      <c r="F15" s="60" t="s">
        <v>41</v>
      </c>
      <c r="G15" s="47">
        <v>2</v>
      </c>
      <c r="H15" s="133">
        <f>IF(B$17=0,0,G15/B$17)</f>
        <v>3.5714285714285712E-2</v>
      </c>
      <c r="I15" s="94">
        <v>9</v>
      </c>
      <c r="K15" s="38">
        <v>13</v>
      </c>
      <c r="L15" s="99">
        <v>-132.39999999999998</v>
      </c>
      <c r="N15" s="114" t="s">
        <v>195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124</v>
      </c>
      <c r="B16" s="46">
        <v>23</v>
      </c>
      <c r="C16" s="37">
        <f>IF(B$14=0,0,B16/B$14)</f>
        <v>0.48936170212765956</v>
      </c>
      <c r="E16" s="63" t="s">
        <v>71</v>
      </c>
      <c r="F16" s="60" t="s">
        <v>26</v>
      </c>
      <c r="G16" s="47">
        <v>1</v>
      </c>
      <c r="H16" s="133">
        <f>IF(B$17=0,0,G16/B$17)</f>
        <v>1.7857142857142856E-2</v>
      </c>
      <c r="I16" s="94">
        <v>10</v>
      </c>
      <c r="K16" s="38">
        <v>14</v>
      </c>
      <c r="L16" s="99">
        <v>-86.499999999999972</v>
      </c>
      <c r="N16" s="115" t="s">
        <v>179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0.25925925925925924</v>
      </c>
      <c r="E17" s="63" t="s">
        <v>75</v>
      </c>
      <c r="F17" s="60" t="s">
        <v>30</v>
      </c>
      <c r="G17" s="47">
        <v>1</v>
      </c>
      <c r="H17" s="133">
        <f>IF(B$17=0,0,G17/B$17)</f>
        <v>1.7857142857142856E-2</v>
      </c>
      <c r="I17" s="94">
        <v>2</v>
      </c>
      <c r="K17" s="38">
        <v>15</v>
      </c>
      <c r="L17" s="99">
        <v>-101.79999999999997</v>
      </c>
      <c r="N17" s="115" t="s">
        <v>182</v>
      </c>
      <c r="O17" s="125">
        <f>IF(P17=0,0,Q17/P17)</f>
        <v>20.209090909090907</v>
      </c>
      <c r="P17" s="119">
        <v>11</v>
      </c>
      <c r="Q17" s="107">
        <v>222.29999999999998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0.4642857142857143</v>
      </c>
      <c r="E18" s="63" t="s">
        <v>85</v>
      </c>
      <c r="F18" s="60" t="s">
        <v>40</v>
      </c>
      <c r="G18" s="47">
        <v>1</v>
      </c>
      <c r="H18" s="133">
        <f>IF(B$17=0,0,G18/B$17)</f>
        <v>1.7857142857142856E-2</v>
      </c>
      <c r="I18" s="94">
        <v>2</v>
      </c>
      <c r="K18" s="38">
        <v>16</v>
      </c>
      <c r="L18" s="99">
        <v>-63.099999999999966</v>
      </c>
      <c r="N18" s="115" t="s">
        <v>178</v>
      </c>
      <c r="O18" s="125">
        <f>IF(P18=0,0,Q18/P18)</f>
        <v>10.112500000000002</v>
      </c>
      <c r="P18" s="119">
        <v>16</v>
      </c>
      <c r="Q18" s="107">
        <v>161.80000000000004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0.5357142857142857</v>
      </c>
      <c r="E19" s="63" t="s">
        <v>91</v>
      </c>
      <c r="F19" s="60" t="s">
        <v>46</v>
      </c>
      <c r="G19" s="47">
        <v>1</v>
      </c>
      <c r="H19" s="133">
        <f>IF(B$17=0,0,G19/B$17)</f>
        <v>1.7857142857142856E-2</v>
      </c>
      <c r="I19" s="94">
        <v>2</v>
      </c>
      <c r="K19" s="38">
        <v>17</v>
      </c>
      <c r="L19" s="99">
        <v>-55.799999999999969</v>
      </c>
      <c r="N19" s="115" t="s">
        <v>126</v>
      </c>
      <c r="O19" s="125">
        <f>IF(P19=0,0,Q19/P19)</f>
        <v>-7.8636363636363651</v>
      </c>
      <c r="P19" s="119">
        <v>11</v>
      </c>
      <c r="Q19" s="107">
        <v>-86.500000000000014</v>
      </c>
    </row>
    <row r="20" spans="1:17" x14ac:dyDescent="0.4">
      <c r="A20" s="55" t="s">
        <v>13</v>
      </c>
      <c r="B20" s="47">
        <v>36</v>
      </c>
      <c r="C20" s="39">
        <f>IF(B$3=0,0,B20/B$3)</f>
        <v>0.16666666666666666</v>
      </c>
      <c r="E20" s="63" t="s">
        <v>73</v>
      </c>
      <c r="F20" s="60" t="s">
        <v>28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-24.999999999999968</v>
      </c>
      <c r="N20" s="115" t="s">
        <v>127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169</v>
      </c>
      <c r="B21" s="47">
        <v>3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-27.799999999999969</v>
      </c>
      <c r="N21" s="115" t="s">
        <v>181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170</v>
      </c>
      <c r="B22" s="47">
        <v>25</v>
      </c>
      <c r="C22" s="135">
        <v>4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10853.571428571429</v>
      </c>
      <c r="C23" s="41">
        <v>607800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-59.89999999999997</v>
      </c>
    </row>
    <row r="24" spans="1:17" x14ac:dyDescent="0.4">
      <c r="A24" s="56" t="s">
        <v>215</v>
      </c>
      <c r="B24" s="140">
        <f>IF(B$20=0,0,C24/B$20)</f>
        <v>-9508.3333333333339</v>
      </c>
      <c r="C24" s="141">
        <v>-342300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-21.799999999999969</v>
      </c>
    </row>
    <row r="25" spans="1:17" x14ac:dyDescent="0.4">
      <c r="A25" s="56" t="s">
        <v>216</v>
      </c>
      <c r="B25" s="140">
        <f>IF($B$17-B$16=0,0,C25/($B$17-B$16))</f>
        <v>13293.939393939394</v>
      </c>
      <c r="C25" s="141">
        <v>438700</v>
      </c>
      <c r="E25" s="63" t="s">
        <v>79</v>
      </c>
      <c r="F25" s="60" t="s">
        <v>34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-10.299999999999969</v>
      </c>
    </row>
    <row r="26" spans="1:17" x14ac:dyDescent="0.4">
      <c r="A26" s="57" t="s">
        <v>217</v>
      </c>
      <c r="B26" s="52">
        <f>IF(B$16=0,0,C26/B$16)</f>
        <v>7352.173913043478</v>
      </c>
      <c r="C26" s="45">
        <v>169100</v>
      </c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90" t="s">
        <v>140</v>
      </c>
      <c r="B27" s="146">
        <v>8</v>
      </c>
      <c r="C27" s="147"/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-37.699999999999974</v>
      </c>
    </row>
    <row r="28" spans="1:17" x14ac:dyDescent="0.4">
      <c r="A28" s="58" t="s">
        <v>150</v>
      </c>
      <c r="B28" s="144">
        <v>83000</v>
      </c>
      <c r="C28" s="145"/>
      <c r="E28" s="63" t="s">
        <v>84</v>
      </c>
      <c r="F28" s="60" t="s">
        <v>39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-84.999999999999972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87</v>
      </c>
      <c r="F29" s="60" t="s">
        <v>42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-31.499999999999972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-10.999999999999972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4D50-260C-4191-827C-3409D32862DC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36</v>
      </c>
      <c r="C2" s="153"/>
      <c r="E2" s="62" t="s">
        <v>72</v>
      </c>
      <c r="F2" s="59" t="s">
        <v>27</v>
      </c>
      <c r="G2" s="46">
        <v>65</v>
      </c>
      <c r="H2" s="132">
        <f>IF(B$17=0,0,G2/B$17)</f>
        <v>0.8125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1216.6666666666667</v>
      </c>
      <c r="P2" s="118">
        <v>36</v>
      </c>
      <c r="Q2" s="102">
        <v>43800</v>
      </c>
    </row>
    <row r="3" spans="1:17" x14ac:dyDescent="0.4">
      <c r="A3" s="55" t="s">
        <v>8</v>
      </c>
      <c r="B3" s="154">
        <v>292</v>
      </c>
      <c r="C3" s="155"/>
      <c r="E3" s="63" t="s">
        <v>66</v>
      </c>
      <c r="F3" s="60" t="s">
        <v>22</v>
      </c>
      <c r="G3" s="47">
        <v>58</v>
      </c>
      <c r="H3" s="133">
        <f>IF(B$17=0,0,G3/B$17)</f>
        <v>0.72499999999999998</v>
      </c>
      <c r="I3" s="94">
        <v>6</v>
      </c>
      <c r="K3" s="38">
        <v>1</v>
      </c>
      <c r="L3" s="99">
        <v>46.9</v>
      </c>
      <c r="N3" s="115" t="s">
        <v>131</v>
      </c>
      <c r="O3" s="122">
        <f t="shared" si="0"/>
        <v>1390.909090909091</v>
      </c>
      <c r="P3" s="119">
        <v>33</v>
      </c>
      <c r="Q3" s="103">
        <v>45900</v>
      </c>
    </row>
    <row r="4" spans="1:17" x14ac:dyDescent="0.4">
      <c r="A4" s="55" t="s">
        <v>6</v>
      </c>
      <c r="B4" s="156">
        <v>-65.399999999999977</v>
      </c>
      <c r="C4" s="157"/>
      <c r="E4" s="63" t="s">
        <v>64</v>
      </c>
      <c r="F4" s="60" t="s">
        <v>20</v>
      </c>
      <c r="G4" s="47">
        <v>35</v>
      </c>
      <c r="H4" s="133">
        <f>IF(B$17=0,0,G4/B$17)</f>
        <v>0.4375</v>
      </c>
      <c r="I4" s="94">
        <v>7</v>
      </c>
      <c r="K4" s="38">
        <v>2</v>
      </c>
      <c r="L4" s="99">
        <v>8.1000000000000014</v>
      </c>
      <c r="N4" s="115" t="s">
        <v>132</v>
      </c>
      <c r="O4" s="122">
        <f t="shared" si="0"/>
        <v>-3641.9354838709678</v>
      </c>
      <c r="P4" s="119">
        <v>31</v>
      </c>
      <c r="Q4" s="103">
        <v>-112900</v>
      </c>
    </row>
    <row r="5" spans="1:17" x14ac:dyDescent="0.4">
      <c r="A5" s="55" t="s">
        <v>7</v>
      </c>
      <c r="B5" s="158">
        <f>IF(B$2=0,0,B$4/B$2)</f>
        <v>-1.816666666666666</v>
      </c>
      <c r="C5" s="159"/>
      <c r="E5" s="63" t="s">
        <v>171</v>
      </c>
      <c r="F5" s="60" t="s">
        <v>172</v>
      </c>
      <c r="G5" s="47">
        <v>27</v>
      </c>
      <c r="H5" s="133">
        <f>IF(B$17=0,0,G5/B$17)</f>
        <v>0.33750000000000002</v>
      </c>
      <c r="I5" s="94">
        <v>6</v>
      </c>
      <c r="K5" s="38">
        <v>3</v>
      </c>
      <c r="L5" s="99">
        <v>25.8</v>
      </c>
      <c r="N5" s="115" t="s">
        <v>133</v>
      </c>
      <c r="O5" s="122">
        <f t="shared" si="0"/>
        <v>32.142857142857146</v>
      </c>
      <c r="P5" s="119">
        <v>28</v>
      </c>
      <c r="Q5" s="103">
        <v>900</v>
      </c>
    </row>
    <row r="6" spans="1:17" x14ac:dyDescent="0.4">
      <c r="A6" s="55" t="s">
        <v>1</v>
      </c>
      <c r="B6" s="148">
        <f>IF(B$2=0,0,(B$7*1+B$8*2+B$9*3)/B$2)</f>
        <v>2.1388888888888888</v>
      </c>
      <c r="C6" s="149"/>
      <c r="E6" s="63" t="s">
        <v>67</v>
      </c>
      <c r="F6" s="60" t="s">
        <v>23</v>
      </c>
      <c r="G6" s="47">
        <v>24</v>
      </c>
      <c r="H6" s="133">
        <f>IF(B$17=0,0,G6/B$17)</f>
        <v>0.3</v>
      </c>
      <c r="I6" s="94">
        <v>5</v>
      </c>
      <c r="K6" s="38">
        <v>4</v>
      </c>
      <c r="L6" s="99">
        <v>-19.3</v>
      </c>
      <c r="N6" s="115" t="s">
        <v>134</v>
      </c>
      <c r="O6" s="122">
        <f t="shared" si="0"/>
        <v>-721.73913043478262</v>
      </c>
      <c r="P6" s="119">
        <v>23</v>
      </c>
      <c r="Q6" s="103">
        <v>-16600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0.22222222222222221</v>
      </c>
      <c r="E7" s="63" t="s">
        <v>68</v>
      </c>
      <c r="F7" s="60" t="s">
        <v>12</v>
      </c>
      <c r="G7" s="47">
        <v>24</v>
      </c>
      <c r="H7" s="133">
        <f>IF(B$17=0,0,G7/B$17)</f>
        <v>0.3</v>
      </c>
      <c r="I7" s="94">
        <v>4</v>
      </c>
      <c r="K7" s="38">
        <v>5</v>
      </c>
      <c r="L7" s="99">
        <v>-1.6000000000000014</v>
      </c>
      <c r="N7" s="116" t="s">
        <v>135</v>
      </c>
      <c r="O7" s="123">
        <f t="shared" si="0"/>
        <v>1119.047619047619</v>
      </c>
      <c r="P7" s="120">
        <v>21</v>
      </c>
      <c r="Q7" s="104">
        <v>23500</v>
      </c>
    </row>
    <row r="8" spans="1:17" x14ac:dyDescent="0.4">
      <c r="A8" s="55" t="s">
        <v>3</v>
      </c>
      <c r="B8" s="47">
        <v>15</v>
      </c>
      <c r="C8" s="39">
        <f t="shared" si="1"/>
        <v>0.41666666666666669</v>
      </c>
      <c r="E8" s="63" t="s">
        <v>89</v>
      </c>
      <c r="F8" s="60" t="s">
        <v>44</v>
      </c>
      <c r="G8" s="47">
        <v>9</v>
      </c>
      <c r="H8" s="133">
        <f>IF(B$17=0,0,G8/B$17)</f>
        <v>0.1125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0.3611111111111111</v>
      </c>
      <c r="E9" s="63" t="s">
        <v>69</v>
      </c>
      <c r="F9" s="60" t="s">
        <v>24</v>
      </c>
      <c r="G9" s="47">
        <v>7</v>
      </c>
      <c r="H9" s="133">
        <f>IF(B$17=0,0,G9/B$17)</f>
        <v>8.7499999999999994E-2</v>
      </c>
      <c r="I9" s="94">
        <v>7</v>
      </c>
      <c r="K9" s="38">
        <v>7</v>
      </c>
      <c r="L9" s="99">
        <v>-16.300000000000004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4</v>
      </c>
      <c r="C10" s="40">
        <f t="shared" si="1"/>
        <v>0.1111111111111111</v>
      </c>
      <c r="E10" s="63" t="s">
        <v>65</v>
      </c>
      <c r="F10" s="60" t="s">
        <v>21</v>
      </c>
      <c r="G10" s="47">
        <v>4</v>
      </c>
      <c r="H10" s="133">
        <f>IF(B$17=0,0,G10/B$17)</f>
        <v>0.05</v>
      </c>
      <c r="I10" s="94">
        <v>10</v>
      </c>
      <c r="K10" s="38">
        <v>8</v>
      </c>
      <c r="L10" s="99">
        <v>-46.7</v>
      </c>
      <c r="N10" s="114" t="s">
        <v>162</v>
      </c>
      <c r="O10" s="124">
        <f>IF(P10=0,0,Q10/P10)</f>
        <v>3.3285714285714287</v>
      </c>
      <c r="P10" s="118">
        <v>14</v>
      </c>
      <c r="Q10" s="106">
        <v>46.6</v>
      </c>
    </row>
    <row r="11" spans="1:17" x14ac:dyDescent="0.4">
      <c r="A11" s="56" t="s">
        <v>138</v>
      </c>
      <c r="B11" s="48">
        <v>3</v>
      </c>
      <c r="C11" s="40">
        <f t="shared" si="1"/>
        <v>8.3333333333333329E-2</v>
      </c>
      <c r="E11" s="63" t="s">
        <v>70</v>
      </c>
      <c r="F11" s="60" t="s">
        <v>25</v>
      </c>
      <c r="G11" s="47">
        <v>4</v>
      </c>
      <c r="H11" s="133">
        <f>IF(B$17=0,0,G11/B$17)</f>
        <v>0.05</v>
      </c>
      <c r="I11" s="94">
        <v>9</v>
      </c>
      <c r="K11" s="38">
        <v>9</v>
      </c>
      <c r="L11" s="99">
        <v>-90.9</v>
      </c>
      <c r="N11" s="115" t="s">
        <v>163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158</v>
      </c>
      <c r="B12" s="49">
        <v>0</v>
      </c>
      <c r="C12" s="42">
        <f t="shared" si="1"/>
        <v>0</v>
      </c>
      <c r="E12" s="63" t="s">
        <v>79</v>
      </c>
      <c r="F12" s="60" t="s">
        <v>34</v>
      </c>
      <c r="G12" s="47">
        <v>4</v>
      </c>
      <c r="H12" s="133">
        <f>IF(B$17=0,0,G12/B$17)</f>
        <v>0.05</v>
      </c>
      <c r="I12" s="94">
        <v>2</v>
      </c>
      <c r="K12" s="38">
        <v>10</v>
      </c>
      <c r="L12" s="99">
        <v>-146.69999999999999</v>
      </c>
      <c r="N12" s="116" t="s">
        <v>164</v>
      </c>
      <c r="O12" s="126">
        <f>IF(P12=0,0,Q12/P12)</f>
        <v>-6.5692307692307699</v>
      </c>
      <c r="P12" s="120">
        <v>13</v>
      </c>
      <c r="Q12" s="108">
        <v>-85.4</v>
      </c>
    </row>
    <row r="13" spans="1:17" x14ac:dyDescent="0.4">
      <c r="A13" s="58" t="s">
        <v>121</v>
      </c>
      <c r="B13" s="50">
        <v>69</v>
      </c>
      <c r="C13" s="44">
        <f>IF(B$3=0,0,B13/B$3)</f>
        <v>0.2363013698630137</v>
      </c>
      <c r="E13" s="63" t="s">
        <v>83</v>
      </c>
      <c r="F13" s="60" t="s">
        <v>38</v>
      </c>
      <c r="G13" s="47">
        <v>4</v>
      </c>
      <c r="H13" s="133">
        <f>IF(B$17=0,0,G13/B$17)</f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84</v>
      </c>
      <c r="C14" s="39">
        <f>IF(B$3=0,0,B14/B$3)</f>
        <v>0.28767123287671231</v>
      </c>
      <c r="E14" s="63" t="s">
        <v>71</v>
      </c>
      <c r="F14" s="60" t="s">
        <v>26</v>
      </c>
      <c r="G14" s="47">
        <v>3</v>
      </c>
      <c r="H14" s="133">
        <f>IF(B$17=0,0,G14/B$17)</f>
        <v>3.7499999999999999E-2</v>
      </c>
      <c r="I14" s="94">
        <v>9</v>
      </c>
      <c r="K14" s="38">
        <v>12</v>
      </c>
      <c r="L14" s="99">
        <v>-118.39999999999999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36</v>
      </c>
      <c r="C15" s="37">
        <f>IF(B$13=0,0,B15/B$13)</f>
        <v>0.52173913043478259</v>
      </c>
      <c r="E15" s="63" t="s">
        <v>86</v>
      </c>
      <c r="F15" s="60" t="s">
        <v>41</v>
      </c>
      <c r="G15" s="47">
        <v>3</v>
      </c>
      <c r="H15" s="133">
        <f>IF(B$17=0,0,G15/B$17)</f>
        <v>3.7499999999999999E-2</v>
      </c>
      <c r="I15" s="94">
        <v>6</v>
      </c>
      <c r="K15" s="38">
        <v>13</v>
      </c>
      <c r="L15" s="99">
        <v>-68.399999999999991</v>
      </c>
      <c r="N15" s="114" t="s">
        <v>195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124</v>
      </c>
      <c r="B16" s="46">
        <v>34</v>
      </c>
      <c r="C16" s="37">
        <f>IF(B$14=0,0,B16/B$14)</f>
        <v>0.40476190476190477</v>
      </c>
      <c r="E16" s="63" t="s">
        <v>78</v>
      </c>
      <c r="F16" s="60" t="s">
        <v>33</v>
      </c>
      <c r="G16" s="47">
        <v>2</v>
      </c>
      <c r="H16" s="133">
        <f>IF(B$17=0,0,G16/B$17)</f>
        <v>2.5000000000000001E-2</v>
      </c>
      <c r="I16" s="94">
        <v>4</v>
      </c>
      <c r="K16" s="38">
        <v>14</v>
      </c>
      <c r="L16" s="99">
        <v>-25.79999999999999</v>
      </c>
      <c r="N16" s="115" t="s">
        <v>179</v>
      </c>
      <c r="O16" s="125">
        <f>IF(P16=0,0,Q16/P16)</f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0.27397260273972601</v>
      </c>
      <c r="E17" s="63" t="s">
        <v>85</v>
      </c>
      <c r="F17" s="60" t="s">
        <v>40</v>
      </c>
      <c r="G17" s="47">
        <v>1</v>
      </c>
      <c r="H17" s="133">
        <f>IF(B$17=0,0,G17/B$17)</f>
        <v>1.2500000000000001E-2</v>
      </c>
      <c r="I17" s="94">
        <v>3</v>
      </c>
      <c r="K17" s="38">
        <v>15</v>
      </c>
      <c r="L17" s="99">
        <v>-35.499999999999986</v>
      </c>
      <c r="N17" s="115" t="s">
        <v>182</v>
      </c>
      <c r="O17" s="125">
        <f>IF(P17=0,0,Q17/P17)</f>
        <v>24.055555555555557</v>
      </c>
      <c r="P17" s="119">
        <v>9</v>
      </c>
      <c r="Q17" s="107">
        <v>216.5</v>
      </c>
    </row>
    <row r="18" spans="1:17" x14ac:dyDescent="0.4">
      <c r="A18" s="55" t="s">
        <v>12</v>
      </c>
      <c r="B18" s="47">
        <v>34</v>
      </c>
      <c r="C18" s="39">
        <f>IF(B$17=0,0,B18/B$17)</f>
        <v>0.42499999999999999</v>
      </c>
      <c r="E18" s="63" t="s">
        <v>91</v>
      </c>
      <c r="F18" s="60" t="s">
        <v>46</v>
      </c>
      <c r="G18" s="47">
        <v>1</v>
      </c>
      <c r="H18" s="133">
        <f>IF(B$17=0,0,G18/B$17)</f>
        <v>1.2500000000000001E-2</v>
      </c>
      <c r="I18" s="94">
        <v>5</v>
      </c>
      <c r="K18" s="38">
        <v>16</v>
      </c>
      <c r="L18" s="99">
        <v>-35.599999999999987</v>
      </c>
      <c r="N18" s="115" t="s">
        <v>166</v>
      </c>
      <c r="O18" s="125">
        <f>IF(P18=0,0,Q18/P18)</f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46</v>
      </c>
      <c r="C19" s="39">
        <f>IF(B$17=0,0,B19/B$17)</f>
        <v>0.57499999999999996</v>
      </c>
      <c r="E19" s="63" t="s">
        <v>101</v>
      </c>
      <c r="F19" s="60" t="s">
        <v>56</v>
      </c>
      <c r="G19" s="47">
        <v>1</v>
      </c>
      <c r="H19" s="133">
        <f>IF(B$17=0,0,G19/B$17)</f>
        <v>1.2500000000000001E-2</v>
      </c>
      <c r="I19" s="94">
        <v>1</v>
      </c>
      <c r="K19" s="38">
        <v>17</v>
      </c>
      <c r="L19" s="99">
        <v>-29.799999999999986</v>
      </c>
      <c r="N19" s="115" t="s">
        <v>177</v>
      </c>
      <c r="O19" s="125">
        <f>IF(P19=0,0,Q19/P19)</f>
        <v>-10.112500000000004</v>
      </c>
      <c r="P19" s="119">
        <v>16</v>
      </c>
      <c r="Q19" s="107">
        <v>-161.80000000000007</v>
      </c>
    </row>
    <row r="20" spans="1:17" x14ac:dyDescent="0.4">
      <c r="A20" s="55" t="s">
        <v>13</v>
      </c>
      <c r="B20" s="47">
        <v>41</v>
      </c>
      <c r="C20" s="39">
        <f>IF(B$3=0,0,B20/B$3)</f>
        <v>0.1404109589041096</v>
      </c>
      <c r="E20" s="63" t="s">
        <v>167</v>
      </c>
      <c r="F20" s="60" t="s">
        <v>168</v>
      </c>
      <c r="G20" s="47">
        <v>1</v>
      </c>
      <c r="H20" s="133">
        <f>IF(B$17=0,0,G20/B$17)</f>
        <v>1.2500000000000001E-2</v>
      </c>
      <c r="I20" s="94">
        <v>2</v>
      </c>
      <c r="K20" s="38">
        <v>18</v>
      </c>
      <c r="L20" s="99">
        <v>-62.399999999999991</v>
      </c>
      <c r="N20" s="115" t="s">
        <v>181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169</v>
      </c>
      <c r="B21" s="47">
        <v>5</v>
      </c>
      <c r="C21" s="135">
        <v>0</v>
      </c>
      <c r="E21" s="63" t="s">
        <v>73</v>
      </c>
      <c r="F21" s="60" t="s">
        <v>28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-56.399999999999991</v>
      </c>
      <c r="N21" s="115" t="s">
        <v>126</v>
      </c>
      <c r="O21" s="125">
        <f>IF(P21=0,0,Q21/P21)</f>
        <v>-22.126666666666672</v>
      </c>
      <c r="P21" s="119">
        <v>15</v>
      </c>
      <c r="Q21" s="107">
        <v>-331.90000000000009</v>
      </c>
    </row>
    <row r="22" spans="1:17" x14ac:dyDescent="0.4">
      <c r="A22" s="55" t="s">
        <v>170</v>
      </c>
      <c r="B22" s="47">
        <v>44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>IF(P22=0,0,Q22/P22)</f>
        <v>-26.150000000000002</v>
      </c>
      <c r="P22" s="119">
        <v>14</v>
      </c>
      <c r="Q22" s="107">
        <v>-366.1</v>
      </c>
    </row>
    <row r="23" spans="1:17" x14ac:dyDescent="0.4">
      <c r="A23" s="55" t="s">
        <v>5</v>
      </c>
      <c r="B23" s="51">
        <f>IF(B$17=0,0,C23/B$17)</f>
        <v>8108.75</v>
      </c>
      <c r="C23" s="41">
        <v>648700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-123.69999999999999</v>
      </c>
    </row>
    <row r="24" spans="1:17" x14ac:dyDescent="0.4">
      <c r="A24" s="56" t="s">
        <v>215</v>
      </c>
      <c r="B24" s="140">
        <f>IF(B$20=0,0,C24/B$20)</f>
        <v>-7207.3170731707314</v>
      </c>
      <c r="C24" s="141">
        <v>-295500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-66.999999999999986</v>
      </c>
    </row>
    <row r="25" spans="1:17" x14ac:dyDescent="0.4">
      <c r="A25" s="56" t="s">
        <v>216</v>
      </c>
      <c r="B25" s="140">
        <f>IF($B$17-B$16=0,0,C25/($B$17-B$16))</f>
        <v>9215.217391304348</v>
      </c>
      <c r="C25" s="141">
        <v>423900</v>
      </c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4</v>
      </c>
      <c r="K25" s="38">
        <v>23</v>
      </c>
      <c r="L25" s="99">
        <v>-59.599999999999987</v>
      </c>
    </row>
    <row r="26" spans="1:17" x14ac:dyDescent="0.4">
      <c r="A26" s="57" t="s">
        <v>217</v>
      </c>
      <c r="B26" s="52">
        <f>IF(B$16=0,0,C26/B$16)</f>
        <v>6611.7647058823532</v>
      </c>
      <c r="C26" s="45">
        <v>224800</v>
      </c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-91.399999999999991</v>
      </c>
    </row>
    <row r="27" spans="1:17" x14ac:dyDescent="0.4">
      <c r="A27" s="90" t="s">
        <v>140</v>
      </c>
      <c r="B27" s="146">
        <v>6</v>
      </c>
      <c r="C27" s="147"/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-41.29999999999999</v>
      </c>
    </row>
    <row r="28" spans="1:17" x14ac:dyDescent="0.4">
      <c r="A28" s="58" t="s">
        <v>150</v>
      </c>
      <c r="B28" s="144">
        <v>81700</v>
      </c>
      <c r="C28" s="145"/>
      <c r="E28" s="63" t="s">
        <v>82</v>
      </c>
      <c r="F28" s="60" t="s">
        <v>37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-54.099999999999994</v>
      </c>
    </row>
    <row r="29" spans="1:17" x14ac:dyDescent="0.4">
      <c r="A29" s="57" t="s">
        <v>141</v>
      </c>
      <c r="B29" s="65">
        <v>2</v>
      </c>
      <c r="C29" s="42">
        <f>IF(B$3=0,0,B29/B$3)</f>
        <v>6.8493150684931503E-3</v>
      </c>
      <c r="E29" s="63" t="s">
        <v>84</v>
      </c>
      <c r="F29" s="60" t="s">
        <v>39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87</v>
      </c>
      <c r="F30" s="60" t="s">
        <v>42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-61.29999999999999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-109.69999999999999</v>
      </c>
    </row>
    <row r="32" spans="1:17" x14ac:dyDescent="0.4">
      <c r="E32" s="63" t="s">
        <v>90</v>
      </c>
      <c r="F32" s="60" t="s">
        <v>45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-107.29999999999998</v>
      </c>
    </row>
    <row r="33" spans="5:12" x14ac:dyDescent="0.4">
      <c r="E33" s="63" t="s">
        <v>92</v>
      </c>
      <c r="F33" s="60" t="s">
        <v>47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93</v>
      </c>
      <c r="F34" s="60" t="s">
        <v>48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-54.09999999999998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-48.899999999999977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-63.999999999999979</v>
      </c>
    </row>
    <row r="37" spans="5:12" x14ac:dyDescent="0.4">
      <c r="E37" s="63" t="s">
        <v>96</v>
      </c>
      <c r="F37" s="60" t="s">
        <v>51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-72.399999999999977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-65.399999999999977</v>
      </c>
    </row>
    <row r="39" spans="5:12" x14ac:dyDescent="0.4">
      <c r="E39" s="63" t="s">
        <v>98</v>
      </c>
      <c r="F39" s="60" t="s">
        <v>53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109</v>
      </c>
      <c r="F49" s="60" t="s">
        <v>61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110</v>
      </c>
      <c r="F50" s="60" t="s">
        <v>62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111</v>
      </c>
      <c r="F51" s="137" t="s">
        <v>63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763C-4ED5-4201-959E-15C82031D842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20</v>
      </c>
      <c r="C2" s="153"/>
      <c r="E2" s="62" t="s">
        <v>66</v>
      </c>
      <c r="F2" s="59" t="s">
        <v>22</v>
      </c>
      <c r="G2" s="46">
        <v>23</v>
      </c>
      <c r="H2" s="132">
        <f>IF(B$17=0,0,G2/B$17)</f>
        <v>0.71875</v>
      </c>
      <c r="I2" s="93">
        <v>7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-3570</v>
      </c>
      <c r="P2" s="118">
        <v>20</v>
      </c>
      <c r="Q2" s="102">
        <v>-71400</v>
      </c>
    </row>
    <row r="3" spans="1:17" x14ac:dyDescent="0.4">
      <c r="A3" s="55" t="s">
        <v>8</v>
      </c>
      <c r="B3" s="154">
        <v>157</v>
      </c>
      <c r="C3" s="155"/>
      <c r="E3" s="63" t="s">
        <v>64</v>
      </c>
      <c r="F3" s="60" t="s">
        <v>20</v>
      </c>
      <c r="G3" s="47">
        <v>17</v>
      </c>
      <c r="H3" s="133">
        <f>IF(B$17=0,0,G3/B$17)</f>
        <v>0.53125</v>
      </c>
      <c r="I3" s="94">
        <v>4</v>
      </c>
      <c r="K3" s="38">
        <v>1</v>
      </c>
      <c r="L3" s="99">
        <v>-12</v>
      </c>
      <c r="N3" s="115" t="s">
        <v>131</v>
      </c>
      <c r="O3" s="122">
        <f t="shared" si="0"/>
        <v>-450</v>
      </c>
      <c r="P3" s="119">
        <v>20</v>
      </c>
      <c r="Q3" s="103">
        <v>-9000</v>
      </c>
    </row>
    <row r="4" spans="1:17" x14ac:dyDescent="0.4">
      <c r="A4" s="55" t="s">
        <v>6</v>
      </c>
      <c r="B4" s="156">
        <v>-428.10000000000008</v>
      </c>
      <c r="C4" s="157"/>
      <c r="E4" s="63" t="s">
        <v>72</v>
      </c>
      <c r="F4" s="60" t="s">
        <v>27</v>
      </c>
      <c r="G4" s="47">
        <v>16</v>
      </c>
      <c r="H4" s="133">
        <f>IF(B$17=0,0,G4/B$17)</f>
        <v>0.5</v>
      </c>
      <c r="I4" s="94">
        <v>7</v>
      </c>
      <c r="K4" s="38">
        <v>2</v>
      </c>
      <c r="L4" s="99">
        <v>-40.6</v>
      </c>
      <c r="N4" s="115" t="s">
        <v>132</v>
      </c>
      <c r="O4" s="122">
        <f t="shared" si="0"/>
        <v>-1830</v>
      </c>
      <c r="P4" s="119">
        <v>20</v>
      </c>
      <c r="Q4" s="103">
        <v>-36600</v>
      </c>
    </row>
    <row r="5" spans="1:17" x14ac:dyDescent="0.4">
      <c r="A5" s="55" t="s">
        <v>7</v>
      </c>
      <c r="B5" s="158">
        <f>IF(B$2=0,0,B$4/B$2)</f>
        <v>-21.405000000000005</v>
      </c>
      <c r="C5" s="159"/>
      <c r="E5" s="63" t="s">
        <v>67</v>
      </c>
      <c r="F5" s="60" t="s">
        <v>23</v>
      </c>
      <c r="G5" s="47">
        <v>14</v>
      </c>
      <c r="H5" s="133">
        <f>IF(B$17=0,0,G5/B$17)</f>
        <v>0.4375</v>
      </c>
      <c r="I5" s="94">
        <v>3</v>
      </c>
      <c r="K5" s="38">
        <v>3</v>
      </c>
      <c r="L5" s="99">
        <v>-33.6</v>
      </c>
      <c r="N5" s="115" t="s">
        <v>133</v>
      </c>
      <c r="O5" s="122">
        <f t="shared" si="0"/>
        <v>-5405.2631578947367</v>
      </c>
      <c r="P5" s="119">
        <v>19</v>
      </c>
      <c r="Q5" s="103">
        <v>-102700</v>
      </c>
    </row>
    <row r="6" spans="1:17" x14ac:dyDescent="0.4">
      <c r="A6" s="55" t="s">
        <v>1</v>
      </c>
      <c r="B6" s="148">
        <f>IF(B$2=0,0,(B$7*1+B$8*2+B$9*3)/B$2)</f>
        <v>2.5499999999999998</v>
      </c>
      <c r="C6" s="149"/>
      <c r="E6" s="63" t="s">
        <v>171</v>
      </c>
      <c r="F6" s="60" t="s">
        <v>172</v>
      </c>
      <c r="G6" s="47">
        <v>11</v>
      </c>
      <c r="H6" s="133">
        <f>IF(B$17=0,0,G6/B$17)</f>
        <v>0.34375</v>
      </c>
      <c r="I6" s="94">
        <v>5</v>
      </c>
      <c r="K6" s="38">
        <v>4</v>
      </c>
      <c r="L6" s="99">
        <v>-80.5</v>
      </c>
      <c r="N6" s="115" t="s">
        <v>134</v>
      </c>
      <c r="O6" s="122">
        <f t="shared" si="0"/>
        <v>-2216.6666666666665</v>
      </c>
      <c r="P6" s="119">
        <v>18</v>
      </c>
      <c r="Q6" s="103">
        <v>-39900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0.05</v>
      </c>
      <c r="E7" s="63" t="s">
        <v>68</v>
      </c>
      <c r="F7" s="60" t="s">
        <v>12</v>
      </c>
      <c r="G7" s="47">
        <v>9</v>
      </c>
      <c r="H7" s="133">
        <f>IF(B$17=0,0,G7/B$17)</f>
        <v>0.28125</v>
      </c>
      <c r="I7" s="94">
        <v>7</v>
      </c>
      <c r="K7" s="38">
        <v>5</v>
      </c>
      <c r="L7" s="99">
        <v>-124.3</v>
      </c>
      <c r="N7" s="116" t="s">
        <v>135</v>
      </c>
      <c r="O7" s="123">
        <f t="shared" si="0"/>
        <v>-3900</v>
      </c>
      <c r="P7" s="120">
        <v>15</v>
      </c>
      <c r="Q7" s="104">
        <v>-58500</v>
      </c>
    </row>
    <row r="8" spans="1:17" x14ac:dyDescent="0.4">
      <c r="A8" s="55" t="s">
        <v>3</v>
      </c>
      <c r="B8" s="47">
        <v>7</v>
      </c>
      <c r="C8" s="39">
        <f t="shared" si="1"/>
        <v>0.35</v>
      </c>
      <c r="E8" s="63" t="s">
        <v>65</v>
      </c>
      <c r="F8" s="60" t="s">
        <v>21</v>
      </c>
      <c r="G8" s="47">
        <v>4</v>
      </c>
      <c r="H8" s="133">
        <f>IF(B$17=0,0,G8/B$17)</f>
        <v>0.125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0.6</v>
      </c>
      <c r="E9" s="63" t="s">
        <v>71</v>
      </c>
      <c r="F9" s="60" t="s">
        <v>26</v>
      </c>
      <c r="G9" s="47">
        <v>3</v>
      </c>
      <c r="H9" s="133">
        <f>IF(B$17=0,0,G9/B$17)</f>
        <v>9.375E-2</v>
      </c>
      <c r="I9" s="94">
        <v>3</v>
      </c>
      <c r="K9" s="38">
        <v>7</v>
      </c>
      <c r="L9" s="99">
        <v>-99.5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5</v>
      </c>
      <c r="C10" s="40">
        <f t="shared" si="1"/>
        <v>0.25</v>
      </c>
      <c r="E10" s="63" t="s">
        <v>83</v>
      </c>
      <c r="F10" s="60" t="s">
        <v>38</v>
      </c>
      <c r="G10" s="47">
        <v>3</v>
      </c>
      <c r="H10" s="133">
        <f>IF(B$17=0,0,G10/B$17)</f>
        <v>9.375E-2</v>
      </c>
      <c r="I10" s="94">
        <v>1</v>
      </c>
      <c r="K10" s="38">
        <v>8</v>
      </c>
      <c r="L10" s="99">
        <v>-152.6</v>
      </c>
      <c r="N10" s="114" t="s">
        <v>162</v>
      </c>
      <c r="O10" s="124">
        <f>IF(P10=0,0,Q10/P10)</f>
        <v>-27.1</v>
      </c>
      <c r="P10" s="118">
        <v>13</v>
      </c>
      <c r="Q10" s="106">
        <v>-352.3</v>
      </c>
    </row>
    <row r="11" spans="1:17" x14ac:dyDescent="0.4">
      <c r="A11" s="56" t="s">
        <v>138</v>
      </c>
      <c r="B11" s="48">
        <v>1</v>
      </c>
      <c r="C11" s="40">
        <f t="shared" si="1"/>
        <v>0.05</v>
      </c>
      <c r="E11" s="63" t="s">
        <v>70</v>
      </c>
      <c r="F11" s="60" t="s">
        <v>25</v>
      </c>
      <c r="G11" s="47">
        <v>2</v>
      </c>
      <c r="H11" s="133">
        <f>IF(B$17=0,0,G11/B$17)</f>
        <v>6.25E-2</v>
      </c>
      <c r="I11" s="94">
        <v>8</v>
      </c>
      <c r="K11" s="38">
        <v>9</v>
      </c>
      <c r="L11" s="99">
        <v>-150.6</v>
      </c>
      <c r="N11" s="115" t="s">
        <v>163</v>
      </c>
      <c r="O11" s="125">
        <f>IF(P11=0,0,Q11/P11)</f>
        <v>-0.67999999999999861</v>
      </c>
      <c r="P11" s="119">
        <v>5</v>
      </c>
      <c r="Q11" s="107">
        <v>-3.3999999999999928</v>
      </c>
    </row>
    <row r="12" spans="1:17" x14ac:dyDescent="0.4">
      <c r="A12" s="57" t="s">
        <v>158</v>
      </c>
      <c r="B12" s="49">
        <v>0</v>
      </c>
      <c r="C12" s="42">
        <f t="shared" si="1"/>
        <v>0</v>
      </c>
      <c r="E12" s="63" t="s">
        <v>81</v>
      </c>
      <c r="F12" s="60" t="s">
        <v>36</v>
      </c>
      <c r="G12" s="47">
        <v>2</v>
      </c>
      <c r="H12" s="133">
        <f>IF(B$17=0,0,G12/B$17)</f>
        <v>6.25E-2</v>
      </c>
      <c r="I12" s="94">
        <v>1</v>
      </c>
      <c r="K12" s="38">
        <v>10</v>
      </c>
      <c r="L12" s="99">
        <v>-151.1</v>
      </c>
      <c r="N12" s="116" t="s">
        <v>164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121</v>
      </c>
      <c r="B13" s="50">
        <v>33</v>
      </c>
      <c r="C13" s="44">
        <f>IF(B$3=0,0,B13/B$3)</f>
        <v>0.21019108280254778</v>
      </c>
      <c r="E13" s="63" t="s">
        <v>86</v>
      </c>
      <c r="F13" s="60" t="s">
        <v>41</v>
      </c>
      <c r="G13" s="47">
        <v>2</v>
      </c>
      <c r="H13" s="133">
        <f>IF(B$17=0,0,G13/B$17)</f>
        <v>6.25E-2</v>
      </c>
      <c r="I13" s="94">
        <v>3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33</v>
      </c>
      <c r="C14" s="39">
        <f>IF(B$3=0,0,B14/B$3)</f>
        <v>0.21019108280254778</v>
      </c>
      <c r="E14" s="63" t="s">
        <v>89</v>
      </c>
      <c r="F14" s="60" t="s">
        <v>44</v>
      </c>
      <c r="G14" s="47">
        <v>2</v>
      </c>
      <c r="H14" s="133">
        <f>IF(B$17=0,0,G14/B$17)</f>
        <v>6.25E-2</v>
      </c>
      <c r="I14" s="94">
        <v>8</v>
      </c>
      <c r="K14" s="38">
        <v>12</v>
      </c>
      <c r="L14" s="99">
        <v>-176.9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17</v>
      </c>
      <c r="C15" s="37">
        <f>IF(B$13=0,0,B15/B$13)</f>
        <v>0.51515151515151514</v>
      </c>
      <c r="E15" s="63" t="s">
        <v>69</v>
      </c>
      <c r="F15" s="60" t="s">
        <v>24</v>
      </c>
      <c r="G15" s="47">
        <v>1</v>
      </c>
      <c r="H15" s="133">
        <f>IF(B$17=0,0,G15/B$17)</f>
        <v>3.125E-2</v>
      </c>
      <c r="I15" s="94">
        <v>10</v>
      </c>
      <c r="K15" s="38">
        <v>13</v>
      </c>
      <c r="L15" s="99">
        <v>-217.60000000000002</v>
      </c>
      <c r="N15" s="114" t="s">
        <v>166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124</v>
      </c>
      <c r="B16" s="46">
        <v>11</v>
      </c>
      <c r="C16" s="37">
        <f>IF(B$14=0,0,B16/B$14)</f>
        <v>0.33333333333333331</v>
      </c>
      <c r="E16" s="63" t="s">
        <v>74</v>
      </c>
      <c r="F16" s="60" t="s">
        <v>29</v>
      </c>
      <c r="G16" s="47">
        <v>1</v>
      </c>
      <c r="H16" s="133">
        <f>IF(B$17=0,0,G16/B$17)</f>
        <v>3.125E-2</v>
      </c>
      <c r="I16" s="94">
        <v>1</v>
      </c>
      <c r="K16" s="38">
        <v>14</v>
      </c>
      <c r="L16" s="99">
        <v>-266.90000000000003</v>
      </c>
      <c r="N16" s="115" t="s">
        <v>177</v>
      </c>
      <c r="O16" s="125">
        <f>IF(P16=0,0,Q16/P16)</f>
        <v>-20.209090909090907</v>
      </c>
      <c r="P16" s="119">
        <v>11</v>
      </c>
      <c r="Q16" s="107">
        <v>-222.29999999999998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0.20382165605095542</v>
      </c>
      <c r="E17" s="63" t="s">
        <v>78</v>
      </c>
      <c r="F17" s="60" t="s">
        <v>33</v>
      </c>
      <c r="G17" s="47">
        <v>1</v>
      </c>
      <c r="H17" s="133">
        <f>IF(B$17=0,0,G17/B$17)</f>
        <v>3.125E-2</v>
      </c>
      <c r="I17" s="94">
        <v>2</v>
      </c>
      <c r="K17" s="38">
        <v>15</v>
      </c>
      <c r="L17" s="99">
        <v>-272.50000000000006</v>
      </c>
      <c r="N17" s="115" t="s">
        <v>178</v>
      </c>
      <c r="O17" s="125">
        <f>IF(P17=0,0,Q17/P17)</f>
        <v>-24.055555555555557</v>
      </c>
      <c r="P17" s="119">
        <v>9</v>
      </c>
      <c r="Q17" s="107">
        <v>-216.5</v>
      </c>
    </row>
    <row r="18" spans="1:17" x14ac:dyDescent="0.4">
      <c r="A18" s="55" t="s">
        <v>12</v>
      </c>
      <c r="B18" s="47">
        <v>14</v>
      </c>
      <c r="C18" s="39">
        <f>IF(B$17=0,0,B18/B$17)</f>
        <v>0.4375</v>
      </c>
      <c r="E18" s="63" t="s">
        <v>73</v>
      </c>
      <c r="F18" s="60" t="s">
        <v>28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-320.30000000000007</v>
      </c>
      <c r="N18" s="115" t="s">
        <v>179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18</v>
      </c>
      <c r="C19" s="39">
        <f>IF(B$17=0,0,B19/B$17)</f>
        <v>0.5625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-352.60000000000008</v>
      </c>
      <c r="N19" s="115" t="s">
        <v>126</v>
      </c>
      <c r="O19" s="125">
        <f>IF(P19=0,0,Q19/P19)</f>
        <v>-47.199999999999996</v>
      </c>
      <c r="P19" s="119">
        <v>6</v>
      </c>
      <c r="Q19" s="107">
        <v>-283.2</v>
      </c>
    </row>
    <row r="20" spans="1:17" x14ac:dyDescent="0.4">
      <c r="A20" s="55" t="s">
        <v>13</v>
      </c>
      <c r="B20" s="47">
        <v>34</v>
      </c>
      <c r="C20" s="39">
        <f>IF(B$3=0,0,B20/B$3)</f>
        <v>0.21656050955414013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-355.50000000000006</v>
      </c>
      <c r="N20" s="115" t="s">
        <v>127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-400.60000000000008</v>
      </c>
      <c r="N21" s="115" t="s">
        <v>181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170</v>
      </c>
      <c r="B22" s="47">
        <v>16</v>
      </c>
      <c r="C22" s="135">
        <v>8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-428.10000000000008</v>
      </c>
      <c r="N22" s="115" t="s">
        <v>195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7496.875</v>
      </c>
      <c r="C23" s="41">
        <v>239900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6" t="s">
        <v>215</v>
      </c>
      <c r="B24" s="140">
        <f>IF(B$20=0,0,C24/B$20)</f>
        <v>-9173.5294117647063</v>
      </c>
      <c r="C24" s="141">
        <v>-311900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56" t="s">
        <v>216</v>
      </c>
      <c r="B25" s="140">
        <f>IF($B$17-B$16=0,0,C25/($B$17-B$16))</f>
        <v>8800</v>
      </c>
      <c r="C25" s="141">
        <v>184800</v>
      </c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7" t="s">
        <v>217</v>
      </c>
      <c r="B26" s="52">
        <f>IF(B$16=0,0,C26/B$16)</f>
        <v>5009.090909090909</v>
      </c>
      <c r="C26" s="45">
        <v>55100</v>
      </c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90" t="s">
        <v>140</v>
      </c>
      <c r="B27" s="146">
        <v>6</v>
      </c>
      <c r="C27" s="147"/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A28" s="58" t="s">
        <v>150</v>
      </c>
      <c r="B28" s="144">
        <v>85100</v>
      </c>
      <c r="C28" s="145"/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A29" s="57" t="s">
        <v>141</v>
      </c>
      <c r="B29" s="65">
        <v>1</v>
      </c>
      <c r="C29" s="42">
        <f>IF(B$3=0,0,B29/B$3)</f>
        <v>6.369426751592357E-3</v>
      </c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242F-DB32-4EB0-90B9-EB6DDE274B9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181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11</v>
      </c>
      <c r="C2" s="153"/>
      <c r="E2" s="62" t="s">
        <v>66</v>
      </c>
      <c r="F2" s="59" t="s">
        <v>22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4">
        <v>103</v>
      </c>
      <c r="C3" s="155"/>
      <c r="E3" s="63" t="s">
        <v>64</v>
      </c>
      <c r="F3" s="60" t="s">
        <v>20</v>
      </c>
      <c r="G3" s="47">
        <v>21</v>
      </c>
      <c r="H3" s="133">
        <f>IF(B$17=0,0,G3/B$17)</f>
        <v>0.61764705882352944</v>
      </c>
      <c r="I3" s="94">
        <v>1</v>
      </c>
      <c r="K3" s="38">
        <v>1</v>
      </c>
      <c r="L3" s="99">
        <v>70.2</v>
      </c>
      <c r="N3" s="115" t="s">
        <v>131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6">
        <v>126.10000000000001</v>
      </c>
      <c r="C4" s="157"/>
      <c r="E4" s="63" t="s">
        <v>68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132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8">
        <f>IF(B$2=0,0,B$4/B$2)</f>
        <v>11.463636363636365</v>
      </c>
      <c r="C5" s="159"/>
      <c r="E5" s="63" t="s">
        <v>171</v>
      </c>
      <c r="F5" s="60" t="s">
        <v>172</v>
      </c>
      <c r="G5" s="47">
        <v>14</v>
      </c>
      <c r="H5" s="133">
        <f>IF(B$17=0,0,G5/B$17)</f>
        <v>0.41176470588235292</v>
      </c>
      <c r="I5" s="94">
        <v>2</v>
      </c>
      <c r="K5" s="38">
        <v>3</v>
      </c>
      <c r="L5" s="99">
        <v>76</v>
      </c>
      <c r="N5" s="115" t="s">
        <v>133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8">
        <f>IF(B$2=0,0,(B$7*1+B$8*2+B$9*3)/B$2)</f>
        <v>1.7272727272727273</v>
      </c>
      <c r="C6" s="149"/>
      <c r="E6" s="63" t="s">
        <v>72</v>
      </c>
      <c r="F6" s="60" t="s">
        <v>27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134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67</v>
      </c>
      <c r="F7" s="60" t="s">
        <v>23</v>
      </c>
      <c r="G7" s="47">
        <v>7</v>
      </c>
      <c r="H7" s="133">
        <f>IF(B$17=0,0,G7/B$17)</f>
        <v>0.20588235294117646</v>
      </c>
      <c r="I7" s="94">
        <v>9</v>
      </c>
      <c r="K7" s="38">
        <v>5</v>
      </c>
      <c r="L7" s="99">
        <v>127.9</v>
      </c>
      <c r="N7" s="116" t="s">
        <v>135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69</v>
      </c>
      <c r="F8" s="60" t="s">
        <v>24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70</v>
      </c>
      <c r="F9" s="60" t="s">
        <v>25</v>
      </c>
      <c r="G9" s="47">
        <v>5</v>
      </c>
      <c r="H9" s="133">
        <f>IF(B$17=0,0,G9/B$17)</f>
        <v>0.14705882352941177</v>
      </c>
      <c r="I9" s="94">
        <v>2</v>
      </c>
      <c r="K9" s="38">
        <v>7</v>
      </c>
      <c r="L9" s="99">
        <v>123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162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138</v>
      </c>
      <c r="B11" s="48">
        <v>2</v>
      </c>
      <c r="C11" s="40">
        <f t="shared" si="1"/>
        <v>0.18181818181818182</v>
      </c>
      <c r="E11" s="63" t="s">
        <v>65</v>
      </c>
      <c r="F11" s="60" t="s">
        <v>21</v>
      </c>
      <c r="G11" s="47">
        <v>3</v>
      </c>
      <c r="H11" s="133">
        <f>IF(B$17=0,0,G11/B$17)</f>
        <v>8.8235294117647065E-2</v>
      </c>
      <c r="I11" s="94">
        <v>9</v>
      </c>
      <c r="K11" s="38">
        <v>9</v>
      </c>
      <c r="L11" s="99">
        <v>141.5</v>
      </c>
      <c r="N11" s="115" t="s">
        <v>163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158</v>
      </c>
      <c r="B12" s="49">
        <v>0</v>
      </c>
      <c r="C12" s="42">
        <f t="shared" si="1"/>
        <v>0</v>
      </c>
      <c r="E12" s="63" t="s">
        <v>86</v>
      </c>
      <c r="F12" s="60" t="s">
        <v>41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164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121</v>
      </c>
      <c r="B13" s="50">
        <v>30</v>
      </c>
      <c r="C13" s="44">
        <f>IF(B$3=0,0,B13/B$3)</f>
        <v>0.29126213592233008</v>
      </c>
      <c r="E13" s="63" t="s">
        <v>89</v>
      </c>
      <c r="F13" s="60" t="s">
        <v>44</v>
      </c>
      <c r="G13" s="47">
        <v>2</v>
      </c>
      <c r="H13" s="133">
        <f>IF(B$17=0,0,G13/B$17)</f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15</v>
      </c>
      <c r="C14" s="39">
        <f>IF(B$3=0,0,B14/B$3)</f>
        <v>0.14563106796116504</v>
      </c>
      <c r="E14" s="63" t="s">
        <v>75</v>
      </c>
      <c r="F14" s="60" t="s">
        <v>30</v>
      </c>
      <c r="G14" s="47">
        <v>1</v>
      </c>
      <c r="H14" s="133">
        <f>IF(B$17=0,0,G14/B$17)</f>
        <v>2.9411764705882353E-2</v>
      </c>
      <c r="I14" s="94">
        <v>1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20</v>
      </c>
      <c r="C15" s="37">
        <f>IF(B$13=0,0,B15/B$13)</f>
        <v>0.66666666666666663</v>
      </c>
      <c r="E15" s="63" t="s">
        <v>81</v>
      </c>
      <c r="F15" s="60" t="s">
        <v>36</v>
      </c>
      <c r="G15" s="47">
        <v>1</v>
      </c>
      <c r="H15" s="133">
        <f>IF(B$17=0,0,G15/B$17)</f>
        <v>2.9411764705882353E-2</v>
      </c>
      <c r="I15" s="94">
        <v>4</v>
      </c>
      <c r="N15" s="114" t="s">
        <v>177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124</v>
      </c>
      <c r="B16" s="46">
        <v>5</v>
      </c>
      <c r="C16" s="37">
        <f>IF(B$14=0,0,B16/B$14)</f>
        <v>0.33333333333333331</v>
      </c>
      <c r="E16" s="63" t="s">
        <v>85</v>
      </c>
      <c r="F16" s="60" t="s">
        <v>40</v>
      </c>
      <c r="G16" s="47">
        <v>1</v>
      </c>
      <c r="H16" s="133">
        <f>IF(B$17=0,0,G16/B$17)</f>
        <v>2.9411764705882353E-2</v>
      </c>
      <c r="I16" s="94">
        <v>1</v>
      </c>
      <c r="N16" s="115" t="s">
        <v>182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87</v>
      </c>
      <c r="F17" s="60" t="s">
        <v>42</v>
      </c>
      <c r="G17" s="47">
        <v>1</v>
      </c>
      <c r="H17" s="133">
        <f>IF(B$17=0,0,G17/B$17)</f>
        <v>2.9411764705882353E-2</v>
      </c>
      <c r="I17" s="94">
        <v>1</v>
      </c>
      <c r="N17" s="115" t="s">
        <v>127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73</v>
      </c>
      <c r="F18" s="60" t="s">
        <v>28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>IF(P18=0,0,Q18/P18)</f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N19" s="115" t="s">
        <v>179</v>
      </c>
      <c r="O19" s="125">
        <f>IF(P19=0,0,Q19/P19)</f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166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169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4</v>
      </c>
      <c r="N21" s="115" t="s">
        <v>195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170</v>
      </c>
      <c r="B22" s="47">
        <v>19</v>
      </c>
      <c r="C22" s="135">
        <v>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7</v>
      </c>
      <c r="N22" s="115" t="s">
        <v>126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6" t="s">
        <v>215</v>
      </c>
      <c r="B24" s="140">
        <f>IF(B$20=0,0,C24/B$20)</f>
        <v>-6041.666666666667</v>
      </c>
      <c r="C24" s="141">
        <v>-72500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56" t="s">
        <v>216</v>
      </c>
      <c r="B25" s="140">
        <f>IF($B$17-B$16=0,0,C25/($B$17-B$16))</f>
        <v>8072.4137931034484</v>
      </c>
      <c r="C25" s="141">
        <v>234100</v>
      </c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7" t="s">
        <v>217</v>
      </c>
      <c r="B26" s="52">
        <f>IF(B$16=0,0,C26/B$16)</f>
        <v>6080</v>
      </c>
      <c r="C26" s="45">
        <v>30400</v>
      </c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90" t="s">
        <v>140</v>
      </c>
      <c r="B27" s="146">
        <v>7</v>
      </c>
      <c r="C27" s="147"/>
      <c r="E27" s="63" t="s">
        <v>84</v>
      </c>
      <c r="F27" s="60" t="s">
        <v>39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A28" s="58" t="s">
        <v>150</v>
      </c>
      <c r="B28" s="144">
        <v>95200</v>
      </c>
      <c r="C28" s="145"/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35D78-BC7C-412D-A301-312AE54C42C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195</v>
      </c>
      <c r="C1" s="151"/>
      <c r="E1" s="129" t="s">
        <v>165</v>
      </c>
      <c r="F1" s="143" t="s">
        <v>115</v>
      </c>
      <c r="G1" s="142" t="s">
        <v>116</v>
      </c>
      <c r="H1" s="130" t="s">
        <v>117</v>
      </c>
      <c r="I1" s="143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7</v>
      </c>
      <c r="C2" s="153"/>
      <c r="E2" s="62" t="s">
        <v>66</v>
      </c>
      <c r="F2" s="59" t="s">
        <v>22</v>
      </c>
      <c r="G2" s="46">
        <v>11</v>
      </c>
      <c r="H2" s="132">
        <f>IF(B$17=0,0,G2/B$17)</f>
        <v>0.73333333333333328</v>
      </c>
      <c r="I2" s="93">
        <v>5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4">
        <v>62</v>
      </c>
      <c r="C3" s="155"/>
      <c r="E3" s="63" t="s">
        <v>64</v>
      </c>
      <c r="F3" s="60" t="s">
        <v>20</v>
      </c>
      <c r="G3" s="47">
        <v>8</v>
      </c>
      <c r="H3" s="133">
        <f>IF(B$17=0,0,G3/B$17)</f>
        <v>0.53333333333333333</v>
      </c>
      <c r="I3" s="94">
        <v>3</v>
      </c>
      <c r="K3" s="38">
        <v>1</v>
      </c>
      <c r="L3" s="99">
        <v>-46.5</v>
      </c>
      <c r="N3" s="115" t="s">
        <v>131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6">
        <v>-104.80000000000001</v>
      </c>
      <c r="C4" s="157"/>
      <c r="E4" s="63" t="s">
        <v>67</v>
      </c>
      <c r="F4" s="60" t="s">
        <v>23</v>
      </c>
      <c r="G4" s="47">
        <v>7</v>
      </c>
      <c r="H4" s="133">
        <f>IF(B$17=0,0,G4/B$17)</f>
        <v>0.46666666666666667</v>
      </c>
      <c r="I4" s="94">
        <v>1</v>
      </c>
      <c r="K4" s="38">
        <v>2</v>
      </c>
      <c r="L4" s="99">
        <v>-25.4</v>
      </c>
      <c r="N4" s="115" t="s">
        <v>132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8">
        <f>IF(B$2=0,0,B$4/B$2)</f>
        <v>-14.971428571428573</v>
      </c>
      <c r="C5" s="159"/>
      <c r="E5" s="63" t="s">
        <v>72</v>
      </c>
      <c r="F5" s="60" t="s">
        <v>27</v>
      </c>
      <c r="G5" s="47">
        <v>7</v>
      </c>
      <c r="H5" s="133">
        <f>IF(B$17=0,0,G5/B$17)</f>
        <v>0.46666666666666667</v>
      </c>
      <c r="I5" s="94">
        <v>9</v>
      </c>
      <c r="K5" s="38">
        <v>3</v>
      </c>
      <c r="L5" s="99">
        <v>-71.900000000000006</v>
      </c>
      <c r="N5" s="115" t="s">
        <v>133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171</v>
      </c>
      <c r="F6" s="60" t="s">
        <v>172</v>
      </c>
      <c r="G6" s="47">
        <v>5</v>
      </c>
      <c r="H6" s="133">
        <f>IF(B$17=0,0,G6/B$17)</f>
        <v>0.33333333333333331</v>
      </c>
      <c r="I6" s="94">
        <v>8</v>
      </c>
      <c r="K6" s="38">
        <v>4</v>
      </c>
      <c r="L6" s="99">
        <v>-37.400000000000006</v>
      </c>
      <c r="N6" s="115" t="s">
        <v>134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65</v>
      </c>
      <c r="F7" s="60" t="s">
        <v>21</v>
      </c>
      <c r="G7" s="47">
        <v>3</v>
      </c>
      <c r="H7" s="133">
        <f>IF(B$17=0,0,G7/B$17)</f>
        <v>0.2</v>
      </c>
      <c r="I7" s="94">
        <v>1</v>
      </c>
      <c r="K7" s="38">
        <v>5</v>
      </c>
      <c r="L7" s="99">
        <v>-12.100000000000005</v>
      </c>
      <c r="N7" s="116" t="s">
        <v>135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68</v>
      </c>
      <c r="F8" s="60" t="s">
        <v>12</v>
      </c>
      <c r="G8" s="47">
        <v>3</v>
      </c>
      <c r="H8" s="133">
        <f>IF(B$17=0,0,G8/B$17)</f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89</v>
      </c>
      <c r="F9" s="60" t="s">
        <v>44</v>
      </c>
      <c r="G9" s="47">
        <v>2</v>
      </c>
      <c r="H9" s="133">
        <f>IF(B$17=0,0,G9/B$17)</f>
        <v>0.13333333333333333</v>
      </c>
      <c r="I9" s="94">
        <v>4</v>
      </c>
      <c r="K9" s="38">
        <v>7</v>
      </c>
      <c r="L9" s="99">
        <v>-104.80000000000001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4</v>
      </c>
      <c r="C10" s="40">
        <f t="shared" si="1"/>
        <v>0.5714285714285714</v>
      </c>
      <c r="E10" s="63" t="s">
        <v>69</v>
      </c>
      <c r="F10" s="60" t="s">
        <v>24</v>
      </c>
      <c r="G10" s="47">
        <v>1</v>
      </c>
      <c r="H10" s="133">
        <f>IF(B$17=0,0,G10/B$17)</f>
        <v>6.6666666666666666E-2</v>
      </c>
      <c r="I10" s="94">
        <v>9</v>
      </c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1</v>
      </c>
      <c r="C11" s="40">
        <f t="shared" si="1"/>
        <v>0.14285714285714285</v>
      </c>
      <c r="E11" s="63" t="s">
        <v>70</v>
      </c>
      <c r="F11" s="60" t="s">
        <v>25</v>
      </c>
      <c r="G11" s="47">
        <v>1</v>
      </c>
      <c r="H11" s="133">
        <f>IF(B$17=0,0,G11/B$17)</f>
        <v>6.6666666666666666E-2</v>
      </c>
      <c r="I11" s="94">
        <v>6</v>
      </c>
      <c r="N11" s="115" t="s">
        <v>163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158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1</v>
      </c>
      <c r="H12" s="133">
        <f>IF(B$17=0,0,G12/B$17)</f>
        <v>6.6666666666666666E-2</v>
      </c>
      <c r="I12" s="94">
        <v>7</v>
      </c>
      <c r="N12" s="116" t="s">
        <v>164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121</v>
      </c>
      <c r="B13" s="50">
        <v>15</v>
      </c>
      <c r="C13" s="44">
        <f>IF(B$3=0,0,B13/B$3)</f>
        <v>0.24193548387096775</v>
      </c>
      <c r="E13" s="63" t="s">
        <v>79</v>
      </c>
      <c r="F13" s="60" t="s">
        <v>34</v>
      </c>
      <c r="G13" s="47">
        <v>1</v>
      </c>
      <c r="H13" s="133">
        <f>IF(B$17=0,0,G13/B$17)</f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22</v>
      </c>
      <c r="C14" s="39">
        <f>IF(B$3=0,0,B14/B$3)</f>
        <v>0.35483870967741937</v>
      </c>
      <c r="E14" s="63" t="s">
        <v>83</v>
      </c>
      <c r="F14" s="60" t="s">
        <v>38</v>
      </c>
      <c r="G14" s="47">
        <v>1</v>
      </c>
      <c r="H14" s="133">
        <f>IF(B$17=0,0,G14/B$17)</f>
        <v>6.6666666666666666E-2</v>
      </c>
      <c r="I14" s="94">
        <v>5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8</v>
      </c>
      <c r="C15" s="37">
        <f>IF(B$13=0,0,B15/B$13)</f>
        <v>0.53333333333333333</v>
      </c>
      <c r="E15" s="63" t="s">
        <v>86</v>
      </c>
      <c r="F15" s="60" t="s">
        <v>41</v>
      </c>
      <c r="G15" s="47">
        <v>1</v>
      </c>
      <c r="H15" s="133">
        <f>IF(B$17=0,0,G15/B$17)</f>
        <v>6.6666666666666666E-2</v>
      </c>
      <c r="I15" s="94">
        <v>1</v>
      </c>
      <c r="N15" s="114" t="s">
        <v>182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124</v>
      </c>
      <c r="B16" s="46">
        <v>6</v>
      </c>
      <c r="C16" s="37">
        <f>IF(B$14=0,0,B16/B$14)</f>
        <v>0.27272727272727271</v>
      </c>
      <c r="E16" s="63" t="s">
        <v>73</v>
      </c>
      <c r="F16" s="60" t="s">
        <v>28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N17" s="115" t="s">
        <v>181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178</v>
      </c>
      <c r="O18" s="125">
        <f>IF(P18=0,0,Q18/P18)</f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4</v>
      </c>
      <c r="N20" s="115" t="s">
        <v>127</v>
      </c>
      <c r="O20" s="125">
        <f>IF(P20=0,0,Q20/P20)</f>
        <v>-75.3</v>
      </c>
      <c r="P20" s="119">
        <v>2</v>
      </c>
      <c r="Q20" s="107">
        <v>-150.6</v>
      </c>
    </row>
    <row r="21" spans="1:17" x14ac:dyDescent="0.4">
      <c r="A21" s="55" t="s">
        <v>169</v>
      </c>
      <c r="B21" s="47">
        <v>2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170</v>
      </c>
      <c r="B22" s="47">
        <v>13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6" t="s">
        <v>215</v>
      </c>
      <c r="B24" s="140">
        <f>IF(B$20=0,0,C24/B$20)</f>
        <v>-9075</v>
      </c>
      <c r="C24" s="141">
        <v>-108900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56" t="s">
        <v>216</v>
      </c>
      <c r="B25" s="140">
        <f>IF($B$17-B$16=0,0,C25/($B$17-B$16))</f>
        <v>7855.5555555555557</v>
      </c>
      <c r="C25" s="141">
        <v>70700</v>
      </c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7" t="s">
        <v>217</v>
      </c>
      <c r="B26" s="52">
        <f>IF(B$16=0,0,C26/B$16)</f>
        <v>6900</v>
      </c>
      <c r="C26" s="45">
        <v>41400</v>
      </c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90" t="s">
        <v>140</v>
      </c>
      <c r="B27" s="146">
        <v>4</v>
      </c>
      <c r="C27" s="147"/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A28" s="58" t="s">
        <v>150</v>
      </c>
      <c r="B28" s="144">
        <v>59500</v>
      </c>
      <c r="C28" s="145"/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9220-86B8-432A-B9B1-29BDEA24E750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195</v>
      </c>
      <c r="B1" s="70" t="s">
        <v>195</v>
      </c>
      <c r="C1" s="70" t="s">
        <v>195</v>
      </c>
      <c r="D1" s="71" t="s">
        <v>195</v>
      </c>
      <c r="E1" s="70" t="s">
        <v>195</v>
      </c>
      <c r="F1" s="70" t="s">
        <v>195</v>
      </c>
      <c r="G1" s="70" t="s">
        <v>195</v>
      </c>
      <c r="H1" s="70" t="s">
        <v>195</v>
      </c>
      <c r="I1" s="70" t="s">
        <v>195</v>
      </c>
      <c r="J1" s="70" t="s">
        <v>195</v>
      </c>
      <c r="K1" s="70" t="s">
        <v>195</v>
      </c>
      <c r="L1" s="70" t="s">
        <v>195</v>
      </c>
      <c r="M1" s="70" t="s">
        <v>195</v>
      </c>
      <c r="N1" s="70" t="s">
        <v>195</v>
      </c>
      <c r="O1" s="70" t="s">
        <v>195</v>
      </c>
      <c r="P1" s="70" t="s">
        <v>195</v>
      </c>
      <c r="Q1" s="70" t="s">
        <v>195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571A-BA24-4E9B-80D9-DC86D0C1C6CA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C6805-DE91-4810-BB68-24DEFCE99FEC}">
  <sheetPr codeName="Sheet2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  <row r="19" spans="1:17" x14ac:dyDescent="0.4">
      <c r="A19" s="69">
        <v>16</v>
      </c>
      <c r="B19" s="66">
        <v>-320.30000000000007</v>
      </c>
      <c r="C19" s="66">
        <v>-20.018750000000004</v>
      </c>
      <c r="D19" s="71">
        <v>2.5</v>
      </c>
      <c r="E19" s="67">
        <v>6.25E-2</v>
      </c>
      <c r="F19" s="67">
        <v>0.5625</v>
      </c>
      <c r="G19" s="67">
        <v>0.21875</v>
      </c>
      <c r="H19" s="67">
        <v>0.21875</v>
      </c>
      <c r="I19" s="68">
        <v>7917.8571428571431</v>
      </c>
      <c r="J19" s="68">
        <v>-9821.4285714285706</v>
      </c>
      <c r="K19" s="67">
        <v>0.25</v>
      </c>
      <c r="L19" s="67">
        <v>6.25E-2</v>
      </c>
      <c r="M19" s="67">
        <v>0.2421875</v>
      </c>
      <c r="N19" s="67">
        <v>0.234375</v>
      </c>
      <c r="O19" s="67">
        <v>0.5161290322580645</v>
      </c>
      <c r="P19" s="67">
        <v>0.33333333333333331</v>
      </c>
      <c r="Q19" s="67">
        <v>0.5</v>
      </c>
    </row>
    <row r="20" spans="1:17" x14ac:dyDescent="0.4">
      <c r="A20" s="69">
        <v>17</v>
      </c>
      <c r="B20" s="66">
        <v>-352.60000000000008</v>
      </c>
      <c r="C20" s="66">
        <v>-20.74117647058824</v>
      </c>
      <c r="D20" s="71">
        <v>2.5294117647058822</v>
      </c>
      <c r="E20" s="67">
        <v>5.8823529411764705E-2</v>
      </c>
      <c r="F20" s="67">
        <v>0.58823529411764708</v>
      </c>
      <c r="G20" s="67">
        <v>0.22058823529411764</v>
      </c>
      <c r="H20" s="67">
        <v>0.22794117647058823</v>
      </c>
      <c r="I20" s="68">
        <v>7876.666666666667</v>
      </c>
      <c r="J20" s="68">
        <v>-9593.5483870967746</v>
      </c>
      <c r="K20" s="67">
        <v>0.23529411764705882</v>
      </c>
      <c r="L20" s="67">
        <v>5.8823529411764705E-2</v>
      </c>
      <c r="M20" s="67">
        <v>0.23529411764705882</v>
      </c>
      <c r="N20" s="67">
        <v>0.22794117647058823</v>
      </c>
      <c r="O20" s="67">
        <v>0.53125</v>
      </c>
      <c r="P20" s="67">
        <v>0.32258064516129031</v>
      </c>
      <c r="Q20" s="67">
        <v>0.46666666666666667</v>
      </c>
    </row>
    <row r="21" spans="1:17" x14ac:dyDescent="0.4">
      <c r="A21" s="69">
        <v>18</v>
      </c>
      <c r="B21" s="66">
        <v>-355.50000000000006</v>
      </c>
      <c r="C21" s="66">
        <v>-19.750000000000004</v>
      </c>
      <c r="D21" s="71">
        <v>2.5</v>
      </c>
      <c r="E21" s="67">
        <v>5.5555555555555552E-2</v>
      </c>
      <c r="F21" s="67">
        <v>0.55555555555555558</v>
      </c>
      <c r="G21" s="67">
        <v>0.22377622377622378</v>
      </c>
      <c r="H21" s="67">
        <v>0.21678321678321677</v>
      </c>
      <c r="I21" s="68">
        <v>7496.875</v>
      </c>
      <c r="J21" s="68">
        <v>-9593.5483870967746</v>
      </c>
      <c r="K21" s="67">
        <v>0.22222222222222221</v>
      </c>
      <c r="L21" s="67">
        <v>5.5555555555555552E-2</v>
      </c>
      <c r="M21" s="67">
        <v>0.23076923076923078</v>
      </c>
      <c r="N21" s="67">
        <v>0.23076923076923078</v>
      </c>
      <c r="O21" s="67">
        <v>0.51515151515151514</v>
      </c>
      <c r="P21" s="67">
        <v>0.33333333333333331</v>
      </c>
      <c r="Q21" s="67">
        <v>0.4375</v>
      </c>
    </row>
    <row r="22" spans="1:17" x14ac:dyDescent="0.4">
      <c r="A22" s="69">
        <v>19</v>
      </c>
      <c r="B22" s="66">
        <v>-400.60000000000008</v>
      </c>
      <c r="C22" s="66">
        <v>-21.084210526315793</v>
      </c>
      <c r="D22" s="71">
        <v>2.5263157894736841</v>
      </c>
      <c r="E22" s="67">
        <v>5.2631578947368418E-2</v>
      </c>
      <c r="F22" s="67">
        <v>0.57894736842105265</v>
      </c>
      <c r="G22" s="67">
        <v>0.2119205298013245</v>
      </c>
      <c r="H22" s="67">
        <v>0.2251655629139073</v>
      </c>
      <c r="I22" s="68">
        <v>7496.875</v>
      </c>
      <c r="J22" s="68">
        <v>-9173.5294117647063</v>
      </c>
      <c r="K22" s="67">
        <v>0.26315789473684209</v>
      </c>
      <c r="L22" s="67">
        <v>5.2631578947368418E-2</v>
      </c>
      <c r="M22" s="67">
        <v>0.2185430463576159</v>
      </c>
      <c r="N22" s="67">
        <v>0.2185430463576159</v>
      </c>
      <c r="O22" s="67">
        <v>0.51515151515151514</v>
      </c>
      <c r="P22" s="67">
        <v>0.33333333333333331</v>
      </c>
      <c r="Q22" s="67">
        <v>0.4375</v>
      </c>
    </row>
    <row r="23" spans="1:17" x14ac:dyDescent="0.4">
      <c r="A23" s="69">
        <v>20</v>
      </c>
      <c r="B23" s="66">
        <v>-428.10000000000008</v>
      </c>
      <c r="C23" s="66">
        <v>-21.405000000000005</v>
      </c>
      <c r="D23" s="71">
        <v>2.5499999999999998</v>
      </c>
      <c r="E23" s="67">
        <v>0.05</v>
      </c>
      <c r="F23" s="67">
        <v>0.6</v>
      </c>
      <c r="G23" s="67">
        <v>0.20382165605095542</v>
      </c>
      <c r="H23" s="67">
        <v>0.21656050955414013</v>
      </c>
      <c r="I23" s="68">
        <v>7496.875</v>
      </c>
      <c r="J23" s="68">
        <v>-9173.5294117647063</v>
      </c>
      <c r="K23" s="67">
        <v>0.25</v>
      </c>
      <c r="L23" s="67">
        <v>0.05</v>
      </c>
      <c r="M23" s="67">
        <v>0.21019108280254778</v>
      </c>
      <c r="N23" s="67">
        <v>0.21019108280254778</v>
      </c>
      <c r="O23" s="67">
        <v>0.51515151515151514</v>
      </c>
      <c r="P23" s="67">
        <v>0.33333333333333331</v>
      </c>
      <c r="Q23" s="67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B064-C84C-4319-A84A-304FE4A93AB8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  <row r="35" spans="1:17" x14ac:dyDescent="0.4">
      <c r="A35" s="69">
        <v>32</v>
      </c>
      <c r="B35" s="66">
        <v>-54.09999999999998</v>
      </c>
      <c r="C35" s="66">
        <v>-1.6906249999999994</v>
      </c>
      <c r="D35" s="71">
        <v>2.125</v>
      </c>
      <c r="E35" s="67">
        <v>0.25</v>
      </c>
      <c r="F35" s="67">
        <v>0.375</v>
      </c>
      <c r="G35" s="67">
        <v>0.27376425855513309</v>
      </c>
      <c r="H35" s="67">
        <v>0.14828897338403041</v>
      </c>
      <c r="I35" s="68">
        <v>8494.4444444444453</v>
      </c>
      <c r="J35" s="68">
        <v>-7305.1282051282051</v>
      </c>
      <c r="K35" s="67">
        <v>0.125</v>
      </c>
      <c r="L35" s="67">
        <v>9.375E-2</v>
      </c>
      <c r="M35" s="67">
        <v>0.2509505703422053</v>
      </c>
      <c r="N35" s="67">
        <v>0.28136882129277568</v>
      </c>
      <c r="O35" s="67">
        <v>0.51515151515151514</v>
      </c>
      <c r="P35" s="67">
        <v>0.40540540540540543</v>
      </c>
      <c r="Q35" s="67">
        <v>0.40277777777777779</v>
      </c>
    </row>
    <row r="36" spans="1:17" x14ac:dyDescent="0.4">
      <c r="A36" s="69">
        <v>33</v>
      </c>
      <c r="B36" s="66">
        <v>-48.899999999999977</v>
      </c>
      <c r="C36" s="66">
        <v>-1.481818181818181</v>
      </c>
      <c r="D36" s="71">
        <v>2.1212121212121211</v>
      </c>
      <c r="E36" s="67">
        <v>0.24242424242424243</v>
      </c>
      <c r="F36" s="67">
        <v>0.36363636363636365</v>
      </c>
      <c r="G36" s="67">
        <v>0.26568265682656828</v>
      </c>
      <c r="H36" s="67">
        <v>0.14391143911439114</v>
      </c>
      <c r="I36" s="68">
        <v>8494.4444444444453</v>
      </c>
      <c r="J36" s="68">
        <v>-7305.1282051282051</v>
      </c>
      <c r="K36" s="67">
        <v>0.12121212121212122</v>
      </c>
      <c r="L36" s="67">
        <v>9.0909090909090912E-2</v>
      </c>
      <c r="M36" s="67">
        <v>0.24723247232472326</v>
      </c>
      <c r="N36" s="67">
        <v>0.28413284132841327</v>
      </c>
      <c r="O36" s="67">
        <v>0.5074626865671642</v>
      </c>
      <c r="P36" s="67">
        <v>0.38961038961038963</v>
      </c>
      <c r="Q36" s="67">
        <v>0.40277777777777779</v>
      </c>
    </row>
    <row r="37" spans="1:17" x14ac:dyDescent="0.4">
      <c r="A37" s="69">
        <v>34</v>
      </c>
      <c r="B37" s="66">
        <v>-63.999999999999979</v>
      </c>
      <c r="C37" s="66">
        <v>-1.8823529411764699</v>
      </c>
      <c r="D37" s="71">
        <v>2.1470588235294117</v>
      </c>
      <c r="E37" s="67">
        <v>0.23529411764705882</v>
      </c>
      <c r="F37" s="67">
        <v>0.38235294117647056</v>
      </c>
      <c r="G37" s="67">
        <v>0.26618705035971224</v>
      </c>
      <c r="H37" s="67">
        <v>0.14388489208633093</v>
      </c>
      <c r="I37" s="68">
        <v>8339.1891891891901</v>
      </c>
      <c r="J37" s="68">
        <v>-7187.5</v>
      </c>
      <c r="K37" s="67">
        <v>0.11764705882352941</v>
      </c>
      <c r="L37" s="67">
        <v>8.8235294117647065E-2</v>
      </c>
      <c r="M37" s="67">
        <v>0.24100719424460432</v>
      </c>
      <c r="N37" s="67">
        <v>0.29136690647482016</v>
      </c>
      <c r="O37" s="67">
        <v>0.5074626865671642</v>
      </c>
      <c r="P37" s="67">
        <v>0.39506172839506171</v>
      </c>
      <c r="Q37" s="67">
        <v>0.40540540540540543</v>
      </c>
    </row>
    <row r="38" spans="1:17" x14ac:dyDescent="0.4">
      <c r="A38" s="69">
        <v>35</v>
      </c>
      <c r="B38" s="66">
        <v>-72.399999999999977</v>
      </c>
      <c r="C38" s="66">
        <v>-2.0685714285714281</v>
      </c>
      <c r="D38" s="71">
        <v>2.1428571428571428</v>
      </c>
      <c r="E38" s="67">
        <v>0.22857142857142856</v>
      </c>
      <c r="F38" s="67">
        <v>0.37142857142857144</v>
      </c>
      <c r="G38" s="67">
        <v>0.26923076923076922</v>
      </c>
      <c r="H38" s="67">
        <v>0.13986013986013987</v>
      </c>
      <c r="I38" s="68">
        <v>8112.9870129870133</v>
      </c>
      <c r="J38" s="68">
        <v>-7187.5</v>
      </c>
      <c r="K38" s="67">
        <v>0.11428571428571428</v>
      </c>
      <c r="L38" s="67">
        <v>8.5714285714285715E-2</v>
      </c>
      <c r="M38" s="67">
        <v>0.23426573426573427</v>
      </c>
      <c r="N38" s="67">
        <v>0.2937062937062937</v>
      </c>
      <c r="O38" s="67">
        <v>0.5074626865671642</v>
      </c>
      <c r="P38" s="67">
        <v>0.40476190476190477</v>
      </c>
      <c r="Q38" s="67">
        <v>0.41558441558441561</v>
      </c>
    </row>
    <row r="39" spans="1:17" x14ac:dyDescent="0.4">
      <c r="A39" s="69">
        <v>36</v>
      </c>
      <c r="B39" s="66">
        <v>-65.399999999999977</v>
      </c>
      <c r="C39" s="66">
        <v>-1.816666666666666</v>
      </c>
      <c r="D39" s="71">
        <v>2.1388888888888888</v>
      </c>
      <c r="E39" s="67">
        <v>0.22222222222222221</v>
      </c>
      <c r="F39" s="67">
        <v>0.3611111111111111</v>
      </c>
      <c r="G39" s="67">
        <v>0.27397260273972601</v>
      </c>
      <c r="H39" s="67">
        <v>0.1404109589041096</v>
      </c>
      <c r="I39" s="68">
        <v>8108.75</v>
      </c>
      <c r="J39" s="68">
        <v>-7207.3170731707314</v>
      </c>
      <c r="K39" s="67">
        <v>0.1111111111111111</v>
      </c>
      <c r="L39" s="67">
        <v>8.3333333333333329E-2</v>
      </c>
      <c r="M39" s="67">
        <v>0.2363013698630137</v>
      </c>
      <c r="N39" s="67">
        <v>0.28767123287671231</v>
      </c>
      <c r="O39" s="67">
        <v>0.52173913043478259</v>
      </c>
      <c r="P39" s="67">
        <v>0.40476190476190477</v>
      </c>
      <c r="Q39" s="67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261ED-E169-413F-AFEA-9062796867C5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  <row r="28" spans="1:17" x14ac:dyDescent="0.4">
      <c r="A28" s="69">
        <v>25</v>
      </c>
      <c r="B28" s="66">
        <v>-37.699999999999974</v>
      </c>
      <c r="C28" s="66">
        <v>-1.5079999999999989</v>
      </c>
      <c r="D28" s="71">
        <v>2</v>
      </c>
      <c r="E28" s="67">
        <v>0.32</v>
      </c>
      <c r="F28" s="67">
        <v>0.32</v>
      </c>
      <c r="G28" s="67">
        <v>0.25380710659898476</v>
      </c>
      <c r="H28" s="67">
        <v>0.16751269035532995</v>
      </c>
      <c r="I28" s="68">
        <v>10744</v>
      </c>
      <c r="J28" s="68">
        <v>-9403.0303030303039</v>
      </c>
      <c r="K28" s="67">
        <v>0.16</v>
      </c>
      <c r="L28" s="67">
        <v>0.2</v>
      </c>
      <c r="M28" s="67">
        <v>0.26903553299492383</v>
      </c>
      <c r="N28" s="67">
        <v>0.22842639593908629</v>
      </c>
      <c r="O28" s="67">
        <v>0.37735849056603776</v>
      </c>
      <c r="P28" s="67">
        <v>0.48888888888888887</v>
      </c>
      <c r="Q28" s="67">
        <v>0.46</v>
      </c>
    </row>
    <row r="29" spans="1:17" x14ac:dyDescent="0.4">
      <c r="A29" s="69">
        <v>26</v>
      </c>
      <c r="B29" s="66">
        <v>-84.999999999999972</v>
      </c>
      <c r="C29" s="66">
        <v>-3.2692307692307683</v>
      </c>
      <c r="D29" s="71">
        <v>2.0384615384615383</v>
      </c>
      <c r="E29" s="67">
        <v>0.30769230769230771</v>
      </c>
      <c r="F29" s="67">
        <v>0.34615384615384615</v>
      </c>
      <c r="G29" s="67">
        <v>0.24752475247524752</v>
      </c>
      <c r="H29" s="67">
        <v>0.17326732673267325</v>
      </c>
      <c r="I29" s="68">
        <v>10744</v>
      </c>
      <c r="J29" s="68">
        <v>-9551.4285714285706</v>
      </c>
      <c r="K29" s="67">
        <v>0.19230769230769232</v>
      </c>
      <c r="L29" s="67">
        <v>0.19230769230769232</v>
      </c>
      <c r="M29" s="67">
        <v>0.2722772277227723</v>
      </c>
      <c r="N29" s="67">
        <v>0.22277227722772278</v>
      </c>
      <c r="O29" s="67">
        <v>0.36363636363636365</v>
      </c>
      <c r="P29" s="67">
        <v>0.48888888888888887</v>
      </c>
      <c r="Q29" s="67">
        <v>0.46</v>
      </c>
    </row>
    <row r="30" spans="1:17" x14ac:dyDescent="0.4">
      <c r="A30" s="69">
        <v>27</v>
      </c>
      <c r="B30" s="66">
        <v>-31.499999999999972</v>
      </c>
      <c r="C30" s="66">
        <v>-1.1666666666666656</v>
      </c>
      <c r="D30" s="71">
        <v>2</v>
      </c>
      <c r="E30" s="67">
        <v>0.33333333333333331</v>
      </c>
      <c r="F30" s="67">
        <v>0.33333333333333331</v>
      </c>
      <c r="G30" s="67">
        <v>0.25714285714285712</v>
      </c>
      <c r="H30" s="67">
        <v>0.16666666666666666</v>
      </c>
      <c r="I30" s="68">
        <v>10811.111111111111</v>
      </c>
      <c r="J30" s="68">
        <v>-9551.4285714285706</v>
      </c>
      <c r="K30" s="67">
        <v>0.18518518518518517</v>
      </c>
      <c r="L30" s="67">
        <v>0.22222222222222221</v>
      </c>
      <c r="M30" s="67">
        <v>0.27619047619047621</v>
      </c>
      <c r="N30" s="67">
        <v>0.21904761904761905</v>
      </c>
      <c r="O30" s="67">
        <v>0.39655172413793105</v>
      </c>
      <c r="P30" s="67">
        <v>0.5</v>
      </c>
      <c r="Q30" s="67">
        <v>0.46296296296296297</v>
      </c>
    </row>
    <row r="31" spans="1:17" x14ac:dyDescent="0.4">
      <c r="A31" s="69">
        <v>28</v>
      </c>
      <c r="B31" s="66">
        <v>-10.999999999999972</v>
      </c>
      <c r="C31" s="66">
        <v>-0.39285714285714185</v>
      </c>
      <c r="D31" s="71">
        <v>1.9642857142857142</v>
      </c>
      <c r="E31" s="67">
        <v>0.35714285714285715</v>
      </c>
      <c r="F31" s="67">
        <v>0.32142857142857145</v>
      </c>
      <c r="G31" s="67">
        <v>0.25925925925925924</v>
      </c>
      <c r="H31" s="67">
        <v>0.16666666666666666</v>
      </c>
      <c r="I31" s="68">
        <v>10853.571428571429</v>
      </c>
      <c r="J31" s="68">
        <v>-9508.3333333333339</v>
      </c>
      <c r="K31" s="67">
        <v>0.17857142857142858</v>
      </c>
      <c r="L31" s="67">
        <v>0.21428571428571427</v>
      </c>
      <c r="M31" s="67">
        <v>0.27777777777777779</v>
      </c>
      <c r="N31" s="67">
        <v>0.21759259259259259</v>
      </c>
      <c r="O31" s="67">
        <v>0.41666666666666669</v>
      </c>
      <c r="P31" s="67">
        <v>0.48936170212765956</v>
      </c>
      <c r="Q31" s="67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3A791-043C-4386-998E-E5E858EA425D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  <row r="35" spans="1:17" x14ac:dyDescent="0.4">
      <c r="A35" s="69">
        <v>32</v>
      </c>
      <c r="B35" s="66">
        <v>-244.8</v>
      </c>
      <c r="C35" s="66">
        <v>-7.65</v>
      </c>
      <c r="D35" s="71">
        <v>2.25</v>
      </c>
      <c r="E35" s="67">
        <v>0.1875</v>
      </c>
      <c r="F35" s="67">
        <v>0.4375</v>
      </c>
      <c r="G35" s="67">
        <v>0.28260869565217389</v>
      </c>
      <c r="H35" s="67">
        <v>0.19565217391304349</v>
      </c>
      <c r="I35" s="68">
        <v>7312.8205128205127</v>
      </c>
      <c r="J35" s="68">
        <v>-7351.8518518518522</v>
      </c>
      <c r="K35" s="67">
        <v>6.25E-2</v>
      </c>
      <c r="L35" s="67">
        <v>6.25E-2</v>
      </c>
      <c r="M35" s="67">
        <v>0.27536231884057971</v>
      </c>
      <c r="N35" s="67">
        <v>0.18115942028985507</v>
      </c>
      <c r="O35" s="67">
        <v>0.57894736842105265</v>
      </c>
      <c r="P35" s="67">
        <v>0.44</v>
      </c>
      <c r="Q35" s="67">
        <v>0.38461538461538464</v>
      </c>
    </row>
    <row r="36" spans="1:17" x14ac:dyDescent="0.4">
      <c r="A36" s="69">
        <v>33</v>
      </c>
      <c r="B36" s="66">
        <v>-261.3</v>
      </c>
      <c r="C36" s="66">
        <v>-7.9181818181818189</v>
      </c>
      <c r="D36" s="71">
        <v>2.2727272727272729</v>
      </c>
      <c r="E36" s="67">
        <v>0.18181818181818182</v>
      </c>
      <c r="F36" s="67">
        <v>0.45454545454545453</v>
      </c>
      <c r="G36" s="67">
        <v>0.28521126760563381</v>
      </c>
      <c r="H36" s="67">
        <v>0.19366197183098591</v>
      </c>
      <c r="I36" s="68">
        <v>7334.5679012345681</v>
      </c>
      <c r="J36" s="68">
        <v>-7358.181818181818</v>
      </c>
      <c r="K36" s="67">
        <v>6.0606060606060608E-2</v>
      </c>
      <c r="L36" s="67">
        <v>6.0606060606060608E-2</v>
      </c>
      <c r="M36" s="67">
        <v>0.28521126760563381</v>
      </c>
      <c r="N36" s="67">
        <v>0.176056338028169</v>
      </c>
      <c r="O36" s="67">
        <v>0.58024691358024694</v>
      </c>
      <c r="P36" s="67">
        <v>0.44</v>
      </c>
      <c r="Q36" s="67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CEC8-A38C-4735-B2C2-84B5D304C7D8}">
  <sheetPr codeName="Sheet12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  <row r="53" spans="1:17" x14ac:dyDescent="0.4">
      <c r="A53" s="69">
        <v>50</v>
      </c>
      <c r="B53" s="66">
        <v>248.89999999999984</v>
      </c>
      <c r="C53" s="66">
        <v>4.9779999999999971</v>
      </c>
      <c r="D53" s="71">
        <v>1.86</v>
      </c>
      <c r="E53" s="67">
        <v>0.4</v>
      </c>
      <c r="F53" s="67">
        <v>0.26</v>
      </c>
      <c r="G53" s="67">
        <v>0.32400932400932403</v>
      </c>
      <c r="H53" s="67">
        <v>0.20046620046620048</v>
      </c>
      <c r="I53" s="68">
        <v>8680.5755395683445</v>
      </c>
      <c r="J53" s="68">
        <v>-7620.9302325581393</v>
      </c>
      <c r="K53" s="67">
        <v>0.14000000000000001</v>
      </c>
      <c r="L53" s="67">
        <v>0.16</v>
      </c>
      <c r="M53" s="67">
        <v>0.23543123543123542</v>
      </c>
      <c r="N53" s="67">
        <v>0.32167832167832167</v>
      </c>
      <c r="O53" s="67">
        <v>0.5643564356435643</v>
      </c>
      <c r="P53" s="67">
        <v>0.40579710144927539</v>
      </c>
      <c r="Q53" s="67">
        <v>0.38848920863309355</v>
      </c>
    </row>
    <row r="54" spans="1:17" x14ac:dyDescent="0.4">
      <c r="A54" s="69">
        <v>51</v>
      </c>
      <c r="B54" s="66">
        <v>269.99999999999983</v>
      </c>
      <c r="C54" s="66">
        <v>5.2941176470588198</v>
      </c>
      <c r="D54" s="71">
        <v>1.8431372549019607</v>
      </c>
      <c r="E54" s="67">
        <v>0.41176470588235292</v>
      </c>
      <c r="F54" s="67">
        <v>0.25490196078431371</v>
      </c>
      <c r="G54" s="67">
        <v>0.32648401826484019</v>
      </c>
      <c r="H54" s="67">
        <v>0.20091324200913241</v>
      </c>
      <c r="I54" s="68">
        <v>8604.1958041958042</v>
      </c>
      <c r="J54" s="68">
        <v>-7609.090909090909</v>
      </c>
      <c r="K54" s="67">
        <v>0.13725490196078433</v>
      </c>
      <c r="L54" s="67">
        <v>0.15686274509803921</v>
      </c>
      <c r="M54" s="67">
        <v>0.23744292237442921</v>
      </c>
      <c r="N54" s="67">
        <v>0.32420091324200911</v>
      </c>
      <c r="O54" s="67">
        <v>0.56730769230769229</v>
      </c>
      <c r="P54" s="67">
        <v>0.40140845070422537</v>
      </c>
      <c r="Q54" s="67">
        <v>0.38461538461538464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5429F-DA3B-4035-A4BA-D8E645092E16}">
  <sheetPr codeName="Sheet1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126</v>
      </c>
      <c r="B1" s="70" t="s">
        <v>126</v>
      </c>
      <c r="C1" s="70" t="s">
        <v>126</v>
      </c>
      <c r="D1" s="71" t="s">
        <v>126</v>
      </c>
      <c r="E1" s="70" t="s">
        <v>126</v>
      </c>
      <c r="F1" s="70" t="s">
        <v>126</v>
      </c>
      <c r="G1" s="70" t="s">
        <v>126</v>
      </c>
      <c r="H1" s="70" t="s">
        <v>126</v>
      </c>
      <c r="I1" s="70" t="s">
        <v>126</v>
      </c>
      <c r="J1" s="70" t="s">
        <v>126</v>
      </c>
      <c r="K1" s="70" t="s">
        <v>126</v>
      </c>
      <c r="L1" s="70" t="s">
        <v>126</v>
      </c>
      <c r="M1" s="70" t="s">
        <v>126</v>
      </c>
      <c r="N1" s="70" t="s">
        <v>126</v>
      </c>
      <c r="O1" s="70" t="s">
        <v>126</v>
      </c>
      <c r="P1" s="70" t="s">
        <v>126</v>
      </c>
      <c r="Q1" s="70" t="s">
        <v>126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  <row r="55" spans="1:17" x14ac:dyDescent="0.4">
      <c r="A55" s="69">
        <v>52</v>
      </c>
      <c r="B55" s="66">
        <v>534.89999999999986</v>
      </c>
      <c r="C55" s="66">
        <v>10.286538461538459</v>
      </c>
      <c r="D55" s="71">
        <v>1.7115384615384615</v>
      </c>
      <c r="E55" s="67">
        <v>0.5</v>
      </c>
      <c r="F55" s="67">
        <v>0.21153846153846154</v>
      </c>
      <c r="G55" s="67">
        <v>0.34741784037558687</v>
      </c>
      <c r="H55" s="67">
        <v>0.13145539906103287</v>
      </c>
      <c r="I55" s="68">
        <v>8003.3783783783783</v>
      </c>
      <c r="J55" s="68">
        <v>-7310.7142857142853</v>
      </c>
      <c r="K55" s="67">
        <v>5.7692307692307696E-2</v>
      </c>
      <c r="L55" s="67">
        <v>0.11538461538461539</v>
      </c>
      <c r="M55" s="67">
        <v>0.25117370892018781</v>
      </c>
      <c r="N55" s="67">
        <v>0.22300469483568075</v>
      </c>
      <c r="O55" s="67">
        <v>0.62616822429906538</v>
      </c>
      <c r="P55" s="67">
        <v>0.55789473684210522</v>
      </c>
      <c r="Q55" s="67">
        <v>0.38513513513513514</v>
      </c>
    </row>
    <row r="56" spans="1:17" x14ac:dyDescent="0.4">
      <c r="A56" s="69">
        <v>53</v>
      </c>
      <c r="B56" s="66">
        <v>539.49999999999989</v>
      </c>
      <c r="C56" s="66">
        <v>10.179245283018865</v>
      </c>
      <c r="D56" s="71">
        <v>1.7169811320754718</v>
      </c>
      <c r="E56" s="67">
        <v>0.49056603773584906</v>
      </c>
      <c r="F56" s="67">
        <v>0.20754716981132076</v>
      </c>
      <c r="G56" s="67">
        <v>0.3480278422273782</v>
      </c>
      <c r="H56" s="67">
        <v>0.13225058004640372</v>
      </c>
      <c r="I56" s="68">
        <v>8030</v>
      </c>
      <c r="J56" s="68">
        <v>-7385.9649122807014</v>
      </c>
      <c r="K56" s="67">
        <v>5.6603773584905662E-2</v>
      </c>
      <c r="L56" s="67">
        <v>0.11320754716981132</v>
      </c>
      <c r="M56" s="67">
        <v>0.25058004640371229</v>
      </c>
      <c r="N56" s="67">
        <v>0.22273781902552203</v>
      </c>
      <c r="O56" s="67">
        <v>0.62962962962962965</v>
      </c>
      <c r="P56" s="67">
        <v>0.55208333333333337</v>
      </c>
      <c r="Q56" s="67">
        <v>0.38666666666666666</v>
      </c>
    </row>
    <row r="57" spans="1:17" x14ac:dyDescent="0.4">
      <c r="A57" s="69">
        <v>54</v>
      </c>
      <c r="B57" s="66">
        <v>566.59999999999991</v>
      </c>
      <c r="C57" s="66">
        <v>10.49259259259259</v>
      </c>
      <c r="D57" s="71">
        <v>1.7037037037037037</v>
      </c>
      <c r="E57" s="67">
        <v>0.5</v>
      </c>
      <c r="F57" s="67">
        <v>0.20370370370370369</v>
      </c>
      <c r="G57" s="67">
        <v>0.35079726651480636</v>
      </c>
      <c r="H57" s="67">
        <v>0.13439635535307518</v>
      </c>
      <c r="I57" s="68">
        <v>8001.2987012987014</v>
      </c>
      <c r="J57" s="68">
        <v>-7383.0508474576272</v>
      </c>
      <c r="K57" s="67">
        <v>5.5555555555555552E-2</v>
      </c>
      <c r="L57" s="67">
        <v>0.1111111111111111</v>
      </c>
      <c r="M57" s="67">
        <v>0.24829157175398633</v>
      </c>
      <c r="N57" s="67">
        <v>0.2255125284738041</v>
      </c>
      <c r="O57" s="67">
        <v>0.6330275229357798</v>
      </c>
      <c r="P57" s="67">
        <v>0.55555555555555558</v>
      </c>
      <c r="Q57" s="67">
        <v>0.38311688311688313</v>
      </c>
    </row>
    <row r="58" spans="1:17" x14ac:dyDescent="0.4">
      <c r="A58" s="69">
        <v>55</v>
      </c>
      <c r="B58" s="66">
        <v>584.59999999999991</v>
      </c>
      <c r="C58" s="66">
        <v>10.629090909090907</v>
      </c>
      <c r="D58" s="71">
        <v>1.6909090909090909</v>
      </c>
      <c r="E58" s="67">
        <v>0.50909090909090904</v>
      </c>
      <c r="F58" s="67">
        <v>0.2</v>
      </c>
      <c r="G58" s="67">
        <v>0.34977578475336324</v>
      </c>
      <c r="H58" s="67">
        <v>0.1367713004484305</v>
      </c>
      <c r="I58" s="68">
        <v>7975.6410256410254</v>
      </c>
      <c r="J58" s="68">
        <v>-7181.9672131147545</v>
      </c>
      <c r="K58" s="67">
        <v>5.4545454545454543E-2</v>
      </c>
      <c r="L58" s="67">
        <v>0.10909090909090909</v>
      </c>
      <c r="M58" s="67">
        <v>0.25112107623318386</v>
      </c>
      <c r="N58" s="67">
        <v>0.22421524663677131</v>
      </c>
      <c r="O58" s="67">
        <v>0.6339285714285714</v>
      </c>
      <c r="P58" s="67">
        <v>0.55000000000000004</v>
      </c>
      <c r="Q58" s="67">
        <v>0.39102564102564102</v>
      </c>
    </row>
    <row r="59" spans="1:17" x14ac:dyDescent="0.4">
      <c r="A59" s="69">
        <v>56</v>
      </c>
      <c r="B59" s="66">
        <v>590.69999999999993</v>
      </c>
      <c r="C59" s="66">
        <v>10.548214285714284</v>
      </c>
      <c r="D59" s="71">
        <v>1.6964285714285714</v>
      </c>
      <c r="E59" s="67">
        <v>0.5</v>
      </c>
      <c r="F59" s="67">
        <v>0.19642857142857142</v>
      </c>
      <c r="G59" s="67">
        <v>0.34945054945054943</v>
      </c>
      <c r="H59" s="67">
        <v>0.13626373626373625</v>
      </c>
      <c r="I59" s="68">
        <v>7983.0188679245284</v>
      </c>
      <c r="J59" s="68">
        <v>-7117.7419354838712</v>
      </c>
      <c r="K59" s="67">
        <v>5.3571428571428568E-2</v>
      </c>
      <c r="L59" s="67">
        <v>0.10714285714285714</v>
      </c>
      <c r="M59" s="67">
        <v>0.25274725274725274</v>
      </c>
      <c r="N59" s="67">
        <v>0.22857142857142856</v>
      </c>
      <c r="O59" s="67">
        <v>0.62608695652173918</v>
      </c>
      <c r="P59" s="67">
        <v>0.53846153846153844</v>
      </c>
      <c r="Q59" s="67">
        <v>0.40251572327044027</v>
      </c>
    </row>
    <row r="60" spans="1:17" x14ac:dyDescent="0.4">
      <c r="A60" s="69">
        <v>57</v>
      </c>
      <c r="B60" s="66">
        <v>593.09999999999991</v>
      </c>
      <c r="C60" s="66">
        <v>10.405263157894735</v>
      </c>
      <c r="D60" s="71">
        <v>1.7017543859649122</v>
      </c>
      <c r="E60" s="67">
        <v>0.49122807017543857</v>
      </c>
      <c r="F60" s="67">
        <v>0.19298245614035087</v>
      </c>
      <c r="G60" s="67">
        <v>0.34773218142548595</v>
      </c>
      <c r="H60" s="67">
        <v>0.14038876889848811</v>
      </c>
      <c r="I60" s="68">
        <v>8080.7453416149065</v>
      </c>
      <c r="J60" s="68">
        <v>-7120</v>
      </c>
      <c r="K60" s="67">
        <v>5.2631578947368418E-2</v>
      </c>
      <c r="L60" s="67">
        <v>0.10526315789473684</v>
      </c>
      <c r="M60" s="67">
        <v>0.25269978401727861</v>
      </c>
      <c r="N60" s="67">
        <v>0.23110151187904968</v>
      </c>
      <c r="O60" s="67">
        <v>0.62393162393162394</v>
      </c>
      <c r="P60" s="67">
        <v>0.53271028037383172</v>
      </c>
      <c r="Q60" s="67">
        <v>0.40372670807453415</v>
      </c>
    </row>
    <row r="61" spans="1:17" x14ac:dyDescent="0.4">
      <c r="A61" s="69">
        <v>58</v>
      </c>
      <c r="B61" s="66">
        <v>597.59999999999991</v>
      </c>
      <c r="C61" s="66">
        <v>10.303448275862067</v>
      </c>
      <c r="D61" s="71">
        <v>1.7068965517241379</v>
      </c>
      <c r="E61" s="67">
        <v>0.48275862068965519</v>
      </c>
      <c r="F61" s="67">
        <v>0.18965517241379309</v>
      </c>
      <c r="G61" s="67">
        <v>0.34533898305084748</v>
      </c>
      <c r="H61" s="67">
        <v>0.14194915254237289</v>
      </c>
      <c r="I61" s="68">
        <v>8076.687116564417</v>
      </c>
      <c r="J61" s="68">
        <v>-7052.2388059701489</v>
      </c>
      <c r="K61" s="67">
        <v>5.1724137931034482E-2</v>
      </c>
      <c r="L61" s="67">
        <v>0.10344827586206896</v>
      </c>
      <c r="M61" s="67">
        <v>0.2521186440677966</v>
      </c>
      <c r="N61" s="67">
        <v>0.23305084745762711</v>
      </c>
      <c r="O61" s="67">
        <v>0.62184873949579833</v>
      </c>
      <c r="P61" s="67">
        <v>0.52727272727272723</v>
      </c>
      <c r="Q61" s="67">
        <v>0.3987730061349693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24528-8170-47D9-ADEC-73C4FE5A1307}">
  <sheetPr codeName="Sheet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166</v>
      </c>
      <c r="B1" s="70" t="s">
        <v>166</v>
      </c>
      <c r="C1" s="70" t="s">
        <v>166</v>
      </c>
      <c r="D1" s="71" t="s">
        <v>166</v>
      </c>
      <c r="E1" s="70" t="s">
        <v>166</v>
      </c>
      <c r="F1" s="70" t="s">
        <v>166</v>
      </c>
      <c r="G1" s="70" t="s">
        <v>166</v>
      </c>
      <c r="H1" s="70" t="s">
        <v>166</v>
      </c>
      <c r="I1" s="70" t="s">
        <v>166</v>
      </c>
      <c r="J1" s="70" t="s">
        <v>166</v>
      </c>
      <c r="K1" s="70" t="s">
        <v>166</v>
      </c>
      <c r="L1" s="70" t="s">
        <v>166</v>
      </c>
      <c r="M1" s="70" t="s">
        <v>166</v>
      </c>
      <c r="N1" s="70" t="s">
        <v>166</v>
      </c>
      <c r="O1" s="70" t="s">
        <v>166</v>
      </c>
      <c r="P1" s="70" t="s">
        <v>166</v>
      </c>
      <c r="Q1" s="70" t="s">
        <v>166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  <row r="28" spans="1:17" x14ac:dyDescent="0.4">
      <c r="A28" s="69">
        <v>25</v>
      </c>
      <c r="B28" s="66">
        <v>-97.500000000000014</v>
      </c>
      <c r="C28" s="66">
        <v>-3.9000000000000004</v>
      </c>
      <c r="D28" s="71">
        <v>2.08</v>
      </c>
      <c r="E28" s="67">
        <v>0.32</v>
      </c>
      <c r="F28" s="67">
        <v>0.4</v>
      </c>
      <c r="G28" s="67">
        <v>0.2570093457943925</v>
      </c>
      <c r="H28" s="67">
        <v>0.16822429906542055</v>
      </c>
      <c r="I28" s="68">
        <v>7574.545454545455</v>
      </c>
      <c r="J28" s="68">
        <v>-6530.5555555555557</v>
      </c>
      <c r="K28" s="67">
        <v>0</v>
      </c>
      <c r="L28" s="67">
        <v>0.04</v>
      </c>
      <c r="M28" s="67">
        <v>0.1822429906542056</v>
      </c>
      <c r="N28" s="67">
        <v>0.23364485981308411</v>
      </c>
      <c r="O28" s="67">
        <v>0.51282051282051277</v>
      </c>
      <c r="P28" s="67">
        <v>0.32</v>
      </c>
      <c r="Q28" s="67">
        <v>0.47272727272727272</v>
      </c>
    </row>
    <row r="29" spans="1:17" x14ac:dyDescent="0.4">
      <c r="A29" s="69">
        <v>26</v>
      </c>
      <c r="B29" s="66">
        <v>-123.10000000000002</v>
      </c>
      <c r="C29" s="66">
        <v>-4.7346153846153856</v>
      </c>
      <c r="D29" s="71">
        <v>2.1153846153846154</v>
      </c>
      <c r="E29" s="67">
        <v>0.30769230769230771</v>
      </c>
      <c r="F29" s="67">
        <v>0.42307692307692307</v>
      </c>
      <c r="G29" s="67">
        <v>0.2556053811659193</v>
      </c>
      <c r="H29" s="67">
        <v>0.17040358744394618</v>
      </c>
      <c r="I29" s="68">
        <v>7424.5614035087719</v>
      </c>
      <c r="J29" s="68">
        <v>-6605.2631578947367</v>
      </c>
      <c r="K29" s="67">
        <v>0</v>
      </c>
      <c r="L29" s="67">
        <v>3.8461538461538464E-2</v>
      </c>
      <c r="M29" s="67">
        <v>0.17488789237668162</v>
      </c>
      <c r="N29" s="67">
        <v>0.23318385650224216</v>
      </c>
      <c r="O29" s="67">
        <v>0.51282051282051277</v>
      </c>
      <c r="P29" s="67">
        <v>0.32692307692307693</v>
      </c>
      <c r="Q29" s="67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0C347-5C80-4715-B67B-0616E48863FC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  <row r="85" spans="1:17" x14ac:dyDescent="0.4">
      <c r="A85" s="69">
        <v>82</v>
      </c>
      <c r="B85" s="66">
        <v>-2.8421709430404007E-14</v>
      </c>
      <c r="C85" s="66">
        <v>-1.1553540418863419E-16</v>
      </c>
      <c r="D85" s="71">
        <v>2</v>
      </c>
      <c r="E85" s="67">
        <v>0.33333333333333331</v>
      </c>
      <c r="F85" s="67">
        <v>0.33333333333333331</v>
      </c>
      <c r="G85" s="67">
        <v>0.29414610546686021</v>
      </c>
      <c r="H85" s="67">
        <v>0.17174649250120949</v>
      </c>
      <c r="I85" s="68">
        <v>8288.6513157894733</v>
      </c>
      <c r="J85" s="68">
        <v>-7720.5633802816901</v>
      </c>
      <c r="K85" s="67">
        <v>0.11382113821138211</v>
      </c>
      <c r="L85" s="67">
        <v>0.11382113821138211</v>
      </c>
      <c r="M85" s="67">
        <v>0.24818577648766327</v>
      </c>
      <c r="N85" s="67">
        <v>0.24479922593130141</v>
      </c>
      <c r="O85" s="67">
        <v>0.55165692007797273</v>
      </c>
      <c r="P85" s="67">
        <v>0.42094861660079053</v>
      </c>
      <c r="Q85" s="67">
        <v>0.41282894736842107</v>
      </c>
    </row>
    <row r="86" spans="1:17" x14ac:dyDescent="0.4">
      <c r="A86" s="69">
        <v>83</v>
      </c>
      <c r="B86" s="66">
        <v>-2.1316282072803006E-14</v>
      </c>
      <c r="C86" s="66">
        <v>-8.560755852531328E-17</v>
      </c>
      <c r="D86" s="71">
        <v>2</v>
      </c>
      <c r="E86" s="67">
        <v>0.33333333333333331</v>
      </c>
      <c r="F86" s="67">
        <v>0.33333333333333331</v>
      </c>
      <c r="G86" s="67">
        <v>0.29442843419788667</v>
      </c>
      <c r="H86" s="67">
        <v>0.17195004803073968</v>
      </c>
      <c r="I86" s="68">
        <v>8317.6182707993466</v>
      </c>
      <c r="J86" s="68">
        <v>-7755.3072625698323</v>
      </c>
      <c r="K86" s="67">
        <v>0.11646586345381527</v>
      </c>
      <c r="L86" s="67">
        <v>0.11646586345381527</v>
      </c>
      <c r="M86" s="67">
        <v>0.24831892411143131</v>
      </c>
      <c r="N86" s="67">
        <v>0.24543707973102785</v>
      </c>
      <c r="O86" s="67">
        <v>0.55125725338491294</v>
      </c>
      <c r="P86" s="67">
        <v>0.42074363992172209</v>
      </c>
      <c r="Q86" s="67">
        <v>0.41272430668841764</v>
      </c>
    </row>
    <row r="87" spans="1:17" x14ac:dyDescent="0.4">
      <c r="A87" s="69">
        <v>84</v>
      </c>
      <c r="B87" s="66">
        <v>-1.6875389974302379E-14</v>
      </c>
      <c r="C87" s="66">
        <v>-6.6965833231358645E-17</v>
      </c>
      <c r="D87" s="71">
        <v>2</v>
      </c>
      <c r="E87" s="67">
        <v>0.33333333333333331</v>
      </c>
      <c r="F87" s="67">
        <v>0.33333333333333331</v>
      </c>
      <c r="G87" s="67">
        <v>0.29392212725546057</v>
      </c>
      <c r="H87" s="67">
        <v>0.17236467236467237</v>
      </c>
      <c r="I87" s="68">
        <v>8305.3311793214871</v>
      </c>
      <c r="J87" s="68">
        <v>-7750.4132231404956</v>
      </c>
      <c r="K87" s="67">
        <v>0.11507936507936507</v>
      </c>
      <c r="L87" s="67">
        <v>0.11507936507936507</v>
      </c>
      <c r="M87" s="67">
        <v>0.24691358024691357</v>
      </c>
      <c r="N87" s="67">
        <v>0.24596391263057929</v>
      </c>
      <c r="O87" s="67">
        <v>0.55192307692307696</v>
      </c>
      <c r="P87" s="67">
        <v>0.41891891891891891</v>
      </c>
      <c r="Q87" s="67">
        <v>0.41033925686591277</v>
      </c>
    </row>
    <row r="88" spans="1:17" x14ac:dyDescent="0.4">
      <c r="A88" s="69">
        <v>85</v>
      </c>
      <c r="B88" s="66">
        <v>-1.5987211554602254E-14</v>
      </c>
      <c r="C88" s="66">
        <v>-6.2694947272950016E-17</v>
      </c>
      <c r="D88" s="71">
        <v>2</v>
      </c>
      <c r="E88" s="67">
        <v>0.33333333333333331</v>
      </c>
      <c r="F88" s="67">
        <v>0.33333333333333331</v>
      </c>
      <c r="G88" s="67">
        <v>0.29384109073812881</v>
      </c>
      <c r="H88" s="67">
        <v>0.17207334273624825</v>
      </c>
      <c r="I88" s="68">
        <v>8259.36</v>
      </c>
      <c r="J88" s="68">
        <v>-7700.8196721311479</v>
      </c>
      <c r="K88" s="67">
        <v>0.11372549019607843</v>
      </c>
      <c r="L88" s="67">
        <v>0.11372549019607843</v>
      </c>
      <c r="M88" s="67">
        <v>0.24635637047484721</v>
      </c>
      <c r="N88" s="67">
        <v>0.24682651622002821</v>
      </c>
      <c r="O88" s="67">
        <v>0.55152671755725191</v>
      </c>
      <c r="P88" s="67">
        <v>0.41904761904761906</v>
      </c>
      <c r="Q88" s="67">
        <v>0.41120000000000001</v>
      </c>
    </row>
    <row r="89" spans="1:17" x14ac:dyDescent="0.4">
      <c r="A89" s="69">
        <v>86</v>
      </c>
      <c r="B89" s="66">
        <v>-1.5987211554602254E-14</v>
      </c>
      <c r="C89" s="66">
        <v>-6.1965936258148271E-17</v>
      </c>
      <c r="D89" s="71">
        <v>2</v>
      </c>
      <c r="E89" s="67">
        <v>0.33333333333333331</v>
      </c>
      <c r="F89" s="67">
        <v>0.33333333333333331</v>
      </c>
      <c r="G89" s="67">
        <v>0.29381682938168296</v>
      </c>
      <c r="H89" s="67">
        <v>0.17154811715481172</v>
      </c>
      <c r="I89" s="68">
        <v>8253.6392405063289</v>
      </c>
      <c r="J89" s="68">
        <v>-7677.5067750677508</v>
      </c>
      <c r="K89" s="67">
        <v>0.11627906976744186</v>
      </c>
      <c r="L89" s="67">
        <v>0.11627906976744186</v>
      </c>
      <c r="M89" s="67">
        <v>0.24500232450023246</v>
      </c>
      <c r="N89" s="67">
        <v>0.24593212459321245</v>
      </c>
      <c r="O89" s="67">
        <v>0.5540796963946869</v>
      </c>
      <c r="P89" s="67">
        <v>0.42155009451795838</v>
      </c>
      <c r="Q89" s="67">
        <v>0.41297468354430378</v>
      </c>
    </row>
    <row r="90" spans="1:17" x14ac:dyDescent="0.4">
      <c r="A90" s="69">
        <v>87</v>
      </c>
      <c r="B90" s="66">
        <v>-1.4210854715202004E-14</v>
      </c>
      <c r="C90" s="66">
        <v>-5.4447719215333345E-17</v>
      </c>
      <c r="D90" s="71">
        <v>2</v>
      </c>
      <c r="E90" s="67">
        <v>0.33333333333333331</v>
      </c>
      <c r="F90" s="67">
        <v>0.33333333333333331</v>
      </c>
      <c r="G90" s="67">
        <v>0.29368372521899494</v>
      </c>
      <c r="H90" s="67">
        <v>0.17104656523743661</v>
      </c>
      <c r="I90" s="68">
        <v>8264.2072213500778</v>
      </c>
      <c r="J90" s="68">
        <v>-7679.2452830188677</v>
      </c>
      <c r="K90" s="67">
        <v>0.11494252873563218</v>
      </c>
      <c r="L90" s="67">
        <v>0.11494252873563218</v>
      </c>
      <c r="M90" s="67">
        <v>0.24481327800829875</v>
      </c>
      <c r="N90" s="67">
        <v>0.24435223605348086</v>
      </c>
      <c r="O90" s="67">
        <v>0.55743879472693036</v>
      </c>
      <c r="P90" s="67">
        <v>0.42075471698113209</v>
      </c>
      <c r="Q90" s="67">
        <v>0.41444270015698587</v>
      </c>
    </row>
    <row r="91" spans="1:17" x14ac:dyDescent="0.4">
      <c r="A91" s="69">
        <v>88</v>
      </c>
      <c r="B91" s="66">
        <v>-1.4210854715202004E-14</v>
      </c>
      <c r="C91" s="66">
        <v>-5.3828995133340925E-17</v>
      </c>
      <c r="D91" s="71">
        <v>2</v>
      </c>
      <c r="E91" s="67">
        <v>0.33333333333333331</v>
      </c>
      <c r="F91" s="67">
        <v>0.33333333333333331</v>
      </c>
      <c r="G91" s="67">
        <v>0.29417122040072857</v>
      </c>
      <c r="H91" s="67">
        <v>0.16985428051001822</v>
      </c>
      <c r="I91" s="68">
        <v>8239.0092879256972</v>
      </c>
      <c r="J91" s="68">
        <v>-7667.2922252010721</v>
      </c>
      <c r="K91" s="67">
        <v>0.11363636363636363</v>
      </c>
      <c r="L91" s="67">
        <v>0.11363636363636363</v>
      </c>
      <c r="M91" s="67">
        <v>0.24453551912568305</v>
      </c>
      <c r="N91" s="67">
        <v>0.24590163934426229</v>
      </c>
      <c r="O91" s="67">
        <v>0.55679702048417135</v>
      </c>
      <c r="P91" s="67">
        <v>0.42037037037037039</v>
      </c>
      <c r="Q91" s="67">
        <v>0.41950464396284831</v>
      </c>
    </row>
    <row r="92" spans="1:17" x14ac:dyDescent="0.4">
      <c r="A92" s="69">
        <v>89</v>
      </c>
      <c r="B92" s="66">
        <v>-1.4210854715202004E-14</v>
      </c>
      <c r="C92" s="66">
        <v>-5.3224174963303385E-17</v>
      </c>
      <c r="D92" s="71">
        <v>2</v>
      </c>
      <c r="E92" s="67">
        <v>0.33333333333333331</v>
      </c>
      <c r="F92" s="67">
        <v>0.33333333333333331</v>
      </c>
      <c r="G92" s="67">
        <v>0.29414414414414414</v>
      </c>
      <c r="H92" s="67">
        <v>0.16981981981981981</v>
      </c>
      <c r="I92" s="68">
        <v>8256.2021439509954</v>
      </c>
      <c r="J92" s="68">
        <v>-7663.3952254641908</v>
      </c>
      <c r="K92" s="67">
        <v>0.11235955056179775</v>
      </c>
      <c r="L92" s="67">
        <v>0.11235955056179775</v>
      </c>
      <c r="M92" s="67">
        <v>0.24549549549549549</v>
      </c>
      <c r="N92" s="67">
        <v>0.24594594594594596</v>
      </c>
      <c r="O92" s="67">
        <v>0.55596330275229355</v>
      </c>
      <c r="P92" s="67">
        <v>0.42124542124542125</v>
      </c>
      <c r="Q92" s="67">
        <v>0.41960183767228176</v>
      </c>
    </row>
    <row r="93" spans="1:17" x14ac:dyDescent="0.4">
      <c r="A93" s="69">
        <v>90</v>
      </c>
      <c r="B93" s="66">
        <v>-1.4210854715202004E-14</v>
      </c>
      <c r="C93" s="66">
        <v>-5.2632795241488905E-17</v>
      </c>
      <c r="D93" s="71">
        <v>2</v>
      </c>
      <c r="E93" s="67">
        <v>0.33333333333333331</v>
      </c>
      <c r="F93" s="67">
        <v>0.33333333333333331</v>
      </c>
      <c r="G93" s="67">
        <v>0.29417000445037828</v>
      </c>
      <c r="H93" s="67">
        <v>0.17044948820649755</v>
      </c>
      <c r="I93" s="68">
        <v>8225.7186081694399</v>
      </c>
      <c r="J93" s="68">
        <v>-7647.258485639687</v>
      </c>
      <c r="K93" s="67">
        <v>0.1111111111111111</v>
      </c>
      <c r="L93" s="67">
        <v>0.1111111111111111</v>
      </c>
      <c r="M93" s="67">
        <v>0.24477080551846908</v>
      </c>
      <c r="N93" s="67">
        <v>0.24699599465954605</v>
      </c>
      <c r="O93" s="67">
        <v>0.55636363636363639</v>
      </c>
      <c r="P93" s="67">
        <v>0.41981981981981981</v>
      </c>
      <c r="Q93" s="67">
        <v>0.41754916792738278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2019-10-14T17:49:55Z</dcterms:modified>
</cp:coreProperties>
</file>