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5B4436E-4C12-4FEE-871C-E53531534CBF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1" i="5857" l="1"/>
  <c r="O16" i="5865"/>
  <c r="O15" i="5865" l="1"/>
  <c r="O19" i="5873"/>
  <c r="O15" i="5863" l="1"/>
  <c r="O20" i="5869"/>
  <c r="O16" i="5873" l="1"/>
  <c r="O22" i="5863"/>
  <c r="O20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0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1" i="5867"/>
  <c r="O23" i="5867"/>
  <c r="O16" i="5857"/>
  <c r="O17" i="5861"/>
  <c r="O16" i="5863"/>
  <c r="O20" i="5863"/>
  <c r="O19" i="5857"/>
  <c r="O18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19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0" i="5869"/>
  <c r="H6" i="5869"/>
  <c r="H11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8" i="5855"/>
  <c r="O19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0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3" i="5867"/>
  <c r="H24" i="5867"/>
  <c r="H33" i="5867"/>
  <c r="H26" i="5867"/>
  <c r="H38" i="5867"/>
  <c r="H27" i="5867"/>
  <c r="H45" i="5867"/>
  <c r="H49" i="5867"/>
  <c r="H5" i="5867"/>
  <c r="H8" i="5867"/>
  <c r="H22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9" i="5867"/>
  <c r="H21" i="5867"/>
  <c r="H15" i="5867"/>
  <c r="H19" i="5867"/>
  <c r="H32" i="5867"/>
  <c r="H13" i="5867"/>
  <c r="H25" i="5867"/>
  <c r="H20" i="5867"/>
  <c r="H36" i="5867"/>
  <c r="H40" i="5867"/>
  <c r="H43" i="5867"/>
  <c r="H47" i="5867"/>
  <c r="H2" i="5865"/>
  <c r="H3" i="5865"/>
  <c r="H4" i="5865"/>
  <c r="H11" i="5865"/>
  <c r="H9" i="5865"/>
  <c r="C17" i="5865"/>
  <c r="H14" i="5865"/>
  <c r="H42" i="5865"/>
  <c r="H38" i="5865"/>
  <c r="H20" i="5865"/>
  <c r="H7" i="5865"/>
  <c r="H27" i="5865"/>
  <c r="C18" i="5865"/>
  <c r="B23" i="5865"/>
  <c r="H46" i="5865"/>
  <c r="H52" i="5865"/>
  <c r="H29" i="5865"/>
  <c r="H10" i="5865"/>
  <c r="H13" i="5865"/>
  <c r="H5" i="5865"/>
  <c r="H19" i="5865"/>
  <c r="H28" i="5865"/>
  <c r="H21" i="5865"/>
  <c r="C19" i="5865"/>
  <c r="B24" i="5865"/>
  <c r="H35" i="5865"/>
  <c r="H50" i="5865"/>
  <c r="H22" i="5865"/>
  <c r="H16" i="5865"/>
  <c r="H32" i="5865"/>
  <c r="H15" i="5865"/>
  <c r="H34" i="5865"/>
  <c r="H18" i="5865"/>
  <c r="H36" i="5865"/>
  <c r="H39" i="5865"/>
  <c r="H43" i="5865"/>
  <c r="H47" i="5865"/>
  <c r="H51" i="5865"/>
  <c r="H8" i="5865"/>
  <c r="H17" i="5865"/>
  <c r="H37" i="5865"/>
  <c r="H40" i="5865"/>
  <c r="H44" i="5865"/>
  <c r="H48" i="5865"/>
  <c r="H12" i="5865"/>
  <c r="H30" i="5865"/>
  <c r="H31" i="5865"/>
  <c r="H23" i="5865"/>
  <c r="H33" i="5865"/>
  <c r="H24" i="5865"/>
  <c r="H25" i="5865"/>
  <c r="H26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0" i="5863"/>
  <c r="H18" i="5863"/>
  <c r="C17" i="5863"/>
  <c r="B24" i="5863"/>
  <c r="H11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7" i="5855"/>
  <c r="O18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6" i="5855"/>
  <c r="H25" i="5857"/>
  <c r="H5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20" i="5861"/>
  <c r="H18" i="5861"/>
  <c r="H17" i="5861"/>
  <c r="H25" i="5861"/>
  <c r="H13" i="5861"/>
  <c r="H32" i="5861"/>
  <c r="H16" i="5861"/>
  <c r="H26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4" i="5861"/>
  <c r="C19" i="5861"/>
  <c r="H14" i="5861"/>
  <c r="H35" i="5861"/>
  <c r="H42" i="5861"/>
  <c r="H50" i="5861"/>
  <c r="H7" i="5861"/>
  <c r="H23" i="5861"/>
  <c r="H27" i="5861"/>
  <c r="H15" i="5861"/>
  <c r="C18" i="5861"/>
  <c r="B23" i="5861"/>
  <c r="H8" i="5861"/>
  <c r="H22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2" i="5859"/>
  <c r="H3" i="5859"/>
  <c r="H22" i="5859"/>
  <c r="H24" i="5859"/>
  <c r="H19" i="5859"/>
  <c r="H20" i="5859"/>
  <c r="C17" i="5859"/>
  <c r="H13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4" i="5857"/>
  <c r="B23" i="5857"/>
  <c r="H43" i="5857"/>
  <c r="H9" i="5857"/>
  <c r="H8" i="5857"/>
  <c r="H32" i="5857"/>
  <c r="H47" i="5857"/>
  <c r="C17" i="5857"/>
  <c r="H2" i="5857"/>
  <c r="H23" i="5857"/>
  <c r="C18" i="5857"/>
  <c r="H35" i="5857"/>
  <c r="H51" i="5857"/>
  <c r="H26" i="5857"/>
  <c r="H27" i="5857"/>
  <c r="H29" i="5857"/>
  <c r="H30" i="5857"/>
  <c r="H31" i="5857"/>
  <c r="H22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1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3" i="5855"/>
  <c r="C18" i="5855"/>
  <c r="H39" i="5855"/>
  <c r="H15" i="5855"/>
  <c r="H36" i="5855"/>
  <c r="H37" i="5855"/>
  <c r="H25" i="5855"/>
  <c r="H30" i="5855"/>
  <c r="H31" i="5855"/>
  <c r="H28" i="5855"/>
  <c r="H32" i="5855"/>
  <c r="H33" i="5855"/>
  <c r="H46" i="5855"/>
  <c r="H49" i="5855"/>
  <c r="H5" i="5855"/>
  <c r="H8" i="5855"/>
  <c r="H20" i="5855"/>
  <c r="H24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6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<sst xmlns="http://schemas.openxmlformats.org/spreadsheetml/2006/main" count="2873" uniqueCount="253">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</sst>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全体!$K$2:$K$611</c:f>
              <c:numCache>
                <c:formatCode>General</c:formatCode>
                <c:ptCount val="6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</c:numCache>
            </c:numRef>
          </c:xVal>
          <c:yVal>
            <c:numRef>
              <c:f>全体!$L$2:$L$611</c:f>
              <c:numCache>
                <c:formatCode>\+0.0;\-0.0;\±0</c:formatCode>
                <c:ptCount val="61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-23.102310231023104</c:v>
                </c:pt>
                <c:pt idx="1">
                  <c:v>10.152284263959391</c:v>
                </c:pt>
                <c:pt idx="2">
                  <c:v>-16.042780748663102</c:v>
                </c:pt>
                <c:pt idx="3">
                  <c:v>11.363636363636363</c:v>
                </c:pt>
                <c:pt idx="4">
                  <c:v>10.2880658436214</c:v>
                </c:pt>
                <c:pt idx="5">
                  <c:v>15.267175572519085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だいち!$K$2:$K$126</c:f>
              <c:numCache>
                <c:formatCode>General</c:formatCode>
                <c:ptCount val="1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</c:numCache>
            </c:numRef>
          </c:xVal>
          <c:yVal>
            <c:numRef>
              <c:f>だいち!$L$2:$L$126</c:f>
              <c:numCache>
                <c:formatCode>\+0.0;\-0.0;\±0</c:formatCode>
                <c:ptCount val="12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1340.6504065040651</c:v>
                </c:pt>
                <c:pt idx="1">
                  <c:v>915</c:v>
                </c:pt>
                <c:pt idx="2">
                  <c:v>928.44827586206895</c:v>
                </c:pt>
                <c:pt idx="3">
                  <c:v>289.71962616822429</c:v>
                </c:pt>
                <c:pt idx="4">
                  <c:v>1887</c:v>
                </c:pt>
                <c:pt idx="5">
                  <c:v>2367.9487179487178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ただ!$L$2:$L$114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-1847.7477477477478</c:v>
                </c:pt>
                <c:pt idx="1">
                  <c:v>1512.037037037037</c:v>
                </c:pt>
                <c:pt idx="2">
                  <c:v>-60.396039603960396</c:v>
                </c:pt>
                <c:pt idx="3">
                  <c:v>696.84210526315792</c:v>
                </c:pt>
                <c:pt idx="4">
                  <c:v>-931.0344827586207</c:v>
                </c:pt>
                <c:pt idx="5">
                  <c:v>1564.3835616438357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りくと!$K$2:$K$72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りくと!$L$2:$L$72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-33.333333333333336</c:v>
                </c:pt>
                <c:pt idx="1">
                  <c:v>-869.11764705882354</c:v>
                </c:pt>
                <c:pt idx="2">
                  <c:v>846.03174603174602</c:v>
                </c:pt>
                <c:pt idx="3">
                  <c:v>-1324.1935483870968</c:v>
                </c:pt>
                <c:pt idx="4">
                  <c:v>-3210.1694915254238</c:v>
                </c:pt>
                <c:pt idx="5">
                  <c:v>-1372.5490196078431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-2520.5479452054797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-83.720930232558146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887.62886597938143</c:v>
                </c:pt>
                <c:pt idx="1">
                  <c:v>689.36170212765956</c:v>
                </c:pt>
                <c:pt idx="2">
                  <c:v>-425</c:v>
                </c:pt>
                <c:pt idx="3">
                  <c:v>63.75</c:v>
                </c:pt>
                <c:pt idx="4">
                  <c:v>-772.85714285714289</c:v>
                </c:pt>
                <c:pt idx="5">
                  <c:v>-579.66101694915255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まっつん2!$B$3:$B$100</c:f>
              <c:numCache>
                <c:formatCode>\+0.0;\-0.0;\±0</c:formatCode>
                <c:ptCount val="9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まっつん2!$C$3:$C$100</c:f>
              <c:numCache>
                <c:formatCode>\+0.0;\-0.0;\±0</c:formatCode>
                <c:ptCount val="98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00042104197143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まっつん2!$D$3:$D$100</c:f>
              <c:numCache>
                <c:formatCode>0.00\ "位"</c:formatCode>
                <c:ptCount val="98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まっつん2!$E$3:$E$100</c:f>
              <c:numCache>
                <c:formatCode>0.0%</c:formatCode>
                <c:ptCount val="9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まっつん2!$F$3:$F$100</c:f>
              <c:numCache>
                <c:formatCode>0.0%</c:formatCode>
                <c:ptCount val="9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まっつん2!$G$3:$G$100</c:f>
              <c:numCache>
                <c:formatCode>0.0%</c:formatCode>
                <c:ptCount val="98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5548961424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まっつん2!$H$3:$H$100</c:f>
              <c:numCache>
                <c:formatCode>0.0%</c:formatCode>
                <c:ptCount val="98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798219584569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まっつん2!$I$3:$I$100</c:f>
              <c:numCache>
                <c:formatCode>0</c:formatCode>
                <c:ptCount val="98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70.6237424547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まっつん2!$J$3:$J$100</c:f>
              <c:numCache>
                <c:formatCode>0</c:formatCode>
                <c:ptCount val="98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15.8212560386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まっつん2!$K$3:$K$100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8801313628899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まっつん2!$L$3:$L$100</c:f>
              <c:numCache>
                <c:formatCode>0.0%</c:formatCode>
                <c:ptCount val="9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6.8965517241379309E-2</c:v>
                </c:pt>
                <c:pt idx="88">
                  <c:v>6.8181818181818177E-2</c:v>
                </c:pt>
                <c:pt idx="89">
                  <c:v>6.741573033707865E-2</c:v>
                </c:pt>
                <c:pt idx="90">
                  <c:v>7.7777777777777779E-2</c:v>
                </c:pt>
                <c:pt idx="91">
                  <c:v>7.6923076923076927E-2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9.4736842105263161E-2</c:v>
                </c:pt>
                <c:pt idx="96">
                  <c:v>9.375E-2</c:v>
                </c:pt>
                <c:pt idx="97">
                  <c:v>9.2783505154639179E-2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8801313628899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まっつん2!$M$3:$M$100</c:f>
              <c:numCache>
                <c:formatCode>0.0%</c:formatCode>
                <c:ptCount val="98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808110781404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まっつん2!$N$3:$N$100</c:f>
              <c:numCache>
                <c:formatCode>0.0%</c:formatCode>
                <c:ptCount val="98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46488625123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まっつん2!$O$3:$O$100</c:f>
              <c:numCache>
                <c:formatCode>0.0%</c:formatCode>
                <c:ptCount val="98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50818394388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まっつん2!$P$3:$P$100</c:f>
              <c:numCache>
                <c:formatCode>0.0%</c:formatCode>
                <c:ptCount val="98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017167381974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まっつん2!$A$3:$A$100</c:f>
              <c:numCache>
                <c:formatCode>0\ "回"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まっつん2!$Q$3:$Q$100</c:f>
              <c:numCache>
                <c:formatCode>0.0%</c:formatCode>
                <c:ptCount val="98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302481556002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9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241</v>
      </c>
      <c r="B50" s="29">
        <v>43773.722453703704</v>
      </c>
      <c r="C50" s="28" t="s">
        <v>128</v>
      </c>
    </row>
    <row r="51" spans="1:9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9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244</v>
      </c>
      <c r="B53" s="29">
        <v>43781.637499999997</v>
      </c>
      <c r="C53" s="28" t="s">
        <v>128</v>
      </c>
    </row>
    <row r="54" spans="1:9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9" x14ac:dyDescent="0.4">
      <c r="A56" s="28" t="s">
        <v>247</v>
      </c>
      <c r="B56" s="29">
        <v>43783.744745370372</v>
      </c>
      <c r="C56" s="28" t="s">
        <v>128</v>
      </c>
    </row>
    <row r="57" spans="1:9" x14ac:dyDescent="0.4">
      <c r="A57" s="28" t="s">
        <v>248</v>
      </c>
      <c r="B57" s="29">
        <v>43784.974247685182</v>
      </c>
      <c r="C57" s="28" t="s">
        <v>128</v>
      </c>
    </row>
    <row r="58" spans="1:9" x14ac:dyDescent="0.4">
      <c r="A58" s="28" t="s">
        <v>249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250</v>
      </c>
      <c r="B59" s="29">
        <v>43786.909467592595</v>
      </c>
      <c r="C59" s="28" t="s">
        <v>128</v>
      </c>
      <c r="D59" s="28" t="s">
        <v>129</v>
      </c>
      <c r="E59" s="28" t="s">
        <v>184</v>
      </c>
      <c r="F59" s="28" t="s">
        <v>185</v>
      </c>
      <c r="G59" s="28" t="s">
        <v>186</v>
      </c>
      <c r="H59" s="28" t="s">
        <v>187</v>
      </c>
      <c r="I59" s="28" t="s">
        <v>190</v>
      </c>
    </row>
    <row r="60" spans="1:9" x14ac:dyDescent="0.4">
      <c r="A60" s="28" t="s">
        <v>251</v>
      </c>
      <c r="B60" s="29">
        <v>43787.745706018519</v>
      </c>
      <c r="C60" s="28" t="s">
        <v>128</v>
      </c>
    </row>
    <row r="61" spans="1:9" x14ac:dyDescent="0.4">
      <c r="A61" s="28" t="s">
        <v>252</v>
      </c>
      <c r="B61" s="29">
        <v>43788.708009259259</v>
      </c>
      <c r="C61" s="28" t="s">
        <v>128</v>
      </c>
      <c r="D61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609</v>
      </c>
    </row>
    <row r="2" spans="1:2" x14ac:dyDescent="0.4">
      <c r="A2" t="s">
        <v>166</v>
      </c>
      <c r="B2">
        <v>56</v>
      </c>
    </row>
    <row r="3" spans="1:2" x14ac:dyDescent="0.4">
      <c r="A3" t="s">
        <v>126</v>
      </c>
      <c r="B3">
        <v>124</v>
      </c>
    </row>
    <row r="4" spans="1:2" x14ac:dyDescent="0.4">
      <c r="A4" t="s">
        <v>127</v>
      </c>
      <c r="B4">
        <v>112</v>
      </c>
    </row>
    <row r="5" spans="1:2" x14ac:dyDescent="0.4">
      <c r="A5" t="s">
        <v>179</v>
      </c>
      <c r="B5">
        <v>70</v>
      </c>
    </row>
    <row r="6" spans="1:2" x14ac:dyDescent="0.4">
      <c r="A6" t="s">
        <v>177</v>
      </c>
      <c r="B6">
        <v>76</v>
      </c>
    </row>
    <row r="7" spans="1:2" x14ac:dyDescent="0.4">
      <c r="A7" t="s">
        <v>178</v>
      </c>
      <c r="B7">
        <v>97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0.99306280815321379</v>
      </c>
      <c r="G2" s="161"/>
      <c r="H2" s="160">
        <v>0.89067941521928196</v>
      </c>
      <c r="I2" s="161"/>
      <c r="J2" s="160">
        <v>0.92312060998970835</v>
      </c>
      <c r="K2" s="161"/>
      <c r="L2" s="160">
        <v>0.83925139025907836</v>
      </c>
      <c r="M2" s="161"/>
      <c r="N2" s="160">
        <v>0.5402273130224492</v>
      </c>
      <c r="O2" s="161"/>
      <c r="P2" s="160">
        <v>0.54254852295875777</v>
      </c>
      <c r="Q2" s="161"/>
      <c r="R2" s="160">
        <v>0.1252746827885938</v>
      </c>
      <c r="S2" s="161"/>
      <c r="T2" s="160">
        <v>0.59296591089731288</v>
      </c>
      <c r="U2" s="161"/>
      <c r="V2" s="160">
        <v>0.82878522324646864</v>
      </c>
      <c r="W2" s="161"/>
      <c r="X2" s="160">
        <v>0.5718021361662281</v>
      </c>
      <c r="Y2" s="161"/>
      <c r="Z2" s="160">
        <v>-2.7255360218496383E-2</v>
      </c>
      <c r="AA2" s="161"/>
      <c r="AB2" s="160">
        <v>0.49908298014245805</v>
      </c>
      <c r="AC2" s="161"/>
      <c r="AD2" s="160">
        <v>0.25437759406576754</v>
      </c>
      <c r="AE2" s="161"/>
      <c r="AF2" s="160">
        <v>-8.1183206242806019E-2</v>
      </c>
      <c r="AG2" s="161"/>
      <c r="AH2" s="160">
        <v>0.76623293341964438</v>
      </c>
      <c r="AI2" s="161"/>
    </row>
    <row r="3" spans="1:35" x14ac:dyDescent="0.4">
      <c r="A3" s="70">
        <v>1</v>
      </c>
      <c r="B3" s="71" t="s">
        <v>126</v>
      </c>
      <c r="C3" s="72">
        <v>1103.7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10798.275862068966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0.315359477124183</v>
      </c>
      <c r="Z3" s="73" t="s">
        <v>195</v>
      </c>
      <c r="AA3" s="76">
        <v>0.35483870967741937</v>
      </c>
      <c r="AB3" s="73" t="s">
        <v>126</v>
      </c>
      <c r="AC3" s="76">
        <v>0.60073260073260071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325.7000000000001</v>
      </c>
      <c r="D4" s="81" t="s">
        <v>126</v>
      </c>
      <c r="E4" s="93">
        <v>8.9008064516129028</v>
      </c>
      <c r="F4" s="81" t="s">
        <v>126</v>
      </c>
      <c r="G4" s="82">
        <v>1.782258064516129</v>
      </c>
      <c r="H4" s="81" t="s">
        <v>126</v>
      </c>
      <c r="I4" s="83">
        <v>0.45967741935483869</v>
      </c>
      <c r="J4" s="81" t="s">
        <v>126</v>
      </c>
      <c r="K4" s="83">
        <v>0.24193548387096775</v>
      </c>
      <c r="L4" s="81" t="s">
        <v>126</v>
      </c>
      <c r="M4" s="84">
        <v>0.34260178748758691</v>
      </c>
      <c r="N4" s="81" t="s">
        <v>126</v>
      </c>
      <c r="O4" s="84">
        <v>0.13008937437934459</v>
      </c>
      <c r="P4" s="81" t="s">
        <v>127</v>
      </c>
      <c r="Q4" s="85">
        <v>8546.3157894736851</v>
      </c>
      <c r="R4" s="81" t="s">
        <v>166</v>
      </c>
      <c r="S4" s="85">
        <v>-7600</v>
      </c>
      <c r="T4" s="81" t="s">
        <v>166</v>
      </c>
      <c r="U4" s="83">
        <v>3.5714285714285712E-2</v>
      </c>
      <c r="V4" s="81" t="s">
        <v>195</v>
      </c>
      <c r="W4" s="83">
        <v>0.14285714285714285</v>
      </c>
      <c r="X4" s="81" t="s">
        <v>179</v>
      </c>
      <c r="Y4" s="84">
        <v>0.28499156829679595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0.4759825327510917</v>
      </c>
      <c r="AF4" s="81" t="s">
        <v>177</v>
      </c>
      <c r="AG4" s="84">
        <v>0.48275862068965519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85.299999999999784</v>
      </c>
      <c r="D5" s="81" t="s">
        <v>177</v>
      </c>
      <c r="E5" s="93">
        <v>4.2855263157894754</v>
      </c>
      <c r="F5" s="81" t="s">
        <v>177</v>
      </c>
      <c r="G5" s="82">
        <v>1.9210526315789473</v>
      </c>
      <c r="H5" s="81" t="s">
        <v>195</v>
      </c>
      <c r="I5" s="83">
        <v>0.42857142857142855</v>
      </c>
      <c r="J5" s="81" t="s">
        <v>178</v>
      </c>
      <c r="K5" s="83">
        <v>0.26804123711340205</v>
      </c>
      <c r="L5" s="81" t="s">
        <v>127</v>
      </c>
      <c r="M5" s="84">
        <v>0.30513918629550324</v>
      </c>
      <c r="N5" s="81" t="s">
        <v>178</v>
      </c>
      <c r="O5" s="84">
        <v>0.13618677042801555</v>
      </c>
      <c r="P5" s="81" t="s">
        <v>143</v>
      </c>
      <c r="Q5" s="85">
        <v>8470.6237424547289</v>
      </c>
      <c r="R5" s="81" t="s">
        <v>179</v>
      </c>
      <c r="S5" s="85">
        <v>-7667.226890756303</v>
      </c>
      <c r="T5" s="81" t="s">
        <v>126</v>
      </c>
      <c r="U5" s="83">
        <v>4.0322580645161289E-2</v>
      </c>
      <c r="V5" s="81" t="s">
        <v>181</v>
      </c>
      <c r="W5" s="83">
        <v>0.125</v>
      </c>
      <c r="X5" s="81" t="s">
        <v>126</v>
      </c>
      <c r="Y5" s="84">
        <v>0.27110228401191661</v>
      </c>
      <c r="Z5" s="81" t="s">
        <v>127</v>
      </c>
      <c r="AA5" s="84">
        <v>0.30942184154175589</v>
      </c>
      <c r="AB5" s="81" t="s">
        <v>178</v>
      </c>
      <c r="AC5" s="84">
        <v>0.57971014492753625</v>
      </c>
      <c r="AD5" s="81" t="s">
        <v>177</v>
      </c>
      <c r="AE5" s="84">
        <v>0.42201834862385323</v>
      </c>
      <c r="AF5" s="81" t="s">
        <v>182</v>
      </c>
      <c r="AG5" s="84">
        <v>0.48192771084337349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0.76160714285714093</v>
      </c>
      <c r="F6" s="81" t="s">
        <v>127</v>
      </c>
      <c r="G6" s="82">
        <v>1.9553571428571428</v>
      </c>
      <c r="H6" s="81" t="s">
        <v>177</v>
      </c>
      <c r="I6" s="83">
        <v>0.39473684210526316</v>
      </c>
      <c r="J6" s="81" t="s">
        <v>127</v>
      </c>
      <c r="K6" s="83">
        <v>0.30357142857142855</v>
      </c>
      <c r="L6" s="81" t="s">
        <v>143</v>
      </c>
      <c r="M6" s="84">
        <v>0.29495548961424334</v>
      </c>
      <c r="N6" s="81" t="s">
        <v>166</v>
      </c>
      <c r="O6" s="84">
        <v>0.15060240963855423</v>
      </c>
      <c r="P6" s="81" t="s">
        <v>181</v>
      </c>
      <c r="Q6" s="85">
        <v>8456.4516129032254</v>
      </c>
      <c r="R6" s="81" t="s">
        <v>126</v>
      </c>
      <c r="S6" s="85">
        <v>-7885.4961832061072</v>
      </c>
      <c r="T6" s="81" t="s">
        <v>178</v>
      </c>
      <c r="U6" s="83">
        <v>8.247422680412371E-2</v>
      </c>
      <c r="V6" s="81" t="s">
        <v>126</v>
      </c>
      <c r="W6" s="83">
        <v>0.12096774193548387</v>
      </c>
      <c r="X6" s="81" t="s">
        <v>178</v>
      </c>
      <c r="Y6" s="84">
        <v>0.26848249027237353</v>
      </c>
      <c r="Z6" s="81" t="s">
        <v>166</v>
      </c>
      <c r="AA6" s="84">
        <v>0.24096385542168675</v>
      </c>
      <c r="AB6" s="81" t="s">
        <v>179</v>
      </c>
      <c r="AC6" s="84">
        <v>0.57396449704142016</v>
      </c>
      <c r="AD6" s="81" t="s">
        <v>182</v>
      </c>
      <c r="AE6" s="84">
        <v>0.41891891891891891</v>
      </c>
      <c r="AF6" s="81" t="s">
        <v>179</v>
      </c>
      <c r="AG6" s="84">
        <v>0.45783132530120479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178</v>
      </c>
      <c r="C7" s="80">
        <v>13.999999999999993</v>
      </c>
      <c r="D7" s="81" t="s">
        <v>178</v>
      </c>
      <c r="E7" s="93">
        <v>0.14432989690721643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177</v>
      </c>
      <c r="K7" s="83">
        <v>0.31578947368421051</v>
      </c>
      <c r="L7" s="81" t="s">
        <v>178</v>
      </c>
      <c r="M7" s="84">
        <v>0.28793774319066145</v>
      </c>
      <c r="N7" s="81" t="s">
        <v>143</v>
      </c>
      <c r="O7" s="84">
        <v>0.16379821958456972</v>
      </c>
      <c r="P7" s="81" t="s">
        <v>178</v>
      </c>
      <c r="Q7" s="85">
        <v>8403.6036036036039</v>
      </c>
      <c r="R7" s="81" t="s">
        <v>178</v>
      </c>
      <c r="S7" s="85">
        <v>-7902.8571428571431</v>
      </c>
      <c r="T7" s="81" t="s">
        <v>181</v>
      </c>
      <c r="U7" s="83">
        <v>8.3333333333333329E-2</v>
      </c>
      <c r="V7" s="81" t="s">
        <v>127</v>
      </c>
      <c r="W7" s="83">
        <v>0.10714285714285714</v>
      </c>
      <c r="X7" s="81" t="s">
        <v>222</v>
      </c>
      <c r="Y7" s="84">
        <v>0.26666666666666666</v>
      </c>
      <c r="Z7" s="81" t="s">
        <v>143</v>
      </c>
      <c r="AA7" s="84">
        <v>0.2304648862512364</v>
      </c>
      <c r="AB7" s="81" t="s">
        <v>143</v>
      </c>
      <c r="AC7" s="84">
        <v>0.55650818394388157</v>
      </c>
      <c r="AD7" s="81" t="s">
        <v>179</v>
      </c>
      <c r="AE7" s="84">
        <v>0.41228070175438597</v>
      </c>
      <c r="AF7" s="81" t="s">
        <v>178</v>
      </c>
      <c r="AG7" s="84">
        <v>0.45495495495495497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181</v>
      </c>
      <c r="C8" s="80">
        <v>2.1999999999999957</v>
      </c>
      <c r="D8" s="81" t="s">
        <v>181</v>
      </c>
      <c r="E8" s="93">
        <v>9.1666666666666494E-2</v>
      </c>
      <c r="F8" s="81" t="s">
        <v>143</v>
      </c>
      <c r="G8" s="82">
        <v>2</v>
      </c>
      <c r="H8" s="81" t="s">
        <v>127</v>
      </c>
      <c r="I8" s="83">
        <v>0.3482142857142857</v>
      </c>
      <c r="J8" s="81" t="s">
        <v>143</v>
      </c>
      <c r="K8" s="83">
        <v>0.33333333333333331</v>
      </c>
      <c r="L8" s="81" t="s">
        <v>177</v>
      </c>
      <c r="M8" s="84">
        <v>0.28431372549019607</v>
      </c>
      <c r="N8" s="81" t="s">
        <v>181</v>
      </c>
      <c r="O8" s="84">
        <v>0.16593886462882096</v>
      </c>
      <c r="P8" s="81" t="s">
        <v>126</v>
      </c>
      <c r="Q8" s="85">
        <v>8276.5217391304341</v>
      </c>
      <c r="R8" s="81" t="s">
        <v>143</v>
      </c>
      <c r="S8" s="85">
        <v>-7915.8212560386473</v>
      </c>
      <c r="T8" s="81" t="s">
        <v>179</v>
      </c>
      <c r="U8" s="83">
        <v>8.5714285714285715E-2</v>
      </c>
      <c r="V8" s="81" t="s">
        <v>143</v>
      </c>
      <c r="W8" s="83">
        <v>9.688013136288999E-2</v>
      </c>
      <c r="X8" s="81" t="s">
        <v>181</v>
      </c>
      <c r="Y8" s="84">
        <v>0.26637554585152839</v>
      </c>
      <c r="Z8" s="81" t="s">
        <v>126</v>
      </c>
      <c r="AA8" s="84">
        <v>0.22740814299900694</v>
      </c>
      <c r="AB8" s="81" t="s">
        <v>177</v>
      </c>
      <c r="AC8" s="84">
        <v>0.54922279792746109</v>
      </c>
      <c r="AD8" s="81" t="s">
        <v>143</v>
      </c>
      <c r="AE8" s="84">
        <v>0.41201716738197425</v>
      </c>
      <c r="AF8" s="81" t="s">
        <v>143</v>
      </c>
      <c r="AG8" s="84">
        <v>0.43930248155600266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143</v>
      </c>
      <c r="C9" s="80">
        <v>-4.2632564145606011E-14</v>
      </c>
      <c r="D9" s="81" t="s">
        <v>143</v>
      </c>
      <c r="E9" s="93">
        <v>-7.0004210419714305E-17</v>
      </c>
      <c r="F9" s="81" t="s">
        <v>178</v>
      </c>
      <c r="G9" s="82">
        <v>2.0206185567010309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0.2799325463743676</v>
      </c>
      <c r="N9" s="81" t="s">
        <v>177</v>
      </c>
      <c r="O9" s="84">
        <v>0.16993464052287582</v>
      </c>
      <c r="P9" s="81" t="s">
        <v>179</v>
      </c>
      <c r="Q9" s="85">
        <v>8094.5783132530123</v>
      </c>
      <c r="R9" s="81" t="s">
        <v>222</v>
      </c>
      <c r="S9" s="85">
        <v>-8000</v>
      </c>
      <c r="T9" s="81" t="s">
        <v>143</v>
      </c>
      <c r="U9" s="83">
        <v>9.688013136288999E-2</v>
      </c>
      <c r="V9" s="81" t="s">
        <v>178</v>
      </c>
      <c r="W9" s="83">
        <v>9.2783505154639179E-2</v>
      </c>
      <c r="X9" s="81" t="s">
        <v>143</v>
      </c>
      <c r="Y9" s="84">
        <v>0.25380811078140453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178</v>
      </c>
      <c r="AE9" s="84">
        <v>0.4107142857142857</v>
      </c>
      <c r="AF9" s="81" t="s">
        <v>126</v>
      </c>
      <c r="AG9" s="84">
        <v>0.41739130434782606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179</v>
      </c>
      <c r="E10" s="93">
        <v>-6.5428571428571427</v>
      </c>
      <c r="F10" s="81" t="s">
        <v>166</v>
      </c>
      <c r="G10" s="82">
        <v>2.1428571428571428</v>
      </c>
      <c r="H10" s="81" t="s">
        <v>166</v>
      </c>
      <c r="I10" s="83">
        <v>0.32142857142857145</v>
      </c>
      <c r="J10" s="81" t="s">
        <v>179</v>
      </c>
      <c r="K10" s="83">
        <v>0.38571428571428573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127</v>
      </c>
      <c r="S10" s="85">
        <v>-8112.2222222222226</v>
      </c>
      <c r="T10" s="81" t="s">
        <v>177</v>
      </c>
      <c r="U10" s="83">
        <v>0.10526315789473684</v>
      </c>
      <c r="V10" s="81" t="s">
        <v>166</v>
      </c>
      <c r="W10" s="83">
        <v>3.5714285714285712E-2</v>
      </c>
      <c r="X10" s="81" t="s">
        <v>195</v>
      </c>
      <c r="Y10" s="84">
        <v>0.24193548387096775</v>
      </c>
      <c r="Z10" s="81" t="s">
        <v>178</v>
      </c>
      <c r="AA10" s="84">
        <v>0.21789883268482491</v>
      </c>
      <c r="AB10" s="81" t="s">
        <v>182</v>
      </c>
      <c r="AC10" s="84">
        <v>0.52173913043478259</v>
      </c>
      <c r="AD10" s="81" t="s">
        <v>166</v>
      </c>
      <c r="AE10" s="84">
        <v>0.39166666666666666</v>
      </c>
      <c r="AF10" s="81" t="s">
        <v>127</v>
      </c>
      <c r="AG10" s="84">
        <v>0.40701754385964911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-369.50000000000011</v>
      </c>
      <c r="D11" s="81" t="s">
        <v>166</v>
      </c>
      <c r="E11" s="93">
        <v>-6.5982142857142874</v>
      </c>
      <c r="F11" s="81" t="s">
        <v>195</v>
      </c>
      <c r="G11" s="82">
        <v>2.1428571428571428</v>
      </c>
      <c r="H11" s="81" t="s">
        <v>178</v>
      </c>
      <c r="I11" s="83">
        <v>0.24742268041237114</v>
      </c>
      <c r="J11" s="81" t="s">
        <v>166</v>
      </c>
      <c r="K11" s="83">
        <v>0.4642857142857143</v>
      </c>
      <c r="L11" s="81" t="s">
        <v>166</v>
      </c>
      <c r="M11" s="84">
        <v>0.26506024096385544</v>
      </c>
      <c r="N11" s="81" t="s">
        <v>127</v>
      </c>
      <c r="O11" s="84">
        <v>0.19271948608137046</v>
      </c>
      <c r="P11" s="81" t="s">
        <v>195</v>
      </c>
      <c r="Q11" s="85">
        <v>7473.333333333333</v>
      </c>
      <c r="R11" s="81" t="s">
        <v>177</v>
      </c>
      <c r="S11" s="85">
        <v>-8158.6538461538457</v>
      </c>
      <c r="T11" s="81" t="s">
        <v>127</v>
      </c>
      <c r="U11" s="83">
        <v>0.13392857142857142</v>
      </c>
      <c r="V11" s="81" t="s">
        <v>179</v>
      </c>
      <c r="W11" s="83">
        <v>2.8571428571428571E-2</v>
      </c>
      <c r="X11" s="81" t="s">
        <v>127</v>
      </c>
      <c r="Y11" s="84">
        <v>0.23019271948608136</v>
      </c>
      <c r="Z11" s="81" t="s">
        <v>179</v>
      </c>
      <c r="AA11" s="84">
        <v>0.19224283305227655</v>
      </c>
      <c r="AB11" s="81" t="s">
        <v>127</v>
      </c>
      <c r="AC11" s="84">
        <v>0.50232558139534889</v>
      </c>
      <c r="AD11" s="81" t="s">
        <v>127</v>
      </c>
      <c r="AE11" s="84">
        <v>0.37370242214532873</v>
      </c>
      <c r="AF11" s="81" t="s">
        <v>166</v>
      </c>
      <c r="AG11" s="84">
        <v>0.39393939393939392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-458</v>
      </c>
      <c r="D12" s="81" t="s">
        <v>195</v>
      </c>
      <c r="E12" s="93">
        <v>-14.971428571428573</v>
      </c>
      <c r="F12" s="81" t="s">
        <v>179</v>
      </c>
      <c r="G12" s="82">
        <v>2.157142857142857</v>
      </c>
      <c r="H12" s="81" t="s">
        <v>179</v>
      </c>
      <c r="I12" s="83">
        <v>0.22857142857142856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0.1781045751633987</v>
      </c>
      <c r="AB12" s="81" t="s">
        <v>222</v>
      </c>
      <c r="AC12" s="84">
        <v>0.5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0.20067453625632378</v>
      </c>
      <c r="P13" s="81" t="s">
        <v>166</v>
      </c>
      <c r="Q13" s="85">
        <v>6975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0.15461847389558234</v>
      </c>
      <c r="Z13" s="81" t="s">
        <v>181</v>
      </c>
      <c r="AA13" s="84">
        <v>0.15283842794759825</v>
      </c>
      <c r="AB13" s="81" t="s">
        <v>166</v>
      </c>
      <c r="AC13" s="84">
        <v>0.48051948051948051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61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609</v>
      </c>
      <c r="C2" s="149"/>
      <c r="E2" s="58" t="s">
        <v>66</v>
      </c>
      <c r="F2" s="55" t="s">
        <v>22</v>
      </c>
      <c r="G2" s="43">
        <v>1153</v>
      </c>
      <c r="H2" s="128">
        <f>IF(B$17=0,0,G2/B$17)</f>
        <v>0.77330650570087189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-23.102310231023104</v>
      </c>
      <c r="P2" s="114">
        <v>606</v>
      </c>
      <c r="Q2" s="98">
        <v>-14000</v>
      </c>
    </row>
    <row r="3" spans="1:17" x14ac:dyDescent="0.4">
      <c r="A3" s="51" t="s">
        <v>8</v>
      </c>
      <c r="B3" s="150">
        <v>5055</v>
      </c>
      <c r="C3" s="151"/>
      <c r="E3" s="59" t="s">
        <v>72</v>
      </c>
      <c r="F3" s="56" t="s">
        <v>27</v>
      </c>
      <c r="G3" s="44">
        <v>795</v>
      </c>
      <c r="H3" s="129">
        <f>IF(B$17=0,0,G3/B$17)</f>
        <v>0.53319919517102621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10.152284263959391</v>
      </c>
      <c r="P3" s="115">
        <v>591</v>
      </c>
      <c r="Q3" s="99">
        <v>6000</v>
      </c>
    </row>
    <row r="4" spans="1:17" x14ac:dyDescent="0.4">
      <c r="A4" s="51" t="s">
        <v>6</v>
      </c>
      <c r="B4" s="152">
        <v>-4.2632564145606011E-14</v>
      </c>
      <c r="C4" s="153"/>
      <c r="E4" s="59" t="s">
        <v>64</v>
      </c>
      <c r="F4" s="56" t="s">
        <v>20</v>
      </c>
      <c r="G4" s="44">
        <v>683</v>
      </c>
      <c r="H4" s="129">
        <f>IF(B$17=0,0,G4/B$17)</f>
        <v>0.4580818242790074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-16.042780748663102</v>
      </c>
      <c r="P4" s="115">
        <v>561</v>
      </c>
      <c r="Q4" s="99">
        <v>-9000</v>
      </c>
    </row>
    <row r="5" spans="1:17" x14ac:dyDescent="0.4">
      <c r="A5" s="51" t="s">
        <v>7</v>
      </c>
      <c r="B5" s="154">
        <f>IF(B$2=0,0,B$4/B$2)</f>
        <v>-7.0004210419714305E-17</v>
      </c>
      <c r="C5" s="155"/>
      <c r="E5" s="59" t="s">
        <v>171</v>
      </c>
      <c r="F5" s="56" t="s">
        <v>172</v>
      </c>
      <c r="G5" s="44">
        <v>599</v>
      </c>
      <c r="H5" s="129">
        <f>IF(B$17=0,0,G5/B$17)</f>
        <v>0.40174379610999328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11.363636363636363</v>
      </c>
      <c r="P5" s="115">
        <v>528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463</v>
      </c>
      <c r="H6" s="129">
        <f>IF(B$17=0,0,G6/B$17)</f>
        <v>0.31052984574111336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10.2880658436214</v>
      </c>
      <c r="P6" s="115">
        <v>486</v>
      </c>
      <c r="Q6" s="99">
        <v>5000</v>
      </c>
    </row>
    <row r="7" spans="1:17" x14ac:dyDescent="0.4">
      <c r="A7" s="51" t="s">
        <v>2</v>
      </c>
      <c r="B7" s="44">
        <v>203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423</v>
      </c>
      <c r="H7" s="129">
        <f>IF(B$17=0,0,G7/B$17)</f>
        <v>0.28370221327967809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15.267175572519085</v>
      </c>
      <c r="P7" s="116">
        <v>393</v>
      </c>
      <c r="Q7" s="100">
        <v>6000</v>
      </c>
    </row>
    <row r="8" spans="1:17" x14ac:dyDescent="0.4">
      <c r="A8" s="51" t="s">
        <v>3</v>
      </c>
      <c r="B8" s="44">
        <v>203</v>
      </c>
      <c r="C8" s="37">
        <f t="shared" si="1"/>
        <v>0.33333333333333331</v>
      </c>
      <c r="E8" s="59" t="s">
        <v>69</v>
      </c>
      <c r="F8" s="56" t="s">
        <v>24</v>
      </c>
      <c r="G8" s="44">
        <v>222</v>
      </c>
      <c r="H8" s="129">
        <f>IF(B$17=0,0,G8/B$17)</f>
        <v>0.1488933601609658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203</v>
      </c>
      <c r="C9" s="38">
        <f t="shared" si="1"/>
        <v>0.33333333333333331</v>
      </c>
      <c r="E9" s="59" t="s">
        <v>89</v>
      </c>
      <c r="F9" s="56" t="s">
        <v>44</v>
      </c>
      <c r="G9" s="44">
        <v>200</v>
      </c>
      <c r="H9" s="129">
        <f>IF(B$17=0,0,G9/B$17)</f>
        <v>0.1341381623071764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59</v>
      </c>
      <c r="C10" s="38">
        <f t="shared" si="1"/>
        <v>9.688013136288999E-2</v>
      </c>
      <c r="E10" s="59" t="s">
        <v>65</v>
      </c>
      <c r="F10" s="56" t="s">
        <v>21</v>
      </c>
      <c r="G10" s="44">
        <v>159</v>
      </c>
      <c r="H10" s="129">
        <f>IF(B$17=0,0,G10/B$17)</f>
        <v>0.10663983903420524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-1.9926108374384242</v>
      </c>
      <c r="P10" s="114">
        <v>203</v>
      </c>
      <c r="Q10" s="102">
        <v>-404.50000000000011</v>
      </c>
    </row>
    <row r="11" spans="1:17" x14ac:dyDescent="0.4">
      <c r="A11" s="52" t="s">
        <v>138</v>
      </c>
      <c r="B11" s="45">
        <v>59</v>
      </c>
      <c r="C11" s="38">
        <f t="shared" si="1"/>
        <v>9.688013136288999E-2</v>
      </c>
      <c r="E11" s="59" t="s">
        <v>70</v>
      </c>
      <c r="F11" s="56" t="s">
        <v>25</v>
      </c>
      <c r="G11" s="44">
        <v>144</v>
      </c>
      <c r="H11" s="129">
        <f>IF(B$17=0,0,G11/B$17)</f>
        <v>9.6579476861166996E-2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1.9581280788177338</v>
      </c>
      <c r="P11" s="115">
        <v>203</v>
      </c>
      <c r="Q11" s="103">
        <v>397.49999999999994</v>
      </c>
    </row>
    <row r="12" spans="1:17" x14ac:dyDescent="0.4">
      <c r="A12" s="53" t="s">
        <v>158</v>
      </c>
      <c r="B12" s="46">
        <v>61</v>
      </c>
      <c r="C12" s="40">
        <f t="shared" si="1"/>
        <v>0.10016420361247948</v>
      </c>
      <c r="E12" s="59" t="s">
        <v>71</v>
      </c>
      <c r="F12" s="56" t="s">
        <v>26</v>
      </c>
      <c r="G12" s="44">
        <v>117</v>
      </c>
      <c r="H12" s="129">
        <f>IF(B$17=0,0,G12/B$17)</f>
        <v>7.847082494969819E-2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3.4482758620689009E-2</v>
      </c>
      <c r="P12" s="116">
        <v>203</v>
      </c>
      <c r="Q12" s="104">
        <v>6.9999999999998685</v>
      </c>
    </row>
    <row r="13" spans="1:17" x14ac:dyDescent="0.4">
      <c r="A13" s="54" t="s">
        <v>121</v>
      </c>
      <c r="B13" s="47">
        <v>1283</v>
      </c>
      <c r="C13" s="42">
        <f>IF(B$3=0,0,B13/B$3)</f>
        <v>0.25380811078140453</v>
      </c>
      <c r="E13" s="59" t="s">
        <v>83</v>
      </c>
      <c r="F13" s="56" t="s">
        <v>38</v>
      </c>
      <c r="G13" s="44">
        <v>82</v>
      </c>
      <c r="H13" s="129">
        <f>IF(B$17=0,0,G13/B$17)</f>
        <v>5.4996646545942322E-2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1165</v>
      </c>
      <c r="C14" s="37">
        <f>IF(B$3=0,0,B14/B$3)</f>
        <v>0.2304648862512364</v>
      </c>
      <c r="E14" s="59" t="s">
        <v>86</v>
      </c>
      <c r="F14" s="56" t="s">
        <v>41</v>
      </c>
      <c r="G14" s="44">
        <v>73</v>
      </c>
      <c r="H14" s="129">
        <f>IF(B$17=0,0,G14/B$17)</f>
        <v>4.896042924211938E-2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714</v>
      </c>
      <c r="C15" s="35">
        <f>IF(B$13=0,0,B15/B$13)</f>
        <v>0.55650818394388157</v>
      </c>
      <c r="E15" s="59" t="s">
        <v>167</v>
      </c>
      <c r="F15" s="56" t="s">
        <v>168</v>
      </c>
      <c r="G15" s="44">
        <v>39</v>
      </c>
      <c r="H15" s="129">
        <f>IF(B$17=0,0,G15/B$17)</f>
        <v>2.6156941649899398E-2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480</v>
      </c>
      <c r="C16" s="35">
        <f>IF(B$14=0,0,B16/B$14)</f>
        <v>0.41201716738197425</v>
      </c>
      <c r="E16" s="59" t="s">
        <v>78</v>
      </c>
      <c r="F16" s="56" t="s">
        <v>33</v>
      </c>
      <c r="G16" s="44">
        <v>37</v>
      </c>
      <c r="H16" s="129">
        <f>IF(B$17=0,0,G16/B$17)</f>
        <v>2.4815560026827631E-2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1491</v>
      </c>
      <c r="C17" s="35">
        <f>IF(B$3=0,0,B17/B$3)</f>
        <v>0.29495548961424334</v>
      </c>
      <c r="E17" s="59" t="s">
        <v>81</v>
      </c>
      <c r="F17" s="56" t="s">
        <v>36</v>
      </c>
      <c r="G17" s="44">
        <v>26</v>
      </c>
      <c r="H17" s="129">
        <f>IF(B$17=0,0,G17/B$17)</f>
        <v>1.7437961099932932E-2</v>
      </c>
      <c r="I17" s="90">
        <v>6</v>
      </c>
      <c r="K17" s="36">
        <v>15</v>
      </c>
      <c r="L17" s="95">
        <v>0</v>
      </c>
      <c r="N17" s="111" t="s">
        <v>166</v>
      </c>
      <c r="O17" s="121">
        <f>IF(P17=0,0,Q17/P17)</f>
        <v>9.897321428571427</v>
      </c>
      <c r="P17" s="115">
        <v>112</v>
      </c>
      <c r="Q17" s="103">
        <v>1108.4999999999998</v>
      </c>
    </row>
    <row r="18" spans="1:17" x14ac:dyDescent="0.4">
      <c r="A18" s="51" t="s">
        <v>12</v>
      </c>
      <c r="B18" s="44">
        <v>655</v>
      </c>
      <c r="C18" s="37">
        <f>IF(B$17=0,0,B18/B$17)</f>
        <v>0.43930248155600266</v>
      </c>
      <c r="E18" s="59" t="s">
        <v>91</v>
      </c>
      <c r="F18" s="56" t="s">
        <v>46</v>
      </c>
      <c r="G18" s="44">
        <v>21</v>
      </c>
      <c r="H18" s="129">
        <f>IF(B$17=0,0,G18/B$17)</f>
        <v>1.4084507042253521E-2</v>
      </c>
      <c r="I18" s="90">
        <v>4</v>
      </c>
      <c r="K18" s="36">
        <v>16</v>
      </c>
      <c r="L18" s="95">
        <v>-28.2</v>
      </c>
      <c r="N18" s="111" t="s">
        <v>179</v>
      </c>
      <c r="O18" s="121">
        <f>IF(P18=0,0,Q18/P18)</f>
        <v>9.8142857142857132</v>
      </c>
      <c r="P18" s="115">
        <v>140</v>
      </c>
      <c r="Q18" s="103">
        <v>1373.9999999999998</v>
      </c>
    </row>
    <row r="19" spans="1:17" x14ac:dyDescent="0.4">
      <c r="A19" s="51" t="s">
        <v>11</v>
      </c>
      <c r="B19" s="44">
        <v>836</v>
      </c>
      <c r="C19" s="37">
        <f>IF(B$17=0,0,B19/B$17)</f>
        <v>0.56069751844399729</v>
      </c>
      <c r="E19" s="59" t="s">
        <v>79</v>
      </c>
      <c r="F19" s="56" t="s">
        <v>34</v>
      </c>
      <c r="G19" s="44">
        <v>18</v>
      </c>
      <c r="H19" s="129">
        <f>IF(B$17=0,0,G19/B$17)</f>
        <v>1.2072434607645875E-2</v>
      </c>
      <c r="I19" s="90">
        <v>4</v>
      </c>
      <c r="K19" s="36">
        <v>17</v>
      </c>
      <c r="L19" s="95">
        <v>-20.5</v>
      </c>
      <c r="N19" s="111" t="s">
        <v>181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">
      <c r="A20" s="51" t="s">
        <v>13</v>
      </c>
      <c r="B20" s="44">
        <v>828</v>
      </c>
      <c r="C20" s="37">
        <f>IF(B$3=0,0,B20/B$3)</f>
        <v>0.16379821958456972</v>
      </c>
      <c r="E20" s="59" t="s">
        <v>75</v>
      </c>
      <c r="F20" s="56" t="s">
        <v>30</v>
      </c>
      <c r="G20" s="44">
        <v>10</v>
      </c>
      <c r="H20" s="129">
        <f>IF(B$17=0,0,G20/B$17)</f>
        <v>6.7069081153588199E-3</v>
      </c>
      <c r="I20" s="90">
        <v>5</v>
      </c>
      <c r="K20" s="36">
        <v>18</v>
      </c>
      <c r="L20" s="95">
        <v>0</v>
      </c>
      <c r="N20" s="111" t="s">
        <v>178</v>
      </c>
      <c r="O20" s="121">
        <f>IF(P20=0,0,Q20/P20)</f>
        <v>-0.21649484536082583</v>
      </c>
      <c r="P20" s="115">
        <v>194</v>
      </c>
      <c r="Q20" s="103">
        <v>-42.000000000000213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9</v>
      </c>
      <c r="H21" s="129">
        <f>IF(B$17=0,0,G21/B$17)</f>
        <v>6.0362173038229373E-3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-1.1424107142857201</v>
      </c>
      <c r="P21" s="115">
        <v>224</v>
      </c>
      <c r="Q21" s="103">
        <v>-255.90000000000128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6</v>
      </c>
      <c r="H22" s="129">
        <f>IF(B$17=0,0,G22/B$17)</f>
        <v>4.0241448692152921E-3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-6.428289473684206</v>
      </c>
      <c r="P22" s="115">
        <v>152</v>
      </c>
      <c r="Q22" s="103">
        <v>-977.09999999999934</v>
      </c>
    </row>
    <row r="23" spans="1:17" x14ac:dyDescent="0.4">
      <c r="A23" s="51" t="s">
        <v>5</v>
      </c>
      <c r="B23" s="48">
        <f>IF(B$17=0,0,C23/B$17)</f>
        <v>8470.6237424547289</v>
      </c>
      <c r="C23" s="39">
        <v>12629700</v>
      </c>
      <c r="E23" s="59" t="s">
        <v>73</v>
      </c>
      <c r="F23" s="56" t="s">
        <v>28</v>
      </c>
      <c r="G23" s="44">
        <v>5</v>
      </c>
      <c r="H23" s="129">
        <f>IF(B$17=0,0,G23/B$17)</f>
        <v>3.3534540576794099E-3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-13.351209677419355</v>
      </c>
      <c r="P23" s="115">
        <v>248</v>
      </c>
      <c r="Q23" s="103">
        <v>-3311.1</v>
      </c>
    </row>
    <row r="24" spans="1:17" x14ac:dyDescent="0.4">
      <c r="A24" s="52" t="s">
        <v>216</v>
      </c>
      <c r="B24" s="136">
        <f>IF($B$17-B$16=0,0,C24/($B$17-B$16))</f>
        <v>9036.3006923837784</v>
      </c>
      <c r="C24" s="137">
        <v>9135700</v>
      </c>
      <c r="E24" s="59" t="s">
        <v>77</v>
      </c>
      <c r="F24" s="56" t="s">
        <v>32</v>
      </c>
      <c r="G24" s="44">
        <v>5</v>
      </c>
      <c r="H24" s="129">
        <f>IF(B$17=0,0,G24/B$17)</f>
        <v>3.3534540576794099E-3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7279.166666666667</v>
      </c>
      <c r="C25" s="137">
        <v>3494000</v>
      </c>
      <c r="E25" s="59" t="s">
        <v>85</v>
      </c>
      <c r="F25" s="56" t="s">
        <v>40</v>
      </c>
      <c r="G25" s="44">
        <v>5</v>
      </c>
      <c r="H25" s="129">
        <f>IF(B$17=0,0,G25/B$17)</f>
        <v>3.3534540576794099E-3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-7915.8212560386473</v>
      </c>
      <c r="C26" s="137">
        <v>-6554300</v>
      </c>
      <c r="E26" s="59" t="s">
        <v>88</v>
      </c>
      <c r="F26" s="56" t="s">
        <v>43</v>
      </c>
      <c r="G26" s="44">
        <v>5</v>
      </c>
      <c r="H26" s="129">
        <f>IF(B$17=0,0,G26/B$17)</f>
        <v>3.3534540576794099E-3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2.6827632461435278E-3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2.012072434607646E-3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2.7695351137487635E-3</v>
      </c>
      <c r="E29" s="59" t="s">
        <v>95</v>
      </c>
      <c r="F29" s="56" t="s">
        <v>50</v>
      </c>
      <c r="G29" s="44">
        <v>3</v>
      </c>
      <c r="H29" s="129">
        <f>IF(B$17=0,0,G29/B$17)</f>
        <v>2.012072434607646E-3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1.3413816230717639E-3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1.3413816230717639E-3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6.7069081153588194E-4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6.7069081153588194E-4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6.7069081153588194E-4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56</v>
      </c>
      <c r="C2" s="149"/>
      <c r="E2" s="58" t="s">
        <v>66</v>
      </c>
      <c r="F2" s="55" t="s">
        <v>22</v>
      </c>
      <c r="G2" s="43">
        <v>95</v>
      </c>
      <c r="H2" s="128">
        <f>IF(B$17=0,0,G2/B$17)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0">
        <v>498</v>
      </c>
      <c r="C3" s="151"/>
      <c r="E3" s="59" t="s">
        <v>72</v>
      </c>
      <c r="F3" s="56" t="s">
        <v>27</v>
      </c>
      <c r="G3" s="44">
        <v>72</v>
      </c>
      <c r="H3" s="129">
        <f>IF(B$17=0,0,G3/B$17)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2">
        <v>-369.50000000000011</v>
      </c>
      <c r="C4" s="153"/>
      <c r="E4" s="59" t="s">
        <v>171</v>
      </c>
      <c r="F4" s="56" t="s">
        <v>172</v>
      </c>
      <c r="G4" s="44">
        <v>51</v>
      </c>
      <c r="H4" s="129">
        <f>IF(B$17=0,0,G4/B$17)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54">
        <f>IF(B$2=0,0,B$4/B$2)</f>
        <v>-6.5982142857142874</v>
      </c>
      <c r="C5" s="155"/>
      <c r="E5" s="59" t="s">
        <v>64</v>
      </c>
      <c r="F5" s="56" t="s">
        <v>20</v>
      </c>
      <c r="G5" s="44">
        <v>36</v>
      </c>
      <c r="H5" s="129">
        <f>IF(B$17=0,0,G5/B$17)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68</v>
      </c>
      <c r="F6" s="56" t="s">
        <v>12</v>
      </c>
      <c r="G6" s="44">
        <v>34</v>
      </c>
      <c r="H6" s="129">
        <f>IF(B$17=0,0,G6/B$17)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2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IF(B$17=0,0,G7/B$17)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-1819.047619047619</v>
      </c>
      <c r="P7" s="116">
        <v>42</v>
      </c>
      <c r="Q7" s="100">
        <v>-76400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IF(B$17=0,0,G8/B$17)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IF(B$17=0,0,G9/B$17)</f>
        <v>0.13636363636363635</v>
      </c>
      <c r="I9" s="90">
        <v>3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IF(B$17=0,0,G10/B$17)</f>
        <v>9.8484848484848481E-2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2" t="s">
        <v>138</v>
      </c>
      <c r="B11" s="45">
        <v>2</v>
      </c>
      <c r="C11" s="38">
        <f t="shared" si="1"/>
        <v>3.5714285714285712E-2</v>
      </c>
      <c r="E11" s="59" t="s">
        <v>83</v>
      </c>
      <c r="F11" s="56" t="s">
        <v>38</v>
      </c>
      <c r="G11" s="44">
        <v>12</v>
      </c>
      <c r="H11" s="129">
        <f>IF(B$17=0,0,G11/B$17)</f>
        <v>9.0909090909090912E-2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3" t="s">
        <v>158</v>
      </c>
      <c r="B12" s="46">
        <v>8</v>
      </c>
      <c r="C12" s="40">
        <f t="shared" si="1"/>
        <v>0.14285714285714285</v>
      </c>
      <c r="E12" s="59" t="s">
        <v>65</v>
      </c>
      <c r="F12" s="56" t="s">
        <v>21</v>
      </c>
      <c r="G12" s="44">
        <v>9</v>
      </c>
      <c r="H12" s="129">
        <f>IF(B$17=0,0,G12/B$17)</f>
        <v>6.8181818181818177E-2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4" t="s">
        <v>121</v>
      </c>
      <c r="B13" s="47">
        <v>77</v>
      </c>
      <c r="C13" s="42">
        <f>IF(B$3=0,0,B13/B$3)</f>
        <v>0.15461847389558234</v>
      </c>
      <c r="E13" s="59" t="s">
        <v>89</v>
      </c>
      <c r="F13" s="56" t="s">
        <v>44</v>
      </c>
      <c r="G13" s="44">
        <v>9</v>
      </c>
      <c r="H13" s="129">
        <f>IF(B$17=0,0,G13/B$17)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120</v>
      </c>
      <c r="C14" s="37">
        <f>IF(B$3=0,0,B14/B$3)</f>
        <v>0.24096385542168675</v>
      </c>
      <c r="E14" s="59" t="s">
        <v>81</v>
      </c>
      <c r="F14" s="56" t="s">
        <v>36</v>
      </c>
      <c r="G14" s="44">
        <v>4</v>
      </c>
      <c r="H14" s="129">
        <f>IF(B$17=0,0,G14/B$17)</f>
        <v>3.0303030303030304E-2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37</v>
      </c>
      <c r="C15" s="35">
        <f>IF(B$13=0,0,B15/B$13)</f>
        <v>0.48051948051948051</v>
      </c>
      <c r="E15" s="59" t="s">
        <v>86</v>
      </c>
      <c r="F15" s="56" t="s">
        <v>41</v>
      </c>
      <c r="G15" s="44">
        <v>4</v>
      </c>
      <c r="H15" s="129">
        <f>IF(B$17=0,0,G15/B$17)</f>
        <v>3.0303030303030304E-2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47</v>
      </c>
      <c r="C16" s="35">
        <f>IF(B$14=0,0,B16/B$14)</f>
        <v>0.39166666666666666</v>
      </c>
      <c r="E16" s="59" t="s">
        <v>91</v>
      </c>
      <c r="F16" s="56" t="s">
        <v>46</v>
      </c>
      <c r="G16" s="44">
        <v>3</v>
      </c>
      <c r="H16" s="129">
        <f>IF(B$17=0,0,G16/B$17)</f>
        <v>2.2727272727272728E-2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>IF(P16=0,0,Q16/P16)</f>
        <v>-1.683333333333334</v>
      </c>
      <c r="P16" s="115">
        <v>18</v>
      </c>
      <c r="Q16" s="103">
        <v>-30.300000000000011</v>
      </c>
    </row>
    <row r="17" spans="1:17" x14ac:dyDescent="0.4">
      <c r="A17" s="50" t="s">
        <v>10</v>
      </c>
      <c r="B17" s="43">
        <f>B19+B18</f>
        <v>132</v>
      </c>
      <c r="C17" s="35">
        <f>IF(B$3=0,0,B17/B$3)</f>
        <v>0.26506024096385544</v>
      </c>
      <c r="E17" s="59" t="s">
        <v>88</v>
      </c>
      <c r="F17" s="56" t="s">
        <v>43</v>
      </c>
      <c r="G17" s="44">
        <v>2</v>
      </c>
      <c r="H17" s="129">
        <f>IF(B$17=0,0,G17/B$17)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12</v>
      </c>
      <c r="B18" s="44">
        <v>52</v>
      </c>
      <c r="C18" s="37">
        <f>IF(B$17=0,0,B18/B$17)</f>
        <v>0.39393939393939392</v>
      </c>
      <c r="E18" s="59" t="s">
        <v>74</v>
      </c>
      <c r="F18" s="56" t="s">
        <v>29</v>
      </c>
      <c r="G18" s="44">
        <v>1</v>
      </c>
      <c r="H18" s="129">
        <f>IF(B$17=0,0,G18/B$17)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11</v>
      </c>
      <c r="B19" s="44">
        <v>80</v>
      </c>
      <c r="C19" s="37">
        <f>IF(B$17=0,0,B19/B$17)</f>
        <v>0.60606060606060608</v>
      </c>
      <c r="E19" s="59" t="s">
        <v>75</v>
      </c>
      <c r="F19" s="56" t="s">
        <v>30</v>
      </c>
      <c r="G19" s="44">
        <v>1</v>
      </c>
      <c r="H19" s="129">
        <f>IF(B$17=0,0,G19/B$17)</f>
        <v>7.575757575757576E-3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75</v>
      </c>
      <c r="C20" s="37">
        <f>IF(B$3=0,0,B20/B$3)</f>
        <v>0.15060240963855423</v>
      </c>
      <c r="E20" s="59" t="s">
        <v>77</v>
      </c>
      <c r="F20" s="56" t="s">
        <v>32</v>
      </c>
      <c r="G20" s="44">
        <v>1</v>
      </c>
      <c r="H20" s="129">
        <f>IF(B$17=0,0,G20/B$17)</f>
        <v>7.575757575757576E-3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1</v>
      </c>
      <c r="H21" s="129">
        <f>IF(B$17=0,0,G21/B$17)</f>
        <v>7.575757575757576E-3</v>
      </c>
      <c r="I21" s="90">
        <v>6</v>
      </c>
      <c r="K21" s="36">
        <v>19</v>
      </c>
      <c r="L21" s="95">
        <v>-115.1</v>
      </c>
      <c r="N21" s="111" t="s">
        <v>177</v>
      </c>
      <c r="O21" s="121">
        <f>IF(P21=0,0,Q21/P21)</f>
        <v>-38.991666666666667</v>
      </c>
      <c r="P21" s="115">
        <v>12</v>
      </c>
      <c r="Q21" s="103">
        <v>-467.9</v>
      </c>
    </row>
    <row r="22" spans="1:17" x14ac:dyDescent="0.4">
      <c r="A22" s="51" t="s">
        <v>170</v>
      </c>
      <c r="B22" s="44">
        <v>32</v>
      </c>
      <c r="C22" s="131">
        <v>2</v>
      </c>
      <c r="E22" s="59" t="s">
        <v>93</v>
      </c>
      <c r="F22" s="56" t="s">
        <v>48</v>
      </c>
      <c r="G22" s="44">
        <v>1</v>
      </c>
      <c r="H22" s="129">
        <f>IF(B$17=0,0,G22/B$17)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6975</v>
      </c>
      <c r="C23" s="39">
        <v>920700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7207.0588235294117</v>
      </c>
      <c r="C24" s="137">
        <v>612600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6555.3191489361698</v>
      </c>
      <c r="C25" s="137">
        <v>308100</v>
      </c>
      <c r="E25" s="59" t="s">
        <v>78</v>
      </c>
      <c r="F25" s="56" t="s">
        <v>33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-7600</v>
      </c>
      <c r="C26" s="137">
        <v>-570000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4.0160642570281121E-3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124</v>
      </c>
      <c r="C2" s="149"/>
      <c r="E2" s="58" t="s">
        <v>66</v>
      </c>
      <c r="F2" s="55" t="s">
        <v>22</v>
      </c>
      <c r="G2" s="43">
        <v>235</v>
      </c>
      <c r="H2" s="128">
        <f>IF(B$17=0,0,G2/B$17)</f>
        <v>0.6811594202898551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1340.6504065040651</v>
      </c>
      <c r="P2" s="114">
        <v>123</v>
      </c>
      <c r="Q2" s="98">
        <v>164900</v>
      </c>
    </row>
    <row r="3" spans="1:17" x14ac:dyDescent="0.4">
      <c r="A3" s="51" t="s">
        <v>8</v>
      </c>
      <c r="B3" s="150">
        <v>1007</v>
      </c>
      <c r="C3" s="151"/>
      <c r="E3" s="59" t="s">
        <v>72</v>
      </c>
      <c r="F3" s="56" t="s">
        <v>27</v>
      </c>
      <c r="G3" s="44">
        <v>171</v>
      </c>
      <c r="H3" s="129">
        <f>IF(B$17=0,0,G3/B$17)</f>
        <v>0.4956521739130435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915</v>
      </c>
      <c r="P3" s="115">
        <v>120</v>
      </c>
      <c r="Q3" s="99">
        <v>109800</v>
      </c>
    </row>
    <row r="4" spans="1:17" x14ac:dyDescent="0.4">
      <c r="A4" s="51" t="s">
        <v>6</v>
      </c>
      <c r="B4" s="152">
        <v>1103.7</v>
      </c>
      <c r="C4" s="153"/>
      <c r="E4" s="59" t="s">
        <v>64</v>
      </c>
      <c r="F4" s="56" t="s">
        <v>20</v>
      </c>
      <c r="G4" s="44">
        <v>154</v>
      </c>
      <c r="H4" s="129">
        <f>IF(B$17=0,0,G4/B$17)</f>
        <v>0.44637681159420289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928.44827586206895</v>
      </c>
      <c r="P4" s="115">
        <v>116</v>
      </c>
      <c r="Q4" s="99">
        <v>107700</v>
      </c>
    </row>
    <row r="5" spans="1:17" x14ac:dyDescent="0.4">
      <c r="A5" s="51" t="s">
        <v>7</v>
      </c>
      <c r="B5" s="154">
        <f>IF(B$2=0,0,B$4/B$2)</f>
        <v>8.9008064516129028</v>
      </c>
      <c r="C5" s="155"/>
      <c r="E5" s="59" t="s">
        <v>171</v>
      </c>
      <c r="F5" s="56" t="s">
        <v>172</v>
      </c>
      <c r="G5" s="44">
        <v>129</v>
      </c>
      <c r="H5" s="129">
        <f>IF(B$17=0,0,G5/B$17)</f>
        <v>0.37391304347826088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289.71962616822429</v>
      </c>
      <c r="P5" s="115">
        <v>107</v>
      </c>
      <c r="Q5" s="99">
        <v>31000</v>
      </c>
    </row>
    <row r="6" spans="1:17" x14ac:dyDescent="0.4">
      <c r="A6" s="51" t="s">
        <v>1</v>
      </c>
      <c r="B6" s="144">
        <f>IF(B$2=0,0,(B$7*1+B$8*2+B$9*3)/B$2)</f>
        <v>1.782258064516129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0.28695652173913044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1887</v>
      </c>
      <c r="P6" s="115">
        <v>100</v>
      </c>
      <c r="Q6" s="99">
        <v>188700</v>
      </c>
    </row>
    <row r="7" spans="1:17" x14ac:dyDescent="0.4">
      <c r="A7" s="51" t="s">
        <v>2</v>
      </c>
      <c r="B7" s="44">
        <v>57</v>
      </c>
      <c r="C7" s="37">
        <f t="shared" ref="C7:C12" si="1">IF(B$2=0,0,B7/B$2)</f>
        <v>0.45967741935483869</v>
      </c>
      <c r="E7" s="59" t="s">
        <v>67</v>
      </c>
      <c r="F7" s="56" t="s">
        <v>23</v>
      </c>
      <c r="G7" s="44">
        <v>87</v>
      </c>
      <c r="H7" s="129">
        <f>IF(B$17=0,0,G7/B$17)</f>
        <v>0.25217391304347825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2367.9487179487178</v>
      </c>
      <c r="P7" s="116">
        <v>78</v>
      </c>
      <c r="Q7" s="100">
        <v>184700</v>
      </c>
    </row>
    <row r="8" spans="1:17" x14ac:dyDescent="0.4">
      <c r="A8" s="51" t="s">
        <v>3</v>
      </c>
      <c r="B8" s="44">
        <v>37</v>
      </c>
      <c r="C8" s="37">
        <f t="shared" si="1"/>
        <v>0.29838709677419356</v>
      </c>
      <c r="E8" s="59" t="s">
        <v>89</v>
      </c>
      <c r="F8" s="56" t="s">
        <v>44</v>
      </c>
      <c r="G8" s="44">
        <v>54</v>
      </c>
      <c r="H8" s="129">
        <f>IF(B$17=0,0,G8/B$17)</f>
        <v>0.15652173913043479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30</v>
      </c>
      <c r="C9" s="38">
        <f t="shared" si="1"/>
        <v>0.24193548387096775</v>
      </c>
      <c r="E9" s="59" t="s">
        <v>69</v>
      </c>
      <c r="F9" s="56" t="s">
        <v>24</v>
      </c>
      <c r="G9" s="44">
        <v>53</v>
      </c>
      <c r="H9" s="129">
        <f>IF(B$17=0,0,G9/B$17)</f>
        <v>0.15362318840579711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4.0322580645161289E-2</v>
      </c>
      <c r="E10" s="59" t="s">
        <v>65</v>
      </c>
      <c r="F10" s="56" t="s">
        <v>21</v>
      </c>
      <c r="G10" s="44">
        <v>42</v>
      </c>
      <c r="H10" s="129">
        <f>IF(B$17=0,0,G10/B$17)</f>
        <v>0.12173913043478261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10.279999999999998</v>
      </c>
      <c r="P10" s="114">
        <v>35</v>
      </c>
      <c r="Q10" s="102">
        <v>359.7999999999999</v>
      </c>
    </row>
    <row r="11" spans="1:17" x14ac:dyDescent="0.4">
      <c r="A11" s="52" t="s">
        <v>138</v>
      </c>
      <c r="B11" s="45">
        <v>15</v>
      </c>
      <c r="C11" s="38">
        <f t="shared" si="1"/>
        <v>0.12096774193548387</v>
      </c>
      <c r="E11" s="59" t="s">
        <v>71</v>
      </c>
      <c r="F11" s="56" t="s">
        <v>26</v>
      </c>
      <c r="G11" s="44">
        <v>24</v>
      </c>
      <c r="H11" s="129">
        <f>IF(B$17=0,0,G11/B$17)</f>
        <v>6.9565217391304349E-2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14</v>
      </c>
      <c r="C12" s="40">
        <f t="shared" si="1"/>
        <v>0.11290322580645161</v>
      </c>
      <c r="E12" s="59" t="s">
        <v>70</v>
      </c>
      <c r="F12" s="56" t="s">
        <v>25</v>
      </c>
      <c r="G12" s="44">
        <v>20</v>
      </c>
      <c r="H12" s="129">
        <f>IF(B$17=0,0,G12/B$17)</f>
        <v>5.7971014492753624E-2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12.551111111111108</v>
      </c>
      <c r="P12" s="116">
        <v>45</v>
      </c>
      <c r="Q12" s="104">
        <v>564.79999999999984</v>
      </c>
    </row>
    <row r="13" spans="1:17" x14ac:dyDescent="0.4">
      <c r="A13" s="54" t="s">
        <v>121</v>
      </c>
      <c r="B13" s="47">
        <v>273</v>
      </c>
      <c r="C13" s="42">
        <f>IF(B$3=0,0,B13/B$3)</f>
        <v>0.27110228401191661</v>
      </c>
      <c r="E13" s="59" t="s">
        <v>86</v>
      </c>
      <c r="F13" s="56" t="s">
        <v>41</v>
      </c>
      <c r="G13" s="44">
        <v>20</v>
      </c>
      <c r="H13" s="129">
        <f>IF(B$17=0,0,G13/B$17)</f>
        <v>5.7971014492753624E-2</v>
      </c>
      <c r="I13" s="90">
        <v>4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229</v>
      </c>
      <c r="C14" s="37">
        <f>IF(B$3=0,0,B14/B$3)</f>
        <v>0.22740814299900694</v>
      </c>
      <c r="E14" s="59" t="s">
        <v>83</v>
      </c>
      <c r="F14" s="56" t="s">
        <v>38</v>
      </c>
      <c r="G14" s="44">
        <v>16</v>
      </c>
      <c r="H14" s="129">
        <f>IF(B$17=0,0,G14/B$17)</f>
        <v>4.6376811594202899E-2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164</v>
      </c>
      <c r="C15" s="35">
        <f>IF(B$13=0,0,B15/B$13)</f>
        <v>0.60073260073260071</v>
      </c>
      <c r="E15" s="59" t="s">
        <v>78</v>
      </c>
      <c r="F15" s="56" t="s">
        <v>33</v>
      </c>
      <c r="G15" s="44">
        <v>14</v>
      </c>
      <c r="H15" s="129">
        <f>IF(B$17=0,0,G15/B$17)</f>
        <v>4.0579710144927533E-2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109</v>
      </c>
      <c r="C16" s="35">
        <f>IF(B$14=0,0,B16/B$14)</f>
        <v>0.4759825327510917</v>
      </c>
      <c r="E16" s="59" t="s">
        <v>167</v>
      </c>
      <c r="F16" s="56" t="s">
        <v>168</v>
      </c>
      <c r="G16" s="44">
        <v>13</v>
      </c>
      <c r="H16" s="129">
        <f>IF(B$17=0,0,G16/B$17)</f>
        <v>3.7681159420289857E-2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345</v>
      </c>
      <c r="C17" s="35">
        <f>IF(B$3=0,0,B17/B$3)</f>
        <v>0.34260178748758691</v>
      </c>
      <c r="E17" s="59" t="s">
        <v>77</v>
      </c>
      <c r="F17" s="56" t="s">
        <v>32</v>
      </c>
      <c r="G17" s="44">
        <v>3</v>
      </c>
      <c r="H17" s="129">
        <f>IF(B$17=0,0,G17/B$17)</f>
        <v>8.6956521739130436E-3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17.637777777777782</v>
      </c>
      <c r="P17" s="115">
        <v>45</v>
      </c>
      <c r="Q17" s="103">
        <v>793.70000000000016</v>
      </c>
    </row>
    <row r="18" spans="1:17" x14ac:dyDescent="0.4">
      <c r="A18" s="51" t="s">
        <v>12</v>
      </c>
      <c r="B18" s="44">
        <v>144</v>
      </c>
      <c r="C18" s="37">
        <f>IF(B$17=0,0,B18/B$17)</f>
        <v>0.41739130434782606</v>
      </c>
      <c r="E18" s="59" t="s">
        <v>84</v>
      </c>
      <c r="F18" s="56" t="s">
        <v>39</v>
      </c>
      <c r="G18" s="44">
        <v>3</v>
      </c>
      <c r="H18" s="129">
        <f>IF(B$17=0,0,G18/B$17)</f>
        <v>8.6956521739130436E-3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17.563829787234042</v>
      </c>
      <c r="P18" s="115">
        <v>47</v>
      </c>
      <c r="Q18" s="103">
        <v>825.5</v>
      </c>
    </row>
    <row r="19" spans="1:17" x14ac:dyDescent="0.4">
      <c r="A19" s="51" t="s">
        <v>11</v>
      </c>
      <c r="B19" s="44">
        <v>201</v>
      </c>
      <c r="C19" s="37">
        <f>IF(B$17=0,0,B19/B$17)</f>
        <v>0.58260869565217388</v>
      </c>
      <c r="E19" s="59" t="s">
        <v>92</v>
      </c>
      <c r="F19" s="56" t="s">
        <v>47</v>
      </c>
      <c r="G19" s="44">
        <v>3</v>
      </c>
      <c r="H19" s="129">
        <f>IF(B$17=0,0,G19/B$17)</f>
        <v>8.6956521739130436E-3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14.681333333333335</v>
      </c>
      <c r="P19" s="115">
        <v>75</v>
      </c>
      <c r="Q19" s="103">
        <v>1101.1000000000001</v>
      </c>
    </row>
    <row r="20" spans="1:17" x14ac:dyDescent="0.4">
      <c r="A20" s="51" t="s">
        <v>13</v>
      </c>
      <c r="B20" s="44">
        <v>131</v>
      </c>
      <c r="C20" s="37">
        <f>IF(B$3=0,0,B20/B$3)</f>
        <v>0.13008937437934459</v>
      </c>
      <c r="E20" s="59" t="s">
        <v>75</v>
      </c>
      <c r="F20" s="56" t="s">
        <v>30</v>
      </c>
      <c r="G20" s="44">
        <v>2</v>
      </c>
      <c r="H20" s="129">
        <f>IF(B$17=0,0,G20/B$17)</f>
        <v>5.7971014492753624E-3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169</v>
      </c>
      <c r="B21" s="44">
        <v>5</v>
      </c>
      <c r="C21" s="131">
        <v>3</v>
      </c>
      <c r="E21" s="59" t="s">
        <v>79</v>
      </c>
      <c r="F21" s="56" t="s">
        <v>34</v>
      </c>
      <c r="G21" s="44">
        <v>2</v>
      </c>
      <c r="H21" s="129">
        <f>IF(B$17=0,0,G21/B$17)</f>
        <v>5.7971014492753624E-3</v>
      </c>
      <c r="I21" s="90">
        <v>7</v>
      </c>
      <c r="K21" s="36">
        <v>19</v>
      </c>
      <c r="L21" s="95">
        <v>383.19999999999993</v>
      </c>
      <c r="N21" s="111" t="s">
        <v>177</v>
      </c>
      <c r="O21" s="121">
        <f>IF(P21=0,0,Q21/P21)</f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170</v>
      </c>
      <c r="B22" s="44">
        <v>43</v>
      </c>
      <c r="C22" s="131">
        <v>3</v>
      </c>
      <c r="E22" s="59" t="s">
        <v>81</v>
      </c>
      <c r="F22" s="56" t="s">
        <v>36</v>
      </c>
      <c r="G22" s="44">
        <v>2</v>
      </c>
      <c r="H22" s="129">
        <f>IF(B$17=0,0,G22/B$17)</f>
        <v>5.7971014492753624E-3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8276.5217391304341</v>
      </c>
      <c r="C23" s="39">
        <v>2855400</v>
      </c>
      <c r="E23" s="59" t="s">
        <v>85</v>
      </c>
      <c r="F23" s="56" t="s">
        <v>40</v>
      </c>
      <c r="G23" s="44">
        <v>2</v>
      </c>
      <c r="H23" s="129">
        <f>IF(B$17=0,0,G23/B$17)</f>
        <v>5.7971014492753624E-3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8538.1355932203387</v>
      </c>
      <c r="C24" s="137">
        <v>2015000</v>
      </c>
      <c r="E24" s="59" t="s">
        <v>88</v>
      </c>
      <c r="F24" s="56" t="s">
        <v>43</v>
      </c>
      <c r="G24" s="44">
        <v>2</v>
      </c>
      <c r="H24" s="129">
        <f>IF(B$17=0,0,G24/B$17)</f>
        <v>5.7971014492753624E-3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7710.0917431192656</v>
      </c>
      <c r="C25" s="137">
        <v>840400</v>
      </c>
      <c r="E25" s="59" t="s">
        <v>91</v>
      </c>
      <c r="F25" s="56" t="s">
        <v>46</v>
      </c>
      <c r="G25" s="44">
        <v>2</v>
      </c>
      <c r="H25" s="129">
        <f>IF(B$17=0,0,G25/B$17)</f>
        <v>5.7971014492753624E-3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-7885.4961832061072</v>
      </c>
      <c r="C26" s="137">
        <v>-1033000</v>
      </c>
      <c r="E26" s="59" t="s">
        <v>74</v>
      </c>
      <c r="F26" s="56" t="s">
        <v>29</v>
      </c>
      <c r="G26" s="44">
        <v>1</v>
      </c>
      <c r="H26" s="129">
        <f>IF(B$17=0,0,G26/B$17)</f>
        <v>2.8985507246376812E-3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2.8985507246376812E-3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2.8985507246376812E-3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9.930486593843098E-4</v>
      </c>
      <c r="E29" s="59" t="s">
        <v>106</v>
      </c>
      <c r="F29" s="56" t="s">
        <v>113</v>
      </c>
      <c r="G29" s="44">
        <v>1</v>
      </c>
      <c r="H29" s="129">
        <f>IF(B$17=0,0,G29/B$17)</f>
        <v>2.8985507246376812E-3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14"/>
  <sheetViews>
    <sheetView showGridLines="0" topLeftCell="D1" zoomScale="96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112</v>
      </c>
      <c r="C2" s="149"/>
      <c r="E2" s="58" t="s">
        <v>66</v>
      </c>
      <c r="F2" s="55" t="s">
        <v>22</v>
      </c>
      <c r="G2" s="43">
        <v>251</v>
      </c>
      <c r="H2" s="128">
        <f>IF(B$17=0,0,G2/B$17)</f>
        <v>0.88070175438596487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-1847.7477477477478</v>
      </c>
      <c r="P2" s="114">
        <v>111</v>
      </c>
      <c r="Q2" s="98">
        <v>-205100</v>
      </c>
    </row>
    <row r="3" spans="1:17" x14ac:dyDescent="0.4">
      <c r="A3" s="51" t="s">
        <v>8</v>
      </c>
      <c r="B3" s="150">
        <v>934</v>
      </c>
      <c r="C3" s="151"/>
      <c r="E3" s="59" t="s">
        <v>72</v>
      </c>
      <c r="F3" s="56" t="s">
        <v>27</v>
      </c>
      <c r="G3" s="44">
        <v>162</v>
      </c>
      <c r="H3" s="129">
        <f>IF(B$17=0,0,G3/B$17)</f>
        <v>0.56842105263157894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1512.037037037037</v>
      </c>
      <c r="P3" s="115">
        <v>108</v>
      </c>
      <c r="Q3" s="99">
        <v>163300</v>
      </c>
    </row>
    <row r="4" spans="1:17" x14ac:dyDescent="0.4">
      <c r="A4" s="51" t="s">
        <v>6</v>
      </c>
      <c r="B4" s="152">
        <v>85.299999999999784</v>
      </c>
      <c r="C4" s="153"/>
      <c r="E4" s="59" t="s">
        <v>171</v>
      </c>
      <c r="F4" s="56" t="s">
        <v>172</v>
      </c>
      <c r="G4" s="44">
        <v>118</v>
      </c>
      <c r="H4" s="129">
        <f>IF(B$17=0,0,G4/B$17)</f>
        <v>0.41403508771929826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-60.396039603960396</v>
      </c>
      <c r="P4" s="115">
        <v>101</v>
      </c>
      <c r="Q4" s="99">
        <v>-6100</v>
      </c>
    </row>
    <row r="5" spans="1:17" x14ac:dyDescent="0.4">
      <c r="A5" s="51" t="s">
        <v>7</v>
      </c>
      <c r="B5" s="154">
        <f>IF(B$2=0,0,B$4/B$2)</f>
        <v>0.76160714285714093</v>
      </c>
      <c r="C5" s="155"/>
      <c r="E5" s="59" t="s">
        <v>64</v>
      </c>
      <c r="F5" s="56" t="s">
        <v>20</v>
      </c>
      <c r="G5" s="44">
        <v>110</v>
      </c>
      <c r="H5" s="129">
        <f>IF(B$17=0,0,G5/B$17)</f>
        <v>0.38596491228070173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696.84210526315792</v>
      </c>
      <c r="P5" s="115">
        <v>95</v>
      </c>
      <c r="Q5" s="99">
        <v>66200</v>
      </c>
    </row>
    <row r="6" spans="1:17" x14ac:dyDescent="0.4">
      <c r="A6" s="51" t="s">
        <v>1</v>
      </c>
      <c r="B6" s="144">
        <f>IF(B$2=0,0,(B$7*1+B$8*2+B$9*3)/B$2)</f>
        <v>1.9553571428571428</v>
      </c>
      <c r="C6" s="145"/>
      <c r="E6" s="59" t="s">
        <v>68</v>
      </c>
      <c r="F6" s="56" t="s">
        <v>12</v>
      </c>
      <c r="G6" s="44">
        <v>77</v>
      </c>
      <c r="H6" s="129">
        <f>IF(B$17=0,0,G6/B$17)</f>
        <v>0.27017543859649124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-931.0344827586207</v>
      </c>
      <c r="P6" s="115">
        <v>87</v>
      </c>
      <c r="Q6" s="99">
        <v>-81000</v>
      </c>
    </row>
    <row r="7" spans="1:17" x14ac:dyDescent="0.4">
      <c r="A7" s="51" t="s">
        <v>2</v>
      </c>
      <c r="B7" s="44">
        <v>39</v>
      </c>
      <c r="C7" s="37">
        <f t="shared" ref="C7:C12" si="1">IF(B$2=0,0,B7/B$2)</f>
        <v>0.3482142857142857</v>
      </c>
      <c r="E7" s="59" t="s">
        <v>67</v>
      </c>
      <c r="F7" s="56" t="s">
        <v>23</v>
      </c>
      <c r="G7" s="44">
        <v>61</v>
      </c>
      <c r="H7" s="129">
        <f>IF(B$17=0,0,G7/B$17)</f>
        <v>0.21403508771929824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1564.3835616438357</v>
      </c>
      <c r="P7" s="116">
        <v>73</v>
      </c>
      <c r="Q7" s="100">
        <v>114200</v>
      </c>
    </row>
    <row r="8" spans="1:17" x14ac:dyDescent="0.4">
      <c r="A8" s="51" t="s">
        <v>3</v>
      </c>
      <c r="B8" s="44">
        <v>39</v>
      </c>
      <c r="C8" s="37">
        <f t="shared" si="1"/>
        <v>0.3482142857142857</v>
      </c>
      <c r="E8" s="59" t="s">
        <v>89</v>
      </c>
      <c r="F8" s="56" t="s">
        <v>44</v>
      </c>
      <c r="G8" s="44">
        <v>34</v>
      </c>
      <c r="H8" s="129">
        <f>IF(B$17=0,0,G8/B$17)</f>
        <v>0.11929824561403508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0.30357142857142855</v>
      </c>
      <c r="E9" s="59" t="s">
        <v>69</v>
      </c>
      <c r="F9" s="56" t="s">
        <v>24</v>
      </c>
      <c r="G9" s="44">
        <v>33</v>
      </c>
      <c r="H9" s="129">
        <f>IF(B$17=0,0,G9/B$17)</f>
        <v>0.11578947368421053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0.13392857142857142</v>
      </c>
      <c r="E10" s="59" t="s">
        <v>65</v>
      </c>
      <c r="F10" s="56" t="s">
        <v>21</v>
      </c>
      <c r="G10" s="44">
        <v>26</v>
      </c>
      <c r="H10" s="129">
        <f>IF(B$17=0,0,G10/B$17)</f>
        <v>9.1228070175438603E-2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1.257142857142858</v>
      </c>
      <c r="P10" s="114">
        <v>28</v>
      </c>
      <c r="Q10" s="102">
        <v>35.200000000000024</v>
      </c>
    </row>
    <row r="11" spans="1:17" x14ac:dyDescent="0.4">
      <c r="A11" s="52" t="s">
        <v>138</v>
      </c>
      <c r="B11" s="45">
        <v>12</v>
      </c>
      <c r="C11" s="38">
        <f t="shared" si="1"/>
        <v>0.10714285714285714</v>
      </c>
      <c r="E11" s="59" t="s">
        <v>71</v>
      </c>
      <c r="F11" s="56" t="s">
        <v>26</v>
      </c>
      <c r="G11" s="44">
        <v>26</v>
      </c>
      <c r="H11" s="129">
        <f>IF(B$17=0,0,G11/B$17)</f>
        <v>9.1228070175438603E-2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7.3833333333333355</v>
      </c>
      <c r="P11" s="115">
        <v>36</v>
      </c>
      <c r="Q11" s="103">
        <v>265.80000000000007</v>
      </c>
    </row>
    <row r="12" spans="1:17" x14ac:dyDescent="0.4">
      <c r="A12" s="53" t="s">
        <v>158</v>
      </c>
      <c r="B12" s="46">
        <v>19</v>
      </c>
      <c r="C12" s="40">
        <f t="shared" si="1"/>
        <v>0.16964285714285715</v>
      </c>
      <c r="E12" s="59" t="s">
        <v>70</v>
      </c>
      <c r="F12" s="56" t="s">
        <v>25</v>
      </c>
      <c r="G12" s="44">
        <v>25</v>
      </c>
      <c r="H12" s="129">
        <f>IF(B$17=0,0,G12/B$17)</f>
        <v>8.771929824561403E-2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-4.4937500000000012</v>
      </c>
      <c r="P12" s="116">
        <v>48</v>
      </c>
      <c r="Q12" s="104">
        <v>-215.70000000000005</v>
      </c>
    </row>
    <row r="13" spans="1:17" x14ac:dyDescent="0.4">
      <c r="A13" s="54" t="s">
        <v>121</v>
      </c>
      <c r="B13" s="47">
        <v>215</v>
      </c>
      <c r="C13" s="42">
        <f>IF(B$3=0,0,B13/B$3)</f>
        <v>0.23019271948608136</v>
      </c>
      <c r="E13" s="59" t="s">
        <v>86</v>
      </c>
      <c r="F13" s="56" t="s">
        <v>41</v>
      </c>
      <c r="G13" s="44">
        <v>19</v>
      </c>
      <c r="H13" s="129">
        <f>IF(B$17=0,0,G13/B$17)</f>
        <v>6.6666666666666666E-2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289</v>
      </c>
      <c r="C14" s="37">
        <f>IF(B$3=0,0,B14/B$3)</f>
        <v>0.30942184154175589</v>
      </c>
      <c r="E14" s="59" t="s">
        <v>83</v>
      </c>
      <c r="F14" s="56" t="s">
        <v>38</v>
      </c>
      <c r="G14" s="44">
        <v>18</v>
      </c>
      <c r="H14" s="129">
        <f>IF(B$17=0,0,G14/B$17)</f>
        <v>6.3157894736842107E-2</v>
      </c>
      <c r="I14" s="90">
        <v>5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108</v>
      </c>
      <c r="C15" s="35">
        <f>IF(B$13=0,0,B15/B$13)</f>
        <v>0.50232558139534889</v>
      </c>
      <c r="E15" s="59" t="s">
        <v>78</v>
      </c>
      <c r="F15" s="56" t="s">
        <v>33</v>
      </c>
      <c r="G15" s="44">
        <v>9</v>
      </c>
      <c r="H15" s="129">
        <f>IF(B$17=0,0,G15/B$17)</f>
        <v>3.1578947368421054E-2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108</v>
      </c>
      <c r="C16" s="35">
        <f>IF(B$14=0,0,B16/B$14)</f>
        <v>0.37370242214532873</v>
      </c>
      <c r="E16" s="59" t="s">
        <v>91</v>
      </c>
      <c r="F16" s="56" t="s">
        <v>46</v>
      </c>
      <c r="G16" s="44">
        <v>9</v>
      </c>
      <c r="H16" s="129">
        <f>IF(B$17=0,0,G16/B$17)</f>
        <v>3.1578947368421054E-2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285</v>
      </c>
      <c r="C17" s="35">
        <f>IF(B$3=0,0,B17/B$3)</f>
        <v>0.30513918629550324</v>
      </c>
      <c r="E17" s="59" t="s">
        <v>81</v>
      </c>
      <c r="F17" s="56" t="s">
        <v>36</v>
      </c>
      <c r="G17" s="44">
        <v>7</v>
      </c>
      <c r="H17" s="129">
        <f>IF(B$17=0,0,G17/B$17)</f>
        <v>2.456140350877193E-2</v>
      </c>
      <c r="I17" s="90">
        <v>2</v>
      </c>
      <c r="K17" s="36">
        <v>15</v>
      </c>
      <c r="L17" s="95">
        <v>-144.30000000000001</v>
      </c>
      <c r="N17" s="111" t="s">
        <v>179</v>
      </c>
      <c r="O17" s="121">
        <f>IF(P17=0,0,Q17/P17)</f>
        <v>14.68333333333333</v>
      </c>
      <c r="P17" s="115">
        <v>36</v>
      </c>
      <c r="Q17" s="103">
        <v>528.59999999999991</v>
      </c>
    </row>
    <row r="18" spans="1:17" x14ac:dyDescent="0.4">
      <c r="A18" s="51" t="s">
        <v>12</v>
      </c>
      <c r="B18" s="44">
        <v>116</v>
      </c>
      <c r="C18" s="37">
        <f>IF(B$17=0,0,B18/B$17)</f>
        <v>0.40701754385964911</v>
      </c>
      <c r="E18" s="59" t="s">
        <v>79</v>
      </c>
      <c r="F18" s="56" t="s">
        <v>34</v>
      </c>
      <c r="G18" s="44">
        <v>5</v>
      </c>
      <c r="H18" s="129">
        <f>IF(B$17=0,0,G18/B$17)</f>
        <v>1.7543859649122806E-2</v>
      </c>
      <c r="I18" s="90">
        <v>3</v>
      </c>
      <c r="K18" s="36">
        <v>16</v>
      </c>
      <c r="L18" s="95">
        <v>-187.3</v>
      </c>
      <c r="N18" s="111" t="s">
        <v>181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11</v>
      </c>
      <c r="B19" s="44">
        <v>169</v>
      </c>
      <c r="C19" s="37">
        <f>IF(B$17=0,0,B19/B$17)</f>
        <v>0.59298245614035083</v>
      </c>
      <c r="E19" s="59" t="s">
        <v>167</v>
      </c>
      <c r="F19" s="56" t="s">
        <v>168</v>
      </c>
      <c r="G19" s="44">
        <v>3</v>
      </c>
      <c r="H19" s="129">
        <f>IF(B$17=0,0,G19/B$17)</f>
        <v>1.0526315789473684E-2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8.0312500000000053</v>
      </c>
      <c r="P19" s="115">
        <v>32</v>
      </c>
      <c r="Q19" s="103">
        <v>257.00000000000017</v>
      </c>
    </row>
    <row r="20" spans="1:17" x14ac:dyDescent="0.4">
      <c r="A20" s="51" t="s">
        <v>13</v>
      </c>
      <c r="B20" s="44">
        <v>180</v>
      </c>
      <c r="C20" s="37">
        <f>IF(B$3=0,0,B20/B$3)</f>
        <v>0.19271948608137046</v>
      </c>
      <c r="E20" s="59" t="s">
        <v>74</v>
      </c>
      <c r="F20" s="56" t="s">
        <v>29</v>
      </c>
      <c r="G20" s="44">
        <v>2</v>
      </c>
      <c r="H20" s="129">
        <f>IF(B$17=0,0,G20/B$17)</f>
        <v>7.0175438596491229E-3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2</v>
      </c>
      <c r="H21" s="129">
        <f>IF(B$17=0,0,G21/B$17)</f>
        <v>7.0175438596491229E-3</v>
      </c>
      <c r="I21" s="90">
        <v>4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1</v>
      </c>
      <c r="E22" s="59" t="s">
        <v>92</v>
      </c>
      <c r="F22" s="56" t="s">
        <v>47</v>
      </c>
      <c r="G22" s="44">
        <v>2</v>
      </c>
      <c r="H22" s="129">
        <f>IF(B$17=0,0,G22/B$17)</f>
        <v>7.0175438596491229E-3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-14.681333333333335</v>
      </c>
      <c r="P22" s="115">
        <v>75</v>
      </c>
      <c r="Q22" s="103">
        <v>-1101.1000000000001</v>
      </c>
    </row>
    <row r="23" spans="1:17" x14ac:dyDescent="0.4">
      <c r="A23" s="51" t="s">
        <v>5</v>
      </c>
      <c r="B23" s="48">
        <f>IF(B$17=0,0,C23/B$17)</f>
        <v>8546.3157894736851</v>
      </c>
      <c r="C23" s="39">
        <v>2435700</v>
      </c>
      <c r="E23" s="59" t="s">
        <v>73</v>
      </c>
      <c r="F23" s="56" t="s">
        <v>28</v>
      </c>
      <c r="G23" s="44">
        <v>1</v>
      </c>
      <c r="H23" s="129">
        <f>IF(B$17=0,0,G23/B$17)</f>
        <v>3.5087719298245615E-3</v>
      </c>
      <c r="I23" s="90">
        <v>3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9055.9322033898297</v>
      </c>
      <c r="C24" s="137">
        <v>1602900</v>
      </c>
      <c r="E24" s="59" t="s">
        <v>77</v>
      </c>
      <c r="F24" s="56" t="s">
        <v>32</v>
      </c>
      <c r="G24" s="44">
        <v>1</v>
      </c>
      <c r="H24" s="129">
        <f>IF(B$17=0,0,G24/B$17)</f>
        <v>3.5087719298245615E-3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7711.1111111111113</v>
      </c>
      <c r="C25" s="137">
        <v>832800</v>
      </c>
      <c r="E25" s="59" t="s">
        <v>84</v>
      </c>
      <c r="F25" s="56" t="s">
        <v>39</v>
      </c>
      <c r="G25" s="44">
        <v>1</v>
      </c>
      <c r="H25" s="129">
        <f>IF(B$17=0,0,G25/B$17)</f>
        <v>3.5087719298245615E-3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-8112.2222222222226</v>
      </c>
      <c r="C26" s="137">
        <v>-1460200</v>
      </c>
      <c r="E26" s="59" t="s">
        <v>95</v>
      </c>
      <c r="F26" s="56" t="s">
        <v>50</v>
      </c>
      <c r="G26" s="44">
        <v>1</v>
      </c>
      <c r="H26" s="129">
        <f>IF(B$17=0,0,G26/B$17)</f>
        <v>3.5087719298245615E-3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3.2119914346895075E-3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72"/>
  <sheetViews>
    <sheetView showGridLines="0" topLeftCell="C1" zoomScale="97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70</v>
      </c>
      <c r="C2" s="149"/>
      <c r="E2" s="58" t="s">
        <v>66</v>
      </c>
      <c r="F2" s="55" t="s">
        <v>22</v>
      </c>
      <c r="G2" s="43">
        <v>131</v>
      </c>
      <c r="H2" s="128">
        <f>IF(B$17=0,0,G2/B$17)</f>
        <v>0.78915662650602414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-33.333333333333336</v>
      </c>
      <c r="P2" s="114">
        <v>69</v>
      </c>
      <c r="Q2" s="98">
        <v>-2300</v>
      </c>
    </row>
    <row r="3" spans="1:17" x14ac:dyDescent="0.4">
      <c r="A3" s="51" t="s">
        <v>8</v>
      </c>
      <c r="B3" s="150">
        <v>593</v>
      </c>
      <c r="C3" s="151"/>
      <c r="E3" s="59" t="s">
        <v>64</v>
      </c>
      <c r="F3" s="56" t="s">
        <v>20</v>
      </c>
      <c r="G3" s="44">
        <v>96</v>
      </c>
      <c r="H3" s="129">
        <f>IF(B$17=0,0,G3/B$17)</f>
        <v>0.57831325301204817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-869.11764705882354</v>
      </c>
      <c r="P3" s="115">
        <v>68</v>
      </c>
      <c r="Q3" s="99">
        <v>-59100</v>
      </c>
    </row>
    <row r="4" spans="1:17" x14ac:dyDescent="0.4">
      <c r="A4" s="51" t="s">
        <v>6</v>
      </c>
      <c r="B4" s="152">
        <v>-458</v>
      </c>
      <c r="C4" s="153"/>
      <c r="E4" s="59" t="s">
        <v>72</v>
      </c>
      <c r="F4" s="56" t="s">
        <v>27</v>
      </c>
      <c r="G4" s="44">
        <v>84</v>
      </c>
      <c r="H4" s="129">
        <f>IF(B$17=0,0,G4/B$17)</f>
        <v>0.50602409638554213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846.03174603174602</v>
      </c>
      <c r="P4" s="115">
        <v>63</v>
      </c>
      <c r="Q4" s="99">
        <v>53300</v>
      </c>
    </row>
    <row r="5" spans="1:17" x14ac:dyDescent="0.4">
      <c r="A5" s="51" t="s">
        <v>7</v>
      </c>
      <c r="B5" s="154">
        <f>IF(B$2=0,0,B$4/B$2)</f>
        <v>-6.5428571428571427</v>
      </c>
      <c r="C5" s="155"/>
      <c r="E5" s="59" t="s">
        <v>171</v>
      </c>
      <c r="F5" s="56" t="s">
        <v>172</v>
      </c>
      <c r="G5" s="44">
        <v>70</v>
      </c>
      <c r="H5" s="129">
        <f>IF(B$17=0,0,G5/B$17)</f>
        <v>0.42168674698795183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-1324.1935483870968</v>
      </c>
      <c r="P5" s="115">
        <v>62</v>
      </c>
      <c r="Q5" s="99">
        <v>-82100</v>
      </c>
    </row>
    <row r="6" spans="1:17" x14ac:dyDescent="0.4">
      <c r="A6" s="51" t="s">
        <v>1</v>
      </c>
      <c r="B6" s="144">
        <f>IF(B$2=0,0,(B$7*1+B$8*2+B$9*3)/B$2)</f>
        <v>2.157142857142857</v>
      </c>
      <c r="C6" s="145"/>
      <c r="E6" s="59" t="s">
        <v>68</v>
      </c>
      <c r="F6" s="56" t="s">
        <v>12</v>
      </c>
      <c r="G6" s="44">
        <v>58</v>
      </c>
      <c r="H6" s="129">
        <f>IF(B$17=0,0,G6/B$17)</f>
        <v>0.3493975903614458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-3210.1694915254238</v>
      </c>
      <c r="P6" s="115">
        <v>59</v>
      </c>
      <c r="Q6" s="99">
        <v>-189400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0.22857142857142856</v>
      </c>
      <c r="E7" s="59" t="s">
        <v>67</v>
      </c>
      <c r="F7" s="56" t="s">
        <v>23</v>
      </c>
      <c r="G7" s="44">
        <v>49</v>
      </c>
      <c r="H7" s="129">
        <f>IF(B$17=0,0,G7/B$17)</f>
        <v>0.29518072289156627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-1372.5490196078431</v>
      </c>
      <c r="P7" s="116">
        <v>51</v>
      </c>
      <c r="Q7" s="100">
        <v>-70000</v>
      </c>
    </row>
    <row r="8" spans="1:17" x14ac:dyDescent="0.4">
      <c r="A8" s="51" t="s">
        <v>3</v>
      </c>
      <c r="B8" s="44">
        <v>27</v>
      </c>
      <c r="C8" s="37">
        <f t="shared" si="1"/>
        <v>0.38571428571428573</v>
      </c>
      <c r="E8" s="59" t="s">
        <v>70</v>
      </c>
      <c r="F8" s="56" t="s">
        <v>25</v>
      </c>
      <c r="G8" s="44">
        <v>25</v>
      </c>
      <c r="H8" s="129">
        <f>IF(B$17=0,0,G8/B$17)</f>
        <v>0.15060240963855423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0.38571428571428573</v>
      </c>
      <c r="E9" s="59" t="s">
        <v>69</v>
      </c>
      <c r="F9" s="56" t="s">
        <v>24</v>
      </c>
      <c r="G9" s="44">
        <v>24</v>
      </c>
      <c r="H9" s="129">
        <f>IF(B$17=0,0,G9/B$17)</f>
        <v>0.14457831325301204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8.5714285714285715E-2</v>
      </c>
      <c r="E10" s="59" t="s">
        <v>89</v>
      </c>
      <c r="F10" s="56" t="s">
        <v>44</v>
      </c>
      <c r="G10" s="44">
        <v>20</v>
      </c>
      <c r="H10" s="129">
        <f>IF(B$17=0,0,G10/B$17)</f>
        <v>0.12048192771084337</v>
      </c>
      <c r="I10" s="90">
        <v>7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2.8571428571428571E-2</v>
      </c>
      <c r="E11" s="59" t="s">
        <v>65</v>
      </c>
      <c r="F11" s="56" t="s">
        <v>21</v>
      </c>
      <c r="G11" s="44">
        <v>19</v>
      </c>
      <c r="H11" s="129">
        <f>IF(B$17=0,0,G11/B$17)</f>
        <v>0.1144578313253012</v>
      </c>
      <c r="I11" s="90">
        <v>5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7.1428571428571425E-2</v>
      </c>
      <c r="E12" s="59" t="s">
        <v>83</v>
      </c>
      <c r="F12" s="56" t="s">
        <v>38</v>
      </c>
      <c r="G12" s="44">
        <v>10</v>
      </c>
      <c r="H12" s="129">
        <f>IF(B$17=0,0,G12/B$17)</f>
        <v>6.0240963855421686E-2</v>
      </c>
      <c r="I12" s="90">
        <v>6</v>
      </c>
      <c r="K12" s="36">
        <v>10</v>
      </c>
      <c r="L12" s="95">
        <v>-117.19999999999999</v>
      </c>
      <c r="N12" s="112" t="s">
        <v>164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4" t="s">
        <v>121</v>
      </c>
      <c r="B13" s="47">
        <v>169</v>
      </c>
      <c r="C13" s="42">
        <f>IF(B$3=0,0,B13/B$3)</f>
        <v>0.28499156829679595</v>
      </c>
      <c r="E13" s="59" t="s">
        <v>71</v>
      </c>
      <c r="F13" s="56" t="s">
        <v>26</v>
      </c>
      <c r="G13" s="44">
        <v>7</v>
      </c>
      <c r="H13" s="129">
        <f>IF(B$17=0,0,G13/B$17)</f>
        <v>4.2168674698795178E-2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114</v>
      </c>
      <c r="C14" s="37">
        <f>IF(B$3=0,0,B14/B$3)</f>
        <v>0.19224283305227655</v>
      </c>
      <c r="E14" s="59" t="s">
        <v>78</v>
      </c>
      <c r="F14" s="56" t="s">
        <v>33</v>
      </c>
      <c r="G14" s="44">
        <v>6</v>
      </c>
      <c r="H14" s="129">
        <f>IF(B$17=0,0,G14/B$17)</f>
        <v>3.614457831325301E-2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97</v>
      </c>
      <c r="C15" s="35">
        <f>IF(B$13=0,0,B15/B$13)</f>
        <v>0.57396449704142016</v>
      </c>
      <c r="E15" s="59" t="s">
        <v>86</v>
      </c>
      <c r="F15" s="56" t="s">
        <v>41</v>
      </c>
      <c r="G15" s="44">
        <v>4</v>
      </c>
      <c r="H15" s="129">
        <f>IF(B$17=0,0,G15/B$17)</f>
        <v>2.4096385542168676E-2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47</v>
      </c>
      <c r="C16" s="35">
        <f>IF(B$14=0,0,B16/B$14)</f>
        <v>0.41228070175438597</v>
      </c>
      <c r="E16" s="59" t="s">
        <v>81</v>
      </c>
      <c r="F16" s="56" t="s">
        <v>36</v>
      </c>
      <c r="G16" s="44">
        <v>3</v>
      </c>
      <c r="H16" s="129">
        <f>IF(B$17=0,0,G16/B$17)</f>
        <v>1.8072289156626505E-2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166</v>
      </c>
      <c r="C17" s="35">
        <f>IF(B$3=0,0,B17/B$3)</f>
        <v>0.2799325463743676</v>
      </c>
      <c r="E17" s="59" t="s">
        <v>167</v>
      </c>
      <c r="F17" s="56" t="s">
        <v>168</v>
      </c>
      <c r="G17" s="44">
        <v>3</v>
      </c>
      <c r="H17" s="129">
        <f>IF(B$17=0,0,G17/B$17)</f>
        <v>1.8072289156626505E-2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 t="shared" si="2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12</v>
      </c>
      <c r="B18" s="44">
        <v>76</v>
      </c>
      <c r="C18" s="37">
        <f>IF(B$17=0,0,B18/B$17)</f>
        <v>0.45783132530120479</v>
      </c>
      <c r="E18" s="59" t="s">
        <v>75</v>
      </c>
      <c r="F18" s="56" t="s">
        <v>30</v>
      </c>
      <c r="G18" s="44">
        <v>2</v>
      </c>
      <c r="H18" s="129">
        <f>IF(B$17=0,0,G18/B$17)</f>
        <v>1.2048192771084338E-2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11</v>
      </c>
      <c r="B19" s="44">
        <v>90</v>
      </c>
      <c r="C19" s="37">
        <f>IF(B$17=0,0,B19/B$17)</f>
        <v>0.54216867469879515</v>
      </c>
      <c r="E19" s="59" t="s">
        <v>79</v>
      </c>
      <c r="F19" s="56" t="s">
        <v>34</v>
      </c>
      <c r="G19" s="44">
        <v>2</v>
      </c>
      <c r="H19" s="129">
        <f>IF(B$17=0,0,G19/B$17)</f>
        <v>1.2048192771084338E-2</v>
      </c>
      <c r="I19" s="90">
        <v>5</v>
      </c>
      <c r="K19" s="36">
        <v>17</v>
      </c>
      <c r="L19" s="95">
        <v>-251.4</v>
      </c>
      <c r="N19" s="111" t="s">
        <v>178</v>
      </c>
      <c r="O19" s="121">
        <f t="shared" si="2"/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119</v>
      </c>
      <c r="C20" s="37">
        <f>IF(B$3=0,0,B20/B$3)</f>
        <v>0.20067453625632378</v>
      </c>
      <c r="E20" s="59" t="s">
        <v>91</v>
      </c>
      <c r="F20" s="56" t="s">
        <v>46</v>
      </c>
      <c r="G20" s="44">
        <v>1</v>
      </c>
      <c r="H20" s="129">
        <f>IF(B$17=0,0,G20/B$17)</f>
        <v>6.024096385542169E-3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 t="shared" si="2"/>
        <v>-14.68333333333333</v>
      </c>
      <c r="P20" s="115">
        <v>36</v>
      </c>
      <c r="Q20" s="103">
        <v>-528.59999999999991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2"/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8094.5783132530123</v>
      </c>
      <c r="C23" s="39">
        <v>1343700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8694.1176470588234</v>
      </c>
      <c r="C24" s="137">
        <v>1034600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6576.5957446808507</v>
      </c>
      <c r="C25" s="137">
        <v>309100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-7667.226890756303</v>
      </c>
      <c r="C26" s="137">
        <v>-912400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5.0590219224283303E-3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</sheetData>
  <sortState xmlns:xlrd2="http://schemas.microsoft.com/office/spreadsheetml/2017/richdata2" ref="E2:I7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76</v>
      </c>
      <c r="C2" s="149"/>
      <c r="E2" s="58" t="s">
        <v>66</v>
      </c>
      <c r="F2" s="55" t="s">
        <v>22</v>
      </c>
      <c r="G2" s="43">
        <v>144</v>
      </c>
      <c r="H2" s="128">
        <f>IF(B$17=0,0,G2/B$17)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0">
        <v>612</v>
      </c>
      <c r="C3" s="151"/>
      <c r="E3" s="59" t="s">
        <v>72</v>
      </c>
      <c r="F3" s="56" t="s">
        <v>27</v>
      </c>
      <c r="G3" s="44">
        <v>98</v>
      </c>
      <c r="H3" s="129">
        <f>IF(B$17=0,0,G3/B$17)</f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-2520.5479452054797</v>
      </c>
      <c r="P3" s="115">
        <v>73</v>
      </c>
      <c r="Q3" s="99">
        <v>-184000</v>
      </c>
    </row>
    <row r="4" spans="1:17" x14ac:dyDescent="0.4">
      <c r="A4" s="51" t="s">
        <v>6</v>
      </c>
      <c r="B4" s="152">
        <v>325.7000000000001</v>
      </c>
      <c r="C4" s="153"/>
      <c r="E4" s="59" t="s">
        <v>64</v>
      </c>
      <c r="F4" s="56" t="s">
        <v>20</v>
      </c>
      <c r="G4" s="44">
        <v>93</v>
      </c>
      <c r="H4" s="129">
        <f>IF(B$17=0,0,G4/B$17)</f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54">
        <f>IF(B$2=0,0,B$4/B$2)</f>
        <v>4.2855263157894754</v>
      </c>
      <c r="C5" s="155"/>
      <c r="E5" s="59" t="s">
        <v>67</v>
      </c>
      <c r="F5" s="56" t="s">
        <v>23</v>
      </c>
      <c r="G5" s="44">
        <v>72</v>
      </c>
      <c r="H5" s="129">
        <f>IF(B$17=0,0,G5/B$17)</f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44">
        <f>IF(B$2=0,0,(B$7*1+B$8*2+B$9*3)/B$2)</f>
        <v>1.9210526315789473</v>
      </c>
      <c r="C6" s="145"/>
      <c r="E6" s="59" t="s">
        <v>171</v>
      </c>
      <c r="F6" s="56" t="s">
        <v>172</v>
      </c>
      <c r="G6" s="44">
        <v>66</v>
      </c>
      <c r="H6" s="129">
        <f>IF(B$17=0,0,G6/B$17)</f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0.39473684210526316</v>
      </c>
      <c r="E7" s="59" t="s">
        <v>68</v>
      </c>
      <c r="F7" s="56" t="s">
        <v>12</v>
      </c>
      <c r="G7" s="44">
        <v>64</v>
      </c>
      <c r="H7" s="129">
        <f>IF(B$17=0,0,G7/B$17)</f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-83.720930232558146</v>
      </c>
      <c r="P7" s="116">
        <v>43</v>
      </c>
      <c r="Q7" s="100">
        <v>-3600</v>
      </c>
    </row>
    <row r="8" spans="1:17" x14ac:dyDescent="0.4">
      <c r="A8" s="51" t="s">
        <v>3</v>
      </c>
      <c r="B8" s="44">
        <v>22</v>
      </c>
      <c r="C8" s="37">
        <f t="shared" si="1"/>
        <v>0.28947368421052633</v>
      </c>
      <c r="E8" s="59" t="s">
        <v>89</v>
      </c>
      <c r="F8" s="56" t="s">
        <v>44</v>
      </c>
      <c r="G8" s="44">
        <v>40</v>
      </c>
      <c r="H8" s="129">
        <f>IF(B$17=0,0,G8/B$17)</f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0.31578947368421051</v>
      </c>
      <c r="E9" s="59" t="s">
        <v>69</v>
      </c>
      <c r="F9" s="56" t="s">
        <v>24</v>
      </c>
      <c r="G9" s="44">
        <v>35</v>
      </c>
      <c r="H9" s="129">
        <f>IF(B$17=0,0,G9/B$17)</f>
        <v>0.20114942528735633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0.10526315789473684</v>
      </c>
      <c r="E10" s="59" t="s">
        <v>65</v>
      </c>
      <c r="F10" s="56" t="s">
        <v>21</v>
      </c>
      <c r="G10" s="44">
        <v>25</v>
      </c>
      <c r="H10" s="129">
        <f>IF(B$17=0,0,G10/B$17)</f>
        <v>0.14367816091954022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2" t="s">
        <v>138</v>
      </c>
      <c r="B11" s="45">
        <v>14</v>
      </c>
      <c r="C11" s="38">
        <f t="shared" si="1"/>
        <v>0.18421052631578946</v>
      </c>
      <c r="E11" s="59" t="s">
        <v>70</v>
      </c>
      <c r="F11" s="56" t="s">
        <v>25</v>
      </c>
      <c r="G11" s="44">
        <v>20</v>
      </c>
      <c r="H11" s="129">
        <f>IF(B$17=0,0,G11/B$17)</f>
        <v>0.11494252873563218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3" t="s">
        <v>158</v>
      </c>
      <c r="B12" s="46">
        <v>8</v>
      </c>
      <c r="C12" s="40">
        <f t="shared" si="1"/>
        <v>0.10526315789473684</v>
      </c>
      <c r="E12" s="59" t="s">
        <v>167</v>
      </c>
      <c r="F12" s="56" t="s">
        <v>168</v>
      </c>
      <c r="G12" s="44">
        <v>13</v>
      </c>
      <c r="H12" s="129">
        <f>IF(B$17=0,0,G12/B$17)</f>
        <v>7.4712643678160925E-2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193</v>
      </c>
      <c r="C13" s="42">
        <f>IF(B$3=0,0,B13/B$3)</f>
        <v>0.315359477124183</v>
      </c>
      <c r="E13" s="59" t="s">
        <v>71</v>
      </c>
      <c r="F13" s="56" t="s">
        <v>26</v>
      </c>
      <c r="G13" s="44">
        <v>9</v>
      </c>
      <c r="H13" s="129">
        <f>IF(B$17=0,0,G13/B$17)</f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0.1781045751633987</v>
      </c>
      <c r="E14" s="59" t="s">
        <v>83</v>
      </c>
      <c r="F14" s="56" t="s">
        <v>38</v>
      </c>
      <c r="G14" s="44">
        <v>7</v>
      </c>
      <c r="H14" s="129">
        <f>IF(B$17=0,0,G14/B$17)</f>
        <v>4.0229885057471264E-2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0.54922279792746109</v>
      </c>
      <c r="E15" s="59" t="s">
        <v>86</v>
      </c>
      <c r="F15" s="56" t="s">
        <v>41</v>
      </c>
      <c r="G15" s="44">
        <v>5</v>
      </c>
      <c r="H15" s="129">
        <f>IF(B$17=0,0,G15/B$17)</f>
        <v>2.8735632183908046E-2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46</v>
      </c>
      <c r="C16" s="35">
        <f>IF(B$14=0,0,B16/B$14)</f>
        <v>0.42201834862385323</v>
      </c>
      <c r="E16" s="59" t="s">
        <v>81</v>
      </c>
      <c r="F16" s="56" t="s">
        <v>36</v>
      </c>
      <c r="G16" s="44">
        <v>4</v>
      </c>
      <c r="H16" s="129">
        <f>IF(B$17=0,0,G16/B$17)</f>
        <v>2.2988505747126436E-2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38.991666666666667</v>
      </c>
      <c r="P16" s="115">
        <v>12</v>
      </c>
      <c r="Q16" s="103">
        <v>467.9</v>
      </c>
    </row>
    <row r="17" spans="1:17" x14ac:dyDescent="0.4">
      <c r="A17" s="50" t="s">
        <v>10</v>
      </c>
      <c r="B17" s="43">
        <f>B19+B18</f>
        <v>174</v>
      </c>
      <c r="C17" s="35">
        <f>IF(B$3=0,0,B17/B$3)</f>
        <v>0.28431372549019607</v>
      </c>
      <c r="E17" s="59" t="s">
        <v>92</v>
      </c>
      <c r="F17" s="56" t="s">
        <v>47</v>
      </c>
      <c r="G17" s="44">
        <v>4</v>
      </c>
      <c r="H17" s="129">
        <f>IF(B$17=0,0,G17/B$17)</f>
        <v>2.2988505747126436E-2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84</v>
      </c>
      <c r="C18" s="37">
        <f>IF(B$17=0,0,B18/B$17)</f>
        <v>0.48275862068965519</v>
      </c>
      <c r="E18" s="59" t="s">
        <v>91</v>
      </c>
      <c r="F18" s="56" t="s">
        <v>46</v>
      </c>
      <c r="G18" s="44">
        <v>3</v>
      </c>
      <c r="H18" s="129">
        <f>IF(B$17=0,0,G18/B$17)</f>
        <v>1.7241379310344827E-2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90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1</v>
      </c>
      <c r="H19" s="129">
        <f>IF(B$17=0,0,G19/B$17)</f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6.1749999999999972</v>
      </c>
      <c r="P19" s="115">
        <v>28</v>
      </c>
      <c r="Q19" s="103">
        <v>172.89999999999992</v>
      </c>
    </row>
    <row r="20" spans="1:17" x14ac:dyDescent="0.4">
      <c r="A20" s="51" t="s">
        <v>13</v>
      </c>
      <c r="B20" s="44">
        <v>104</v>
      </c>
      <c r="C20" s="37">
        <f>IF(B$3=0,0,B20/B$3)</f>
        <v>0.16993464052287582</v>
      </c>
      <c r="E20" s="59" t="s">
        <v>75</v>
      </c>
      <c r="F20" s="56" t="s">
        <v>30</v>
      </c>
      <c r="G20" s="44">
        <v>1</v>
      </c>
      <c r="H20" s="129">
        <f>IF(B$17=0,0,G20/B$17)</f>
        <v>5.7471264367816091E-3</v>
      </c>
      <c r="I20" s="90">
        <v>7</v>
      </c>
      <c r="K20" s="36">
        <v>18</v>
      </c>
      <c r="L20" s="95">
        <v>-24.999999999999968</v>
      </c>
      <c r="N20" s="111" t="s">
        <v>179</v>
      </c>
      <c r="O20" s="121">
        <f t="shared" si="2"/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170</v>
      </c>
      <c r="B22" s="44">
        <v>25</v>
      </c>
      <c r="C22" s="131">
        <v>0</v>
      </c>
      <c r="E22" s="59" t="s">
        <v>79</v>
      </c>
      <c r="F22" s="56" t="s">
        <v>34</v>
      </c>
      <c r="G22" s="44">
        <v>1</v>
      </c>
      <c r="H22" s="129">
        <f>IF(B$17=0,0,G22/B$17)</f>
        <v>5.7471264367816091E-3</v>
      </c>
      <c r="I22" s="90">
        <v>8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10798.275862068966</v>
      </c>
      <c r="C23" s="39">
        <v>1878900</v>
      </c>
      <c r="E23" s="59" t="s">
        <v>85</v>
      </c>
      <c r="F23" s="56" t="s">
        <v>40</v>
      </c>
      <c r="G23" s="44">
        <v>1</v>
      </c>
      <c r="H23" s="129">
        <f>IF(B$17=0,0,G23/B$17)</f>
        <v>5.7471264367816091E-3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11707.8125</v>
      </c>
      <c r="C24" s="137">
        <v>1498600</v>
      </c>
      <c r="E24" s="59" t="s">
        <v>90</v>
      </c>
      <c r="F24" s="56" t="s">
        <v>45</v>
      </c>
      <c r="G24" s="44">
        <v>1</v>
      </c>
      <c r="H24" s="129">
        <f>IF(B$17=0,0,G24/B$17)</f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8267.391304347826</v>
      </c>
      <c r="C25" s="137">
        <v>380300</v>
      </c>
      <c r="E25" s="59" t="s">
        <v>93</v>
      </c>
      <c r="F25" s="56" t="s">
        <v>48</v>
      </c>
      <c r="G25" s="44">
        <v>1</v>
      </c>
      <c r="H25" s="129">
        <f>IF(B$17=0,0,G25/B$17)</f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-8158.6538461538457</v>
      </c>
      <c r="C26" s="137">
        <v>-848500</v>
      </c>
      <c r="E26" s="59" t="s">
        <v>97</v>
      </c>
      <c r="F26" s="56" t="s">
        <v>52</v>
      </c>
      <c r="G26" s="44">
        <v>1</v>
      </c>
      <c r="H26" s="129">
        <f>IF(B$17=0,0,G26/B$17)</f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122100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E2:I7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97</v>
      </c>
      <c r="C2" s="149"/>
      <c r="E2" s="58" t="s">
        <v>66</v>
      </c>
      <c r="F2" s="55" t="s">
        <v>22</v>
      </c>
      <c r="G2" s="43">
        <v>166</v>
      </c>
      <c r="H2" s="128">
        <f>IF(B$17=0,0,G2/B$17)</f>
        <v>0.74774774774774777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887.62886597938143</v>
      </c>
      <c r="P2" s="114">
        <v>97</v>
      </c>
      <c r="Q2" s="98">
        <v>86100</v>
      </c>
    </row>
    <row r="3" spans="1:17" x14ac:dyDescent="0.4">
      <c r="A3" s="51" t="s">
        <v>8</v>
      </c>
      <c r="B3" s="150">
        <v>771</v>
      </c>
      <c r="C3" s="151"/>
      <c r="E3" s="59" t="s">
        <v>72</v>
      </c>
      <c r="F3" s="56" t="s">
        <v>27</v>
      </c>
      <c r="G3" s="44">
        <v>123</v>
      </c>
      <c r="H3" s="129">
        <f>IF(B$17=0,0,G3/B$17)</f>
        <v>0.55405405405405406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689.36170212765956</v>
      </c>
      <c r="P3" s="115">
        <v>94</v>
      </c>
      <c r="Q3" s="99">
        <v>64800</v>
      </c>
    </row>
    <row r="4" spans="1:17" x14ac:dyDescent="0.4">
      <c r="A4" s="51" t="s">
        <v>6</v>
      </c>
      <c r="B4" s="152">
        <v>13.999999999999993</v>
      </c>
      <c r="C4" s="153"/>
      <c r="E4" s="59" t="s">
        <v>64</v>
      </c>
      <c r="F4" s="56" t="s">
        <v>20</v>
      </c>
      <c r="G4" s="44">
        <v>113</v>
      </c>
      <c r="H4" s="129">
        <f>IF(B$17=0,0,G4/B$17)</f>
        <v>0.50900900900900903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-425</v>
      </c>
      <c r="P4" s="115">
        <v>88</v>
      </c>
      <c r="Q4" s="99">
        <v>-37400</v>
      </c>
    </row>
    <row r="5" spans="1:17" x14ac:dyDescent="0.4">
      <c r="A5" s="51" t="s">
        <v>7</v>
      </c>
      <c r="B5" s="154">
        <f>IF(B$2=0,0,B$4/B$2)</f>
        <v>0.14432989690721643</v>
      </c>
      <c r="C5" s="155"/>
      <c r="E5" s="59" t="s">
        <v>171</v>
      </c>
      <c r="F5" s="56" t="s">
        <v>172</v>
      </c>
      <c r="G5" s="44">
        <v>105</v>
      </c>
      <c r="H5" s="129">
        <f>IF(B$17=0,0,G5/B$17)</f>
        <v>0.47297297297297297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63.75</v>
      </c>
      <c r="P5" s="115">
        <v>80</v>
      </c>
      <c r="Q5" s="99">
        <v>5100</v>
      </c>
    </row>
    <row r="6" spans="1:17" x14ac:dyDescent="0.4">
      <c r="A6" s="51" t="s">
        <v>1</v>
      </c>
      <c r="B6" s="144">
        <f>IF(B$2=0,0,(B$7*1+B$8*2+B$9*3)/B$2)</f>
        <v>2.0206185567010309</v>
      </c>
      <c r="C6" s="145"/>
      <c r="E6" s="59" t="s">
        <v>67</v>
      </c>
      <c r="F6" s="56" t="s">
        <v>23</v>
      </c>
      <c r="G6" s="44">
        <v>88</v>
      </c>
      <c r="H6" s="129">
        <f>IF(B$17=0,0,G6/B$17)</f>
        <v>0.3963963963963964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-772.85714285714289</v>
      </c>
      <c r="P6" s="115">
        <v>70</v>
      </c>
      <c r="Q6" s="99">
        <v>-54100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0.24742268041237114</v>
      </c>
      <c r="E7" s="59" t="s">
        <v>68</v>
      </c>
      <c r="F7" s="56" t="s">
        <v>12</v>
      </c>
      <c r="G7" s="44">
        <v>75</v>
      </c>
      <c r="H7" s="129">
        <f>IF(B$17=0,0,G7/B$17)</f>
        <v>0.33783783783783783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-579.66101694915255</v>
      </c>
      <c r="P7" s="116">
        <v>59</v>
      </c>
      <c r="Q7" s="100">
        <v>-34200</v>
      </c>
    </row>
    <row r="8" spans="1:17" x14ac:dyDescent="0.4">
      <c r="A8" s="51" t="s">
        <v>3</v>
      </c>
      <c r="B8" s="44">
        <v>47</v>
      </c>
      <c r="C8" s="37">
        <f t="shared" si="1"/>
        <v>0.4845360824742268</v>
      </c>
      <c r="E8" s="59" t="s">
        <v>69</v>
      </c>
      <c r="F8" s="56" t="s">
        <v>24</v>
      </c>
      <c r="G8" s="44">
        <v>31</v>
      </c>
      <c r="H8" s="129">
        <f>IF(B$17=0,0,G8/B$17)</f>
        <v>0.13963963963963963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0.26804123711340205</v>
      </c>
      <c r="E9" s="59" t="s">
        <v>71</v>
      </c>
      <c r="F9" s="56" t="s">
        <v>26</v>
      </c>
      <c r="G9" s="44">
        <v>22</v>
      </c>
      <c r="H9" s="129">
        <f>IF(B$17=0,0,G9/B$17)</f>
        <v>9.90990990990991E-2</v>
      </c>
      <c r="I9" s="90">
        <v>2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8.247422680412371E-2</v>
      </c>
      <c r="E10" s="59" t="s">
        <v>89</v>
      </c>
      <c r="F10" s="56" t="s">
        <v>44</v>
      </c>
      <c r="G10" s="44">
        <v>21</v>
      </c>
      <c r="H10" s="129">
        <f>IF(B$17=0,0,G10/B$17)</f>
        <v>9.45945945945946E-2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2" t="s">
        <v>138</v>
      </c>
      <c r="B11" s="45">
        <v>9</v>
      </c>
      <c r="C11" s="38">
        <f t="shared" si="1"/>
        <v>9.2783505154639179E-2</v>
      </c>
      <c r="E11" s="59" t="s">
        <v>70</v>
      </c>
      <c r="F11" s="56" t="s">
        <v>25</v>
      </c>
      <c r="G11" s="44">
        <v>18</v>
      </c>
      <c r="H11" s="129">
        <f>IF(B$17=0,0,G11/B$17)</f>
        <v>8.1081081081081086E-2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3.1172413793103448</v>
      </c>
      <c r="P11" s="115">
        <v>29</v>
      </c>
      <c r="Q11" s="103">
        <v>90.4</v>
      </c>
    </row>
    <row r="12" spans="1:17" x14ac:dyDescent="0.4">
      <c r="A12" s="53" t="s">
        <v>158</v>
      </c>
      <c r="B12" s="46">
        <v>5</v>
      </c>
      <c r="C12" s="40">
        <f t="shared" si="1"/>
        <v>5.1546391752577317E-2</v>
      </c>
      <c r="E12" s="59" t="s">
        <v>65</v>
      </c>
      <c r="F12" s="56" t="s">
        <v>21</v>
      </c>
      <c r="G12" s="44">
        <v>17</v>
      </c>
      <c r="H12" s="129">
        <f>IF(B$17=0,0,G12/B$17)</f>
        <v>7.6576576576576572E-2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207</v>
      </c>
      <c r="C13" s="42">
        <f>IF(B$3=0,0,B13/B$3)</f>
        <v>0.26848249027237353</v>
      </c>
      <c r="E13" s="59" t="s">
        <v>86</v>
      </c>
      <c r="F13" s="56" t="s">
        <v>41</v>
      </c>
      <c r="G13" s="44">
        <v>12</v>
      </c>
      <c r="H13" s="129">
        <f>IF(B$17=0,0,G13/B$17)</f>
        <v>5.4054054054054057E-2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168</v>
      </c>
      <c r="C14" s="37">
        <f>IF(B$3=0,0,B14/B$3)</f>
        <v>0.21789883268482491</v>
      </c>
      <c r="E14" s="59" t="s">
        <v>83</v>
      </c>
      <c r="F14" s="56" t="s">
        <v>38</v>
      </c>
      <c r="G14" s="44">
        <v>8</v>
      </c>
      <c r="H14" s="129">
        <f>IF(B$17=0,0,G14/B$17)</f>
        <v>3.6036036036036036E-2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120</v>
      </c>
      <c r="C15" s="35">
        <f>IF(B$13=0,0,B15/B$13)</f>
        <v>0.57971014492753625</v>
      </c>
      <c r="E15" s="59" t="s">
        <v>79</v>
      </c>
      <c r="F15" s="56" t="s">
        <v>34</v>
      </c>
      <c r="G15" s="44">
        <v>6</v>
      </c>
      <c r="H15" s="129">
        <f>IF(B$17=0,0,G15/B$17)</f>
        <v>2.7027027027027029E-2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69</v>
      </c>
      <c r="C16" s="35">
        <f>IF(B$14=0,0,B16/B$14)</f>
        <v>0.4107142857142857</v>
      </c>
      <c r="E16" s="59" t="s">
        <v>167</v>
      </c>
      <c r="F16" s="56" t="s">
        <v>168</v>
      </c>
      <c r="G16" s="44">
        <v>6</v>
      </c>
      <c r="H16" s="129">
        <f>IF(B$17=0,0,G16/B$17)</f>
        <v>2.7027027027027029E-2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222</v>
      </c>
      <c r="C17" s="35">
        <f>IF(B$3=0,0,B17/B$3)</f>
        <v>0.28793774319066145</v>
      </c>
      <c r="E17" s="59" t="s">
        <v>73</v>
      </c>
      <c r="F17" s="56" t="s">
        <v>28</v>
      </c>
      <c r="G17" s="44">
        <v>3</v>
      </c>
      <c r="H17" s="129">
        <f>IF(B$17=0,0,G17/B$17)</f>
        <v>1.3513513513513514E-2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101</v>
      </c>
      <c r="C18" s="37">
        <f>IF(B$17=0,0,B18/B$17)</f>
        <v>0.45495495495495497</v>
      </c>
      <c r="E18" s="59" t="s">
        <v>78</v>
      </c>
      <c r="F18" s="56" t="s">
        <v>33</v>
      </c>
      <c r="G18" s="44">
        <v>3</v>
      </c>
      <c r="H18" s="129">
        <f>IF(B$17=0,0,G18/B$17)</f>
        <v>1.3513513513513514E-2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121</v>
      </c>
      <c r="C19" s="37">
        <f>IF(B$17=0,0,B19/B$17)</f>
        <v>0.54504504504504503</v>
      </c>
      <c r="E19" s="59" t="s">
        <v>81</v>
      </c>
      <c r="F19" s="56" t="s">
        <v>36</v>
      </c>
      <c r="G19" s="44">
        <v>3</v>
      </c>
      <c r="H19" s="129">
        <f>IF(B$17=0,0,G19/B$17)</f>
        <v>1.3513513513513514E-2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105</v>
      </c>
      <c r="C20" s="37">
        <f>IF(B$3=0,0,B20/B$3)</f>
        <v>0.13618677042801555</v>
      </c>
      <c r="E20" s="59" t="s">
        <v>91</v>
      </c>
      <c r="F20" s="56" t="s">
        <v>46</v>
      </c>
      <c r="G20" s="44">
        <v>2</v>
      </c>
      <c r="H20" s="129">
        <f>IF(B$17=0,0,G20/B$17)</f>
        <v>9.0090090090090089E-3</v>
      </c>
      <c r="I20" s="90">
        <v>6</v>
      </c>
      <c r="K20" s="36">
        <v>18</v>
      </c>
      <c r="L20" s="95">
        <v>-62.399999999999991</v>
      </c>
      <c r="N20" s="111" t="s">
        <v>127</v>
      </c>
      <c r="O20" s="121">
        <f>IF(P20=0,0,Q20/P20)</f>
        <v>2.8810810810810819</v>
      </c>
      <c r="P20" s="115">
        <v>37</v>
      </c>
      <c r="Q20" s="103">
        <v>106.60000000000002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74</v>
      </c>
      <c r="F21" s="56" t="s">
        <v>29</v>
      </c>
      <c r="G21" s="44">
        <v>1</v>
      </c>
      <c r="H21" s="129">
        <f>IF(B$17=0,0,G21/B$17)</f>
        <v>4.5045045045045045E-3</v>
      </c>
      <c r="I21" s="90">
        <v>4</v>
      </c>
      <c r="K21" s="36">
        <v>19</v>
      </c>
      <c r="L21" s="95">
        <v>-56.399999999999991</v>
      </c>
      <c r="N21" s="111" t="s">
        <v>166</v>
      </c>
      <c r="O21" s="121">
        <f>IF(P21=0,0,Q21/P21)</f>
        <v>1.6833333333333331</v>
      </c>
      <c r="P21" s="115">
        <v>18</v>
      </c>
      <c r="Q21" s="103">
        <v>30.299999999999997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75</v>
      </c>
      <c r="F22" s="56" t="s">
        <v>30</v>
      </c>
      <c r="G22" s="44">
        <v>1</v>
      </c>
      <c r="H22" s="129">
        <f>IF(B$17=0,0,G22/B$17)</f>
        <v>4.5045045045045045E-3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>IF(P22=0,0,Q22/P22)</f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8403.6036036036039</v>
      </c>
      <c r="C23" s="39">
        <v>1865600</v>
      </c>
      <c r="E23" s="59" t="s">
        <v>85</v>
      </c>
      <c r="F23" s="56" t="s">
        <v>40</v>
      </c>
      <c r="G23" s="44">
        <v>1</v>
      </c>
      <c r="H23" s="129">
        <f>IF(B$17=0,0,G23/B$17)</f>
        <v>4.5045045045045045E-3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>IF(P23=0,0,Q23/P23)</f>
        <v>-17.563829787234042</v>
      </c>
      <c r="P23" s="115">
        <v>47</v>
      </c>
      <c r="Q23" s="103">
        <v>-825.5</v>
      </c>
    </row>
    <row r="24" spans="1:17" x14ac:dyDescent="0.4">
      <c r="A24" s="52" t="s">
        <v>216</v>
      </c>
      <c r="B24" s="136">
        <f>IF($B$17-B$16=0,0,C24/($B$17-B$16))</f>
        <v>9301.3071895424837</v>
      </c>
      <c r="C24" s="137">
        <v>1423100</v>
      </c>
      <c r="E24" s="59" t="s">
        <v>87</v>
      </c>
      <c r="F24" s="56" t="s">
        <v>42</v>
      </c>
      <c r="G24" s="44">
        <v>1</v>
      </c>
      <c r="H24" s="129">
        <f>IF(B$17=0,0,G24/B$17)</f>
        <v>4.5045045045045045E-3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6413.04347826087</v>
      </c>
      <c r="C25" s="137">
        <v>442500</v>
      </c>
      <c r="E25" s="59" t="s">
        <v>88</v>
      </c>
      <c r="F25" s="56" t="s">
        <v>43</v>
      </c>
      <c r="G25" s="44">
        <v>1</v>
      </c>
      <c r="H25" s="129">
        <f>IF(B$17=0,0,G25/B$17)</f>
        <v>4.5045045045045045E-3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-7902.8571428571431</v>
      </c>
      <c r="C26" s="137">
        <v>-829800</v>
      </c>
      <c r="E26" s="59" t="s">
        <v>93</v>
      </c>
      <c r="F26" s="56" t="s">
        <v>48</v>
      </c>
      <c r="G26" s="44">
        <v>1</v>
      </c>
      <c r="H26" s="129">
        <f>IF(B$17=0,0,G26/B$17)</f>
        <v>4.5045045045045045E-3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4.5045045045045045E-3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2.5940337224383916E-3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0">
        <v>334</v>
      </c>
      <c r="C3" s="151"/>
      <c r="E3" s="59" t="s">
        <v>72</v>
      </c>
      <c r="F3" s="56" t="s">
        <v>27</v>
      </c>
      <c r="G3" s="44">
        <v>50</v>
      </c>
      <c r="H3" s="129">
        <f>IF(B$17=0,0,G3/B$17)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2">
        <v>-624.80000000000007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54">
        <f>IF(B$2=0,0,B$4/B$2)</f>
        <v>-15.239024390243904</v>
      </c>
      <c r="C5" s="155"/>
      <c r="E5" s="59" t="s">
        <v>171</v>
      </c>
      <c r="F5" s="56" t="s">
        <v>172</v>
      </c>
      <c r="G5" s="44">
        <v>30</v>
      </c>
      <c r="H5" s="129">
        <f>IF(B$17=0,0,G5/B$17)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44">
        <f>IF(B$2=0,0,(B$7*1+B$8*2+B$9*3)/B$2)</f>
        <v>2.4146341463414633</v>
      </c>
      <c r="C6" s="145"/>
      <c r="E6" s="59" t="s">
        <v>68</v>
      </c>
      <c r="F6" s="56" t="s">
        <v>12</v>
      </c>
      <c r="G6" s="44">
        <v>24</v>
      </c>
      <c r="H6" s="129">
        <f>IF(B$17=0,0,G6/B$17)</f>
        <v>0.28915662650602408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IF(B$17=0,0,G7/B$17)</f>
        <v>0.25301204819277107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-3571.4285714285716</v>
      </c>
      <c r="P7" s="116">
        <v>28</v>
      </c>
      <c r="Q7" s="100">
        <v>-100000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IF(B$17=0,0,G8/B$17)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IF(B$17=0,0,G9/B$17)</f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IF(B$17=0,0,G10/B$17)</f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2.4390243902439025E-2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5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1"/>
        <v>2.4390243902439025E-2</v>
      </c>
      <c r="E12" s="59" t="s">
        <v>69</v>
      </c>
      <c r="F12" s="56" t="s">
        <v>24</v>
      </c>
      <c r="G12" s="44">
        <v>6</v>
      </c>
      <c r="H12" s="129">
        <f>IF(B$17=0,0,G12/B$17)</f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>IF(B$17=0,0,G13/B$17)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>IF(B$17=0,0,G14/B$17)</f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>IF(B$17=0,0,G15/B$17)</f>
        <v>2.4096385542168676E-2</v>
      </c>
      <c r="I15" s="90">
        <v>3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>IF(B$17=0,0,G16/B$17)</f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>IF(B$17=0,0,G17/B$17)</f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>IF(B$17=0,0,G18/B$17)</f>
        <v>1.2048192771084338E-2</v>
      </c>
      <c r="I18" s="90">
        <v>5</v>
      </c>
      <c r="K18" s="36">
        <v>16</v>
      </c>
      <c r="L18" s="95">
        <v>-320.30000000000007</v>
      </c>
      <c r="N18" s="111" t="s">
        <v>178</v>
      </c>
      <c r="O18" s="121">
        <f t="shared" si="2"/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>IF(B$17=0,0,G19/B$17)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-570.10000000000014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-524.90000000000009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-573.70000000000005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-624.80000000000007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1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2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9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10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  <row r="100" spans="1:17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9.2783505154639179E-2</v>
      </c>
      <c r="M100" s="63">
        <v>0.26848249027237353</v>
      </c>
      <c r="N100" s="63">
        <v>0.21789883268482491</v>
      </c>
      <c r="O100" s="63">
        <v>0.57971014492753625</v>
      </c>
      <c r="P100" s="63">
        <v>0.4107142857142857</v>
      </c>
      <c r="Q100" s="63">
        <v>0.45495495495495497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  <row r="76" spans="1:17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0.19178082191780821</v>
      </c>
      <c r="M76" s="63">
        <v>0.32081911262798635</v>
      </c>
      <c r="N76" s="63">
        <v>0.17576791808873721</v>
      </c>
      <c r="O76" s="63">
        <v>0.55851063829787229</v>
      </c>
      <c r="P76" s="63">
        <v>0.43689320388349512</v>
      </c>
      <c r="Q76" s="63">
        <v>0.47647058823529409</v>
      </c>
    </row>
    <row r="77" spans="1:17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0.1891891891891892</v>
      </c>
      <c r="M77" s="63">
        <v>0.31871838111298484</v>
      </c>
      <c r="N77" s="63">
        <v>0.17537942664418213</v>
      </c>
      <c r="O77" s="63">
        <v>0.55555555555555558</v>
      </c>
      <c r="P77" s="63">
        <v>0.43269230769230771</v>
      </c>
      <c r="Q77" s="63">
        <v>0.47647058823529409</v>
      </c>
    </row>
    <row r="78" spans="1:17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0.18666666666666668</v>
      </c>
      <c r="M78" s="63">
        <v>0.31788079470198677</v>
      </c>
      <c r="N78" s="63">
        <v>0.17549668874172186</v>
      </c>
      <c r="O78" s="63">
        <v>0.55208333333333337</v>
      </c>
      <c r="P78" s="63">
        <v>0.42452830188679247</v>
      </c>
      <c r="Q78" s="63">
        <v>0.47674418604651164</v>
      </c>
    </row>
    <row r="79" spans="1:17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0.18421052631578946</v>
      </c>
      <c r="M79" s="63">
        <v>0.315359477124183</v>
      </c>
      <c r="N79" s="63">
        <v>0.1781045751633987</v>
      </c>
      <c r="O79" s="63">
        <v>0.54922279792746109</v>
      </c>
      <c r="P79" s="63">
        <v>0.42201834862385323</v>
      </c>
      <c r="Q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7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  <row r="71" spans="1:17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2.9411764705882353E-2</v>
      </c>
      <c r="M71" s="63">
        <v>0.28869565217391302</v>
      </c>
      <c r="N71" s="63">
        <v>0.19130434782608696</v>
      </c>
      <c r="O71" s="63">
        <v>0.57228915662650603</v>
      </c>
      <c r="P71" s="63">
        <v>0.40909090909090912</v>
      </c>
      <c r="Q71" s="63">
        <v>0.4567901234567901</v>
      </c>
    </row>
    <row r="72" spans="1:17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2.8985507246376812E-2</v>
      </c>
      <c r="M72" s="63">
        <v>0.28694158075601373</v>
      </c>
      <c r="N72" s="63">
        <v>0.19243986254295534</v>
      </c>
      <c r="O72" s="63">
        <v>0.56886227544910184</v>
      </c>
      <c r="P72" s="63">
        <v>0.4107142857142857</v>
      </c>
      <c r="Q72" s="63">
        <v>0.45398773006134968</v>
      </c>
    </row>
    <row r="73" spans="1:17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2.8571428571428571E-2</v>
      </c>
      <c r="M73" s="63">
        <v>0.28499156829679595</v>
      </c>
      <c r="N73" s="63">
        <v>0.19224283305227655</v>
      </c>
      <c r="O73" s="63">
        <v>0.57396449704142016</v>
      </c>
      <c r="P73" s="63">
        <v>0.41228070175438597</v>
      </c>
      <c r="Q73" s="63">
        <v>0.45783132530120479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1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  <row r="112" spans="1:17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0.10091743119266056</v>
      </c>
      <c r="M112" s="63">
        <v>0.22967032967032966</v>
      </c>
      <c r="N112" s="63">
        <v>0.30659340659340661</v>
      </c>
      <c r="O112" s="63">
        <v>0.50239234449760761</v>
      </c>
      <c r="P112" s="63">
        <v>0.36917562724014336</v>
      </c>
      <c r="Q112" s="63">
        <v>0.40363636363636363</v>
      </c>
    </row>
    <row r="113" spans="1:17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0.10909090909090909</v>
      </c>
      <c r="M113" s="63">
        <v>0.23009814612868049</v>
      </c>
      <c r="N113" s="63">
        <v>0.3075245365321701</v>
      </c>
      <c r="O113" s="63">
        <v>0.50236966824644547</v>
      </c>
      <c r="P113" s="63">
        <v>0.37234042553191488</v>
      </c>
      <c r="Q113" s="63">
        <v>0.4050179211469534</v>
      </c>
    </row>
    <row r="114" spans="1:17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0.10810810810810811</v>
      </c>
      <c r="M114" s="63">
        <v>0.23060344827586207</v>
      </c>
      <c r="N114" s="63">
        <v>0.30926724137931033</v>
      </c>
      <c r="O114" s="63">
        <v>0.5</v>
      </c>
      <c r="P114" s="63">
        <v>0.37630662020905925</v>
      </c>
      <c r="Q114" s="63">
        <v>0.40636042402826855</v>
      </c>
    </row>
    <row r="115" spans="1:17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0.10714285714285714</v>
      </c>
      <c r="M115" s="63">
        <v>0.23019271948608136</v>
      </c>
      <c r="N115" s="63">
        <v>0.30942184154175589</v>
      </c>
      <c r="O115" s="63">
        <v>0.50232558139534889</v>
      </c>
      <c r="P115" s="63">
        <v>0.37370242214532873</v>
      </c>
      <c r="Q115" s="63">
        <v>0.40701754385964911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  <row r="125" spans="1:17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0.12295081967213115</v>
      </c>
      <c r="M125" s="63">
        <v>0.27144298688193741</v>
      </c>
      <c r="N125" s="63">
        <v>0.22401614530776992</v>
      </c>
      <c r="O125" s="63">
        <v>0.60223048327137552</v>
      </c>
      <c r="P125" s="63">
        <v>0.48648648648648651</v>
      </c>
      <c r="Q125" s="63">
        <v>0.41812865497076024</v>
      </c>
    </row>
    <row r="126" spans="1:17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0.12195121951219512</v>
      </c>
      <c r="M126" s="63">
        <v>0.27081243731193583</v>
      </c>
      <c r="N126" s="63">
        <v>0.22668004012036108</v>
      </c>
      <c r="O126" s="63">
        <v>0.6</v>
      </c>
      <c r="P126" s="63">
        <v>0.47787610619469029</v>
      </c>
      <c r="Q126" s="63">
        <v>0.41812865497076024</v>
      </c>
    </row>
    <row r="127" spans="1:17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0.12096774193548387</v>
      </c>
      <c r="M127" s="63">
        <v>0.27110228401191661</v>
      </c>
      <c r="N127" s="63">
        <v>0.22740814299900694</v>
      </c>
      <c r="O127" s="63">
        <v>0.60073260073260071</v>
      </c>
      <c r="P127" s="63">
        <v>0.4759825327510917</v>
      </c>
      <c r="Q127" s="63">
        <v>0.41739130434782606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  <row r="57" spans="1:17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3.7037037037037035E-2</v>
      </c>
      <c r="M57" s="63">
        <v>0.14730290456431536</v>
      </c>
      <c r="N57" s="63">
        <v>0.23443983402489627</v>
      </c>
      <c r="O57" s="63">
        <v>0.49295774647887325</v>
      </c>
      <c r="P57" s="63">
        <v>0.36283185840707965</v>
      </c>
      <c r="Q57" s="63">
        <v>0.41463414634146339</v>
      </c>
    </row>
    <row r="58" spans="1:17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3.6363636363636362E-2</v>
      </c>
      <c r="M58" s="63">
        <v>0.15163934426229508</v>
      </c>
      <c r="N58" s="63">
        <v>0.23770491803278687</v>
      </c>
      <c r="O58" s="63">
        <v>0.48648648648648651</v>
      </c>
      <c r="P58" s="63">
        <v>0.37931034482758619</v>
      </c>
      <c r="Q58" s="63">
        <v>0.40944881889763779</v>
      </c>
    </row>
    <row r="59" spans="1:17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3.5714285714285712E-2</v>
      </c>
      <c r="M59" s="63">
        <v>0.15461847389558234</v>
      </c>
      <c r="N59" s="63">
        <v>0.24096385542168675</v>
      </c>
      <c r="O59" s="63">
        <v>0.48051948051948051</v>
      </c>
      <c r="P59" s="63">
        <v>0.39166666666666666</v>
      </c>
      <c r="Q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20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  <row r="201" spans="1:17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9.7643097643097643E-2</v>
      </c>
      <c r="M201" s="63">
        <v>0.25441265976871574</v>
      </c>
      <c r="N201" s="63">
        <v>0.22844390342868737</v>
      </c>
      <c r="O201" s="63">
        <v>0.55901116427432218</v>
      </c>
      <c r="P201" s="63">
        <v>0.41207815275310833</v>
      </c>
      <c r="Q201" s="63">
        <v>0.44123711340206184</v>
      </c>
    </row>
    <row r="202" spans="1:17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9.8827470686767172E-2</v>
      </c>
      <c r="M202" s="63">
        <v>0.25414141414141417</v>
      </c>
      <c r="N202" s="63">
        <v>0.22868686868686869</v>
      </c>
      <c r="O202" s="63">
        <v>0.55802861685214622</v>
      </c>
      <c r="P202" s="63">
        <v>0.41254416961130741</v>
      </c>
      <c r="Q202" s="63">
        <v>0.44109589041095892</v>
      </c>
    </row>
    <row r="203" spans="1:17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9.8333333333333328E-2</v>
      </c>
      <c r="M203" s="63">
        <v>0.25406381697772429</v>
      </c>
      <c r="N203" s="63">
        <v>0.22897852699177201</v>
      </c>
      <c r="O203" s="63">
        <v>0.55766192733017372</v>
      </c>
      <c r="P203" s="63">
        <v>0.41279579316389131</v>
      </c>
      <c r="Q203" s="63">
        <v>0.44179714091218514</v>
      </c>
    </row>
    <row r="204" spans="1:17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9.7844112769485903E-2</v>
      </c>
      <c r="M204" s="63">
        <v>0.2536448971439984</v>
      </c>
      <c r="N204" s="63">
        <v>0.22927900938685838</v>
      </c>
      <c r="O204" s="63">
        <v>0.55826771653543306</v>
      </c>
      <c r="P204" s="63">
        <v>0.41202090592334495</v>
      </c>
      <c r="Q204" s="63">
        <v>0.44105691056910568</v>
      </c>
    </row>
    <row r="205" spans="1:17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9.7359735973597358E-2</v>
      </c>
      <c r="M205" s="63">
        <v>0.2537313432835821</v>
      </c>
      <c r="N205" s="63">
        <v>0.23024875621890548</v>
      </c>
      <c r="O205" s="63">
        <v>0.55764705882352938</v>
      </c>
      <c r="P205" s="63">
        <v>0.41140881590319794</v>
      </c>
      <c r="Q205" s="63">
        <v>0.44062078272604588</v>
      </c>
    </row>
    <row r="206" spans="1:17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9.688013136288999E-2</v>
      </c>
      <c r="M206" s="63">
        <v>0.25380811078140453</v>
      </c>
      <c r="N206" s="63">
        <v>0.2304648862512364</v>
      </c>
      <c r="O206" s="63">
        <v>0.55650818394388157</v>
      </c>
      <c r="P206" s="63">
        <v>0.41201716738197425</v>
      </c>
      <c r="Q206" s="63">
        <v>0.43930248155600266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2019-11-19T07:59:55Z</dcterms:modified>
</cp:coreProperties>
</file>