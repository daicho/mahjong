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F51BA77-4116-4E94-A556-6AE6D3741C7B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7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1" i="5835" l="1"/>
  <c r="O16" i="5843"/>
  <c r="O15" i="5843" l="1"/>
  <c r="O19" i="5851"/>
  <c r="O15" i="5841" l="1"/>
  <c r="O20" i="5847"/>
  <c r="O16" i="5851" l="1"/>
  <c r="O22" i="5841"/>
  <c r="O20" i="5835" l="1"/>
  <c r="O16" i="5837"/>
  <c r="O15" i="5847"/>
  <c r="O19" i="5847"/>
  <c r="O22" i="5845" l="1"/>
  <c r="O17" i="5849"/>
  <c r="O16" i="5839" l="1"/>
  <c r="O18" i="5845"/>
  <c r="O22" i="5847"/>
  <c r="O16" i="5847"/>
  <c r="O16" i="5835" l="1"/>
  <c r="O19" i="5849"/>
  <c r="O18" i="5849"/>
  <c r="O17" i="5841"/>
  <c r="O19" i="5839" l="1"/>
  <c r="O21" i="5843"/>
  <c r="O20" i="5843" l="1"/>
  <c r="O21" i="5837"/>
  <c r="O23" i="5847"/>
  <c r="O17" i="5851"/>
  <c r="O15" i="5851"/>
  <c r="O20" i="5849"/>
  <c r="O15" i="5839" l="1"/>
  <c r="O18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0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0" i="5841"/>
  <c r="O18" i="5837" l="1"/>
  <c r="O19" i="5845"/>
  <c r="O23" i="5845"/>
  <c r="O17" i="5835"/>
  <c r="O20" i="5839"/>
  <c r="O16" i="5841"/>
  <c r="O18" i="5841"/>
  <c r="O19" i="5835"/>
  <c r="O17" i="5839"/>
  <c r="O15" i="5837"/>
  <c r="O21" i="5849"/>
  <c r="O22" i="5849"/>
  <c r="O22" i="5843" l="1"/>
  <c r="O17" i="5843"/>
  <c r="O16" i="5849"/>
  <c r="O15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1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1" i="5833"/>
  <c r="H4" i="5849" l="1"/>
  <c r="H15" i="5849"/>
  <c r="H39" i="5849"/>
  <c r="H21" i="5849"/>
  <c r="H11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9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4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7" i="5847"/>
  <c r="H22" i="5847"/>
  <c r="C19" i="5847"/>
  <c r="B24" i="5847"/>
  <c r="H37" i="5847"/>
  <c r="H45" i="5847"/>
  <c r="H52" i="5847"/>
  <c r="H9" i="5847"/>
  <c r="H6" i="5847"/>
  <c r="H10" i="5847"/>
  <c r="H16" i="5847"/>
  <c r="H15" i="5847"/>
  <c r="H13" i="5847"/>
  <c r="H31" i="5847"/>
  <c r="H38" i="5847"/>
  <c r="H46" i="5847"/>
  <c r="H25" i="5847"/>
  <c r="H28" i="5847"/>
  <c r="H33" i="5847"/>
  <c r="H40" i="5847"/>
  <c r="H48" i="5847"/>
  <c r="H11" i="5847"/>
  <c r="H20" i="5847"/>
  <c r="H12" i="5847"/>
  <c r="H34" i="5847"/>
  <c r="H41" i="5847"/>
  <c r="H49" i="5847"/>
  <c r="H23" i="5847"/>
  <c r="H26" i="5847"/>
  <c r="H29" i="5847"/>
  <c r="H18" i="5847"/>
  <c r="H42" i="5847"/>
  <c r="O21" i="5845" l="1"/>
  <c r="O17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19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21" i="5841"/>
  <c r="O19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0" i="5833"/>
  <c r="H44" i="5841" l="1"/>
  <c r="H20" i="5843"/>
  <c r="H33" i="5845"/>
  <c r="H17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4" i="5845"/>
  <c r="H15" i="5845"/>
  <c r="H30" i="5845"/>
  <c r="H7" i="5845"/>
  <c r="C17" i="5845"/>
  <c r="H41" i="5845"/>
  <c r="H43" i="5845"/>
  <c r="C19" i="5845"/>
  <c r="H46" i="5845"/>
  <c r="H10" i="5845"/>
  <c r="H14" i="5845"/>
  <c r="H25" i="5845"/>
  <c r="H48" i="5845"/>
  <c r="H40" i="5845"/>
  <c r="H12" i="5845"/>
  <c r="H3" i="5845"/>
  <c r="H13" i="5845"/>
  <c r="H31" i="5845"/>
  <c r="H2" i="5845"/>
  <c r="H8" i="5845"/>
  <c r="H19" i="5845"/>
  <c r="H27" i="5845"/>
  <c r="H22" i="5845"/>
  <c r="H51" i="5845"/>
  <c r="B24" i="5845"/>
  <c r="H36" i="5845"/>
  <c r="H52" i="5845"/>
  <c r="H47" i="5845"/>
  <c r="H29" i="5845"/>
  <c r="H21" i="5845"/>
  <c r="H34" i="5845"/>
  <c r="H23" i="5845"/>
  <c r="H49" i="5845"/>
  <c r="H35" i="5845"/>
  <c r="H42" i="5845"/>
  <c r="H50" i="5845"/>
  <c r="H6" i="5845"/>
  <c r="H18" i="5845"/>
  <c r="H26" i="5845"/>
  <c r="C18" i="5845"/>
  <c r="B23" i="5845"/>
  <c r="H11" i="5845"/>
  <c r="H37" i="5845"/>
  <c r="H44" i="5845"/>
  <c r="H16" i="5845"/>
  <c r="H4" i="5845"/>
  <c r="H9" i="5845"/>
  <c r="H28" i="5845"/>
  <c r="H20" i="5845"/>
  <c r="H32" i="5845"/>
  <c r="H38" i="5845"/>
  <c r="H45" i="5845"/>
  <c r="H23" i="5843"/>
  <c r="B23" i="5843"/>
  <c r="H2" i="5843"/>
  <c r="H44" i="5843"/>
  <c r="H16" i="5843"/>
  <c r="H11" i="5843"/>
  <c r="C18" i="5843"/>
  <c r="H48" i="5843"/>
  <c r="C17" i="5843"/>
  <c r="H5" i="5843"/>
  <c r="H14" i="5843"/>
  <c r="H8" i="5843"/>
  <c r="H4" i="5843"/>
  <c r="H3" i="5843"/>
  <c r="H28" i="5843"/>
  <c r="H36" i="5843"/>
  <c r="H25" i="5843"/>
  <c r="H40" i="5843"/>
  <c r="H21" i="5843"/>
  <c r="H22" i="5843"/>
  <c r="H37" i="5843"/>
  <c r="H45" i="5843"/>
  <c r="H6" i="5843"/>
  <c r="H26" i="5843"/>
  <c r="C19" i="5843"/>
  <c r="B24" i="5843"/>
  <c r="H38" i="5843"/>
  <c r="H46" i="5843"/>
  <c r="H52" i="5843"/>
  <c r="H10" i="5843"/>
  <c r="H7" i="5843"/>
  <c r="H12" i="5843"/>
  <c r="H24" i="5843"/>
  <c r="H17" i="5843"/>
  <c r="H15" i="5843"/>
  <c r="H18" i="5843"/>
  <c r="H39" i="5843"/>
  <c r="H47" i="5843"/>
  <c r="H29" i="5843"/>
  <c r="H31" i="5843"/>
  <c r="H33" i="5843"/>
  <c r="H41" i="5843"/>
  <c r="H49" i="5843"/>
  <c r="H9" i="5843"/>
  <c r="H19" i="5843"/>
  <c r="H13" i="5843"/>
  <c r="H34" i="5843"/>
  <c r="H42" i="5843"/>
  <c r="H50" i="5843"/>
  <c r="H27" i="5843"/>
  <c r="H30" i="5843"/>
  <c r="H32" i="5843"/>
  <c r="H35" i="5843"/>
  <c r="H43" i="5843"/>
  <c r="H45" i="5841"/>
  <c r="H20" i="5841"/>
  <c r="H24" i="5841"/>
  <c r="C19" i="5841"/>
  <c r="B24" i="5841"/>
  <c r="H38" i="5841"/>
  <c r="H46" i="5841"/>
  <c r="H52" i="5841"/>
  <c r="H10" i="5841"/>
  <c r="H6" i="5841"/>
  <c r="H13" i="5841"/>
  <c r="H22" i="5841"/>
  <c r="H15" i="5841"/>
  <c r="H16" i="5841"/>
  <c r="H19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7" i="5841"/>
  <c r="H12" i="5841"/>
  <c r="H18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H3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8" i="5835"/>
  <c r="O15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2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9" l="1"/>
  <c r="H5" i="5839"/>
  <c r="C17" i="5839"/>
  <c r="H2" i="5839"/>
  <c r="H12" i="5839"/>
  <c r="H28" i="5839"/>
  <c r="H33" i="5839"/>
  <c r="H4" i="5839"/>
  <c r="H27" i="5839"/>
  <c r="B24" i="5839"/>
  <c r="H52" i="5839"/>
  <c r="H11" i="5839"/>
  <c r="H6" i="5839"/>
  <c r="H10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9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8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4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19" i="5835"/>
  <c r="H10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1" i="5835"/>
  <c r="H26" i="5835"/>
  <c r="H4" i="5835"/>
  <c r="C17" i="5835"/>
  <c r="H6" i="5835"/>
  <c r="H5" i="5835"/>
  <c r="C19" i="5835"/>
  <c r="H32" i="5835"/>
  <c r="H52" i="5835"/>
  <c r="H17" i="5835"/>
  <c r="H14" i="5835"/>
  <c r="H20" i="5835"/>
  <c r="H16" i="5835"/>
  <c r="H38" i="5835"/>
  <c r="H46" i="5835"/>
  <c r="H33" i="5835"/>
  <c r="H41" i="5835"/>
  <c r="H49" i="5835"/>
  <c r="H30" i="5835"/>
  <c r="H48" i="5835"/>
  <c r="H18" i="5835"/>
  <c r="H12" i="5835"/>
  <c r="H25" i="5835"/>
  <c r="H28" i="5835"/>
  <c r="H15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4" i="5833"/>
  <c r="H13" i="5833"/>
  <c r="H3" i="5833"/>
  <c r="H8" i="5833"/>
  <c r="H15" i="5833"/>
  <c r="H2" i="5833"/>
  <c r="C17" i="5833"/>
  <c r="H21" i="5833"/>
  <c r="H18" i="5833"/>
  <c r="H41" i="5833"/>
  <c r="H20" i="5833"/>
  <c r="H48" i="5833"/>
  <c r="H26" i="5833"/>
  <c r="H27" i="5833"/>
  <c r="H43" i="5833"/>
  <c r="H51" i="5833"/>
  <c r="H7" i="5833"/>
  <c r="H28" i="5833"/>
  <c r="H33" i="5833"/>
  <c r="C18" i="5833"/>
  <c r="B23" i="5833"/>
  <c r="H9" i="5833"/>
  <c r="H37" i="5833"/>
  <c r="H44" i="5833"/>
  <c r="H16" i="5833"/>
  <c r="H4" i="5833"/>
  <c r="H11" i="5833"/>
  <c r="H34" i="5833"/>
  <c r="H25" i="5833"/>
  <c r="H30" i="5833"/>
  <c r="H38" i="5833"/>
  <c r="H45" i="5833"/>
  <c r="H5" i="5833"/>
  <c r="H23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9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<sst xmlns="http://schemas.openxmlformats.org/spreadsheetml/2006/main" count="2778" uniqueCount="229">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</sst>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全体!$K$2:$K$398</c:f>
              <c:numCache>
                <c:formatCode>General</c:formatCode>
                <c:ptCount val="3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</c:numCache>
            </c:numRef>
          </c:xVal>
          <c:yVal>
            <c:numRef>
              <c:f>全体!$L$2:$L$398</c:f>
              <c:numCache>
                <c:formatCode>\+0.0;\-0.0;\±0</c:formatCode>
                <c:ptCount val="39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-20.356234096692113</c:v>
                </c:pt>
                <c:pt idx="1">
                  <c:v>5.2493438320209975</c:v>
                </c:pt>
                <c:pt idx="2">
                  <c:v>-19.125683060109289</c:v>
                </c:pt>
                <c:pt idx="3">
                  <c:v>17.241379310344829</c:v>
                </c:pt>
                <c:pt idx="4">
                  <c:v>12.232415902140673</c:v>
                </c:pt>
                <c:pt idx="5">
                  <c:v>10.989010989010989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たかの!$L$2:$L$40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1797.3684210526317</c:v>
                </c:pt>
                <c:pt idx="1">
                  <c:v>-762.16216216216219</c:v>
                </c:pt>
                <c:pt idx="2">
                  <c:v>-262.85714285714283</c:v>
                </c:pt>
                <c:pt idx="3">
                  <c:v>-2582.8571428571427</c:v>
                </c:pt>
                <c:pt idx="4">
                  <c:v>-1280</c:v>
                </c:pt>
                <c:pt idx="5">
                  <c:v>-2023.3333333333333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763.29113924050637</c:v>
                </c:pt>
                <c:pt idx="1">
                  <c:v>-117.10526315789474</c:v>
                </c:pt>
                <c:pt idx="2">
                  <c:v>-160</c:v>
                </c:pt>
                <c:pt idx="3">
                  <c:v>-413.04347826086956</c:v>
                </c:pt>
                <c:pt idx="4">
                  <c:v>2796.969696969697</c:v>
                </c:pt>
                <c:pt idx="5">
                  <c:v>3300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ただ!$L$2:$L$79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-2159.2105263157896</c:v>
                </c:pt>
                <c:pt idx="1">
                  <c:v>1301.3513513513512</c:v>
                </c:pt>
                <c:pt idx="2">
                  <c:v>584.28571428571433</c:v>
                </c:pt>
                <c:pt idx="3">
                  <c:v>2751.5151515151515</c:v>
                </c:pt>
                <c:pt idx="4">
                  <c:v>473.01587301587301</c:v>
                </c:pt>
                <c:pt idx="5">
                  <c:v>1935.8490566037735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-22.448979591836736</c:v>
                </c:pt>
                <c:pt idx="1">
                  <c:v>-206.12244897959184</c:v>
                </c:pt>
                <c:pt idx="2">
                  <c:v>827.65957446808511</c:v>
                </c:pt>
                <c:pt idx="3">
                  <c:v>-1684.7826086956522</c:v>
                </c:pt>
                <c:pt idx="4">
                  <c:v>-3827.2727272727275</c:v>
                </c:pt>
                <c:pt idx="5">
                  <c:v>-2205.1282051282051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れんたろう!$L$2:$L$48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2554.3478260869565</c:v>
                </c:pt>
                <c:pt idx="1">
                  <c:v>-3209.090909090909</c:v>
                </c:pt>
                <c:pt idx="2">
                  <c:v>1946.3414634146341</c:v>
                </c:pt>
                <c:pt idx="3">
                  <c:v>3335.897435897436</c:v>
                </c:pt>
                <c:pt idx="4">
                  <c:v>-1597.2222222222222</c:v>
                </c:pt>
                <c:pt idx="5">
                  <c:v>-268.9655172413793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まっつん!$L$2:$L$56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1009.2592592592592</c:v>
                </c:pt>
                <c:pt idx="1">
                  <c:v>1541.1764705882354</c:v>
                </c:pt>
                <c:pt idx="2">
                  <c:v>-1820.8333333333333</c:v>
                </c:pt>
                <c:pt idx="3">
                  <c:v>425</c:v>
                </c:pt>
                <c:pt idx="4">
                  <c:v>-23.076923076923077</c:v>
                </c:pt>
                <c:pt idx="5">
                  <c:v>-1220.5882352941176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-3196.4285714285716</c:v>
                </c:pt>
                <c:pt idx="1">
                  <c:v>275</c:v>
                </c:pt>
                <c:pt idx="2">
                  <c:v>-714.28571428571433</c:v>
                </c:pt>
                <c:pt idx="3">
                  <c:v>-3414.8148148148148</c:v>
                </c:pt>
                <c:pt idx="4">
                  <c:v>-1742.3076923076924</c:v>
                </c:pt>
                <c:pt idx="5">
                  <c:v>-3476.1904761904761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-2264.2857142857142</c:v>
                </c:pt>
                <c:pt idx="4">
                  <c:v>6215.3846153846152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88599675556061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47558770343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954189270644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23.4567901234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05147058823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90909090909091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90909090909091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438215792646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999397227245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638246041412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79192938209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15637860082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5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5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5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5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396</v>
      </c>
    </row>
    <row r="2" spans="1:2" x14ac:dyDescent="0.4">
      <c r="A2" t="s">
        <v>166</v>
      </c>
      <c r="B2">
        <v>38</v>
      </c>
    </row>
    <row r="3" spans="1:2" x14ac:dyDescent="0.4">
      <c r="A3" t="s">
        <v>126</v>
      </c>
      <c r="B3">
        <v>80</v>
      </c>
    </row>
    <row r="4" spans="1:2" x14ac:dyDescent="0.4">
      <c r="A4" t="s">
        <v>127</v>
      </c>
      <c r="B4">
        <v>77</v>
      </c>
    </row>
    <row r="5" spans="1:2" x14ac:dyDescent="0.4">
      <c r="A5" t="s">
        <v>179</v>
      </c>
      <c r="B5">
        <v>50</v>
      </c>
    </row>
    <row r="6" spans="1:2" x14ac:dyDescent="0.4">
      <c r="A6" t="s">
        <v>177</v>
      </c>
      <c r="B6">
        <v>46</v>
      </c>
    </row>
    <row r="7" spans="1:2" x14ac:dyDescent="0.4">
      <c r="A7" t="s">
        <v>178</v>
      </c>
      <c r="B7">
        <v>54</v>
      </c>
    </row>
    <row r="8" spans="1:2" x14ac:dyDescent="0.4">
      <c r="A8" t="s">
        <v>182</v>
      </c>
      <c r="B8">
        <v>28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0.98723941058590614</v>
      </c>
      <c r="G2" s="157"/>
      <c r="H2" s="156">
        <v>0.88990064145899517</v>
      </c>
      <c r="I2" s="157"/>
      <c r="J2" s="156">
        <v>0.96273201395522889</v>
      </c>
      <c r="K2" s="157"/>
      <c r="L2" s="156">
        <v>0.88939097685868951</v>
      </c>
      <c r="M2" s="157"/>
      <c r="N2" s="156">
        <v>0.58224973451126372</v>
      </c>
      <c r="O2" s="157"/>
      <c r="P2" s="156">
        <v>0.34354701341013727</v>
      </c>
      <c r="Q2" s="157"/>
      <c r="R2" s="156">
        <v>0.18158234848892699</v>
      </c>
      <c r="S2" s="157"/>
      <c r="T2" s="156">
        <v>0.26841271820301871</v>
      </c>
      <c r="U2" s="157"/>
      <c r="V2" s="156">
        <v>0.71481269746188647</v>
      </c>
      <c r="W2" s="157"/>
      <c r="X2" s="156">
        <v>0.46361713146774197</v>
      </c>
      <c r="Y2" s="157"/>
      <c r="Z2" s="156">
        <v>0.2558859028276072</v>
      </c>
      <c r="AA2" s="157"/>
      <c r="AB2" s="156">
        <v>5.9514500348129377E-2</v>
      </c>
      <c r="AC2" s="157"/>
      <c r="AD2" s="156">
        <v>0.43338571153687422</v>
      </c>
      <c r="AE2" s="157"/>
      <c r="AF2" s="156">
        <v>-0.33012623028765559</v>
      </c>
      <c r="AG2" s="157"/>
      <c r="AH2" s="156">
        <v>0.54312240563080827</v>
      </c>
      <c r="AI2" s="157"/>
    </row>
    <row r="3" spans="1:35" x14ac:dyDescent="0.4">
      <c r="A3" s="70">
        <v>1</v>
      </c>
      <c r="B3" s="71" t="s">
        <v>126</v>
      </c>
      <c r="C3" s="72">
        <v>572.09999999999991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10172.897196261682</v>
      </c>
      <c r="R3" s="73" t="s">
        <v>181</v>
      </c>
      <c r="S3" s="77">
        <v>-6800</v>
      </c>
      <c r="T3" s="73" t="s">
        <v>166</v>
      </c>
      <c r="U3" s="75">
        <v>0</v>
      </c>
      <c r="V3" s="73" t="s">
        <v>177</v>
      </c>
      <c r="W3" s="75">
        <v>0.19565217391304349</v>
      </c>
      <c r="X3" s="73" t="s">
        <v>177</v>
      </c>
      <c r="Y3" s="76">
        <v>0.31016042780748665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375.59999999999985</v>
      </c>
      <c r="D4" s="81" t="s">
        <v>126</v>
      </c>
      <c r="E4" s="93">
        <v>7.1512499999999992</v>
      </c>
      <c r="F4" s="81" t="s">
        <v>126</v>
      </c>
      <c r="G4" s="82">
        <v>1.7749999999999999</v>
      </c>
      <c r="H4" s="81" t="s">
        <v>126</v>
      </c>
      <c r="I4" s="83">
        <v>0.47499999999999998</v>
      </c>
      <c r="J4" s="81" t="s">
        <v>126</v>
      </c>
      <c r="K4" s="83">
        <v>0.25</v>
      </c>
      <c r="L4" s="81" t="s">
        <v>126</v>
      </c>
      <c r="M4" s="84">
        <v>0.33436055469953774</v>
      </c>
      <c r="N4" s="81" t="s">
        <v>178</v>
      </c>
      <c r="O4" s="84">
        <v>0.12984054669703873</v>
      </c>
      <c r="P4" s="81" t="s">
        <v>127</v>
      </c>
      <c r="Q4" s="85">
        <v>8763.7681159420281</v>
      </c>
      <c r="R4" s="81" t="s">
        <v>166</v>
      </c>
      <c r="S4" s="85">
        <v>-6845.0980392156862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0.28504672897196259</v>
      </c>
      <c r="Z4" s="81" t="s">
        <v>222</v>
      </c>
      <c r="AA4" s="84">
        <v>0.33333333333333331</v>
      </c>
      <c r="AB4" s="81" t="s">
        <v>179</v>
      </c>
      <c r="AC4" s="84">
        <v>0.60655737704918034</v>
      </c>
      <c r="AD4" s="81" t="s">
        <v>126</v>
      </c>
      <c r="AE4" s="84">
        <v>0.46496815286624205</v>
      </c>
      <c r="AF4" s="81" t="s">
        <v>182</v>
      </c>
      <c r="AG4" s="84">
        <v>0.50980392156862742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154.90000000000006</v>
      </c>
      <c r="D5" s="81" t="s">
        <v>127</v>
      </c>
      <c r="E5" s="93">
        <v>4.8779220779220758</v>
      </c>
      <c r="F5" s="81" t="s">
        <v>127</v>
      </c>
      <c r="G5" s="82">
        <v>1.8441558441558441</v>
      </c>
      <c r="H5" s="81" t="s">
        <v>127</v>
      </c>
      <c r="I5" s="83">
        <v>0.42857142857142855</v>
      </c>
      <c r="J5" s="81" t="s">
        <v>127</v>
      </c>
      <c r="K5" s="83">
        <v>0.27272727272727271</v>
      </c>
      <c r="L5" s="81" t="s">
        <v>127</v>
      </c>
      <c r="M5" s="84">
        <v>0.3165137614678899</v>
      </c>
      <c r="N5" s="81" t="s">
        <v>181</v>
      </c>
      <c r="O5" s="84">
        <v>0.13380281690140844</v>
      </c>
      <c r="P5" s="81" t="s">
        <v>178</v>
      </c>
      <c r="Q5" s="85">
        <v>8553.6585365853662</v>
      </c>
      <c r="R5" s="81" t="s">
        <v>126</v>
      </c>
      <c r="S5" s="85">
        <v>-7471.1111111111113</v>
      </c>
      <c r="T5" s="81" t="s">
        <v>126</v>
      </c>
      <c r="U5" s="83">
        <v>3.7499999999999999E-2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0.3058103975535168</v>
      </c>
      <c r="AB5" s="81" t="s">
        <v>126</v>
      </c>
      <c r="AC5" s="84">
        <v>0.60365853658536583</v>
      </c>
      <c r="AD5" s="81" t="s">
        <v>177</v>
      </c>
      <c r="AE5" s="84">
        <v>0.45333333333333331</v>
      </c>
      <c r="AF5" s="81" t="s">
        <v>177</v>
      </c>
      <c r="AG5" s="84">
        <v>0.46728971962616822</v>
      </c>
      <c r="AH5" s="81" t="s">
        <v>177</v>
      </c>
      <c r="AI5" s="88">
        <v>94100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1.9130434782608696</v>
      </c>
      <c r="H6" s="81" t="s">
        <v>195</v>
      </c>
      <c r="I6" s="83">
        <v>0.42857142857142855</v>
      </c>
      <c r="J6" s="81" t="s">
        <v>178</v>
      </c>
      <c r="K6" s="83">
        <v>0.27777777777777779</v>
      </c>
      <c r="L6" s="81" t="s">
        <v>143</v>
      </c>
      <c r="M6" s="84">
        <v>0.29294755877034356</v>
      </c>
      <c r="N6" s="81" t="s">
        <v>126</v>
      </c>
      <c r="O6" s="84">
        <v>0.13867488443759629</v>
      </c>
      <c r="P6" s="81" t="s">
        <v>143</v>
      </c>
      <c r="Q6" s="85">
        <v>8323.4567901234568</v>
      </c>
      <c r="R6" s="81" t="s">
        <v>179</v>
      </c>
      <c r="S6" s="85">
        <v>-7507.8651685393261</v>
      </c>
      <c r="T6" s="81" t="s">
        <v>179</v>
      </c>
      <c r="U6" s="83">
        <v>0.06</v>
      </c>
      <c r="V6" s="81" t="s">
        <v>127</v>
      </c>
      <c r="W6" s="83">
        <v>0.1038961038961039</v>
      </c>
      <c r="X6" s="81" t="s">
        <v>222</v>
      </c>
      <c r="Y6" s="84">
        <v>0.26666666666666666</v>
      </c>
      <c r="Z6" s="81" t="s">
        <v>178</v>
      </c>
      <c r="AA6" s="84">
        <v>0.24601366742596811</v>
      </c>
      <c r="AB6" s="81" t="s">
        <v>178</v>
      </c>
      <c r="AC6" s="84">
        <v>0.58407079646017701</v>
      </c>
      <c r="AD6" s="81" t="s">
        <v>143</v>
      </c>
      <c r="AE6" s="84">
        <v>0.4047919293820933</v>
      </c>
      <c r="AF6" s="81" t="s">
        <v>179</v>
      </c>
      <c r="AG6" s="84">
        <v>0.44166666666666665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3.3673913043478274</v>
      </c>
      <c r="F7" s="81" t="s">
        <v>181</v>
      </c>
      <c r="G7" s="82">
        <v>1.9285714285714286</v>
      </c>
      <c r="H7" s="81" t="s">
        <v>177</v>
      </c>
      <c r="I7" s="83">
        <v>0.41304347826086957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0.1536144578313253</v>
      </c>
      <c r="P7" s="81" t="s">
        <v>182</v>
      </c>
      <c r="Q7" s="85">
        <v>8100</v>
      </c>
      <c r="R7" s="81" t="s">
        <v>178</v>
      </c>
      <c r="S7" s="85">
        <v>-7705.2631578947367</v>
      </c>
      <c r="T7" s="81" t="s">
        <v>181</v>
      </c>
      <c r="U7" s="83">
        <v>7.1428571428571425E-2</v>
      </c>
      <c r="V7" s="81" t="s">
        <v>126</v>
      </c>
      <c r="W7" s="83">
        <v>0.1</v>
      </c>
      <c r="X7" s="81" t="s">
        <v>178</v>
      </c>
      <c r="Y7" s="84">
        <v>0.25740318906605925</v>
      </c>
      <c r="Z7" s="81" t="s">
        <v>126</v>
      </c>
      <c r="AA7" s="84">
        <v>0.24191063174114022</v>
      </c>
      <c r="AB7" s="81" t="s">
        <v>182</v>
      </c>
      <c r="AC7" s="84">
        <v>0.56818181818181823</v>
      </c>
      <c r="AD7" s="81" t="s">
        <v>127</v>
      </c>
      <c r="AE7" s="84">
        <v>0.39500000000000002</v>
      </c>
      <c r="AF7" s="81" t="s">
        <v>166</v>
      </c>
      <c r="AG7" s="84">
        <v>0.44047619047619047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-1.4210854715202004E-14</v>
      </c>
      <c r="D8" s="81" t="s">
        <v>143</v>
      </c>
      <c r="E8" s="93">
        <v>-3.5885996755560618E-17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0.32608695652173914</v>
      </c>
      <c r="L8" s="81" t="s">
        <v>177</v>
      </c>
      <c r="M8" s="84">
        <v>0.28609625668449196</v>
      </c>
      <c r="N8" s="81" t="s">
        <v>177</v>
      </c>
      <c r="O8" s="84">
        <v>0.16042780748663102</v>
      </c>
      <c r="P8" s="81" t="s">
        <v>126</v>
      </c>
      <c r="Q8" s="85">
        <v>7871.8894009216592</v>
      </c>
      <c r="R8" s="81" t="s">
        <v>143</v>
      </c>
      <c r="S8" s="85">
        <v>-7713.0514705882351</v>
      </c>
      <c r="T8" s="81" t="s">
        <v>178</v>
      </c>
      <c r="U8" s="83">
        <v>7.407407407407407E-2</v>
      </c>
      <c r="V8" s="81" t="s">
        <v>143</v>
      </c>
      <c r="W8" s="83">
        <v>9.0909090909090912E-2</v>
      </c>
      <c r="X8" s="81" t="s">
        <v>126</v>
      </c>
      <c r="Y8" s="84">
        <v>0.2526964560862866</v>
      </c>
      <c r="Z8" s="81" t="s">
        <v>143</v>
      </c>
      <c r="AA8" s="84">
        <v>0.23899939722724534</v>
      </c>
      <c r="AB8" s="81" t="s">
        <v>143</v>
      </c>
      <c r="AC8" s="84">
        <v>0.5663824604141291</v>
      </c>
      <c r="AD8" s="81" t="s">
        <v>179</v>
      </c>
      <c r="AE8" s="84">
        <v>0.39240506329113922</v>
      </c>
      <c r="AF8" s="81" t="s">
        <v>143</v>
      </c>
      <c r="AG8" s="84">
        <v>0.43415637860082307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-12.499999999999979</v>
      </c>
      <c r="D9" s="81" t="s">
        <v>178</v>
      </c>
      <c r="E9" s="93">
        <v>-0.23148148148148109</v>
      </c>
      <c r="F9" s="81" t="s">
        <v>178</v>
      </c>
      <c r="G9" s="82">
        <v>2.0925925925925926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179</v>
      </c>
      <c r="M9" s="84">
        <v>0.28037383177570091</v>
      </c>
      <c r="N9" s="81" t="s">
        <v>143</v>
      </c>
      <c r="O9" s="84">
        <v>0.16395418927064498</v>
      </c>
      <c r="P9" s="81" t="s">
        <v>181</v>
      </c>
      <c r="Q9" s="85">
        <v>7782.9268292682927</v>
      </c>
      <c r="R9" s="81" t="s">
        <v>127</v>
      </c>
      <c r="S9" s="85">
        <v>-7828.688524590164</v>
      </c>
      <c r="T9" s="81" t="s">
        <v>143</v>
      </c>
      <c r="U9" s="83">
        <v>9.0909090909090912E-2</v>
      </c>
      <c r="V9" s="81" t="s">
        <v>178</v>
      </c>
      <c r="W9" s="83">
        <v>7.407407407407407E-2</v>
      </c>
      <c r="X9" s="81" t="s">
        <v>143</v>
      </c>
      <c r="Y9" s="84">
        <v>0.24743821579264616</v>
      </c>
      <c r="Z9" s="81" t="s">
        <v>166</v>
      </c>
      <c r="AA9" s="84">
        <v>0.23493975903614459</v>
      </c>
      <c r="AB9" s="81" t="s">
        <v>127</v>
      </c>
      <c r="AC9" s="84">
        <v>0.53642384105960261</v>
      </c>
      <c r="AD9" s="81" t="s">
        <v>178</v>
      </c>
      <c r="AE9" s="84">
        <v>0.3888888888888889</v>
      </c>
      <c r="AF9" s="81" t="s">
        <v>178</v>
      </c>
      <c r="AG9" s="84">
        <v>0.43089430894308944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-5.6078947368421055</v>
      </c>
      <c r="F10" s="81" t="s">
        <v>166</v>
      </c>
      <c r="G10" s="82">
        <v>2.1315789473684212</v>
      </c>
      <c r="H10" s="81" t="s">
        <v>166</v>
      </c>
      <c r="I10" s="83">
        <v>0.28947368421052633</v>
      </c>
      <c r="J10" s="81" t="s">
        <v>179</v>
      </c>
      <c r="K10" s="83">
        <v>0.42</v>
      </c>
      <c r="L10" s="81" t="s">
        <v>178</v>
      </c>
      <c r="M10" s="84">
        <v>0.28018223234624146</v>
      </c>
      <c r="N10" s="81" t="s">
        <v>127</v>
      </c>
      <c r="O10" s="84">
        <v>0.18654434250764526</v>
      </c>
      <c r="P10" s="81" t="s">
        <v>179</v>
      </c>
      <c r="Q10" s="85">
        <v>7723.333333333333</v>
      </c>
      <c r="R10" s="81" t="s">
        <v>222</v>
      </c>
      <c r="S10" s="85">
        <v>-8000</v>
      </c>
      <c r="T10" s="81" t="s">
        <v>177</v>
      </c>
      <c r="U10" s="83">
        <v>0.10869565217391304</v>
      </c>
      <c r="V10" s="81" t="s">
        <v>179</v>
      </c>
      <c r="W10" s="83">
        <v>0.04</v>
      </c>
      <c r="X10" s="81" t="s">
        <v>195</v>
      </c>
      <c r="Y10" s="84">
        <v>0.24193548387096775</v>
      </c>
      <c r="Z10" s="81" t="s">
        <v>182</v>
      </c>
      <c r="AA10" s="84">
        <v>0.21076233183856502</v>
      </c>
      <c r="AB10" s="81" t="s">
        <v>195</v>
      </c>
      <c r="AC10" s="84">
        <v>0.53333333333333333</v>
      </c>
      <c r="AD10" s="81" t="s">
        <v>182</v>
      </c>
      <c r="AE10" s="84">
        <v>0.36170212765957449</v>
      </c>
      <c r="AF10" s="81" t="s">
        <v>126</v>
      </c>
      <c r="AG10" s="84">
        <v>0.42396313364055299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-213.10000000000002</v>
      </c>
      <c r="D11" s="81" t="s">
        <v>179</v>
      </c>
      <c r="E11" s="93">
        <v>-8.0199999999999978</v>
      </c>
      <c r="F11" s="81" t="s">
        <v>195</v>
      </c>
      <c r="G11" s="82">
        <v>2.1428571428571428</v>
      </c>
      <c r="H11" s="81" t="s">
        <v>178</v>
      </c>
      <c r="I11" s="83">
        <v>0.18518518518518517</v>
      </c>
      <c r="J11" s="81" t="s">
        <v>166</v>
      </c>
      <c r="K11" s="83">
        <v>0.42105263157894735</v>
      </c>
      <c r="L11" s="81" t="s">
        <v>166</v>
      </c>
      <c r="M11" s="84">
        <v>0.25301204819277107</v>
      </c>
      <c r="N11" s="81" t="s">
        <v>182</v>
      </c>
      <c r="O11" s="84">
        <v>0.19282511210762332</v>
      </c>
      <c r="P11" s="81" t="s">
        <v>195</v>
      </c>
      <c r="Q11" s="85">
        <v>7473.333333333333</v>
      </c>
      <c r="R11" s="81" t="s">
        <v>182</v>
      </c>
      <c r="S11" s="85">
        <v>-8318.6046511627901</v>
      </c>
      <c r="T11" s="81" t="s">
        <v>127</v>
      </c>
      <c r="U11" s="83">
        <v>0.14285714285714285</v>
      </c>
      <c r="V11" s="81" t="s">
        <v>182</v>
      </c>
      <c r="W11" s="83">
        <v>3.5714285714285712E-2</v>
      </c>
      <c r="X11" s="81" t="s">
        <v>127</v>
      </c>
      <c r="Y11" s="84">
        <v>0.23088685015290519</v>
      </c>
      <c r="Z11" s="81" t="s">
        <v>177</v>
      </c>
      <c r="AA11" s="84">
        <v>0.20053475935828877</v>
      </c>
      <c r="AB11" s="81" t="s">
        <v>177</v>
      </c>
      <c r="AC11" s="84">
        <v>0.50862068965517238</v>
      </c>
      <c r="AD11" s="81" t="s">
        <v>166</v>
      </c>
      <c r="AE11" s="84">
        <v>0.34615384615384615</v>
      </c>
      <c r="AF11" s="81" t="s">
        <v>127</v>
      </c>
      <c r="AG11" s="84">
        <v>0.39613526570048307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-400.99999999999989</v>
      </c>
      <c r="D12" s="81" t="s">
        <v>195</v>
      </c>
      <c r="E12" s="93">
        <v>-14.971428571428573</v>
      </c>
      <c r="F12" s="81" t="s">
        <v>179</v>
      </c>
      <c r="G12" s="82">
        <v>2.2400000000000002</v>
      </c>
      <c r="H12" s="81" t="s">
        <v>179</v>
      </c>
      <c r="I12" s="83">
        <v>0.18</v>
      </c>
      <c r="J12" s="81" t="s">
        <v>182</v>
      </c>
      <c r="K12" s="83">
        <v>0.5714285714285714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-8468.3333333333339</v>
      </c>
      <c r="T12" s="81" t="s">
        <v>182</v>
      </c>
      <c r="U12" s="83">
        <v>0.17857142857142858</v>
      </c>
      <c r="V12" s="81" t="s">
        <v>166</v>
      </c>
      <c r="W12" s="83">
        <v>2.6315789473684209E-2</v>
      </c>
      <c r="X12" s="81" t="s">
        <v>182</v>
      </c>
      <c r="Y12" s="84">
        <v>0.19730941704035873</v>
      </c>
      <c r="Z12" s="81" t="s">
        <v>179</v>
      </c>
      <c r="AA12" s="84">
        <v>0.18457943925233644</v>
      </c>
      <c r="AB12" s="81" t="s">
        <v>166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-447.30000000000013</v>
      </c>
      <c r="D13" s="81" t="s">
        <v>182</v>
      </c>
      <c r="E13" s="93">
        <v>-15.975000000000005</v>
      </c>
      <c r="F13" s="81" t="s">
        <v>182</v>
      </c>
      <c r="G13" s="82">
        <v>2.4642857142857144</v>
      </c>
      <c r="H13" s="81" t="s">
        <v>182</v>
      </c>
      <c r="I13" s="83">
        <v>0.10714285714285714</v>
      </c>
      <c r="J13" s="81" t="s">
        <v>195</v>
      </c>
      <c r="K13" s="83">
        <v>0.5714285714285714</v>
      </c>
      <c r="L13" s="81" t="s">
        <v>182</v>
      </c>
      <c r="M13" s="84">
        <v>0.22869955156950672</v>
      </c>
      <c r="N13" s="81" t="s">
        <v>179</v>
      </c>
      <c r="O13" s="84">
        <v>0.20794392523364486</v>
      </c>
      <c r="P13" s="81" t="s">
        <v>166</v>
      </c>
      <c r="Q13" s="85">
        <v>7198.8095238095239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0.15662650602409639</v>
      </c>
      <c r="Z13" s="81" t="s">
        <v>181</v>
      </c>
      <c r="AA13" s="84">
        <v>0.15492957746478872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3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396</v>
      </c>
      <c r="C2" s="149"/>
      <c r="E2" s="58" t="s">
        <v>66</v>
      </c>
      <c r="F2" s="55" t="s">
        <v>22</v>
      </c>
      <c r="G2" s="43">
        <v>749</v>
      </c>
      <c r="H2" s="128">
        <f>IF(B$17=0,0,G2/B$17)</f>
        <v>0.77057613168724282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-20.356234096692113</v>
      </c>
      <c r="P2" s="114">
        <v>393</v>
      </c>
      <c r="Q2" s="98">
        <v>-8000</v>
      </c>
    </row>
    <row r="3" spans="1:17" x14ac:dyDescent="0.4">
      <c r="A3" s="51" t="s">
        <v>8</v>
      </c>
      <c r="B3" s="150">
        <v>3318</v>
      </c>
      <c r="C3" s="151"/>
      <c r="E3" s="59" t="s">
        <v>72</v>
      </c>
      <c r="F3" s="56" t="s">
        <v>27</v>
      </c>
      <c r="G3" s="44">
        <v>531</v>
      </c>
      <c r="H3" s="129">
        <f>IF(B$17=0,0,G3/B$17)</f>
        <v>0.54629629629629628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5.2493438320209975</v>
      </c>
      <c r="P3" s="115">
        <v>381</v>
      </c>
      <c r="Q3" s="99">
        <v>2000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447</v>
      </c>
      <c r="H4" s="129">
        <f>IF(B$17=0,0,G4/B$17)</f>
        <v>0.45987654320987653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-19.125683060109289</v>
      </c>
      <c r="P4" s="115">
        <v>366</v>
      </c>
      <c r="Q4" s="99">
        <v>-7000</v>
      </c>
    </row>
    <row r="5" spans="1:17" x14ac:dyDescent="0.4">
      <c r="A5" s="51" t="s">
        <v>7</v>
      </c>
      <c r="B5" s="154">
        <f>IF(B$2=0,0,B$4/B$2)</f>
        <v>-3.5885996755560618E-17</v>
      </c>
      <c r="C5" s="155"/>
      <c r="E5" s="59" t="s">
        <v>171</v>
      </c>
      <c r="F5" s="56" t="s">
        <v>172</v>
      </c>
      <c r="G5" s="44">
        <v>378</v>
      </c>
      <c r="H5" s="129">
        <f>IF(B$17=0,0,G5/B$17)</f>
        <v>0.3888888888888889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17.241379310344829</v>
      </c>
      <c r="P5" s="115">
        <v>348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305</v>
      </c>
      <c r="H6" s="129">
        <f>IF(B$17=0,0,G6/B$17)</f>
        <v>0.31378600823045266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12.232415902140673</v>
      </c>
      <c r="P6" s="115">
        <v>327</v>
      </c>
      <c r="Q6" s="99">
        <v>4000</v>
      </c>
    </row>
    <row r="7" spans="1:17" x14ac:dyDescent="0.4">
      <c r="A7" s="51" t="s">
        <v>2</v>
      </c>
      <c r="B7" s="44">
        <v>132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288</v>
      </c>
      <c r="H7" s="129">
        <f>IF(B$17=0,0,G7/B$17)</f>
        <v>0.29629629629629628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10.989010989010989</v>
      </c>
      <c r="P7" s="116">
        <v>273</v>
      </c>
      <c r="Q7" s="100">
        <v>3000</v>
      </c>
    </row>
    <row r="8" spans="1:17" x14ac:dyDescent="0.4">
      <c r="A8" s="51" t="s">
        <v>3</v>
      </c>
      <c r="B8" s="44">
        <v>132</v>
      </c>
      <c r="C8" s="37">
        <f t="shared" si="1"/>
        <v>0.33333333333333331</v>
      </c>
      <c r="E8" s="59" t="s">
        <v>69</v>
      </c>
      <c r="F8" s="56" t="s">
        <v>24</v>
      </c>
      <c r="G8" s="44">
        <v>145</v>
      </c>
      <c r="H8" s="129">
        <f>IF(B$17=0,0,G8/B$17)</f>
        <v>0.14917695473251028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132</v>
      </c>
      <c r="C9" s="38">
        <f t="shared" si="1"/>
        <v>0.33333333333333331</v>
      </c>
      <c r="E9" s="59" t="s">
        <v>89</v>
      </c>
      <c r="F9" s="56" t="s">
        <v>44</v>
      </c>
      <c r="G9" s="44">
        <v>131</v>
      </c>
      <c r="H9" s="129">
        <f>IF(B$17=0,0,G9/B$17)</f>
        <v>0.13477366255144033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36</v>
      </c>
      <c r="C10" s="38">
        <f t="shared" si="1"/>
        <v>9.0909090909090912E-2</v>
      </c>
      <c r="E10" s="59" t="s">
        <v>65</v>
      </c>
      <c r="F10" s="56" t="s">
        <v>21</v>
      </c>
      <c r="G10" s="44">
        <v>92</v>
      </c>
      <c r="H10" s="129">
        <f>IF(B$17=0,0,G10/B$17)</f>
        <v>9.4650205761316872E-2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0.81287878787878731</v>
      </c>
      <c r="P10" s="114">
        <v>132</v>
      </c>
      <c r="Q10" s="102">
        <v>107.29999999999993</v>
      </c>
    </row>
    <row r="11" spans="1:17" x14ac:dyDescent="0.4">
      <c r="A11" s="52" t="s">
        <v>138</v>
      </c>
      <c r="B11" s="45">
        <v>36</v>
      </c>
      <c r="C11" s="38">
        <f t="shared" si="1"/>
        <v>9.0909090909090912E-2</v>
      </c>
      <c r="E11" s="59" t="s">
        <v>70</v>
      </c>
      <c r="F11" s="56" t="s">
        <v>25</v>
      </c>
      <c r="G11" s="44">
        <v>91</v>
      </c>
      <c r="H11" s="129">
        <f>IF(B$17=0,0,G11/B$17)</f>
        <v>9.3621399176954737E-2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0.86969696969696986</v>
      </c>
      <c r="P11" s="115">
        <v>132</v>
      </c>
      <c r="Q11" s="103">
        <v>114.80000000000003</v>
      </c>
    </row>
    <row r="12" spans="1:17" x14ac:dyDescent="0.4">
      <c r="A12" s="53" t="s">
        <v>158</v>
      </c>
      <c r="B12" s="46">
        <v>41</v>
      </c>
      <c r="C12" s="40">
        <f t="shared" si="1"/>
        <v>0.10353535353535354</v>
      </c>
      <c r="E12" s="59" t="s">
        <v>71</v>
      </c>
      <c r="F12" s="56" t="s">
        <v>26</v>
      </c>
      <c r="G12" s="44">
        <v>74</v>
      </c>
      <c r="H12" s="129">
        <f>IF(B$17=0,0,G12/B$17)</f>
        <v>7.6131687242798354E-2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-1.6825757575757578</v>
      </c>
      <c r="P12" s="116">
        <v>132</v>
      </c>
      <c r="Q12" s="104">
        <v>-222.10000000000002</v>
      </c>
    </row>
    <row r="13" spans="1:17" x14ac:dyDescent="0.4">
      <c r="A13" s="54" t="s">
        <v>121</v>
      </c>
      <c r="B13" s="47">
        <v>821</v>
      </c>
      <c r="C13" s="42">
        <f>IF(B$3=0,0,B13/B$3)</f>
        <v>0.24743821579264616</v>
      </c>
      <c r="E13" s="59" t="s">
        <v>83</v>
      </c>
      <c r="F13" s="56" t="s">
        <v>38</v>
      </c>
      <c r="G13" s="44">
        <v>54</v>
      </c>
      <c r="H13" s="129">
        <f>IF(B$17=0,0,G13/B$17)</f>
        <v>5.5555555555555552E-2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793</v>
      </c>
      <c r="C14" s="37">
        <f>IF(B$3=0,0,B14/B$3)</f>
        <v>0.23899939722724534</v>
      </c>
      <c r="E14" s="59" t="s">
        <v>86</v>
      </c>
      <c r="F14" s="56" t="s">
        <v>41</v>
      </c>
      <c r="G14" s="44">
        <v>43</v>
      </c>
      <c r="H14" s="129">
        <f>IF(B$17=0,0,G14/B$17)</f>
        <v>4.4238683127572016E-2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465</v>
      </c>
      <c r="C15" s="35">
        <f>IF(B$13=0,0,B15/B$13)</f>
        <v>0.5663824604141291</v>
      </c>
      <c r="E15" s="59" t="s">
        <v>78</v>
      </c>
      <c r="F15" s="56" t="s">
        <v>33</v>
      </c>
      <c r="G15" s="44">
        <v>25</v>
      </c>
      <c r="H15" s="129">
        <f>IF(B$17=0,0,G15/B$17)</f>
        <v>2.5720164609053499E-2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 t="shared" ref="O15:O24" si="2">IF(P15=0,0,Q15/P15)</f>
        <v>23.962499999999988</v>
      </c>
      <c r="P15" s="114">
        <v>56</v>
      </c>
      <c r="Q15" s="102">
        <v>1341.8999999999994</v>
      </c>
    </row>
    <row r="16" spans="1:17" x14ac:dyDescent="0.4">
      <c r="A16" s="50" t="s">
        <v>124</v>
      </c>
      <c r="B16" s="43">
        <v>321</v>
      </c>
      <c r="C16" s="35">
        <f>IF(B$14=0,0,B16/B$14)</f>
        <v>0.4047919293820933</v>
      </c>
      <c r="E16" s="59" t="s">
        <v>167</v>
      </c>
      <c r="F16" s="56" t="s">
        <v>168</v>
      </c>
      <c r="G16" s="44">
        <v>21</v>
      </c>
      <c r="H16" s="129">
        <f>IF(B$17=0,0,G16/B$17)</f>
        <v>2.1604938271604937E-2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 t="shared" si="2"/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972</v>
      </c>
      <c r="C17" s="35">
        <f>IF(B$3=0,0,B17/B$3)</f>
        <v>0.29294755877034356</v>
      </c>
      <c r="E17" s="59" t="s">
        <v>81</v>
      </c>
      <c r="F17" s="56" t="s">
        <v>36</v>
      </c>
      <c r="G17" s="44">
        <v>18</v>
      </c>
      <c r="H17" s="129">
        <f>IF(B$17=0,0,G17/B$17)</f>
        <v>1.8518518518518517E-2</v>
      </c>
      <c r="I17" s="90">
        <v>7</v>
      </c>
      <c r="K17" s="36">
        <v>15</v>
      </c>
      <c r="L17" s="95">
        <v>0</v>
      </c>
      <c r="N17" s="111" t="s">
        <v>179</v>
      </c>
      <c r="O17" s="121">
        <f t="shared" si="2"/>
        <v>12.030000000000008</v>
      </c>
      <c r="P17" s="115">
        <v>100</v>
      </c>
      <c r="Q17" s="103">
        <v>1203.0000000000009</v>
      </c>
    </row>
    <row r="18" spans="1:17" x14ac:dyDescent="0.4">
      <c r="A18" s="51" t="s">
        <v>12</v>
      </c>
      <c r="B18" s="44">
        <v>422</v>
      </c>
      <c r="C18" s="37">
        <f>IF(B$17=0,0,B18/B$17)</f>
        <v>0.43415637860082307</v>
      </c>
      <c r="E18" s="59" t="s">
        <v>79</v>
      </c>
      <c r="F18" s="56" t="s">
        <v>34</v>
      </c>
      <c r="G18" s="44">
        <v>14</v>
      </c>
      <c r="H18" s="129">
        <f>IF(B$17=0,0,G18/B$17)</f>
        <v>1.4403292181069959E-2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 t="shared" si="2"/>
        <v>8.4118421052631565</v>
      </c>
      <c r="P18" s="115">
        <v>76</v>
      </c>
      <c r="Q18" s="103">
        <v>639.29999999999984</v>
      </c>
    </row>
    <row r="19" spans="1:17" x14ac:dyDescent="0.4">
      <c r="A19" s="51" t="s">
        <v>11</v>
      </c>
      <c r="B19" s="44">
        <v>550</v>
      </c>
      <c r="C19" s="37">
        <f>IF(B$17=0,0,B19/B$17)</f>
        <v>0.56584362139917699</v>
      </c>
      <c r="E19" s="59" t="s">
        <v>91</v>
      </c>
      <c r="F19" s="56" t="s">
        <v>46</v>
      </c>
      <c r="G19" s="44">
        <v>14</v>
      </c>
      <c r="H19" s="129">
        <f>IF(B$17=0,0,G19/B$17)</f>
        <v>1.4403292181069959E-2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 t="shared" si="2"/>
        <v>0.34722222222222154</v>
      </c>
      <c r="P19" s="115">
        <v>108</v>
      </c>
      <c r="Q19" s="103">
        <v>37.499999999999929</v>
      </c>
    </row>
    <row r="20" spans="1:17" x14ac:dyDescent="0.4">
      <c r="A20" s="51" t="s">
        <v>13</v>
      </c>
      <c r="B20" s="44">
        <v>544</v>
      </c>
      <c r="C20" s="37">
        <f>IF(B$3=0,0,B20/B$3)</f>
        <v>0.16395418927064498</v>
      </c>
      <c r="E20" s="59" t="s">
        <v>75</v>
      </c>
      <c r="F20" s="56" t="s">
        <v>30</v>
      </c>
      <c r="G20" s="44">
        <v>7</v>
      </c>
      <c r="H20" s="129">
        <f>IF(B$17=0,0,G20/B$17)</f>
        <v>7.2016460905349796E-3</v>
      </c>
      <c r="I20" s="90">
        <v>6</v>
      </c>
      <c r="K20" s="36">
        <v>18</v>
      </c>
      <c r="L20" s="95">
        <v>0</v>
      </c>
      <c r="N20" s="111" t="s">
        <v>177</v>
      </c>
      <c r="O20" s="121">
        <f t="shared" si="2"/>
        <v>-5.0510869565217362</v>
      </c>
      <c r="P20" s="115">
        <v>92</v>
      </c>
      <c r="Q20" s="103">
        <v>-464.6999999999997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6.1728395061728392E-3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 t="shared" si="2"/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7</v>
      </c>
      <c r="E22" s="59" t="s">
        <v>74</v>
      </c>
      <c r="F22" s="56" t="s">
        <v>29</v>
      </c>
      <c r="G22" s="44">
        <v>5</v>
      </c>
      <c r="H22" s="129">
        <f>IF(B$17=0,0,G22/B$17)</f>
        <v>5.1440329218106996E-3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 t="shared" si="2"/>
        <v>-7.3168831168831243</v>
      </c>
      <c r="P22" s="115">
        <v>154</v>
      </c>
      <c r="Q22" s="103">
        <v>-1126.8000000000011</v>
      </c>
    </row>
    <row r="23" spans="1:17" x14ac:dyDescent="0.4">
      <c r="A23" s="51" t="s">
        <v>5</v>
      </c>
      <c r="B23" s="48">
        <f>IF(B$17=0,0,C23/B$17)</f>
        <v>8323.4567901234568</v>
      </c>
      <c r="C23" s="39">
        <v>8090400</v>
      </c>
      <c r="E23" s="59" t="s">
        <v>77</v>
      </c>
      <c r="F23" s="56" t="s">
        <v>32</v>
      </c>
      <c r="G23" s="44">
        <v>4</v>
      </c>
      <c r="H23" s="129">
        <f>IF(B$17=0,0,G23/B$17)</f>
        <v>4.11522633744856E-3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 t="shared" si="2"/>
        <v>-10.726874999999991</v>
      </c>
      <c r="P23" s="115">
        <v>160</v>
      </c>
      <c r="Q23" s="103">
        <v>-1716.2999999999986</v>
      </c>
    </row>
    <row r="24" spans="1:17" x14ac:dyDescent="0.4">
      <c r="A24" s="52" t="s">
        <v>216</v>
      </c>
      <c r="B24" s="136">
        <f>IF($B$17-B$16=0,0,C24/($B$17-B$16))</f>
        <v>8773.4254992319511</v>
      </c>
      <c r="C24" s="137">
        <v>5711500</v>
      </c>
      <c r="E24" s="59" t="s">
        <v>84</v>
      </c>
      <c r="F24" s="56" t="s">
        <v>39</v>
      </c>
      <c r="G24" s="44">
        <v>4</v>
      </c>
      <c r="H24" s="129">
        <f>IF(B$17=0,0,G24/B$17)</f>
        <v>4.11522633744856E-3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 t="shared" si="2"/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7410.9034267912775</v>
      </c>
      <c r="C25" s="137">
        <v>2378900</v>
      </c>
      <c r="E25" s="59" t="s">
        <v>85</v>
      </c>
      <c r="F25" s="56" t="s">
        <v>40</v>
      </c>
      <c r="G25" s="44">
        <v>4</v>
      </c>
      <c r="H25" s="129">
        <f>IF(B$17=0,0,G25/B$17)</f>
        <v>4.11522633744856E-3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-7713.0514705882351</v>
      </c>
      <c r="C26" s="137">
        <v>-4195900</v>
      </c>
      <c r="E26" s="59" t="s">
        <v>88</v>
      </c>
      <c r="F26" s="56" t="s">
        <v>43</v>
      </c>
      <c r="G26" s="44">
        <v>4</v>
      </c>
      <c r="H26" s="129">
        <f>IF(B$17=0,0,G26/B$17)</f>
        <v>4.11522633744856E-3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95</v>
      </c>
      <c r="F27" s="56" t="s">
        <v>50</v>
      </c>
      <c r="G27" s="44">
        <v>3</v>
      </c>
      <c r="H27" s="129">
        <f>IF(B$17=0,0,G27/B$17)</f>
        <v>3.0864197530864196E-3</v>
      </c>
      <c r="I27" s="90">
        <v>4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73</v>
      </c>
      <c r="F28" s="56" t="s">
        <v>28</v>
      </c>
      <c r="G28" s="44">
        <v>2</v>
      </c>
      <c r="H28" s="129">
        <f>IF(B$17=0,0,G28/B$17)</f>
        <v>2.05761316872428E-3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3.616636528028933E-3</v>
      </c>
      <c r="E29" s="59" t="s">
        <v>87</v>
      </c>
      <c r="F29" s="56" t="s">
        <v>42</v>
      </c>
      <c r="G29" s="44">
        <v>2</v>
      </c>
      <c r="H29" s="129">
        <f>IF(B$17=0,0,G29/B$17)</f>
        <v>2.05761316872428E-3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2.05761316872428E-3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1.02880658436214E-3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1.02880658436214E-3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</sheetData>
  <sortState xmlns:xlrd2="http://schemas.microsoft.com/office/spreadsheetml/2017/richdata2" ref="E2:I39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38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0.6428571428571429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1797.3684210526317</v>
      </c>
      <c r="P2" s="114">
        <v>38</v>
      </c>
      <c r="Q2" s="98">
        <v>68300</v>
      </c>
    </row>
    <row r="3" spans="1:17" x14ac:dyDescent="0.4">
      <c r="A3" s="51" t="s">
        <v>8</v>
      </c>
      <c r="B3" s="150">
        <v>332</v>
      </c>
      <c r="C3" s="151"/>
      <c r="E3" s="59" t="s">
        <v>72</v>
      </c>
      <c r="F3" s="56" t="s">
        <v>27</v>
      </c>
      <c r="G3" s="44">
        <v>43</v>
      </c>
      <c r="H3" s="129">
        <f>IF(B$17=0,0,G3/B$17)</f>
        <v>0.51190476190476186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-762.16216216216219</v>
      </c>
      <c r="P3" s="115">
        <v>37</v>
      </c>
      <c r="Q3" s="99">
        <v>-28200</v>
      </c>
    </row>
    <row r="4" spans="1:17" x14ac:dyDescent="0.4">
      <c r="A4" s="51" t="s">
        <v>6</v>
      </c>
      <c r="B4" s="152">
        <v>-213.10000000000002</v>
      </c>
      <c r="C4" s="153"/>
      <c r="E4" s="59" t="s">
        <v>171</v>
      </c>
      <c r="F4" s="56" t="s">
        <v>172</v>
      </c>
      <c r="G4" s="44">
        <v>35</v>
      </c>
      <c r="H4" s="129">
        <f>IF(B$17=0,0,G4/B$17)</f>
        <v>0.41666666666666669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-262.85714285714283</v>
      </c>
      <c r="P4" s="115">
        <v>35</v>
      </c>
      <c r="Q4" s="99">
        <v>-9200</v>
      </c>
    </row>
    <row r="5" spans="1:17" x14ac:dyDescent="0.4">
      <c r="A5" s="51" t="s">
        <v>7</v>
      </c>
      <c r="B5" s="154">
        <f>IF(B$2=0,0,B$4/B$2)</f>
        <v>-5.6078947368421055</v>
      </c>
      <c r="C5" s="155"/>
      <c r="E5" s="59" t="s">
        <v>68</v>
      </c>
      <c r="F5" s="56" t="s">
        <v>12</v>
      </c>
      <c r="G5" s="44">
        <v>26</v>
      </c>
      <c r="H5" s="129">
        <f>IF(B$17=0,0,G5/B$17)</f>
        <v>0.30952380952380953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-2582.8571428571427</v>
      </c>
      <c r="P5" s="115">
        <v>35</v>
      </c>
      <c r="Q5" s="99">
        <v>-90400</v>
      </c>
    </row>
    <row r="6" spans="1:17" x14ac:dyDescent="0.4">
      <c r="A6" s="51" t="s">
        <v>1</v>
      </c>
      <c r="B6" s="144">
        <f>IF(B$2=0,0,(B$7*1+B$8*2+B$9*3)/B$2)</f>
        <v>2.1315789473684212</v>
      </c>
      <c r="C6" s="145"/>
      <c r="E6" s="59" t="s">
        <v>64</v>
      </c>
      <c r="F6" s="56" t="s">
        <v>20</v>
      </c>
      <c r="G6" s="44">
        <v>24</v>
      </c>
      <c r="H6" s="129">
        <f>IF(B$17=0,0,G6/B$17)</f>
        <v>0.2857142857142857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-1280</v>
      </c>
      <c r="P6" s="115">
        <v>35</v>
      </c>
      <c r="Q6" s="99">
        <v>-44800</v>
      </c>
    </row>
    <row r="7" spans="1:17" x14ac:dyDescent="0.4">
      <c r="A7" s="51" t="s">
        <v>2</v>
      </c>
      <c r="B7" s="44">
        <v>11</v>
      </c>
      <c r="C7" s="37">
        <f t="shared" ref="C7:C12" si="1">IF(B$2=0,0,B7/B$2)</f>
        <v>0.28947368421052633</v>
      </c>
      <c r="E7" s="59" t="s">
        <v>69</v>
      </c>
      <c r="F7" s="56" t="s">
        <v>24</v>
      </c>
      <c r="G7" s="44">
        <v>20</v>
      </c>
      <c r="H7" s="129">
        <f>IF(B$17=0,0,G7/B$17)</f>
        <v>0.23809523809523808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-2023.3333333333333</v>
      </c>
      <c r="P7" s="116">
        <v>30</v>
      </c>
      <c r="Q7" s="100">
        <v>-60700</v>
      </c>
    </row>
    <row r="8" spans="1:17" x14ac:dyDescent="0.4">
      <c r="A8" s="51" t="s">
        <v>3</v>
      </c>
      <c r="B8" s="44">
        <v>11</v>
      </c>
      <c r="C8" s="37">
        <f t="shared" si="1"/>
        <v>0.28947368421052633</v>
      </c>
      <c r="E8" s="59" t="s">
        <v>70</v>
      </c>
      <c r="F8" s="56" t="s">
        <v>25</v>
      </c>
      <c r="G8" s="44">
        <v>14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0.42105263157894735</v>
      </c>
      <c r="E9" s="59" t="s">
        <v>67</v>
      </c>
      <c r="F9" s="56" t="s">
        <v>23</v>
      </c>
      <c r="G9" s="44">
        <v>10</v>
      </c>
      <c r="H9" s="129">
        <f>IF(B$17=0,0,G9/B$17)</f>
        <v>0.11904761904761904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65</v>
      </c>
      <c r="F10" s="56" t="s">
        <v>21</v>
      </c>
      <c r="G10" s="44">
        <v>8</v>
      </c>
      <c r="H10" s="129">
        <f>IF(B$17=0,0,G10/B$17)</f>
        <v>9.5238095238095233E-2</v>
      </c>
      <c r="I10" s="90">
        <v>6</v>
      </c>
      <c r="K10" s="36">
        <v>8</v>
      </c>
      <c r="L10" s="95">
        <v>-76.900000000000006</v>
      </c>
      <c r="N10" s="110" t="s">
        <v>162</v>
      </c>
      <c r="O10" s="120">
        <f>IF(P10=0,0,Q10/P10)</f>
        <v>-3.4384615384615382</v>
      </c>
      <c r="P10" s="114">
        <v>13</v>
      </c>
      <c r="Q10" s="102">
        <v>-44.699999999999996</v>
      </c>
    </row>
    <row r="11" spans="1:17" x14ac:dyDescent="0.4">
      <c r="A11" s="52" t="s">
        <v>138</v>
      </c>
      <c r="B11" s="45">
        <v>1</v>
      </c>
      <c r="C11" s="38">
        <f t="shared" si="1"/>
        <v>2.6315789473684209E-2</v>
      </c>
      <c r="E11" s="59" t="s">
        <v>71</v>
      </c>
      <c r="F11" s="56" t="s">
        <v>26</v>
      </c>
      <c r="G11" s="44">
        <v>8</v>
      </c>
      <c r="H11" s="129">
        <f>IF(B$17=0,0,G11/B$17)</f>
        <v>9.5238095238095233E-2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-11.84</v>
      </c>
      <c r="P11" s="115">
        <v>10</v>
      </c>
      <c r="Q11" s="103">
        <v>-118.39999999999999</v>
      </c>
    </row>
    <row r="12" spans="1:17" x14ac:dyDescent="0.4">
      <c r="A12" s="53" t="s">
        <v>158</v>
      </c>
      <c r="B12" s="46">
        <v>5</v>
      </c>
      <c r="C12" s="40">
        <f t="shared" si="1"/>
        <v>0.13157894736842105</v>
      </c>
      <c r="E12" s="59" t="s">
        <v>83</v>
      </c>
      <c r="F12" s="56" t="s">
        <v>38</v>
      </c>
      <c r="G12" s="44">
        <v>8</v>
      </c>
      <c r="H12" s="129">
        <f>IF(B$17=0,0,G12/B$17)</f>
        <v>9.5238095238095233E-2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52</v>
      </c>
      <c r="C13" s="42">
        <f>IF(B$3=0,0,B13/B$3)</f>
        <v>0.15662650602409639</v>
      </c>
      <c r="E13" s="59" t="s">
        <v>89</v>
      </c>
      <c r="F13" s="56" t="s">
        <v>44</v>
      </c>
      <c r="G13" s="44">
        <v>6</v>
      </c>
      <c r="H13" s="129">
        <f>IF(B$17=0,0,G13/B$17)</f>
        <v>7.1428571428571425E-2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78</v>
      </c>
      <c r="C14" s="37">
        <f>IF(B$3=0,0,B14/B$3)</f>
        <v>0.23493975903614459</v>
      </c>
      <c r="E14" s="59" t="s">
        <v>81</v>
      </c>
      <c r="F14" s="56" t="s">
        <v>36</v>
      </c>
      <c r="G14" s="44">
        <v>4</v>
      </c>
      <c r="H14" s="129">
        <f>IF(B$17=0,0,G14/B$17)</f>
        <v>4.7619047619047616E-2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</v>
      </c>
      <c r="E15" s="59" t="s">
        <v>88</v>
      </c>
      <c r="F15" s="56" t="s">
        <v>43</v>
      </c>
      <c r="G15" s="44">
        <v>2</v>
      </c>
      <c r="H15" s="129">
        <f>IF(B$17=0,0,G15/B$17)</f>
        <v>2.3809523809523808E-2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 t="shared" ref="O15:O21" si="2"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27</v>
      </c>
      <c r="C16" s="35">
        <f>IF(B$14=0,0,B16/B$14)</f>
        <v>0.34615384615384615</v>
      </c>
      <c r="E16" s="59" t="s">
        <v>91</v>
      </c>
      <c r="F16" s="56" t="s">
        <v>46</v>
      </c>
      <c r="G16" s="44">
        <v>2</v>
      </c>
      <c r="H16" s="129">
        <f>IF(B$17=0,0,G16/B$17)</f>
        <v>2.3809523809523808E-2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 t="shared" si="2"/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84</v>
      </c>
      <c r="C17" s="35">
        <f>IF(B$3=0,0,B17/B$3)</f>
        <v>0.25301204819277107</v>
      </c>
      <c r="E17" s="59" t="s">
        <v>74</v>
      </c>
      <c r="F17" s="56" t="s">
        <v>29</v>
      </c>
      <c r="G17" s="44">
        <v>1</v>
      </c>
      <c r="H17" s="129">
        <f>IF(B$17=0,0,G17/B$17)</f>
        <v>1.1904761904761904E-2</v>
      </c>
      <c r="I17" s="90">
        <v>2</v>
      </c>
      <c r="K17" s="36">
        <v>15</v>
      </c>
      <c r="L17" s="95">
        <v>-65.2</v>
      </c>
      <c r="N17" s="111" t="s">
        <v>178</v>
      </c>
      <c r="O17" s="121">
        <f t="shared" si="2"/>
        <v>-6.26</v>
      </c>
      <c r="P17" s="115">
        <v>10</v>
      </c>
      <c r="Q17" s="103">
        <v>-62.599999999999994</v>
      </c>
    </row>
    <row r="18" spans="1:17" x14ac:dyDescent="0.4">
      <c r="A18" s="51" t="s">
        <v>12</v>
      </c>
      <c r="B18" s="44">
        <v>37</v>
      </c>
      <c r="C18" s="37">
        <f>IF(B$17=0,0,B18/B$17)</f>
        <v>0.44047619047619047</v>
      </c>
      <c r="E18" s="59" t="s">
        <v>75</v>
      </c>
      <c r="F18" s="56" t="s">
        <v>30</v>
      </c>
      <c r="G18" s="44">
        <v>1</v>
      </c>
      <c r="H18" s="129">
        <f>IF(B$17=0,0,G18/B$17)</f>
        <v>1.1904761904761904E-2</v>
      </c>
      <c r="I18" s="90">
        <v>3</v>
      </c>
      <c r="K18" s="36">
        <v>16</v>
      </c>
      <c r="L18" s="95">
        <v>-70.600000000000009</v>
      </c>
      <c r="N18" s="111" t="s">
        <v>127</v>
      </c>
      <c r="O18" s="121">
        <f t="shared" si="2"/>
        <v>-7.1263157894736846</v>
      </c>
      <c r="P18" s="115">
        <v>19</v>
      </c>
      <c r="Q18" s="103">
        <v>-135.4</v>
      </c>
    </row>
    <row r="19" spans="1:17" x14ac:dyDescent="0.4">
      <c r="A19" s="51" t="s">
        <v>11</v>
      </c>
      <c r="B19" s="44">
        <v>47</v>
      </c>
      <c r="C19" s="37">
        <f>IF(B$17=0,0,B19/B$17)</f>
        <v>0.55952380952380953</v>
      </c>
      <c r="E19" s="59" t="s">
        <v>77</v>
      </c>
      <c r="F19" s="56" t="s">
        <v>32</v>
      </c>
      <c r="G19" s="44">
        <v>1</v>
      </c>
      <c r="H19" s="129">
        <f>IF(B$17=0,0,G19/B$17)</f>
        <v>1.1904761904761904E-2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 t="shared" si="2"/>
        <v>-10.390909090909092</v>
      </c>
      <c r="P19" s="115">
        <v>11</v>
      </c>
      <c r="Q19" s="103">
        <v>-114.30000000000001</v>
      </c>
    </row>
    <row r="20" spans="1:17" x14ac:dyDescent="0.4">
      <c r="A20" s="51" t="s">
        <v>13</v>
      </c>
      <c r="B20" s="44">
        <v>51</v>
      </c>
      <c r="C20" s="37">
        <f>IF(B$3=0,0,B20/B$3)</f>
        <v>0.1536144578313253</v>
      </c>
      <c r="E20" s="59" t="s">
        <v>86</v>
      </c>
      <c r="F20" s="56" t="s">
        <v>41</v>
      </c>
      <c r="G20" s="44">
        <v>1</v>
      </c>
      <c r="H20" s="129">
        <f>IF(B$17=0,0,G20/B$17)</f>
        <v>1.1904761904761904E-2</v>
      </c>
      <c r="I20" s="90">
        <v>10</v>
      </c>
      <c r="K20" s="36">
        <v>18</v>
      </c>
      <c r="L20" s="95">
        <v>-80.2</v>
      </c>
      <c r="N20" s="111" t="s">
        <v>182</v>
      </c>
      <c r="O20" s="121">
        <f t="shared" si="2"/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1.1904761904761904E-2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4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7198.8095238095239</v>
      </c>
      <c r="C23" s="39">
        <v>604700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7826.3157894736842</v>
      </c>
      <c r="C24" s="137">
        <v>446100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5874.0740740740739</v>
      </c>
      <c r="C25" s="137">
        <v>158600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-6845.0980392156862</v>
      </c>
      <c r="C26" s="137">
        <v>-349100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6.024096385542169E-3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8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80</v>
      </c>
      <c r="C2" s="149"/>
      <c r="E2" s="58" t="s">
        <v>66</v>
      </c>
      <c r="F2" s="55" t="s">
        <v>22</v>
      </c>
      <c r="G2" s="43">
        <v>142</v>
      </c>
      <c r="H2" s="128">
        <f>IF(B$17=0,0,G2/B$17)</f>
        <v>0.65437788018433185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763.29113924050637</v>
      </c>
      <c r="P2" s="114">
        <v>79</v>
      </c>
      <c r="Q2" s="98">
        <v>60300</v>
      </c>
    </row>
    <row r="3" spans="1:17" x14ac:dyDescent="0.4">
      <c r="A3" s="51" t="s">
        <v>8</v>
      </c>
      <c r="B3" s="150">
        <v>649</v>
      </c>
      <c r="C3" s="151"/>
      <c r="E3" s="59" t="s">
        <v>72</v>
      </c>
      <c r="F3" s="56" t="s">
        <v>27</v>
      </c>
      <c r="G3" s="44">
        <v>113</v>
      </c>
      <c r="H3" s="129">
        <f>IF(B$17=0,0,G3/B$17)</f>
        <v>0.52073732718894006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0"/>
        <v>-117.10526315789474</v>
      </c>
      <c r="P3" s="115">
        <v>76</v>
      </c>
      <c r="Q3" s="99">
        <v>-8900</v>
      </c>
    </row>
    <row r="4" spans="1:17" x14ac:dyDescent="0.4">
      <c r="A4" s="51" t="s">
        <v>6</v>
      </c>
      <c r="B4" s="152">
        <v>572.09999999999991</v>
      </c>
      <c r="C4" s="153"/>
      <c r="E4" s="59" t="s">
        <v>64</v>
      </c>
      <c r="F4" s="56" t="s">
        <v>20</v>
      </c>
      <c r="G4" s="44">
        <v>92</v>
      </c>
      <c r="H4" s="129">
        <f>IF(B$17=0,0,G4/B$17)</f>
        <v>0.42396313364055299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-160</v>
      </c>
      <c r="P4" s="115">
        <v>75</v>
      </c>
      <c r="Q4" s="99">
        <v>-12000</v>
      </c>
    </row>
    <row r="5" spans="1:17" x14ac:dyDescent="0.4">
      <c r="A5" s="51" t="s">
        <v>7</v>
      </c>
      <c r="B5" s="154">
        <f>IF(B$2=0,0,B$4/B$2)</f>
        <v>7.1512499999999992</v>
      </c>
      <c r="C5" s="155"/>
      <c r="E5" s="59" t="s">
        <v>171</v>
      </c>
      <c r="F5" s="56" t="s">
        <v>172</v>
      </c>
      <c r="G5" s="44">
        <v>77</v>
      </c>
      <c r="H5" s="129">
        <f>IF(B$17=0,0,G5/B$17)</f>
        <v>0.35483870967741937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-413.04347826086956</v>
      </c>
      <c r="P5" s="115">
        <v>69</v>
      </c>
      <c r="Q5" s="99">
        <v>-28500</v>
      </c>
    </row>
    <row r="6" spans="1:17" x14ac:dyDescent="0.4">
      <c r="A6" s="51" t="s">
        <v>1</v>
      </c>
      <c r="B6" s="144">
        <f>IF(B$2=0,0,(B$7*1+B$8*2+B$9*3)/B$2)</f>
        <v>1.7749999999999999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0.2857142857142857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2796.969696969697</v>
      </c>
      <c r="P6" s="115">
        <v>66</v>
      </c>
      <c r="Q6" s="99">
        <v>184600</v>
      </c>
    </row>
    <row r="7" spans="1:17" x14ac:dyDescent="0.4">
      <c r="A7" s="51" t="s">
        <v>2</v>
      </c>
      <c r="B7" s="44">
        <v>38</v>
      </c>
      <c r="C7" s="37">
        <f t="shared" ref="C7:C12" si="1">IF(B$2=0,0,B7/B$2)</f>
        <v>0.47499999999999998</v>
      </c>
      <c r="E7" s="59" t="s">
        <v>67</v>
      </c>
      <c r="F7" s="56" t="s">
        <v>23</v>
      </c>
      <c r="G7" s="44">
        <v>57</v>
      </c>
      <c r="H7" s="129">
        <f>IF(B$17=0,0,G7/B$17)</f>
        <v>0.26267281105990781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3300</v>
      </c>
      <c r="P7" s="116">
        <v>54</v>
      </c>
      <c r="Q7" s="100">
        <v>178200</v>
      </c>
    </row>
    <row r="8" spans="1:17" x14ac:dyDescent="0.4">
      <c r="A8" s="51" t="s">
        <v>3</v>
      </c>
      <c r="B8" s="44">
        <v>22</v>
      </c>
      <c r="C8" s="37">
        <f t="shared" si="1"/>
        <v>0.27500000000000002</v>
      </c>
      <c r="E8" s="59" t="s">
        <v>89</v>
      </c>
      <c r="F8" s="56" t="s">
        <v>44</v>
      </c>
      <c r="G8" s="44">
        <v>39</v>
      </c>
      <c r="H8" s="129">
        <f>IF(B$17=0,0,G8/B$17)</f>
        <v>0.17972350230414746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0.25</v>
      </c>
      <c r="E9" s="59" t="s">
        <v>69</v>
      </c>
      <c r="F9" s="56" t="s">
        <v>24</v>
      </c>
      <c r="G9" s="44">
        <v>31</v>
      </c>
      <c r="H9" s="129">
        <f>IF(B$17=0,0,G9/B$17)</f>
        <v>0.14285714285714285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3.7499999999999999E-2</v>
      </c>
      <c r="E10" s="59" t="s">
        <v>65</v>
      </c>
      <c r="F10" s="56" t="s">
        <v>21</v>
      </c>
      <c r="G10" s="44">
        <v>23</v>
      </c>
      <c r="H10" s="129">
        <f>IF(B$17=0,0,G10/B$17)</f>
        <v>0.10599078341013825</v>
      </c>
      <c r="I10" s="90">
        <v>3</v>
      </c>
      <c r="K10" s="36">
        <v>8</v>
      </c>
      <c r="L10" s="95">
        <v>148.1</v>
      </c>
      <c r="N10" s="110" t="s">
        <v>162</v>
      </c>
      <c r="O10" s="120">
        <f>IF(P10=0,0,Q10/P10)</f>
        <v>12.44090909090909</v>
      </c>
      <c r="P10" s="114">
        <v>22</v>
      </c>
      <c r="Q10" s="102">
        <v>273.7</v>
      </c>
    </row>
    <row r="11" spans="1:17" x14ac:dyDescent="0.4">
      <c r="A11" s="52" t="s">
        <v>138</v>
      </c>
      <c r="B11" s="45">
        <v>8</v>
      </c>
      <c r="C11" s="38">
        <f t="shared" si="1"/>
        <v>0.1</v>
      </c>
      <c r="E11" s="59" t="s">
        <v>71</v>
      </c>
      <c r="F11" s="56" t="s">
        <v>26</v>
      </c>
      <c r="G11" s="44">
        <v>14</v>
      </c>
      <c r="H11" s="129">
        <f>IF(B$17=0,0,G11/B$17)</f>
        <v>6.4516129032258063E-2</v>
      </c>
      <c r="I11" s="90">
        <v>9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10</v>
      </c>
      <c r="C12" s="40">
        <f t="shared" si="1"/>
        <v>0.125</v>
      </c>
      <c r="E12" s="59" t="s">
        <v>70</v>
      </c>
      <c r="F12" s="56" t="s">
        <v>25</v>
      </c>
      <c r="G12" s="44">
        <v>12</v>
      </c>
      <c r="H12" s="129">
        <f>IF(B$17=0,0,G12/B$17)</f>
        <v>5.5299539170506916E-2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7.4879999999999969</v>
      </c>
      <c r="P12" s="116">
        <v>25</v>
      </c>
      <c r="Q12" s="104">
        <v>187.19999999999993</v>
      </c>
    </row>
    <row r="13" spans="1:17" x14ac:dyDescent="0.4">
      <c r="A13" s="54" t="s">
        <v>121</v>
      </c>
      <c r="B13" s="47">
        <v>164</v>
      </c>
      <c r="C13" s="42">
        <f>IF(B$3=0,0,B13/B$3)</f>
        <v>0.2526964560862866</v>
      </c>
      <c r="E13" s="59" t="s">
        <v>83</v>
      </c>
      <c r="F13" s="56" t="s">
        <v>38</v>
      </c>
      <c r="G13" s="44">
        <v>11</v>
      </c>
      <c r="H13" s="129">
        <f>IF(B$17=0,0,G13/B$17)</f>
        <v>5.0691244239631339E-2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157</v>
      </c>
      <c r="C14" s="37">
        <f>IF(B$3=0,0,B14/B$3)</f>
        <v>0.24191063174114022</v>
      </c>
      <c r="E14" s="59" t="s">
        <v>86</v>
      </c>
      <c r="F14" s="56" t="s">
        <v>41</v>
      </c>
      <c r="G14" s="44">
        <v>9</v>
      </c>
      <c r="H14" s="129">
        <f>IF(B$17=0,0,G14/B$17)</f>
        <v>4.1474654377880185E-2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0.60365853658536583</v>
      </c>
      <c r="E15" s="59" t="s">
        <v>167</v>
      </c>
      <c r="F15" s="56" t="s">
        <v>168</v>
      </c>
      <c r="G15" s="44">
        <v>9</v>
      </c>
      <c r="H15" s="129">
        <f>IF(B$17=0,0,G15/B$17)</f>
        <v>4.1474654377880185E-2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73</v>
      </c>
      <c r="C16" s="35">
        <f>IF(B$14=0,0,B16/B$14)</f>
        <v>0.46496815286624205</v>
      </c>
      <c r="E16" s="59" t="s">
        <v>78</v>
      </c>
      <c r="F16" s="56" t="s">
        <v>33</v>
      </c>
      <c r="G16" s="44">
        <v>8</v>
      </c>
      <c r="H16" s="129">
        <f>IF(B$17=0,0,G16/B$17)</f>
        <v>3.6866359447004608E-2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21.962499999999991</v>
      </c>
      <c r="P16" s="115">
        <v>8</v>
      </c>
      <c r="Q16" s="103">
        <v>175.69999999999993</v>
      </c>
    </row>
    <row r="17" spans="1:17" x14ac:dyDescent="0.4">
      <c r="A17" s="50" t="s">
        <v>10</v>
      </c>
      <c r="B17" s="43">
        <f>B19+B18</f>
        <v>217</v>
      </c>
      <c r="C17" s="35">
        <f>IF(B$3=0,0,B17/B$3)</f>
        <v>0.33436055469953774</v>
      </c>
      <c r="E17" s="59" t="s">
        <v>77</v>
      </c>
      <c r="F17" s="56" t="s">
        <v>32</v>
      </c>
      <c r="G17" s="44">
        <v>3</v>
      </c>
      <c r="H17" s="129">
        <f>IF(B$17=0,0,G17/B$17)</f>
        <v>1.3824884792626729E-2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18.282352941176473</v>
      </c>
      <c r="P17" s="115">
        <v>34</v>
      </c>
      <c r="Q17" s="103">
        <v>621.60000000000014</v>
      </c>
    </row>
    <row r="18" spans="1:17" x14ac:dyDescent="0.4">
      <c r="A18" s="51" t="s">
        <v>12</v>
      </c>
      <c r="B18" s="44">
        <v>92</v>
      </c>
      <c r="C18" s="37">
        <f>IF(B$17=0,0,B18/B$17)</f>
        <v>0.42396313364055299</v>
      </c>
      <c r="E18" s="59" t="s">
        <v>84</v>
      </c>
      <c r="F18" s="56" t="s">
        <v>39</v>
      </c>
      <c r="G18" s="44">
        <v>3</v>
      </c>
      <c r="H18" s="129">
        <f>IF(B$17=0,0,G18/B$17)</f>
        <v>1.3824884792626729E-2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16.552380952380961</v>
      </c>
      <c r="P18" s="115">
        <v>21</v>
      </c>
      <c r="Q18" s="103">
        <v>347.60000000000019</v>
      </c>
    </row>
    <row r="19" spans="1:17" x14ac:dyDescent="0.4">
      <c r="A19" s="51" t="s">
        <v>11</v>
      </c>
      <c r="B19" s="44">
        <v>125</v>
      </c>
      <c r="C19" s="37">
        <f>IF(B$17=0,0,B19/B$17)</f>
        <v>0.57603686635944695</v>
      </c>
      <c r="E19" s="59" t="s">
        <v>75</v>
      </c>
      <c r="F19" s="56" t="s">
        <v>30</v>
      </c>
      <c r="G19" s="44">
        <v>2</v>
      </c>
      <c r="H19" s="129">
        <f>IF(B$17=0,0,G19/B$17)</f>
        <v>9.2165898617511521E-3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 t="shared" si="2"/>
        <v>8.2980769230769251</v>
      </c>
      <c r="P19" s="115">
        <v>52</v>
      </c>
      <c r="Q19" s="103">
        <v>431.50000000000011</v>
      </c>
    </row>
    <row r="20" spans="1:17" x14ac:dyDescent="0.4">
      <c r="A20" s="51" t="s">
        <v>13</v>
      </c>
      <c r="B20" s="44">
        <v>90</v>
      </c>
      <c r="C20" s="37">
        <f>IF(B$3=0,0,B20/B$3)</f>
        <v>0.13867488443759629</v>
      </c>
      <c r="E20" s="59" t="s">
        <v>88</v>
      </c>
      <c r="F20" s="56" t="s">
        <v>43</v>
      </c>
      <c r="G20" s="44">
        <v>2</v>
      </c>
      <c r="H20" s="129">
        <f>IF(B$17=0,0,G20/B$17)</f>
        <v>9.2165898617511521E-3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 t="shared" si="2"/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2</v>
      </c>
      <c r="E21" s="59" t="s">
        <v>92</v>
      </c>
      <c r="F21" s="56" t="s">
        <v>47</v>
      </c>
      <c r="G21" s="44">
        <v>2</v>
      </c>
      <c r="H21" s="129">
        <f>IF(B$17=0,0,G21/B$17)</f>
        <v>9.2165898617511521E-3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 t="shared" si="2"/>
        <v>-3.3</v>
      </c>
      <c r="P21" s="115">
        <v>18</v>
      </c>
      <c r="Q21" s="103">
        <v>-59.4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74</v>
      </c>
      <c r="F22" s="56" t="s">
        <v>29</v>
      </c>
      <c r="G22" s="44">
        <v>1</v>
      </c>
      <c r="H22" s="129">
        <f>IF(B$17=0,0,G22/B$17)</f>
        <v>4.608294930875576E-3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7871.8894009216592</v>
      </c>
      <c r="C23" s="39">
        <v>1708200</v>
      </c>
      <c r="E23" s="59" t="s">
        <v>79</v>
      </c>
      <c r="F23" s="56" t="s">
        <v>34</v>
      </c>
      <c r="G23" s="44">
        <v>1</v>
      </c>
      <c r="H23" s="129">
        <f>IF(B$17=0,0,G23/B$17)</f>
        <v>4.608294930875576E-3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7765.2777777777774</v>
      </c>
      <c r="C24" s="137">
        <v>1118200</v>
      </c>
      <c r="E24" s="59" t="s">
        <v>81</v>
      </c>
      <c r="F24" s="56" t="s">
        <v>36</v>
      </c>
      <c r="G24" s="44">
        <v>1</v>
      </c>
      <c r="H24" s="129">
        <f>IF(B$17=0,0,G24/B$17)</f>
        <v>4.608294930875576E-3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8082.1917808219177</v>
      </c>
      <c r="C25" s="137">
        <v>590000</v>
      </c>
      <c r="E25" s="59" t="s">
        <v>85</v>
      </c>
      <c r="F25" s="56" t="s">
        <v>40</v>
      </c>
      <c r="G25" s="44">
        <v>1</v>
      </c>
      <c r="H25" s="129">
        <f>IF(B$17=0,0,G25/B$17)</f>
        <v>4.608294930875576E-3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-7471.1111111111113</v>
      </c>
      <c r="C26" s="137">
        <v>-672400</v>
      </c>
      <c r="E26" s="59" t="s">
        <v>90</v>
      </c>
      <c r="F26" s="56" t="s">
        <v>45</v>
      </c>
      <c r="G26" s="44">
        <v>1</v>
      </c>
      <c r="H26" s="129">
        <f>IF(B$17=0,0,G26/B$17)</f>
        <v>4.608294930875576E-3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4.608294930875576E-3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4.608294930875576E-3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1.5408320493066256E-3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</sheetData>
  <sortState xmlns:xlrd2="http://schemas.microsoft.com/office/spreadsheetml/2017/richdata2" ref="E2:I8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77</v>
      </c>
      <c r="C2" s="149"/>
      <c r="E2" s="58" t="s">
        <v>66</v>
      </c>
      <c r="F2" s="55" t="s">
        <v>22</v>
      </c>
      <c r="G2" s="43">
        <v>191</v>
      </c>
      <c r="H2" s="128">
        <f>IF(B$17=0,0,G2/B$17)</f>
        <v>0.92270531400966183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-2159.2105263157896</v>
      </c>
      <c r="P2" s="114">
        <v>76</v>
      </c>
      <c r="Q2" s="98">
        <v>-164100</v>
      </c>
    </row>
    <row r="3" spans="1:17" x14ac:dyDescent="0.4">
      <c r="A3" s="51" t="s">
        <v>8</v>
      </c>
      <c r="B3" s="150">
        <v>654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0.56521739130434778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1301.3513513513512</v>
      </c>
      <c r="P3" s="115">
        <v>74</v>
      </c>
      <c r="Q3" s="99">
        <v>96300</v>
      </c>
    </row>
    <row r="4" spans="1:17" x14ac:dyDescent="0.4">
      <c r="A4" s="51" t="s">
        <v>6</v>
      </c>
      <c r="B4" s="152">
        <v>375.59999999999985</v>
      </c>
      <c r="C4" s="153"/>
      <c r="E4" s="59" t="s">
        <v>171</v>
      </c>
      <c r="F4" s="56" t="s">
        <v>172</v>
      </c>
      <c r="G4" s="44">
        <v>89</v>
      </c>
      <c r="H4" s="129">
        <f>IF(B$17=0,0,G4/B$17)</f>
        <v>0.42995169082125606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584.28571428571433</v>
      </c>
      <c r="P4" s="115">
        <v>70</v>
      </c>
      <c r="Q4" s="99">
        <v>40900</v>
      </c>
    </row>
    <row r="5" spans="1:17" x14ac:dyDescent="0.4">
      <c r="A5" s="51" t="s">
        <v>7</v>
      </c>
      <c r="B5" s="154">
        <f>IF(B$2=0,0,B$4/B$2)</f>
        <v>4.8779220779220758</v>
      </c>
      <c r="C5" s="155"/>
      <c r="E5" s="59" t="s">
        <v>64</v>
      </c>
      <c r="F5" s="56" t="s">
        <v>20</v>
      </c>
      <c r="G5" s="44">
        <v>84</v>
      </c>
      <c r="H5" s="129">
        <f>IF(B$17=0,0,G5/B$17)</f>
        <v>0.40579710144927539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2751.5151515151515</v>
      </c>
      <c r="P5" s="115">
        <v>66</v>
      </c>
      <c r="Q5" s="99">
        <v>181600</v>
      </c>
    </row>
    <row r="6" spans="1:17" x14ac:dyDescent="0.4">
      <c r="A6" s="51" t="s">
        <v>1</v>
      </c>
      <c r="B6" s="144">
        <f>IF(B$2=0,0,(B$7*1+B$8*2+B$9*3)/B$2)</f>
        <v>1.8441558441558441</v>
      </c>
      <c r="C6" s="145"/>
      <c r="E6" s="59" t="s">
        <v>68</v>
      </c>
      <c r="F6" s="56" t="s">
        <v>12</v>
      </c>
      <c r="G6" s="44">
        <v>58</v>
      </c>
      <c r="H6" s="129">
        <f>IF(B$17=0,0,G6/B$17)</f>
        <v>0.28019323671497587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473.01587301587301</v>
      </c>
      <c r="P6" s="115">
        <v>63</v>
      </c>
      <c r="Q6" s="99">
        <v>29800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0.42857142857142855</v>
      </c>
      <c r="E7" s="59" t="s">
        <v>67</v>
      </c>
      <c r="F7" s="56" t="s">
        <v>23</v>
      </c>
      <c r="G7" s="44">
        <v>51</v>
      </c>
      <c r="H7" s="129">
        <f>IF(B$17=0,0,G7/B$17)</f>
        <v>0.24637681159420291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1935.8490566037735</v>
      </c>
      <c r="P7" s="116">
        <v>53</v>
      </c>
      <c r="Q7" s="100">
        <v>102600</v>
      </c>
    </row>
    <row r="8" spans="1:17" x14ac:dyDescent="0.4">
      <c r="A8" s="51" t="s">
        <v>3</v>
      </c>
      <c r="B8" s="44">
        <v>23</v>
      </c>
      <c r="C8" s="37">
        <f t="shared" si="1"/>
        <v>0.29870129870129869</v>
      </c>
      <c r="E8" s="59" t="s">
        <v>89</v>
      </c>
      <c r="F8" s="56" t="s">
        <v>44</v>
      </c>
      <c r="G8" s="44">
        <v>25</v>
      </c>
      <c r="H8" s="129">
        <f>IF(B$17=0,0,G8/B$17)</f>
        <v>0.12077294685990338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0.27272727272727271</v>
      </c>
      <c r="E9" s="59" t="s">
        <v>69</v>
      </c>
      <c r="F9" s="56" t="s">
        <v>24</v>
      </c>
      <c r="G9" s="44">
        <v>23</v>
      </c>
      <c r="H9" s="129">
        <f>IF(B$17=0,0,G9/B$17)</f>
        <v>0.1111111111111111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0.14285714285714285</v>
      </c>
      <c r="E10" s="59" t="s">
        <v>71</v>
      </c>
      <c r="F10" s="56" t="s">
        <v>26</v>
      </c>
      <c r="G10" s="44">
        <v>18</v>
      </c>
      <c r="H10" s="129">
        <f>IF(B$17=0,0,G10/B$17)</f>
        <v>8.6956521739130432E-2</v>
      </c>
      <c r="I10" s="90">
        <v>5</v>
      </c>
      <c r="K10" s="36">
        <v>8</v>
      </c>
      <c r="L10" s="95">
        <v>-56.79999999999999</v>
      </c>
      <c r="N10" s="110" t="s">
        <v>162</v>
      </c>
      <c r="O10" s="120">
        <f>IF(P10=0,0,Q10/P10)</f>
        <v>7.6444444444444457</v>
      </c>
      <c r="P10" s="114">
        <v>18</v>
      </c>
      <c r="Q10" s="102">
        <v>137.60000000000002</v>
      </c>
    </row>
    <row r="11" spans="1:17" x14ac:dyDescent="0.4">
      <c r="A11" s="52" t="s">
        <v>138</v>
      </c>
      <c r="B11" s="45">
        <v>8</v>
      </c>
      <c r="C11" s="38">
        <f t="shared" si="1"/>
        <v>0.1038961038961039</v>
      </c>
      <c r="E11" s="59" t="s">
        <v>65</v>
      </c>
      <c r="F11" s="56" t="s">
        <v>21</v>
      </c>
      <c r="G11" s="44">
        <v>17</v>
      </c>
      <c r="H11" s="129">
        <f>IF(B$17=0,0,G11/B$17)</f>
        <v>8.2125603864734303E-2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6.6954545454545462</v>
      </c>
      <c r="P11" s="115">
        <v>22</v>
      </c>
      <c r="Q11" s="103">
        <v>147.30000000000001</v>
      </c>
    </row>
    <row r="12" spans="1:17" x14ac:dyDescent="0.4">
      <c r="A12" s="53" t="s">
        <v>158</v>
      </c>
      <c r="B12" s="46">
        <v>17</v>
      </c>
      <c r="C12" s="40">
        <f t="shared" si="1"/>
        <v>0.22077922077922077</v>
      </c>
      <c r="E12" s="59" t="s">
        <v>70</v>
      </c>
      <c r="F12" s="56" t="s">
        <v>25</v>
      </c>
      <c r="G12" s="44">
        <v>16</v>
      </c>
      <c r="H12" s="129">
        <f>IF(B$17=0,0,G12/B$17)</f>
        <v>7.7294685990338161E-2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2.4513513513513505</v>
      </c>
      <c r="P12" s="116">
        <v>37</v>
      </c>
      <c r="Q12" s="104">
        <v>90.699999999999974</v>
      </c>
    </row>
    <row r="13" spans="1:17" x14ac:dyDescent="0.4">
      <c r="A13" s="54" t="s">
        <v>121</v>
      </c>
      <c r="B13" s="47">
        <v>151</v>
      </c>
      <c r="C13" s="42">
        <f>IF(B$3=0,0,B13/B$3)</f>
        <v>0.23088685015290519</v>
      </c>
      <c r="E13" s="59" t="s">
        <v>86</v>
      </c>
      <c r="F13" s="56" t="s">
        <v>41</v>
      </c>
      <c r="G13" s="44">
        <v>15</v>
      </c>
      <c r="H13" s="129">
        <f>IF(B$17=0,0,G13/B$17)</f>
        <v>7.2463768115942032E-2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200</v>
      </c>
      <c r="C14" s="37">
        <f>IF(B$3=0,0,B14/B$3)</f>
        <v>0.3058103975535168</v>
      </c>
      <c r="E14" s="59" t="s">
        <v>83</v>
      </c>
      <c r="F14" s="56" t="s">
        <v>38</v>
      </c>
      <c r="G14" s="44">
        <v>10</v>
      </c>
      <c r="H14" s="129">
        <f>IF(B$17=0,0,G14/B$17)</f>
        <v>4.8309178743961352E-2</v>
      </c>
      <c r="I14" s="90">
        <v>9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0.53642384105960261</v>
      </c>
      <c r="E15" s="59" t="s">
        <v>91</v>
      </c>
      <c r="F15" s="56" t="s">
        <v>46</v>
      </c>
      <c r="G15" s="44">
        <v>7</v>
      </c>
      <c r="H15" s="129">
        <f>IF(B$17=0,0,G15/B$17)</f>
        <v>3.3816425120772944E-2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79</v>
      </c>
      <c r="C16" s="35">
        <f>IF(B$14=0,0,B16/B$14)</f>
        <v>0.39500000000000002</v>
      </c>
      <c r="E16" s="59" t="s">
        <v>78</v>
      </c>
      <c r="F16" s="56" t="s">
        <v>33</v>
      </c>
      <c r="G16" s="44">
        <v>6</v>
      </c>
      <c r="H16" s="129">
        <f>IF(B$17=0,0,G16/B$17)</f>
        <v>2.8985507246376812E-2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 t="shared" si="2"/>
        <v>53.81428571428571</v>
      </c>
      <c r="P16" s="115">
        <v>7</v>
      </c>
      <c r="Q16" s="103">
        <v>376.7</v>
      </c>
    </row>
    <row r="17" spans="1:17" x14ac:dyDescent="0.4">
      <c r="A17" s="50" t="s">
        <v>10</v>
      </c>
      <c r="B17" s="43">
        <f>B19+B18</f>
        <v>207</v>
      </c>
      <c r="C17" s="35">
        <f>IF(B$3=0,0,B17/B$3)</f>
        <v>0.3165137614678899</v>
      </c>
      <c r="E17" s="59" t="s">
        <v>79</v>
      </c>
      <c r="F17" s="56" t="s">
        <v>34</v>
      </c>
      <c r="G17" s="44">
        <v>5</v>
      </c>
      <c r="H17" s="129">
        <f>IF(B$17=0,0,G17/B$17)</f>
        <v>2.4154589371980676E-2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82</v>
      </c>
      <c r="C18" s="37">
        <f>IF(B$17=0,0,B18/B$17)</f>
        <v>0.39613526570048307</v>
      </c>
      <c r="E18" s="59" t="s">
        <v>81</v>
      </c>
      <c r="F18" s="56" t="s">
        <v>36</v>
      </c>
      <c r="G18" s="44">
        <v>4</v>
      </c>
      <c r="H18" s="129">
        <f>IF(B$17=0,0,G18/B$17)</f>
        <v>1.932367149758454E-2</v>
      </c>
      <c r="I18" s="90">
        <v>5</v>
      </c>
      <c r="K18" s="36">
        <v>16</v>
      </c>
      <c r="L18" s="95">
        <v>-187.3</v>
      </c>
      <c r="N18" s="111" t="s">
        <v>178</v>
      </c>
      <c r="O18" s="121">
        <f t="shared" si="2"/>
        <v>12.731818181818188</v>
      </c>
      <c r="P18" s="115">
        <v>22</v>
      </c>
      <c r="Q18" s="103">
        <v>280.10000000000014</v>
      </c>
    </row>
    <row r="19" spans="1:17" x14ac:dyDescent="0.4">
      <c r="A19" s="51" t="s">
        <v>11</v>
      </c>
      <c r="B19" s="44">
        <v>125</v>
      </c>
      <c r="C19" s="37">
        <f>IF(B$17=0,0,B19/B$17)</f>
        <v>0.60386473429951693</v>
      </c>
      <c r="E19" s="59" t="s">
        <v>74</v>
      </c>
      <c r="F19" s="56" t="s">
        <v>29</v>
      </c>
      <c r="G19" s="44">
        <v>2</v>
      </c>
      <c r="H19" s="129">
        <f>IF(B$17=0,0,G19/B$17)</f>
        <v>9.6618357487922701E-3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 t="shared" si="2"/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122</v>
      </c>
      <c r="C20" s="37">
        <f>IF(B$3=0,0,B20/B$3)</f>
        <v>0.18654434250764526</v>
      </c>
      <c r="E20" s="59" t="s">
        <v>84</v>
      </c>
      <c r="F20" s="56" t="s">
        <v>39</v>
      </c>
      <c r="G20" s="44">
        <v>1</v>
      </c>
      <c r="H20" s="129">
        <f>IF(B$17=0,0,G20/B$17)</f>
        <v>4.830917874396135E-3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 t="shared" si="2"/>
        <v>10.948148148148144</v>
      </c>
      <c r="P20" s="115">
        <v>27</v>
      </c>
      <c r="Q20" s="103">
        <v>295.59999999999991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1</v>
      </c>
      <c r="H21" s="129">
        <f>IF(B$17=0,0,G21/B$17)</f>
        <v>4.830917874396135E-3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7.1263157894736819</v>
      </c>
      <c r="P21" s="115">
        <v>19</v>
      </c>
      <c r="Q21" s="103">
        <v>135.39999999999995</v>
      </c>
    </row>
    <row r="22" spans="1:17" x14ac:dyDescent="0.4">
      <c r="A22" s="51" t="s">
        <v>170</v>
      </c>
      <c r="B22" s="44">
        <v>23</v>
      </c>
      <c r="C22" s="131">
        <v>14</v>
      </c>
      <c r="E22" s="59" t="s">
        <v>95</v>
      </c>
      <c r="F22" s="56" t="s">
        <v>50</v>
      </c>
      <c r="G22" s="44">
        <v>1</v>
      </c>
      <c r="H22" s="129">
        <f>IF(B$17=0,0,G22/B$17)</f>
        <v>4.830917874396135E-3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-8.2980769230769234</v>
      </c>
      <c r="P22" s="115">
        <v>52</v>
      </c>
      <c r="Q22" s="103">
        <v>-431.50000000000006</v>
      </c>
    </row>
    <row r="23" spans="1:17" x14ac:dyDescent="0.4">
      <c r="A23" s="51" t="s">
        <v>5</v>
      </c>
      <c r="B23" s="48">
        <f>IF(B$17=0,0,C23/B$17)</f>
        <v>8763.7681159420281</v>
      </c>
      <c r="C23" s="39">
        <v>1814100</v>
      </c>
      <c r="E23" s="59" t="s">
        <v>167</v>
      </c>
      <c r="F23" s="56" t="s">
        <v>168</v>
      </c>
      <c r="G23" s="44">
        <v>1</v>
      </c>
      <c r="H23" s="129">
        <f>IF(B$17=0,0,G23/B$17)</f>
        <v>4.830917874396135E-3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9132.8125</v>
      </c>
      <c r="C24" s="137">
        <v>1169000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8165.8227848101269</v>
      </c>
      <c r="C25" s="137">
        <v>645100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-7828.688524590164</v>
      </c>
      <c r="C26" s="137">
        <v>-955100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4.5871559633027525E-3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</sheetData>
  <sortState xmlns:xlrd2="http://schemas.microsoft.com/office/spreadsheetml/2017/richdata2" ref="E2:I8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50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-22.448979591836736</v>
      </c>
      <c r="P2" s="114">
        <v>49</v>
      </c>
      <c r="Q2" s="98">
        <v>-1100</v>
      </c>
    </row>
    <row r="3" spans="1:17" x14ac:dyDescent="0.4">
      <c r="A3" s="51" t="s">
        <v>8</v>
      </c>
      <c r="B3" s="150">
        <v>428</v>
      </c>
      <c r="C3" s="151"/>
      <c r="E3" s="59" t="s">
        <v>64</v>
      </c>
      <c r="F3" s="56" t="s">
        <v>20</v>
      </c>
      <c r="G3" s="44">
        <v>73</v>
      </c>
      <c r="H3" s="129">
        <f>IF(B$17=0,0,G3/B$17)</f>
        <v>0.60833333333333328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-206.12244897959184</v>
      </c>
      <c r="P3" s="115">
        <v>49</v>
      </c>
      <c r="Q3" s="99">
        <v>-10100</v>
      </c>
    </row>
    <row r="4" spans="1:17" x14ac:dyDescent="0.4">
      <c r="A4" s="51" t="s">
        <v>6</v>
      </c>
      <c r="B4" s="152">
        <v>-400.99999999999989</v>
      </c>
      <c r="C4" s="153"/>
      <c r="E4" s="59" t="s">
        <v>72</v>
      </c>
      <c r="F4" s="56" t="s">
        <v>27</v>
      </c>
      <c r="G4" s="44">
        <v>61</v>
      </c>
      <c r="H4" s="129">
        <f>IF(B$17=0,0,G4/B$17)</f>
        <v>0.5083333333333333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827.65957446808511</v>
      </c>
      <c r="P4" s="115">
        <v>47</v>
      </c>
      <c r="Q4" s="99">
        <v>38900</v>
      </c>
    </row>
    <row r="5" spans="1:17" x14ac:dyDescent="0.4">
      <c r="A5" s="51" t="s">
        <v>7</v>
      </c>
      <c r="B5" s="154">
        <f>IF(B$2=0,0,B$4/B$2)</f>
        <v>-8.0199999999999978</v>
      </c>
      <c r="C5" s="155"/>
      <c r="E5" s="59" t="s">
        <v>171</v>
      </c>
      <c r="F5" s="56" t="s">
        <v>172</v>
      </c>
      <c r="G5" s="44">
        <v>46</v>
      </c>
      <c r="H5" s="129">
        <f>IF(B$17=0,0,G5/B$17)</f>
        <v>0.38333333333333336</v>
      </c>
      <c r="I5" s="90">
        <v>5</v>
      </c>
      <c r="K5" s="36">
        <v>3</v>
      </c>
      <c r="L5" s="95">
        <v>-17.599999999999998</v>
      </c>
      <c r="N5" s="111" t="s">
        <v>133</v>
      </c>
      <c r="O5" s="118">
        <f t="shared" si="0"/>
        <v>-1684.7826086956522</v>
      </c>
      <c r="P5" s="115">
        <v>46</v>
      </c>
      <c r="Q5" s="99">
        <v>-77500</v>
      </c>
    </row>
    <row r="6" spans="1:17" x14ac:dyDescent="0.4">
      <c r="A6" s="51" t="s">
        <v>1</v>
      </c>
      <c r="B6" s="144">
        <f>IF(B$2=0,0,(B$7*1+B$8*2+B$9*3)/B$2)</f>
        <v>2.2400000000000002</v>
      </c>
      <c r="C6" s="145"/>
      <c r="E6" s="59" t="s">
        <v>68</v>
      </c>
      <c r="F6" s="56" t="s">
        <v>12</v>
      </c>
      <c r="G6" s="44">
        <v>41</v>
      </c>
      <c r="H6" s="129">
        <f>IF(B$17=0,0,G6/B$17)</f>
        <v>0.34166666666666667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-3827.2727272727275</v>
      </c>
      <c r="P6" s="115">
        <v>44</v>
      </c>
      <c r="Q6" s="99">
        <v>-168400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0.18</v>
      </c>
      <c r="E7" s="59" t="s">
        <v>67</v>
      </c>
      <c r="F7" s="56" t="s">
        <v>23</v>
      </c>
      <c r="G7" s="44">
        <v>37</v>
      </c>
      <c r="H7" s="129">
        <f>IF(B$17=0,0,G7/B$17)</f>
        <v>0.30833333333333335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-2205.1282051282051</v>
      </c>
      <c r="P7" s="116">
        <v>39</v>
      </c>
      <c r="Q7" s="100">
        <v>-86000</v>
      </c>
    </row>
    <row r="8" spans="1:17" x14ac:dyDescent="0.4">
      <c r="A8" s="51" t="s">
        <v>3</v>
      </c>
      <c r="B8" s="44">
        <v>20</v>
      </c>
      <c r="C8" s="37">
        <f t="shared" si="1"/>
        <v>0.4</v>
      </c>
      <c r="E8" s="59" t="s">
        <v>70</v>
      </c>
      <c r="F8" s="56" t="s">
        <v>25</v>
      </c>
      <c r="G8" s="44">
        <v>19</v>
      </c>
      <c r="H8" s="129">
        <f>IF(B$17=0,0,G8/B$17)</f>
        <v>0.15833333333333333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0.42</v>
      </c>
      <c r="E9" s="59" t="s">
        <v>69</v>
      </c>
      <c r="F9" s="56" t="s">
        <v>24</v>
      </c>
      <c r="G9" s="44">
        <v>18</v>
      </c>
      <c r="H9" s="129">
        <f>IF(B$17=0,0,G9/B$17)</f>
        <v>0.15</v>
      </c>
      <c r="I9" s="90">
        <v>4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0.06</v>
      </c>
      <c r="E10" s="59" t="s">
        <v>65</v>
      </c>
      <c r="F10" s="56" t="s">
        <v>21</v>
      </c>
      <c r="G10" s="44">
        <v>12</v>
      </c>
      <c r="H10" s="129">
        <f>IF(B$17=0,0,G10/B$17)</f>
        <v>0.1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-1.6750000000000012</v>
      </c>
      <c r="P10" s="114">
        <v>20</v>
      </c>
      <c r="Q10" s="102">
        <v>-33.500000000000021</v>
      </c>
    </row>
    <row r="11" spans="1:17" x14ac:dyDescent="0.4">
      <c r="A11" s="52" t="s">
        <v>138</v>
      </c>
      <c r="B11" s="45">
        <v>2</v>
      </c>
      <c r="C11" s="38">
        <f t="shared" si="1"/>
        <v>0.04</v>
      </c>
      <c r="E11" s="59" t="s">
        <v>89</v>
      </c>
      <c r="F11" s="56" t="s">
        <v>44</v>
      </c>
      <c r="G11" s="44">
        <v>10</v>
      </c>
      <c r="H11" s="129">
        <f>IF(B$17=0,0,G11/B$17)</f>
        <v>8.3333333333333329E-2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-8.8733333333333331</v>
      </c>
      <c r="P11" s="115">
        <v>15</v>
      </c>
      <c r="Q11" s="103">
        <v>-133.1</v>
      </c>
    </row>
    <row r="12" spans="1:17" x14ac:dyDescent="0.4">
      <c r="A12" s="53" t="s">
        <v>158</v>
      </c>
      <c r="B12" s="46">
        <v>3</v>
      </c>
      <c r="C12" s="40">
        <f t="shared" si="1"/>
        <v>0.06</v>
      </c>
      <c r="E12" s="59" t="s">
        <v>83</v>
      </c>
      <c r="F12" s="56" t="s">
        <v>38</v>
      </c>
      <c r="G12" s="44">
        <v>8</v>
      </c>
      <c r="H12" s="129">
        <f>IF(B$17=0,0,G12/B$17)</f>
        <v>6.6666666666666666E-2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122</v>
      </c>
      <c r="C13" s="42">
        <f>IF(B$3=0,0,B13/B$3)</f>
        <v>0.28504672897196259</v>
      </c>
      <c r="E13" s="59" t="s">
        <v>71</v>
      </c>
      <c r="F13" s="56" t="s">
        <v>26</v>
      </c>
      <c r="G13" s="44">
        <v>6</v>
      </c>
      <c r="H13" s="129">
        <f>IF(B$17=0,0,G13/B$17)</f>
        <v>0.05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79</v>
      </c>
      <c r="C14" s="37">
        <f>IF(B$3=0,0,B14/B$3)</f>
        <v>0.18457943925233644</v>
      </c>
      <c r="E14" s="59" t="s">
        <v>78</v>
      </c>
      <c r="F14" s="56" t="s">
        <v>33</v>
      </c>
      <c r="G14" s="44">
        <v>5</v>
      </c>
      <c r="H14" s="129">
        <f>IF(B$17=0,0,G14/B$17)</f>
        <v>4.1666666666666664E-2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74</v>
      </c>
      <c r="C15" s="35">
        <f>IF(B$13=0,0,B15/B$13)</f>
        <v>0.60655737704918034</v>
      </c>
      <c r="E15" s="59" t="s">
        <v>81</v>
      </c>
      <c r="F15" s="56" t="s">
        <v>36</v>
      </c>
      <c r="G15" s="44">
        <v>3</v>
      </c>
      <c r="H15" s="129">
        <f>IF(B$17=0,0,G15/B$17)</f>
        <v>2.5000000000000001E-2</v>
      </c>
      <c r="I15" s="90">
        <v>3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31</v>
      </c>
      <c r="C16" s="35">
        <f>IF(B$14=0,0,B16/B$14)</f>
        <v>0.39240506329113922</v>
      </c>
      <c r="E16" s="59" t="s">
        <v>86</v>
      </c>
      <c r="F16" s="56" t="s">
        <v>41</v>
      </c>
      <c r="G16" s="44">
        <v>3</v>
      </c>
      <c r="H16" s="129">
        <f>IF(B$17=0,0,G16/B$17)</f>
        <v>2.5000000000000001E-2</v>
      </c>
      <c r="I16" s="90">
        <v>9</v>
      </c>
      <c r="K16" s="36">
        <v>14</v>
      </c>
      <c r="L16" s="95">
        <v>-204.8</v>
      </c>
      <c r="N16" s="111" t="s">
        <v>166</v>
      </c>
      <c r="O16" s="121">
        <f t="shared" si="2"/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120</v>
      </c>
      <c r="C17" s="35">
        <f>IF(B$3=0,0,B17/B$3)</f>
        <v>0.28037383177570091</v>
      </c>
      <c r="E17" s="59" t="s">
        <v>75</v>
      </c>
      <c r="F17" s="56" t="s">
        <v>30</v>
      </c>
      <c r="G17" s="44">
        <v>2</v>
      </c>
      <c r="H17" s="129">
        <f>IF(B$17=0,0,G17/B$17)</f>
        <v>1.6666666666666666E-2</v>
      </c>
      <c r="I17" s="90">
        <v>2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53</v>
      </c>
      <c r="C18" s="37">
        <f>IF(B$17=0,0,B18/B$17)</f>
        <v>0.44166666666666665</v>
      </c>
      <c r="E18" s="59" t="s">
        <v>79</v>
      </c>
      <c r="F18" s="56" t="s">
        <v>34</v>
      </c>
      <c r="G18" s="44">
        <v>2</v>
      </c>
      <c r="H18" s="129">
        <f>IF(B$17=0,0,G18/B$17)</f>
        <v>1.6666666666666666E-2</v>
      </c>
      <c r="I18" s="90">
        <v>4</v>
      </c>
      <c r="K18" s="36">
        <v>16</v>
      </c>
      <c r="L18" s="95">
        <v>-224.3</v>
      </c>
      <c r="N18" s="111" t="s">
        <v>127</v>
      </c>
      <c r="O18" s="121">
        <f t="shared" si="2"/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67</v>
      </c>
      <c r="C19" s="37">
        <f>IF(B$17=0,0,B19/B$17)</f>
        <v>0.55833333333333335</v>
      </c>
      <c r="E19" s="59" t="s">
        <v>91</v>
      </c>
      <c r="F19" s="56" t="s">
        <v>46</v>
      </c>
      <c r="G19" s="44">
        <v>1</v>
      </c>
      <c r="H19" s="129">
        <f>IF(B$17=0,0,G19/B$17)</f>
        <v>8.3333333333333332E-3</v>
      </c>
      <c r="I19" s="90">
        <v>5</v>
      </c>
      <c r="K19" s="36">
        <v>17</v>
      </c>
      <c r="L19" s="95">
        <v>-251.4</v>
      </c>
      <c r="N19" s="111" t="s">
        <v>177</v>
      </c>
      <c r="O19" s="121">
        <f t="shared" si="2"/>
        <v>-12.462499999999999</v>
      </c>
      <c r="P19" s="115">
        <v>8</v>
      </c>
      <c r="Q19" s="103">
        <v>-99.699999999999989</v>
      </c>
    </row>
    <row r="20" spans="1:17" x14ac:dyDescent="0.4">
      <c r="A20" s="51" t="s">
        <v>13</v>
      </c>
      <c r="B20" s="44">
        <v>89</v>
      </c>
      <c r="C20" s="37">
        <f>IF(B$3=0,0,B20/B$3)</f>
        <v>0.20794392523364486</v>
      </c>
      <c r="E20" s="59" t="s">
        <v>167</v>
      </c>
      <c r="F20" s="56" t="s">
        <v>168</v>
      </c>
      <c r="G20" s="44">
        <v>1</v>
      </c>
      <c r="H20" s="129">
        <f>IF(B$17=0,0,G20/B$17)</f>
        <v>8.3333333333333332E-3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 t="shared" si="2"/>
        <v>-18.282352941176477</v>
      </c>
      <c r="P20" s="115">
        <v>34</v>
      </c>
      <c r="Q20" s="103">
        <v>-621.60000000000025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 t="shared" si="2"/>
        <v>-26.881818181818179</v>
      </c>
      <c r="P21" s="115">
        <v>11</v>
      </c>
      <c r="Q21" s="103">
        <v>-295.7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7723.333333333333</v>
      </c>
      <c r="C23" s="39">
        <v>926800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8249.4382022471909</v>
      </c>
      <c r="C24" s="137">
        <v>734200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6212.9032258064517</v>
      </c>
      <c r="C25" s="137">
        <v>192600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-7507.8651685393261</v>
      </c>
      <c r="C26" s="137">
        <v>-668200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4.6728971962616819E-3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93</v>
      </c>
      <c r="H2" s="128">
        <f>IF(B$17=0,0,G2/B$17)</f>
        <v>0.86915887850467288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2554.3478260869565</v>
      </c>
      <c r="P2" s="114">
        <v>46</v>
      </c>
      <c r="Q2" s="98">
        <v>117500</v>
      </c>
    </row>
    <row r="3" spans="1:17" x14ac:dyDescent="0.4">
      <c r="A3" s="51" t="s">
        <v>8</v>
      </c>
      <c r="B3" s="150">
        <v>374</v>
      </c>
      <c r="C3" s="151"/>
      <c r="E3" s="59" t="s">
        <v>72</v>
      </c>
      <c r="F3" s="56" t="s">
        <v>27</v>
      </c>
      <c r="G3" s="44">
        <v>63</v>
      </c>
      <c r="H3" s="129">
        <f>IF(B$17=0,0,G3/B$17)</f>
        <v>0.58878504672897192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-3209.090909090909</v>
      </c>
      <c r="P3" s="115">
        <v>44</v>
      </c>
      <c r="Q3" s="99">
        <v>-141200</v>
      </c>
    </row>
    <row r="4" spans="1:17" x14ac:dyDescent="0.4">
      <c r="A4" s="51" t="s">
        <v>6</v>
      </c>
      <c r="B4" s="152">
        <v>154.90000000000006</v>
      </c>
      <c r="C4" s="153"/>
      <c r="E4" s="59" t="s">
        <v>64</v>
      </c>
      <c r="F4" s="56" t="s">
        <v>20</v>
      </c>
      <c r="G4" s="44">
        <v>54</v>
      </c>
      <c r="H4" s="129">
        <f>IF(B$17=0,0,G4/B$17)</f>
        <v>0.50467289719626163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1946.3414634146341</v>
      </c>
      <c r="P4" s="115">
        <v>41</v>
      </c>
      <c r="Q4" s="99">
        <v>79800</v>
      </c>
    </row>
    <row r="5" spans="1:17" x14ac:dyDescent="0.4">
      <c r="A5" s="51" t="s">
        <v>7</v>
      </c>
      <c r="B5" s="154">
        <f>IF(B$2=0,0,B$4/B$2)</f>
        <v>3.3673913043478274</v>
      </c>
      <c r="C5" s="155"/>
      <c r="E5" s="59" t="s">
        <v>67</v>
      </c>
      <c r="F5" s="56" t="s">
        <v>23</v>
      </c>
      <c r="G5" s="44">
        <v>45</v>
      </c>
      <c r="H5" s="129">
        <f>IF(B$17=0,0,G5/B$17)</f>
        <v>0.42056074766355139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3335.897435897436</v>
      </c>
      <c r="P5" s="115">
        <v>39</v>
      </c>
      <c r="Q5" s="99">
        <v>130100</v>
      </c>
    </row>
    <row r="6" spans="1:17" x14ac:dyDescent="0.4">
      <c r="A6" s="51" t="s">
        <v>1</v>
      </c>
      <c r="B6" s="144">
        <f>IF(B$2=0,0,(B$7*1+B$8*2+B$9*3)/B$2)</f>
        <v>1.9130434782608696</v>
      </c>
      <c r="C6" s="145"/>
      <c r="E6" s="59" t="s">
        <v>171</v>
      </c>
      <c r="F6" s="56" t="s">
        <v>172</v>
      </c>
      <c r="G6" s="44">
        <v>41</v>
      </c>
      <c r="H6" s="129">
        <f>IF(B$17=0,0,G6/B$17)</f>
        <v>0.38317757009345793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-1597.2222222222222</v>
      </c>
      <c r="P6" s="115">
        <v>36</v>
      </c>
      <c r="Q6" s="99">
        <v>-57500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0.41304347826086957</v>
      </c>
      <c r="E7" s="59" t="s">
        <v>68</v>
      </c>
      <c r="F7" s="56" t="s">
        <v>12</v>
      </c>
      <c r="G7" s="44">
        <v>39</v>
      </c>
      <c r="H7" s="129">
        <f>IF(B$17=0,0,G7/B$17)</f>
        <v>0.3644859813084112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-268.9655172413793</v>
      </c>
      <c r="P7" s="116">
        <v>29</v>
      </c>
      <c r="Q7" s="100">
        <v>-7800</v>
      </c>
    </row>
    <row r="8" spans="1:17" x14ac:dyDescent="0.4">
      <c r="A8" s="51" t="s">
        <v>3</v>
      </c>
      <c r="B8" s="44">
        <v>12</v>
      </c>
      <c r="C8" s="37">
        <f t="shared" si="1"/>
        <v>0.2608695652173913</v>
      </c>
      <c r="E8" s="59" t="s">
        <v>89</v>
      </c>
      <c r="F8" s="56" t="s">
        <v>44</v>
      </c>
      <c r="G8" s="44">
        <v>26</v>
      </c>
      <c r="H8" s="129">
        <f>IF(B$17=0,0,G8/B$17)</f>
        <v>0.24299065420560748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0.32608695652173914</v>
      </c>
      <c r="E9" s="59" t="s">
        <v>69</v>
      </c>
      <c r="F9" s="56" t="s">
        <v>24</v>
      </c>
      <c r="G9" s="44">
        <v>23</v>
      </c>
      <c r="H9" s="129">
        <f>IF(B$17=0,0,G9/B$17)</f>
        <v>0.21495327102803738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0.10869565217391304</v>
      </c>
      <c r="E10" s="59" t="s">
        <v>65</v>
      </c>
      <c r="F10" s="56" t="s">
        <v>21</v>
      </c>
      <c r="G10" s="44">
        <v>10</v>
      </c>
      <c r="H10" s="129">
        <f>IF(B$17=0,0,G10/B$17)</f>
        <v>9.3457943925233641E-2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9</v>
      </c>
      <c r="C11" s="38">
        <f t="shared" si="1"/>
        <v>0.19565217391304349</v>
      </c>
      <c r="E11" s="59" t="s">
        <v>70</v>
      </c>
      <c r="F11" s="56" t="s">
        <v>25</v>
      </c>
      <c r="G11" s="44">
        <v>10</v>
      </c>
      <c r="H11" s="129">
        <f>IF(B$17=0,0,G11/B$17)</f>
        <v>9.3457943925233641E-2</v>
      </c>
      <c r="I11" s="90">
        <v>6</v>
      </c>
      <c r="K11" s="36">
        <v>9</v>
      </c>
      <c r="L11" s="95">
        <v>-120.99999999999999</v>
      </c>
      <c r="N11" s="111" t="s">
        <v>163</v>
      </c>
      <c r="O11" s="121">
        <f>IF(P11=0,0,Q11/P11)</f>
        <v>7.4849999999999994</v>
      </c>
      <c r="P11" s="115">
        <v>20</v>
      </c>
      <c r="Q11" s="103">
        <v>149.69999999999999</v>
      </c>
    </row>
    <row r="12" spans="1:17" x14ac:dyDescent="0.4">
      <c r="A12" s="53" t="s">
        <v>158</v>
      </c>
      <c r="B12" s="46">
        <v>4</v>
      </c>
      <c r="C12" s="40">
        <f t="shared" si="1"/>
        <v>8.6956521739130432E-2</v>
      </c>
      <c r="E12" s="59" t="s">
        <v>71</v>
      </c>
      <c r="F12" s="56" t="s">
        <v>26</v>
      </c>
      <c r="G12" s="44">
        <v>6</v>
      </c>
      <c r="H12" s="129">
        <f>IF(B$17=0,0,G12/B$17)</f>
        <v>5.6074766355140186E-2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-10.209090909090909</v>
      </c>
      <c r="P12" s="116">
        <v>11</v>
      </c>
      <c r="Q12" s="104">
        <v>-112.3</v>
      </c>
    </row>
    <row r="13" spans="1:17" x14ac:dyDescent="0.4">
      <c r="A13" s="54" t="s">
        <v>121</v>
      </c>
      <c r="B13" s="47">
        <v>116</v>
      </c>
      <c r="C13" s="42">
        <f>IF(B$3=0,0,B13/B$3)</f>
        <v>0.31016042780748665</v>
      </c>
      <c r="E13" s="59" t="s">
        <v>83</v>
      </c>
      <c r="F13" s="56" t="s">
        <v>38</v>
      </c>
      <c r="G13" s="44">
        <v>6</v>
      </c>
      <c r="H13" s="129">
        <f>IF(B$17=0,0,G13/B$17)</f>
        <v>5.6074766355140186E-2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0.20053475935828877</v>
      </c>
      <c r="E14" s="59" t="s">
        <v>167</v>
      </c>
      <c r="F14" s="56" t="s">
        <v>168</v>
      </c>
      <c r="G14" s="44">
        <v>5</v>
      </c>
      <c r="H14" s="129">
        <f>IF(B$17=0,0,G14/B$17)</f>
        <v>4.6728971962616821E-2</v>
      </c>
      <c r="I14" s="90">
        <v>1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59</v>
      </c>
      <c r="C15" s="35">
        <f>IF(B$13=0,0,B15/B$13)</f>
        <v>0.50862068965517238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34</v>
      </c>
      <c r="C16" s="35">
        <f>IF(B$14=0,0,B16/B$14)</f>
        <v>0.45333333333333331</v>
      </c>
      <c r="E16" s="59" t="s">
        <v>92</v>
      </c>
      <c r="F16" s="56" t="s">
        <v>47</v>
      </c>
      <c r="G16" s="44">
        <v>3</v>
      </c>
      <c r="H16" s="129">
        <f>IF(B$17=0,0,G16/B$17)</f>
        <v>2.8037383177570093E-2</v>
      </c>
      <c r="I16" s="90">
        <v>1</v>
      </c>
      <c r="K16" s="36">
        <v>14</v>
      </c>
      <c r="L16" s="95">
        <v>-86.499999999999972</v>
      </c>
      <c r="N16" s="111" t="s">
        <v>166</v>
      </c>
      <c r="O16" s="121">
        <f t="shared" si="2"/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0.28609625668449196</v>
      </c>
      <c r="E17" s="59" t="s">
        <v>81</v>
      </c>
      <c r="F17" s="56" t="s">
        <v>36</v>
      </c>
      <c r="G17" s="44">
        <v>2</v>
      </c>
      <c r="H17" s="129">
        <f>IF(B$17=0,0,G17/B$17)</f>
        <v>1.8691588785046728E-2</v>
      </c>
      <c r="I17" s="90">
        <v>6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50</v>
      </c>
      <c r="C18" s="37">
        <f>IF(B$17=0,0,B18/B$17)</f>
        <v>0.46728971962616822</v>
      </c>
      <c r="E18" s="59" t="s">
        <v>91</v>
      </c>
      <c r="F18" s="56" t="s">
        <v>46</v>
      </c>
      <c r="G18" s="44">
        <v>2</v>
      </c>
      <c r="H18" s="129">
        <f>IF(B$17=0,0,G18/B$17)</f>
        <v>1.8691588785046728E-2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14.204761904761902</v>
      </c>
      <c r="P18" s="115">
        <v>21</v>
      </c>
      <c r="Q18" s="103">
        <v>298.29999999999995</v>
      </c>
    </row>
    <row r="19" spans="1:17" x14ac:dyDescent="0.4">
      <c r="A19" s="51" t="s">
        <v>11</v>
      </c>
      <c r="B19" s="44">
        <v>57</v>
      </c>
      <c r="C19" s="37">
        <f>IF(B$17=0,0,B19/B$17)</f>
        <v>0.53271028037383172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4</v>
      </c>
      <c r="K19" s="36">
        <v>17</v>
      </c>
      <c r="L19" s="95">
        <v>-55.799999999999969</v>
      </c>
      <c r="N19" s="111" t="s">
        <v>179</v>
      </c>
      <c r="O19" s="121">
        <f t="shared" si="2"/>
        <v>12.462499999999999</v>
      </c>
      <c r="P19" s="115">
        <v>8</v>
      </c>
      <c r="Q19" s="103">
        <v>99.699999999999989</v>
      </c>
    </row>
    <row r="20" spans="1:17" x14ac:dyDescent="0.4">
      <c r="A20" s="51" t="s">
        <v>13</v>
      </c>
      <c r="B20" s="44">
        <v>60</v>
      </c>
      <c r="C20" s="37">
        <f>IF(B$3=0,0,B20/B$3)</f>
        <v>0.16042780748663102</v>
      </c>
      <c r="E20" s="59" t="s">
        <v>78</v>
      </c>
      <c r="F20" s="56" t="s">
        <v>33</v>
      </c>
      <c r="G20" s="44">
        <v>1</v>
      </c>
      <c r="H20" s="129">
        <f>IF(B$17=0,0,G20/B$17)</f>
        <v>9.3457943925233638E-3</v>
      </c>
      <c r="I20" s="90">
        <v>8</v>
      </c>
      <c r="K20" s="36">
        <v>18</v>
      </c>
      <c r="L20" s="95">
        <v>-24.999999999999968</v>
      </c>
      <c r="N20" s="111" t="s">
        <v>126</v>
      </c>
      <c r="O20" s="121">
        <f t="shared" si="2"/>
        <v>3.2999999999999985</v>
      </c>
      <c r="P20" s="115">
        <v>18</v>
      </c>
      <c r="Q20" s="103">
        <v>59.39999999999997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85</v>
      </c>
      <c r="F21" s="56" t="s">
        <v>40</v>
      </c>
      <c r="G21" s="44">
        <v>1</v>
      </c>
      <c r="H21" s="129">
        <f>IF(B$17=0,0,G21/B$17)</f>
        <v>9.3457943925233638E-3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18</v>
      </c>
      <c r="E22" s="59" t="s">
        <v>90</v>
      </c>
      <c r="F22" s="56" t="s">
        <v>45</v>
      </c>
      <c r="G22" s="44">
        <v>1</v>
      </c>
      <c r="H22" s="129">
        <f>IF(B$17=0,0,G22/B$17)</f>
        <v>9.3457943925233638E-3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10172.897196261682</v>
      </c>
      <c r="C23" s="39">
        <v>1088500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11189.04109589041</v>
      </c>
      <c r="C24" s="137">
        <v>816800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7991.1764705882351</v>
      </c>
      <c r="C25" s="137">
        <v>271700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-8468.3333333333339</v>
      </c>
      <c r="C26" s="137">
        <v>-508100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94100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5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54</v>
      </c>
      <c r="C2" s="149"/>
      <c r="E2" s="58" t="s">
        <v>66</v>
      </c>
      <c r="F2" s="55" t="s">
        <v>22</v>
      </c>
      <c r="G2" s="43">
        <v>95</v>
      </c>
      <c r="H2" s="128">
        <f>IF(B$17=0,0,G2/B$17)</f>
        <v>0.77235772357723576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1009.2592592592592</v>
      </c>
      <c r="P2" s="114">
        <v>54</v>
      </c>
      <c r="Q2" s="98">
        <v>54500</v>
      </c>
    </row>
    <row r="3" spans="1:17" x14ac:dyDescent="0.4">
      <c r="A3" s="51" t="s">
        <v>8</v>
      </c>
      <c r="B3" s="150">
        <v>439</v>
      </c>
      <c r="C3" s="151"/>
      <c r="E3" s="59" t="s">
        <v>72</v>
      </c>
      <c r="F3" s="56" t="s">
        <v>27</v>
      </c>
      <c r="G3" s="44">
        <v>81</v>
      </c>
      <c r="H3" s="129">
        <f>IF(B$17=0,0,G3/B$17)</f>
        <v>0.65853658536585369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1541.1764705882354</v>
      </c>
      <c r="P3" s="115">
        <v>51</v>
      </c>
      <c r="Q3" s="99">
        <v>78600</v>
      </c>
    </row>
    <row r="4" spans="1:17" x14ac:dyDescent="0.4">
      <c r="A4" s="51" t="s">
        <v>6</v>
      </c>
      <c r="B4" s="152">
        <v>-12.499999999999979</v>
      </c>
      <c r="C4" s="153"/>
      <c r="E4" s="59" t="s">
        <v>64</v>
      </c>
      <c r="F4" s="56" t="s">
        <v>20</v>
      </c>
      <c r="G4" s="44">
        <v>62</v>
      </c>
      <c r="H4" s="129">
        <f>IF(B$17=0,0,G4/B$17)</f>
        <v>0.50406504065040647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-1820.8333333333333</v>
      </c>
      <c r="P4" s="115">
        <v>48</v>
      </c>
      <c r="Q4" s="99">
        <v>-87400</v>
      </c>
    </row>
    <row r="5" spans="1:17" x14ac:dyDescent="0.4">
      <c r="A5" s="51" t="s">
        <v>7</v>
      </c>
      <c r="B5" s="154">
        <f>IF(B$2=0,0,B$4/B$2)</f>
        <v>-0.23148148148148109</v>
      </c>
      <c r="C5" s="155"/>
      <c r="E5" s="59" t="s">
        <v>171</v>
      </c>
      <c r="F5" s="56" t="s">
        <v>172</v>
      </c>
      <c r="G5" s="44">
        <v>52</v>
      </c>
      <c r="H5" s="129">
        <f>IF(B$17=0,0,G5/B$17)</f>
        <v>0.42276422764227645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425</v>
      </c>
      <c r="P5" s="115">
        <v>44</v>
      </c>
      <c r="Q5" s="99">
        <v>18700</v>
      </c>
    </row>
    <row r="6" spans="1:17" x14ac:dyDescent="0.4">
      <c r="A6" s="51" t="s">
        <v>1</v>
      </c>
      <c r="B6" s="144">
        <f>IF(B$2=0,0,(B$7*1+B$8*2+B$9*3)/B$2)</f>
        <v>2.0925925925925926</v>
      </c>
      <c r="C6" s="145"/>
      <c r="E6" s="59" t="s">
        <v>67</v>
      </c>
      <c r="F6" s="56" t="s">
        <v>23</v>
      </c>
      <c r="G6" s="44">
        <v>51</v>
      </c>
      <c r="H6" s="129">
        <f>IF(B$17=0,0,G6/B$17)</f>
        <v>0.41463414634146339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-23.076923076923077</v>
      </c>
      <c r="P6" s="115">
        <v>39</v>
      </c>
      <c r="Q6" s="99">
        <v>-900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0.18518518518518517</v>
      </c>
      <c r="E7" s="59" t="s">
        <v>68</v>
      </c>
      <c r="F7" s="56" t="s">
        <v>12</v>
      </c>
      <c r="G7" s="44">
        <v>40</v>
      </c>
      <c r="H7" s="129">
        <f>IF(B$17=0,0,G7/B$17)</f>
        <v>0.32520325203252032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-1220.5882352941176</v>
      </c>
      <c r="P7" s="116">
        <v>34</v>
      </c>
      <c r="Q7" s="100">
        <v>-41500</v>
      </c>
    </row>
    <row r="8" spans="1:17" x14ac:dyDescent="0.4">
      <c r="A8" s="51" t="s">
        <v>3</v>
      </c>
      <c r="B8" s="44">
        <v>29</v>
      </c>
      <c r="C8" s="37">
        <f t="shared" si="1"/>
        <v>0.53703703703703709</v>
      </c>
      <c r="E8" s="59" t="s">
        <v>69</v>
      </c>
      <c r="F8" s="56" t="s">
        <v>24</v>
      </c>
      <c r="G8" s="44">
        <v>17</v>
      </c>
      <c r="H8" s="129">
        <f>IF(B$17=0,0,G8/B$17)</f>
        <v>0.13821138211382114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0.27777777777777779</v>
      </c>
      <c r="E9" s="59" t="s">
        <v>70</v>
      </c>
      <c r="F9" s="56" t="s">
        <v>25</v>
      </c>
      <c r="G9" s="44">
        <v>10</v>
      </c>
      <c r="H9" s="129">
        <f>IF(B$17=0,0,G9/B$17)</f>
        <v>8.1300813008130079E-2</v>
      </c>
      <c r="I9" s="90">
        <v>7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7.407407407407407E-2</v>
      </c>
      <c r="E10" s="59" t="s">
        <v>71</v>
      </c>
      <c r="F10" s="56" t="s">
        <v>26</v>
      </c>
      <c r="G10" s="44">
        <v>10</v>
      </c>
      <c r="H10" s="129">
        <f>IF(B$17=0,0,G10/B$17)</f>
        <v>8.1300813008130079E-2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1.5619047619047617</v>
      </c>
      <c r="P10" s="114">
        <v>21</v>
      </c>
      <c r="Q10" s="102">
        <v>32.799999999999997</v>
      </c>
    </row>
    <row r="11" spans="1:17" x14ac:dyDescent="0.4">
      <c r="A11" s="52" t="s">
        <v>138</v>
      </c>
      <c r="B11" s="45">
        <v>4</v>
      </c>
      <c r="C11" s="38">
        <f t="shared" si="1"/>
        <v>7.407407407407407E-2</v>
      </c>
      <c r="E11" s="59" t="s">
        <v>89</v>
      </c>
      <c r="F11" s="56" t="s">
        <v>44</v>
      </c>
      <c r="G11" s="44">
        <v>10</v>
      </c>
      <c r="H11" s="129">
        <f>IF(B$17=0,0,G11/B$17)</f>
        <v>8.1300813008130079E-2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3.0142857142857147</v>
      </c>
      <c r="P11" s="115">
        <v>14</v>
      </c>
      <c r="Q11" s="103">
        <v>42.2</v>
      </c>
    </row>
    <row r="12" spans="1:17" x14ac:dyDescent="0.4">
      <c r="A12" s="53" t="s">
        <v>158</v>
      </c>
      <c r="B12" s="46">
        <v>1</v>
      </c>
      <c r="C12" s="40">
        <f t="shared" si="1"/>
        <v>1.8518518518518517E-2</v>
      </c>
      <c r="E12" s="59" t="s">
        <v>65</v>
      </c>
      <c r="F12" s="56" t="s">
        <v>21</v>
      </c>
      <c r="G12" s="44">
        <v>9</v>
      </c>
      <c r="H12" s="129">
        <f>IF(B$17=0,0,G12/B$17)</f>
        <v>7.3170731707317069E-2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-4.6052631578947363</v>
      </c>
      <c r="P12" s="116">
        <v>19</v>
      </c>
      <c r="Q12" s="104">
        <v>-87.499999999999986</v>
      </c>
    </row>
    <row r="13" spans="1:17" x14ac:dyDescent="0.4">
      <c r="A13" s="54" t="s">
        <v>121</v>
      </c>
      <c r="B13" s="47">
        <v>113</v>
      </c>
      <c r="C13" s="42">
        <f>IF(B$3=0,0,B13/B$3)</f>
        <v>0.25740318906605925</v>
      </c>
      <c r="E13" s="59" t="s">
        <v>79</v>
      </c>
      <c r="F13" s="56" t="s">
        <v>34</v>
      </c>
      <c r="G13" s="44">
        <v>5</v>
      </c>
      <c r="H13" s="129">
        <f>IF(B$17=0,0,G13/B$17)</f>
        <v>4.065040650406504E-2</v>
      </c>
      <c r="I13" s="90">
        <v>2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108</v>
      </c>
      <c r="C14" s="37">
        <f>IF(B$3=0,0,B14/B$3)</f>
        <v>0.24601366742596811</v>
      </c>
      <c r="E14" s="59" t="s">
        <v>86</v>
      </c>
      <c r="F14" s="56" t="s">
        <v>41</v>
      </c>
      <c r="G14" s="44">
        <v>5</v>
      </c>
      <c r="H14" s="129">
        <f>IF(B$17=0,0,G14/B$17)</f>
        <v>4.065040650406504E-2</v>
      </c>
      <c r="I14" s="90">
        <v>7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66</v>
      </c>
      <c r="C15" s="35">
        <f>IF(B$13=0,0,B15/B$13)</f>
        <v>0.58407079646017701</v>
      </c>
      <c r="E15" s="59" t="s">
        <v>83</v>
      </c>
      <c r="F15" s="56" t="s">
        <v>38</v>
      </c>
      <c r="G15" s="44">
        <v>4</v>
      </c>
      <c r="H15" s="129">
        <f>IF(B$17=0,0,G15/B$17)</f>
        <v>3.2520325203252036E-2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42</v>
      </c>
      <c r="C16" s="35">
        <f>IF(B$14=0,0,B16/B$14)</f>
        <v>0.3888888888888889</v>
      </c>
      <c r="E16" s="59" t="s">
        <v>167</v>
      </c>
      <c r="F16" s="56" t="s">
        <v>168</v>
      </c>
      <c r="G16" s="44">
        <v>4</v>
      </c>
      <c r="H16" s="129">
        <f>IF(B$17=0,0,G16/B$17)</f>
        <v>3.2520325203252036E-2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123</v>
      </c>
      <c r="C17" s="35">
        <f>IF(B$3=0,0,B17/B$3)</f>
        <v>0.28018223234624146</v>
      </c>
      <c r="E17" s="59" t="s">
        <v>78</v>
      </c>
      <c r="F17" s="56" t="s">
        <v>33</v>
      </c>
      <c r="G17" s="44">
        <v>3</v>
      </c>
      <c r="H17" s="129">
        <f>IF(B$17=0,0,G17/B$17)</f>
        <v>2.4390243902439025E-2</v>
      </c>
      <c r="I17" s="90">
        <v>5</v>
      </c>
      <c r="K17" s="36">
        <v>15</v>
      </c>
      <c r="L17" s="95">
        <v>-35.499999999999986</v>
      </c>
      <c r="N17" s="111" t="s">
        <v>179</v>
      </c>
      <c r="O17" s="121">
        <f t="shared" si="2"/>
        <v>26.881818181818179</v>
      </c>
      <c r="P17" s="115">
        <v>11</v>
      </c>
      <c r="Q17" s="103">
        <v>295.7</v>
      </c>
    </row>
    <row r="18" spans="1:17" x14ac:dyDescent="0.4">
      <c r="A18" s="51" t="s">
        <v>12</v>
      </c>
      <c r="B18" s="44">
        <v>53</v>
      </c>
      <c r="C18" s="37">
        <f>IF(B$17=0,0,B18/B$17)</f>
        <v>0.43089430894308944</v>
      </c>
      <c r="E18" s="59" t="s">
        <v>73</v>
      </c>
      <c r="F18" s="56" t="s">
        <v>28</v>
      </c>
      <c r="G18" s="44">
        <v>2</v>
      </c>
      <c r="H18" s="129">
        <f>IF(B$17=0,0,G18/B$17)</f>
        <v>1.6260162601626018E-2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 t="shared" si="2"/>
        <v>15.787499999999996</v>
      </c>
      <c r="P18" s="115">
        <v>16</v>
      </c>
      <c r="Q18" s="103">
        <v>252.59999999999994</v>
      </c>
    </row>
    <row r="19" spans="1:17" x14ac:dyDescent="0.4">
      <c r="A19" s="51" t="s">
        <v>11</v>
      </c>
      <c r="B19" s="44">
        <v>70</v>
      </c>
      <c r="C19" s="37">
        <f>IF(B$17=0,0,B19/B$17)</f>
        <v>0.56910569105691056</v>
      </c>
      <c r="E19" s="59" t="s">
        <v>81</v>
      </c>
      <c r="F19" s="56" t="s">
        <v>36</v>
      </c>
      <c r="G19" s="44">
        <v>1</v>
      </c>
      <c r="H19" s="129">
        <f>IF(B$17=0,0,G19/B$17)</f>
        <v>8.130081300813009E-3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 t="shared" si="2"/>
        <v>6.26</v>
      </c>
      <c r="P19" s="115">
        <v>10</v>
      </c>
      <c r="Q19" s="103">
        <v>62.599999999999994</v>
      </c>
    </row>
    <row r="20" spans="1:17" x14ac:dyDescent="0.4">
      <c r="A20" s="51" t="s">
        <v>13</v>
      </c>
      <c r="B20" s="44">
        <v>57</v>
      </c>
      <c r="C20" s="37">
        <f>IF(B$3=0,0,B20/B$3)</f>
        <v>0.12984054669703873</v>
      </c>
      <c r="E20" s="59" t="s">
        <v>85</v>
      </c>
      <c r="F20" s="56" t="s">
        <v>40</v>
      </c>
      <c r="G20" s="44">
        <v>1</v>
      </c>
      <c r="H20" s="129">
        <f>IF(B$17=0,0,G20/B$17)</f>
        <v>8.130081300813009E-3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 t="shared" si="2"/>
        <v>-12.731818181818182</v>
      </c>
      <c r="P20" s="115">
        <v>22</v>
      </c>
      <c r="Q20" s="103">
        <v>-280.10000000000002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87</v>
      </c>
      <c r="F21" s="56" t="s">
        <v>42</v>
      </c>
      <c r="G21" s="44">
        <v>1</v>
      </c>
      <c r="H21" s="129">
        <f>IF(B$17=0,0,G21/B$17)</f>
        <v>8.130081300813009E-3</v>
      </c>
      <c r="I21" s="90">
        <v>2</v>
      </c>
      <c r="K21" s="36">
        <v>19</v>
      </c>
      <c r="L21" s="95">
        <v>-56.399999999999991</v>
      </c>
      <c r="N21" s="111" t="s">
        <v>177</v>
      </c>
      <c r="O21" s="121">
        <f t="shared" si="2"/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34</v>
      </c>
      <c r="E22" s="59" t="s">
        <v>91</v>
      </c>
      <c r="F22" s="56" t="s">
        <v>46</v>
      </c>
      <c r="G22" s="44">
        <v>1</v>
      </c>
      <c r="H22" s="129">
        <f>IF(B$17=0,0,G22/B$17)</f>
        <v>8.130081300813009E-3</v>
      </c>
      <c r="I22" s="90">
        <v>6</v>
      </c>
      <c r="K22" s="36">
        <v>20</v>
      </c>
      <c r="L22" s="95">
        <v>-93.199999999999989</v>
      </c>
      <c r="N22" s="111" t="s">
        <v>181</v>
      </c>
      <c r="O22" s="121">
        <f t="shared" si="2"/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8553.6585365853662</v>
      </c>
      <c r="C23" s="39">
        <v>1052100</v>
      </c>
      <c r="E23" s="59" t="s">
        <v>101</v>
      </c>
      <c r="F23" s="56" t="s">
        <v>56</v>
      </c>
      <c r="G23" s="44">
        <v>1</v>
      </c>
      <c r="H23" s="129">
        <f>IF(B$17=0,0,G23/B$17)</f>
        <v>8.130081300813009E-3</v>
      </c>
      <c r="I23" s="90">
        <v>1</v>
      </c>
      <c r="K23" s="36">
        <v>21</v>
      </c>
      <c r="L23" s="95">
        <v>-123.69999999999999</v>
      </c>
      <c r="N23" s="111" t="s">
        <v>126</v>
      </c>
      <c r="O23" s="121">
        <f t="shared" si="2"/>
        <v>-16.552380952380958</v>
      </c>
      <c r="P23" s="115">
        <v>21</v>
      </c>
      <c r="Q23" s="103">
        <v>-347.60000000000008</v>
      </c>
    </row>
    <row r="24" spans="1:17" x14ac:dyDescent="0.4">
      <c r="A24" s="52" t="s">
        <v>216</v>
      </c>
      <c r="B24" s="136">
        <f>IF($B$17-B$16=0,0,C24/($B$17-B$16))</f>
        <v>9706.1728395061727</v>
      </c>
      <c r="C24" s="137">
        <v>786200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6330.9523809523807</v>
      </c>
      <c r="C25" s="137">
        <v>265900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-7705.2631578947367</v>
      </c>
      <c r="C26" s="137">
        <v>-439200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4.5558086560364463E-3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</sheetData>
  <sortState xmlns:xlrd2="http://schemas.microsoft.com/office/spreadsheetml/2017/richdata2" ref="E2:I57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</v>
      </c>
      <c r="C2" s="149"/>
      <c r="E2" s="58" t="s">
        <v>66</v>
      </c>
      <c r="F2" s="55" t="s">
        <v>22</v>
      </c>
      <c r="G2" s="43">
        <v>36</v>
      </c>
      <c r="H2" s="128">
        <f>IF(B$17=0,0,G2/B$17)</f>
        <v>0.70588235294117652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-3196.4285714285716</v>
      </c>
      <c r="P2" s="114">
        <v>28</v>
      </c>
      <c r="Q2" s="98">
        <v>-89500</v>
      </c>
    </row>
    <row r="3" spans="1:17" x14ac:dyDescent="0.4">
      <c r="A3" s="51" t="s">
        <v>8</v>
      </c>
      <c r="B3" s="150">
        <v>223</v>
      </c>
      <c r="C3" s="151"/>
      <c r="E3" s="59" t="s">
        <v>72</v>
      </c>
      <c r="F3" s="56" t="s">
        <v>27</v>
      </c>
      <c r="G3" s="44">
        <v>26</v>
      </c>
      <c r="H3" s="129">
        <f>IF(B$17=0,0,G3/B$17)</f>
        <v>0.50980392156862742</v>
      </c>
      <c r="I3" s="90">
        <v>8</v>
      </c>
      <c r="K3" s="36">
        <v>1</v>
      </c>
      <c r="L3" s="95">
        <v>-12</v>
      </c>
      <c r="N3" s="111" t="s">
        <v>131</v>
      </c>
      <c r="O3" s="118">
        <f t="shared" si="0"/>
        <v>275</v>
      </c>
      <c r="P3" s="115">
        <v>28</v>
      </c>
      <c r="Q3" s="99">
        <v>7700</v>
      </c>
    </row>
    <row r="4" spans="1:17" x14ac:dyDescent="0.4">
      <c r="A4" s="51" t="s">
        <v>6</v>
      </c>
      <c r="B4" s="152">
        <v>-447.30000000000013</v>
      </c>
      <c r="C4" s="153"/>
      <c r="E4" s="59" t="s">
        <v>64</v>
      </c>
      <c r="F4" s="56" t="s">
        <v>20</v>
      </c>
      <c r="G4" s="44">
        <v>23</v>
      </c>
      <c r="H4" s="129">
        <f>IF(B$17=0,0,G4/B$17)</f>
        <v>0.45098039215686275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-714.28571428571433</v>
      </c>
      <c r="P4" s="115">
        <v>28</v>
      </c>
      <c r="Q4" s="99">
        <v>-20000</v>
      </c>
    </row>
    <row r="5" spans="1:17" x14ac:dyDescent="0.4">
      <c r="A5" s="51" t="s">
        <v>7</v>
      </c>
      <c r="B5" s="154">
        <f>IF(B$2=0,0,B$4/B$2)</f>
        <v>-15.975000000000005</v>
      </c>
      <c r="C5" s="155"/>
      <c r="E5" s="59" t="s">
        <v>67</v>
      </c>
      <c r="F5" s="56" t="s">
        <v>23</v>
      </c>
      <c r="G5" s="44">
        <v>17</v>
      </c>
      <c r="H5" s="129">
        <f>IF(B$17=0,0,G5/B$17)</f>
        <v>0.33333333333333331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-3414.8148148148148</v>
      </c>
      <c r="P5" s="115">
        <v>27</v>
      </c>
      <c r="Q5" s="99">
        <v>-92200</v>
      </c>
    </row>
    <row r="6" spans="1:17" x14ac:dyDescent="0.4">
      <c r="A6" s="51" t="s">
        <v>1</v>
      </c>
      <c r="B6" s="144">
        <f>IF(B$2=0,0,(B$7*1+B$8*2+B$9*3)/B$2)</f>
        <v>2.4642857142857144</v>
      </c>
      <c r="C6" s="145"/>
      <c r="E6" s="59" t="s">
        <v>68</v>
      </c>
      <c r="F6" s="56" t="s">
        <v>12</v>
      </c>
      <c r="G6" s="44">
        <v>17</v>
      </c>
      <c r="H6" s="129">
        <f>IF(B$17=0,0,G6/B$17)</f>
        <v>0.33333333333333331</v>
      </c>
      <c r="I6" s="90">
        <v>4</v>
      </c>
      <c r="K6" s="36">
        <v>4</v>
      </c>
      <c r="L6" s="95">
        <v>-80.5</v>
      </c>
      <c r="N6" s="111" t="s">
        <v>134</v>
      </c>
      <c r="O6" s="118">
        <f t="shared" si="0"/>
        <v>-1742.3076923076924</v>
      </c>
      <c r="P6" s="115">
        <v>26</v>
      </c>
      <c r="Q6" s="99">
        <v>-45300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0.10714285714285714</v>
      </c>
      <c r="E7" s="59" t="s">
        <v>171</v>
      </c>
      <c r="F7" s="56" t="s">
        <v>172</v>
      </c>
      <c r="G7" s="44">
        <v>17</v>
      </c>
      <c r="H7" s="129">
        <f>IF(B$17=0,0,G7/B$17)</f>
        <v>0.33333333333333331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-3476.1904761904761</v>
      </c>
      <c r="P7" s="116">
        <v>21</v>
      </c>
      <c r="Q7" s="100">
        <v>-73000</v>
      </c>
    </row>
    <row r="8" spans="1:17" x14ac:dyDescent="0.4">
      <c r="A8" s="51" t="s">
        <v>3</v>
      </c>
      <c r="B8" s="44">
        <v>9</v>
      </c>
      <c r="C8" s="37">
        <f t="shared" si="1"/>
        <v>0.32142857142857145</v>
      </c>
      <c r="E8" s="59" t="s">
        <v>89</v>
      </c>
      <c r="F8" s="56" t="s">
        <v>44</v>
      </c>
      <c r="G8" s="44">
        <v>7</v>
      </c>
      <c r="H8" s="129">
        <f>IF(B$17=0,0,G8/B$17)</f>
        <v>0.13725490196078433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0.5714285714285714</v>
      </c>
      <c r="E9" s="59" t="s">
        <v>65</v>
      </c>
      <c r="F9" s="56" t="s">
        <v>21</v>
      </c>
      <c r="G9" s="44">
        <v>6</v>
      </c>
      <c r="H9" s="129">
        <f>IF(B$17=0,0,G9/B$17)</f>
        <v>0.11764705882352941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0.17857142857142858</v>
      </c>
      <c r="E10" s="59" t="s">
        <v>71</v>
      </c>
      <c r="F10" s="56" t="s">
        <v>26</v>
      </c>
      <c r="G10" s="44">
        <v>5</v>
      </c>
      <c r="H10" s="129">
        <f>IF(B$17=0,0,G10/B$17)</f>
        <v>9.8039215686274508E-2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-23.131250000000001</v>
      </c>
      <c r="P10" s="114">
        <v>16</v>
      </c>
      <c r="Q10" s="102">
        <v>-370.1</v>
      </c>
    </row>
    <row r="11" spans="1:17" x14ac:dyDescent="0.4">
      <c r="A11" s="52" t="s">
        <v>138</v>
      </c>
      <c r="B11" s="45">
        <v>1</v>
      </c>
      <c r="C11" s="38">
        <f t="shared" si="1"/>
        <v>3.5714285714285712E-2</v>
      </c>
      <c r="E11" s="59" t="s">
        <v>69</v>
      </c>
      <c r="F11" s="56" t="s">
        <v>24</v>
      </c>
      <c r="G11" s="44">
        <v>4</v>
      </c>
      <c r="H11" s="129">
        <f>IF(B$17=0,0,G11/B$17)</f>
        <v>7.8431372549019607E-2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3.5714285714285712E-2</v>
      </c>
      <c r="E12" s="59" t="s">
        <v>83</v>
      </c>
      <c r="F12" s="56" t="s">
        <v>38</v>
      </c>
      <c r="G12" s="44">
        <v>4</v>
      </c>
      <c r="H12" s="129">
        <f>IF(B$17=0,0,G12/B$17)</f>
        <v>7.8431372549019607E-2</v>
      </c>
      <c r="I12" s="90">
        <v>3</v>
      </c>
      <c r="K12" s="36">
        <v>10</v>
      </c>
      <c r="L12" s="95">
        <v>-151.1</v>
      </c>
      <c r="N12" s="112" t="s">
        <v>164</v>
      </c>
      <c r="O12" s="122">
        <f>IF(P12=0,0,Q12/P12)</f>
        <v>-4.7249999999999996</v>
      </c>
      <c r="P12" s="116">
        <v>4</v>
      </c>
      <c r="Q12" s="104">
        <v>-18.899999999999999</v>
      </c>
    </row>
    <row r="13" spans="1:17" x14ac:dyDescent="0.4">
      <c r="A13" s="54" t="s">
        <v>121</v>
      </c>
      <c r="B13" s="47">
        <v>44</v>
      </c>
      <c r="C13" s="42">
        <f>IF(B$3=0,0,B13/B$3)</f>
        <v>0.19730941704035873</v>
      </c>
      <c r="E13" s="59" t="s">
        <v>86</v>
      </c>
      <c r="F13" s="56" t="s">
        <v>41</v>
      </c>
      <c r="G13" s="44">
        <v>4</v>
      </c>
      <c r="H13" s="129">
        <f>IF(B$17=0,0,G13/B$17)</f>
        <v>7.8431372549019607E-2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47</v>
      </c>
      <c r="C14" s="37">
        <f>IF(B$3=0,0,B14/B$3)</f>
        <v>0.21076233183856502</v>
      </c>
      <c r="E14" s="59" t="s">
        <v>70</v>
      </c>
      <c r="F14" s="56" t="s">
        <v>25</v>
      </c>
      <c r="G14" s="44">
        <v>3</v>
      </c>
      <c r="H14" s="129">
        <f>IF(B$17=0,0,G14/B$17)</f>
        <v>5.8823529411764705E-2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0.56818181818181823</v>
      </c>
      <c r="E15" s="59" t="s">
        <v>81</v>
      </c>
      <c r="F15" s="56" t="s">
        <v>36</v>
      </c>
      <c r="G15" s="44">
        <v>2</v>
      </c>
      <c r="H15" s="129">
        <f>IF(B$17=0,0,G15/B$17)</f>
        <v>3.9215686274509803E-2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17</v>
      </c>
      <c r="C16" s="35">
        <f>IF(B$14=0,0,B16/B$14)</f>
        <v>0.36170212765957449</v>
      </c>
      <c r="E16" s="59" t="s">
        <v>74</v>
      </c>
      <c r="F16" s="56" t="s">
        <v>29</v>
      </c>
      <c r="G16" s="44">
        <v>1</v>
      </c>
      <c r="H16" s="129">
        <f>IF(B$17=0,0,G16/B$17)</f>
        <v>1.9607843137254902E-2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 t="shared" si="2"/>
        <v>-15.787499999999996</v>
      </c>
      <c r="P16" s="115">
        <v>16</v>
      </c>
      <c r="Q16" s="103">
        <v>-252.59999999999994</v>
      </c>
    </row>
    <row r="17" spans="1:17" x14ac:dyDescent="0.4">
      <c r="A17" s="50" t="s">
        <v>10</v>
      </c>
      <c r="B17" s="43">
        <f>B19+B18</f>
        <v>51</v>
      </c>
      <c r="C17" s="35">
        <f>IF(B$3=0,0,B17/B$3)</f>
        <v>0.22869955156950672</v>
      </c>
      <c r="E17" s="59" t="s">
        <v>78</v>
      </c>
      <c r="F17" s="56" t="s">
        <v>33</v>
      </c>
      <c r="G17" s="44">
        <v>1</v>
      </c>
      <c r="H17" s="129">
        <f>IF(B$17=0,0,G17/B$17)</f>
        <v>1.9607843137254902E-2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26</v>
      </c>
      <c r="C18" s="37">
        <f>IF(B$17=0,0,B18/B$17)</f>
        <v>0.50980392156862742</v>
      </c>
      <c r="E18" s="59" t="s">
        <v>95</v>
      </c>
      <c r="F18" s="56" t="s">
        <v>50</v>
      </c>
      <c r="G18" s="44">
        <v>1</v>
      </c>
      <c r="H18" s="129">
        <f>IF(B$17=0,0,G18/B$17)</f>
        <v>1.9607843137254902E-2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25</v>
      </c>
      <c r="C19" s="37">
        <f>IF(B$17=0,0,B19/B$17)</f>
        <v>0.49019607843137253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 t="shared" si="2"/>
        <v>-21.962500000000002</v>
      </c>
      <c r="P19" s="115">
        <v>8</v>
      </c>
      <c r="Q19" s="103">
        <v>-175.70000000000002</v>
      </c>
    </row>
    <row r="20" spans="1:17" x14ac:dyDescent="0.4">
      <c r="A20" s="51" t="s">
        <v>13</v>
      </c>
      <c r="B20" s="44">
        <v>43</v>
      </c>
      <c r="C20" s="37">
        <f>IF(B$3=0,0,B20/B$3)</f>
        <v>0.19282511210762332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181</v>
      </c>
      <c r="O21" s="121">
        <f t="shared" si="2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3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127</v>
      </c>
      <c r="O22" s="121">
        <f t="shared" si="2"/>
        <v>-53.81428571428571</v>
      </c>
      <c r="P22" s="115">
        <v>7</v>
      </c>
      <c r="Q22" s="103">
        <v>-376.7</v>
      </c>
    </row>
    <row r="23" spans="1:17" x14ac:dyDescent="0.4">
      <c r="A23" s="51" t="s">
        <v>5</v>
      </c>
      <c r="B23" s="48">
        <f>IF(B$17=0,0,C23/B$17)</f>
        <v>8100</v>
      </c>
      <c r="C23" s="39">
        <v>413100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8132.3529411764703</v>
      </c>
      <c r="C24" s="137">
        <v>276500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8035.2941176470586</v>
      </c>
      <c r="C25" s="137">
        <v>136600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-8318.6046511627901</v>
      </c>
      <c r="C26" s="137">
        <v>-357700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4.4843049327354259E-3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14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0">
        <v>142</v>
      </c>
      <c r="C3" s="151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2">
        <v>49.900000000000006</v>
      </c>
      <c r="C4" s="153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4">
        <f>IF(B$2=0,0,B$4/B$2)</f>
        <v>3.5642857142857145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-2264.2857142857142</v>
      </c>
      <c r="P5" s="115">
        <v>14</v>
      </c>
      <c r="Q5" s="99">
        <v>-31700</v>
      </c>
    </row>
    <row r="6" spans="1:17" x14ac:dyDescent="0.4">
      <c r="A6" s="51" t="s">
        <v>1</v>
      </c>
      <c r="B6" s="144">
        <f>IF(B$2=0,0,(B$7*1+B$8*2+B$9*3)/B$2)</f>
        <v>1.9285714285714286</v>
      </c>
      <c r="C6" s="145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170</v>
      </c>
      <c r="P7" s="116">
        <v>10</v>
      </c>
      <c r="Q7" s="100">
        <v>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4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8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5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5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8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3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2019-10-25T02:40:03Z</dcterms:modified>
</cp:coreProperties>
</file>