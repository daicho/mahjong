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2CEB227-99F2-4196-BFAB-3A829D0412CC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54" r:id="rId6"/>
    <sheet name="たかの" sheetId="6056" r:id="rId7"/>
    <sheet name="だいち" sheetId="6058" r:id="rId8"/>
    <sheet name="ただ" sheetId="6060" r:id="rId9"/>
    <sheet name="りくと" sheetId="6062" r:id="rId10"/>
    <sheet name="れんたろう" sheetId="6064" r:id="rId11"/>
    <sheet name="まっつん" sheetId="6066" r:id="rId12"/>
    <sheet name="のり" sheetId="6068" r:id="rId13"/>
    <sheet name="ぱぱ" sheetId="6070" r:id="rId14"/>
    <sheet name="ほたに" sheetId="6072" r:id="rId15"/>
    <sheet name="いっしー" sheetId="6074" r:id="rId16"/>
    <sheet name="ともき" sheetId="6076" r:id="rId17"/>
    <sheet name="たか" sheetId="6078" r:id="rId18"/>
    <sheet name="ゆう" sheetId="6080" r:id="rId19"/>
    <sheet name="ゆう2" sheetId="6081" state="hidden" r:id="rId20"/>
    <sheet name="たか2" sheetId="6079" state="hidden" r:id="rId21"/>
    <sheet name="ともき2" sheetId="6077" state="hidden" r:id="rId22"/>
    <sheet name="いっしー2" sheetId="6075" state="hidden" r:id="rId23"/>
    <sheet name="ほたに2" sheetId="6073" state="hidden" r:id="rId24"/>
    <sheet name="ぱぱ2" sheetId="6071" state="hidden" r:id="rId25"/>
    <sheet name="のり2" sheetId="6069" state="hidden" r:id="rId26"/>
    <sheet name="まっつん2" sheetId="6067" state="hidden" r:id="rId27"/>
    <sheet name="れんたろう2" sheetId="6065" state="hidden" r:id="rId28"/>
    <sheet name="りくと2" sheetId="6063" state="hidden" r:id="rId29"/>
    <sheet name="ただ2" sheetId="6061" state="hidden" r:id="rId30"/>
    <sheet name="だいち2" sheetId="6059" state="hidden" r:id="rId31"/>
    <sheet name="たかの2" sheetId="6057" state="hidden" r:id="rId32"/>
    <sheet name="全体2" sheetId="605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078" l="1"/>
  <c r="O25" i="6066" l="1"/>
  <c r="O15" i="6076"/>
  <c r="O16" i="6078" l="1"/>
  <c r="O23" i="6056"/>
  <c r="O20" i="6066" l="1"/>
  <c r="O16" i="6080"/>
  <c r="O18" i="6078"/>
  <c r="O15" i="6056" l="1"/>
  <c r="O22" i="6076"/>
  <c r="O19" i="6078" l="1"/>
  <c r="O15" i="6080"/>
  <c r="O17" i="6080"/>
  <c r="C34" i="6080"/>
  <c r="B29" i="6080"/>
  <c r="C20" i="6080"/>
  <c r="B19" i="6080"/>
  <c r="H50" i="6080" s="1"/>
  <c r="B18" i="6080"/>
  <c r="B28" i="6080" s="1"/>
  <c r="B17" i="6080"/>
  <c r="C17" i="6080" s="1"/>
  <c r="C16" i="6080"/>
  <c r="C15" i="6080"/>
  <c r="C14" i="6080"/>
  <c r="O12" i="6080"/>
  <c r="B12" i="6080"/>
  <c r="O11" i="6080"/>
  <c r="B11" i="6080"/>
  <c r="O10" i="6080"/>
  <c r="B10" i="6080"/>
  <c r="C9" i="6080"/>
  <c r="C8" i="6080"/>
  <c r="O7" i="6080"/>
  <c r="C7" i="6080"/>
  <c r="O6" i="6080"/>
  <c r="B6" i="6080"/>
  <c r="O5" i="6080"/>
  <c r="B5" i="6080"/>
  <c r="O4" i="6080"/>
  <c r="O3" i="6080"/>
  <c r="O2" i="6080"/>
  <c r="O16" i="6068"/>
  <c r="O15" i="6078"/>
  <c r="O17" i="6078"/>
  <c r="C34" i="6078"/>
  <c r="B29" i="6078"/>
  <c r="C20" i="6078"/>
  <c r="B19" i="6078"/>
  <c r="H50" i="6078" s="1"/>
  <c r="B18" i="6078"/>
  <c r="B28" i="6078" s="1"/>
  <c r="B17" i="6078"/>
  <c r="C17" i="6078" s="1"/>
  <c r="C16" i="6078"/>
  <c r="C15" i="6078"/>
  <c r="C14" i="6078"/>
  <c r="O12" i="6078"/>
  <c r="B12" i="6078"/>
  <c r="O11" i="6078"/>
  <c r="B11" i="6078"/>
  <c r="O10" i="6078"/>
  <c r="B10" i="6078"/>
  <c r="C9" i="6078"/>
  <c r="C8" i="6078"/>
  <c r="O7" i="6078"/>
  <c r="C7" i="6078"/>
  <c r="O6" i="6078"/>
  <c r="B6" i="6078"/>
  <c r="O5" i="6078"/>
  <c r="B5" i="6078"/>
  <c r="O4" i="6078"/>
  <c r="O3" i="6078"/>
  <c r="O2" i="6078"/>
  <c r="O15" i="6054"/>
  <c r="H37" i="6080" l="1"/>
  <c r="H11" i="6080"/>
  <c r="H24" i="6080"/>
  <c r="H9" i="6080"/>
  <c r="H42" i="6080"/>
  <c r="C22" i="6080"/>
  <c r="C42" i="6080"/>
  <c r="C23" i="6080"/>
  <c r="H15" i="6080"/>
  <c r="H41" i="6080"/>
  <c r="C46" i="6080"/>
  <c r="H7" i="6080"/>
  <c r="H21" i="6080"/>
  <c r="B13" i="6078"/>
  <c r="B13" i="6080"/>
  <c r="C36" i="6080"/>
  <c r="C18" i="6078"/>
  <c r="B27" i="6080"/>
  <c r="C18" i="6080"/>
  <c r="H47" i="6080"/>
  <c r="H18" i="6080"/>
  <c r="H36" i="6080"/>
  <c r="H48" i="6080"/>
  <c r="H19" i="6080"/>
  <c r="H38" i="6080"/>
  <c r="H43" i="6080"/>
  <c r="C48" i="6080"/>
  <c r="C19" i="6080"/>
  <c r="C24" i="6080"/>
  <c r="H31" i="6080"/>
  <c r="C38" i="6080"/>
  <c r="H44" i="6080"/>
  <c r="H49" i="6080"/>
  <c r="H2" i="6080"/>
  <c r="H30" i="6080"/>
  <c r="H16" i="6080"/>
  <c r="C44" i="6080"/>
  <c r="H10" i="6080"/>
  <c r="H14" i="6080"/>
  <c r="H22" i="6080"/>
  <c r="C25" i="6080"/>
  <c r="H33" i="6080"/>
  <c r="H39" i="6080"/>
  <c r="H4" i="6080"/>
  <c r="H13" i="6080"/>
  <c r="H26" i="6080"/>
  <c r="H6" i="6080"/>
  <c r="H5" i="6080"/>
  <c r="H51" i="6080"/>
  <c r="H12" i="6080"/>
  <c r="H34" i="6080"/>
  <c r="H40" i="6080"/>
  <c r="H45" i="6080"/>
  <c r="H3" i="6080"/>
  <c r="H8" i="6080"/>
  <c r="H17" i="6080"/>
  <c r="C21" i="6080"/>
  <c r="B26" i="6080"/>
  <c r="C40" i="6080"/>
  <c r="H46" i="6080"/>
  <c r="H52" i="6080"/>
  <c r="H20" i="6080"/>
  <c r="H23" i="6080"/>
  <c r="H27" i="6080"/>
  <c r="H29" i="6080"/>
  <c r="H35" i="6080"/>
  <c r="C39" i="6080"/>
  <c r="C43" i="6080"/>
  <c r="C47" i="6080"/>
  <c r="H25" i="6080"/>
  <c r="H28" i="6080"/>
  <c r="H32" i="6080"/>
  <c r="C37" i="6080"/>
  <c r="C41" i="6080"/>
  <c r="C45" i="6080"/>
  <c r="H15" i="6078"/>
  <c r="H7" i="6078"/>
  <c r="H37" i="6078"/>
  <c r="B27" i="6078"/>
  <c r="H10" i="6078"/>
  <c r="C46" i="6078"/>
  <c r="H19" i="6078"/>
  <c r="H24" i="6078"/>
  <c r="H38" i="6078"/>
  <c r="H3" i="6078"/>
  <c r="C21" i="6078"/>
  <c r="H21" i="6078"/>
  <c r="H39" i="6078"/>
  <c r="H48" i="6078"/>
  <c r="H28" i="6078"/>
  <c r="C43" i="6078"/>
  <c r="H23" i="6078"/>
  <c r="H14" i="6078"/>
  <c r="H47" i="6078"/>
  <c r="H9" i="6078"/>
  <c r="H6" i="6078"/>
  <c r="H17" i="6078"/>
  <c r="C22" i="6078"/>
  <c r="H31" i="6078"/>
  <c r="H27" i="6078"/>
  <c r="H42" i="6078"/>
  <c r="C48" i="6078"/>
  <c r="H43" i="6078"/>
  <c r="B26" i="6078"/>
  <c r="H4" i="6078"/>
  <c r="H44" i="6078"/>
  <c r="C38" i="6078"/>
  <c r="C39" i="6078"/>
  <c r="H8" i="6078"/>
  <c r="H33" i="6078"/>
  <c r="H2" i="6078"/>
  <c r="H18" i="6078"/>
  <c r="H22" i="6078"/>
  <c r="C25" i="6078"/>
  <c r="H34" i="6078"/>
  <c r="C42" i="6078"/>
  <c r="H49" i="6078"/>
  <c r="C23" i="6078"/>
  <c r="H13" i="6078"/>
  <c r="H35" i="6078"/>
  <c r="H40" i="6078"/>
  <c r="C44" i="6078"/>
  <c r="H51" i="6078"/>
  <c r="H11" i="6078"/>
  <c r="H16" i="6078"/>
  <c r="H20" i="6078"/>
  <c r="C19" i="6078"/>
  <c r="H26" i="6078"/>
  <c r="H36" i="6078"/>
  <c r="H45" i="6078"/>
  <c r="H5" i="6078"/>
  <c r="H30" i="6078"/>
  <c r="C40" i="6078"/>
  <c r="H12" i="6078"/>
  <c r="C24" i="6078"/>
  <c r="C36" i="6078"/>
  <c r="H41" i="6078"/>
  <c r="H46" i="6078"/>
  <c r="H52" i="6078"/>
  <c r="C47" i="6078"/>
  <c r="H25" i="6078"/>
  <c r="H29" i="6078"/>
  <c r="H32" i="6078"/>
  <c r="C37" i="6078"/>
  <c r="C41" i="6078"/>
  <c r="C45" i="6078"/>
  <c r="O21" i="6076" l="1"/>
  <c r="O15" i="6058"/>
  <c r="O21" i="6060" l="1"/>
  <c r="O16" i="6076"/>
  <c r="O19" i="6076"/>
  <c r="O22" i="6062"/>
  <c r="O17" i="6070" l="1"/>
  <c r="O20" i="6076"/>
  <c r="O22" i="6064" l="1"/>
  <c r="O17" i="6076"/>
  <c r="O18" i="6076"/>
  <c r="C34" i="6076"/>
  <c r="B29" i="6076"/>
  <c r="C20" i="6076"/>
  <c r="B19" i="6076"/>
  <c r="H50" i="6076" s="1"/>
  <c r="C18" i="6076"/>
  <c r="B18" i="6076"/>
  <c r="B28" i="6076" s="1"/>
  <c r="B17" i="6076"/>
  <c r="C17" i="6076" s="1"/>
  <c r="C16" i="6076"/>
  <c r="C15" i="6076"/>
  <c r="C14" i="6076"/>
  <c r="O12" i="6076"/>
  <c r="B12" i="6076"/>
  <c r="O11" i="6076"/>
  <c r="B11" i="6076"/>
  <c r="O10" i="6076"/>
  <c r="B10" i="6076"/>
  <c r="C9" i="6076"/>
  <c r="C8" i="6076"/>
  <c r="O7" i="6076"/>
  <c r="C7" i="6076"/>
  <c r="O6" i="6076"/>
  <c r="B6" i="6076"/>
  <c r="O5" i="6076"/>
  <c r="B5" i="6076"/>
  <c r="O4" i="6076"/>
  <c r="O3" i="6076"/>
  <c r="O2" i="6076"/>
  <c r="O17" i="6068"/>
  <c r="O20" i="6054"/>
  <c r="B13" i="6076" l="1"/>
  <c r="H9" i="6076"/>
  <c r="H4" i="6076"/>
  <c r="H36" i="6076"/>
  <c r="H2" i="6076"/>
  <c r="H42" i="6076"/>
  <c r="H21" i="6076"/>
  <c r="C36" i="6076"/>
  <c r="H14" i="6076"/>
  <c r="H41" i="6076"/>
  <c r="C46" i="6076"/>
  <c r="H23" i="6076"/>
  <c r="H18" i="6076"/>
  <c r="C22" i="6076"/>
  <c r="B27" i="6076"/>
  <c r="H11" i="6076"/>
  <c r="H47" i="6076"/>
  <c r="H37" i="6076"/>
  <c r="H48" i="6076"/>
  <c r="H8" i="6076"/>
  <c r="H19" i="6076"/>
  <c r="C19" i="6076"/>
  <c r="H15" i="6076"/>
  <c r="H30" i="6076"/>
  <c r="H38" i="6076"/>
  <c r="H43" i="6076"/>
  <c r="C48" i="6076"/>
  <c r="C42" i="6076"/>
  <c r="H49" i="6076"/>
  <c r="H16" i="6076"/>
  <c r="H24" i="6076"/>
  <c r="C44" i="6076"/>
  <c r="H51" i="6076"/>
  <c r="H10" i="6076"/>
  <c r="H13" i="6076"/>
  <c r="H25" i="6076"/>
  <c r="H27" i="6076"/>
  <c r="H40" i="6076"/>
  <c r="H45" i="6076"/>
  <c r="H7" i="6076"/>
  <c r="C23" i="6076"/>
  <c r="H6" i="6076"/>
  <c r="H22" i="6076"/>
  <c r="C24" i="6076"/>
  <c r="H31" i="6076"/>
  <c r="C38" i="6076"/>
  <c r="H44" i="6076"/>
  <c r="H3" i="6076"/>
  <c r="H5" i="6076"/>
  <c r="H12" i="6076"/>
  <c r="C25" i="6076"/>
  <c r="H33" i="6076"/>
  <c r="H39" i="6076"/>
  <c r="H34" i="6076"/>
  <c r="H20" i="6076"/>
  <c r="C21" i="6076"/>
  <c r="B26" i="6076"/>
  <c r="C40" i="6076"/>
  <c r="H46" i="6076"/>
  <c r="H52" i="6076"/>
  <c r="H17" i="6076"/>
  <c r="H29" i="6076"/>
  <c r="H35" i="6076"/>
  <c r="C39" i="6076"/>
  <c r="C43" i="6076"/>
  <c r="C47" i="6076"/>
  <c r="H26" i="6076"/>
  <c r="H28" i="6076"/>
  <c r="H32" i="6076"/>
  <c r="C37" i="6076"/>
  <c r="C41" i="6076"/>
  <c r="C45" i="6076"/>
  <c r="O16" i="6066" l="1"/>
  <c r="O17" i="6074"/>
  <c r="O23" i="6058"/>
  <c r="O16" i="6074"/>
  <c r="O15" i="6074"/>
  <c r="C34" i="6074"/>
  <c r="B29" i="6074"/>
  <c r="C20" i="6074"/>
  <c r="B19" i="6074"/>
  <c r="H50" i="6074" s="1"/>
  <c r="B18" i="6074"/>
  <c r="B28" i="6074" s="1"/>
  <c r="B17" i="6074"/>
  <c r="C17" i="6074" s="1"/>
  <c r="C16" i="6074"/>
  <c r="C15" i="6074"/>
  <c r="C14" i="6074"/>
  <c r="O12" i="6074"/>
  <c r="B12" i="6074"/>
  <c r="O11" i="6074"/>
  <c r="B11" i="6074"/>
  <c r="O10" i="6074"/>
  <c r="B10" i="6074"/>
  <c r="C9" i="6074"/>
  <c r="C8" i="6074"/>
  <c r="O7" i="6074"/>
  <c r="C7" i="6074"/>
  <c r="O6" i="6074"/>
  <c r="B6" i="6074"/>
  <c r="O5" i="6074"/>
  <c r="B5" i="6074"/>
  <c r="O4" i="6074"/>
  <c r="O3" i="6074"/>
  <c r="O2" i="6074"/>
  <c r="O20" i="6068"/>
  <c r="O26" i="6054"/>
  <c r="B13" i="6074" l="1"/>
  <c r="C18" i="6074"/>
  <c r="H30" i="6074"/>
  <c r="H17" i="6074"/>
  <c r="H43" i="6074"/>
  <c r="H37" i="6074"/>
  <c r="C21" i="6074"/>
  <c r="H38" i="6074"/>
  <c r="H12" i="6074"/>
  <c r="C38" i="6074"/>
  <c r="H44" i="6074"/>
  <c r="H2" i="6074"/>
  <c r="H8" i="6074"/>
  <c r="C22" i="6074"/>
  <c r="H3" i="6074"/>
  <c r="H20" i="6074"/>
  <c r="B27" i="6074"/>
  <c r="H16" i="6074"/>
  <c r="C44" i="6074"/>
  <c r="C46" i="6074"/>
  <c r="H13" i="6074"/>
  <c r="C24" i="6074"/>
  <c r="H39" i="6074"/>
  <c r="H14" i="6074"/>
  <c r="H18" i="6074"/>
  <c r="H33" i="6074"/>
  <c r="C25" i="6074"/>
  <c r="H48" i="6074"/>
  <c r="H26" i="6074"/>
  <c r="C39" i="6074"/>
  <c r="H47" i="6074"/>
  <c r="H22" i="6074"/>
  <c r="H34" i="6074"/>
  <c r="H4" i="6074"/>
  <c r="H27" i="6074"/>
  <c r="H42" i="6074"/>
  <c r="C48" i="6074"/>
  <c r="H21" i="6074"/>
  <c r="H31" i="6074"/>
  <c r="H41" i="6074"/>
  <c r="H9" i="6074"/>
  <c r="H6" i="6074"/>
  <c r="H23" i="6074"/>
  <c r="B26" i="6074"/>
  <c r="C36" i="6074"/>
  <c r="C42" i="6074"/>
  <c r="H49" i="6074"/>
  <c r="H51" i="6074"/>
  <c r="C23" i="6074"/>
  <c r="H5" i="6074"/>
  <c r="H35" i="6074"/>
  <c r="H40" i="6074"/>
  <c r="H45" i="6074"/>
  <c r="H11" i="6074"/>
  <c r="H7" i="6074"/>
  <c r="H10" i="6074"/>
  <c r="H15" i="6074"/>
  <c r="H19" i="6074"/>
  <c r="C19" i="6074"/>
  <c r="H25" i="6074"/>
  <c r="H29" i="6074"/>
  <c r="H36" i="6074"/>
  <c r="C40" i="6074"/>
  <c r="H46" i="6074"/>
  <c r="H52" i="6074"/>
  <c r="C43" i="6074"/>
  <c r="C47" i="6074"/>
  <c r="H24" i="6074"/>
  <c r="H28" i="6074"/>
  <c r="H32" i="6074"/>
  <c r="C37" i="6074"/>
  <c r="C41" i="6074"/>
  <c r="C45" i="6074"/>
  <c r="O22" i="6056" l="1"/>
  <c r="O16" i="6064"/>
  <c r="O15" i="6064" l="1"/>
  <c r="O19" i="6072"/>
  <c r="O15" i="6062" l="1"/>
  <c r="O22" i="6068"/>
  <c r="O16" i="6072" l="1"/>
  <c r="O23" i="6062"/>
  <c r="O21" i="6056" l="1"/>
  <c r="O17" i="6058"/>
  <c r="O15" i="6068"/>
  <c r="O23" i="6068"/>
  <c r="O19" i="6066" l="1"/>
  <c r="O19" i="6070"/>
  <c r="O18" i="6060" l="1"/>
  <c r="O17" i="6066"/>
  <c r="O18" i="6068"/>
  <c r="O19" i="6068"/>
  <c r="O16" i="6056" l="1"/>
  <c r="O16" i="6070"/>
  <c r="O20" i="6070"/>
  <c r="O18" i="6062"/>
  <c r="O22" i="6060" l="1"/>
  <c r="O20" i="6064"/>
  <c r="O21" i="6064" l="1"/>
  <c r="O22" i="6058"/>
  <c r="O25" i="6068"/>
  <c r="O17" i="6072"/>
  <c r="O15" i="6072"/>
  <c r="O21" i="6070"/>
  <c r="O15" i="6060" l="1"/>
  <c r="O20" i="6060"/>
  <c r="O18" i="6072"/>
  <c r="O20" i="6072"/>
  <c r="C34" i="6072"/>
  <c r="B29" i="6072"/>
  <c r="C20" i="6072"/>
  <c r="B19" i="6072"/>
  <c r="H50" i="6072" s="1"/>
  <c r="B18" i="6072"/>
  <c r="B28" i="6072" s="1"/>
  <c r="B17" i="6072"/>
  <c r="C17" i="6072" s="1"/>
  <c r="C16" i="6072"/>
  <c r="C15" i="6072"/>
  <c r="C14" i="6072"/>
  <c r="O12" i="6072"/>
  <c r="B12" i="6072"/>
  <c r="O11" i="6072"/>
  <c r="B11" i="6072"/>
  <c r="O10" i="6072"/>
  <c r="B10" i="6072"/>
  <c r="C9" i="6072"/>
  <c r="C8" i="6072"/>
  <c r="O7" i="6072"/>
  <c r="C7" i="6072"/>
  <c r="O6" i="6072"/>
  <c r="B6" i="6072"/>
  <c r="O5" i="6072"/>
  <c r="B5" i="6072"/>
  <c r="O4" i="6072"/>
  <c r="O3" i="6072"/>
  <c r="O2" i="6072"/>
  <c r="O21" i="6066"/>
  <c r="O15" i="6066"/>
  <c r="O16" i="6054"/>
  <c r="B13" i="6072" l="1"/>
  <c r="H19" i="6072"/>
  <c r="H48" i="6072"/>
  <c r="B26" i="6072"/>
  <c r="C25" i="6072"/>
  <c r="H27" i="6072"/>
  <c r="H3" i="6072"/>
  <c r="H22" i="6072"/>
  <c r="H38" i="6072"/>
  <c r="C38" i="6072"/>
  <c r="C18" i="6072"/>
  <c r="H43" i="6072"/>
  <c r="C42" i="6072"/>
  <c r="H10" i="6072"/>
  <c r="H31" i="6072"/>
  <c r="C43" i="6072"/>
  <c r="H20" i="6072"/>
  <c r="H16" i="6072"/>
  <c r="H24" i="6072"/>
  <c r="C21" i="6072"/>
  <c r="H13" i="6072"/>
  <c r="H34" i="6072"/>
  <c r="H47" i="6072"/>
  <c r="H39" i="6072"/>
  <c r="H33" i="6072"/>
  <c r="H14" i="6072"/>
  <c r="H4" i="6072"/>
  <c r="H11" i="6072"/>
  <c r="C22" i="6072"/>
  <c r="C47" i="6072"/>
  <c r="B27" i="6072"/>
  <c r="C39" i="6072"/>
  <c r="H44" i="6072"/>
  <c r="C48" i="6072"/>
  <c r="H49" i="6072"/>
  <c r="H9" i="6072"/>
  <c r="C44" i="6072"/>
  <c r="H7" i="6072"/>
  <c r="H8" i="6072"/>
  <c r="H17" i="6072"/>
  <c r="C19" i="6072"/>
  <c r="H29" i="6072"/>
  <c r="H36" i="6072"/>
  <c r="H45" i="6072"/>
  <c r="H51" i="6072"/>
  <c r="H21" i="6072"/>
  <c r="H26" i="6072"/>
  <c r="C40" i="6072"/>
  <c r="H23" i="6072"/>
  <c r="C24" i="6072"/>
  <c r="C36" i="6072"/>
  <c r="H46" i="6072"/>
  <c r="H6" i="6072"/>
  <c r="C23" i="6072"/>
  <c r="H35" i="6072"/>
  <c r="H40" i="6072"/>
  <c r="H12" i="6072"/>
  <c r="H41" i="6072"/>
  <c r="H2" i="6072"/>
  <c r="H5" i="6072"/>
  <c r="H18" i="6072"/>
  <c r="H15" i="6072"/>
  <c r="H30" i="6072"/>
  <c r="H37" i="6072"/>
  <c r="H42" i="6072"/>
  <c r="C46" i="6072"/>
  <c r="H52" i="6072"/>
  <c r="H25" i="6072"/>
  <c r="H28" i="6072"/>
  <c r="H32" i="6072"/>
  <c r="C37" i="6072"/>
  <c r="C41" i="6072"/>
  <c r="C45" i="6072"/>
  <c r="O19" i="6058" l="1"/>
  <c r="O19" i="6062"/>
  <c r="O21" i="6058" l="1"/>
  <c r="O22" i="6066"/>
  <c r="O24" i="6066"/>
  <c r="O18" i="6056"/>
  <c r="O17" i="6060"/>
  <c r="O17" i="6062"/>
  <c r="O21" i="6062"/>
  <c r="O17" i="6056"/>
  <c r="O16" i="6060"/>
  <c r="O16" i="6058"/>
  <c r="O22" i="6070"/>
  <c r="O23" i="6070"/>
  <c r="O19" i="6064" l="1"/>
  <c r="O17" i="6064"/>
  <c r="O15" i="6070"/>
  <c r="O18" i="6070"/>
  <c r="C34" i="6070"/>
  <c r="B29" i="6070"/>
  <c r="B28" i="6070"/>
  <c r="C20" i="6070"/>
  <c r="B19" i="6070"/>
  <c r="H20" i="6070" s="1"/>
  <c r="B18" i="6070"/>
  <c r="C18" i="6070" s="1"/>
  <c r="B17" i="6070"/>
  <c r="C17" i="6070" s="1"/>
  <c r="C16" i="6070"/>
  <c r="C15" i="6070"/>
  <c r="C14" i="6070"/>
  <c r="B13" i="6070"/>
  <c r="O12" i="6070"/>
  <c r="B12" i="6070"/>
  <c r="O11" i="6070"/>
  <c r="B11" i="6070"/>
  <c r="O10" i="6070"/>
  <c r="B10" i="6070"/>
  <c r="C9" i="6070"/>
  <c r="C8" i="6070"/>
  <c r="O7" i="6070"/>
  <c r="C7" i="6070"/>
  <c r="O6" i="6070"/>
  <c r="B6" i="6070"/>
  <c r="O5" i="6070"/>
  <c r="B5" i="6070"/>
  <c r="O4" i="6070"/>
  <c r="O3" i="6070"/>
  <c r="O2" i="6070"/>
  <c r="O17" i="6054"/>
  <c r="O21" i="6068"/>
  <c r="O24" i="6068"/>
  <c r="C34" i="6068"/>
  <c r="B29" i="6068"/>
  <c r="C20" i="6068"/>
  <c r="B19" i="6068"/>
  <c r="H51" i="6068" s="1"/>
  <c r="C18" i="6068"/>
  <c r="B18" i="6068"/>
  <c r="B28" i="6068" s="1"/>
  <c r="B17" i="6068"/>
  <c r="C17" i="6068" s="1"/>
  <c r="C16" i="6068"/>
  <c r="C15" i="6068"/>
  <c r="C14" i="6068"/>
  <c r="O12" i="6068"/>
  <c r="B12" i="6068"/>
  <c r="O11" i="6068"/>
  <c r="B11" i="6068"/>
  <c r="O10" i="6068"/>
  <c r="B10" i="6068"/>
  <c r="C9" i="6068"/>
  <c r="C8" i="6068"/>
  <c r="O7" i="6068"/>
  <c r="C7" i="6068"/>
  <c r="O6" i="6068"/>
  <c r="B6" i="6068"/>
  <c r="O5" i="6068"/>
  <c r="B5" i="6068"/>
  <c r="O4" i="6068"/>
  <c r="O3" i="6068"/>
  <c r="O2" i="6068"/>
  <c r="O21" i="6054"/>
  <c r="H27" i="6068" l="1"/>
  <c r="H21" i="6070"/>
  <c r="H37" i="6070"/>
  <c r="H36" i="6070"/>
  <c r="H10" i="6070"/>
  <c r="C22" i="6070"/>
  <c r="C40" i="6070"/>
  <c r="H22" i="6070"/>
  <c r="H41" i="6070"/>
  <c r="H3" i="6070"/>
  <c r="H12" i="6070"/>
  <c r="H4" i="6070"/>
  <c r="H42" i="6070"/>
  <c r="H23" i="6070"/>
  <c r="C21" i="6070"/>
  <c r="H7" i="6070"/>
  <c r="H15" i="6070"/>
  <c r="B26" i="6070"/>
  <c r="H11" i="6070"/>
  <c r="H9" i="6070"/>
  <c r="H26" i="6070"/>
  <c r="H46" i="6070"/>
  <c r="C46" i="6070"/>
  <c r="H24" i="6070"/>
  <c r="H48" i="6070"/>
  <c r="H18" i="6070"/>
  <c r="H30" i="6070"/>
  <c r="C36" i="6070"/>
  <c r="C42" i="6070"/>
  <c r="C47" i="6070"/>
  <c r="C48" i="6070"/>
  <c r="H13" i="6070"/>
  <c r="C19" i="6070"/>
  <c r="C24" i="6070"/>
  <c r="H38" i="6070"/>
  <c r="H44" i="6070"/>
  <c r="H2" i="6070"/>
  <c r="H6" i="6070"/>
  <c r="H17" i="6070"/>
  <c r="H14" i="6070"/>
  <c r="H31" i="6070"/>
  <c r="C38" i="6070"/>
  <c r="C43" i="6070"/>
  <c r="H50" i="6070"/>
  <c r="H8" i="6070"/>
  <c r="H16" i="6070"/>
  <c r="C25" i="6070"/>
  <c r="H32" i="6070"/>
  <c r="H40" i="6070"/>
  <c r="H45" i="6070"/>
  <c r="H5" i="6070"/>
  <c r="H25" i="6070"/>
  <c r="H27" i="6070"/>
  <c r="H19" i="6070"/>
  <c r="H35" i="6070"/>
  <c r="C39" i="6070"/>
  <c r="C44" i="6070"/>
  <c r="H52" i="6070"/>
  <c r="H49" i="6070"/>
  <c r="H28" i="6070"/>
  <c r="H29" i="6070"/>
  <c r="H33" i="6070"/>
  <c r="C37" i="6070"/>
  <c r="C41" i="6070"/>
  <c r="C45" i="6070"/>
  <c r="H51" i="6070"/>
  <c r="C23" i="6070"/>
  <c r="B27" i="6070"/>
  <c r="H34" i="6070"/>
  <c r="H39" i="6070"/>
  <c r="H43" i="6070"/>
  <c r="H47" i="6070"/>
  <c r="B13" i="6068"/>
  <c r="H7" i="6068"/>
  <c r="H26" i="6068"/>
  <c r="H37" i="6068"/>
  <c r="H4" i="6068"/>
  <c r="H14" i="6068"/>
  <c r="C40" i="6068"/>
  <c r="H18" i="6068"/>
  <c r="H42" i="6068"/>
  <c r="C46" i="6068"/>
  <c r="C22" i="6068"/>
  <c r="B26" i="6068"/>
  <c r="H47" i="6068"/>
  <c r="B27" i="6068"/>
  <c r="H11" i="6068"/>
  <c r="H8" i="6068"/>
  <c r="H52" i="6068"/>
  <c r="C23" i="6068"/>
  <c r="C36" i="6068"/>
  <c r="H9" i="6068"/>
  <c r="H12" i="6068"/>
  <c r="H17" i="6068"/>
  <c r="H30" i="6068"/>
  <c r="C42" i="6068"/>
  <c r="C24" i="6068"/>
  <c r="H39" i="6068"/>
  <c r="C48" i="6068"/>
  <c r="H2" i="6068"/>
  <c r="H3" i="6068"/>
  <c r="H24" i="6068"/>
  <c r="H15" i="6068"/>
  <c r="H21" i="6068"/>
  <c r="C38" i="6068"/>
  <c r="H45" i="6068"/>
  <c r="H50" i="6068"/>
  <c r="H48" i="6068"/>
  <c r="H19" i="6068"/>
  <c r="H38" i="6068"/>
  <c r="H20" i="6068"/>
  <c r="H35" i="6068"/>
  <c r="C44" i="6068"/>
  <c r="H23" i="6068"/>
  <c r="H43" i="6068"/>
  <c r="H6" i="6068"/>
  <c r="C19" i="6068"/>
  <c r="H49" i="6068"/>
  <c r="H13" i="6068"/>
  <c r="H16" i="6068"/>
  <c r="H44" i="6068"/>
  <c r="H10" i="6068"/>
  <c r="H28" i="6068"/>
  <c r="C25" i="6068"/>
  <c r="H40" i="6068"/>
  <c r="H25" i="6068"/>
  <c r="C21" i="6068"/>
  <c r="H31" i="6068"/>
  <c r="H22" i="6068"/>
  <c r="H41" i="6068"/>
  <c r="H46" i="6068"/>
  <c r="H5" i="6068"/>
  <c r="H33" i="6068"/>
  <c r="H36" i="6068"/>
  <c r="C39" i="6068"/>
  <c r="C43" i="6068"/>
  <c r="C47" i="6068"/>
  <c r="H29" i="6068"/>
  <c r="H32" i="6068"/>
  <c r="H34" i="6068"/>
  <c r="C37" i="6068"/>
  <c r="C41" i="6068"/>
  <c r="C45" i="6068"/>
  <c r="O23" i="6066" l="1"/>
  <c r="O18" i="6066"/>
  <c r="C34" i="6066"/>
  <c r="B29" i="6066"/>
  <c r="C20" i="6066"/>
  <c r="B19" i="6066"/>
  <c r="H51" i="6066" s="1"/>
  <c r="B18" i="6066"/>
  <c r="B28" i="6066" s="1"/>
  <c r="B17" i="6066"/>
  <c r="C17" i="6066" s="1"/>
  <c r="C16" i="6066"/>
  <c r="C15" i="6066"/>
  <c r="C14" i="6066"/>
  <c r="O12" i="6066"/>
  <c r="B12" i="6066"/>
  <c r="O11" i="6066"/>
  <c r="B11" i="6066"/>
  <c r="O10" i="6066"/>
  <c r="B10" i="6066"/>
  <c r="C9" i="6066"/>
  <c r="C8" i="6066"/>
  <c r="O7" i="6066"/>
  <c r="C7" i="6066"/>
  <c r="O6" i="6066"/>
  <c r="B6" i="6066"/>
  <c r="O5" i="6066"/>
  <c r="B5" i="6066"/>
  <c r="O4" i="6066"/>
  <c r="O3" i="6066"/>
  <c r="O2" i="6066"/>
  <c r="O23" i="6064"/>
  <c r="O18" i="6064"/>
  <c r="C34" i="6064"/>
  <c r="B29" i="6064"/>
  <c r="C20" i="6064"/>
  <c r="B19" i="6064"/>
  <c r="H51" i="6064" s="1"/>
  <c r="B18" i="6064"/>
  <c r="B28" i="6064" s="1"/>
  <c r="B17" i="6064"/>
  <c r="C17" i="6064" s="1"/>
  <c r="C16" i="6064"/>
  <c r="C15" i="6064"/>
  <c r="C14" i="6064"/>
  <c r="O12" i="6064"/>
  <c r="B12" i="6064"/>
  <c r="O11" i="6064"/>
  <c r="B11" i="6064"/>
  <c r="O10" i="6064"/>
  <c r="B10" i="6064"/>
  <c r="C9" i="6064"/>
  <c r="C8" i="6064"/>
  <c r="O7" i="6064"/>
  <c r="C7" i="6064"/>
  <c r="O6" i="6064"/>
  <c r="B6" i="6064"/>
  <c r="O5" i="6064"/>
  <c r="B5" i="6064"/>
  <c r="O4" i="6064"/>
  <c r="O3" i="6064"/>
  <c r="O2" i="6064"/>
  <c r="O18" i="6054"/>
  <c r="O20" i="6062"/>
  <c r="O16" i="6062"/>
  <c r="C34" i="6062"/>
  <c r="B29" i="6062"/>
  <c r="C20" i="6062"/>
  <c r="B19" i="6062"/>
  <c r="H18" i="6062" s="1"/>
  <c r="B18" i="6062"/>
  <c r="B28" i="6062" s="1"/>
  <c r="B17" i="6062"/>
  <c r="C17" i="6062" s="1"/>
  <c r="C16" i="6062"/>
  <c r="C15" i="6062"/>
  <c r="C14" i="6062"/>
  <c r="O12" i="6062"/>
  <c r="B12" i="6062"/>
  <c r="O11" i="6062"/>
  <c r="B11" i="6062"/>
  <c r="O10" i="6062"/>
  <c r="B10" i="6062"/>
  <c r="C9" i="6062"/>
  <c r="C8" i="6062"/>
  <c r="O7" i="6062"/>
  <c r="C7" i="6062"/>
  <c r="O6" i="6062"/>
  <c r="B6" i="6062"/>
  <c r="O5" i="6062"/>
  <c r="B5" i="6062"/>
  <c r="O4" i="6062"/>
  <c r="O3" i="6062"/>
  <c r="O2" i="6062"/>
  <c r="O22" i="6054"/>
  <c r="O24" i="6054"/>
  <c r="B13" i="6064" l="1"/>
  <c r="C18" i="6064"/>
  <c r="B13" i="6066"/>
  <c r="H31" i="6066"/>
  <c r="H23" i="6066"/>
  <c r="H7" i="6066"/>
  <c r="H42" i="6066"/>
  <c r="H43" i="6066"/>
  <c r="H4" i="6066"/>
  <c r="H3" i="6066"/>
  <c r="H14" i="6066"/>
  <c r="C25" i="6066"/>
  <c r="C42" i="6066"/>
  <c r="H11" i="6066"/>
  <c r="C22" i="6066"/>
  <c r="H26" i="6066"/>
  <c r="H38" i="6066"/>
  <c r="C36" i="6066"/>
  <c r="H16" i="6066"/>
  <c r="H12" i="6066"/>
  <c r="C18" i="6062"/>
  <c r="B13" i="6062"/>
  <c r="C46" i="6062"/>
  <c r="H26" i="6062"/>
  <c r="H48" i="6062"/>
  <c r="H9" i="6062"/>
  <c r="H10" i="6062"/>
  <c r="H37" i="6062"/>
  <c r="H36" i="6062"/>
  <c r="H25" i="6062"/>
  <c r="H12" i="6062"/>
  <c r="C40" i="6062"/>
  <c r="H3" i="6062"/>
  <c r="C22" i="6062"/>
  <c r="H42" i="6062"/>
  <c r="H35" i="6066"/>
  <c r="H46" i="6066"/>
  <c r="H9" i="6066"/>
  <c r="H36" i="6066"/>
  <c r="C46" i="6066"/>
  <c r="H29" i="6066"/>
  <c r="H2" i="6066"/>
  <c r="H32" i="6066"/>
  <c r="C21" i="6066"/>
  <c r="H48" i="6066"/>
  <c r="C18" i="6066"/>
  <c r="H41" i="6066"/>
  <c r="H49" i="6066"/>
  <c r="H18" i="6066"/>
  <c r="H30" i="6066"/>
  <c r="B26" i="6066"/>
  <c r="H34" i="6066"/>
  <c r="H28" i="6066"/>
  <c r="C48" i="6066"/>
  <c r="B27" i="6066"/>
  <c r="H21" i="6066"/>
  <c r="H39" i="6066"/>
  <c r="H44" i="6066"/>
  <c r="H50" i="6066"/>
  <c r="H6" i="6066"/>
  <c r="H10" i="6066"/>
  <c r="H25" i="6066"/>
  <c r="H15" i="6066"/>
  <c r="C19" i="6066"/>
  <c r="H20" i="6066"/>
  <c r="H40" i="6066"/>
  <c r="H45" i="6066"/>
  <c r="H17" i="6066"/>
  <c r="C24" i="6066"/>
  <c r="H19" i="6066"/>
  <c r="H13" i="6066"/>
  <c r="H22" i="6066"/>
  <c r="C38" i="6066"/>
  <c r="C44" i="6066"/>
  <c r="H5" i="6066"/>
  <c r="C23" i="6066"/>
  <c r="H8" i="6066"/>
  <c r="H37" i="6066"/>
  <c r="C40" i="6066"/>
  <c r="H47" i="6066"/>
  <c r="H52" i="6066"/>
  <c r="C39" i="6066"/>
  <c r="C43" i="6066"/>
  <c r="C47" i="6066"/>
  <c r="H33" i="6066"/>
  <c r="H24" i="6066"/>
  <c r="H27" i="6066"/>
  <c r="C37" i="6066"/>
  <c r="C41" i="6066"/>
  <c r="C45" i="6066"/>
  <c r="H46" i="6064"/>
  <c r="H32" i="6064"/>
  <c r="H33" i="6064"/>
  <c r="H48" i="6064"/>
  <c r="C36" i="6064"/>
  <c r="H35" i="6064"/>
  <c r="B26" i="6064"/>
  <c r="H4" i="6064"/>
  <c r="H17" i="6064"/>
  <c r="H8" i="6064"/>
  <c r="H41" i="6064"/>
  <c r="H49" i="6064"/>
  <c r="H47" i="6064"/>
  <c r="C48" i="6064"/>
  <c r="H31" i="6064"/>
  <c r="H10" i="6064"/>
  <c r="C21" i="6064"/>
  <c r="H36" i="6064"/>
  <c r="H43" i="6064"/>
  <c r="H13" i="6064"/>
  <c r="C25" i="6064"/>
  <c r="H23" i="6064"/>
  <c r="H7" i="6064"/>
  <c r="H40" i="6064"/>
  <c r="H12" i="6064"/>
  <c r="H6" i="6064"/>
  <c r="H3" i="6064"/>
  <c r="C22" i="6064"/>
  <c r="C42" i="6064"/>
  <c r="H5" i="6064"/>
  <c r="H38" i="6064"/>
  <c r="H11" i="6064"/>
  <c r="H25" i="6064"/>
  <c r="H19" i="6064"/>
  <c r="C40" i="6064"/>
  <c r="H24" i="6064"/>
  <c r="H29" i="6064"/>
  <c r="H2" i="6064"/>
  <c r="C23" i="6064"/>
  <c r="C44" i="6064"/>
  <c r="H52" i="6064"/>
  <c r="H9" i="6064"/>
  <c r="H14" i="6064"/>
  <c r="B27" i="6064"/>
  <c r="H30" i="6064"/>
  <c r="H42" i="6064"/>
  <c r="C46" i="6064"/>
  <c r="H21" i="6064"/>
  <c r="H16" i="6064"/>
  <c r="H39" i="6064"/>
  <c r="H44" i="6064"/>
  <c r="C19" i="6064"/>
  <c r="C24" i="6064"/>
  <c r="H18" i="6064"/>
  <c r="C38" i="6064"/>
  <c r="H45" i="6064"/>
  <c r="H50" i="6064"/>
  <c r="H20" i="6064"/>
  <c r="H34" i="6064"/>
  <c r="H15" i="6064"/>
  <c r="H26" i="6064"/>
  <c r="H37" i="6064"/>
  <c r="C39" i="6064"/>
  <c r="C43" i="6064"/>
  <c r="C47" i="6064"/>
  <c r="H22" i="6064"/>
  <c r="H27" i="6064"/>
  <c r="H28" i="6064"/>
  <c r="C37" i="6064"/>
  <c r="C41" i="6064"/>
  <c r="C45" i="6064"/>
  <c r="H6" i="6062"/>
  <c r="H31" i="6062"/>
  <c r="C47" i="6062"/>
  <c r="H14" i="6062"/>
  <c r="H20" i="6062"/>
  <c r="C19" i="6062"/>
  <c r="C24" i="6062"/>
  <c r="H38" i="6062"/>
  <c r="H44" i="6062"/>
  <c r="H49" i="6062"/>
  <c r="C48" i="6062"/>
  <c r="H15" i="6062"/>
  <c r="H13" i="6062"/>
  <c r="C38" i="6062"/>
  <c r="C25" i="6062"/>
  <c r="H40" i="6062"/>
  <c r="H45" i="6062"/>
  <c r="H50" i="6062"/>
  <c r="H11" i="6062"/>
  <c r="C42" i="6062"/>
  <c r="H2" i="6062"/>
  <c r="H8" i="6062"/>
  <c r="H19" i="6062"/>
  <c r="H32" i="6062"/>
  <c r="H17" i="6062"/>
  <c r="H27" i="6062"/>
  <c r="H29" i="6062"/>
  <c r="H35" i="6062"/>
  <c r="C39" i="6062"/>
  <c r="C44" i="6062"/>
  <c r="H5" i="6062"/>
  <c r="H23" i="6062"/>
  <c r="C36" i="6062"/>
  <c r="H4" i="6062"/>
  <c r="H16" i="6062"/>
  <c r="H21" i="6062"/>
  <c r="C43" i="6062"/>
  <c r="H7" i="6062"/>
  <c r="H22" i="6062"/>
  <c r="H24" i="6062"/>
  <c r="C21" i="6062"/>
  <c r="B26" i="6062"/>
  <c r="H41" i="6062"/>
  <c r="H46" i="6062"/>
  <c r="H52" i="6062"/>
  <c r="H28" i="6062"/>
  <c r="H30" i="6062"/>
  <c r="H33" i="6062"/>
  <c r="C37" i="6062"/>
  <c r="C41" i="6062"/>
  <c r="C45" i="6062"/>
  <c r="H51" i="6062"/>
  <c r="C23" i="6062"/>
  <c r="B27" i="6062"/>
  <c r="H34" i="6062"/>
  <c r="H39" i="6062"/>
  <c r="H43" i="6062"/>
  <c r="H47" i="6062"/>
  <c r="O23" i="6060" l="1"/>
  <c r="O19" i="6060"/>
  <c r="C34" i="6060"/>
  <c r="B29" i="6060"/>
  <c r="B28" i="6060"/>
  <c r="C20" i="6060"/>
  <c r="B19" i="6060"/>
  <c r="H19" i="6060" s="1"/>
  <c r="C18" i="6060"/>
  <c r="B18" i="6060"/>
  <c r="B17" i="6060"/>
  <c r="C17" i="6060" s="1"/>
  <c r="C16" i="6060"/>
  <c r="C15" i="6060"/>
  <c r="C14" i="6060"/>
  <c r="O12" i="6060"/>
  <c r="B12" i="6060"/>
  <c r="B13" i="6060" s="1"/>
  <c r="O11" i="6060"/>
  <c r="B11" i="6060"/>
  <c r="O10" i="6060"/>
  <c r="B10" i="6060"/>
  <c r="C9" i="6060"/>
  <c r="C8" i="6060"/>
  <c r="O7" i="6060"/>
  <c r="C7" i="6060"/>
  <c r="O6" i="6060"/>
  <c r="B6" i="6060"/>
  <c r="O5" i="6060"/>
  <c r="B5" i="6060"/>
  <c r="O4" i="6060"/>
  <c r="O3" i="6060"/>
  <c r="O2" i="6060"/>
  <c r="O18" i="6058"/>
  <c r="O20" i="6058"/>
  <c r="C34" i="6058"/>
  <c r="B29" i="6058"/>
  <c r="C20" i="6058"/>
  <c r="B19" i="6058"/>
  <c r="H51" i="6058" s="1"/>
  <c r="B18" i="6058"/>
  <c r="B28" i="6058" s="1"/>
  <c r="B17" i="6058"/>
  <c r="C17" i="6058" s="1"/>
  <c r="C16" i="6058"/>
  <c r="C15" i="6058"/>
  <c r="C14" i="6058"/>
  <c r="O12" i="6058"/>
  <c r="B12" i="6058"/>
  <c r="O11" i="6058"/>
  <c r="B11" i="6058"/>
  <c r="O10" i="6058"/>
  <c r="B10" i="6058"/>
  <c r="C9" i="6058"/>
  <c r="C8" i="6058"/>
  <c r="O7" i="6058"/>
  <c r="C7" i="6058"/>
  <c r="O6" i="6058"/>
  <c r="B6" i="6058"/>
  <c r="O5" i="6058"/>
  <c r="B5" i="6058"/>
  <c r="O4" i="6058"/>
  <c r="O3" i="6058"/>
  <c r="O2" i="6058"/>
  <c r="O19" i="6054"/>
  <c r="O19" i="6056"/>
  <c r="O20" i="6056"/>
  <c r="C34" i="6056"/>
  <c r="B29" i="6056"/>
  <c r="C20" i="6056"/>
  <c r="B19" i="6056"/>
  <c r="H51" i="6056" s="1"/>
  <c r="B18" i="6056"/>
  <c r="B28" i="6056" s="1"/>
  <c r="B17" i="6056"/>
  <c r="C17" i="6056" s="1"/>
  <c r="C16" i="6056"/>
  <c r="C15" i="6056"/>
  <c r="C14" i="6056"/>
  <c r="O12" i="6056"/>
  <c r="B12" i="6056"/>
  <c r="O11" i="6056"/>
  <c r="B11" i="6056"/>
  <c r="O10" i="6056"/>
  <c r="B10" i="6056"/>
  <c r="C9" i="6056"/>
  <c r="C8" i="6056"/>
  <c r="O7" i="6056"/>
  <c r="C7" i="6056"/>
  <c r="O6" i="6056"/>
  <c r="B6" i="6056"/>
  <c r="O5" i="6056"/>
  <c r="B5" i="6056"/>
  <c r="O4" i="6056"/>
  <c r="O3" i="6056"/>
  <c r="O2" i="6056"/>
  <c r="O23" i="6054"/>
  <c r="O25" i="6054"/>
  <c r="C34" i="6054"/>
  <c r="B29" i="6054"/>
  <c r="C20" i="6054"/>
  <c r="B19" i="6054"/>
  <c r="H51" i="6054" s="1"/>
  <c r="B18" i="6054"/>
  <c r="B28" i="6054" s="1"/>
  <c r="B17" i="6054"/>
  <c r="C17" i="6054" s="1"/>
  <c r="C16" i="6054"/>
  <c r="C15" i="6054"/>
  <c r="C14" i="6054"/>
  <c r="O12" i="6054"/>
  <c r="B12" i="6054"/>
  <c r="O11" i="6054"/>
  <c r="B11" i="6054"/>
  <c r="O10" i="6054"/>
  <c r="B10" i="6054"/>
  <c r="C9" i="6054"/>
  <c r="C8" i="6054"/>
  <c r="O7" i="6054"/>
  <c r="C7" i="6054"/>
  <c r="O6" i="6054"/>
  <c r="B6" i="6054"/>
  <c r="O5" i="6054"/>
  <c r="B5" i="6054"/>
  <c r="O4" i="6054"/>
  <c r="O3" i="6054"/>
  <c r="O2" i="6054"/>
  <c r="B13" i="6058" l="1"/>
  <c r="C18" i="6058"/>
  <c r="H20" i="6060"/>
  <c r="H29" i="6060"/>
  <c r="H28" i="6060"/>
  <c r="H6" i="6060"/>
  <c r="H42" i="6060"/>
  <c r="H3" i="6060"/>
  <c r="H12" i="6060"/>
  <c r="C24" i="6060"/>
  <c r="C43" i="6060"/>
  <c r="H23" i="6060"/>
  <c r="C42" i="6060"/>
  <c r="H8" i="6060"/>
  <c r="C22" i="6060"/>
  <c r="H31" i="6060"/>
  <c r="H2" i="6060"/>
  <c r="B13" i="6056"/>
  <c r="C18" i="6056"/>
  <c r="B26" i="6060"/>
  <c r="H36" i="6060"/>
  <c r="H46" i="6060"/>
  <c r="H26" i="6060"/>
  <c r="C19" i="6060"/>
  <c r="H9" i="6060"/>
  <c r="H38" i="6060"/>
  <c r="C46" i="6060"/>
  <c r="C38" i="6060"/>
  <c r="H48" i="6060"/>
  <c r="H17" i="6060"/>
  <c r="H22" i="6060"/>
  <c r="H40" i="6060"/>
  <c r="C47" i="6060"/>
  <c r="H24" i="6060"/>
  <c r="H11" i="6060"/>
  <c r="H18" i="6060"/>
  <c r="H30" i="6060"/>
  <c r="C39" i="6060"/>
  <c r="H50" i="6060"/>
  <c r="H4" i="6060"/>
  <c r="H13" i="6060"/>
  <c r="H44" i="6060"/>
  <c r="H52" i="6060"/>
  <c r="H7" i="6060"/>
  <c r="H21" i="6060"/>
  <c r="H25" i="6060"/>
  <c r="C21" i="6060"/>
  <c r="C25" i="6060"/>
  <c r="H37" i="6060"/>
  <c r="H41" i="6060"/>
  <c r="H45" i="6060"/>
  <c r="H49" i="6060"/>
  <c r="H5" i="6060"/>
  <c r="H10" i="6060"/>
  <c r="H14" i="6060"/>
  <c r="H32" i="6060"/>
  <c r="H16" i="6060"/>
  <c r="C36" i="6060"/>
  <c r="C40" i="6060"/>
  <c r="C44" i="6060"/>
  <c r="C48" i="6060"/>
  <c r="H27" i="6060"/>
  <c r="H33" i="6060"/>
  <c r="H34" i="6060"/>
  <c r="C37" i="6060"/>
  <c r="C41" i="6060"/>
  <c r="C45" i="6060"/>
  <c r="H51" i="6060"/>
  <c r="H15" i="6060"/>
  <c r="C23" i="6060"/>
  <c r="B27" i="6060"/>
  <c r="H35" i="6060"/>
  <c r="H39" i="6060"/>
  <c r="H43" i="6060"/>
  <c r="H47" i="6060"/>
  <c r="B13" i="6054"/>
  <c r="C18" i="6054"/>
  <c r="H10" i="6058"/>
  <c r="H39" i="6058"/>
  <c r="H14" i="6058"/>
  <c r="C36" i="6058"/>
  <c r="C23" i="6058"/>
  <c r="B27" i="6058"/>
  <c r="H44" i="6058"/>
  <c r="H4" i="6058"/>
  <c r="H23" i="6058"/>
  <c r="H43" i="6058"/>
  <c r="H12" i="6058"/>
  <c r="H7" i="6058"/>
  <c r="H8" i="6058"/>
  <c r="C46" i="6058"/>
  <c r="H38" i="6058"/>
  <c r="H31" i="6058"/>
  <c r="C22" i="6058"/>
  <c r="H32" i="6058"/>
  <c r="H33" i="6058"/>
  <c r="H48" i="6058"/>
  <c r="C42" i="6058"/>
  <c r="H49" i="6058"/>
  <c r="H22" i="6058"/>
  <c r="H18" i="6058"/>
  <c r="H40" i="6058"/>
  <c r="H45" i="6058"/>
  <c r="C48" i="6058"/>
  <c r="H6" i="6058"/>
  <c r="C24" i="6058"/>
  <c r="H50" i="6058"/>
  <c r="H11" i="6058"/>
  <c r="C19" i="6058"/>
  <c r="H19" i="6058"/>
  <c r="C38" i="6058"/>
  <c r="H46" i="6058"/>
  <c r="H17" i="6058"/>
  <c r="C25" i="6058"/>
  <c r="H36" i="6058"/>
  <c r="H41" i="6058"/>
  <c r="C44" i="6058"/>
  <c r="H16" i="6058"/>
  <c r="H25" i="6058"/>
  <c r="H2" i="6058"/>
  <c r="H3" i="6058"/>
  <c r="H20" i="6058"/>
  <c r="H28" i="6058"/>
  <c r="H27" i="6058"/>
  <c r="H42" i="6058"/>
  <c r="H30" i="6058"/>
  <c r="H5" i="6058"/>
  <c r="H15" i="6058"/>
  <c r="H9" i="6058"/>
  <c r="H21" i="6058"/>
  <c r="C21" i="6058"/>
  <c r="B26" i="6058"/>
  <c r="C40" i="6058"/>
  <c r="H47" i="6058"/>
  <c r="H52" i="6058"/>
  <c r="H34" i="6058"/>
  <c r="H13" i="6058"/>
  <c r="H29" i="6058"/>
  <c r="H37" i="6058"/>
  <c r="C39" i="6058"/>
  <c r="C43" i="6058"/>
  <c r="C47" i="6058"/>
  <c r="H24" i="6058"/>
  <c r="H26" i="6058"/>
  <c r="H35" i="6058"/>
  <c r="C37" i="6058"/>
  <c r="C41" i="6058"/>
  <c r="C45" i="6058"/>
  <c r="B26" i="6056"/>
  <c r="H23" i="6056"/>
  <c r="H25" i="6056"/>
  <c r="C36" i="6056"/>
  <c r="H45" i="6056"/>
  <c r="C46" i="6056"/>
  <c r="H39" i="6056"/>
  <c r="H14" i="6056"/>
  <c r="H12" i="6056"/>
  <c r="H18" i="6056"/>
  <c r="C38" i="6056"/>
  <c r="H5" i="6056"/>
  <c r="H9" i="6056"/>
  <c r="H11" i="6056"/>
  <c r="C22" i="6056"/>
  <c r="H17" i="6056"/>
  <c r="C40" i="6056"/>
  <c r="H49" i="6056"/>
  <c r="H43" i="6056"/>
  <c r="C44" i="6056"/>
  <c r="H6" i="6056"/>
  <c r="H13" i="6056"/>
  <c r="H3" i="6056"/>
  <c r="H19" i="6056"/>
  <c r="H30" i="6056"/>
  <c r="H32" i="6056"/>
  <c r="H41" i="6056"/>
  <c r="H4" i="6056"/>
  <c r="C19" i="6056"/>
  <c r="H10" i="6056"/>
  <c r="H37" i="6056"/>
  <c r="H47" i="6056"/>
  <c r="H2" i="6056"/>
  <c r="H8" i="6056"/>
  <c r="H28" i="6056"/>
  <c r="C24" i="6056"/>
  <c r="H34" i="6056"/>
  <c r="C42" i="6056"/>
  <c r="H52" i="6056"/>
  <c r="H16" i="6056"/>
  <c r="H29" i="6056"/>
  <c r="H15" i="6056"/>
  <c r="H31" i="6056"/>
  <c r="H35" i="6056"/>
  <c r="C39" i="6056"/>
  <c r="C43" i="6056"/>
  <c r="C47" i="6056"/>
  <c r="H7" i="6056"/>
  <c r="H26" i="6056"/>
  <c r="H27" i="6056"/>
  <c r="C21" i="6056"/>
  <c r="C25" i="6056"/>
  <c r="H36" i="6056"/>
  <c r="H40" i="6056"/>
  <c r="H44" i="6056"/>
  <c r="H48" i="6056"/>
  <c r="C48" i="6056"/>
  <c r="H24" i="6056"/>
  <c r="H21" i="6056"/>
  <c r="H22" i="6056"/>
  <c r="C37" i="6056"/>
  <c r="C41" i="6056"/>
  <c r="C45" i="6056"/>
  <c r="H50" i="6056"/>
  <c r="H20" i="6056"/>
  <c r="C23" i="6056"/>
  <c r="B27" i="6056"/>
  <c r="H33" i="6056"/>
  <c r="H38" i="6056"/>
  <c r="H42" i="6056"/>
  <c r="H46" i="6056"/>
  <c r="H18" i="6054"/>
  <c r="C23" i="6054"/>
  <c r="H9" i="6054"/>
  <c r="H2" i="6054"/>
  <c r="H38" i="6054"/>
  <c r="H30" i="6054"/>
  <c r="H20" i="6054"/>
  <c r="H47" i="6054"/>
  <c r="H42" i="6054"/>
  <c r="H3" i="6054"/>
  <c r="H34" i="6054"/>
  <c r="H22" i="6054"/>
  <c r="C46" i="6054"/>
  <c r="C19" i="6054"/>
  <c r="H49" i="6054"/>
  <c r="H28" i="6054"/>
  <c r="C40" i="6054"/>
  <c r="H7" i="6054"/>
  <c r="H44" i="6054"/>
  <c r="H4" i="6054"/>
  <c r="H11" i="6054"/>
  <c r="H16" i="6054"/>
  <c r="C42" i="6054"/>
  <c r="H15" i="6054"/>
  <c r="B27" i="6054"/>
  <c r="C36" i="6054"/>
  <c r="H45" i="6054"/>
  <c r="H17" i="6054"/>
  <c r="H32" i="6054"/>
  <c r="C48" i="6054"/>
  <c r="H10" i="6054"/>
  <c r="H6" i="6054"/>
  <c r="H12" i="6054"/>
  <c r="H24" i="6054"/>
  <c r="H8" i="6054"/>
  <c r="H46" i="6054"/>
  <c r="H5" i="6054"/>
  <c r="C24" i="6054"/>
  <c r="H48" i="6054"/>
  <c r="H23" i="6054"/>
  <c r="C25" i="6054"/>
  <c r="H33" i="6054"/>
  <c r="C21" i="6054"/>
  <c r="H41" i="6054"/>
  <c r="H13" i="6054"/>
  <c r="C38" i="6054"/>
  <c r="C44" i="6054"/>
  <c r="H52" i="6054"/>
  <c r="H19" i="6054"/>
  <c r="H37" i="6054"/>
  <c r="H14" i="6054"/>
  <c r="H29" i="6054"/>
  <c r="H39" i="6054"/>
  <c r="C39" i="6054"/>
  <c r="C43" i="6054"/>
  <c r="C47" i="6054"/>
  <c r="H26" i="6054"/>
  <c r="H36" i="6054"/>
  <c r="C22" i="6054"/>
  <c r="B26" i="6054"/>
  <c r="H21" i="6054"/>
  <c r="H40" i="6054"/>
  <c r="H43" i="6054"/>
  <c r="H35" i="6054"/>
  <c r="H50" i="6054"/>
  <c r="H25" i="6054"/>
  <c r="H27" i="6054"/>
  <c r="H31" i="6054"/>
  <c r="C37" i="6054"/>
  <c r="C41" i="6054"/>
  <c r="C45" i="605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<sst xmlns="http://schemas.openxmlformats.org/spreadsheetml/2006/main" count="4004" uniqueCount="323">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</sst>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全体!$K$2:$K$1079</c:f>
              <c:numCache>
                <c:formatCode>General</c:formatCode>
                <c:ptCount val="10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</c:numCache>
            </c:numRef>
          </c:xVal>
          <c:yVal>
            <c:numRef>
              <c:f>全体!$L$2:$L$1079</c:f>
              <c:numCache>
                <c:formatCode>\+0.0;\-0.0;\±0</c:formatCode>
                <c:ptCount val="107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7-4EB7-BEDC-9327A40B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-28.944911297852475</c:v>
                </c:pt>
                <c:pt idx="1">
                  <c:v>7.5973409306742639</c:v>
                </c:pt>
                <c:pt idx="2">
                  <c:v>-1.0070493454179255</c:v>
                </c:pt>
                <c:pt idx="3">
                  <c:v>0</c:v>
                </c:pt>
                <c:pt idx="4">
                  <c:v>9.3567251461988299</c:v>
                </c:pt>
                <c:pt idx="5">
                  <c:v>21.1864406779661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1-4BD1-8086-693C34D94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208</c:v>
                </c:pt>
                <c:pt idx="1">
                  <c:v>450</c:v>
                </c:pt>
                <c:pt idx="2">
                  <c:v>512</c:v>
                </c:pt>
                <c:pt idx="3">
                  <c:v>479</c:v>
                </c:pt>
                <c:pt idx="4">
                  <c:v>412</c:v>
                </c:pt>
                <c:pt idx="5">
                  <c:v>278</c:v>
                </c:pt>
                <c:pt idx="6">
                  <c:v>135</c:v>
                </c:pt>
                <c:pt idx="7">
                  <c:v>76</c:v>
                </c:pt>
                <c:pt idx="8">
                  <c:v>35</c:v>
                </c:pt>
                <c:pt idx="9">
                  <c:v>14</c:v>
                </c:pt>
                <c:pt idx="10">
                  <c:v>10</c:v>
                </c:pt>
                <c:pt idx="11">
                  <c:v>6</c:v>
                </c:pt>
                <c:pt idx="1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8-40F9-9062-896B659FE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たかの!$L$2:$L$95</c:f>
              <c:numCache>
                <c:formatCode>\+0.0;\-0.0;\±0</c:formatCode>
                <c:ptCount val="94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8-45CF-B33D-2B448B49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1841.9354838709678</c:v>
                </c:pt>
                <c:pt idx="1">
                  <c:v>-1781.3186813186812</c:v>
                </c:pt>
                <c:pt idx="2">
                  <c:v>-2753.932584269663</c:v>
                </c:pt>
                <c:pt idx="3">
                  <c:v>-592.77108433734941</c:v>
                </c:pt>
                <c:pt idx="4">
                  <c:v>-1100</c:v>
                </c:pt>
                <c:pt idx="5">
                  <c:v>-2504.5454545454545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DE-4DD1-95BC-F61270625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46</c:v>
                </c:pt>
                <c:pt idx="2">
                  <c:v>48</c:v>
                </c:pt>
                <c:pt idx="3">
                  <c:v>42</c:v>
                </c:pt>
                <c:pt idx="4">
                  <c:v>23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E8-47F9-932F-78C816814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だいち!$K$2:$K$220</c:f>
              <c:numCache>
                <c:formatCode>General</c:formatCode>
                <c:ptCount val="2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</c:numCache>
            </c:numRef>
          </c:xVal>
          <c:yVal>
            <c:numRef>
              <c:f>だいち!$L$2:$L$220</c:f>
              <c:numCache>
                <c:formatCode>\+0.0;\-0.0;\±0</c:formatCode>
                <c:ptCount val="21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4A-4043-B415-5F5FC506A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1176.9585253456221</c:v>
                </c:pt>
                <c:pt idx="1">
                  <c:v>1612.1495327102805</c:v>
                </c:pt>
                <c:pt idx="2">
                  <c:v>1267.4757281553398</c:v>
                </c:pt>
                <c:pt idx="3">
                  <c:v>242.48704663212436</c:v>
                </c:pt>
                <c:pt idx="4">
                  <c:v>1371.9101123595506</c:v>
                </c:pt>
                <c:pt idx="5">
                  <c:v>1814.3835616438357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E-482E-A8A5-0ED739DDF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113</c:v>
                </c:pt>
                <c:pt idx="2">
                  <c:v>120</c:v>
                </c:pt>
                <c:pt idx="3">
                  <c:v>111</c:v>
                </c:pt>
                <c:pt idx="4">
                  <c:v>90</c:v>
                </c:pt>
                <c:pt idx="5">
                  <c:v>59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E-4D48-9C87-CD4741B2C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ただ!$K$2:$K$190</c:f>
              <c:numCache>
                <c:formatCode>General</c:formatCode>
                <c:ptCount val="1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</c:numCache>
            </c:numRef>
          </c:xVal>
          <c:yVal>
            <c:numRef>
              <c:f>ただ!$L$2:$L$190</c:f>
              <c:numCache>
                <c:formatCode>\+0.0;\-0.0;\±0</c:formatCode>
                <c:ptCount val="18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50-4B45-A0E8-12C8F228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-1138.7096774193549</c:v>
                </c:pt>
                <c:pt idx="1">
                  <c:v>1012.0218579234972</c:v>
                </c:pt>
                <c:pt idx="2">
                  <c:v>-275.43859649122805</c:v>
                </c:pt>
                <c:pt idx="3">
                  <c:v>44.171779141104295</c:v>
                </c:pt>
                <c:pt idx="4">
                  <c:v>-944.59459459459458</c:v>
                </c:pt>
                <c:pt idx="5">
                  <c:v>1180.1587301587301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0-4CCB-BFD4-ECF34DDC7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42</c:v>
                </c:pt>
                <c:pt idx="1">
                  <c:v>93</c:v>
                </c:pt>
                <c:pt idx="2">
                  <c:v>108</c:v>
                </c:pt>
                <c:pt idx="3">
                  <c:v>99</c:v>
                </c:pt>
                <c:pt idx="4">
                  <c:v>70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0-4312-B3E3-5E4D8144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りくと!$L$2:$L$108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9-4556-8196-2C146DD15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-640.95238095238096</c:v>
                </c:pt>
                <c:pt idx="1">
                  <c:v>-829.52380952380952</c:v>
                </c:pt>
                <c:pt idx="2">
                  <c:v>620.20202020202021</c:v>
                </c:pt>
                <c:pt idx="3">
                  <c:v>-1004.1237113402062</c:v>
                </c:pt>
                <c:pt idx="4">
                  <c:v>-2415.217391304348</c:v>
                </c:pt>
                <c:pt idx="5">
                  <c:v>-1737.037037037037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6-4F33-8AD3-5C1CA48AE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39</c:v>
                </c:pt>
                <c:pt idx="2">
                  <c:v>56</c:v>
                </c:pt>
                <c:pt idx="3">
                  <c:v>41</c:v>
                </c:pt>
                <c:pt idx="4">
                  <c:v>42</c:v>
                </c:pt>
                <c:pt idx="5">
                  <c:v>24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BA4-9643-71DE8062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れんたろう!$K$2:$K$163</c:f>
              <c:numCache>
                <c:formatCode>General</c:formatCode>
                <c:ptCount val="1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</c:numCache>
            </c:numRef>
          </c:xVal>
          <c:yVal>
            <c:numRef>
              <c:f>れんたろう!$L$2:$L$163</c:f>
              <c:numCache>
                <c:formatCode>\+0.0;\-0.0;\±0</c:formatCode>
                <c:ptCount val="162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0-42C0-9176-86BFB1990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1856.25</c:v>
                </c:pt>
                <c:pt idx="1">
                  <c:v>-2210.2564102564102</c:v>
                </c:pt>
                <c:pt idx="2">
                  <c:v>226.05633802816902</c:v>
                </c:pt>
                <c:pt idx="3">
                  <c:v>2270.9923664122139</c:v>
                </c:pt>
                <c:pt idx="4">
                  <c:v>1561.3445378151262</c:v>
                </c:pt>
                <c:pt idx="5">
                  <c:v>352.22222222222223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4-4070-945B-06448F60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31</c:v>
                </c:pt>
                <c:pt idx="2">
                  <c:v>50</c:v>
                </c:pt>
                <c:pt idx="3">
                  <c:v>66</c:v>
                </c:pt>
                <c:pt idx="4">
                  <c:v>76</c:v>
                </c:pt>
                <c:pt idx="5">
                  <c:v>51</c:v>
                </c:pt>
                <c:pt idx="6">
                  <c:v>27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7-4132-8D9D-A8F10B9B4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まっつん!$L$2:$L$164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D9-492D-87D8-E358F9338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-223.45679012345678</c:v>
                </c:pt>
                <c:pt idx="1">
                  <c:v>528.93081761006295</c:v>
                </c:pt>
                <c:pt idx="2">
                  <c:v>200</c:v>
                </c:pt>
                <c:pt idx="3">
                  <c:v>11.764705882352942</c:v>
                </c:pt>
                <c:pt idx="4">
                  <c:v>68.032786885245898</c:v>
                </c:pt>
                <c:pt idx="5">
                  <c:v>-749.03846153846155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E-4F80-AC2A-257A0628C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21</c:v>
                </c:pt>
                <c:pt idx="1">
                  <c:v>67</c:v>
                </c:pt>
                <c:pt idx="2">
                  <c:v>69</c:v>
                </c:pt>
                <c:pt idx="3">
                  <c:v>70</c:v>
                </c:pt>
                <c:pt idx="4">
                  <c:v>51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0-4980-A113-0753E5767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のり!$L$2:$L$77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1-4243-B918-750162FEA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-3541.3333333333335</c:v>
                </c:pt>
                <c:pt idx="1">
                  <c:v>1344.5945945945946</c:v>
                </c:pt>
                <c:pt idx="2">
                  <c:v>-1360</c:v>
                </c:pt>
                <c:pt idx="3">
                  <c:v>-1795.2380952380952</c:v>
                </c:pt>
                <c:pt idx="4">
                  <c:v>-1438.9830508474577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D-46D2-B8F2-D1A029BC4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DDC-90CF-48BE406D6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7-4C22-AAAA-B26C681A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8-4FF2-A439-8059E0B94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C-49E8-ABA4-5DB8A0421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06-47E6-89C0-AD4029956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AD-4FF8-BE71-74425588A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2-48C1-8FE0-89530D16E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D-45F2-A7C9-3AED63C14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F-4C72-B3F6-56DDE682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6-49DB-81C5-657E0E00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5B-44C2-9BA2-C072D76B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1-4347-B1DF-24C6AF77A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8-4D5C-956D-542263754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0D-4315-8B61-AC1FE195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F-428E-86A4-AD2D72D84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2A-4E61-9A8D-7E7C1CF32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D8-4B46-8BBF-4788DB2C8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1BB-A309-E80535335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4-43F1-8969-5AE8CE0ED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576653263585239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258053802723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526181777925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9.41487353718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5.1006245662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27855153203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97232370198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255839698881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944198405668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282392026578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736126840317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6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6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6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1077</v>
      </c>
    </row>
    <row r="2" spans="1:2" x14ac:dyDescent="0.45">
      <c r="A2" t="s">
        <v>158</v>
      </c>
      <c r="B2">
        <v>93</v>
      </c>
    </row>
    <row r="3" spans="1:2" x14ac:dyDescent="0.45">
      <c r="A3" t="s">
        <v>126</v>
      </c>
      <c r="B3">
        <v>218</v>
      </c>
    </row>
    <row r="4" spans="1:2" x14ac:dyDescent="0.45">
      <c r="A4" t="s">
        <v>127</v>
      </c>
      <c r="B4">
        <v>188</v>
      </c>
    </row>
    <row r="5" spans="1:2" x14ac:dyDescent="0.45">
      <c r="A5" t="s">
        <v>169</v>
      </c>
      <c r="B5">
        <v>106</v>
      </c>
    </row>
    <row r="6" spans="1:2" x14ac:dyDescent="0.45">
      <c r="A6" t="s">
        <v>167</v>
      </c>
      <c r="B6">
        <v>161</v>
      </c>
    </row>
    <row r="7" spans="1:2" x14ac:dyDescent="0.45">
      <c r="A7" t="s">
        <v>168</v>
      </c>
      <c r="B7">
        <v>162</v>
      </c>
    </row>
    <row r="8" spans="1:2" x14ac:dyDescent="0.45">
      <c r="A8" t="s">
        <v>195</v>
      </c>
      <c r="B8">
        <v>75</v>
      </c>
    </row>
    <row r="9" spans="1:2" x14ac:dyDescent="0.45">
      <c r="A9" t="s">
        <v>194</v>
      </c>
      <c r="B9">
        <v>32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18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49" customWidth="1"/>
    <col min="3" max="3" width="10.69921875" style="50" customWidth="1"/>
    <col min="4" max="4" width="10.69921875" style="51" customWidth="1"/>
    <col min="5" max="5" width="10.69921875" style="63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52" customWidth="1"/>
    <col min="10" max="10" width="10.69921875" style="51" customWidth="1"/>
    <col min="11" max="11" width="10.69921875" style="53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4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5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3" customWidth="1"/>
    <col min="24" max="24" width="10.69921875" style="51" customWidth="1"/>
    <col min="25" max="25" width="10.69921875" style="54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8" customWidth="1"/>
    <col min="36" max="16384" width="9" style="39"/>
  </cols>
  <sheetData>
    <row r="1" spans="1:35" x14ac:dyDescent="0.45">
      <c r="A1" s="38"/>
      <c r="B1" s="137" t="s">
        <v>6</v>
      </c>
      <c r="C1" s="138"/>
      <c r="D1" s="137" t="s">
        <v>7</v>
      </c>
      <c r="E1" s="138"/>
      <c r="F1" s="139" t="s">
        <v>206</v>
      </c>
      <c r="G1" s="140"/>
      <c r="H1" s="137" t="s">
        <v>15</v>
      </c>
      <c r="I1" s="138"/>
      <c r="J1" s="137" t="s">
        <v>14</v>
      </c>
      <c r="K1" s="138"/>
      <c r="L1" s="137" t="s">
        <v>152</v>
      </c>
      <c r="M1" s="138"/>
      <c r="N1" s="137" t="s">
        <v>145</v>
      </c>
      <c r="O1" s="138"/>
      <c r="P1" s="137" t="s">
        <v>146</v>
      </c>
      <c r="Q1" s="138"/>
      <c r="R1" s="137" t="s">
        <v>5</v>
      </c>
      <c r="S1" s="138"/>
      <c r="T1" s="137" t="s">
        <v>16</v>
      </c>
      <c r="U1" s="138"/>
      <c r="V1" s="137" t="s">
        <v>17</v>
      </c>
      <c r="W1" s="138"/>
      <c r="X1" s="137" t="s">
        <v>122</v>
      </c>
      <c r="Y1" s="138"/>
      <c r="Z1" s="137" t="s">
        <v>119</v>
      </c>
      <c r="AA1" s="138"/>
      <c r="AB1" s="137" t="s">
        <v>125</v>
      </c>
      <c r="AC1" s="138"/>
      <c r="AD1" s="137" t="s">
        <v>147</v>
      </c>
      <c r="AE1" s="138"/>
      <c r="AF1" s="137" t="s">
        <v>140</v>
      </c>
      <c r="AG1" s="138"/>
      <c r="AH1" s="137" t="s">
        <v>189</v>
      </c>
      <c r="AI1" s="138"/>
    </row>
    <row r="2" spans="1:35" x14ac:dyDescent="0.45">
      <c r="A2" s="38" t="s">
        <v>151</v>
      </c>
      <c r="B2" s="141"/>
      <c r="C2" s="142"/>
      <c r="D2" s="141"/>
      <c r="E2" s="142"/>
      <c r="F2" s="143">
        <v>0.73337299997390482</v>
      </c>
      <c r="G2" s="144"/>
      <c r="H2" s="143">
        <v>0.97620506654654016</v>
      </c>
      <c r="I2" s="144"/>
      <c r="J2" s="143">
        <v>0.82932593752268624</v>
      </c>
      <c r="K2" s="144"/>
      <c r="L2" s="143">
        <v>0.65419434626646333</v>
      </c>
      <c r="M2" s="144"/>
      <c r="N2" s="143">
        <v>0.58661402228628801</v>
      </c>
      <c r="O2" s="144"/>
      <c r="P2" s="143">
        <v>0.26604132237903277</v>
      </c>
      <c r="Q2" s="144"/>
      <c r="R2" s="143">
        <v>0.46277704156547234</v>
      </c>
      <c r="S2" s="144"/>
      <c r="T2" s="143">
        <v>-9.205786689949215E-2</v>
      </c>
      <c r="U2" s="144"/>
      <c r="V2" s="143">
        <v>0.32762772768498144</v>
      </c>
      <c r="W2" s="144"/>
      <c r="X2" s="143">
        <v>0.41614736303288696</v>
      </c>
      <c r="Y2" s="144"/>
      <c r="Z2" s="143">
        <v>-1.5131667751796441E-2</v>
      </c>
      <c r="AA2" s="144"/>
      <c r="AB2" s="143">
        <v>0.47159197358198934</v>
      </c>
      <c r="AC2" s="144"/>
      <c r="AD2" s="143">
        <v>8.1036447292683472E-2</v>
      </c>
      <c r="AE2" s="144"/>
      <c r="AF2" s="143">
        <v>-7.7377547251798545E-2</v>
      </c>
      <c r="AG2" s="144"/>
      <c r="AH2" s="143">
        <v>0.72087523223959526</v>
      </c>
      <c r="AI2" s="144"/>
    </row>
    <row r="3" spans="1:35" x14ac:dyDescent="0.45">
      <c r="A3" s="40">
        <v>1</v>
      </c>
      <c r="B3" s="41" t="s">
        <v>126</v>
      </c>
      <c r="C3" s="42">
        <v>1930.1999999999998</v>
      </c>
      <c r="D3" s="43" t="s">
        <v>202</v>
      </c>
      <c r="E3" s="62">
        <v>13.1</v>
      </c>
      <c r="F3" s="43" t="s">
        <v>202</v>
      </c>
      <c r="G3" s="62">
        <v>8.7333333333333325</v>
      </c>
      <c r="H3" s="43" t="s">
        <v>202</v>
      </c>
      <c r="I3" s="44">
        <v>1.5</v>
      </c>
      <c r="J3" s="43" t="s">
        <v>282</v>
      </c>
      <c r="K3" s="45">
        <v>0.5</v>
      </c>
      <c r="L3" s="43" t="s">
        <v>202</v>
      </c>
      <c r="M3" s="45">
        <v>0</v>
      </c>
      <c r="N3" s="43" t="s">
        <v>202</v>
      </c>
      <c r="O3" s="46">
        <v>0.46666666666666667</v>
      </c>
      <c r="P3" s="43" t="s">
        <v>202</v>
      </c>
      <c r="Q3" s="46">
        <v>6.6666666666666666E-2</v>
      </c>
      <c r="R3" s="43" t="s">
        <v>167</v>
      </c>
      <c r="S3" s="47">
        <v>11031.868131868132</v>
      </c>
      <c r="T3" s="43" t="s">
        <v>194</v>
      </c>
      <c r="U3" s="47">
        <v>-7102</v>
      </c>
      <c r="V3" s="43" t="s">
        <v>202</v>
      </c>
      <c r="W3" s="45">
        <v>0</v>
      </c>
      <c r="X3" s="43" t="s">
        <v>282</v>
      </c>
      <c r="Y3" s="46">
        <v>0.38461538461538464</v>
      </c>
      <c r="Z3" s="43" t="s">
        <v>201</v>
      </c>
      <c r="AA3" s="46">
        <v>0.35483870967741937</v>
      </c>
      <c r="AB3" s="43" t="s">
        <v>282</v>
      </c>
      <c r="AC3" s="46">
        <v>0.6333333333333333</v>
      </c>
      <c r="AD3" s="43" t="s">
        <v>202</v>
      </c>
      <c r="AE3" s="46">
        <v>1</v>
      </c>
      <c r="AF3" s="43" t="s">
        <v>194</v>
      </c>
      <c r="AG3" s="46">
        <v>0.58441558441558439</v>
      </c>
      <c r="AH3" s="43" t="s">
        <v>126</v>
      </c>
      <c r="AI3" s="57">
        <v>149100</v>
      </c>
    </row>
    <row r="4" spans="1:35" x14ac:dyDescent="0.45">
      <c r="A4" s="48">
        <v>2</v>
      </c>
      <c r="B4" s="49" t="s">
        <v>167</v>
      </c>
      <c r="C4" s="50">
        <v>796.40000000000043</v>
      </c>
      <c r="D4" s="51" t="s">
        <v>126</v>
      </c>
      <c r="E4" s="63">
        <v>8.8541284403669724</v>
      </c>
      <c r="F4" s="51" t="s">
        <v>126</v>
      </c>
      <c r="G4" s="63">
        <v>1.4346124112727441</v>
      </c>
      <c r="H4" s="51" t="s">
        <v>126</v>
      </c>
      <c r="I4" s="52">
        <v>1.7798165137614679</v>
      </c>
      <c r="J4" s="51" t="s">
        <v>202</v>
      </c>
      <c r="K4" s="53">
        <v>0.5</v>
      </c>
      <c r="L4" s="51" t="s">
        <v>126</v>
      </c>
      <c r="M4" s="53">
        <v>0.24770642201834864</v>
      </c>
      <c r="N4" s="51" t="s">
        <v>275</v>
      </c>
      <c r="O4" s="54">
        <v>0.34838709677419355</v>
      </c>
      <c r="P4" s="51" t="s">
        <v>126</v>
      </c>
      <c r="Q4" s="54">
        <v>0.12658227848101267</v>
      </c>
      <c r="R4" s="51" t="s">
        <v>282</v>
      </c>
      <c r="S4" s="55">
        <v>9534.6153846153848</v>
      </c>
      <c r="T4" s="51" t="s">
        <v>168</v>
      </c>
      <c r="U4" s="55">
        <v>-7212.4324324324325</v>
      </c>
      <c r="V4" s="51" t="s">
        <v>126</v>
      </c>
      <c r="W4" s="53">
        <v>5.0458715596330278E-2</v>
      </c>
      <c r="X4" s="51" t="s">
        <v>281</v>
      </c>
      <c r="Y4" s="54">
        <v>0.375</v>
      </c>
      <c r="Z4" s="51" t="s">
        <v>202</v>
      </c>
      <c r="AA4" s="54">
        <v>0.33333333333333331</v>
      </c>
      <c r="AB4" s="51" t="s">
        <v>126</v>
      </c>
      <c r="AC4" s="54">
        <v>0.58212058212058215</v>
      </c>
      <c r="AD4" s="51" t="s">
        <v>275</v>
      </c>
      <c r="AE4" s="54">
        <v>0.68421052631578949</v>
      </c>
      <c r="AF4" s="51" t="s">
        <v>275</v>
      </c>
      <c r="AG4" s="54">
        <v>0.53703703703703709</v>
      </c>
      <c r="AH4" s="51" t="s">
        <v>141</v>
      </c>
      <c r="AI4" s="58">
        <v>149100</v>
      </c>
    </row>
    <row r="5" spans="1:35" x14ac:dyDescent="0.45">
      <c r="A5" s="48">
        <v>3</v>
      </c>
      <c r="B5" s="49" t="s">
        <v>202</v>
      </c>
      <c r="C5" s="50">
        <v>26.2</v>
      </c>
      <c r="D5" s="51" t="s">
        <v>167</v>
      </c>
      <c r="E5" s="63">
        <v>4.9465838509316793</v>
      </c>
      <c r="F5" s="51" t="s">
        <v>167</v>
      </c>
      <c r="G5" s="63">
        <v>1.3924987430869724</v>
      </c>
      <c r="H5" s="51" t="s">
        <v>167</v>
      </c>
      <c r="I5" s="52">
        <v>1.9130434782608696</v>
      </c>
      <c r="J5" s="51" t="s">
        <v>126</v>
      </c>
      <c r="K5" s="53">
        <v>0.46788990825688076</v>
      </c>
      <c r="L5" s="51" t="s">
        <v>168</v>
      </c>
      <c r="M5" s="53">
        <v>0.30246913580246915</v>
      </c>
      <c r="N5" s="51" t="s">
        <v>126</v>
      </c>
      <c r="O5" s="54">
        <v>0.33736929003852506</v>
      </c>
      <c r="P5" s="51" t="s">
        <v>168</v>
      </c>
      <c r="Q5" s="54">
        <v>0.14068441064638784</v>
      </c>
      <c r="R5" s="51" t="s">
        <v>195</v>
      </c>
      <c r="S5" s="55">
        <v>8516.339869281046</v>
      </c>
      <c r="T5" s="51" t="s">
        <v>126</v>
      </c>
      <c r="U5" s="55">
        <v>-7573.913043478261</v>
      </c>
      <c r="V5" s="51" t="s">
        <v>169</v>
      </c>
      <c r="W5" s="53">
        <v>7.5471698113207544E-2</v>
      </c>
      <c r="X5" s="51" t="s">
        <v>275</v>
      </c>
      <c r="Y5" s="54">
        <v>0.34838709677419355</v>
      </c>
      <c r="Z5" s="51" t="s">
        <v>127</v>
      </c>
      <c r="AA5" s="54">
        <v>0.29776357827476041</v>
      </c>
      <c r="AB5" s="51" t="s">
        <v>275</v>
      </c>
      <c r="AC5" s="54">
        <v>0.57407407407407407</v>
      </c>
      <c r="AD5" s="51" t="s">
        <v>126</v>
      </c>
      <c r="AE5" s="54">
        <v>0.47004608294930877</v>
      </c>
      <c r="AF5" s="51" t="s">
        <v>167</v>
      </c>
      <c r="AG5" s="54">
        <v>0.51098901098901095</v>
      </c>
      <c r="AH5" s="51" t="s">
        <v>167</v>
      </c>
      <c r="AI5" s="58">
        <v>122100</v>
      </c>
    </row>
    <row r="6" spans="1:35" x14ac:dyDescent="0.45">
      <c r="A6" s="48">
        <v>4</v>
      </c>
      <c r="B6" s="49" t="s">
        <v>282</v>
      </c>
      <c r="C6" s="50">
        <v>9.2999999999999972</v>
      </c>
      <c r="D6" s="51" t="s">
        <v>282</v>
      </c>
      <c r="E6" s="63">
        <v>0.92999999999999972</v>
      </c>
      <c r="F6" s="51" t="s">
        <v>168</v>
      </c>
      <c r="G6" s="63">
        <v>1.2423844655232987</v>
      </c>
      <c r="H6" s="51" t="s">
        <v>127</v>
      </c>
      <c r="I6" s="52">
        <v>1.9840425531914894</v>
      </c>
      <c r="J6" s="51" t="s">
        <v>201</v>
      </c>
      <c r="K6" s="53">
        <v>0.42857142857142855</v>
      </c>
      <c r="L6" s="51" t="s">
        <v>127</v>
      </c>
      <c r="M6" s="53">
        <v>0.31382978723404253</v>
      </c>
      <c r="N6" s="51" t="s">
        <v>282</v>
      </c>
      <c r="O6" s="54">
        <v>0.33333333333333331</v>
      </c>
      <c r="P6" s="51" t="s">
        <v>141</v>
      </c>
      <c r="Q6" s="54">
        <v>0.15952618177792538</v>
      </c>
      <c r="R6" s="51" t="s">
        <v>168</v>
      </c>
      <c r="S6" s="55">
        <v>8512.9834254143643</v>
      </c>
      <c r="T6" s="51" t="s">
        <v>158</v>
      </c>
      <c r="U6" s="55">
        <v>-7708.8888888888887</v>
      </c>
      <c r="V6" s="51" t="s">
        <v>168</v>
      </c>
      <c r="W6" s="53">
        <v>8.6419753086419748E-2</v>
      </c>
      <c r="X6" s="51" t="s">
        <v>167</v>
      </c>
      <c r="Y6" s="54">
        <v>0.29640947288006114</v>
      </c>
      <c r="Z6" s="51" t="s">
        <v>158</v>
      </c>
      <c r="AA6" s="54">
        <v>0.26322115384615385</v>
      </c>
      <c r="AB6" s="51" t="s">
        <v>194</v>
      </c>
      <c r="AC6" s="54">
        <v>0.5662650602409639</v>
      </c>
      <c r="AD6" s="51" t="s">
        <v>141</v>
      </c>
      <c r="AE6" s="54">
        <v>0.41528239202657807</v>
      </c>
      <c r="AF6" s="51" t="s">
        <v>169</v>
      </c>
      <c r="AG6" s="54">
        <v>0.47773279352226722</v>
      </c>
      <c r="AH6" s="51" t="s">
        <v>168</v>
      </c>
      <c r="AI6" s="58">
        <v>101400</v>
      </c>
    </row>
    <row r="7" spans="1:35" x14ac:dyDescent="0.45">
      <c r="A7" s="48">
        <v>5</v>
      </c>
      <c r="B7" s="49" t="s">
        <v>141</v>
      </c>
      <c r="C7" s="50">
        <v>-9.2370555648813024E-14</v>
      </c>
      <c r="D7" s="51" t="s">
        <v>141</v>
      </c>
      <c r="E7" s="63">
        <v>-8.5766532635852393E-17</v>
      </c>
      <c r="F7" s="51" t="s">
        <v>282</v>
      </c>
      <c r="G7" s="63">
        <v>0.61999999999999977</v>
      </c>
      <c r="H7" s="51" t="s">
        <v>194</v>
      </c>
      <c r="I7" s="52">
        <v>2</v>
      </c>
      <c r="J7" s="51" t="s">
        <v>167</v>
      </c>
      <c r="K7" s="53">
        <v>0.40372670807453415</v>
      </c>
      <c r="L7" s="51" t="s">
        <v>167</v>
      </c>
      <c r="M7" s="53">
        <v>0.31677018633540371</v>
      </c>
      <c r="N7" s="51" t="s">
        <v>127</v>
      </c>
      <c r="O7" s="54">
        <v>0.31693290734824281</v>
      </c>
      <c r="P7" s="51" t="s">
        <v>275</v>
      </c>
      <c r="Q7" s="54">
        <v>0.16129032258064516</v>
      </c>
      <c r="R7" s="51" t="s">
        <v>281</v>
      </c>
      <c r="S7" s="55">
        <v>8512.5</v>
      </c>
      <c r="T7" s="51" t="s">
        <v>169</v>
      </c>
      <c r="U7" s="55">
        <v>-7752.6627218934909</v>
      </c>
      <c r="V7" s="51" t="s">
        <v>158</v>
      </c>
      <c r="W7" s="53">
        <v>9.6774193548387094E-2</v>
      </c>
      <c r="X7" s="51" t="s">
        <v>194</v>
      </c>
      <c r="Y7" s="54">
        <v>0.27852348993288589</v>
      </c>
      <c r="Z7" s="51" t="s">
        <v>126</v>
      </c>
      <c r="AA7" s="54">
        <v>0.23885525591634563</v>
      </c>
      <c r="AB7" s="51" t="s">
        <v>141</v>
      </c>
      <c r="AC7" s="54">
        <v>0.54694419840566877</v>
      </c>
      <c r="AD7" s="51" t="s">
        <v>168</v>
      </c>
      <c r="AE7" s="54">
        <v>0.41390728476821192</v>
      </c>
      <c r="AF7" s="51" t="s">
        <v>282</v>
      </c>
      <c r="AG7" s="54">
        <v>0.46153846153846156</v>
      </c>
      <c r="AH7" s="51" t="s">
        <v>194</v>
      </c>
      <c r="AI7" s="58">
        <v>95200</v>
      </c>
    </row>
    <row r="8" spans="1:35" x14ac:dyDescent="0.45">
      <c r="A8" s="48">
        <v>6</v>
      </c>
      <c r="B8" s="49" t="s">
        <v>127</v>
      </c>
      <c r="C8" s="50">
        <v>-45.700000000000216</v>
      </c>
      <c r="D8" s="51" t="s">
        <v>127</v>
      </c>
      <c r="E8" s="63">
        <v>-0.24308510638297987</v>
      </c>
      <c r="F8" s="51" t="s">
        <v>141</v>
      </c>
      <c r="G8" s="63">
        <v>0</v>
      </c>
      <c r="H8" s="51" t="s">
        <v>282</v>
      </c>
      <c r="I8" s="52">
        <v>2</v>
      </c>
      <c r="J8" s="51" t="s">
        <v>194</v>
      </c>
      <c r="K8" s="53">
        <v>0.375</v>
      </c>
      <c r="L8" s="51" t="s">
        <v>141</v>
      </c>
      <c r="M8" s="53">
        <v>0.33333333333333331</v>
      </c>
      <c r="N8" s="51" t="s">
        <v>141</v>
      </c>
      <c r="O8" s="54">
        <v>0.29325805380272335</v>
      </c>
      <c r="P8" s="51" t="s">
        <v>158</v>
      </c>
      <c r="Q8" s="54">
        <v>0.16225961538461539</v>
      </c>
      <c r="R8" s="51" t="s">
        <v>141</v>
      </c>
      <c r="S8" s="55">
        <v>8449.4148735371837</v>
      </c>
      <c r="T8" s="51" t="s">
        <v>141</v>
      </c>
      <c r="U8" s="55">
        <v>-7855.1006245662738</v>
      </c>
      <c r="V8" s="51" t="s">
        <v>141</v>
      </c>
      <c r="W8" s="53">
        <v>0.10027855153203342</v>
      </c>
      <c r="X8" s="51" t="s">
        <v>169</v>
      </c>
      <c r="Y8" s="54">
        <v>0.27410617551462624</v>
      </c>
      <c r="Z8" s="51" t="s">
        <v>141</v>
      </c>
      <c r="AA8" s="54">
        <v>0.23325583969888189</v>
      </c>
      <c r="AB8" s="51" t="s">
        <v>169</v>
      </c>
      <c r="AC8" s="54">
        <v>0.54545454545454541</v>
      </c>
      <c r="AD8" s="51" t="s">
        <v>127</v>
      </c>
      <c r="AE8" s="54">
        <v>0.40343347639484978</v>
      </c>
      <c r="AF8" s="51" t="s">
        <v>168</v>
      </c>
      <c r="AG8" s="54">
        <v>0.4585635359116022</v>
      </c>
      <c r="AH8" s="51" t="s">
        <v>127</v>
      </c>
      <c r="AI8" s="58">
        <v>91800</v>
      </c>
    </row>
    <row r="9" spans="1:35" x14ac:dyDescent="0.45">
      <c r="A9" s="48">
        <v>7</v>
      </c>
      <c r="B9" s="49" t="s">
        <v>275</v>
      </c>
      <c r="C9" s="50">
        <v>-55.6</v>
      </c>
      <c r="D9" s="51" t="s">
        <v>168</v>
      </c>
      <c r="E9" s="63">
        <v>-0.5419753086419753</v>
      </c>
      <c r="F9" s="51" t="s">
        <v>127</v>
      </c>
      <c r="G9" s="63">
        <v>-0.8056892954581869</v>
      </c>
      <c r="H9" s="51" t="s">
        <v>141</v>
      </c>
      <c r="I9" s="52">
        <v>2</v>
      </c>
      <c r="J9" s="51" t="s">
        <v>275</v>
      </c>
      <c r="K9" s="53">
        <v>0.33333333333333331</v>
      </c>
      <c r="L9" s="51" t="s">
        <v>194</v>
      </c>
      <c r="M9" s="53">
        <v>0.375</v>
      </c>
      <c r="N9" s="51" t="s">
        <v>167</v>
      </c>
      <c r="O9" s="54">
        <v>0.27807486631016043</v>
      </c>
      <c r="P9" s="51" t="s">
        <v>194</v>
      </c>
      <c r="Q9" s="54">
        <v>0.16778523489932887</v>
      </c>
      <c r="R9" s="51" t="s">
        <v>126</v>
      </c>
      <c r="S9" s="55">
        <v>8314.8450244698197</v>
      </c>
      <c r="T9" s="51" t="s">
        <v>281</v>
      </c>
      <c r="U9" s="55">
        <v>-7987.5</v>
      </c>
      <c r="V9" s="51" t="s">
        <v>127</v>
      </c>
      <c r="W9" s="53">
        <v>0.10106382978723404</v>
      </c>
      <c r="X9" s="51" t="s">
        <v>202</v>
      </c>
      <c r="Y9" s="54">
        <v>0.26666666666666666</v>
      </c>
      <c r="Z9" s="51" t="s">
        <v>168</v>
      </c>
      <c r="AA9" s="54">
        <v>0.22965779467680608</v>
      </c>
      <c r="AB9" s="51" t="s">
        <v>167</v>
      </c>
      <c r="AC9" s="54">
        <v>0.54381443298969068</v>
      </c>
      <c r="AD9" s="51" t="s">
        <v>195</v>
      </c>
      <c r="AE9" s="54">
        <v>0.39860139860139859</v>
      </c>
      <c r="AF9" s="51" t="s">
        <v>195</v>
      </c>
      <c r="AG9" s="54">
        <v>0.45751633986928103</v>
      </c>
      <c r="AH9" s="51" t="s">
        <v>158</v>
      </c>
      <c r="AI9" s="58">
        <v>87400</v>
      </c>
    </row>
    <row r="10" spans="1:35" x14ac:dyDescent="0.45">
      <c r="A10" s="48">
        <v>8</v>
      </c>
      <c r="B10" s="49" t="s">
        <v>281</v>
      </c>
      <c r="C10" s="50">
        <v>-80.800000000000011</v>
      </c>
      <c r="D10" s="51" t="s">
        <v>194</v>
      </c>
      <c r="E10" s="63">
        <v>-3.0218749999999992</v>
      </c>
      <c r="F10" s="51" t="s">
        <v>195</v>
      </c>
      <c r="G10" s="63">
        <v>-0.88347996089931746</v>
      </c>
      <c r="H10" s="51" t="s">
        <v>168</v>
      </c>
      <c r="I10" s="52">
        <v>2.0432098765432101</v>
      </c>
      <c r="J10" s="51" t="s">
        <v>141</v>
      </c>
      <c r="K10" s="53">
        <v>0.33333333333333331</v>
      </c>
      <c r="L10" s="51" t="s">
        <v>275</v>
      </c>
      <c r="M10" s="53">
        <v>0.3888888888888889</v>
      </c>
      <c r="N10" s="51" t="s">
        <v>168</v>
      </c>
      <c r="O10" s="54">
        <v>0.2752851711026616</v>
      </c>
      <c r="P10" s="51" t="s">
        <v>167</v>
      </c>
      <c r="Q10" s="54">
        <v>0.16883116883116883</v>
      </c>
      <c r="R10" s="51" t="s">
        <v>194</v>
      </c>
      <c r="S10" s="55">
        <v>8164.9350649350654</v>
      </c>
      <c r="T10" s="51" t="s">
        <v>127</v>
      </c>
      <c r="U10" s="55">
        <v>-7999.6309963099629</v>
      </c>
      <c r="V10" s="51" t="s">
        <v>167</v>
      </c>
      <c r="W10" s="53">
        <v>0.11801242236024845</v>
      </c>
      <c r="X10" s="51" t="s">
        <v>126</v>
      </c>
      <c r="Y10" s="54">
        <v>0.26472206934507431</v>
      </c>
      <c r="Z10" s="51" t="s">
        <v>195</v>
      </c>
      <c r="AA10" s="54">
        <v>0.22916666666666666</v>
      </c>
      <c r="AB10" s="51" t="s">
        <v>168</v>
      </c>
      <c r="AC10" s="54">
        <v>0.54354354354354351</v>
      </c>
      <c r="AD10" s="51" t="s">
        <v>158</v>
      </c>
      <c r="AE10" s="54">
        <v>0.39726027397260272</v>
      </c>
      <c r="AF10" s="51" t="s">
        <v>141</v>
      </c>
      <c r="AG10" s="54">
        <v>0.45073612684031711</v>
      </c>
      <c r="AH10" s="51" t="s">
        <v>195</v>
      </c>
      <c r="AI10" s="58">
        <v>85100</v>
      </c>
    </row>
    <row r="11" spans="1:35" x14ac:dyDescent="0.45">
      <c r="A11" s="48">
        <v>9</v>
      </c>
      <c r="B11" s="49" t="s">
        <v>168</v>
      </c>
      <c r="C11" s="50">
        <v>-87.8</v>
      </c>
      <c r="D11" s="51" t="s">
        <v>275</v>
      </c>
      <c r="E11" s="63">
        <v>-3.088888888888889</v>
      </c>
      <c r="F11" s="51" t="s">
        <v>275</v>
      </c>
      <c r="G11" s="63">
        <v>-0.98952380952380992</v>
      </c>
      <c r="H11" s="51" t="s">
        <v>275</v>
      </c>
      <c r="I11" s="52">
        <v>2.0555555555555554</v>
      </c>
      <c r="J11" s="51" t="s">
        <v>127</v>
      </c>
      <c r="K11" s="53">
        <v>0.32978723404255317</v>
      </c>
      <c r="L11" s="51" t="s">
        <v>169</v>
      </c>
      <c r="M11" s="53">
        <v>0.39622641509433965</v>
      </c>
      <c r="N11" s="51" t="s">
        <v>158</v>
      </c>
      <c r="O11" s="54">
        <v>0.27283653846153844</v>
      </c>
      <c r="P11" s="51" t="s">
        <v>127</v>
      </c>
      <c r="Q11" s="54">
        <v>0.17316293929712459</v>
      </c>
      <c r="R11" s="51" t="s">
        <v>169</v>
      </c>
      <c r="S11" s="55">
        <v>7870.0404858299598</v>
      </c>
      <c r="T11" s="51" t="s">
        <v>202</v>
      </c>
      <c r="U11" s="55">
        <v>-8000</v>
      </c>
      <c r="V11" s="51" t="s">
        <v>194</v>
      </c>
      <c r="W11" s="53">
        <v>0.15625</v>
      </c>
      <c r="X11" s="51" t="s">
        <v>168</v>
      </c>
      <c r="Y11" s="54">
        <v>0.25323193916349812</v>
      </c>
      <c r="Z11" s="51" t="s">
        <v>169</v>
      </c>
      <c r="AA11" s="54">
        <v>0.19718309859154928</v>
      </c>
      <c r="AB11" s="51" t="s">
        <v>201</v>
      </c>
      <c r="AC11" s="54">
        <v>0.53333333333333333</v>
      </c>
      <c r="AD11" s="51" t="s">
        <v>169</v>
      </c>
      <c r="AE11" s="54">
        <v>0.39560439560439559</v>
      </c>
      <c r="AF11" s="51" t="s">
        <v>158</v>
      </c>
      <c r="AG11" s="54">
        <v>0.42290748898678415</v>
      </c>
      <c r="AH11" s="51" t="s">
        <v>282</v>
      </c>
      <c r="AI11" s="58">
        <v>70900</v>
      </c>
    </row>
    <row r="12" spans="1:35" x14ac:dyDescent="0.45">
      <c r="A12" s="48">
        <v>10</v>
      </c>
      <c r="B12" s="49" t="s">
        <v>194</v>
      </c>
      <c r="C12" s="50">
        <v>-96.699999999999974</v>
      </c>
      <c r="D12" s="51" t="s">
        <v>169</v>
      </c>
      <c r="E12" s="63">
        <v>-6.8632075471698117</v>
      </c>
      <c r="F12" s="51" t="s">
        <v>158</v>
      </c>
      <c r="G12" s="63">
        <v>-1.9166251129177947</v>
      </c>
      <c r="H12" s="51" t="s">
        <v>201</v>
      </c>
      <c r="I12" s="52">
        <v>2.1428571428571428</v>
      </c>
      <c r="J12" s="51" t="s">
        <v>158</v>
      </c>
      <c r="K12" s="53">
        <v>0.26881720430107525</v>
      </c>
      <c r="L12" s="51" t="s">
        <v>281</v>
      </c>
      <c r="M12" s="53">
        <v>0.4</v>
      </c>
      <c r="N12" s="51" t="s">
        <v>169</v>
      </c>
      <c r="O12" s="54">
        <v>0.26760563380281688</v>
      </c>
      <c r="P12" s="51" t="s">
        <v>169</v>
      </c>
      <c r="Q12" s="54">
        <v>0.18309859154929578</v>
      </c>
      <c r="R12" s="51" t="s">
        <v>127</v>
      </c>
      <c r="S12" s="55">
        <v>7805.8467741935483</v>
      </c>
      <c r="T12" s="51" t="s">
        <v>195</v>
      </c>
      <c r="U12" s="55">
        <v>-8213.9130434782601</v>
      </c>
      <c r="V12" s="51" t="s">
        <v>275</v>
      </c>
      <c r="W12" s="53">
        <v>0.16666666666666666</v>
      </c>
      <c r="X12" s="51" t="s">
        <v>141</v>
      </c>
      <c r="Y12" s="54">
        <v>0.24997232370198164</v>
      </c>
      <c r="Z12" s="51" t="s">
        <v>167</v>
      </c>
      <c r="AA12" s="54">
        <v>0.18945760122230709</v>
      </c>
      <c r="AB12" s="51" t="s">
        <v>158</v>
      </c>
      <c r="AC12" s="54">
        <v>0.52542372881355937</v>
      </c>
      <c r="AD12" s="51" t="s">
        <v>167</v>
      </c>
      <c r="AE12" s="54">
        <v>0.38709677419354838</v>
      </c>
      <c r="AF12" s="51" t="s">
        <v>126</v>
      </c>
      <c r="AG12" s="54">
        <v>0.42251223491027734</v>
      </c>
      <c r="AH12" s="51" t="s">
        <v>169</v>
      </c>
      <c r="AI12" s="58">
        <v>69500</v>
      </c>
    </row>
    <row r="13" spans="1:35" x14ac:dyDescent="0.45">
      <c r="A13" s="48">
        <v>11</v>
      </c>
      <c r="B13" s="49" t="s">
        <v>201</v>
      </c>
      <c r="C13" s="50">
        <v>-104.80000000000001</v>
      </c>
      <c r="D13" s="51" t="s">
        <v>158</v>
      </c>
      <c r="E13" s="63">
        <v>-7.5677419354838742</v>
      </c>
      <c r="F13" s="51" t="s">
        <v>169</v>
      </c>
      <c r="G13" s="63">
        <v>-2.1949206349206349</v>
      </c>
      <c r="H13" s="51" t="s">
        <v>169</v>
      </c>
      <c r="I13" s="52">
        <v>2.1698113207547172</v>
      </c>
      <c r="J13" s="51" t="s">
        <v>168</v>
      </c>
      <c r="K13" s="53">
        <v>0.25925925925925924</v>
      </c>
      <c r="L13" s="51" t="s">
        <v>195</v>
      </c>
      <c r="M13" s="53">
        <v>0.44</v>
      </c>
      <c r="N13" s="51" t="s">
        <v>194</v>
      </c>
      <c r="O13" s="54">
        <v>0.25838926174496646</v>
      </c>
      <c r="P13" s="51" t="s">
        <v>195</v>
      </c>
      <c r="Q13" s="54">
        <v>0.18429487179487181</v>
      </c>
      <c r="R13" s="51" t="s">
        <v>201</v>
      </c>
      <c r="S13" s="55">
        <v>7473.333333333333</v>
      </c>
      <c r="T13" s="51" t="s">
        <v>275</v>
      </c>
      <c r="U13" s="55">
        <v>-8220</v>
      </c>
      <c r="V13" s="51" t="s">
        <v>195</v>
      </c>
      <c r="W13" s="53">
        <v>0.17333333333333334</v>
      </c>
      <c r="X13" s="51" t="s">
        <v>201</v>
      </c>
      <c r="Y13" s="54">
        <v>0.24193548387096775</v>
      </c>
      <c r="Z13" s="51" t="s">
        <v>282</v>
      </c>
      <c r="AA13" s="54">
        <v>0.16666666666666666</v>
      </c>
      <c r="AB13" s="51" t="s">
        <v>127</v>
      </c>
      <c r="AC13" s="54">
        <v>0.51694915254237284</v>
      </c>
      <c r="AD13" s="51" t="s">
        <v>282</v>
      </c>
      <c r="AE13" s="54">
        <v>0.38461538461538464</v>
      </c>
      <c r="AF13" s="51" t="s">
        <v>127</v>
      </c>
      <c r="AG13" s="54">
        <v>0.41129032258064518</v>
      </c>
      <c r="AH13" s="51" t="s">
        <v>275</v>
      </c>
      <c r="AI13" s="58">
        <v>65900</v>
      </c>
    </row>
    <row r="14" spans="1:35" x14ac:dyDescent="0.45">
      <c r="A14" s="48">
        <v>12</v>
      </c>
      <c r="B14" s="49" t="s">
        <v>158</v>
      </c>
      <c r="C14" s="50">
        <v>-703.8000000000003</v>
      </c>
      <c r="D14" s="51" t="s">
        <v>195</v>
      </c>
      <c r="E14" s="63">
        <v>-11.458666666666669</v>
      </c>
      <c r="F14" s="51" t="s">
        <v>194</v>
      </c>
      <c r="G14" s="63">
        <v>-2.7208333333333337</v>
      </c>
      <c r="H14" s="51" t="s">
        <v>158</v>
      </c>
      <c r="I14" s="52">
        <v>2.172043010752688</v>
      </c>
      <c r="J14" s="51" t="s">
        <v>169</v>
      </c>
      <c r="K14" s="53">
        <v>0.22641509433962265</v>
      </c>
      <c r="L14" s="51" t="s">
        <v>158</v>
      </c>
      <c r="M14" s="53">
        <v>0.44086021505376344</v>
      </c>
      <c r="N14" s="51" t="s">
        <v>195</v>
      </c>
      <c r="O14" s="54">
        <v>0.24519230769230768</v>
      </c>
      <c r="P14" s="51" t="s">
        <v>201</v>
      </c>
      <c r="Q14" s="54">
        <v>0.19354838709677419</v>
      </c>
      <c r="R14" s="51" t="s">
        <v>202</v>
      </c>
      <c r="S14" s="55">
        <v>7385.7142857142853</v>
      </c>
      <c r="T14" s="51" t="s">
        <v>167</v>
      </c>
      <c r="U14" s="55">
        <v>-8361.538461538461</v>
      </c>
      <c r="V14" s="51" t="s">
        <v>282</v>
      </c>
      <c r="W14" s="53">
        <v>0.2</v>
      </c>
      <c r="X14" s="51" t="s">
        <v>127</v>
      </c>
      <c r="Y14" s="54">
        <v>0.22619808306709266</v>
      </c>
      <c r="Z14" s="51" t="s">
        <v>194</v>
      </c>
      <c r="AA14" s="54">
        <v>0.16107382550335569</v>
      </c>
      <c r="AB14" s="51" t="s">
        <v>195</v>
      </c>
      <c r="AC14" s="54">
        <v>0.51538461538461533</v>
      </c>
      <c r="AD14" s="51" t="s">
        <v>281</v>
      </c>
      <c r="AE14" s="54">
        <v>0.33333333333333331</v>
      </c>
      <c r="AF14" s="51" t="s">
        <v>201</v>
      </c>
      <c r="AG14" s="54">
        <v>0.33333333333333331</v>
      </c>
      <c r="AH14" s="51" t="s">
        <v>201</v>
      </c>
      <c r="AI14" s="58">
        <v>59500</v>
      </c>
    </row>
    <row r="15" spans="1:35" x14ac:dyDescent="0.45">
      <c r="A15" s="48">
        <v>13</v>
      </c>
      <c r="B15" s="49" t="s">
        <v>169</v>
      </c>
      <c r="C15" s="50">
        <v>-727.5</v>
      </c>
      <c r="D15" s="51" t="s">
        <v>201</v>
      </c>
      <c r="E15" s="63">
        <v>-14.971428571428573</v>
      </c>
      <c r="F15" s="51" t="s">
        <v>201</v>
      </c>
      <c r="G15" s="63">
        <v>-6.4861111111111098</v>
      </c>
      <c r="H15" s="51" t="s">
        <v>281</v>
      </c>
      <c r="I15" s="52">
        <v>2.2000000000000002</v>
      </c>
      <c r="J15" s="51" t="s">
        <v>281</v>
      </c>
      <c r="K15" s="53">
        <v>0.2</v>
      </c>
      <c r="L15" s="51" t="s">
        <v>282</v>
      </c>
      <c r="M15" s="53">
        <v>0.5</v>
      </c>
      <c r="N15" s="51" t="s">
        <v>201</v>
      </c>
      <c r="O15" s="54">
        <v>0.24193548387096775</v>
      </c>
      <c r="P15" s="51" t="s">
        <v>281</v>
      </c>
      <c r="Q15" s="54">
        <v>0.2</v>
      </c>
      <c r="R15" s="51" t="s">
        <v>158</v>
      </c>
      <c r="S15" s="55">
        <v>7057.7092511013216</v>
      </c>
      <c r="T15" s="51" t="s">
        <v>201</v>
      </c>
      <c r="U15" s="55">
        <v>-9075</v>
      </c>
      <c r="V15" s="51" t="s">
        <v>281</v>
      </c>
      <c r="W15" s="53">
        <v>0.2</v>
      </c>
      <c r="X15" s="51" t="s">
        <v>195</v>
      </c>
      <c r="Y15" s="54">
        <v>0.20833333333333334</v>
      </c>
      <c r="Z15" s="51" t="s">
        <v>281</v>
      </c>
      <c r="AA15" s="54">
        <v>0.15</v>
      </c>
      <c r="AB15" s="51" t="s">
        <v>202</v>
      </c>
      <c r="AC15" s="54">
        <v>0.5</v>
      </c>
      <c r="AD15" s="51" t="s">
        <v>194</v>
      </c>
      <c r="AE15" s="54">
        <v>0.3125</v>
      </c>
      <c r="AF15" s="51" t="s">
        <v>202</v>
      </c>
      <c r="AG15" s="54">
        <v>0.2857142857142857</v>
      </c>
      <c r="AH15" s="51" t="s">
        <v>202</v>
      </c>
      <c r="AI15" s="58">
        <v>52800</v>
      </c>
    </row>
    <row r="16" spans="1:35" x14ac:dyDescent="0.45">
      <c r="A16" s="48">
        <v>14</v>
      </c>
      <c r="B16" s="49" t="s">
        <v>195</v>
      </c>
      <c r="C16" s="50">
        <v>-859.4000000000002</v>
      </c>
      <c r="D16" s="51" t="s">
        <v>281</v>
      </c>
      <c r="E16" s="63">
        <v>-16.160000000000004</v>
      </c>
      <c r="F16" s="51" t="s">
        <v>281</v>
      </c>
      <c r="G16" s="63">
        <v>-8.9666666666666668</v>
      </c>
      <c r="H16" s="51" t="s">
        <v>195</v>
      </c>
      <c r="I16" s="52">
        <v>2.2933333333333334</v>
      </c>
      <c r="J16" s="51" t="s">
        <v>195</v>
      </c>
      <c r="K16" s="53">
        <v>0.14666666666666667</v>
      </c>
      <c r="L16" s="51" t="s">
        <v>201</v>
      </c>
      <c r="M16" s="53">
        <v>0.5714285714285714</v>
      </c>
      <c r="N16" s="51" t="s">
        <v>281</v>
      </c>
      <c r="O16" s="54">
        <v>0.2</v>
      </c>
      <c r="P16" s="51" t="s">
        <v>282</v>
      </c>
      <c r="Q16" s="54">
        <v>0.24358974358974358</v>
      </c>
      <c r="R16" s="51" t="s">
        <v>275</v>
      </c>
      <c r="S16" s="55">
        <v>6648.1481481481478</v>
      </c>
      <c r="T16" s="51" t="s">
        <v>282</v>
      </c>
      <c r="U16" s="55">
        <v>-10010.526315789473</v>
      </c>
      <c r="V16" s="51" t="s">
        <v>201</v>
      </c>
      <c r="W16" s="53">
        <v>0.5714285714285714</v>
      </c>
      <c r="X16" s="51" t="s">
        <v>158</v>
      </c>
      <c r="Y16" s="54">
        <v>0.14182692307692307</v>
      </c>
      <c r="Z16" s="51" t="s">
        <v>275</v>
      </c>
      <c r="AA16" s="54">
        <v>0.12258064516129032</v>
      </c>
      <c r="AB16" s="51" t="s">
        <v>281</v>
      </c>
      <c r="AC16" s="54">
        <v>0.4</v>
      </c>
      <c r="AD16" s="51" t="s">
        <v>201</v>
      </c>
      <c r="AE16" s="54">
        <v>0.27272727272727271</v>
      </c>
      <c r="AF16" s="51" t="s">
        <v>281</v>
      </c>
      <c r="AG16" s="54">
        <v>0.25</v>
      </c>
      <c r="AH16" s="51" t="s">
        <v>281</v>
      </c>
      <c r="AI16" s="58">
        <v>52000</v>
      </c>
    </row>
  </sheetData>
  <sortState xmlns:xlrd2="http://schemas.microsoft.com/office/spreadsheetml/2017/richdata2" ref="AH3:AI47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32D3-54B6-478D-8D41-FDCE2F911B4F}">
  <sheetPr codeName="Sheet4"/>
  <dimension ref="A1:Q1079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1077</v>
      </c>
      <c r="C2" s="130"/>
      <c r="E2" s="28" t="s">
        <v>66</v>
      </c>
      <c r="F2" s="25" t="s">
        <v>22</v>
      </c>
      <c r="G2" s="13">
        <v>1998</v>
      </c>
      <c r="H2" s="91">
        <f>IF(B$19=0,0,G2/B$19)</f>
        <v>0.75424688561721409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-28.944911297852475</v>
      </c>
      <c r="P2" s="80">
        <v>1071</v>
      </c>
      <c r="Q2" s="67">
        <v>-31000</v>
      </c>
    </row>
    <row r="3" spans="1:17" x14ac:dyDescent="0.45">
      <c r="A3" s="21" t="s">
        <v>8</v>
      </c>
      <c r="B3" s="131">
        <v>9033</v>
      </c>
      <c r="C3" s="132"/>
      <c r="E3" s="29" t="s">
        <v>72</v>
      </c>
      <c r="F3" s="26" t="s">
        <v>27</v>
      </c>
      <c r="G3" s="14">
        <v>1435</v>
      </c>
      <c r="H3" s="92">
        <f>IF(B$19=0,0,G3/B$19)</f>
        <v>0.5417138542846357</v>
      </c>
      <c r="I3" s="60">
        <v>6</v>
      </c>
      <c r="K3" s="7">
        <v>1</v>
      </c>
      <c r="L3" s="65">
        <v>-4.5999999999999996</v>
      </c>
      <c r="N3" s="78" t="s">
        <v>131</v>
      </c>
      <c r="O3" s="84">
        <f t="shared" si="0"/>
        <v>7.5973409306742639</v>
      </c>
      <c r="P3" s="81">
        <v>1053</v>
      </c>
      <c r="Q3" s="68">
        <v>8000</v>
      </c>
    </row>
    <row r="4" spans="1:17" x14ac:dyDescent="0.45">
      <c r="A4" s="21" t="s">
        <v>6</v>
      </c>
      <c r="B4" s="133">
        <v>-9.2370555648813024E-14</v>
      </c>
      <c r="C4" s="134"/>
      <c r="E4" s="29" t="s">
        <v>64</v>
      </c>
      <c r="F4" s="26" t="s">
        <v>20</v>
      </c>
      <c r="G4" s="14">
        <v>1197</v>
      </c>
      <c r="H4" s="92">
        <f>IF(B$19=0,0,G4/B$19)</f>
        <v>0.45186862967157415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-1.0070493454179255</v>
      </c>
      <c r="P4" s="81">
        <v>993</v>
      </c>
      <c r="Q4" s="68">
        <v>-1000</v>
      </c>
    </row>
    <row r="5" spans="1:17" x14ac:dyDescent="0.45">
      <c r="A5" s="21" t="s">
        <v>7</v>
      </c>
      <c r="B5" s="121">
        <f>IF(B$2=0,0,B$4/B$2)</f>
        <v>-8.5766532635852393E-17</v>
      </c>
      <c r="C5" s="122"/>
      <c r="E5" s="29" t="s">
        <v>163</v>
      </c>
      <c r="F5" s="26" t="s">
        <v>164</v>
      </c>
      <c r="G5" s="14">
        <v>1039</v>
      </c>
      <c r="H5" s="92">
        <f>IF(B$19=0,0,G5/B$19)</f>
        <v>0.39222348055870138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0</v>
      </c>
      <c r="P5" s="81">
        <v>930</v>
      </c>
      <c r="Q5" s="68">
        <v>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831</v>
      </c>
      <c r="H6" s="92">
        <f>IF(B$19=0,0,G6/B$19)</f>
        <v>0.31370328425821065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9.3567251461988299</v>
      </c>
      <c r="P6" s="81">
        <v>855</v>
      </c>
      <c r="Q6" s="68">
        <v>8000</v>
      </c>
    </row>
    <row r="7" spans="1:17" x14ac:dyDescent="0.45">
      <c r="A7" s="21" t="s">
        <v>2</v>
      </c>
      <c r="B7" s="14">
        <v>359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732</v>
      </c>
      <c r="H7" s="92">
        <f>IF(B$19=0,0,G7/B$19)</f>
        <v>0.27633069082672707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21.1864406779661</v>
      </c>
      <c r="P7" s="82">
        <v>708</v>
      </c>
      <c r="Q7" s="69">
        <v>15000</v>
      </c>
    </row>
    <row r="8" spans="1:17" x14ac:dyDescent="0.45">
      <c r="A8" s="21" t="s">
        <v>3</v>
      </c>
      <c r="B8" s="14">
        <v>359</v>
      </c>
      <c r="C8" s="8">
        <f t="shared" si="1"/>
        <v>0.33333333333333331</v>
      </c>
      <c r="E8" s="29" t="s">
        <v>89</v>
      </c>
      <c r="F8" s="26" t="s">
        <v>44</v>
      </c>
      <c r="G8" s="14">
        <v>374</v>
      </c>
      <c r="H8" s="92">
        <f>IF(B$19=0,0,G8/B$19)</f>
        <v>0.14118535296338242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359</v>
      </c>
      <c r="C9" s="9">
        <f t="shared" si="1"/>
        <v>0.33333333333333331</v>
      </c>
      <c r="E9" s="29" t="s">
        <v>69</v>
      </c>
      <c r="F9" s="26" t="s">
        <v>24</v>
      </c>
      <c r="G9" s="14">
        <v>370</v>
      </c>
      <c r="H9" s="92">
        <f>IF(B$19=0,0,G9/B$19)</f>
        <v>0.13967534918837296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35.238997214484691</v>
      </c>
      <c r="C10" s="114">
        <v>12650.800000000003</v>
      </c>
      <c r="E10" s="29" t="s">
        <v>65</v>
      </c>
      <c r="F10" s="26" t="s">
        <v>21</v>
      </c>
      <c r="G10" s="14">
        <v>271</v>
      </c>
      <c r="H10" s="92">
        <f>IF(B$19=0,0,G10/B$19)</f>
        <v>0.10230275575688939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-4.1615598885793874</v>
      </c>
      <c r="P10" s="80">
        <v>359</v>
      </c>
      <c r="Q10" s="71">
        <v>-1494</v>
      </c>
    </row>
    <row r="11" spans="1:17" x14ac:dyDescent="0.45">
      <c r="A11" s="22" t="s">
        <v>204</v>
      </c>
      <c r="B11" s="113">
        <f>IF(B8=0,0,C11/B8)</f>
        <v>-4.4846796657381886E-2</v>
      </c>
      <c r="C11" s="114">
        <v>-16.100000000000097</v>
      </c>
      <c r="E11" s="29" t="s">
        <v>70</v>
      </c>
      <c r="F11" s="26" t="s">
        <v>25</v>
      </c>
      <c r="G11" s="14">
        <v>250</v>
      </c>
      <c r="H11" s="92">
        <f>IF(B$19=0,0,G11/B$19)</f>
        <v>9.4375235938089844E-2</v>
      </c>
      <c r="I11" s="60">
        <v>8</v>
      </c>
      <c r="K11" s="7">
        <v>9</v>
      </c>
      <c r="L11" s="65">
        <v>0</v>
      </c>
      <c r="N11" s="78" t="s">
        <v>155</v>
      </c>
      <c r="O11" s="87">
        <f>IF(P11=0,0,Q11/P11)</f>
        <v>1.7150417827298048</v>
      </c>
      <c r="P11" s="81">
        <v>359</v>
      </c>
      <c r="Q11" s="72">
        <v>615.69999999999993</v>
      </c>
    </row>
    <row r="12" spans="1:17" x14ac:dyDescent="0.45">
      <c r="A12" s="22" t="s">
        <v>205</v>
      </c>
      <c r="B12" s="113">
        <f>IF(B9=0,0,C12/B9)</f>
        <v>-35.194150417827338</v>
      </c>
      <c r="C12" s="114">
        <v>-12634.700000000015</v>
      </c>
      <c r="E12" s="29" t="s">
        <v>71</v>
      </c>
      <c r="F12" s="26" t="s">
        <v>26</v>
      </c>
      <c r="G12" s="14">
        <v>214</v>
      </c>
      <c r="H12" s="92">
        <f>IF(B$19=0,0,G12/B$19)</f>
        <v>8.0785201963004913E-2</v>
      </c>
      <c r="I12" s="60">
        <v>7</v>
      </c>
      <c r="K12" s="7">
        <v>10</v>
      </c>
      <c r="L12" s="65">
        <v>-12</v>
      </c>
      <c r="N12" s="79" t="s">
        <v>156</v>
      </c>
      <c r="O12" s="88">
        <f>IF(P12=0,0,Q12/P12)</f>
        <v>2.4465181058495804</v>
      </c>
      <c r="P12" s="82">
        <v>359</v>
      </c>
      <c r="Q12" s="73">
        <v>878.29999999999939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131</v>
      </c>
      <c r="H13" s="92">
        <f>IF(B$19=0,0,G13/B$19)</f>
        <v>4.9452623631559077E-2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108</v>
      </c>
      <c r="C14" s="11">
        <f t="shared" si="1"/>
        <v>0.10027855153203342</v>
      </c>
      <c r="E14" s="29" t="s">
        <v>86</v>
      </c>
      <c r="F14" s="26" t="s">
        <v>41</v>
      </c>
      <c r="G14" s="14">
        <v>127</v>
      </c>
      <c r="H14" s="92">
        <f>IF(B$19=0,0,G14/B$19)</f>
        <v>4.7942619856549643E-2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2258</v>
      </c>
      <c r="C15" s="12">
        <f>IF(B$3=0,0,B15/B$3)</f>
        <v>0.24997232370198164</v>
      </c>
      <c r="E15" s="29" t="s">
        <v>78</v>
      </c>
      <c r="F15" s="26" t="s">
        <v>33</v>
      </c>
      <c r="G15" s="14">
        <v>74</v>
      </c>
      <c r="H15" s="92">
        <f>IF(B$19=0,0,G15/B$19)</f>
        <v>2.7935069837674593E-2</v>
      </c>
      <c r="I15" s="60">
        <v>6</v>
      </c>
      <c r="K15" s="7">
        <v>13</v>
      </c>
      <c r="L15" s="65">
        <v>-1.7</v>
      </c>
      <c r="N15" s="77" t="s">
        <v>281</v>
      </c>
      <c r="O15" s="86">
        <f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2107</v>
      </c>
      <c r="C16" s="8">
        <f>IF(B$3=0,0,B16/B$3)</f>
        <v>0.23325583969888189</v>
      </c>
      <c r="E16" s="29" t="s">
        <v>81</v>
      </c>
      <c r="F16" s="26" t="s">
        <v>36</v>
      </c>
      <c r="G16" s="14">
        <v>62</v>
      </c>
      <c r="H16" s="92">
        <f>IF(B$19=0,0,G16/B$19)</f>
        <v>2.3405058512646282E-2</v>
      </c>
      <c r="I16" s="60">
        <v>6</v>
      </c>
      <c r="K16" s="7">
        <v>14</v>
      </c>
      <c r="L16" s="65">
        <v>24.3</v>
      </c>
      <c r="N16" s="78" t="s">
        <v>201</v>
      </c>
      <c r="O16" s="87">
        <f>IF(P16=0,0,Q16/P16)</f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1235</v>
      </c>
      <c r="C17" s="6">
        <f>IF(B$15=0,0,B17/B$15)</f>
        <v>0.54694419840566877</v>
      </c>
      <c r="E17" s="29" t="s">
        <v>159</v>
      </c>
      <c r="F17" s="26" t="s">
        <v>160</v>
      </c>
      <c r="G17" s="14">
        <v>53</v>
      </c>
      <c r="H17" s="92">
        <f>IF(B$19=0,0,G17/B$19)</f>
        <v>2.0007550018875046E-2</v>
      </c>
      <c r="I17" s="60">
        <v>3</v>
      </c>
      <c r="K17" s="7">
        <v>15</v>
      </c>
      <c r="L17" s="65">
        <v>0</v>
      </c>
      <c r="N17" s="78" t="s">
        <v>195</v>
      </c>
      <c r="O17" s="87">
        <f>IF(P17=0,0,Q17/P17)</f>
        <v>17.187999999999978</v>
      </c>
      <c r="P17" s="81">
        <v>150</v>
      </c>
      <c r="Q17" s="72">
        <v>2578.1999999999966</v>
      </c>
    </row>
    <row r="18" spans="1:17" x14ac:dyDescent="0.45">
      <c r="A18" s="20" t="s">
        <v>124</v>
      </c>
      <c r="B18" s="13">
        <f>B24</f>
        <v>875</v>
      </c>
      <c r="C18" s="6">
        <f>IF(B$16=0,0,B18/B$16)</f>
        <v>0.41528239202657807</v>
      </c>
      <c r="E18" s="29" t="s">
        <v>91</v>
      </c>
      <c r="F18" s="26" t="s">
        <v>46</v>
      </c>
      <c r="G18" s="14">
        <v>42</v>
      </c>
      <c r="H18" s="92">
        <f>IF(B$19=0,0,G18/B$19)</f>
        <v>1.5855039637599093E-2</v>
      </c>
      <c r="I18" s="60">
        <v>6</v>
      </c>
      <c r="K18" s="7">
        <v>16</v>
      </c>
      <c r="L18" s="65">
        <v>-28.2</v>
      </c>
      <c r="N18" s="78" t="s">
        <v>169</v>
      </c>
      <c r="O18" s="87">
        <f>IF(P18=0,0,Q18/P18)</f>
        <v>10.294811320754711</v>
      </c>
      <c r="P18" s="81">
        <v>212</v>
      </c>
      <c r="Q18" s="72">
        <v>2182.4999999999986</v>
      </c>
    </row>
    <row r="19" spans="1:17" x14ac:dyDescent="0.45">
      <c r="A19" s="20" t="s">
        <v>10</v>
      </c>
      <c r="B19" s="13">
        <f>B22+B21</f>
        <v>2649</v>
      </c>
      <c r="C19" s="6">
        <f>IF(B$3=0,0,B19/B$3)</f>
        <v>0.29325805380272335</v>
      </c>
      <c r="E19" s="29" t="s">
        <v>79</v>
      </c>
      <c r="F19" s="26" t="s">
        <v>34</v>
      </c>
      <c r="G19" s="14">
        <v>37</v>
      </c>
      <c r="H19" s="92">
        <f>IF(B$19=0,0,G19/B$19)</f>
        <v>1.3967534918837296E-2</v>
      </c>
      <c r="I19" s="60">
        <v>7</v>
      </c>
      <c r="K19" s="7">
        <v>17</v>
      </c>
      <c r="L19" s="65">
        <v>-20.5</v>
      </c>
      <c r="N19" s="78" t="s">
        <v>158</v>
      </c>
      <c r="O19" s="87">
        <f>IF(P19=0,0,Q19/P19)</f>
        <v>10.114077669902903</v>
      </c>
      <c r="P19" s="81">
        <v>206</v>
      </c>
      <c r="Q19" s="72">
        <v>2083.4999999999982</v>
      </c>
    </row>
    <row r="20" spans="1:17" x14ac:dyDescent="0.45">
      <c r="A20" s="21" t="s">
        <v>13</v>
      </c>
      <c r="B20" s="14">
        <v>1441</v>
      </c>
      <c r="C20" s="8">
        <f>IF(B$3=0,0,B20/B$3)</f>
        <v>0.15952618177792538</v>
      </c>
      <c r="E20" s="29" t="s">
        <v>75</v>
      </c>
      <c r="F20" s="26" t="s">
        <v>30</v>
      </c>
      <c r="G20" s="14">
        <v>19</v>
      </c>
      <c r="H20" s="92">
        <f>IF(B$19=0,0,G20/B$19)</f>
        <v>7.1725179312948284E-3</v>
      </c>
      <c r="I20" s="60">
        <v>6</v>
      </c>
      <c r="K20" s="7">
        <v>18</v>
      </c>
      <c r="L20" s="65">
        <v>0</v>
      </c>
      <c r="N20" s="78" t="s">
        <v>275</v>
      </c>
      <c r="O20" s="87">
        <f>IF(P20=0,0,Q20/P20)</f>
        <v>4.6333333333333302</v>
      </c>
      <c r="P20" s="81">
        <v>36</v>
      </c>
      <c r="Q20" s="72">
        <v>166.7999999999999</v>
      </c>
    </row>
    <row r="21" spans="1:17" x14ac:dyDescent="0.45">
      <c r="A21" s="21" t="s">
        <v>12</v>
      </c>
      <c r="B21" s="14">
        <v>1194</v>
      </c>
      <c r="C21" s="8">
        <f>IF(B$19=0,0,B21/B$19)</f>
        <v>0.45073612684031711</v>
      </c>
      <c r="E21" s="29" t="s">
        <v>92</v>
      </c>
      <c r="F21" s="26" t="s">
        <v>47</v>
      </c>
      <c r="G21" s="14">
        <v>19</v>
      </c>
      <c r="H21" s="92">
        <f>IF(B$19=0,0,G21/B$19)</f>
        <v>7.1725179312948284E-3</v>
      </c>
      <c r="I21" s="60">
        <v>4</v>
      </c>
      <c r="K21" s="7">
        <v>19</v>
      </c>
      <c r="L21" s="65">
        <v>-22.4</v>
      </c>
      <c r="N21" s="78" t="s">
        <v>194</v>
      </c>
      <c r="O21" s="87">
        <f>IF(P21=0,0,Q21/P21)</f>
        <v>4.532812500000003</v>
      </c>
      <c r="P21" s="81">
        <v>64</v>
      </c>
      <c r="Q21" s="72">
        <v>290.10000000000019</v>
      </c>
    </row>
    <row r="22" spans="1:17" x14ac:dyDescent="0.45">
      <c r="A22" s="21" t="s">
        <v>11</v>
      </c>
      <c r="B22" s="14">
        <v>1455</v>
      </c>
      <c r="C22" s="8">
        <f>IF(B$19=0,0,B22/B$19)</f>
        <v>0.54926387315968295</v>
      </c>
      <c r="E22" s="29" t="s">
        <v>85</v>
      </c>
      <c r="F22" s="26" t="s">
        <v>40</v>
      </c>
      <c r="G22" s="14">
        <v>15</v>
      </c>
      <c r="H22" s="92">
        <f>IF(B$19=0,0,G22/B$19)</f>
        <v>5.6625141562853904E-3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>IF(P22=0,0,Q22/P22)</f>
        <v>0.81296296296296311</v>
      </c>
      <c r="P22" s="81">
        <v>324</v>
      </c>
      <c r="Q22" s="72">
        <v>263.40000000000003</v>
      </c>
    </row>
    <row r="23" spans="1:17" x14ac:dyDescent="0.45">
      <c r="A23" s="21" t="s">
        <v>192</v>
      </c>
      <c r="B23" s="14">
        <v>1235</v>
      </c>
      <c r="C23" s="8">
        <f>IF(B$19=0,0,B23/B$19)</f>
        <v>0.46621366553416382</v>
      </c>
      <c r="E23" s="29" t="s">
        <v>73</v>
      </c>
      <c r="F23" s="26" t="s">
        <v>28</v>
      </c>
      <c r="G23" s="14">
        <v>10</v>
      </c>
      <c r="H23" s="92">
        <f>IF(B$19=0,0,G23/B$19)</f>
        <v>3.7750094375235939E-3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>IF(P23=0,0,Q23/P23)</f>
        <v>0.36462765957446519</v>
      </c>
      <c r="P23" s="81">
        <v>376</v>
      </c>
      <c r="Q23" s="72">
        <v>137.09999999999891</v>
      </c>
    </row>
    <row r="24" spans="1:17" x14ac:dyDescent="0.45">
      <c r="A24" s="21" t="s">
        <v>190</v>
      </c>
      <c r="B24" s="14">
        <v>875</v>
      </c>
      <c r="C24" s="8">
        <f>IF(B$19=0,0,B24/B$19)</f>
        <v>0.33031332578331446</v>
      </c>
      <c r="E24" s="29" t="s">
        <v>74</v>
      </c>
      <c r="F24" s="26" t="s">
        <v>29</v>
      </c>
      <c r="G24" s="14">
        <v>8</v>
      </c>
      <c r="H24" s="92">
        <f>IF(B$19=0,0,G24/B$19)</f>
        <v>3.020007550018875E-3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>IF(P24=0,0,Q24/P24)</f>
        <v>-7.4198757763975109</v>
      </c>
      <c r="P24" s="81">
        <v>322</v>
      </c>
      <c r="Q24" s="72">
        <v>-2389.1999999999985</v>
      </c>
    </row>
    <row r="25" spans="1:17" x14ac:dyDescent="0.45">
      <c r="A25" s="21" t="s">
        <v>191</v>
      </c>
      <c r="B25" s="14">
        <v>539</v>
      </c>
      <c r="C25" s="8">
        <f>IF(B$19=0,0,B25/B$19)</f>
        <v>0.20347300868252172</v>
      </c>
      <c r="E25" s="29" t="s">
        <v>84</v>
      </c>
      <c r="F25" s="26" t="s">
        <v>39</v>
      </c>
      <c r="G25" s="14">
        <v>8</v>
      </c>
      <c r="H25" s="92">
        <f>IF(B$19=0,0,G25/B$19)</f>
        <v>3.020007550018875E-3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>IF(P25=0,0,Q25/P25)</f>
        <v>-13.281192660550458</v>
      </c>
      <c r="P25" s="81">
        <v>436</v>
      </c>
      <c r="Q25" s="72">
        <v>-5790.5999999999995</v>
      </c>
    </row>
    <row r="26" spans="1:17" x14ac:dyDescent="0.45">
      <c r="A26" s="21" t="s">
        <v>5</v>
      </c>
      <c r="B26" s="18">
        <f>IF(B$19=0,0,C26/B$19)</f>
        <v>8449.4148735371837</v>
      </c>
      <c r="C26" s="10">
        <v>22382500</v>
      </c>
      <c r="E26" s="29" t="s">
        <v>77</v>
      </c>
      <c r="F26" s="26" t="s">
        <v>32</v>
      </c>
      <c r="G26" s="14">
        <v>7</v>
      </c>
      <c r="H26" s="92">
        <f>IF(B$19=0,0,G26/B$19)</f>
        <v>2.6425066062665155E-3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>IF(P26=0,0,Q26/P26)</f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9139.2333709131908</v>
      </c>
      <c r="C27" s="100">
        <v>16213000</v>
      </c>
      <c r="E27" s="29" t="s">
        <v>88</v>
      </c>
      <c r="F27" s="26" t="s">
        <v>43</v>
      </c>
      <c r="G27" s="14">
        <v>7</v>
      </c>
      <c r="H27" s="92">
        <f>IF(B$19=0,0,G27/B$19)</f>
        <v>2.6425066062665155E-3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7050.8571428571431</v>
      </c>
      <c r="C28" s="100">
        <v>6169500</v>
      </c>
      <c r="E28" s="29" t="s">
        <v>87</v>
      </c>
      <c r="F28" s="26" t="s">
        <v>42</v>
      </c>
      <c r="G28" s="14">
        <v>5</v>
      </c>
      <c r="H28" s="92">
        <f>IF(B$19=0,0,G28/B$19)</f>
        <v>1.887504718761797E-3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-7855.1006245662738</v>
      </c>
      <c r="C29" s="100">
        <v>-11319200</v>
      </c>
      <c r="E29" s="29" t="s">
        <v>90</v>
      </c>
      <c r="F29" s="26" t="s">
        <v>45</v>
      </c>
      <c r="G29" s="14">
        <v>5</v>
      </c>
      <c r="H29" s="92">
        <f>IF(B$19=0,0,G29/B$19)</f>
        <v>1.887504718761797E-3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1</v>
      </c>
      <c r="E30" s="29" t="s">
        <v>95</v>
      </c>
      <c r="F30" s="26" t="s">
        <v>50</v>
      </c>
      <c r="G30" s="14">
        <v>5</v>
      </c>
      <c r="H30" s="92">
        <f>IF(B$19=0,0,G30/B$19)</f>
        <v>1.887504718761797E-3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31</v>
      </c>
      <c r="C31" s="94">
        <v>2</v>
      </c>
      <c r="E31" s="29" t="s">
        <v>93</v>
      </c>
      <c r="F31" s="26" t="s">
        <v>48</v>
      </c>
      <c r="G31" s="14">
        <v>4</v>
      </c>
      <c r="H31" s="92">
        <f>IF(B$19=0,0,G31/B$19)</f>
        <v>1.5100037750094375E-3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3.7750094375235937E-4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3.7750094375235937E-4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26</v>
      </c>
      <c r="C34" s="11">
        <f>IF(B$3=0,0,B34/B$3)</f>
        <v>2.8783349939112144E-3</v>
      </c>
      <c r="E34" s="29" t="s">
        <v>101</v>
      </c>
      <c r="F34" s="26" t="s">
        <v>56</v>
      </c>
      <c r="G34" s="14">
        <v>1</v>
      </c>
      <c r="H34" s="92">
        <f>IF(B$19=0,0,G34/B$19)</f>
        <v>3.7750094375235937E-4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3.7750094375235937E-4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208</v>
      </c>
      <c r="C36" s="102">
        <f t="shared" ref="C36:C48" si="2">IF(B$19=0,0,B36/B$19)</f>
        <v>7.8520196300490758E-2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450</v>
      </c>
      <c r="C37" s="8">
        <f t="shared" si="2"/>
        <v>0.16987542468856173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512</v>
      </c>
      <c r="C38" s="8">
        <f t="shared" si="2"/>
        <v>0.193280483201208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479</v>
      </c>
      <c r="C39" s="8">
        <f t="shared" si="2"/>
        <v>0.18082295205738014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412</v>
      </c>
      <c r="C40" s="8">
        <f t="shared" si="2"/>
        <v>0.15553038882597206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278</v>
      </c>
      <c r="C41" s="8">
        <f t="shared" si="2"/>
        <v>0.10494526236315591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135</v>
      </c>
      <c r="C42" s="8">
        <f t="shared" si="2"/>
        <v>5.0962627406568518E-2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76</v>
      </c>
      <c r="C43" s="8">
        <f t="shared" si="2"/>
        <v>2.8690071725179313E-2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35</v>
      </c>
      <c r="C44" s="8">
        <f t="shared" si="2"/>
        <v>1.3212533031332579E-2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2"/>
        <v>5.285013212533031E-3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10</v>
      </c>
      <c r="C46" s="8">
        <f t="shared" si="2"/>
        <v>3.7750094375235939E-3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2"/>
        <v>2.2650056625141564E-3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34</v>
      </c>
      <c r="C48" s="11">
        <f t="shared" si="2"/>
        <v>1.2835032087580219E-2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</sheetData>
  <sortState xmlns:xlrd2="http://schemas.microsoft.com/office/spreadsheetml/2017/richdata2" ref="N15:Q2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3E513-04E4-4FD2-B990-E53DD798BD99}">
  <sheetPr codeName="Sheet7"/>
  <dimension ref="A1:Q9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93</v>
      </c>
      <c r="C2" s="130"/>
      <c r="E2" s="28" t="s">
        <v>66</v>
      </c>
      <c r="F2" s="25" t="s">
        <v>22</v>
      </c>
      <c r="G2" s="13">
        <v>155</v>
      </c>
      <c r="H2" s="91">
        <f>IF(B$19=0,0,G2/B$19)</f>
        <v>0.68281938325991187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1841.9354838709678</v>
      </c>
      <c r="P2" s="80">
        <v>93</v>
      </c>
      <c r="Q2" s="67">
        <v>171300</v>
      </c>
    </row>
    <row r="3" spans="1:17" x14ac:dyDescent="0.45">
      <c r="A3" s="21" t="s">
        <v>8</v>
      </c>
      <c r="B3" s="131">
        <v>832</v>
      </c>
      <c r="C3" s="132"/>
      <c r="E3" s="29" t="s">
        <v>72</v>
      </c>
      <c r="F3" s="26" t="s">
        <v>27</v>
      </c>
      <c r="G3" s="14">
        <v>125</v>
      </c>
      <c r="H3" s="92">
        <f>IF(B$19=0,0,G3/B$19)</f>
        <v>0.5506607929515418</v>
      </c>
      <c r="I3" s="60">
        <v>5</v>
      </c>
      <c r="K3" s="7">
        <v>1</v>
      </c>
      <c r="L3" s="65">
        <v>-4.5999999999999996</v>
      </c>
      <c r="N3" s="78" t="s">
        <v>131</v>
      </c>
      <c r="O3" s="84">
        <f t="shared" si="0"/>
        <v>-1781.3186813186812</v>
      </c>
      <c r="P3" s="81">
        <v>91</v>
      </c>
      <c r="Q3" s="68">
        <v>-162100</v>
      </c>
    </row>
    <row r="4" spans="1:17" x14ac:dyDescent="0.45">
      <c r="A4" s="21" t="s">
        <v>6</v>
      </c>
      <c r="B4" s="133">
        <v>-703.8000000000003</v>
      </c>
      <c r="C4" s="134"/>
      <c r="E4" s="29" t="s">
        <v>163</v>
      </c>
      <c r="F4" s="26" t="s">
        <v>164</v>
      </c>
      <c r="G4" s="14">
        <v>80</v>
      </c>
      <c r="H4" s="92">
        <f>IF(B$19=0,0,G4/B$19)</f>
        <v>0.3524229074889868</v>
      </c>
      <c r="I4" s="60">
        <v>11</v>
      </c>
      <c r="K4" s="7">
        <v>2</v>
      </c>
      <c r="L4" s="65">
        <v>19.899999999999999</v>
      </c>
      <c r="N4" s="78" t="s">
        <v>132</v>
      </c>
      <c r="O4" s="84">
        <f t="shared" si="0"/>
        <v>-2753.932584269663</v>
      </c>
      <c r="P4" s="81">
        <v>89</v>
      </c>
      <c r="Q4" s="68">
        <v>-245100</v>
      </c>
    </row>
    <row r="5" spans="1:17" x14ac:dyDescent="0.45">
      <c r="A5" s="21" t="s">
        <v>7</v>
      </c>
      <c r="B5" s="121">
        <f>IF(B$2=0,0,B$4/B$2)</f>
        <v>-7.5677419354838742</v>
      </c>
      <c r="C5" s="122"/>
      <c r="E5" s="29" t="s">
        <v>68</v>
      </c>
      <c r="F5" s="26" t="s">
        <v>12</v>
      </c>
      <c r="G5" s="14">
        <v>62</v>
      </c>
      <c r="H5" s="92">
        <f>IF(B$19=0,0,G5/B$19)</f>
        <v>0.27312775330396477</v>
      </c>
      <c r="I5" s="60">
        <v>11</v>
      </c>
      <c r="K5" s="7">
        <v>3</v>
      </c>
      <c r="L5" s="65">
        <v>-8.3000000000000007</v>
      </c>
      <c r="N5" s="78" t="s">
        <v>133</v>
      </c>
      <c r="O5" s="84">
        <f t="shared" si="0"/>
        <v>-592.77108433734941</v>
      </c>
      <c r="P5" s="81">
        <v>83</v>
      </c>
      <c r="Q5" s="68">
        <v>-49200</v>
      </c>
    </row>
    <row r="6" spans="1:17" x14ac:dyDescent="0.45">
      <c r="A6" s="21" t="s">
        <v>1</v>
      </c>
      <c r="B6" s="135">
        <f>IF(B$2=0,0,(B$7*1+B$8*2+B$9*3)/B$2)</f>
        <v>2.172043010752688</v>
      </c>
      <c r="C6" s="136"/>
      <c r="E6" s="29" t="s">
        <v>64</v>
      </c>
      <c r="F6" s="26" t="s">
        <v>20</v>
      </c>
      <c r="G6" s="14">
        <v>61</v>
      </c>
      <c r="H6" s="92">
        <f>IF(B$19=0,0,G6/B$19)</f>
        <v>0.2687224669603524</v>
      </c>
      <c r="I6" s="60">
        <v>14</v>
      </c>
      <c r="K6" s="7">
        <v>4</v>
      </c>
      <c r="L6" s="65">
        <v>-30.7</v>
      </c>
      <c r="N6" s="78" t="s">
        <v>134</v>
      </c>
      <c r="O6" s="84">
        <f t="shared" si="0"/>
        <v>-1100</v>
      </c>
      <c r="P6" s="81">
        <v>81</v>
      </c>
      <c r="Q6" s="68">
        <v>-89100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0.26881720430107525</v>
      </c>
      <c r="E7" s="29" t="s">
        <v>67</v>
      </c>
      <c r="F7" s="26" t="s">
        <v>23</v>
      </c>
      <c r="G7" s="14">
        <v>41</v>
      </c>
      <c r="H7" s="92">
        <f>IF(B$19=0,0,G7/B$19)</f>
        <v>0.18061674008810572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-2504.5454545454545</v>
      </c>
      <c r="P7" s="82">
        <v>66</v>
      </c>
      <c r="Q7" s="69">
        <v>-165300</v>
      </c>
    </row>
    <row r="8" spans="1:17" x14ac:dyDescent="0.45">
      <c r="A8" s="21" t="s">
        <v>3</v>
      </c>
      <c r="B8" s="14">
        <v>27</v>
      </c>
      <c r="C8" s="8">
        <f t="shared" si="1"/>
        <v>0.29032258064516131</v>
      </c>
      <c r="E8" s="29" t="s">
        <v>69</v>
      </c>
      <c r="F8" s="26" t="s">
        <v>24</v>
      </c>
      <c r="G8" s="14">
        <v>38</v>
      </c>
      <c r="H8" s="92">
        <f>IF(B$19=0,0,G8/B$19)</f>
        <v>0.16740088105726872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0.44086021505376344</v>
      </c>
      <c r="E9" s="29" t="s">
        <v>71</v>
      </c>
      <c r="F9" s="26" t="s">
        <v>26</v>
      </c>
      <c r="G9" s="14">
        <v>31</v>
      </c>
      <c r="H9" s="92">
        <f>IF(B$19=0,0,G9/B$19)</f>
        <v>0.13656387665198239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0.12334801762114538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-12.988235294117645</v>
      </c>
      <c r="P10" s="80">
        <v>34</v>
      </c>
      <c r="Q10" s="71">
        <v>-441.59999999999997</v>
      </c>
    </row>
    <row r="11" spans="1:17" x14ac:dyDescent="0.45">
      <c r="A11" s="22" t="s">
        <v>204</v>
      </c>
      <c r="B11" s="113">
        <f>IF(B8=0,0,C11/B8)</f>
        <v>-0.37777777777777816</v>
      </c>
      <c r="C11" s="114">
        <v>-10.20000000000001</v>
      </c>
      <c r="E11" s="29" t="s">
        <v>83</v>
      </c>
      <c r="F11" s="26" t="s">
        <v>38</v>
      </c>
      <c r="G11" s="14">
        <v>20</v>
      </c>
      <c r="H11" s="92">
        <f>IF(B$19=0,0,G11/B$19)</f>
        <v>8.8105726872246701E-2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6.6079295154185022E-2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-2.3903225806451611</v>
      </c>
      <c r="P12" s="82">
        <v>31</v>
      </c>
      <c r="Q12" s="73">
        <v>-74.099999999999994</v>
      </c>
    </row>
    <row r="13" spans="1:17" x14ac:dyDescent="0.45">
      <c r="A13" s="22" t="s">
        <v>206</v>
      </c>
      <c r="B13" s="121">
        <f>AVERAGE(B10:B12)</f>
        <v>-1.9166251129177947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5.7268722466960353E-2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9.6774193548387094E-2</v>
      </c>
      <c r="E14" s="29" t="s">
        <v>81</v>
      </c>
      <c r="F14" s="26" t="s">
        <v>36</v>
      </c>
      <c r="G14" s="14">
        <v>10</v>
      </c>
      <c r="H14" s="92">
        <f>IF(B$19=0,0,G14/B$19)</f>
        <v>4.405286343612335E-2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118</v>
      </c>
      <c r="C15" s="12">
        <f>IF(B$3=0,0,B15/B$3)</f>
        <v>0.14182692307692307</v>
      </c>
      <c r="E15" s="29" t="s">
        <v>86</v>
      </c>
      <c r="F15" s="26" t="s">
        <v>41</v>
      </c>
      <c r="G15" s="14">
        <v>7</v>
      </c>
      <c r="H15" s="92">
        <f>IF(B$19=0,0,G15/B$19)</f>
        <v>3.0837004405286344E-2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219</v>
      </c>
      <c r="C16" s="8">
        <f>IF(B$3=0,0,B16/B$3)</f>
        <v>0.26322115384615385</v>
      </c>
      <c r="E16" s="29" t="s">
        <v>79</v>
      </c>
      <c r="F16" s="26" t="s">
        <v>34</v>
      </c>
      <c r="G16" s="14">
        <v>5</v>
      </c>
      <c r="H16" s="92">
        <f>IF(B$19=0,0,G16/B$19)</f>
        <v>2.2026431718061675E-2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0.52542372881355937</v>
      </c>
      <c r="E17" s="29" t="s">
        <v>91</v>
      </c>
      <c r="F17" s="26" t="s">
        <v>46</v>
      </c>
      <c r="G17" s="14">
        <v>4</v>
      </c>
      <c r="H17" s="92">
        <f>IF(B$19=0,0,G17/B$19)</f>
        <v>1.7621145374449341E-2</v>
      </c>
      <c r="I17" s="60">
        <v>5</v>
      </c>
      <c r="K17" s="7">
        <v>15</v>
      </c>
      <c r="L17" s="65">
        <v>-65.2</v>
      </c>
      <c r="N17" s="78" t="s">
        <v>169</v>
      </c>
      <c r="O17" s="87">
        <f t="shared" si="2"/>
        <v>-1.5750000000000026</v>
      </c>
      <c r="P17" s="81">
        <v>20</v>
      </c>
      <c r="Q17" s="72">
        <v>-31.500000000000053</v>
      </c>
    </row>
    <row r="18" spans="1:17" x14ac:dyDescent="0.45">
      <c r="A18" s="20" t="s">
        <v>124</v>
      </c>
      <c r="B18" s="13">
        <f>B24</f>
        <v>87</v>
      </c>
      <c r="C18" s="6">
        <f>IF(B$16=0,0,B18/B$16)</f>
        <v>0.39726027397260272</v>
      </c>
      <c r="E18" s="29" t="s">
        <v>74</v>
      </c>
      <c r="F18" s="26" t="s">
        <v>29</v>
      </c>
      <c r="G18" s="14">
        <v>2</v>
      </c>
      <c r="H18" s="92">
        <f>IF(B$19=0,0,G18/B$19)</f>
        <v>8.8105726872246704E-3</v>
      </c>
      <c r="I18" s="60">
        <v>1</v>
      </c>
      <c r="K18" s="7">
        <v>16</v>
      </c>
      <c r="L18" s="65">
        <v>-70.600000000000009</v>
      </c>
      <c r="N18" s="78" t="s">
        <v>168</v>
      </c>
      <c r="O18" s="87">
        <f t="shared" si="2"/>
        <v>-1.6133333333333333</v>
      </c>
      <c r="P18" s="81">
        <v>30</v>
      </c>
      <c r="Q18" s="72">
        <v>-48.4</v>
      </c>
    </row>
    <row r="19" spans="1:17" x14ac:dyDescent="0.45">
      <c r="A19" s="20" t="s">
        <v>10</v>
      </c>
      <c r="B19" s="13">
        <f>B22+B21</f>
        <v>227</v>
      </c>
      <c r="C19" s="6">
        <f>IF(B$3=0,0,B19/B$3)</f>
        <v>0.27283653846153844</v>
      </c>
      <c r="E19" s="29" t="s">
        <v>75</v>
      </c>
      <c r="F19" s="26" t="s">
        <v>30</v>
      </c>
      <c r="G19" s="14">
        <v>2</v>
      </c>
      <c r="H19" s="92">
        <f>IF(B$19=0,0,G19/B$19)</f>
        <v>8.8105726872246704E-3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-13.864864864864865</v>
      </c>
      <c r="P19" s="81">
        <v>37</v>
      </c>
      <c r="Q19" s="72">
        <v>-513</v>
      </c>
    </row>
    <row r="20" spans="1:17" x14ac:dyDescent="0.45">
      <c r="A20" s="21" t="s">
        <v>13</v>
      </c>
      <c r="B20" s="14">
        <v>135</v>
      </c>
      <c r="C20" s="8">
        <f>IF(B$3=0,0,B20/B$3)</f>
        <v>0.16225961538461539</v>
      </c>
      <c r="E20" s="29" t="s">
        <v>78</v>
      </c>
      <c r="F20" s="26" t="s">
        <v>33</v>
      </c>
      <c r="G20" s="14">
        <v>2</v>
      </c>
      <c r="H20" s="92">
        <f>IF(B$19=0,0,G20/B$19)</f>
        <v>8.8105726872246704E-3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96</v>
      </c>
      <c r="C21" s="8">
        <f>IF(B$19=0,0,B21/B$19)</f>
        <v>0.42290748898678415</v>
      </c>
      <c r="E21" s="29" t="s">
        <v>88</v>
      </c>
      <c r="F21" s="26" t="s">
        <v>43</v>
      </c>
      <c r="G21" s="14">
        <v>2</v>
      </c>
      <c r="H21" s="92">
        <f>IF(B$19=0,0,G21/B$19)</f>
        <v>8.8105726872246704E-3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131</v>
      </c>
      <c r="C22" s="8">
        <f>IF(B$19=0,0,B22/B$19)</f>
        <v>0.5770925110132159</v>
      </c>
      <c r="E22" s="29" t="s">
        <v>93</v>
      </c>
      <c r="F22" s="26" t="s">
        <v>48</v>
      </c>
      <c r="G22" s="14">
        <v>2</v>
      </c>
      <c r="H22" s="92">
        <f>IF(B$19=0,0,G22/B$19)</f>
        <v>8.8105726872246704E-3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62</v>
      </c>
      <c r="C23" s="8">
        <f>IF(B$19=0,0,B23/B$19)</f>
        <v>0.27312775330396477</v>
      </c>
      <c r="E23" s="29" t="s">
        <v>77</v>
      </c>
      <c r="F23" s="26" t="s">
        <v>32</v>
      </c>
      <c r="G23" s="14">
        <v>1</v>
      </c>
      <c r="H23" s="92">
        <f>IF(B$19=0,0,G23/B$19)</f>
        <v>4.4052863436123352E-3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87</v>
      </c>
      <c r="C24" s="8">
        <f>IF(B$19=0,0,B24/B$19)</f>
        <v>0.38325991189427311</v>
      </c>
      <c r="E24" s="29" t="s">
        <v>84</v>
      </c>
      <c r="F24" s="26" t="s">
        <v>39</v>
      </c>
      <c r="G24" s="14">
        <v>1</v>
      </c>
      <c r="H24" s="92">
        <f>IF(B$19=0,0,G24/B$19)</f>
        <v>4.4052863436123352E-3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78</v>
      </c>
      <c r="C25" s="8">
        <f>IF(B$19=0,0,B25/B$19)</f>
        <v>0.34361233480176212</v>
      </c>
      <c r="E25" s="29" t="s">
        <v>87</v>
      </c>
      <c r="F25" s="26" t="s">
        <v>42</v>
      </c>
      <c r="G25" s="14">
        <v>1</v>
      </c>
      <c r="H25" s="92">
        <f>IF(B$19=0,0,G25/B$19)</f>
        <v>4.4052863436123352E-3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7057.7092511013216</v>
      </c>
      <c r="C26" s="10">
        <v>1602100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7562.8571428571431</v>
      </c>
      <c r="C27" s="100">
        <v>1058800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6244.8275862068967</v>
      </c>
      <c r="C28" s="100">
        <v>543300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-7708.8888888888887</v>
      </c>
      <c r="C29" s="100">
        <v>-1040700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2</v>
      </c>
      <c r="C34" s="11">
        <f>IF(B$3=0,0,B34/B$3)</f>
        <v>2.403846153846154E-3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0.13215859030837004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46</v>
      </c>
      <c r="C37" s="8">
        <f t="shared" si="3"/>
        <v>0.20264317180616739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48</v>
      </c>
      <c r="C38" s="8">
        <f t="shared" si="3"/>
        <v>0.21145374449339208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42</v>
      </c>
      <c r="C39" s="8">
        <f t="shared" si="3"/>
        <v>0.18502202643171806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23</v>
      </c>
      <c r="C40" s="8">
        <f t="shared" si="3"/>
        <v>0.1013215859030837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7.9295154185022032E-2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4.8458149779735685E-2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2.643171806167401E-2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4.4052863436123352E-3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8.8105726872246704E-3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</sheetData>
  <sortState xmlns:xlrd2="http://schemas.microsoft.com/office/spreadsheetml/2017/richdata2" ref="E2:I9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2616-B656-4EA8-9763-B391CEFBB08A}">
  <sheetPr codeName="Sheet9"/>
  <dimension ref="A1:Q22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218</v>
      </c>
      <c r="C2" s="130"/>
      <c r="E2" s="28" t="s">
        <v>66</v>
      </c>
      <c r="F2" s="25" t="s">
        <v>22</v>
      </c>
      <c r="G2" s="13">
        <v>431</v>
      </c>
      <c r="H2" s="91">
        <f>IF(B$19=0,0,G2/B$19)</f>
        <v>0.70309951060358888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1176.9585253456221</v>
      </c>
      <c r="P2" s="80">
        <v>217</v>
      </c>
      <c r="Q2" s="67">
        <v>255400</v>
      </c>
    </row>
    <row r="3" spans="1:17" x14ac:dyDescent="0.45">
      <c r="A3" s="21" t="s">
        <v>8</v>
      </c>
      <c r="B3" s="131">
        <v>1817</v>
      </c>
      <c r="C3" s="132"/>
      <c r="E3" s="29" t="s">
        <v>72</v>
      </c>
      <c r="F3" s="26" t="s">
        <v>27</v>
      </c>
      <c r="G3" s="14">
        <v>328</v>
      </c>
      <c r="H3" s="92">
        <f>IF(B$19=0,0,G3/B$19)</f>
        <v>0.53507340946166393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1612.1495327102805</v>
      </c>
      <c r="P3" s="81">
        <v>214</v>
      </c>
      <c r="Q3" s="68">
        <v>345000</v>
      </c>
    </row>
    <row r="4" spans="1:17" x14ac:dyDescent="0.45">
      <c r="A4" s="21" t="s">
        <v>6</v>
      </c>
      <c r="B4" s="133">
        <v>1930.1999999999998</v>
      </c>
      <c r="C4" s="134"/>
      <c r="E4" s="29" t="s">
        <v>64</v>
      </c>
      <c r="F4" s="26" t="s">
        <v>20</v>
      </c>
      <c r="G4" s="14">
        <v>267</v>
      </c>
      <c r="H4" s="92">
        <f>IF(B$19=0,0,G4/B$19)</f>
        <v>0.43556280587275692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1267.4757281553398</v>
      </c>
      <c r="P4" s="81">
        <v>206</v>
      </c>
      <c r="Q4" s="68">
        <v>261100</v>
      </c>
    </row>
    <row r="5" spans="1:17" x14ac:dyDescent="0.45">
      <c r="A5" s="21" t="s">
        <v>7</v>
      </c>
      <c r="B5" s="121">
        <f>IF(B$2=0,0,B$4/B$2)</f>
        <v>8.8541284403669724</v>
      </c>
      <c r="C5" s="122"/>
      <c r="E5" s="29" t="s">
        <v>163</v>
      </c>
      <c r="F5" s="26" t="s">
        <v>164</v>
      </c>
      <c r="G5" s="14">
        <v>233</v>
      </c>
      <c r="H5" s="92">
        <f>IF(B$19=0,0,G5/B$19)</f>
        <v>0.38009787928221861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242.48704663212436</v>
      </c>
      <c r="P5" s="81">
        <v>193</v>
      </c>
      <c r="Q5" s="68">
        <v>46800</v>
      </c>
    </row>
    <row r="6" spans="1:17" x14ac:dyDescent="0.45">
      <c r="A6" s="21" t="s">
        <v>1</v>
      </c>
      <c r="B6" s="135">
        <f>IF(B$2=0,0,(B$7*1+B$8*2+B$9*3)/B$2)</f>
        <v>1.7798165137614679</v>
      </c>
      <c r="C6" s="136"/>
      <c r="E6" s="29" t="s">
        <v>68</v>
      </c>
      <c r="F6" s="26" t="s">
        <v>12</v>
      </c>
      <c r="G6" s="14">
        <v>175</v>
      </c>
      <c r="H6" s="92">
        <f>IF(B$19=0,0,G6/B$19)</f>
        <v>0.28548123980424145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1371.9101123595506</v>
      </c>
      <c r="P6" s="81">
        <v>178</v>
      </c>
      <c r="Q6" s="68">
        <v>244200</v>
      </c>
    </row>
    <row r="7" spans="1:17" x14ac:dyDescent="0.45">
      <c r="A7" s="21" t="s">
        <v>2</v>
      </c>
      <c r="B7" s="14">
        <v>102</v>
      </c>
      <c r="C7" s="8">
        <f t="shared" ref="C7:C14" si="1">IF(B$2=0,0,B7/B$2)</f>
        <v>0.46788990825688076</v>
      </c>
      <c r="E7" s="29" t="s">
        <v>67</v>
      </c>
      <c r="F7" s="26" t="s">
        <v>23</v>
      </c>
      <c r="G7" s="14">
        <v>149</v>
      </c>
      <c r="H7" s="92">
        <f>IF(B$19=0,0,G7/B$19)</f>
        <v>0.24306688417618272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1814.3835616438357</v>
      </c>
      <c r="P7" s="82">
        <v>146</v>
      </c>
      <c r="Q7" s="69">
        <v>264900</v>
      </c>
    </row>
    <row r="8" spans="1:17" x14ac:dyDescent="0.45">
      <c r="A8" s="21" t="s">
        <v>3</v>
      </c>
      <c r="B8" s="14">
        <v>62</v>
      </c>
      <c r="C8" s="8">
        <f t="shared" si="1"/>
        <v>0.28440366972477066</v>
      </c>
      <c r="E8" s="29" t="s">
        <v>89</v>
      </c>
      <c r="F8" s="26" t="s">
        <v>44</v>
      </c>
      <c r="G8" s="14">
        <v>93</v>
      </c>
      <c r="H8" s="92">
        <f>IF(B$19=0,0,G8/B$19)</f>
        <v>0.15171288743882544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54</v>
      </c>
      <c r="C9" s="9">
        <f t="shared" si="1"/>
        <v>0.24770642201834864</v>
      </c>
      <c r="E9" s="29" t="s">
        <v>69</v>
      </c>
      <c r="F9" s="26" t="s">
        <v>24</v>
      </c>
      <c r="G9" s="14">
        <v>76</v>
      </c>
      <c r="H9" s="92">
        <f>IF(B$19=0,0,G9/B$19)</f>
        <v>0.12398042414355628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35.202941176470574</v>
      </c>
      <c r="C10" s="114">
        <v>3590.6999999999989</v>
      </c>
      <c r="E10" s="29" t="s">
        <v>65</v>
      </c>
      <c r="F10" s="26" t="s">
        <v>21</v>
      </c>
      <c r="G10" s="14">
        <v>70</v>
      </c>
      <c r="H10" s="92">
        <f>IF(B$19=0,0,G10/B$19)</f>
        <v>0.11419249592169657</v>
      </c>
      <c r="I10" s="60">
        <v>7</v>
      </c>
      <c r="K10" s="7">
        <v>8</v>
      </c>
      <c r="L10" s="65">
        <v>148.1</v>
      </c>
      <c r="N10" s="77" t="s">
        <v>154</v>
      </c>
      <c r="O10" s="86">
        <f>IF(P10=0,0,Q10/P10)</f>
        <v>11.6109375</v>
      </c>
      <c r="P10" s="80">
        <v>64</v>
      </c>
      <c r="Q10" s="71">
        <v>743.1</v>
      </c>
    </row>
    <row r="11" spans="1:17" x14ac:dyDescent="0.45">
      <c r="A11" s="22" t="s">
        <v>204</v>
      </c>
      <c r="B11" s="113">
        <f>IF(B8=0,0,C11/B8)</f>
        <v>1.0064516129032262</v>
      </c>
      <c r="C11" s="114">
        <v>62.40000000000002</v>
      </c>
      <c r="E11" s="29" t="s">
        <v>71</v>
      </c>
      <c r="F11" s="26" t="s">
        <v>26</v>
      </c>
      <c r="G11" s="14">
        <v>46</v>
      </c>
      <c r="H11" s="92">
        <f>IF(B$19=0,0,G11/B$19)</f>
        <v>7.5040783034257749E-2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6.2824324324324321</v>
      </c>
      <c r="P11" s="81">
        <v>74</v>
      </c>
      <c r="Q11" s="72">
        <v>464.9</v>
      </c>
    </row>
    <row r="12" spans="1:17" x14ac:dyDescent="0.45">
      <c r="A12" s="22" t="s">
        <v>205</v>
      </c>
      <c r="B12" s="113">
        <f>IF(B9=0,0,C12/B9)</f>
        <v>-31.905555555555569</v>
      </c>
      <c r="C12" s="114">
        <v>-1722.9000000000008</v>
      </c>
      <c r="E12" s="29" t="s">
        <v>70</v>
      </c>
      <c r="F12" s="26" t="s">
        <v>25</v>
      </c>
      <c r="G12" s="14">
        <v>40</v>
      </c>
      <c r="H12" s="92">
        <f>IF(B$19=0,0,G12/B$19)</f>
        <v>6.5252854812398037E-2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9.0274999999999981</v>
      </c>
      <c r="P12" s="82">
        <v>80</v>
      </c>
      <c r="Q12" s="73">
        <v>722.19999999999982</v>
      </c>
    </row>
    <row r="13" spans="1:17" x14ac:dyDescent="0.45">
      <c r="A13" s="22" t="s">
        <v>206</v>
      </c>
      <c r="B13" s="121">
        <f>AVERAGE(B10:B12)</f>
        <v>1.4346124112727441</v>
      </c>
      <c r="C13" s="122"/>
      <c r="E13" s="29" t="s">
        <v>86</v>
      </c>
      <c r="F13" s="26" t="s">
        <v>41</v>
      </c>
      <c r="G13" s="14">
        <v>38</v>
      </c>
      <c r="H13" s="92">
        <f>IF(B$19=0,0,G13/B$19)</f>
        <v>6.1990212071778142E-2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5.0458715596330278E-2</v>
      </c>
      <c r="E14" s="29" t="s">
        <v>83</v>
      </c>
      <c r="F14" s="26" t="s">
        <v>38</v>
      </c>
      <c r="G14" s="14">
        <v>31</v>
      </c>
      <c r="H14" s="92">
        <f>IF(B$19=0,0,G14/B$19)</f>
        <v>5.0570962479608482E-2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481</v>
      </c>
      <c r="C15" s="12">
        <f>IF(B$3=0,0,B15/B$3)</f>
        <v>0.26472206934507431</v>
      </c>
      <c r="E15" s="29" t="s">
        <v>78</v>
      </c>
      <c r="F15" s="26" t="s">
        <v>33</v>
      </c>
      <c r="G15" s="14">
        <v>21</v>
      </c>
      <c r="H15" s="92">
        <f>IF(B$19=0,0,G15/B$19)</f>
        <v>3.4257748776508973E-2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>IF(P15=0,0,Q15/P15)</f>
        <v>42.716666666666661</v>
      </c>
      <c r="P15" s="80">
        <v>6</v>
      </c>
      <c r="Q15" s="71">
        <v>256.29999999999995</v>
      </c>
    </row>
    <row r="16" spans="1:17" x14ac:dyDescent="0.45">
      <c r="A16" s="21" t="s">
        <v>118</v>
      </c>
      <c r="B16" s="14">
        <v>434</v>
      </c>
      <c r="C16" s="8">
        <f>IF(B$3=0,0,B16/B$3)</f>
        <v>0.23885525591634563</v>
      </c>
      <c r="E16" s="29" t="s">
        <v>159</v>
      </c>
      <c r="F16" s="26" t="s">
        <v>160</v>
      </c>
      <c r="G16" s="14">
        <v>16</v>
      </c>
      <c r="H16" s="92">
        <f>IF(B$19=0,0,G16/B$19)</f>
        <v>2.6101141924959218E-2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>IF(P16=0,0,Q16/P16)</f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280</v>
      </c>
      <c r="C17" s="6">
        <f>IF(B$15=0,0,B17/B$15)</f>
        <v>0.58212058212058215</v>
      </c>
      <c r="E17" s="29" t="s">
        <v>81</v>
      </c>
      <c r="F17" s="26" t="s">
        <v>36</v>
      </c>
      <c r="G17" s="14">
        <v>9</v>
      </c>
      <c r="H17" s="92">
        <f>IF(B$19=0,0,G17/B$19)</f>
        <v>1.468189233278956E-2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>IF(P17=0,0,Q17/P17)</f>
        <v>28.93076923076924</v>
      </c>
      <c r="P17" s="81">
        <v>26</v>
      </c>
      <c r="Q17" s="72">
        <v>752.20000000000027</v>
      </c>
    </row>
    <row r="18" spans="1:17" x14ac:dyDescent="0.45">
      <c r="A18" s="20" t="s">
        <v>124</v>
      </c>
      <c r="B18" s="13">
        <f>B24</f>
        <v>204</v>
      </c>
      <c r="C18" s="6">
        <f>IF(B$16=0,0,B18/B$16)</f>
        <v>0.47004608294930877</v>
      </c>
      <c r="E18" s="29" t="s">
        <v>91</v>
      </c>
      <c r="F18" s="26" t="s">
        <v>46</v>
      </c>
      <c r="G18" s="14">
        <v>6</v>
      </c>
      <c r="H18" s="92">
        <f>IF(B$19=0,0,G18/B$19)</f>
        <v>9.7879282218597055E-3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>IF(P18=0,0,Q18/P18)</f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613</v>
      </c>
      <c r="C19" s="6">
        <f>IF(B$3=0,0,B19/B$3)</f>
        <v>0.33736929003852506</v>
      </c>
      <c r="E19" s="29" t="s">
        <v>92</v>
      </c>
      <c r="F19" s="26" t="s">
        <v>47</v>
      </c>
      <c r="G19" s="14">
        <v>6</v>
      </c>
      <c r="H19" s="92">
        <f>IF(B$19=0,0,G19/B$19)</f>
        <v>9.7879282218597055E-3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>IF(P19=0,0,Q19/P19)</f>
        <v>15.148529411764704</v>
      </c>
      <c r="P19" s="81">
        <v>68</v>
      </c>
      <c r="Q19" s="72">
        <v>1030.0999999999999</v>
      </c>
    </row>
    <row r="20" spans="1:17" x14ac:dyDescent="0.45">
      <c r="A20" s="21" t="s">
        <v>13</v>
      </c>
      <c r="B20" s="14">
        <v>230</v>
      </c>
      <c r="C20" s="8">
        <f>IF(B$3=0,0,B20/B$3)</f>
        <v>0.12658227848101267</v>
      </c>
      <c r="E20" s="29" t="s">
        <v>75</v>
      </c>
      <c r="F20" s="26" t="s">
        <v>30</v>
      </c>
      <c r="G20" s="14">
        <v>5</v>
      </c>
      <c r="H20" s="92">
        <f>IF(B$19=0,0,G20/B$19)</f>
        <v>8.1566068515497546E-3</v>
      </c>
      <c r="I20" s="60">
        <v>5</v>
      </c>
      <c r="K20" s="7">
        <v>18</v>
      </c>
      <c r="L20" s="65">
        <v>352.39999999999992</v>
      </c>
      <c r="N20" s="78" t="s">
        <v>127</v>
      </c>
      <c r="O20" s="87">
        <f>IF(P20=0,0,Q20/P20)</f>
        <v>13.139682539682543</v>
      </c>
      <c r="P20" s="81">
        <v>126</v>
      </c>
      <c r="Q20" s="72">
        <v>1655.6000000000004</v>
      </c>
    </row>
    <row r="21" spans="1:17" x14ac:dyDescent="0.45">
      <c r="A21" s="21" t="s">
        <v>12</v>
      </c>
      <c r="B21" s="14">
        <v>259</v>
      </c>
      <c r="C21" s="8">
        <f>IF(B$19=0,0,B21/B$19)</f>
        <v>0.42251223491027734</v>
      </c>
      <c r="E21" s="29" t="s">
        <v>79</v>
      </c>
      <c r="F21" s="26" t="s">
        <v>34</v>
      </c>
      <c r="G21" s="14">
        <v>5</v>
      </c>
      <c r="H21" s="92">
        <f>IF(B$19=0,0,G21/B$19)</f>
        <v>8.1566068515497546E-3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>IF(P21=0,0,Q21/P21)</f>
        <v>12.132926829268296</v>
      </c>
      <c r="P21" s="81">
        <v>82</v>
      </c>
      <c r="Q21" s="72">
        <v>994.90000000000032</v>
      </c>
    </row>
    <row r="22" spans="1:17" x14ac:dyDescent="0.45">
      <c r="A22" s="21" t="s">
        <v>11</v>
      </c>
      <c r="B22" s="14">
        <v>354</v>
      </c>
      <c r="C22" s="8">
        <f>IF(B$19=0,0,B22/B$19)</f>
        <v>0.57748776508972266</v>
      </c>
      <c r="E22" s="29" t="s">
        <v>85</v>
      </c>
      <c r="F22" s="26" t="s">
        <v>40</v>
      </c>
      <c r="G22" s="14">
        <v>4</v>
      </c>
      <c r="H22" s="92">
        <f>IF(B$19=0,0,G22/B$19)</f>
        <v>6.5252854812398045E-3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>IF(P22=0,0,Q22/P22)</f>
        <v>1.6915492957746465</v>
      </c>
      <c r="P22" s="81">
        <v>71</v>
      </c>
      <c r="Q22" s="72">
        <v>120.09999999999991</v>
      </c>
    </row>
    <row r="23" spans="1:17" x14ac:dyDescent="0.45">
      <c r="A23" s="21" t="s">
        <v>192</v>
      </c>
      <c r="B23" s="14">
        <v>280</v>
      </c>
      <c r="C23" s="8">
        <f>IF(B$19=0,0,B23/B$19)</f>
        <v>0.45676998368678629</v>
      </c>
      <c r="E23" s="29" t="s">
        <v>77</v>
      </c>
      <c r="F23" s="26" t="s">
        <v>32</v>
      </c>
      <c r="G23" s="14">
        <v>3</v>
      </c>
      <c r="H23" s="92">
        <f>IF(B$19=0,0,G23/B$19)</f>
        <v>4.8939641109298528E-3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>IF(P23=0,0,Q23/P23)</f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204</v>
      </c>
      <c r="C24" s="8">
        <f>IF(B$19=0,0,B24/B$19)</f>
        <v>0.33278955954323003</v>
      </c>
      <c r="E24" s="29" t="s">
        <v>84</v>
      </c>
      <c r="F24" s="26" t="s">
        <v>39</v>
      </c>
      <c r="G24" s="14">
        <v>3</v>
      </c>
      <c r="H24" s="92">
        <f>IF(B$19=0,0,G24/B$19)</f>
        <v>4.8939641109298528E-3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129</v>
      </c>
      <c r="C25" s="8">
        <f>IF(B$19=0,0,B25/B$19)</f>
        <v>0.21044045676998369</v>
      </c>
      <c r="E25" s="29" t="s">
        <v>74</v>
      </c>
      <c r="F25" s="26" t="s">
        <v>29</v>
      </c>
      <c r="G25" s="14">
        <v>2</v>
      </c>
      <c r="H25" s="92">
        <f>IF(B$19=0,0,G25/B$19)</f>
        <v>3.2626427406199023E-3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8314.8450244698197</v>
      </c>
      <c r="C26" s="10">
        <v>5097000</v>
      </c>
      <c r="E26" s="29" t="s">
        <v>88</v>
      </c>
      <c r="F26" s="26" t="s">
        <v>43</v>
      </c>
      <c r="G26" s="14">
        <v>2</v>
      </c>
      <c r="H26" s="92">
        <f>IF(B$19=0,0,G26/B$19)</f>
        <v>3.2626427406199023E-3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8889.7310513447428</v>
      </c>
      <c r="C27" s="100">
        <v>3635900</v>
      </c>
      <c r="E27" s="29" t="s">
        <v>95</v>
      </c>
      <c r="F27" s="26" t="s">
        <v>50</v>
      </c>
      <c r="G27" s="14">
        <v>2</v>
      </c>
      <c r="H27" s="92">
        <f>IF(B$19=0,0,G27/B$19)</f>
        <v>3.2626427406199023E-3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7162.2549019607841</v>
      </c>
      <c r="C28" s="100">
        <v>1461100</v>
      </c>
      <c r="E28" s="29" t="s">
        <v>87</v>
      </c>
      <c r="F28" s="26" t="s">
        <v>42</v>
      </c>
      <c r="G28" s="14">
        <v>1</v>
      </c>
      <c r="H28" s="92">
        <f>IF(B$19=0,0,G28/B$19)</f>
        <v>1.6313213703099511E-3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-7573.913043478261</v>
      </c>
      <c r="C29" s="100">
        <v>-1742000</v>
      </c>
      <c r="E29" s="29" t="s">
        <v>90</v>
      </c>
      <c r="F29" s="26" t="s">
        <v>45</v>
      </c>
      <c r="G29" s="14">
        <v>1</v>
      </c>
      <c r="H29" s="92">
        <f>IF(B$19=0,0,G29/B$19)</f>
        <v>1.6313213703099511E-3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106</v>
      </c>
      <c r="F30" s="26" t="s">
        <v>113</v>
      </c>
      <c r="G30" s="14">
        <v>1</v>
      </c>
      <c r="H30" s="92">
        <f>IF(B$19=0,0,G30/B$19)</f>
        <v>1.6313213703099511E-3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5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1.1007154650522839E-3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55</v>
      </c>
      <c r="C36" s="102">
        <f t="shared" ref="C36:C48" si="2">IF(B$19=0,0,B36/B$19)</f>
        <v>8.9722675367047311E-2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113</v>
      </c>
      <c r="C37" s="8">
        <f t="shared" si="2"/>
        <v>0.18433931484502447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120</v>
      </c>
      <c r="C38" s="8">
        <f t="shared" si="2"/>
        <v>0.19575856443719414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111</v>
      </c>
      <c r="C39" s="8">
        <f t="shared" si="2"/>
        <v>0.18107667210440456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90</v>
      </c>
      <c r="C40" s="8">
        <f t="shared" si="2"/>
        <v>0.14681892332789559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59</v>
      </c>
      <c r="C41" s="8">
        <f t="shared" si="2"/>
        <v>9.6247960848287115E-2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2"/>
        <v>4.5676998368678633E-2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2"/>
        <v>1.9575856443719411E-2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2"/>
        <v>1.794453507340946E-2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2"/>
        <v>4.8939641109298528E-3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0</v>
      </c>
      <c r="C46" s="8">
        <f t="shared" si="2"/>
        <v>0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2"/>
        <v>1.6313213703099511E-3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2"/>
        <v>1.6313213703099509E-2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6922-00AE-4DD6-A4CF-7E33AB550919}">
  <sheetPr codeName="Sheet11"/>
  <dimension ref="A1:Q19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188</v>
      </c>
      <c r="C2" s="130"/>
      <c r="E2" s="28" t="s">
        <v>66</v>
      </c>
      <c r="F2" s="25" t="s">
        <v>22</v>
      </c>
      <c r="G2" s="13">
        <v>370</v>
      </c>
      <c r="H2" s="91">
        <f>IF(B$19=0,0,G2/B$19)</f>
        <v>0.74596774193548387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-1138.7096774193549</v>
      </c>
      <c r="P2" s="80">
        <v>186</v>
      </c>
      <c r="Q2" s="67">
        <v>-211800</v>
      </c>
    </row>
    <row r="3" spans="1:17" x14ac:dyDescent="0.45">
      <c r="A3" s="21" t="s">
        <v>8</v>
      </c>
      <c r="B3" s="131">
        <v>1565</v>
      </c>
      <c r="C3" s="132"/>
      <c r="E3" s="29" t="s">
        <v>72</v>
      </c>
      <c r="F3" s="26" t="s">
        <v>27</v>
      </c>
      <c r="G3" s="14">
        <v>278</v>
      </c>
      <c r="H3" s="92">
        <f>IF(B$19=0,0,G3/B$19)</f>
        <v>0.56048387096774188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1012.0218579234972</v>
      </c>
      <c r="P3" s="81">
        <v>183</v>
      </c>
      <c r="Q3" s="68">
        <v>185200</v>
      </c>
    </row>
    <row r="4" spans="1:17" x14ac:dyDescent="0.45">
      <c r="A4" s="21" t="s">
        <v>6</v>
      </c>
      <c r="B4" s="133">
        <v>-45.700000000000216</v>
      </c>
      <c r="C4" s="134"/>
      <c r="E4" s="29" t="s">
        <v>163</v>
      </c>
      <c r="F4" s="26" t="s">
        <v>164</v>
      </c>
      <c r="G4" s="14">
        <v>201</v>
      </c>
      <c r="H4" s="92">
        <f>IF(B$19=0,0,G4/B$19)</f>
        <v>0.40524193548387094</v>
      </c>
      <c r="I4" s="60">
        <v>5</v>
      </c>
      <c r="K4" s="7">
        <v>2</v>
      </c>
      <c r="L4" s="65">
        <v>-34.299999999999997</v>
      </c>
      <c r="N4" s="78" t="s">
        <v>132</v>
      </c>
      <c r="O4" s="84">
        <f t="shared" si="0"/>
        <v>-275.43859649122805</v>
      </c>
      <c r="P4" s="81">
        <v>171</v>
      </c>
      <c r="Q4" s="68">
        <v>-47100</v>
      </c>
    </row>
    <row r="5" spans="1:17" x14ac:dyDescent="0.45">
      <c r="A5" s="21" t="s">
        <v>7</v>
      </c>
      <c r="B5" s="121">
        <f>IF(B$2=0,0,B$4/B$2)</f>
        <v>-0.24308510638297987</v>
      </c>
      <c r="C5" s="122"/>
      <c r="E5" s="29" t="s">
        <v>64</v>
      </c>
      <c r="F5" s="26" t="s">
        <v>20</v>
      </c>
      <c r="G5" s="14">
        <v>184</v>
      </c>
      <c r="H5" s="92">
        <f>IF(B$19=0,0,G5/B$19)</f>
        <v>0.37096774193548387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44.171779141104295</v>
      </c>
      <c r="P5" s="81">
        <v>163</v>
      </c>
      <c r="Q5" s="68">
        <v>7200</v>
      </c>
    </row>
    <row r="6" spans="1:17" x14ac:dyDescent="0.45">
      <c r="A6" s="21" t="s">
        <v>1</v>
      </c>
      <c r="B6" s="135">
        <f>IF(B$2=0,0,(B$7*1+B$8*2+B$9*3)/B$2)</f>
        <v>1.9840425531914894</v>
      </c>
      <c r="C6" s="136"/>
      <c r="E6" s="29" t="s">
        <v>68</v>
      </c>
      <c r="F6" s="26" t="s">
        <v>12</v>
      </c>
      <c r="G6" s="14">
        <v>134</v>
      </c>
      <c r="H6" s="92">
        <f>IF(B$19=0,0,G6/B$19)</f>
        <v>0.27016129032258063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-944.59459459459458</v>
      </c>
      <c r="P6" s="81">
        <v>148</v>
      </c>
      <c r="Q6" s="68">
        <v>-139800</v>
      </c>
    </row>
    <row r="7" spans="1:17" x14ac:dyDescent="0.45">
      <c r="A7" s="21" t="s">
        <v>2</v>
      </c>
      <c r="B7" s="14">
        <v>62</v>
      </c>
      <c r="C7" s="8">
        <f t="shared" ref="C7:C14" si="1">IF(B$2=0,0,B7/B$2)</f>
        <v>0.32978723404255317</v>
      </c>
      <c r="E7" s="29" t="s">
        <v>67</v>
      </c>
      <c r="F7" s="26" t="s">
        <v>23</v>
      </c>
      <c r="G7" s="14">
        <v>99</v>
      </c>
      <c r="H7" s="92">
        <f>IF(B$19=0,0,G7/B$19)</f>
        <v>0.19959677419354838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1180.1587301587301</v>
      </c>
      <c r="P7" s="82">
        <v>126</v>
      </c>
      <c r="Q7" s="69">
        <v>148700</v>
      </c>
    </row>
    <row r="8" spans="1:17" x14ac:dyDescent="0.45">
      <c r="A8" s="21" t="s">
        <v>3</v>
      </c>
      <c r="B8" s="14">
        <v>67</v>
      </c>
      <c r="C8" s="8">
        <f t="shared" si="1"/>
        <v>0.35638297872340424</v>
      </c>
      <c r="E8" s="29" t="s">
        <v>69</v>
      </c>
      <c r="F8" s="26" t="s">
        <v>24</v>
      </c>
      <c r="G8" s="14">
        <v>55</v>
      </c>
      <c r="H8" s="92">
        <f>IF(B$19=0,0,G8/B$19)</f>
        <v>0.11088709677419355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59</v>
      </c>
      <c r="C9" s="9">
        <f t="shared" si="1"/>
        <v>0.31382978723404253</v>
      </c>
      <c r="E9" s="29" t="s">
        <v>89</v>
      </c>
      <c r="F9" s="26" t="s">
        <v>44</v>
      </c>
      <c r="G9" s="14">
        <v>53</v>
      </c>
      <c r="H9" s="92">
        <f>IF(B$19=0,0,G9/B$19)</f>
        <v>0.10685483870967742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35.31129032258066</v>
      </c>
      <c r="C10" s="114">
        <v>2189.3000000000011</v>
      </c>
      <c r="E10" s="29" t="s">
        <v>70</v>
      </c>
      <c r="F10" s="26" t="s">
        <v>25</v>
      </c>
      <c r="G10" s="14">
        <v>46</v>
      </c>
      <c r="H10" s="92">
        <f>IF(B$19=0,0,G10/B$19)</f>
        <v>9.2741935483870969E-2</v>
      </c>
      <c r="I10" s="60">
        <v>9</v>
      </c>
      <c r="K10" s="7">
        <v>8</v>
      </c>
      <c r="L10" s="65">
        <v>-56.79999999999999</v>
      </c>
      <c r="N10" s="77" t="s">
        <v>154</v>
      </c>
      <c r="O10" s="86">
        <f>IF(P10=0,0,Q10/P10)</f>
        <v>-0.89655172413793083</v>
      </c>
      <c r="P10" s="80">
        <v>58</v>
      </c>
      <c r="Q10" s="71">
        <v>-51.999999999999986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42</v>
      </c>
      <c r="H11" s="92">
        <f>IF(B$19=0,0,G11/B$19)</f>
        <v>8.4677419354838704E-2</v>
      </c>
      <c r="I11" s="60">
        <v>6</v>
      </c>
      <c r="K11" s="7">
        <v>9</v>
      </c>
      <c r="L11" s="65">
        <v>-83.699999999999989</v>
      </c>
      <c r="N11" s="78" t="s">
        <v>155</v>
      </c>
      <c r="O11" s="87">
        <f>IF(P11=0,0,Q11/P11)</f>
        <v>3.2306451612903238</v>
      </c>
      <c r="P11" s="81">
        <v>62</v>
      </c>
      <c r="Q11" s="72">
        <v>200.30000000000007</v>
      </c>
    </row>
    <row r="12" spans="1:17" x14ac:dyDescent="0.45">
      <c r="A12" s="22" t="s">
        <v>205</v>
      </c>
      <c r="B12" s="113">
        <f>IF(B9=0,0,C12/B9)</f>
        <v>-36.599999999999994</v>
      </c>
      <c r="C12" s="114">
        <v>-2159.3999999999996</v>
      </c>
      <c r="E12" s="29" t="s">
        <v>65</v>
      </c>
      <c r="F12" s="26" t="s">
        <v>21</v>
      </c>
      <c r="G12" s="14">
        <v>38</v>
      </c>
      <c r="H12" s="92">
        <f>IF(B$19=0,0,G12/B$19)</f>
        <v>7.6612903225806453E-2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-2.8529411764705888</v>
      </c>
      <c r="P12" s="82">
        <v>68</v>
      </c>
      <c r="Q12" s="73">
        <v>-194.00000000000003</v>
      </c>
    </row>
    <row r="13" spans="1:17" x14ac:dyDescent="0.45">
      <c r="A13" s="22" t="s">
        <v>206</v>
      </c>
      <c r="B13" s="121">
        <f>AVERAGE(B10:B12)</f>
        <v>-0.8056892954581869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5.4435483870967742E-2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0.10106382978723404</v>
      </c>
      <c r="E14" s="29" t="s">
        <v>83</v>
      </c>
      <c r="F14" s="26" t="s">
        <v>38</v>
      </c>
      <c r="G14" s="14">
        <v>23</v>
      </c>
      <c r="H14" s="92">
        <f>IF(B$19=0,0,G14/B$19)</f>
        <v>4.6370967741935484E-2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354</v>
      </c>
      <c r="C15" s="12">
        <f>IF(B$3=0,0,B15/B$3)</f>
        <v>0.22619808306709266</v>
      </c>
      <c r="E15" s="29" t="s">
        <v>78</v>
      </c>
      <c r="F15" s="26" t="s">
        <v>33</v>
      </c>
      <c r="G15" s="14">
        <v>20</v>
      </c>
      <c r="H15" s="92">
        <f>IF(B$19=0,0,G15/B$19)</f>
        <v>4.0322580645161289E-2</v>
      </c>
      <c r="I15" s="60">
        <v>3</v>
      </c>
      <c r="K15" s="7">
        <v>13</v>
      </c>
      <c r="L15" s="65">
        <v>-86.8</v>
      </c>
      <c r="N15" s="77" t="s">
        <v>201</v>
      </c>
      <c r="O15" s="86">
        <f t="shared" ref="O15:O23" si="2"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466</v>
      </c>
      <c r="C16" s="8">
        <f>IF(B$3=0,0,B16/B$3)</f>
        <v>0.29776357827476041</v>
      </c>
      <c r="E16" s="29" t="s">
        <v>91</v>
      </c>
      <c r="F16" s="26" t="s">
        <v>46</v>
      </c>
      <c r="G16" s="14">
        <v>14</v>
      </c>
      <c r="H16" s="92">
        <f>IF(B$19=0,0,G16/B$19)</f>
        <v>2.8225806451612902E-2</v>
      </c>
      <c r="I16" s="60">
        <v>2</v>
      </c>
      <c r="K16" s="7">
        <v>14</v>
      </c>
      <c r="L16" s="65">
        <v>-138.4</v>
      </c>
      <c r="N16" s="78" t="s">
        <v>194</v>
      </c>
      <c r="O16" s="87">
        <f t="shared" si="2"/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183</v>
      </c>
      <c r="C17" s="6">
        <f>IF(B$15=0,0,B17/B$15)</f>
        <v>0.51694915254237284</v>
      </c>
      <c r="E17" s="29" t="s">
        <v>81</v>
      </c>
      <c r="F17" s="26" t="s">
        <v>36</v>
      </c>
      <c r="G17" s="14">
        <v>13</v>
      </c>
      <c r="H17" s="92">
        <f>IF(B$19=0,0,G17/B$19)</f>
        <v>2.620967741935484E-2</v>
      </c>
      <c r="I17" s="60">
        <v>4</v>
      </c>
      <c r="K17" s="7">
        <v>15</v>
      </c>
      <c r="L17" s="65">
        <v>-144.30000000000001</v>
      </c>
      <c r="N17" s="78" t="s">
        <v>169</v>
      </c>
      <c r="O17" s="87">
        <f t="shared" si="2"/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188</v>
      </c>
      <c r="C18" s="6">
        <f>IF(B$16=0,0,B18/B$16)</f>
        <v>0.40343347639484978</v>
      </c>
      <c r="E18" s="29" t="s">
        <v>79</v>
      </c>
      <c r="F18" s="26" t="s">
        <v>34</v>
      </c>
      <c r="G18" s="14">
        <v>8</v>
      </c>
      <c r="H18" s="92">
        <f>IF(B$19=0,0,G18/B$19)</f>
        <v>1.6129032258064516E-2</v>
      </c>
      <c r="I18" s="60">
        <v>6</v>
      </c>
      <c r="K18" s="7">
        <v>16</v>
      </c>
      <c r="L18" s="65">
        <v>-187.3</v>
      </c>
      <c r="N18" s="78" t="s">
        <v>195</v>
      </c>
      <c r="O18" s="87">
        <f t="shared" si="2"/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496</v>
      </c>
      <c r="C19" s="6">
        <f>IF(B$3=0,0,B19/B$3)</f>
        <v>0.31693290734824281</v>
      </c>
      <c r="E19" s="29" t="s">
        <v>159</v>
      </c>
      <c r="F19" s="26" t="s">
        <v>160</v>
      </c>
      <c r="G19" s="14">
        <v>6</v>
      </c>
      <c r="H19" s="92">
        <f>IF(B$19=0,0,G19/B$19)</f>
        <v>1.2096774193548387E-2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 t="shared" si="2"/>
        <v>13.864864864864865</v>
      </c>
      <c r="P19" s="81">
        <v>37</v>
      </c>
      <c r="Q19" s="72">
        <v>513</v>
      </c>
    </row>
    <row r="20" spans="1:17" x14ac:dyDescent="0.45">
      <c r="A20" s="21" t="s">
        <v>13</v>
      </c>
      <c r="B20" s="14">
        <v>271</v>
      </c>
      <c r="C20" s="8">
        <f>IF(B$3=0,0,B20/B$3)</f>
        <v>0.17316293929712459</v>
      </c>
      <c r="E20" s="29" t="s">
        <v>92</v>
      </c>
      <c r="F20" s="26" t="s">
        <v>47</v>
      </c>
      <c r="G20" s="14">
        <v>3</v>
      </c>
      <c r="H20" s="92">
        <f>IF(B$19=0,0,G20/B$19)</f>
        <v>6.0483870967741934E-3</v>
      </c>
      <c r="I20" s="60">
        <v>6</v>
      </c>
      <c r="K20" s="7">
        <v>18</v>
      </c>
      <c r="L20" s="65">
        <v>-112.90000000000002</v>
      </c>
      <c r="N20" s="78" t="s">
        <v>168</v>
      </c>
      <c r="O20" s="87">
        <f t="shared" si="2"/>
        <v>-2.856923076923076</v>
      </c>
      <c r="P20" s="81">
        <v>65</v>
      </c>
      <c r="Q20" s="72">
        <v>-185.69999999999993</v>
      </c>
    </row>
    <row r="21" spans="1:17" x14ac:dyDescent="0.45">
      <c r="A21" s="21" t="s">
        <v>12</v>
      </c>
      <c r="B21" s="14">
        <v>204</v>
      </c>
      <c r="C21" s="8">
        <f>IF(B$19=0,0,B21/B$19)</f>
        <v>0.41129032258064518</v>
      </c>
      <c r="E21" s="29" t="s">
        <v>73</v>
      </c>
      <c r="F21" s="26" t="s">
        <v>28</v>
      </c>
      <c r="G21" s="14">
        <v>2</v>
      </c>
      <c r="H21" s="92">
        <f>IF(B$19=0,0,G21/B$19)</f>
        <v>4.0322580645161289E-3</v>
      </c>
      <c r="I21" s="60">
        <v>4</v>
      </c>
      <c r="K21" s="7">
        <v>19</v>
      </c>
      <c r="L21" s="65">
        <v>-162.40000000000003</v>
      </c>
      <c r="N21" s="78" t="s">
        <v>275</v>
      </c>
      <c r="O21" s="87">
        <f t="shared" si="2"/>
        <v>-2.86</v>
      </c>
      <c r="P21" s="81">
        <v>5</v>
      </c>
      <c r="Q21" s="72">
        <v>-14.299999999999999</v>
      </c>
    </row>
    <row r="22" spans="1:17" x14ac:dyDescent="0.45">
      <c r="A22" s="21" t="s">
        <v>11</v>
      </c>
      <c r="B22" s="14">
        <v>292</v>
      </c>
      <c r="C22" s="8">
        <f>IF(B$19=0,0,B22/B$19)</f>
        <v>0.58870967741935487</v>
      </c>
      <c r="E22" s="29" t="s">
        <v>74</v>
      </c>
      <c r="F22" s="26" t="s">
        <v>29</v>
      </c>
      <c r="G22" s="14">
        <v>2</v>
      </c>
      <c r="H22" s="92">
        <f>IF(B$19=0,0,G22/B$19)</f>
        <v>4.0322580645161289E-3</v>
      </c>
      <c r="I22" s="60">
        <v>3</v>
      </c>
      <c r="K22" s="7">
        <v>20</v>
      </c>
      <c r="L22" s="65">
        <v>-96.000000000000028</v>
      </c>
      <c r="N22" s="78" t="s">
        <v>167</v>
      </c>
      <c r="O22" s="87">
        <f t="shared" si="2"/>
        <v>-3.8437499999999973</v>
      </c>
      <c r="P22" s="81">
        <v>64</v>
      </c>
      <c r="Q22" s="72">
        <v>-245.99999999999983</v>
      </c>
    </row>
    <row r="23" spans="1:17" x14ac:dyDescent="0.45">
      <c r="A23" s="21" t="s">
        <v>192</v>
      </c>
      <c r="B23" s="14">
        <v>183</v>
      </c>
      <c r="C23" s="8">
        <f>IF(B$19=0,0,B23/B$19)</f>
        <v>0.36895161290322581</v>
      </c>
      <c r="E23" s="29" t="s">
        <v>75</v>
      </c>
      <c r="F23" s="26" t="s">
        <v>30</v>
      </c>
      <c r="G23" s="14">
        <v>2</v>
      </c>
      <c r="H23" s="92">
        <f>IF(B$19=0,0,G23/B$19)</f>
        <v>4.0322580645161289E-3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 t="shared" si="2"/>
        <v>-13.139682539682543</v>
      </c>
      <c r="P23" s="81">
        <v>126</v>
      </c>
      <c r="Q23" s="72">
        <v>-1655.6000000000004</v>
      </c>
    </row>
    <row r="24" spans="1:17" x14ac:dyDescent="0.45">
      <c r="A24" s="21" t="s">
        <v>190</v>
      </c>
      <c r="B24" s="14">
        <v>188</v>
      </c>
      <c r="C24" s="8">
        <f>IF(B$19=0,0,B24/B$19)</f>
        <v>0.37903225806451613</v>
      </c>
      <c r="E24" s="29" t="s">
        <v>90</v>
      </c>
      <c r="F24" s="26" t="s">
        <v>45</v>
      </c>
      <c r="G24" s="14">
        <v>2</v>
      </c>
      <c r="H24" s="92">
        <f>IF(B$19=0,0,G24/B$19)</f>
        <v>4.0322580645161289E-3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125</v>
      </c>
      <c r="C25" s="8">
        <f>IF(B$19=0,0,B25/B$19)</f>
        <v>0.25201612903225806</v>
      </c>
      <c r="E25" s="29" t="s">
        <v>76</v>
      </c>
      <c r="F25" s="26" t="s">
        <v>31</v>
      </c>
      <c r="G25" s="14">
        <v>1</v>
      </c>
      <c r="H25" s="92">
        <f>IF(B$19=0,0,G25/B$19)</f>
        <v>2.0161290322580645E-3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7805.8467741935483</v>
      </c>
      <c r="C26" s="10">
        <v>3871700</v>
      </c>
      <c r="E26" s="29" t="s">
        <v>77</v>
      </c>
      <c r="F26" s="26" t="s">
        <v>32</v>
      </c>
      <c r="G26" s="14">
        <v>1</v>
      </c>
      <c r="H26" s="92">
        <f>IF(B$19=0,0,G26/B$19)</f>
        <v>2.0161290322580645E-3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8463.636363636364</v>
      </c>
      <c r="C27" s="100">
        <v>2606800</v>
      </c>
      <c r="E27" s="29" t="s">
        <v>84</v>
      </c>
      <c r="F27" s="26" t="s">
        <v>39</v>
      </c>
      <c r="G27" s="14">
        <v>1</v>
      </c>
      <c r="H27" s="92">
        <f>IF(B$19=0,0,G27/B$19)</f>
        <v>2.0161290322580645E-3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6728.1914893617022</v>
      </c>
      <c r="C28" s="100">
        <v>1264900</v>
      </c>
      <c r="E28" s="29" t="s">
        <v>95</v>
      </c>
      <c r="F28" s="26" t="s">
        <v>50</v>
      </c>
      <c r="G28" s="14">
        <v>1</v>
      </c>
      <c r="H28" s="92">
        <f>IF(B$19=0,0,G28/B$19)</f>
        <v>2.0161290322580645E-3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-7999.6309963099629</v>
      </c>
      <c r="C29" s="100">
        <v>-2167900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16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5.111821086261981E-3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42</v>
      </c>
      <c r="C36" s="102">
        <f t="shared" ref="C36:C48" si="3">IF(B$19=0,0,B36/B$19)</f>
        <v>8.4677419354838704E-2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93</v>
      </c>
      <c r="C37" s="8">
        <f t="shared" si="3"/>
        <v>0.1875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108</v>
      </c>
      <c r="C38" s="8">
        <f t="shared" si="3"/>
        <v>0.21774193548387097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99</v>
      </c>
      <c r="C39" s="8">
        <f t="shared" si="3"/>
        <v>0.19959677419354838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70</v>
      </c>
      <c r="C40" s="8">
        <f t="shared" si="3"/>
        <v>0.14112903225806453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3"/>
        <v>9.0725806451612906E-2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3"/>
        <v>3.2258064516129031E-2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3"/>
        <v>1.8145161290322582E-2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3"/>
        <v>1.2096774193548387E-2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3"/>
        <v>2.0161290322580645E-3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3"/>
        <v>6.0483870967741934E-3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3"/>
        <v>8.0645161290322578E-3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</sheetData>
  <sortState xmlns:xlrd2="http://schemas.microsoft.com/office/spreadsheetml/2017/richdata2" ref="E2:I191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F8D04-BEA7-4254-83CD-B65B48E85DF4}">
  <sheetPr codeName="Sheet13"/>
  <dimension ref="A1:Q108"/>
  <sheetViews>
    <sheetView showGridLines="0" topLeftCell="A14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106</v>
      </c>
      <c r="C2" s="130"/>
      <c r="E2" s="28" t="s">
        <v>66</v>
      </c>
      <c r="F2" s="25" t="s">
        <v>22</v>
      </c>
      <c r="G2" s="13">
        <v>188</v>
      </c>
      <c r="H2" s="91">
        <f>IF(B$19=0,0,G2/B$19)</f>
        <v>0.76113360323886636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-640.95238095238096</v>
      </c>
      <c r="P2" s="80">
        <v>105</v>
      </c>
      <c r="Q2" s="67">
        <v>-67300</v>
      </c>
    </row>
    <row r="3" spans="1:17" x14ac:dyDescent="0.45">
      <c r="A3" s="21" t="s">
        <v>8</v>
      </c>
      <c r="B3" s="131">
        <v>923</v>
      </c>
      <c r="C3" s="132"/>
      <c r="E3" s="29" t="s">
        <v>64</v>
      </c>
      <c r="F3" s="26" t="s">
        <v>20</v>
      </c>
      <c r="G3" s="14">
        <v>138</v>
      </c>
      <c r="H3" s="92">
        <f>IF(B$19=0,0,G3/B$19)</f>
        <v>0.5587044534412956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-829.52380952380952</v>
      </c>
      <c r="P3" s="81">
        <v>105</v>
      </c>
      <c r="Q3" s="68">
        <v>-87100</v>
      </c>
    </row>
    <row r="4" spans="1:17" x14ac:dyDescent="0.45">
      <c r="A4" s="21" t="s">
        <v>6</v>
      </c>
      <c r="B4" s="133">
        <v>-727.5</v>
      </c>
      <c r="C4" s="134"/>
      <c r="E4" s="29" t="s">
        <v>72</v>
      </c>
      <c r="F4" s="26" t="s">
        <v>27</v>
      </c>
      <c r="G4" s="14">
        <v>125</v>
      </c>
      <c r="H4" s="92">
        <f>IF(B$19=0,0,G4/B$19)</f>
        <v>0.50607287449392713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620.20202020202021</v>
      </c>
      <c r="P4" s="81">
        <v>99</v>
      </c>
      <c r="Q4" s="68">
        <v>61400</v>
      </c>
    </row>
    <row r="5" spans="1:17" x14ac:dyDescent="0.45">
      <c r="A5" s="21" t="s">
        <v>7</v>
      </c>
      <c r="B5" s="121">
        <f>IF(B$2=0,0,B$4/B$2)</f>
        <v>-6.8632075471698117</v>
      </c>
      <c r="C5" s="122"/>
      <c r="E5" s="29" t="s">
        <v>163</v>
      </c>
      <c r="F5" s="26" t="s">
        <v>164</v>
      </c>
      <c r="G5" s="14">
        <v>101</v>
      </c>
      <c r="H5" s="92">
        <f>IF(B$19=0,0,G5/B$19)</f>
        <v>0.40890688259109309</v>
      </c>
      <c r="I5" s="60">
        <v>4</v>
      </c>
      <c r="K5" s="7">
        <v>3</v>
      </c>
      <c r="L5" s="65">
        <v>-17.599999999999998</v>
      </c>
      <c r="N5" s="78" t="s">
        <v>133</v>
      </c>
      <c r="O5" s="84">
        <f t="shared" si="0"/>
        <v>-1004.1237113402062</v>
      </c>
      <c r="P5" s="81">
        <v>97</v>
      </c>
      <c r="Q5" s="68">
        <v>-97400</v>
      </c>
    </row>
    <row r="6" spans="1:17" x14ac:dyDescent="0.45">
      <c r="A6" s="21" t="s">
        <v>1</v>
      </c>
      <c r="B6" s="135">
        <f>IF(B$2=0,0,(B$7*1+B$8*2+B$9*3)/B$2)</f>
        <v>2.1698113207547172</v>
      </c>
      <c r="C6" s="136"/>
      <c r="E6" s="29" t="s">
        <v>68</v>
      </c>
      <c r="F6" s="26" t="s">
        <v>12</v>
      </c>
      <c r="G6" s="14">
        <v>87</v>
      </c>
      <c r="H6" s="92">
        <f>IF(B$19=0,0,G6/B$19)</f>
        <v>0.35222672064777327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-2415.217391304348</v>
      </c>
      <c r="P6" s="81">
        <v>92</v>
      </c>
      <c r="Q6" s="68">
        <v>-222200</v>
      </c>
    </row>
    <row r="7" spans="1:17" x14ac:dyDescent="0.45">
      <c r="A7" s="21" t="s">
        <v>2</v>
      </c>
      <c r="B7" s="14">
        <v>24</v>
      </c>
      <c r="C7" s="8">
        <f t="shared" ref="C7:C14" si="1">IF(B$2=0,0,B7/B$2)</f>
        <v>0.22641509433962265</v>
      </c>
      <c r="E7" s="29" t="s">
        <v>67</v>
      </c>
      <c r="F7" s="26" t="s">
        <v>23</v>
      </c>
      <c r="G7" s="14">
        <v>78</v>
      </c>
      <c r="H7" s="92">
        <f>IF(B$19=0,0,G7/B$19)</f>
        <v>0.31578947368421051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-1737.037037037037</v>
      </c>
      <c r="P7" s="82">
        <v>81</v>
      </c>
      <c r="Q7" s="69">
        <v>-140700</v>
      </c>
    </row>
    <row r="8" spans="1:17" x14ac:dyDescent="0.45">
      <c r="A8" s="21" t="s">
        <v>3</v>
      </c>
      <c r="B8" s="14">
        <v>40</v>
      </c>
      <c r="C8" s="8">
        <f t="shared" si="1"/>
        <v>0.37735849056603776</v>
      </c>
      <c r="E8" s="29" t="s">
        <v>69</v>
      </c>
      <c r="F8" s="26" t="s">
        <v>24</v>
      </c>
      <c r="G8" s="14">
        <v>36</v>
      </c>
      <c r="H8" s="92">
        <f>IF(B$19=0,0,G8/B$19)</f>
        <v>0.145748987854251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42</v>
      </c>
      <c r="C9" s="9">
        <f t="shared" si="1"/>
        <v>0.39622641509433965</v>
      </c>
      <c r="E9" s="29" t="s">
        <v>70</v>
      </c>
      <c r="F9" s="26" t="s">
        <v>25</v>
      </c>
      <c r="G9" s="14">
        <v>30</v>
      </c>
      <c r="H9" s="92">
        <f>IF(B$19=0,0,G9/B$19)</f>
        <v>0.1214574898785425</v>
      </c>
      <c r="I9" s="60">
        <v>5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24.866666666666664</v>
      </c>
      <c r="C10" s="114">
        <v>596.79999999999995</v>
      </c>
      <c r="E10" s="29" t="s">
        <v>89</v>
      </c>
      <c r="F10" s="26" t="s">
        <v>44</v>
      </c>
      <c r="G10" s="14">
        <v>30</v>
      </c>
      <c r="H10" s="92">
        <f>IF(B$19=0,0,G10/B$19)</f>
        <v>0.1214574898785425</v>
      </c>
      <c r="I10" s="60">
        <v>9</v>
      </c>
      <c r="K10" s="7">
        <v>8</v>
      </c>
      <c r="L10" s="65">
        <v>-62.999999999999993</v>
      </c>
      <c r="N10" s="77" t="s">
        <v>154</v>
      </c>
      <c r="O10" s="86">
        <f>IF(P10=0,0,Q10/P10)</f>
        <v>-6.65227272727273</v>
      </c>
      <c r="P10" s="80">
        <v>44</v>
      </c>
      <c r="Q10" s="71">
        <v>-292.7000000000001</v>
      </c>
    </row>
    <row r="11" spans="1:17" x14ac:dyDescent="0.45">
      <c r="A11" s="22" t="s">
        <v>204</v>
      </c>
      <c r="B11" s="113">
        <f>IF(B8=0,0,C11/B8)</f>
        <v>1.67</v>
      </c>
      <c r="C11" s="114">
        <v>66.8</v>
      </c>
      <c r="E11" s="29" t="s">
        <v>65</v>
      </c>
      <c r="F11" s="26" t="s">
        <v>21</v>
      </c>
      <c r="G11" s="14">
        <v>28</v>
      </c>
      <c r="H11" s="92">
        <f>IF(B$19=0,0,G11/B$19)</f>
        <v>0.11336032388663968</v>
      </c>
      <c r="I11" s="60">
        <v>8</v>
      </c>
      <c r="K11" s="7">
        <v>9</v>
      </c>
      <c r="L11" s="65">
        <v>-74.199999999999989</v>
      </c>
      <c r="N11" s="78" t="s">
        <v>155</v>
      </c>
      <c r="O11" s="87">
        <f>IF(P11=0,0,Q11/P11)</f>
        <v>-4.5258064516129046</v>
      </c>
      <c r="P11" s="81">
        <v>31</v>
      </c>
      <c r="Q11" s="72">
        <v>-140.30000000000004</v>
      </c>
    </row>
    <row r="12" spans="1:17" x14ac:dyDescent="0.45">
      <c r="A12" s="22" t="s">
        <v>205</v>
      </c>
      <c r="B12" s="113">
        <f>IF(B9=0,0,C12/B9)</f>
        <v>-33.121428571428567</v>
      </c>
      <c r="C12" s="114">
        <v>-1391.0999999999997</v>
      </c>
      <c r="E12" s="29" t="s">
        <v>83</v>
      </c>
      <c r="F12" s="26" t="s">
        <v>38</v>
      </c>
      <c r="G12" s="14">
        <v>15</v>
      </c>
      <c r="H12" s="92">
        <f>IF(B$19=0,0,G12/B$19)</f>
        <v>6.0728744939271252E-2</v>
      </c>
      <c r="I12" s="60">
        <v>4</v>
      </c>
      <c r="K12" s="7">
        <v>10</v>
      </c>
      <c r="L12" s="65">
        <v>-117.19999999999999</v>
      </c>
      <c r="N12" s="79" t="s">
        <v>156</v>
      </c>
      <c r="O12" s="88">
        <f>IF(P12=0,0,Q12/P12)</f>
        <v>-9.4999999999999982</v>
      </c>
      <c r="P12" s="82">
        <v>31</v>
      </c>
      <c r="Q12" s="73">
        <v>-294.49999999999994</v>
      </c>
    </row>
    <row r="13" spans="1:17" x14ac:dyDescent="0.45">
      <c r="A13" s="22" t="s">
        <v>206</v>
      </c>
      <c r="B13" s="121">
        <f>AVERAGE(B10:B12)</f>
        <v>-2.1949206349206349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4.4534412955465584E-2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7.5471698113207544E-2</v>
      </c>
      <c r="E14" s="29" t="s">
        <v>71</v>
      </c>
      <c r="F14" s="26" t="s">
        <v>26</v>
      </c>
      <c r="G14" s="14">
        <v>10</v>
      </c>
      <c r="H14" s="92">
        <f>IF(B$19=0,0,G14/B$19)</f>
        <v>4.048582995951417E-2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253</v>
      </c>
      <c r="C15" s="12">
        <f>IF(B$3=0,0,B15/B$3)</f>
        <v>0.27410617551462624</v>
      </c>
      <c r="E15" s="29" t="s">
        <v>78</v>
      </c>
      <c r="F15" s="26" t="s">
        <v>33</v>
      </c>
      <c r="G15" s="14">
        <v>8</v>
      </c>
      <c r="H15" s="92">
        <f>IF(B$19=0,0,G15/B$19)</f>
        <v>3.2388663967611336E-2</v>
      </c>
      <c r="I15" s="60">
        <v>5</v>
      </c>
      <c r="K15" s="7">
        <v>13</v>
      </c>
      <c r="L15" s="65">
        <v>-207.3</v>
      </c>
      <c r="N15" s="77" t="s">
        <v>195</v>
      </c>
      <c r="O15" s="86">
        <f t="shared" ref="O15:O23" si="2">IF(P15=0,0,Q15/P15)</f>
        <v>21.183333333333334</v>
      </c>
      <c r="P15" s="80">
        <v>6</v>
      </c>
      <c r="Q15" s="71">
        <v>127.1</v>
      </c>
    </row>
    <row r="16" spans="1:17" x14ac:dyDescent="0.45">
      <c r="A16" s="21" t="s">
        <v>118</v>
      </c>
      <c r="B16" s="14">
        <v>182</v>
      </c>
      <c r="C16" s="8">
        <f>IF(B$3=0,0,B16/B$3)</f>
        <v>0.19718309859154928</v>
      </c>
      <c r="E16" s="29" t="s">
        <v>81</v>
      </c>
      <c r="F16" s="26" t="s">
        <v>36</v>
      </c>
      <c r="G16" s="14">
        <v>6</v>
      </c>
      <c r="H16" s="92">
        <f>IF(B$19=0,0,G16/B$19)</f>
        <v>2.4291497975708502E-2</v>
      </c>
      <c r="I16" s="60">
        <v>5</v>
      </c>
      <c r="K16" s="7">
        <v>14</v>
      </c>
      <c r="L16" s="65">
        <v>-204.8</v>
      </c>
      <c r="N16" s="78" t="s">
        <v>167</v>
      </c>
      <c r="O16" s="87">
        <f t="shared" si="2"/>
        <v>4.1120000000000019</v>
      </c>
      <c r="P16" s="81">
        <v>25</v>
      </c>
      <c r="Q16" s="72">
        <v>102.80000000000005</v>
      </c>
    </row>
    <row r="17" spans="1:17" x14ac:dyDescent="0.45">
      <c r="A17" s="20" t="s">
        <v>123</v>
      </c>
      <c r="B17" s="13">
        <f>B23</f>
        <v>138</v>
      </c>
      <c r="C17" s="6">
        <f>IF(B$15=0,0,B17/B$15)</f>
        <v>0.54545454545454541</v>
      </c>
      <c r="E17" s="29" t="s">
        <v>79</v>
      </c>
      <c r="F17" s="26" t="s">
        <v>34</v>
      </c>
      <c r="G17" s="14">
        <v>4</v>
      </c>
      <c r="H17" s="92">
        <f>IF(B$19=0,0,G17/B$19)</f>
        <v>1.6194331983805668E-2</v>
      </c>
      <c r="I17" s="60">
        <v>5</v>
      </c>
      <c r="K17" s="7">
        <v>15</v>
      </c>
      <c r="L17" s="65">
        <v>-221.5</v>
      </c>
      <c r="N17" s="78" t="s">
        <v>158</v>
      </c>
      <c r="O17" s="87">
        <f t="shared" si="2"/>
        <v>1.5750000000000028</v>
      </c>
      <c r="P17" s="81">
        <v>20</v>
      </c>
      <c r="Q17" s="72">
        <v>31.500000000000057</v>
      </c>
    </row>
    <row r="18" spans="1:17" x14ac:dyDescent="0.45">
      <c r="A18" s="20" t="s">
        <v>124</v>
      </c>
      <c r="B18" s="13">
        <f>B24</f>
        <v>72</v>
      </c>
      <c r="C18" s="6">
        <f>IF(B$16=0,0,B18/B$16)</f>
        <v>0.39560439560439559</v>
      </c>
      <c r="E18" s="29" t="s">
        <v>159</v>
      </c>
      <c r="F18" s="26" t="s">
        <v>160</v>
      </c>
      <c r="G18" s="14">
        <v>4</v>
      </c>
      <c r="H18" s="92">
        <f>IF(B$19=0,0,G18/B$19)</f>
        <v>1.6194331983805668E-2</v>
      </c>
      <c r="I18" s="60">
        <v>5</v>
      </c>
      <c r="K18" s="7">
        <v>16</v>
      </c>
      <c r="L18" s="65">
        <v>-224.3</v>
      </c>
      <c r="N18" s="78" t="s">
        <v>194</v>
      </c>
      <c r="O18" s="87">
        <f t="shared" si="2"/>
        <v>-1.8909090909090898</v>
      </c>
      <c r="P18" s="81">
        <v>11</v>
      </c>
      <c r="Q18" s="72">
        <v>-20.799999999999986</v>
      </c>
    </row>
    <row r="19" spans="1:17" x14ac:dyDescent="0.45">
      <c r="A19" s="20" t="s">
        <v>10</v>
      </c>
      <c r="B19" s="13">
        <f>B22+B21</f>
        <v>247</v>
      </c>
      <c r="C19" s="6">
        <f>IF(B$3=0,0,B19/B$3)</f>
        <v>0.26760563380281688</v>
      </c>
      <c r="E19" s="29" t="s">
        <v>75</v>
      </c>
      <c r="F19" s="26" t="s">
        <v>30</v>
      </c>
      <c r="G19" s="14">
        <v>3</v>
      </c>
      <c r="H19" s="92">
        <f>IF(B$19=0,0,G19/B$19)</f>
        <v>1.2145748987854251E-2</v>
      </c>
      <c r="I19" s="60">
        <v>3</v>
      </c>
      <c r="K19" s="7">
        <v>17</v>
      </c>
      <c r="L19" s="65">
        <v>-251.4</v>
      </c>
      <c r="N19" s="78" t="s">
        <v>126</v>
      </c>
      <c r="O19" s="87">
        <f t="shared" si="2"/>
        <v>-15.148529411764704</v>
      </c>
      <c r="P19" s="81">
        <v>68</v>
      </c>
      <c r="Q19" s="72">
        <v>-1030.0999999999999</v>
      </c>
    </row>
    <row r="20" spans="1:17" x14ac:dyDescent="0.45">
      <c r="A20" s="21" t="s">
        <v>13</v>
      </c>
      <c r="B20" s="14">
        <v>169</v>
      </c>
      <c r="C20" s="8">
        <f>IF(B$3=0,0,B20/B$3)</f>
        <v>0.18309859154929578</v>
      </c>
      <c r="E20" s="29" t="s">
        <v>85</v>
      </c>
      <c r="F20" s="26" t="s">
        <v>40</v>
      </c>
      <c r="G20" s="14">
        <v>1</v>
      </c>
      <c r="H20" s="92">
        <f>IF(B$19=0,0,G20/B$19)</f>
        <v>4.048582995951417E-3</v>
      </c>
      <c r="I20" s="60">
        <v>7</v>
      </c>
      <c r="K20" s="7">
        <v>18</v>
      </c>
      <c r="L20" s="65">
        <v>-240</v>
      </c>
      <c r="N20" s="78" t="s">
        <v>168</v>
      </c>
      <c r="O20" s="87">
        <f t="shared" si="2"/>
        <v>-15.669230769230769</v>
      </c>
      <c r="P20" s="81">
        <v>26</v>
      </c>
      <c r="Q20" s="72">
        <v>-407.4</v>
      </c>
    </row>
    <row r="21" spans="1:17" x14ac:dyDescent="0.45">
      <c r="A21" s="21" t="s">
        <v>12</v>
      </c>
      <c r="B21" s="14">
        <v>118</v>
      </c>
      <c r="C21" s="8">
        <f>IF(B$19=0,0,B21/B$19)</f>
        <v>0.47773279352226722</v>
      </c>
      <c r="E21" s="29" t="s">
        <v>91</v>
      </c>
      <c r="F21" s="26" t="s">
        <v>46</v>
      </c>
      <c r="G21" s="14">
        <v>1</v>
      </c>
      <c r="H21" s="92">
        <f>IF(B$19=0,0,G21/B$19)</f>
        <v>4.048582995951417E-3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2"/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129</v>
      </c>
      <c r="C22" s="8">
        <f>IF(B$19=0,0,B22/B$19)</f>
        <v>0.52226720647773284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-177.6</v>
      </c>
      <c r="N22" s="78" t="s">
        <v>275</v>
      </c>
      <c r="O22" s="87">
        <f t="shared" si="2"/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138</v>
      </c>
      <c r="C23" s="8">
        <f>IF(B$19=0,0,B23/B$19)</f>
        <v>0.5587044534412956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-133.30000000000001</v>
      </c>
      <c r="N23" s="78" t="s">
        <v>201</v>
      </c>
      <c r="O23" s="87">
        <f t="shared" si="2"/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72</v>
      </c>
      <c r="C24" s="8">
        <f>IF(B$19=0,0,B24/B$19)</f>
        <v>0.291497975708502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37</v>
      </c>
      <c r="C25" s="8">
        <f>IF(B$19=0,0,B25/B$19)</f>
        <v>0.14979757085020243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7870.0404858299598</v>
      </c>
      <c r="C26" s="10">
        <v>1943900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8484</v>
      </c>
      <c r="C27" s="100">
        <v>1484700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6377.7777777777774</v>
      </c>
      <c r="C28" s="100">
        <v>459200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-7752.6627218934909</v>
      </c>
      <c r="C29" s="100">
        <v>-1310200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7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69500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3.2502708559046588E-3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3">IF(B$19=0,0,B36/B$19)</f>
        <v>7.6923076923076927E-2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39</v>
      </c>
      <c r="C37" s="8">
        <f t="shared" si="3"/>
        <v>0.15789473684210525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3"/>
        <v>0.22672064777327935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3"/>
        <v>0.16599190283400811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42</v>
      </c>
      <c r="C40" s="8">
        <f t="shared" si="3"/>
        <v>0.17004048582995951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3"/>
        <v>9.7165991902834009E-2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14</v>
      </c>
      <c r="C42" s="8">
        <f t="shared" si="3"/>
        <v>5.6680161943319839E-2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3"/>
        <v>2.8340080971659919E-2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3"/>
        <v>4.048582995951417E-3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3"/>
        <v>4.048582995951417E-3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3"/>
        <v>4.048582995951417E-3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3"/>
        <v>8.0971659919028341E-3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</sheetData>
  <sortState xmlns:xlrd2="http://schemas.microsoft.com/office/spreadsheetml/2017/richdata2" ref="E2:I10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2336-32EC-4BB2-8C53-FBC5C392609F}">
  <sheetPr codeName="Sheet15"/>
  <dimension ref="A1:Q16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161</v>
      </c>
      <c r="C2" s="130"/>
      <c r="E2" s="28" t="s">
        <v>66</v>
      </c>
      <c r="F2" s="25" t="s">
        <v>22</v>
      </c>
      <c r="G2" s="13">
        <v>335</v>
      </c>
      <c r="H2" s="91">
        <f>IF(B$19=0,0,G2/B$19)</f>
        <v>0.92032967032967028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1856.25</v>
      </c>
      <c r="P2" s="80">
        <v>160</v>
      </c>
      <c r="Q2" s="67">
        <v>297000</v>
      </c>
    </row>
    <row r="3" spans="1:17" x14ac:dyDescent="0.45">
      <c r="A3" s="21" t="s">
        <v>8</v>
      </c>
      <c r="B3" s="131">
        <v>1309</v>
      </c>
      <c r="C3" s="132"/>
      <c r="E3" s="29" t="s">
        <v>72</v>
      </c>
      <c r="F3" s="26" t="s">
        <v>27</v>
      </c>
      <c r="G3" s="14">
        <v>208</v>
      </c>
      <c r="H3" s="92">
        <f>IF(B$19=0,0,G3/B$19)</f>
        <v>0.5714285714285714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-2210.2564102564102</v>
      </c>
      <c r="P3" s="81">
        <v>156</v>
      </c>
      <c r="Q3" s="68">
        <v>-344800</v>
      </c>
    </row>
    <row r="4" spans="1:17" x14ac:dyDescent="0.45">
      <c r="A4" s="21" t="s">
        <v>6</v>
      </c>
      <c r="B4" s="133">
        <v>796.40000000000043</v>
      </c>
      <c r="C4" s="134"/>
      <c r="E4" s="29" t="s">
        <v>64</v>
      </c>
      <c r="F4" s="26" t="s">
        <v>20</v>
      </c>
      <c r="G4" s="14">
        <v>194</v>
      </c>
      <c r="H4" s="92">
        <f>IF(B$19=0,0,G4/B$19)</f>
        <v>0.53296703296703296</v>
      </c>
      <c r="I4" s="60">
        <v>7</v>
      </c>
      <c r="K4" s="7">
        <v>2</v>
      </c>
      <c r="L4" s="65">
        <v>-67.3</v>
      </c>
      <c r="N4" s="78" t="s">
        <v>132</v>
      </c>
      <c r="O4" s="84">
        <f t="shared" si="0"/>
        <v>226.05633802816902</v>
      </c>
      <c r="P4" s="81">
        <v>142</v>
      </c>
      <c r="Q4" s="68">
        <v>32100</v>
      </c>
    </row>
    <row r="5" spans="1:17" x14ac:dyDescent="0.45">
      <c r="A5" s="21" t="s">
        <v>7</v>
      </c>
      <c r="B5" s="121">
        <f>IF(B$2=0,0,B$4/B$2)</f>
        <v>4.9465838509316793</v>
      </c>
      <c r="C5" s="122"/>
      <c r="E5" s="29" t="s">
        <v>163</v>
      </c>
      <c r="F5" s="26" t="s">
        <v>164</v>
      </c>
      <c r="G5" s="14">
        <v>142</v>
      </c>
      <c r="H5" s="92">
        <f>IF(B$19=0,0,G5/B$19)</f>
        <v>0.39010989010989011</v>
      </c>
      <c r="I5" s="60">
        <v>8</v>
      </c>
      <c r="K5" s="7">
        <v>3</v>
      </c>
      <c r="L5" s="65">
        <v>-113.8</v>
      </c>
      <c r="N5" s="78" t="s">
        <v>133</v>
      </c>
      <c r="O5" s="84">
        <f t="shared" si="0"/>
        <v>2270.9923664122139</v>
      </c>
      <c r="P5" s="81">
        <v>131</v>
      </c>
      <c r="Q5" s="68">
        <v>297500</v>
      </c>
    </row>
    <row r="6" spans="1:17" x14ac:dyDescent="0.45">
      <c r="A6" s="21" t="s">
        <v>1</v>
      </c>
      <c r="B6" s="135">
        <f>IF(B$2=0,0,(B$7*1+B$8*2+B$9*3)/B$2)</f>
        <v>1.9130434782608696</v>
      </c>
      <c r="C6" s="136"/>
      <c r="E6" s="29" t="s">
        <v>68</v>
      </c>
      <c r="F6" s="26" t="s">
        <v>12</v>
      </c>
      <c r="G6" s="14">
        <v>140</v>
      </c>
      <c r="H6" s="92">
        <f>IF(B$19=0,0,G6/B$19)</f>
        <v>0.38461538461538464</v>
      </c>
      <c r="I6" s="60">
        <v>3</v>
      </c>
      <c r="K6" s="7">
        <v>4</v>
      </c>
      <c r="L6" s="65">
        <v>-74.599999999999994</v>
      </c>
      <c r="N6" s="78" t="s">
        <v>134</v>
      </c>
      <c r="O6" s="84">
        <f t="shared" si="0"/>
        <v>1561.3445378151262</v>
      </c>
      <c r="P6" s="81">
        <v>119</v>
      </c>
      <c r="Q6" s="68">
        <v>185800</v>
      </c>
    </row>
    <row r="7" spans="1:17" x14ac:dyDescent="0.45">
      <c r="A7" s="21" t="s">
        <v>2</v>
      </c>
      <c r="B7" s="14">
        <v>65</v>
      </c>
      <c r="C7" s="8">
        <f t="shared" ref="C7:C14" si="1">IF(B$2=0,0,B7/B$2)</f>
        <v>0.40372670807453415</v>
      </c>
      <c r="E7" s="29" t="s">
        <v>67</v>
      </c>
      <c r="F7" s="26" t="s">
        <v>23</v>
      </c>
      <c r="G7" s="14">
        <v>138</v>
      </c>
      <c r="H7" s="92">
        <f>IF(B$19=0,0,G7/B$19)</f>
        <v>0.37912087912087911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352.22222222222223</v>
      </c>
      <c r="P7" s="82">
        <v>90</v>
      </c>
      <c r="Q7" s="69">
        <v>31700</v>
      </c>
    </row>
    <row r="8" spans="1:17" x14ac:dyDescent="0.45">
      <c r="A8" s="21" t="s">
        <v>3</v>
      </c>
      <c r="B8" s="14">
        <v>45</v>
      </c>
      <c r="C8" s="8">
        <f t="shared" si="1"/>
        <v>0.27950310559006208</v>
      </c>
      <c r="E8" s="29" t="s">
        <v>89</v>
      </c>
      <c r="F8" s="26" t="s">
        <v>44</v>
      </c>
      <c r="G8" s="14">
        <v>89</v>
      </c>
      <c r="H8" s="92">
        <f>IF(B$19=0,0,G8/B$19)</f>
        <v>0.2445054945054945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51</v>
      </c>
      <c r="C9" s="9">
        <f t="shared" si="1"/>
        <v>0.31677018633540371</v>
      </c>
      <c r="E9" s="29" t="s">
        <v>69</v>
      </c>
      <c r="F9" s="26" t="s">
        <v>24</v>
      </c>
      <c r="G9" s="14">
        <v>73</v>
      </c>
      <c r="H9" s="92">
        <f>IF(B$19=0,0,G9/B$19)</f>
        <v>0.20054945054945056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41.347692307692299</v>
      </c>
      <c r="C10" s="114">
        <v>2687.5999999999995</v>
      </c>
      <c r="E10" s="29" t="s">
        <v>65</v>
      </c>
      <c r="F10" s="26" t="s">
        <v>21</v>
      </c>
      <c r="G10" s="14">
        <v>50</v>
      </c>
      <c r="H10" s="92">
        <f>IF(B$19=0,0,G10/B$19)</f>
        <v>0.13736263736263737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-7.3666666666666663</v>
      </c>
      <c r="P10" s="80">
        <v>45</v>
      </c>
      <c r="Q10" s="71">
        <v>-331.5</v>
      </c>
    </row>
    <row r="11" spans="1:17" x14ac:dyDescent="0.45">
      <c r="A11" s="22" t="s">
        <v>204</v>
      </c>
      <c r="B11" s="113">
        <f>IF(B8=0,0,C11/B8)</f>
        <v>-0.74666666666666748</v>
      </c>
      <c r="C11" s="114">
        <v>-33.600000000000037</v>
      </c>
      <c r="E11" s="29" t="s">
        <v>70</v>
      </c>
      <c r="F11" s="26" t="s">
        <v>25</v>
      </c>
      <c r="G11" s="14">
        <v>46</v>
      </c>
      <c r="H11" s="92">
        <f>IF(B$19=0,0,G11/B$19)</f>
        <v>0.12637362637362637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7.9299999999999979</v>
      </c>
      <c r="P11" s="81">
        <v>60</v>
      </c>
      <c r="Q11" s="72">
        <v>475.7999999999999</v>
      </c>
    </row>
    <row r="12" spans="1:17" x14ac:dyDescent="0.45">
      <c r="A12" s="22" t="s">
        <v>205</v>
      </c>
      <c r="B12" s="113">
        <f>IF(B9=0,0,C12/B9)</f>
        <v>-36.423529411764711</v>
      </c>
      <c r="C12" s="114">
        <v>-1857.6000000000001</v>
      </c>
      <c r="E12" s="29" t="s">
        <v>71</v>
      </c>
      <c r="F12" s="26" t="s">
        <v>26</v>
      </c>
      <c r="G12" s="14">
        <v>23</v>
      </c>
      <c r="H12" s="92">
        <f>IF(B$19=0,0,G12/B$19)</f>
        <v>6.3186813186813184E-2</v>
      </c>
      <c r="I12" s="60">
        <v>11</v>
      </c>
      <c r="K12" s="7">
        <v>10</v>
      </c>
      <c r="L12" s="65">
        <v>-113.29999999999998</v>
      </c>
      <c r="N12" s="79" t="s">
        <v>156</v>
      </c>
      <c r="O12" s="88">
        <f>IF(P12=0,0,Q12/P12)</f>
        <v>11.644642857142857</v>
      </c>
      <c r="P12" s="82">
        <v>56</v>
      </c>
      <c r="Q12" s="73">
        <v>652.1</v>
      </c>
    </row>
    <row r="13" spans="1:17" x14ac:dyDescent="0.45">
      <c r="A13" s="22" t="s">
        <v>206</v>
      </c>
      <c r="B13" s="121">
        <f>AVERAGE(B10:B12)</f>
        <v>1.3924987430869724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5.21978021978022E-2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0.11801242236024845</v>
      </c>
      <c r="E14" s="29" t="s">
        <v>83</v>
      </c>
      <c r="F14" s="26" t="s">
        <v>38</v>
      </c>
      <c r="G14" s="14">
        <v>12</v>
      </c>
      <c r="H14" s="92">
        <f>IF(B$19=0,0,G14/B$19)</f>
        <v>3.2967032967032968E-2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388</v>
      </c>
      <c r="C15" s="12">
        <f>IF(B$3=0,0,B15/B$3)</f>
        <v>0.29640947288006114</v>
      </c>
      <c r="E15" s="29" t="s">
        <v>86</v>
      </c>
      <c r="F15" s="26" t="s">
        <v>41</v>
      </c>
      <c r="G15" s="14">
        <v>12</v>
      </c>
      <c r="H15" s="92">
        <f>IF(B$19=0,0,G15/B$19)</f>
        <v>3.2967032967032968E-2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248</v>
      </c>
      <c r="C16" s="8">
        <f>IF(B$3=0,0,B16/B$3)</f>
        <v>0.18945760122230709</v>
      </c>
      <c r="E16" s="29" t="s">
        <v>91</v>
      </c>
      <c r="F16" s="26" t="s">
        <v>46</v>
      </c>
      <c r="G16" s="14">
        <v>8</v>
      </c>
      <c r="H16" s="92">
        <f>IF(B$19=0,0,G16/B$19)</f>
        <v>2.197802197802198E-2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>IF(P16=0,0,Q16/P16)</f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211</v>
      </c>
      <c r="C17" s="6">
        <f>IF(B$15=0,0,B17/B$15)</f>
        <v>0.54381443298969068</v>
      </c>
      <c r="E17" s="29" t="s">
        <v>81</v>
      </c>
      <c r="F17" s="26" t="s">
        <v>36</v>
      </c>
      <c r="G17" s="14">
        <v>6</v>
      </c>
      <c r="H17" s="92">
        <f>IF(B$19=0,0,G17/B$19)</f>
        <v>1.6483516483516484E-2</v>
      </c>
      <c r="I17" s="60">
        <v>7</v>
      </c>
      <c r="K17" s="7">
        <v>15</v>
      </c>
      <c r="L17" s="65">
        <v>-101.79999999999997</v>
      </c>
      <c r="N17" s="78" t="s">
        <v>195</v>
      </c>
      <c r="O17" s="87">
        <f>IF(P17=0,0,Q17/P17)</f>
        <v>19.176470588235297</v>
      </c>
      <c r="P17" s="81">
        <v>34</v>
      </c>
      <c r="Q17" s="72">
        <v>652.00000000000011</v>
      </c>
    </row>
    <row r="18" spans="1:17" x14ac:dyDescent="0.45">
      <c r="A18" s="20" t="s">
        <v>124</v>
      </c>
      <c r="B18" s="13">
        <f>B24</f>
        <v>96</v>
      </c>
      <c r="C18" s="6">
        <f>IF(B$16=0,0,B18/B$16)</f>
        <v>0.38709677419354838</v>
      </c>
      <c r="E18" s="29" t="s">
        <v>92</v>
      </c>
      <c r="F18" s="26" t="s">
        <v>47</v>
      </c>
      <c r="G18" s="14">
        <v>6</v>
      </c>
      <c r="H18" s="92">
        <f>IF(B$19=0,0,G18/B$19)</f>
        <v>1.6483516483516484E-2</v>
      </c>
      <c r="I18" s="60">
        <v>1</v>
      </c>
      <c r="K18" s="7">
        <v>16</v>
      </c>
      <c r="L18" s="65">
        <v>-63.099999999999966</v>
      </c>
      <c r="N18" s="78" t="s">
        <v>168</v>
      </c>
      <c r="O18" s="87">
        <f>IF(P18=0,0,Q18/P18)</f>
        <v>8.4520547945205458</v>
      </c>
      <c r="P18" s="81">
        <v>73</v>
      </c>
      <c r="Q18" s="72">
        <v>616.99999999999989</v>
      </c>
    </row>
    <row r="19" spans="1:17" x14ac:dyDescent="0.45">
      <c r="A19" s="20" t="s">
        <v>10</v>
      </c>
      <c r="B19" s="13">
        <f>B22+B21</f>
        <v>364</v>
      </c>
      <c r="C19" s="6">
        <f>IF(B$3=0,0,B19/B$3)</f>
        <v>0.27807486631016043</v>
      </c>
      <c r="E19" s="29" t="s">
        <v>78</v>
      </c>
      <c r="F19" s="26" t="s">
        <v>33</v>
      </c>
      <c r="G19" s="14">
        <v>5</v>
      </c>
      <c r="H19" s="92">
        <f>IF(B$19=0,0,G19/B$19)</f>
        <v>1.3736263736263736E-2</v>
      </c>
      <c r="I19" s="60">
        <v>8</v>
      </c>
      <c r="K19" s="7">
        <v>17</v>
      </c>
      <c r="L19" s="65">
        <v>-55.799999999999969</v>
      </c>
      <c r="N19" s="78" t="s">
        <v>194</v>
      </c>
      <c r="O19" s="87">
        <f>IF(P19=0,0,Q19/P19)</f>
        <v>5.1500000000000012</v>
      </c>
      <c r="P19" s="81">
        <v>10</v>
      </c>
      <c r="Q19" s="72">
        <v>51.500000000000014</v>
      </c>
    </row>
    <row r="20" spans="1:17" x14ac:dyDescent="0.45">
      <c r="A20" s="21" t="s">
        <v>13</v>
      </c>
      <c r="B20" s="14">
        <v>221</v>
      </c>
      <c r="C20" s="8">
        <f>IF(B$3=0,0,B20/B$3)</f>
        <v>0.16883116883116883</v>
      </c>
      <c r="E20" s="29" t="s">
        <v>79</v>
      </c>
      <c r="F20" s="26" t="s">
        <v>34</v>
      </c>
      <c r="G20" s="14">
        <v>4</v>
      </c>
      <c r="H20" s="92">
        <f>IF(B$19=0,0,G20/B$19)</f>
        <v>1.098901098901099E-2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>IF(P20=0,0,Q20/P20)</f>
        <v>3.8437499999999996</v>
      </c>
      <c r="P20" s="81">
        <v>64</v>
      </c>
      <c r="Q20" s="72">
        <v>245.99999999999997</v>
      </c>
    </row>
    <row r="21" spans="1:17" x14ac:dyDescent="0.45">
      <c r="A21" s="21" t="s">
        <v>12</v>
      </c>
      <c r="B21" s="14">
        <v>186</v>
      </c>
      <c r="C21" s="8">
        <f>IF(B$19=0,0,B21/B$19)</f>
        <v>0.51098901098901095</v>
      </c>
      <c r="E21" s="29" t="s">
        <v>85</v>
      </c>
      <c r="F21" s="26" t="s">
        <v>40</v>
      </c>
      <c r="G21" s="14">
        <v>4</v>
      </c>
      <c r="H21" s="92">
        <f>IF(B$19=0,0,G21/B$19)</f>
        <v>1.098901098901099E-2</v>
      </c>
      <c r="I21" s="60">
        <v>3</v>
      </c>
      <c r="K21" s="7">
        <v>19</v>
      </c>
      <c r="L21" s="65">
        <v>-27.799999999999969</v>
      </c>
      <c r="N21" s="78" t="s">
        <v>126</v>
      </c>
      <c r="O21" s="87">
        <f>IF(P21=0,0,Q21/P21)</f>
        <v>-1.6915492957746483</v>
      </c>
      <c r="P21" s="81">
        <v>71</v>
      </c>
      <c r="Q21" s="72">
        <v>-120.10000000000002</v>
      </c>
    </row>
    <row r="22" spans="1:17" x14ac:dyDescent="0.45">
      <c r="A22" s="21" t="s">
        <v>11</v>
      </c>
      <c r="B22" s="14">
        <v>178</v>
      </c>
      <c r="C22" s="8">
        <f>IF(B$19=0,0,B22/B$19)</f>
        <v>0.48901098901098899</v>
      </c>
      <c r="E22" s="29" t="s">
        <v>84</v>
      </c>
      <c r="F22" s="26" t="s">
        <v>39</v>
      </c>
      <c r="G22" s="14">
        <v>3</v>
      </c>
      <c r="H22" s="92">
        <f>IF(B$19=0,0,G22/B$19)</f>
        <v>8.241758241758242E-3</v>
      </c>
      <c r="I22" s="60">
        <v>1</v>
      </c>
      <c r="K22" s="7">
        <v>20</v>
      </c>
      <c r="L22" s="65">
        <v>-50.39999999999997</v>
      </c>
      <c r="N22" s="78" t="s">
        <v>275</v>
      </c>
      <c r="O22" s="87">
        <f>IF(P22=0,0,Q22/P22)</f>
        <v>-2.910000000000001</v>
      </c>
      <c r="P22" s="81">
        <v>10</v>
      </c>
      <c r="Q22" s="72">
        <v>-29.100000000000009</v>
      </c>
    </row>
    <row r="23" spans="1:17" x14ac:dyDescent="0.45">
      <c r="A23" s="21" t="s">
        <v>192</v>
      </c>
      <c r="B23" s="14">
        <v>211</v>
      </c>
      <c r="C23" s="8">
        <f>IF(B$19=0,0,B23/B$19)</f>
        <v>0.57967032967032972</v>
      </c>
      <c r="E23" s="29" t="s">
        <v>73</v>
      </c>
      <c r="F23" s="26" t="s">
        <v>28</v>
      </c>
      <c r="G23" s="14">
        <v>2</v>
      </c>
      <c r="H23" s="92">
        <f>IF(B$19=0,0,G23/B$19)</f>
        <v>5.4945054945054949E-3</v>
      </c>
      <c r="I23" s="60">
        <v>3</v>
      </c>
      <c r="K23" s="7">
        <v>21</v>
      </c>
      <c r="L23" s="65">
        <v>-59.89999999999997</v>
      </c>
      <c r="N23" s="78" t="s">
        <v>169</v>
      </c>
      <c r="O23" s="87">
        <f>IF(P23=0,0,Q23/P23)</f>
        <v>-4.1120000000000001</v>
      </c>
      <c r="P23" s="81">
        <v>25</v>
      </c>
      <c r="Q23" s="72">
        <v>-102.80000000000001</v>
      </c>
    </row>
    <row r="24" spans="1:17" x14ac:dyDescent="0.45">
      <c r="A24" s="21" t="s">
        <v>190</v>
      </c>
      <c r="B24" s="14">
        <v>96</v>
      </c>
      <c r="C24" s="8">
        <f>IF(B$19=0,0,B24/B$19)</f>
        <v>0.26373626373626374</v>
      </c>
      <c r="E24" s="29" t="s">
        <v>75</v>
      </c>
      <c r="F24" s="26" t="s">
        <v>30</v>
      </c>
      <c r="G24" s="14">
        <v>2</v>
      </c>
      <c r="H24" s="92">
        <f>IF(B$19=0,0,G24/B$19)</f>
        <v>5.4945054945054949E-3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57</v>
      </c>
      <c r="C25" s="8">
        <f>IF(B$19=0,0,B25/B$19)</f>
        <v>0.15659340659340659</v>
      </c>
      <c r="E25" s="29" t="s">
        <v>77</v>
      </c>
      <c r="F25" s="26" t="s">
        <v>32</v>
      </c>
      <c r="G25" s="14">
        <v>2</v>
      </c>
      <c r="H25" s="92">
        <f>IF(B$19=0,0,G25/B$19)</f>
        <v>5.4945054945054949E-3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11031.868131868132</v>
      </c>
      <c r="C26" s="10">
        <v>4015600</v>
      </c>
      <c r="E26" s="29" t="s">
        <v>90</v>
      </c>
      <c r="F26" s="26" t="s">
        <v>45</v>
      </c>
      <c r="G26" s="14">
        <v>2</v>
      </c>
      <c r="H26" s="92">
        <f>IF(B$19=0,0,G26/B$19)</f>
        <v>5.4945054945054949E-3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11686.194029850747</v>
      </c>
      <c r="C27" s="100">
        <v>3131900</v>
      </c>
      <c r="E27" s="29" t="s">
        <v>88</v>
      </c>
      <c r="F27" s="26" t="s">
        <v>43</v>
      </c>
      <c r="G27" s="14">
        <v>1</v>
      </c>
      <c r="H27" s="92">
        <f>IF(B$19=0,0,G27/B$19)</f>
        <v>2.7472527472527475E-3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9205.2083333333339</v>
      </c>
      <c r="C28" s="100">
        <v>883700</v>
      </c>
      <c r="E28" s="29" t="s">
        <v>93</v>
      </c>
      <c r="F28" s="26" t="s">
        <v>48</v>
      </c>
      <c r="G28" s="14">
        <v>1</v>
      </c>
      <c r="H28" s="92">
        <f>IF(B$19=0,0,G28/B$19)</f>
        <v>2.7472527472527475E-3</v>
      </c>
      <c r="I28" s="60">
        <v>3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-8361.538461538461</v>
      </c>
      <c r="C29" s="100">
        <v>-1847900</v>
      </c>
      <c r="E29" s="29" t="s">
        <v>95</v>
      </c>
      <c r="F29" s="26" t="s">
        <v>50</v>
      </c>
      <c r="G29" s="14">
        <v>1</v>
      </c>
      <c r="H29" s="92">
        <f>IF(B$19=0,0,G29/B$19)</f>
        <v>2.7472527472527475E-3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2.7472527472527475E-3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2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1.5278838808250573E-3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2">IF(B$19=0,0,B36/B$19)</f>
        <v>2.7472527472527472E-2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31</v>
      </c>
      <c r="C37" s="8">
        <f t="shared" si="2"/>
        <v>8.5164835164835168E-2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50</v>
      </c>
      <c r="C38" s="8">
        <f t="shared" si="2"/>
        <v>0.13736263736263737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66</v>
      </c>
      <c r="C39" s="8">
        <f t="shared" si="2"/>
        <v>0.18131868131868131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76</v>
      </c>
      <c r="C40" s="8">
        <f t="shared" si="2"/>
        <v>0.2087912087912088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2"/>
        <v>0.14010989010989011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2"/>
        <v>7.4175824175824176E-2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24</v>
      </c>
      <c r="C43" s="8">
        <f t="shared" si="2"/>
        <v>6.5934065934065936E-2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11</v>
      </c>
      <c r="C44" s="8">
        <f t="shared" si="2"/>
        <v>3.021978021978022E-2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2"/>
        <v>8.241758241758242E-3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2"/>
        <v>8.241758241758242E-3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2"/>
        <v>2.7472527472527475E-3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2"/>
        <v>3.021978021978022E-2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4263-9889-4381-B55F-EF9E9388E37D}">
  <sheetPr codeName="Sheet17"/>
  <dimension ref="A1:Q164"/>
  <sheetViews>
    <sheetView showGridLines="0" topLeftCell="A11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162</v>
      </c>
      <c r="C2" s="130"/>
      <c r="E2" s="28" t="s">
        <v>66</v>
      </c>
      <c r="F2" s="25" t="s">
        <v>22</v>
      </c>
      <c r="G2" s="13">
        <v>270</v>
      </c>
      <c r="H2" s="91">
        <f>IF(B$19=0,0,G2/B$19)</f>
        <v>0.7458563535911602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-223.45679012345678</v>
      </c>
      <c r="P2" s="80">
        <v>162</v>
      </c>
      <c r="Q2" s="67">
        <v>-36200</v>
      </c>
    </row>
    <row r="3" spans="1:17" x14ac:dyDescent="0.45">
      <c r="A3" s="21" t="s">
        <v>8</v>
      </c>
      <c r="B3" s="131">
        <v>1315</v>
      </c>
      <c r="C3" s="132"/>
      <c r="E3" s="29" t="s">
        <v>72</v>
      </c>
      <c r="F3" s="26" t="s">
        <v>27</v>
      </c>
      <c r="G3" s="14">
        <v>196</v>
      </c>
      <c r="H3" s="92">
        <f>IF(B$19=0,0,G3/B$19)</f>
        <v>0.54143646408839774</v>
      </c>
      <c r="I3" s="60">
        <v>7</v>
      </c>
      <c r="K3" s="7">
        <v>1</v>
      </c>
      <c r="L3" s="65">
        <v>46.9</v>
      </c>
      <c r="N3" s="78" t="s">
        <v>131</v>
      </c>
      <c r="O3" s="84">
        <f t="shared" si="0"/>
        <v>528.93081761006295</v>
      </c>
      <c r="P3" s="81">
        <v>159</v>
      </c>
      <c r="Q3" s="68">
        <v>84100</v>
      </c>
    </row>
    <row r="4" spans="1:17" x14ac:dyDescent="0.45">
      <c r="A4" s="21" t="s">
        <v>6</v>
      </c>
      <c r="B4" s="133">
        <v>-87.8</v>
      </c>
      <c r="C4" s="134"/>
      <c r="E4" s="29" t="s">
        <v>64</v>
      </c>
      <c r="F4" s="26" t="s">
        <v>20</v>
      </c>
      <c r="G4" s="14">
        <v>175</v>
      </c>
      <c r="H4" s="92">
        <f>IF(B$19=0,0,G4/B$19)</f>
        <v>0.48342541436464087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200</v>
      </c>
      <c r="P4" s="81">
        <v>150</v>
      </c>
      <c r="Q4" s="68">
        <v>30000</v>
      </c>
    </row>
    <row r="5" spans="1:17" x14ac:dyDescent="0.45">
      <c r="A5" s="21" t="s">
        <v>7</v>
      </c>
      <c r="B5" s="121">
        <f>IF(B$2=0,0,B$4/B$2)</f>
        <v>-0.5419753086419753</v>
      </c>
      <c r="C5" s="122"/>
      <c r="E5" s="29" t="s">
        <v>163</v>
      </c>
      <c r="F5" s="26" t="s">
        <v>164</v>
      </c>
      <c r="G5" s="14">
        <v>161</v>
      </c>
      <c r="H5" s="92">
        <f>IF(B$19=0,0,G5/B$19)</f>
        <v>0.44475138121546959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11.764705882352942</v>
      </c>
      <c r="P5" s="81">
        <v>136</v>
      </c>
      <c r="Q5" s="68">
        <v>1600</v>
      </c>
    </row>
    <row r="6" spans="1:17" x14ac:dyDescent="0.45">
      <c r="A6" s="21" t="s">
        <v>1</v>
      </c>
      <c r="B6" s="135">
        <f>IF(B$2=0,0,(B$7*1+B$8*2+B$9*3)/B$2)</f>
        <v>2.0432098765432101</v>
      </c>
      <c r="C6" s="136"/>
      <c r="E6" s="29" t="s">
        <v>68</v>
      </c>
      <c r="F6" s="26" t="s">
        <v>12</v>
      </c>
      <c r="G6" s="14">
        <v>117</v>
      </c>
      <c r="H6" s="92">
        <f>IF(B$19=0,0,G6/B$19)</f>
        <v>0.32320441988950277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68.032786885245898</v>
      </c>
      <c r="P6" s="81">
        <v>122</v>
      </c>
      <c r="Q6" s="68">
        <v>8300</v>
      </c>
    </row>
    <row r="7" spans="1:17" x14ac:dyDescent="0.45">
      <c r="A7" s="21" t="s">
        <v>2</v>
      </c>
      <c r="B7" s="14">
        <v>42</v>
      </c>
      <c r="C7" s="8">
        <f t="shared" ref="C7:C14" si="1">IF(B$2=0,0,B7/B$2)</f>
        <v>0.25925925925925924</v>
      </c>
      <c r="E7" s="29" t="s">
        <v>67</v>
      </c>
      <c r="F7" s="26" t="s">
        <v>23</v>
      </c>
      <c r="G7" s="14">
        <v>116</v>
      </c>
      <c r="H7" s="92">
        <f>IF(B$19=0,0,G7/B$19)</f>
        <v>0.32044198895027626</v>
      </c>
      <c r="I7" s="60">
        <v>6</v>
      </c>
      <c r="K7" s="7">
        <v>5</v>
      </c>
      <c r="L7" s="65">
        <v>-1.6000000000000014</v>
      </c>
      <c r="N7" s="79" t="s">
        <v>135</v>
      </c>
      <c r="O7" s="85">
        <f t="shared" si="0"/>
        <v>-749.03846153846155</v>
      </c>
      <c r="P7" s="82">
        <v>104</v>
      </c>
      <c r="Q7" s="69">
        <v>-77900</v>
      </c>
    </row>
    <row r="8" spans="1:17" x14ac:dyDescent="0.45">
      <c r="A8" s="21" t="s">
        <v>3</v>
      </c>
      <c r="B8" s="14">
        <v>71</v>
      </c>
      <c r="C8" s="8">
        <f t="shared" si="1"/>
        <v>0.43827160493827161</v>
      </c>
      <c r="E8" s="29" t="s">
        <v>89</v>
      </c>
      <c r="F8" s="26" t="s">
        <v>44</v>
      </c>
      <c r="G8" s="14">
        <v>51</v>
      </c>
      <c r="H8" s="92">
        <f>IF(B$19=0,0,G8/B$19)</f>
        <v>0.14088397790055249</v>
      </c>
      <c r="I8" s="60">
        <v>7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49</v>
      </c>
      <c r="C9" s="9">
        <f t="shared" si="1"/>
        <v>0.30246913580246915</v>
      </c>
      <c r="E9" s="29" t="s">
        <v>69</v>
      </c>
      <c r="F9" s="26" t="s">
        <v>24</v>
      </c>
      <c r="G9" s="14">
        <v>50</v>
      </c>
      <c r="H9" s="92">
        <f>IF(B$19=0,0,G9/B$19)</f>
        <v>0.13812154696132597</v>
      </c>
      <c r="I9" s="60">
        <v>8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38.376190476190473</v>
      </c>
      <c r="C10" s="114">
        <v>1611.7999999999997</v>
      </c>
      <c r="E10" s="29" t="s">
        <v>71</v>
      </c>
      <c r="F10" s="26" t="s">
        <v>26</v>
      </c>
      <c r="G10" s="14">
        <v>37</v>
      </c>
      <c r="H10" s="92">
        <f>IF(B$19=0,0,G10/B$19)</f>
        <v>0.10220994475138122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-2.8825396825396834</v>
      </c>
      <c r="P10" s="80">
        <v>63</v>
      </c>
      <c r="Q10" s="71">
        <v>-181.60000000000005</v>
      </c>
    </row>
    <row r="11" spans="1:17" x14ac:dyDescent="0.45">
      <c r="A11" s="22" t="s">
        <v>204</v>
      </c>
      <c r="B11" s="113">
        <f>IF(B8=0,0,C11/B8)</f>
        <v>-8.1690140845070244E-2</v>
      </c>
      <c r="C11" s="114">
        <v>-5.7999999999999874</v>
      </c>
      <c r="E11" s="29" t="s">
        <v>65</v>
      </c>
      <c r="F11" s="26" t="s">
        <v>21</v>
      </c>
      <c r="G11" s="14">
        <v>30</v>
      </c>
      <c r="H11" s="92">
        <f>IF(B$19=0,0,G11/B$19)</f>
        <v>8.2872928176795577E-2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1.2560000000000004</v>
      </c>
      <c r="P11" s="81">
        <v>50</v>
      </c>
      <c r="Q11" s="72">
        <v>62.800000000000026</v>
      </c>
    </row>
    <row r="12" spans="1:17" x14ac:dyDescent="0.45">
      <c r="A12" s="22" t="s">
        <v>205</v>
      </c>
      <c r="B12" s="113">
        <f>IF(B9=0,0,C12/B9)</f>
        <v>-34.567346938775508</v>
      </c>
      <c r="C12" s="114">
        <v>-1693.7999999999997</v>
      </c>
      <c r="E12" s="29" t="s">
        <v>70</v>
      </c>
      <c r="F12" s="26" t="s">
        <v>25</v>
      </c>
      <c r="G12" s="14">
        <v>27</v>
      </c>
      <c r="H12" s="92">
        <f>IF(B$19=0,0,G12/B$19)</f>
        <v>7.4585635359116026E-2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0.6326530612244895</v>
      </c>
      <c r="P12" s="82">
        <v>49</v>
      </c>
      <c r="Q12" s="73">
        <v>30.999999999999986</v>
      </c>
    </row>
    <row r="13" spans="1:17" x14ac:dyDescent="0.45">
      <c r="A13" s="22" t="s">
        <v>206</v>
      </c>
      <c r="B13" s="121">
        <f>AVERAGE(B10:B12)</f>
        <v>1.2423844655232987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4.9723756906077346E-2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8.6419753086419748E-2</v>
      </c>
      <c r="E14" s="29" t="s">
        <v>83</v>
      </c>
      <c r="F14" s="26" t="s">
        <v>38</v>
      </c>
      <c r="G14" s="14">
        <v>14</v>
      </c>
      <c r="H14" s="92">
        <f>IF(B$19=0,0,G14/B$19)</f>
        <v>3.8674033149171269E-2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333</v>
      </c>
      <c r="C15" s="12">
        <f>IF(B$3=0,0,B15/B$3)</f>
        <v>0.25323193916349812</v>
      </c>
      <c r="E15" s="29" t="s">
        <v>78</v>
      </c>
      <c r="F15" s="26" t="s">
        <v>33</v>
      </c>
      <c r="G15" s="14">
        <v>8</v>
      </c>
      <c r="H15" s="92">
        <f>IF(B$19=0,0,G15/B$19)</f>
        <v>2.2099447513812154E-2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302</v>
      </c>
      <c r="C16" s="8">
        <f>IF(B$3=0,0,B16/B$3)</f>
        <v>0.22965779467680608</v>
      </c>
      <c r="E16" s="29" t="s">
        <v>79</v>
      </c>
      <c r="F16" s="26" t="s">
        <v>34</v>
      </c>
      <c r="G16" s="14">
        <v>7</v>
      </c>
      <c r="H16" s="92">
        <f>IF(B$19=0,0,G16/B$19)</f>
        <v>1.9337016574585635E-2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>IF(P16=0,0,Q16/P16)</f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181</v>
      </c>
      <c r="C17" s="6">
        <f>IF(B$15=0,0,B17/B$15)</f>
        <v>0.54354354354354351</v>
      </c>
      <c r="E17" s="29" t="s">
        <v>159</v>
      </c>
      <c r="F17" s="26" t="s">
        <v>160</v>
      </c>
      <c r="G17" s="14">
        <v>6</v>
      </c>
      <c r="H17" s="92">
        <f>IF(B$19=0,0,G17/B$19)</f>
        <v>1.6574585635359115E-2</v>
      </c>
      <c r="I17" s="60">
        <v>4</v>
      </c>
      <c r="K17" s="7">
        <v>15</v>
      </c>
      <c r="L17" s="65">
        <v>-35.499999999999986</v>
      </c>
      <c r="N17" s="78" t="s">
        <v>195</v>
      </c>
      <c r="O17" s="87">
        <f>IF(P17=0,0,Q17/P17)</f>
        <v>16.860714285714284</v>
      </c>
      <c r="P17" s="81">
        <v>28</v>
      </c>
      <c r="Q17" s="72">
        <v>472.09999999999997</v>
      </c>
    </row>
    <row r="18" spans="1:17" x14ac:dyDescent="0.45">
      <c r="A18" s="20" t="s">
        <v>124</v>
      </c>
      <c r="B18" s="13">
        <f>B24</f>
        <v>125</v>
      </c>
      <c r="C18" s="6">
        <f>IF(B$16=0,0,B18/B$16)</f>
        <v>0.41390728476821192</v>
      </c>
      <c r="E18" s="29" t="s">
        <v>73</v>
      </c>
      <c r="F18" s="26" t="s">
        <v>28</v>
      </c>
      <c r="G18" s="14">
        <v>5</v>
      </c>
      <c r="H18" s="92">
        <f>IF(B$19=0,0,G18/B$19)</f>
        <v>1.3812154696132596E-2</v>
      </c>
      <c r="I18" s="60">
        <v>1</v>
      </c>
      <c r="K18" s="7">
        <v>16</v>
      </c>
      <c r="L18" s="65">
        <v>-35.599999999999987</v>
      </c>
      <c r="N18" s="78" t="s">
        <v>169</v>
      </c>
      <c r="O18" s="87">
        <f>IF(P18=0,0,Q18/P18)</f>
        <v>15.66923076923077</v>
      </c>
      <c r="P18" s="81">
        <v>26</v>
      </c>
      <c r="Q18" s="72">
        <v>407.40000000000003</v>
      </c>
    </row>
    <row r="19" spans="1:17" x14ac:dyDescent="0.45">
      <c r="A19" s="20" t="s">
        <v>10</v>
      </c>
      <c r="B19" s="13">
        <f>B22+B21</f>
        <v>362</v>
      </c>
      <c r="C19" s="6">
        <f>IF(B$3=0,0,B19/B$3)</f>
        <v>0.2752851711026616</v>
      </c>
      <c r="E19" s="29" t="s">
        <v>81</v>
      </c>
      <c r="F19" s="26" t="s">
        <v>36</v>
      </c>
      <c r="G19" s="14">
        <v>5</v>
      </c>
      <c r="H19" s="92">
        <f>IF(B$19=0,0,G19/B$19)</f>
        <v>1.3812154696132596E-2</v>
      </c>
      <c r="I19" s="60">
        <v>9</v>
      </c>
      <c r="K19" s="7">
        <v>17</v>
      </c>
      <c r="L19" s="65">
        <v>-29.799999999999986</v>
      </c>
      <c r="N19" s="78" t="s">
        <v>194</v>
      </c>
      <c r="O19" s="87">
        <f>IF(P19=0,0,Q19/P19)</f>
        <v>5.6999999999999984</v>
      </c>
      <c r="P19" s="81">
        <v>5</v>
      </c>
      <c r="Q19" s="72">
        <v>28.499999999999993</v>
      </c>
    </row>
    <row r="20" spans="1:17" x14ac:dyDescent="0.45">
      <c r="A20" s="21" t="s">
        <v>13</v>
      </c>
      <c r="B20" s="14">
        <v>185</v>
      </c>
      <c r="C20" s="8">
        <f>IF(B$3=0,0,B20/B$3)</f>
        <v>0.14068441064638784</v>
      </c>
      <c r="E20" s="29" t="s">
        <v>91</v>
      </c>
      <c r="F20" s="26" t="s">
        <v>46</v>
      </c>
      <c r="G20" s="14">
        <v>4</v>
      </c>
      <c r="H20" s="92">
        <f>IF(B$19=0,0,G20/B$19)</f>
        <v>1.1049723756906077E-2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>IF(P20=0,0,Q20/P20)</f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166</v>
      </c>
      <c r="C21" s="8">
        <f>IF(B$19=0,0,B21/B$19)</f>
        <v>0.4585635359116022</v>
      </c>
      <c r="E21" s="29" t="s">
        <v>85</v>
      </c>
      <c r="F21" s="26" t="s">
        <v>40</v>
      </c>
      <c r="G21" s="14">
        <v>3</v>
      </c>
      <c r="H21" s="92">
        <f>IF(B$19=0,0,G21/B$19)</f>
        <v>8.2872928176795577E-3</v>
      </c>
      <c r="I21" s="60">
        <v>4</v>
      </c>
      <c r="K21" s="7">
        <v>19</v>
      </c>
      <c r="L21" s="65">
        <v>-56.399999999999991</v>
      </c>
      <c r="N21" s="78" t="s">
        <v>127</v>
      </c>
      <c r="O21" s="87">
        <f>IF(P21=0,0,Q21/P21)</f>
        <v>2.8569230769230769</v>
      </c>
      <c r="P21" s="81">
        <v>65</v>
      </c>
      <c r="Q21" s="72">
        <v>185.7</v>
      </c>
    </row>
    <row r="22" spans="1:17" x14ac:dyDescent="0.45">
      <c r="A22" s="21" t="s">
        <v>11</v>
      </c>
      <c r="B22" s="14">
        <v>196</v>
      </c>
      <c r="C22" s="8">
        <f>IF(B$19=0,0,B22/B$19)</f>
        <v>0.54143646408839774</v>
      </c>
      <c r="E22" s="29" t="s">
        <v>92</v>
      </c>
      <c r="F22" s="26" t="s">
        <v>47</v>
      </c>
      <c r="G22" s="14">
        <v>3</v>
      </c>
      <c r="H22" s="92">
        <f>IF(B$19=0,0,G22/B$19)</f>
        <v>8.2872928176795577E-3</v>
      </c>
      <c r="I22" s="60">
        <v>3</v>
      </c>
      <c r="K22" s="7">
        <v>20</v>
      </c>
      <c r="L22" s="65">
        <v>-93.199999999999989</v>
      </c>
      <c r="N22" s="78" t="s">
        <v>158</v>
      </c>
      <c r="O22" s="87">
        <f>IF(P22=0,0,Q22/P22)</f>
        <v>2.4666666666666668</v>
      </c>
      <c r="P22" s="81">
        <v>33</v>
      </c>
      <c r="Q22" s="72">
        <v>81.400000000000006</v>
      </c>
    </row>
    <row r="23" spans="1:17" x14ac:dyDescent="0.45">
      <c r="A23" s="21" t="s">
        <v>192</v>
      </c>
      <c r="B23" s="14">
        <v>181</v>
      </c>
      <c r="C23" s="8">
        <f>IF(B$19=0,0,B23/B$19)</f>
        <v>0.5</v>
      </c>
      <c r="E23" s="29" t="s">
        <v>75</v>
      </c>
      <c r="F23" s="26" t="s">
        <v>30</v>
      </c>
      <c r="G23" s="14">
        <v>2</v>
      </c>
      <c r="H23" s="92">
        <f>IF(B$19=0,0,G23/B$19)</f>
        <v>5.5248618784530384E-3</v>
      </c>
      <c r="I23" s="60">
        <v>7</v>
      </c>
      <c r="K23" s="7">
        <v>21</v>
      </c>
      <c r="L23" s="65">
        <v>-123.69999999999999</v>
      </c>
      <c r="N23" s="78" t="s">
        <v>167</v>
      </c>
      <c r="O23" s="87">
        <f>IF(P23=0,0,Q23/P23)</f>
        <v>-8.4520547945205458</v>
      </c>
      <c r="P23" s="81">
        <v>73</v>
      </c>
      <c r="Q23" s="72">
        <v>-616.99999999999989</v>
      </c>
    </row>
    <row r="24" spans="1:17" x14ac:dyDescent="0.45">
      <c r="A24" s="21" t="s">
        <v>190</v>
      </c>
      <c r="B24" s="14">
        <v>125</v>
      </c>
      <c r="C24" s="8">
        <f>IF(B$19=0,0,B24/B$19)</f>
        <v>0.34530386740331492</v>
      </c>
      <c r="E24" s="29" t="s">
        <v>88</v>
      </c>
      <c r="F24" s="26" t="s">
        <v>43</v>
      </c>
      <c r="G24" s="14">
        <v>2</v>
      </c>
      <c r="H24" s="92">
        <f>IF(B$19=0,0,G24/B$19)</f>
        <v>5.5248618784530384E-3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>IF(P24=0,0,Q24/P24)</f>
        <v>-12.132926829268298</v>
      </c>
      <c r="P24" s="81">
        <v>82</v>
      </c>
      <c r="Q24" s="72">
        <v>-994.90000000000043</v>
      </c>
    </row>
    <row r="25" spans="1:17" x14ac:dyDescent="0.45">
      <c r="A25" s="21" t="s">
        <v>191</v>
      </c>
      <c r="B25" s="14">
        <v>56</v>
      </c>
      <c r="C25" s="8">
        <f>IF(B$19=0,0,B25/B$19)</f>
        <v>0.15469613259668508</v>
      </c>
      <c r="E25" s="29" t="s">
        <v>74</v>
      </c>
      <c r="F25" s="26" t="s">
        <v>29</v>
      </c>
      <c r="G25" s="14">
        <v>1</v>
      </c>
      <c r="H25" s="92">
        <f>IF(B$19=0,0,G25/B$19)</f>
        <v>2.7624309392265192E-3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>IF(P25=0,0,Q25/P25)</f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8512.9834254143643</v>
      </c>
      <c r="C26" s="10">
        <v>3081700</v>
      </c>
      <c r="E26" s="29" t="s">
        <v>87</v>
      </c>
      <c r="F26" s="26" t="s">
        <v>42</v>
      </c>
      <c r="G26" s="14">
        <v>1</v>
      </c>
      <c r="H26" s="92">
        <f>IF(B$19=0,0,G26/B$19)</f>
        <v>2.7624309392265192E-3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9481.4345991561186</v>
      </c>
      <c r="C27" s="100">
        <v>2247100</v>
      </c>
      <c r="E27" s="29" t="s">
        <v>93</v>
      </c>
      <c r="F27" s="26" t="s">
        <v>48</v>
      </c>
      <c r="G27" s="14">
        <v>1</v>
      </c>
      <c r="H27" s="92">
        <f>IF(B$19=0,0,G27/B$19)</f>
        <v>2.7624309392265192E-3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6676.8</v>
      </c>
      <c r="C28" s="100">
        <v>834600</v>
      </c>
      <c r="E28" s="29" t="s">
        <v>101</v>
      </c>
      <c r="F28" s="26" t="s">
        <v>56</v>
      </c>
      <c r="G28" s="14">
        <v>1</v>
      </c>
      <c r="H28" s="92">
        <f>IF(B$19=0,0,G28/B$19)</f>
        <v>2.7624309392265192E-3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-7212.4324324324325</v>
      </c>
      <c r="C29" s="100">
        <v>-1334300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0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1.520912547528517E-3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21</v>
      </c>
      <c r="C36" s="102">
        <f t="shared" ref="C36:C48" si="2">IF(B$19=0,0,B36/B$19)</f>
        <v>5.8011049723756904E-2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67</v>
      </c>
      <c r="C37" s="8">
        <f t="shared" si="2"/>
        <v>0.18508287292817679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69</v>
      </c>
      <c r="C38" s="8">
        <f t="shared" si="2"/>
        <v>0.19060773480662985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70</v>
      </c>
      <c r="C39" s="8">
        <f t="shared" si="2"/>
        <v>0.19337016574585636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2"/>
        <v>0.14088397790055249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41</v>
      </c>
      <c r="C41" s="8">
        <f t="shared" si="2"/>
        <v>0.1132596685082873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19</v>
      </c>
      <c r="C42" s="8">
        <f t="shared" si="2"/>
        <v>5.2486187845303865E-2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9</v>
      </c>
      <c r="C43" s="8">
        <f t="shared" si="2"/>
        <v>2.4861878453038673E-2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2"/>
        <v>1.1049723756906077E-2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2"/>
        <v>8.2872928176795577E-3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2"/>
        <v>2.7624309392265192E-3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2"/>
        <v>5.5248618784530384E-3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2"/>
        <v>1.3812154696132596E-2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</sheetData>
  <sortState xmlns:xlrd2="http://schemas.microsoft.com/office/spreadsheetml/2017/richdata2" ref="N15:Q25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25214-1F11-431F-A7D8-34AB6079247D}">
  <sheetPr codeName="Sheet19"/>
  <dimension ref="A1:Q7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75</v>
      </c>
      <c r="C2" s="130"/>
      <c r="E2" s="28" t="s">
        <v>66</v>
      </c>
      <c r="F2" s="25" t="s">
        <v>22</v>
      </c>
      <c r="G2" s="13">
        <v>105</v>
      </c>
      <c r="H2" s="91">
        <f>IF(B$19=0,0,G2/B$19)</f>
        <v>0.68627450980392157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-3541.3333333333335</v>
      </c>
      <c r="P2" s="80">
        <v>75</v>
      </c>
      <c r="Q2" s="67">
        <v>-265600</v>
      </c>
    </row>
    <row r="3" spans="1:17" x14ac:dyDescent="0.45">
      <c r="A3" s="21" t="s">
        <v>8</v>
      </c>
      <c r="B3" s="131">
        <v>624</v>
      </c>
      <c r="C3" s="132"/>
      <c r="E3" s="29" t="s">
        <v>72</v>
      </c>
      <c r="F3" s="26" t="s">
        <v>27</v>
      </c>
      <c r="G3" s="14">
        <v>102</v>
      </c>
      <c r="H3" s="92">
        <f>IF(B$19=0,0,G3/B$19)</f>
        <v>0.66666666666666663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1344.5945945945946</v>
      </c>
      <c r="P3" s="81">
        <v>74</v>
      </c>
      <c r="Q3" s="68">
        <v>99500</v>
      </c>
    </row>
    <row r="4" spans="1:17" x14ac:dyDescent="0.45">
      <c r="A4" s="21" t="s">
        <v>6</v>
      </c>
      <c r="B4" s="133">
        <v>-859.4000000000002</v>
      </c>
      <c r="C4" s="134"/>
      <c r="E4" s="29" t="s">
        <v>64</v>
      </c>
      <c r="F4" s="26" t="s">
        <v>20</v>
      </c>
      <c r="G4" s="14">
        <v>64</v>
      </c>
      <c r="H4" s="92">
        <f>IF(B$19=0,0,G4/B$19)</f>
        <v>0.41830065359477125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-1360</v>
      </c>
      <c r="P4" s="81">
        <v>70</v>
      </c>
      <c r="Q4" s="68">
        <v>-95200</v>
      </c>
    </row>
    <row r="5" spans="1:17" x14ac:dyDescent="0.45">
      <c r="A5" s="21" t="s">
        <v>7</v>
      </c>
      <c r="B5" s="121">
        <f>IF(B$2=0,0,B$4/B$2)</f>
        <v>-11.458666666666669</v>
      </c>
      <c r="C5" s="122"/>
      <c r="E5" s="29" t="s">
        <v>163</v>
      </c>
      <c r="F5" s="26" t="s">
        <v>164</v>
      </c>
      <c r="G5" s="14">
        <v>54</v>
      </c>
      <c r="H5" s="92">
        <f>IF(B$19=0,0,G5/B$19)</f>
        <v>0.35294117647058826</v>
      </c>
      <c r="I5" s="60">
        <v>10</v>
      </c>
      <c r="K5" s="7">
        <v>3</v>
      </c>
      <c r="L5" s="65">
        <v>-33.6</v>
      </c>
      <c r="N5" s="78" t="s">
        <v>133</v>
      </c>
      <c r="O5" s="84">
        <f t="shared" si="0"/>
        <v>-1795.2380952380952</v>
      </c>
      <c r="P5" s="81">
        <v>63</v>
      </c>
      <c r="Q5" s="68">
        <v>-113100</v>
      </c>
    </row>
    <row r="6" spans="1:17" x14ac:dyDescent="0.45">
      <c r="A6" s="21" t="s">
        <v>1</v>
      </c>
      <c r="B6" s="135">
        <f>IF(B$2=0,0,(B$7*1+B$8*2+B$9*3)/B$2)</f>
        <v>2.2933333333333334</v>
      </c>
      <c r="C6" s="136"/>
      <c r="E6" s="29" t="s">
        <v>68</v>
      </c>
      <c r="F6" s="26" t="s">
        <v>12</v>
      </c>
      <c r="G6" s="14">
        <v>43</v>
      </c>
      <c r="H6" s="92">
        <f>IF(B$19=0,0,G6/B$19)</f>
        <v>0.28104575163398693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-1438.9830508474577</v>
      </c>
      <c r="P6" s="81">
        <v>59</v>
      </c>
      <c r="Q6" s="68">
        <v>-84900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0.14666666666666667</v>
      </c>
      <c r="E7" s="29" t="s">
        <v>67</v>
      </c>
      <c r="F7" s="26" t="s">
        <v>23</v>
      </c>
      <c r="G7" s="14">
        <v>40</v>
      </c>
      <c r="H7" s="92">
        <f>IF(B$19=0,0,G7/B$19)</f>
        <v>0.26143790849673204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-2165.9574468085107</v>
      </c>
      <c r="P7" s="82">
        <v>47</v>
      </c>
      <c r="Q7" s="69">
        <v>-101800</v>
      </c>
    </row>
    <row r="8" spans="1:17" x14ac:dyDescent="0.45">
      <c r="A8" s="21" t="s">
        <v>3</v>
      </c>
      <c r="B8" s="14">
        <v>31</v>
      </c>
      <c r="C8" s="8">
        <f t="shared" si="1"/>
        <v>0.41333333333333333</v>
      </c>
      <c r="E8" s="29" t="s">
        <v>89</v>
      </c>
      <c r="F8" s="26" t="s">
        <v>44</v>
      </c>
      <c r="G8" s="14">
        <v>25</v>
      </c>
      <c r="H8" s="92">
        <f>IF(B$19=0,0,G8/B$19)</f>
        <v>0.16339869281045752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33</v>
      </c>
      <c r="C9" s="9">
        <f t="shared" si="1"/>
        <v>0.44</v>
      </c>
      <c r="E9" s="29" t="s">
        <v>65</v>
      </c>
      <c r="F9" s="26" t="s">
        <v>21</v>
      </c>
      <c r="G9" s="14">
        <v>16</v>
      </c>
      <c r="H9" s="92">
        <f>IF(B$19=0,0,G9/B$19)</f>
        <v>0.10457516339869281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35.145454545454541</v>
      </c>
      <c r="C10" s="114">
        <v>386.59999999999997</v>
      </c>
      <c r="E10" s="29" t="s">
        <v>69</v>
      </c>
      <c r="F10" s="26" t="s">
        <v>24</v>
      </c>
      <c r="G10" s="14">
        <v>13</v>
      </c>
      <c r="H10" s="92">
        <f>IF(B$19=0,0,G10/B$19)</f>
        <v>8.4967320261437912E-2</v>
      </c>
      <c r="I10" s="60">
        <v>12</v>
      </c>
      <c r="K10" s="7">
        <v>8</v>
      </c>
      <c r="L10" s="65">
        <v>-152.6</v>
      </c>
      <c r="N10" s="77" t="s">
        <v>154</v>
      </c>
      <c r="O10" s="86">
        <f>IF(P10=0,0,Q10/P10)</f>
        <v>-21.2</v>
      </c>
      <c r="P10" s="80">
        <v>30</v>
      </c>
      <c r="Q10" s="71">
        <v>-636</v>
      </c>
    </row>
    <row r="11" spans="1:17" x14ac:dyDescent="0.45">
      <c r="A11" s="22" t="s">
        <v>204</v>
      </c>
      <c r="B11" s="113">
        <f>IF(B8=0,0,C11/B8)</f>
        <v>-0.63225806451612887</v>
      </c>
      <c r="C11" s="114">
        <v>-19.599999999999994</v>
      </c>
      <c r="E11" s="29" t="s">
        <v>70</v>
      </c>
      <c r="F11" s="26" t="s">
        <v>25</v>
      </c>
      <c r="G11" s="14">
        <v>13</v>
      </c>
      <c r="H11" s="92">
        <f>IF(B$19=0,0,G11/B$19)</f>
        <v>8.4967320261437912E-2</v>
      </c>
      <c r="I11" s="60">
        <v>10</v>
      </c>
      <c r="K11" s="7">
        <v>9</v>
      </c>
      <c r="L11" s="65">
        <v>-150.6</v>
      </c>
      <c r="N11" s="78" t="s">
        <v>155</v>
      </c>
      <c r="O11" s="87">
        <f>IF(P11=0,0,Q11/P11)</f>
        <v>0.32608695652173947</v>
      </c>
      <c r="P11" s="81">
        <v>23</v>
      </c>
      <c r="Q11" s="72">
        <v>7.500000000000008</v>
      </c>
    </row>
    <row r="12" spans="1:17" x14ac:dyDescent="0.45">
      <c r="A12" s="22" t="s">
        <v>205</v>
      </c>
      <c r="B12" s="113">
        <f>IF(B9=0,0,C12/B9)</f>
        <v>-37.163636363636364</v>
      </c>
      <c r="C12" s="114">
        <v>-1226.4000000000001</v>
      </c>
      <c r="E12" s="29" t="s">
        <v>71</v>
      </c>
      <c r="F12" s="26" t="s">
        <v>26</v>
      </c>
      <c r="G12" s="14">
        <v>13</v>
      </c>
      <c r="H12" s="92">
        <f>IF(B$19=0,0,G12/B$19)</f>
        <v>8.4967320261437912E-2</v>
      </c>
      <c r="I12" s="60">
        <v>5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-0.88347996089931746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6.535947712418301E-2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13</v>
      </c>
      <c r="C14" s="11">
        <f t="shared" si="1"/>
        <v>0.17333333333333334</v>
      </c>
      <c r="E14" s="29" t="s">
        <v>83</v>
      </c>
      <c r="F14" s="26" t="s">
        <v>38</v>
      </c>
      <c r="G14" s="14">
        <v>9</v>
      </c>
      <c r="H14" s="92">
        <f>IF(B$19=0,0,G14/B$19)</f>
        <v>5.8823529411764705E-2</v>
      </c>
      <c r="I14" s="60">
        <v>5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130</v>
      </c>
      <c r="C15" s="12">
        <f>IF(B$3=0,0,B15/B$3)</f>
        <v>0.20833333333333334</v>
      </c>
      <c r="E15" s="29" t="s">
        <v>86</v>
      </c>
      <c r="F15" s="26" t="s">
        <v>41</v>
      </c>
      <c r="G15" s="14">
        <v>8</v>
      </c>
      <c r="H15" s="92">
        <f>IF(B$19=0,0,G15/B$19)</f>
        <v>5.2287581699346407E-2</v>
      </c>
      <c r="I15" s="60">
        <v>4</v>
      </c>
      <c r="K15" s="7">
        <v>13</v>
      </c>
      <c r="L15" s="65">
        <v>-217.60000000000002</v>
      </c>
      <c r="N15" s="77" t="s">
        <v>158</v>
      </c>
      <c r="O15" s="86">
        <f t="shared" ref="O15:O25" si="2">IF(P15=0,0,Q15/P15)</f>
        <v>11.63478260869565</v>
      </c>
      <c r="P15" s="80">
        <v>23</v>
      </c>
      <c r="Q15" s="71">
        <v>267.59999999999997</v>
      </c>
    </row>
    <row r="16" spans="1:17" x14ac:dyDescent="0.45">
      <c r="A16" s="21" t="s">
        <v>118</v>
      </c>
      <c r="B16" s="14">
        <v>143</v>
      </c>
      <c r="C16" s="8">
        <f>IF(B$3=0,0,B16/B$3)</f>
        <v>0.22916666666666666</v>
      </c>
      <c r="E16" s="29" t="s">
        <v>91</v>
      </c>
      <c r="F16" s="26" t="s">
        <v>46</v>
      </c>
      <c r="G16" s="14">
        <v>4</v>
      </c>
      <c r="H16" s="92">
        <f>IF(B$19=0,0,G16/B$19)</f>
        <v>2.6143790849673203E-2</v>
      </c>
      <c r="I16" s="60">
        <v>3</v>
      </c>
      <c r="K16" s="7">
        <v>14</v>
      </c>
      <c r="L16" s="65">
        <v>-266.90000000000003</v>
      </c>
      <c r="N16" s="78" t="s">
        <v>281</v>
      </c>
      <c r="O16" s="87">
        <f t="shared" si="2"/>
        <v>2.1000000000000014</v>
      </c>
      <c r="P16" s="81">
        <v>3</v>
      </c>
      <c r="Q16" s="72">
        <v>6.3000000000000043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0.51538461538461533</v>
      </c>
      <c r="E17" s="29" t="s">
        <v>78</v>
      </c>
      <c r="F17" s="26" t="s">
        <v>33</v>
      </c>
      <c r="G17" s="14">
        <v>2</v>
      </c>
      <c r="H17" s="92">
        <f>IF(B$19=0,0,G17/B$19)</f>
        <v>1.3071895424836602E-2</v>
      </c>
      <c r="I17" s="60">
        <v>9</v>
      </c>
      <c r="K17" s="7">
        <v>15</v>
      </c>
      <c r="L17" s="65">
        <v>-272.50000000000006</v>
      </c>
      <c r="N17" s="78" t="s">
        <v>275</v>
      </c>
      <c r="O17" s="87">
        <f t="shared" si="2"/>
        <v>-12.000000000000002</v>
      </c>
      <c r="P17" s="81">
        <v>1</v>
      </c>
      <c r="Q17" s="72">
        <v>-12.000000000000002</v>
      </c>
    </row>
    <row r="18" spans="1:17" x14ac:dyDescent="0.45">
      <c r="A18" s="20" t="s">
        <v>124</v>
      </c>
      <c r="B18" s="13">
        <f>B24</f>
        <v>57</v>
      </c>
      <c r="C18" s="6">
        <f>IF(B$16=0,0,B18/B$16)</f>
        <v>0.39860139860139859</v>
      </c>
      <c r="E18" s="29" t="s">
        <v>73</v>
      </c>
      <c r="F18" s="26" t="s">
        <v>28</v>
      </c>
      <c r="G18" s="14">
        <v>1</v>
      </c>
      <c r="H18" s="92">
        <f>IF(B$19=0,0,G18/B$19)</f>
        <v>6.5359477124183009E-3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153</v>
      </c>
      <c r="C19" s="6">
        <f>IF(B$3=0,0,B19/B$3)</f>
        <v>0.24519230769230768</v>
      </c>
      <c r="E19" s="29" t="s">
        <v>74</v>
      </c>
      <c r="F19" s="26" t="s">
        <v>29</v>
      </c>
      <c r="G19" s="14">
        <v>1</v>
      </c>
      <c r="H19" s="92">
        <f>IF(B$19=0,0,G19/B$19)</f>
        <v>6.5359477124183009E-3</v>
      </c>
      <c r="I19" s="60">
        <v>2</v>
      </c>
      <c r="K19" s="7">
        <v>17</v>
      </c>
      <c r="L19" s="65">
        <v>-352.60000000000008</v>
      </c>
      <c r="N19" s="78" t="s">
        <v>168</v>
      </c>
      <c r="O19" s="87">
        <f t="shared" si="2"/>
        <v>-16.860714285714284</v>
      </c>
      <c r="P19" s="81">
        <v>28</v>
      </c>
      <c r="Q19" s="72">
        <v>-472.09999999999997</v>
      </c>
    </row>
    <row r="20" spans="1:17" x14ac:dyDescent="0.45">
      <c r="A20" s="21" t="s">
        <v>13</v>
      </c>
      <c r="B20" s="14">
        <v>115</v>
      </c>
      <c r="C20" s="8">
        <f>IF(B$3=0,0,B20/B$3)</f>
        <v>0.18429487179487181</v>
      </c>
      <c r="E20" s="29" t="s">
        <v>79</v>
      </c>
      <c r="F20" s="26" t="s">
        <v>34</v>
      </c>
      <c r="G20" s="14">
        <v>1</v>
      </c>
      <c r="H20" s="92">
        <f>IF(B$19=0,0,G20/B$19)</f>
        <v>6.5359477124183009E-3</v>
      </c>
      <c r="I20" s="60">
        <v>10</v>
      </c>
      <c r="K20" s="7">
        <v>18</v>
      </c>
      <c r="L20" s="65">
        <v>-355.50000000000006</v>
      </c>
      <c r="N20" s="78" t="s">
        <v>202</v>
      </c>
      <c r="O20" s="87">
        <f t="shared" si="2"/>
        <v>-17.649999999999999</v>
      </c>
      <c r="P20" s="81">
        <v>2</v>
      </c>
      <c r="Q20" s="72">
        <v>-35.299999999999997</v>
      </c>
    </row>
    <row r="21" spans="1:17" x14ac:dyDescent="0.45">
      <c r="A21" s="21" t="s">
        <v>12</v>
      </c>
      <c r="B21" s="14">
        <v>70</v>
      </c>
      <c r="C21" s="8">
        <f>IF(B$19=0,0,B21/B$19)</f>
        <v>0.45751633986928103</v>
      </c>
      <c r="E21" s="29" t="s">
        <v>92</v>
      </c>
      <c r="F21" s="26" t="s">
        <v>47</v>
      </c>
      <c r="G21" s="14">
        <v>1</v>
      </c>
      <c r="H21" s="92">
        <f>IF(B$19=0,0,G21/B$19)</f>
        <v>6.5359477124183009E-3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83</v>
      </c>
      <c r="C22" s="8">
        <f>IF(B$19=0,0,B22/B$19)</f>
        <v>0.54248366013071891</v>
      </c>
      <c r="E22" s="29" t="s">
        <v>95</v>
      </c>
      <c r="F22" s="26" t="s">
        <v>50</v>
      </c>
      <c r="G22" s="14">
        <v>1</v>
      </c>
      <c r="H22" s="92">
        <f>IF(B$19=0,0,G22/B$19)</f>
        <v>6.5359477124183009E-3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-21.183333333333334</v>
      </c>
      <c r="P22" s="81">
        <v>6</v>
      </c>
      <c r="Q22" s="72">
        <v>-127.1</v>
      </c>
    </row>
    <row r="23" spans="1:17" x14ac:dyDescent="0.45">
      <c r="A23" s="21" t="s">
        <v>192</v>
      </c>
      <c r="B23" s="14">
        <v>67</v>
      </c>
      <c r="C23" s="8">
        <f>IF(B$19=0,0,B23/B$19)</f>
        <v>0.43790849673202614</v>
      </c>
      <c r="E23" s="29" t="s">
        <v>159</v>
      </c>
      <c r="F23" s="26" t="s">
        <v>160</v>
      </c>
      <c r="G23" s="14">
        <v>1</v>
      </c>
      <c r="H23" s="92">
        <f>IF(B$19=0,0,G23/B$19)</f>
        <v>6.5359477124183009E-3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-28.930769230769247</v>
      </c>
      <c r="P23" s="81">
        <v>26</v>
      </c>
      <c r="Q23" s="72">
        <v>-752.20000000000039</v>
      </c>
    </row>
    <row r="24" spans="1:17" x14ac:dyDescent="0.45">
      <c r="A24" s="21" t="s">
        <v>190</v>
      </c>
      <c r="B24" s="14">
        <v>57</v>
      </c>
      <c r="C24" s="8">
        <f>IF(B$19=0,0,B24/B$19)</f>
        <v>0.37254901960784315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-56.614285714285721</v>
      </c>
      <c r="P24" s="81">
        <v>7</v>
      </c>
      <c r="Q24" s="72">
        <v>-396.30000000000007</v>
      </c>
    </row>
    <row r="25" spans="1:17" x14ac:dyDescent="0.45">
      <c r="A25" s="21" t="s">
        <v>191</v>
      </c>
      <c r="B25" s="14">
        <v>29</v>
      </c>
      <c r="C25" s="8">
        <f>IF(B$19=0,0,B25/B$19)</f>
        <v>0.18954248366013071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8516.339869281046</v>
      </c>
      <c r="C26" s="10">
        <v>1303000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9097.9166666666661</v>
      </c>
      <c r="C27" s="100">
        <v>873400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7536.8421052631575</v>
      </c>
      <c r="C28" s="100">
        <v>429600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-8213.9130434782601</v>
      </c>
      <c r="C29" s="100">
        <v>-944600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4.807692307692308E-3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7.8431372549019607E-2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27</v>
      </c>
      <c r="C37" s="8">
        <f t="shared" si="3"/>
        <v>0.17647058823529413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30</v>
      </c>
      <c r="C38" s="8">
        <f t="shared" si="3"/>
        <v>0.19607843137254902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27</v>
      </c>
      <c r="C39" s="8">
        <f t="shared" si="3"/>
        <v>0.17647058823529413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22</v>
      </c>
      <c r="C40" s="8">
        <f t="shared" si="3"/>
        <v>0.1437908496732026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9.1503267973856203E-2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6.535947712418301E-2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3.9215686274509803E-2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6.5359477124183009E-3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1.3071895424836602E-2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1.3071895424836602E-2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</sheetData>
  <sortState xmlns:xlrd2="http://schemas.microsoft.com/office/spreadsheetml/2017/richdata2" ref="E2:I7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287B-1FE8-4199-8EA0-A840D3F2F1D2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32</v>
      </c>
      <c r="C2" s="130"/>
      <c r="E2" s="28" t="s">
        <v>66</v>
      </c>
      <c r="F2" s="25" t="s">
        <v>22</v>
      </c>
      <c r="G2" s="13">
        <v>67</v>
      </c>
      <c r="H2" s="91">
        <f>IF(B$19=0,0,G2/B$19)</f>
        <v>0.87012987012987009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-2816.1290322580644</v>
      </c>
      <c r="P2" s="80">
        <v>31</v>
      </c>
      <c r="Q2" s="67">
        <v>-87300</v>
      </c>
    </row>
    <row r="3" spans="1:17" x14ac:dyDescent="0.45">
      <c r="A3" s="21" t="s">
        <v>8</v>
      </c>
      <c r="B3" s="131">
        <v>298</v>
      </c>
      <c r="C3" s="132"/>
      <c r="E3" s="29" t="s">
        <v>64</v>
      </c>
      <c r="F3" s="26" t="s">
        <v>20</v>
      </c>
      <c r="G3" s="14">
        <v>47</v>
      </c>
      <c r="H3" s="92">
        <f>IF(B$19=0,0,G3/B$19)</f>
        <v>0.61038961038961037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-1836.6666666666667</v>
      </c>
      <c r="P3" s="81">
        <v>30</v>
      </c>
      <c r="Q3" s="68">
        <v>-55100</v>
      </c>
    </row>
    <row r="4" spans="1:17" x14ac:dyDescent="0.45">
      <c r="A4" s="21" t="s">
        <v>6</v>
      </c>
      <c r="B4" s="133">
        <v>-96.699999999999974</v>
      </c>
      <c r="C4" s="134"/>
      <c r="E4" s="29" t="s">
        <v>68</v>
      </c>
      <c r="F4" s="26" t="s">
        <v>12</v>
      </c>
      <c r="G4" s="14">
        <v>36</v>
      </c>
      <c r="H4" s="92">
        <f>IF(B$19=0,0,G4/B$19)</f>
        <v>0.46753246753246752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1862.0689655172414</v>
      </c>
      <c r="P4" s="81">
        <v>29</v>
      </c>
      <c r="Q4" s="68">
        <v>54000</v>
      </c>
    </row>
    <row r="5" spans="1:17" x14ac:dyDescent="0.45">
      <c r="A5" s="21" t="s">
        <v>7</v>
      </c>
      <c r="B5" s="121">
        <f>IF(B$2=0,0,B$4/B$2)</f>
        <v>-3.0218749999999992</v>
      </c>
      <c r="C5" s="122"/>
      <c r="E5" s="29" t="s">
        <v>163</v>
      </c>
      <c r="F5" s="26" t="s">
        <v>164</v>
      </c>
      <c r="G5" s="14">
        <v>31</v>
      </c>
      <c r="H5" s="92">
        <f>IF(B$19=0,0,G5/B$19)</f>
        <v>0.40259740259740262</v>
      </c>
      <c r="I5" s="60">
        <v>6</v>
      </c>
      <c r="K5" s="7">
        <v>3</v>
      </c>
      <c r="L5" s="65">
        <v>76</v>
      </c>
      <c r="N5" s="78" t="s">
        <v>133</v>
      </c>
      <c r="O5" s="84">
        <f t="shared" si="0"/>
        <v>-2503.4482758620688</v>
      </c>
      <c r="P5" s="81">
        <v>29</v>
      </c>
      <c r="Q5" s="68">
        <v>-72600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0.37662337662337664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3992.3076923076924</v>
      </c>
      <c r="P6" s="81">
        <v>26</v>
      </c>
      <c r="Q6" s="68">
        <v>103800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0.375</v>
      </c>
      <c r="E7" s="29" t="s">
        <v>67</v>
      </c>
      <c r="F7" s="26" t="s">
        <v>23</v>
      </c>
      <c r="G7" s="14">
        <v>17</v>
      </c>
      <c r="H7" s="92">
        <f>IF(B$19=0,0,G7/B$19)</f>
        <v>0.22077922077922077</v>
      </c>
      <c r="I7" s="60">
        <v>11</v>
      </c>
      <c r="K7" s="7">
        <v>5</v>
      </c>
      <c r="L7" s="65">
        <v>127.9</v>
      </c>
      <c r="N7" s="79" t="s">
        <v>135</v>
      </c>
      <c r="O7" s="85">
        <f t="shared" si="0"/>
        <v>772.72727272727275</v>
      </c>
      <c r="P7" s="82">
        <v>22</v>
      </c>
      <c r="Q7" s="69">
        <v>17000</v>
      </c>
    </row>
    <row r="8" spans="1:17" x14ac:dyDescent="0.45">
      <c r="A8" s="21" t="s">
        <v>3</v>
      </c>
      <c r="B8" s="14">
        <v>8</v>
      </c>
      <c r="C8" s="8">
        <f t="shared" si="1"/>
        <v>0.25</v>
      </c>
      <c r="E8" s="29" t="s">
        <v>69</v>
      </c>
      <c r="F8" s="26" t="s">
        <v>24</v>
      </c>
      <c r="G8" s="14">
        <v>16</v>
      </c>
      <c r="H8" s="92">
        <f>IF(B$19=0,0,G8/B$19)</f>
        <v>0.20779220779220781</v>
      </c>
      <c r="I8" s="60">
        <v>2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0.375</v>
      </c>
      <c r="E9" s="29" t="s">
        <v>65</v>
      </c>
      <c r="F9" s="26" t="s">
        <v>21</v>
      </c>
      <c r="G9" s="14">
        <v>9</v>
      </c>
      <c r="H9" s="92">
        <f>IF(B$19=0,0,G9/B$19)</f>
        <v>0.11688311688311688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8</v>
      </c>
      <c r="H10" s="92">
        <f>IF(B$19=0,0,G10/B$19)</f>
        <v>0.1038961038961039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-6.4916666666666671</v>
      </c>
      <c r="P10" s="80">
        <v>12</v>
      </c>
      <c r="Q10" s="71">
        <v>-77.900000000000006</v>
      </c>
    </row>
    <row r="11" spans="1:17" x14ac:dyDescent="0.45">
      <c r="A11" s="22" t="s">
        <v>204</v>
      </c>
      <c r="B11" s="113">
        <f>IF(B8=0,0,C11/B8)</f>
        <v>-0.31249999999999956</v>
      </c>
      <c r="C11" s="114">
        <v>-2.4999999999999964</v>
      </c>
      <c r="E11" s="29" t="s">
        <v>89</v>
      </c>
      <c r="F11" s="26" t="s">
        <v>44</v>
      </c>
      <c r="G11" s="14">
        <v>7</v>
      </c>
      <c r="H11" s="92">
        <f>IF(B$19=0,0,G11/B$19)</f>
        <v>9.0909090909090912E-2</v>
      </c>
      <c r="I11" s="60">
        <v>11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-36.56666666666667</v>
      </c>
      <c r="C12" s="114">
        <v>-438.80000000000007</v>
      </c>
      <c r="E12" s="29" t="s">
        <v>71</v>
      </c>
      <c r="F12" s="26" t="s">
        <v>26</v>
      </c>
      <c r="G12" s="14">
        <v>6</v>
      </c>
      <c r="H12" s="92">
        <f>IF(B$19=0,0,G12/B$19)</f>
        <v>7.792207792207792E-2</v>
      </c>
      <c r="I12" s="60">
        <v>8</v>
      </c>
      <c r="K12" s="7">
        <v>10</v>
      </c>
      <c r="L12" s="65">
        <v>162.80000000000001</v>
      </c>
      <c r="N12" s="79" t="s">
        <v>156</v>
      </c>
      <c r="O12" s="88">
        <f>IF(P12=0,0,Q12/P12)</f>
        <v>5.8</v>
      </c>
      <c r="P12" s="82">
        <v>10</v>
      </c>
      <c r="Q12" s="73">
        <v>58</v>
      </c>
    </row>
    <row r="13" spans="1:17" x14ac:dyDescent="0.45">
      <c r="A13" s="22" t="s">
        <v>206</v>
      </c>
      <c r="B13" s="121">
        <f>AVERAGE(B10:B12)</f>
        <v>-2.7208333333333337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6.4935064935064929E-2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0.15625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83</v>
      </c>
      <c r="C15" s="12">
        <f>IF(B$3=0,0,B15/B$3)</f>
        <v>0.27852348993288589</v>
      </c>
      <c r="E15" s="29" t="s">
        <v>83</v>
      </c>
      <c r="F15" s="26" t="s">
        <v>38</v>
      </c>
      <c r="G15" s="14">
        <v>2</v>
      </c>
      <c r="H15" s="92">
        <f>IF(B$19=0,0,G15/B$19)</f>
        <v>2.5974025974025976E-2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56.614285714285721</v>
      </c>
      <c r="P15" s="80">
        <v>7</v>
      </c>
      <c r="Q15" s="71">
        <v>396.30000000000007</v>
      </c>
    </row>
    <row r="16" spans="1:17" x14ac:dyDescent="0.45">
      <c r="A16" s="21" t="s">
        <v>118</v>
      </c>
      <c r="B16" s="14">
        <v>48</v>
      </c>
      <c r="C16" s="8">
        <f>IF(B$3=0,0,B16/B$3)</f>
        <v>0.16107382550335569</v>
      </c>
      <c r="E16" s="29" t="s">
        <v>75</v>
      </c>
      <c r="F16" s="26" t="s">
        <v>30</v>
      </c>
      <c r="G16" s="14">
        <v>1</v>
      </c>
      <c r="H16" s="92">
        <f>IF(B$19=0,0,G16/B$19)</f>
        <v>1.2987012987012988E-2</v>
      </c>
      <c r="I16" s="60">
        <v>2</v>
      </c>
      <c r="K16" s="7">
        <v>14</v>
      </c>
      <c r="L16" s="65">
        <v>49.900000000000006</v>
      </c>
      <c r="N16" s="78" t="s">
        <v>169</v>
      </c>
      <c r="O16" s="87">
        <f t="shared" si="2"/>
        <v>1.8909090909090909</v>
      </c>
      <c r="P16" s="81">
        <v>11</v>
      </c>
      <c r="Q16" s="72">
        <v>20.8</v>
      </c>
    </row>
    <row r="17" spans="1:17" x14ac:dyDescent="0.45">
      <c r="A17" s="20" t="s">
        <v>123</v>
      </c>
      <c r="B17" s="13">
        <f>B23</f>
        <v>47</v>
      </c>
      <c r="C17" s="6">
        <f>IF(B$15=0,0,B17/B$15)</f>
        <v>0.5662650602409639</v>
      </c>
      <c r="E17" s="29" t="s">
        <v>81</v>
      </c>
      <c r="F17" s="26" t="s">
        <v>36</v>
      </c>
      <c r="G17" s="14">
        <v>1</v>
      </c>
      <c r="H17" s="92">
        <f>IF(B$19=0,0,G17/B$19)</f>
        <v>1.2987012987012988E-2</v>
      </c>
      <c r="I17" s="60">
        <v>10</v>
      </c>
      <c r="K17" s="7">
        <v>15</v>
      </c>
      <c r="L17" s="65">
        <v>73.7</v>
      </c>
      <c r="N17" s="78" t="s">
        <v>275</v>
      </c>
      <c r="O17" s="87">
        <f t="shared" si="2"/>
        <v>0.16666666666666785</v>
      </c>
      <c r="P17" s="81">
        <v>3</v>
      </c>
      <c r="Q17" s="72">
        <v>0.50000000000000355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0.3125</v>
      </c>
      <c r="E18" s="29" t="s">
        <v>85</v>
      </c>
      <c r="F18" s="26" t="s">
        <v>40</v>
      </c>
      <c r="G18" s="14">
        <v>1</v>
      </c>
      <c r="H18" s="92">
        <f>IF(B$19=0,0,G18/B$19)</f>
        <v>1.2987012987012988E-2</v>
      </c>
      <c r="I18" s="60">
        <v>2</v>
      </c>
      <c r="K18" s="7">
        <v>16</v>
      </c>
      <c r="L18" s="65">
        <v>28.300000000000004</v>
      </c>
      <c r="N18" s="78" t="s">
        <v>167</v>
      </c>
      <c r="O18" s="87">
        <f t="shared" si="2"/>
        <v>-5.15</v>
      </c>
      <c r="P18" s="81">
        <v>10</v>
      </c>
      <c r="Q18" s="72">
        <v>-51.500000000000007</v>
      </c>
    </row>
    <row r="19" spans="1:17" x14ac:dyDescent="0.45">
      <c r="A19" s="20" t="s">
        <v>10</v>
      </c>
      <c r="B19" s="13">
        <f>B22+B21</f>
        <v>77</v>
      </c>
      <c r="C19" s="6">
        <f>IF(B$3=0,0,B19/B$3)</f>
        <v>0.25838926174496646</v>
      </c>
      <c r="E19" s="29" t="s">
        <v>87</v>
      </c>
      <c r="F19" s="26" t="s">
        <v>42</v>
      </c>
      <c r="G19" s="14">
        <v>1</v>
      </c>
      <c r="H19" s="92">
        <f>IF(B$19=0,0,G19/B$19)</f>
        <v>1.2987012987012988E-2</v>
      </c>
      <c r="I19" s="60">
        <v>2</v>
      </c>
      <c r="K19" s="7">
        <v>17</v>
      </c>
      <c r="L19" s="65">
        <v>49.800000000000004</v>
      </c>
      <c r="N19" s="78" t="s">
        <v>168</v>
      </c>
      <c r="O19" s="87">
        <f t="shared" si="2"/>
        <v>-5.7000000000000011</v>
      </c>
      <c r="P19" s="81">
        <v>5</v>
      </c>
      <c r="Q19" s="72">
        <v>-28.500000000000004</v>
      </c>
    </row>
    <row r="20" spans="1:17" x14ac:dyDescent="0.45">
      <c r="A20" s="21" t="s">
        <v>13</v>
      </c>
      <c r="B20" s="14">
        <v>50</v>
      </c>
      <c r="C20" s="8">
        <f>IF(B$3=0,0,B20/B$3)</f>
        <v>0.16778523489932887</v>
      </c>
      <c r="E20" s="29" t="s">
        <v>159</v>
      </c>
      <c r="F20" s="26" t="s">
        <v>160</v>
      </c>
      <c r="G20" s="14">
        <v>1</v>
      </c>
      <c r="H20" s="92">
        <f>IF(B$19=0,0,G20/B$19)</f>
        <v>1.2987012987012988E-2</v>
      </c>
      <c r="I20" s="60">
        <v>6</v>
      </c>
      <c r="K20" s="7">
        <v>18</v>
      </c>
      <c r="L20" s="65">
        <v>24.700000000000003</v>
      </c>
      <c r="N20" s="78" t="s">
        <v>158</v>
      </c>
      <c r="O20" s="87">
        <f t="shared" si="2"/>
        <v>-7.4333333333333336</v>
      </c>
      <c r="P20" s="81">
        <v>6</v>
      </c>
      <c r="Q20" s="72">
        <v>-44.6</v>
      </c>
    </row>
    <row r="21" spans="1:17" x14ac:dyDescent="0.45">
      <c r="A21" s="21" t="s">
        <v>12</v>
      </c>
      <c r="B21" s="14">
        <v>45</v>
      </c>
      <c r="C21" s="8">
        <f>IF(B$19=0,0,B21/B$19)</f>
        <v>0.58441558441558439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201</v>
      </c>
      <c r="O21" s="87">
        <f t="shared" si="2"/>
        <v>-17.850000000000001</v>
      </c>
      <c r="P21" s="81">
        <v>2</v>
      </c>
      <c r="Q21" s="72">
        <v>-35.700000000000003</v>
      </c>
    </row>
    <row r="22" spans="1:17" x14ac:dyDescent="0.45">
      <c r="A22" s="21" t="s">
        <v>11</v>
      </c>
      <c r="B22" s="14">
        <v>32</v>
      </c>
      <c r="C22" s="8">
        <f>IF(B$19=0,0,B22/B$19)</f>
        <v>0.41558441558441561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127</v>
      </c>
      <c r="O22" s="87">
        <f t="shared" si="2"/>
        <v>-21.862499999999997</v>
      </c>
      <c r="P22" s="81">
        <v>8</v>
      </c>
      <c r="Q22" s="72">
        <v>-174.89999999999998</v>
      </c>
    </row>
    <row r="23" spans="1:17" x14ac:dyDescent="0.45">
      <c r="A23" s="21" t="s">
        <v>192</v>
      </c>
      <c r="B23" s="14">
        <v>47</v>
      </c>
      <c r="C23" s="8">
        <f>IF(B$19=0,0,B23/B$19)</f>
        <v>0.61038961038961037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0.19480519480519481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15</v>
      </c>
      <c r="C25" s="8">
        <f>IF(B$19=0,0,B25/B$19)</f>
        <v>0.19480519480519481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8164.9350649350654</v>
      </c>
      <c r="C26" s="10">
        <v>628700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8512.9032258064508</v>
      </c>
      <c r="C27" s="100">
        <v>527800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-7102</v>
      </c>
      <c r="C29" s="100">
        <v>-355100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8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1</v>
      </c>
      <c r="C34" s="11">
        <f>IF(B$3=0,0,B34/B$3)</f>
        <v>3.3557046979865771E-3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0.11688311688311688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176</v>
      </c>
      <c r="B37" s="14">
        <v>11</v>
      </c>
      <c r="C37" s="8">
        <f t="shared" si="3"/>
        <v>0.14285714285714285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177</v>
      </c>
      <c r="B38" s="120">
        <v>13</v>
      </c>
      <c r="C38" s="8">
        <f t="shared" si="3"/>
        <v>0.16883116883116883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178</v>
      </c>
      <c r="B39" s="120">
        <v>10</v>
      </c>
      <c r="C39" s="8">
        <f t="shared" si="3"/>
        <v>0.12987012987012986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13</v>
      </c>
      <c r="C40" s="8">
        <f t="shared" si="3"/>
        <v>0.16883116883116883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0.18181818181818182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5.1948051948051951E-2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2.5974025974025976E-2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1.2987012987012988E-2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EF21-C0E1-4B49-B17E-CFFFDE786A2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6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10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170FE-E9CA-43BF-85F5-A925B8D85A08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2D89A-BE45-45FD-8A6A-6009224735D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18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-2194.4444444444443</v>
      </c>
      <c r="P2" s="80">
        <v>18</v>
      </c>
      <c r="Q2" s="67">
        <v>-39500</v>
      </c>
    </row>
    <row r="3" spans="1:17" x14ac:dyDescent="0.45">
      <c r="A3" s="21" t="s">
        <v>8</v>
      </c>
      <c r="B3" s="131">
        <v>155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-188.88888888888889</v>
      </c>
      <c r="P3" s="81">
        <v>18</v>
      </c>
      <c r="Q3" s="68">
        <v>-3400</v>
      </c>
    </row>
    <row r="4" spans="1:17" x14ac:dyDescent="0.45">
      <c r="A4" s="21" t="s">
        <v>6</v>
      </c>
      <c r="B4" s="133">
        <v>-55.6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-2300</v>
      </c>
      <c r="P4" s="81">
        <v>18</v>
      </c>
      <c r="Q4" s="68">
        <v>-41400</v>
      </c>
    </row>
    <row r="5" spans="1:17" x14ac:dyDescent="0.45">
      <c r="A5" s="21" t="s">
        <v>7</v>
      </c>
      <c r="B5" s="121">
        <f>IF(B$2=0,0,B$4/B$2)</f>
        <v>-3.088888888888889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1650</v>
      </c>
      <c r="P5" s="81">
        <v>16</v>
      </c>
      <c r="Q5" s="68">
        <v>26400</v>
      </c>
    </row>
    <row r="6" spans="1:17" x14ac:dyDescent="0.45">
      <c r="A6" s="21" t="s">
        <v>1</v>
      </c>
      <c r="B6" s="135">
        <f>IF(B$2=0,0,(B$7*1+B$8*2+B$9*3)/B$2)</f>
        <v>2.0555555555555554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-1150</v>
      </c>
      <c r="P6" s="81">
        <v>14</v>
      </c>
      <c r="Q6" s="68">
        <v>-16100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0.33333333333333331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2558.3333333333335</v>
      </c>
      <c r="P7" s="82">
        <v>12</v>
      </c>
      <c r="Q7" s="69">
        <v>30700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0.3888888888888889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-13.719999999999999</v>
      </c>
      <c r="P10" s="80">
        <v>5</v>
      </c>
      <c r="Q10" s="71">
        <v>-68.599999999999994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-35.228571428571435</v>
      </c>
      <c r="C12" s="114">
        <v>-246.60000000000002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5.6599999999999993</v>
      </c>
      <c r="P12" s="82">
        <v>5</v>
      </c>
      <c r="Q12" s="73">
        <v>28.299999999999997</v>
      </c>
    </row>
    <row r="13" spans="1:17" x14ac:dyDescent="0.45">
      <c r="A13" s="22" t="s">
        <v>206</v>
      </c>
      <c r="B13" s="121">
        <f>AVERAGE(B10:B12)</f>
        <v>-0.98952380952380992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0.16666666666666666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54</v>
      </c>
      <c r="C15" s="12">
        <f>IF(B$3=0,0,B15/B$3)</f>
        <v>0.34838709677419355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19</v>
      </c>
      <c r="C16" s="8">
        <f>IF(B$3=0,0,B16/B$3)</f>
        <v>0.12258064516129032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0.57407407407407407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195</v>
      </c>
      <c r="O17" s="87">
        <f t="shared" si="2"/>
        <v>12.000000000000002</v>
      </c>
      <c r="P17" s="81">
        <v>1</v>
      </c>
      <c r="Q17" s="72">
        <v>12.000000000000002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0.68421052631578949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167</v>
      </c>
      <c r="O18" s="87">
        <f t="shared" si="2"/>
        <v>2.910000000000001</v>
      </c>
      <c r="P18" s="81">
        <v>10</v>
      </c>
      <c r="Q18" s="72">
        <v>29.100000000000009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0.34838709677419355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127</v>
      </c>
      <c r="O19" s="87">
        <f t="shared" si="2"/>
        <v>2.8600000000000012</v>
      </c>
      <c r="P19" s="81">
        <v>5</v>
      </c>
      <c r="Q19" s="72">
        <v>14.300000000000006</v>
      </c>
    </row>
    <row r="20" spans="1:17" x14ac:dyDescent="0.45">
      <c r="A20" s="21" t="s">
        <v>13</v>
      </c>
      <c r="B20" s="14">
        <v>25</v>
      </c>
      <c r="C20" s="8">
        <f>IF(B$3=0,0,B20/B$3)</f>
        <v>0.16129032258064516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194</v>
      </c>
      <c r="O20" s="87">
        <f t="shared" si="2"/>
        <v>-0.16666666666666882</v>
      </c>
      <c r="P20" s="81">
        <v>3</v>
      </c>
      <c r="Q20" s="72">
        <v>-0.50000000000000644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N21" s="78" t="s">
        <v>126</v>
      </c>
      <c r="O21" s="87">
        <f t="shared" si="2"/>
        <v>-42.716666666666669</v>
      </c>
      <c r="P21" s="81">
        <v>6</v>
      </c>
      <c r="Q21" s="72">
        <v>-256.3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-8220</v>
      </c>
      <c r="C29" s="100">
        <v>-205500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1.2903225806451613E-2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F28FA-0BF9-47E5-AAFE-55313548BB6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BA573-D395-4C16-A740-013C8AB28B18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FB0CB-A06E-479C-9F0F-F5BA8C3EDF31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2C09-42A8-42FA-B9CC-F84B640DACC3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934E0-AA30-46C7-B527-D88CDB417365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0B723-1077-474D-98D8-1499479F67CD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A487-D37F-43C8-8635-518B83E9C44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887E7-CE22-4D36-83A3-510923D6516B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03BE-7E9A-4B00-A938-1BC681316882}">
  <sheetPr codeName="Sheet20"/>
  <dimension ref="A1:Q7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D4B10-8912-4DC0-89E7-58CA838A42E4}">
  <sheetPr codeName="Sheet18"/>
  <dimension ref="A1:Q16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C57F-2D5A-4ED7-A58A-24A077DB555E}">
  <sheetPr codeName="Sheet16"/>
  <dimension ref="A1:Q16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CD793-2A8A-4595-B572-EE4382C91F3C}">
  <sheetPr codeName="Sheet14"/>
  <dimension ref="A1:Q10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4F5D-DBFC-4E42-A961-C91C9A6B653E}">
  <sheetPr codeName="Sheet12"/>
  <dimension ref="A1:Q19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AC5D-0648-41D1-91CA-2AA498353403}">
  <sheetPr codeName="Sheet10"/>
  <dimension ref="A1:Q2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593C5-655E-4280-A689-94A34EE67B47}">
  <sheetPr codeName="Sheet8"/>
  <dimension ref="A1:Q9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D27AF-655F-4A78-A754-66AEC9D016C7}">
  <sheetPr codeName="Sheet6"/>
  <dimension ref="A1:Q36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2020-02-17T15:36:41Z</dcterms:modified>
</cp:coreProperties>
</file>