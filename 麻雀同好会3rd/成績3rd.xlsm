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CADE92F0-5D77-4930-8E3F-E1550BAF4F21}" xr6:coauthVersionLast="41" xr6:coauthVersionMax="41" xr10:uidLastSave="{00000000-0000-0000-0000-000000000000}"/>
  <bookViews>
    <workbookView xWindow="0" yWindow="0" windowWidth="21600" windowHeight="1183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231" r:id="rId6"/>
    <sheet name="たかの" sheetId="6233" r:id="rId7"/>
    <sheet name="だいち" sheetId="6235" r:id="rId8"/>
    <sheet name="ただ" sheetId="6237" r:id="rId9"/>
    <sheet name="りくと" sheetId="6239" r:id="rId10"/>
    <sheet name="れんたろう" sheetId="6241" r:id="rId11"/>
    <sheet name="まっつん" sheetId="6243" r:id="rId12"/>
    <sheet name="のり" sheetId="6245" r:id="rId13"/>
    <sheet name="ぱぱ" sheetId="6247" r:id="rId14"/>
    <sheet name="ほたに" sheetId="6249" r:id="rId15"/>
    <sheet name="いっしー" sheetId="6251" r:id="rId16"/>
    <sheet name="ともき" sheetId="6253" r:id="rId17"/>
    <sheet name="たか" sheetId="6255" r:id="rId18"/>
    <sheet name="ゆう" sheetId="6257" r:id="rId19"/>
    <sheet name="ゆう2" sheetId="6258" state="hidden" r:id="rId20"/>
    <sheet name="たか2" sheetId="6256" state="hidden" r:id="rId21"/>
    <sheet name="ともき2" sheetId="6254" state="hidden" r:id="rId22"/>
    <sheet name="いっしー2" sheetId="6252" state="hidden" r:id="rId23"/>
    <sheet name="ほたに2" sheetId="6250" state="hidden" r:id="rId24"/>
    <sheet name="ぱぱ2" sheetId="6248" state="hidden" r:id="rId25"/>
    <sheet name="のり2" sheetId="6246" state="hidden" r:id="rId26"/>
    <sheet name="まっつん2" sheetId="6244" state="hidden" r:id="rId27"/>
    <sheet name="れんたろう2" sheetId="6242" state="hidden" r:id="rId28"/>
    <sheet name="りくと2" sheetId="6240" state="hidden" r:id="rId29"/>
    <sheet name="ただ2" sheetId="6238" state="hidden" r:id="rId30"/>
    <sheet name="だいち2" sheetId="6236" state="hidden" r:id="rId31"/>
    <sheet name="たかの2" sheetId="6234" state="hidden" r:id="rId32"/>
    <sheet name="全体2" sheetId="623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243" l="1"/>
  <c r="O16" i="6253"/>
  <c r="O16" i="6255" l="1"/>
  <c r="O23" i="6233"/>
  <c r="O20" i="6243" l="1"/>
  <c r="O16" i="6257"/>
  <c r="O18" i="6255"/>
  <c r="O15" i="6233" l="1"/>
  <c r="O22" i="6253"/>
  <c r="O19" i="6255" l="1"/>
  <c r="O15" i="6257"/>
  <c r="O17" i="6257"/>
  <c r="C30" i="6257"/>
  <c r="B25" i="6257"/>
  <c r="C16" i="6257"/>
  <c r="B15" i="6257"/>
  <c r="H52" i="6257" s="1"/>
  <c r="B14" i="6257"/>
  <c r="B24" i="6257" s="1"/>
  <c r="B13" i="6257"/>
  <c r="C13" i="6257" s="1"/>
  <c r="O12" i="6257"/>
  <c r="C12" i="6257"/>
  <c r="O11" i="6257"/>
  <c r="C11" i="6257"/>
  <c r="O10" i="6257"/>
  <c r="C10" i="6257"/>
  <c r="C9" i="6257"/>
  <c r="C8" i="6257"/>
  <c r="O7" i="6257"/>
  <c r="C7" i="6257"/>
  <c r="O6" i="6257"/>
  <c r="B6" i="6257"/>
  <c r="O5" i="6257"/>
  <c r="B5" i="6257"/>
  <c r="O4" i="6257"/>
  <c r="O3" i="6257"/>
  <c r="O2" i="6257"/>
  <c r="O16" i="6245"/>
  <c r="O15" i="6255"/>
  <c r="O17" i="6255"/>
  <c r="C30" i="6255"/>
  <c r="B25" i="6255"/>
  <c r="C16" i="6255"/>
  <c r="B15" i="6255"/>
  <c r="H52" i="6255" s="1"/>
  <c r="B14" i="6255"/>
  <c r="B24" i="6255" s="1"/>
  <c r="B13" i="6255"/>
  <c r="C13" i="6255" s="1"/>
  <c r="O12" i="6255"/>
  <c r="C12" i="6255"/>
  <c r="O11" i="6255"/>
  <c r="C11" i="6255"/>
  <c r="O10" i="6255"/>
  <c r="C10" i="6255"/>
  <c r="C9" i="6255"/>
  <c r="C8" i="6255"/>
  <c r="O7" i="6255"/>
  <c r="C7" i="6255"/>
  <c r="O6" i="6255"/>
  <c r="B6" i="6255"/>
  <c r="O5" i="6255"/>
  <c r="B5" i="6255"/>
  <c r="O4" i="6255"/>
  <c r="O3" i="6255"/>
  <c r="O2" i="6255"/>
  <c r="O15" i="6231"/>
  <c r="H18" i="6255" l="1"/>
  <c r="C14" i="6255"/>
  <c r="C14" i="6257"/>
  <c r="C15" i="6257"/>
  <c r="H6" i="6257"/>
  <c r="H16" i="6257"/>
  <c r="H21" i="6257"/>
  <c r="H9" i="6257"/>
  <c r="C33" i="6257"/>
  <c r="C37" i="6257"/>
  <c r="C41" i="6257"/>
  <c r="H46" i="6257"/>
  <c r="C19" i="6257"/>
  <c r="B23" i="6257"/>
  <c r="H29" i="6257"/>
  <c r="H34" i="6257"/>
  <c r="H38" i="6257"/>
  <c r="H42" i="6257"/>
  <c r="H47" i="6257"/>
  <c r="H8" i="6257"/>
  <c r="H22" i="6257"/>
  <c r="C34" i="6257"/>
  <c r="C42" i="6257"/>
  <c r="C20" i="6257"/>
  <c r="H35" i="6257"/>
  <c r="H39" i="6257"/>
  <c r="H43" i="6257"/>
  <c r="H49" i="6257"/>
  <c r="H14" i="6257"/>
  <c r="H19" i="6257"/>
  <c r="H26" i="6257"/>
  <c r="C38" i="6257"/>
  <c r="H17" i="6257"/>
  <c r="H5" i="6257"/>
  <c r="H23" i="6257"/>
  <c r="H27" i="6257"/>
  <c r="H31" i="6257"/>
  <c r="C35" i="6257"/>
  <c r="C39" i="6257"/>
  <c r="C43" i="6257"/>
  <c r="H50" i="6257"/>
  <c r="H10" i="6257"/>
  <c r="H25" i="6257"/>
  <c r="H3" i="6257"/>
  <c r="H30" i="6257"/>
  <c r="H48" i="6257"/>
  <c r="H7" i="6257"/>
  <c r="H11" i="6257"/>
  <c r="H15" i="6257"/>
  <c r="C17" i="6257"/>
  <c r="C21" i="6257"/>
  <c r="H32" i="6257"/>
  <c r="H36" i="6257"/>
  <c r="H40" i="6257"/>
  <c r="H44" i="6257"/>
  <c r="H51" i="6257"/>
  <c r="H2" i="6257"/>
  <c r="H13" i="6257"/>
  <c r="H20" i="6257"/>
  <c r="H24" i="6257"/>
  <c r="H12" i="6257"/>
  <c r="C32" i="6257"/>
  <c r="C36" i="6257"/>
  <c r="C40" i="6257"/>
  <c r="C44" i="6257"/>
  <c r="H4" i="6257"/>
  <c r="H18" i="6257"/>
  <c r="C18" i="6257"/>
  <c r="B22" i="6257"/>
  <c r="H28" i="6257"/>
  <c r="H33" i="6257"/>
  <c r="H37" i="6257"/>
  <c r="H41" i="6257"/>
  <c r="H45" i="6257"/>
  <c r="H2" i="6255"/>
  <c r="H7" i="6255"/>
  <c r="H12" i="6255"/>
  <c r="B23" i="6255"/>
  <c r="H34" i="6255"/>
  <c r="C15" i="6255"/>
  <c r="H16" i="6255"/>
  <c r="H19" i="6255"/>
  <c r="H30" i="6255"/>
  <c r="H11" i="6255"/>
  <c r="H6" i="6255"/>
  <c r="C18" i="6255"/>
  <c r="H9" i="6255"/>
  <c r="H8" i="6255"/>
  <c r="C19" i="6255"/>
  <c r="H38" i="6255"/>
  <c r="H42" i="6255"/>
  <c r="H26" i="6255"/>
  <c r="H47" i="6255"/>
  <c r="H22" i="6255"/>
  <c r="H25" i="6255"/>
  <c r="H13" i="6255"/>
  <c r="C33" i="6255"/>
  <c r="C37" i="6255"/>
  <c r="C41" i="6255"/>
  <c r="H46" i="6255"/>
  <c r="H14" i="6255"/>
  <c r="C34" i="6255"/>
  <c r="C38" i="6255"/>
  <c r="C42" i="6255"/>
  <c r="H48" i="6255"/>
  <c r="C20" i="6255"/>
  <c r="H35" i="6255"/>
  <c r="H39" i="6255"/>
  <c r="H43" i="6255"/>
  <c r="H49" i="6255"/>
  <c r="H17" i="6255"/>
  <c r="H20" i="6255"/>
  <c r="H23" i="6255"/>
  <c r="H27" i="6255"/>
  <c r="H31" i="6255"/>
  <c r="C35" i="6255"/>
  <c r="C39" i="6255"/>
  <c r="C43" i="6255"/>
  <c r="H50" i="6255"/>
  <c r="H4" i="6255"/>
  <c r="H15" i="6255"/>
  <c r="C17" i="6255"/>
  <c r="C21" i="6255"/>
  <c r="H32" i="6255"/>
  <c r="H36" i="6255"/>
  <c r="H40" i="6255"/>
  <c r="H44" i="6255"/>
  <c r="H51" i="6255"/>
  <c r="H3" i="6255"/>
  <c r="H10" i="6255"/>
  <c r="H21" i="6255"/>
  <c r="H24" i="6255"/>
  <c r="H28" i="6255"/>
  <c r="C32" i="6255"/>
  <c r="C36" i="6255"/>
  <c r="C40" i="6255"/>
  <c r="C44" i="6255"/>
  <c r="H5" i="6255"/>
  <c r="B22" i="6255"/>
  <c r="H29" i="6255"/>
  <c r="H33" i="6255"/>
  <c r="H37" i="6255"/>
  <c r="H41" i="6255"/>
  <c r="H45" i="6255"/>
  <c r="O21" i="6253" l="1"/>
  <c r="O16" i="6235"/>
  <c r="O22" i="6237" l="1"/>
  <c r="O18" i="6253"/>
  <c r="O20" i="6253"/>
  <c r="O22" i="6239"/>
  <c r="O23" i="6247" l="1"/>
  <c r="O15" i="6253"/>
  <c r="O23" i="6241" l="1"/>
  <c r="O19" i="6253"/>
  <c r="O17" i="6253"/>
  <c r="C30" i="6253"/>
  <c r="B25" i="6253"/>
  <c r="C16" i="6253"/>
  <c r="B15" i="6253"/>
  <c r="H52" i="6253" s="1"/>
  <c r="B14" i="6253"/>
  <c r="C14" i="6253" s="1"/>
  <c r="B13" i="6253"/>
  <c r="C13" i="6253" s="1"/>
  <c r="O12" i="6253"/>
  <c r="C12" i="6253"/>
  <c r="O11" i="6253"/>
  <c r="C11" i="6253"/>
  <c r="O10" i="6253"/>
  <c r="C10" i="6253"/>
  <c r="C9" i="6253"/>
  <c r="C8" i="6253"/>
  <c r="O7" i="6253"/>
  <c r="C7" i="6253"/>
  <c r="O6" i="6253"/>
  <c r="B6" i="6253"/>
  <c r="O5" i="6253"/>
  <c r="B5" i="6253"/>
  <c r="O4" i="6253"/>
  <c r="O3" i="6253"/>
  <c r="O2" i="6253"/>
  <c r="O18" i="6245"/>
  <c r="O24" i="6231"/>
  <c r="B24" i="6253" l="1"/>
  <c r="H13" i="6253"/>
  <c r="H3" i="6253"/>
  <c r="H4" i="6253"/>
  <c r="C34" i="6253"/>
  <c r="H12" i="6253"/>
  <c r="C32" i="6253"/>
  <c r="H8" i="6253"/>
  <c r="H24" i="6253"/>
  <c r="C36" i="6253"/>
  <c r="C38" i="6253"/>
  <c r="C15" i="6253"/>
  <c r="H19" i="6253"/>
  <c r="H21" i="6253"/>
  <c r="H27" i="6253"/>
  <c r="C42" i="6253"/>
  <c r="H2" i="6253"/>
  <c r="H14" i="6253"/>
  <c r="C44" i="6253"/>
  <c r="H10" i="6253"/>
  <c r="C40" i="6253"/>
  <c r="H30" i="6253"/>
  <c r="H5" i="6253"/>
  <c r="H16" i="6253"/>
  <c r="H7" i="6253"/>
  <c r="H23" i="6253"/>
  <c r="H26" i="6253"/>
  <c r="H11" i="6253"/>
  <c r="C33" i="6253"/>
  <c r="C37" i="6253"/>
  <c r="C41" i="6253"/>
  <c r="H46" i="6253"/>
  <c r="C19" i="6253"/>
  <c r="B23" i="6253"/>
  <c r="H29" i="6253"/>
  <c r="H34" i="6253"/>
  <c r="H38" i="6253"/>
  <c r="H42" i="6253"/>
  <c r="H47" i="6253"/>
  <c r="H35" i="6253"/>
  <c r="H39" i="6253"/>
  <c r="H43" i="6253"/>
  <c r="H49" i="6253"/>
  <c r="H9" i="6253"/>
  <c r="C20" i="6253"/>
  <c r="H15" i="6253"/>
  <c r="H22" i="6253"/>
  <c r="H25" i="6253"/>
  <c r="H17" i="6253"/>
  <c r="H31" i="6253"/>
  <c r="C35" i="6253"/>
  <c r="C39" i="6253"/>
  <c r="C43" i="6253"/>
  <c r="H50" i="6253"/>
  <c r="H48" i="6253"/>
  <c r="H6" i="6253"/>
  <c r="H18" i="6253"/>
  <c r="C17" i="6253"/>
  <c r="C21" i="6253"/>
  <c r="H32" i="6253"/>
  <c r="H36" i="6253"/>
  <c r="H40" i="6253"/>
  <c r="H44" i="6253"/>
  <c r="H51" i="6253"/>
  <c r="H20" i="6253"/>
  <c r="C18" i="6253"/>
  <c r="B22" i="6253"/>
  <c r="H28" i="6253"/>
  <c r="H33" i="6253"/>
  <c r="H37" i="6253"/>
  <c r="H41" i="6253"/>
  <c r="H45" i="6253"/>
  <c r="O16" i="6243" l="1"/>
  <c r="O17" i="6251"/>
  <c r="O23" i="6235"/>
  <c r="O16" i="6251"/>
  <c r="O15" i="6251"/>
  <c r="C30" i="6251"/>
  <c r="B25" i="6251"/>
  <c r="C16" i="6251"/>
  <c r="B15" i="6251"/>
  <c r="H52" i="6251" s="1"/>
  <c r="B14" i="6251"/>
  <c r="B24" i="6251" s="1"/>
  <c r="B13" i="6251"/>
  <c r="C13" i="6251" s="1"/>
  <c r="O12" i="6251"/>
  <c r="C12" i="6251"/>
  <c r="O11" i="6251"/>
  <c r="C11" i="6251"/>
  <c r="O10" i="6251"/>
  <c r="C10" i="6251"/>
  <c r="C9" i="6251"/>
  <c r="C8" i="6251"/>
  <c r="O7" i="6251"/>
  <c r="C7" i="6251"/>
  <c r="O6" i="6251"/>
  <c r="B6" i="6251"/>
  <c r="O5" i="6251"/>
  <c r="B5" i="6251"/>
  <c r="O4" i="6251"/>
  <c r="O3" i="6251"/>
  <c r="O2" i="6251"/>
  <c r="O20" i="6245"/>
  <c r="O26" i="6231"/>
  <c r="C14" i="6251" l="1"/>
  <c r="H2" i="6251"/>
  <c r="H8" i="6251"/>
  <c r="H29" i="6251"/>
  <c r="H30" i="6251"/>
  <c r="H13" i="6251"/>
  <c r="C38" i="6251"/>
  <c r="C15" i="6251"/>
  <c r="C40" i="6251"/>
  <c r="H3" i="6251"/>
  <c r="C19" i="6251"/>
  <c r="H22" i="6251"/>
  <c r="H42" i="6251"/>
  <c r="C32" i="6251"/>
  <c r="C42" i="6251"/>
  <c r="H9" i="6251"/>
  <c r="H25" i="6251"/>
  <c r="H34" i="6251"/>
  <c r="H6" i="6251"/>
  <c r="H15" i="6251"/>
  <c r="H47" i="6251"/>
  <c r="H18" i="6251"/>
  <c r="C34" i="6251"/>
  <c r="H7" i="6251"/>
  <c r="H10" i="6251"/>
  <c r="C36" i="6251"/>
  <c r="H48" i="6251"/>
  <c r="B23" i="6251"/>
  <c r="C44" i="6251"/>
  <c r="H12" i="6251"/>
  <c r="H20" i="6251"/>
  <c r="H27" i="6251"/>
  <c r="H38" i="6251"/>
  <c r="H11" i="6251"/>
  <c r="H21" i="6251"/>
  <c r="H24" i="6251"/>
  <c r="H5" i="6251"/>
  <c r="C33" i="6251"/>
  <c r="C37" i="6251"/>
  <c r="C41" i="6251"/>
  <c r="H46" i="6251"/>
  <c r="C20" i="6251"/>
  <c r="H35" i="6251"/>
  <c r="H39" i="6251"/>
  <c r="H43" i="6251"/>
  <c r="H49" i="6251"/>
  <c r="H16" i="6251"/>
  <c r="H19" i="6251"/>
  <c r="H23" i="6251"/>
  <c r="H26" i="6251"/>
  <c r="H31" i="6251"/>
  <c r="C35" i="6251"/>
  <c r="C39" i="6251"/>
  <c r="C43" i="6251"/>
  <c r="H50" i="6251"/>
  <c r="H4" i="6251"/>
  <c r="H14" i="6251"/>
  <c r="C17" i="6251"/>
  <c r="C21" i="6251"/>
  <c r="H32" i="6251"/>
  <c r="H36" i="6251"/>
  <c r="H40" i="6251"/>
  <c r="H44" i="6251"/>
  <c r="H51" i="6251"/>
  <c r="H17" i="6251"/>
  <c r="C18" i="6251"/>
  <c r="B22" i="6251"/>
  <c r="H28" i="6251"/>
  <c r="H33" i="6251"/>
  <c r="H37" i="6251"/>
  <c r="H41" i="6251"/>
  <c r="H45" i="6251"/>
  <c r="O22" i="6233" l="1"/>
  <c r="O16" i="6241"/>
  <c r="O15" i="6241" l="1"/>
  <c r="O19" i="6249"/>
  <c r="O15" i="6239" l="1"/>
  <c r="O22" i="6245"/>
  <c r="O16" i="6249" l="1"/>
  <c r="O23" i="6239"/>
  <c r="O21" i="6233" l="1"/>
  <c r="O17" i="6235"/>
  <c r="O15" i="6245"/>
  <c r="O23" i="6245"/>
  <c r="O19" i="6243" l="1"/>
  <c r="O18" i="6247"/>
  <c r="O17" i="6237" l="1"/>
  <c r="O17" i="6243"/>
  <c r="O19" i="6245"/>
  <c r="O21" i="6245"/>
  <c r="O16" i="6233" l="1"/>
  <c r="O17" i="6247"/>
  <c r="O19" i="6247"/>
  <c r="O18" i="6239"/>
  <c r="O20" i="6237" l="1"/>
  <c r="O20" i="6241"/>
  <c r="O19" i="6241" l="1"/>
  <c r="O22" i="6235"/>
  <c r="O25" i="6245"/>
  <c r="O17" i="6249"/>
  <c r="O15" i="6249"/>
  <c r="O21" i="6247"/>
  <c r="O15" i="6237" l="1"/>
  <c r="O21" i="6237"/>
  <c r="O18" i="6249"/>
  <c r="O20" i="6249"/>
  <c r="C40" i="6249"/>
  <c r="C30" i="6249"/>
  <c r="B25" i="6249"/>
  <c r="C16" i="6249"/>
  <c r="B15" i="6249"/>
  <c r="H52" i="6249" s="1"/>
  <c r="B14" i="6249"/>
  <c r="B24" i="6249" s="1"/>
  <c r="B13" i="6249"/>
  <c r="C13" i="6249" s="1"/>
  <c r="O12" i="6249"/>
  <c r="C12" i="6249"/>
  <c r="O11" i="6249"/>
  <c r="C11" i="6249"/>
  <c r="O10" i="6249"/>
  <c r="C10" i="6249"/>
  <c r="C9" i="6249"/>
  <c r="C8" i="6249"/>
  <c r="O7" i="6249"/>
  <c r="C7" i="6249"/>
  <c r="O6" i="6249"/>
  <c r="B6" i="6249"/>
  <c r="O5" i="6249"/>
  <c r="B5" i="6249"/>
  <c r="O4" i="6249"/>
  <c r="O3" i="6249"/>
  <c r="O2" i="6249"/>
  <c r="O21" i="6243"/>
  <c r="O15" i="6243"/>
  <c r="O16" i="6231"/>
  <c r="H8" i="6249" l="1"/>
  <c r="H5" i="6249"/>
  <c r="H3" i="6249"/>
  <c r="H26" i="6249"/>
  <c r="C14" i="6249"/>
  <c r="H7" i="6249"/>
  <c r="H30" i="6249"/>
  <c r="C32" i="6249"/>
  <c r="H13" i="6249"/>
  <c r="H23" i="6249"/>
  <c r="C34" i="6249"/>
  <c r="C15" i="6249"/>
  <c r="H2" i="6249"/>
  <c r="H12" i="6249"/>
  <c r="H14" i="6249"/>
  <c r="C36" i="6249"/>
  <c r="H11" i="6249"/>
  <c r="C42" i="6249"/>
  <c r="H17" i="6249"/>
  <c r="H20" i="6249"/>
  <c r="H27" i="6249"/>
  <c r="C44" i="6249"/>
  <c r="H22" i="6249"/>
  <c r="H25" i="6249"/>
  <c r="H9" i="6249"/>
  <c r="C33" i="6249"/>
  <c r="C37" i="6249"/>
  <c r="C41" i="6249"/>
  <c r="H46" i="6249"/>
  <c r="C19" i="6249"/>
  <c r="B23" i="6249"/>
  <c r="H29" i="6249"/>
  <c r="H34" i="6249"/>
  <c r="H38" i="6249"/>
  <c r="H42" i="6249"/>
  <c r="H47" i="6249"/>
  <c r="C38" i="6249"/>
  <c r="H35" i="6249"/>
  <c r="H39" i="6249"/>
  <c r="H43" i="6249"/>
  <c r="H49" i="6249"/>
  <c r="H48" i="6249"/>
  <c r="H10" i="6249"/>
  <c r="H18" i="6249"/>
  <c r="H21" i="6249"/>
  <c r="H24" i="6249"/>
  <c r="H15" i="6249"/>
  <c r="H31" i="6249"/>
  <c r="C35" i="6249"/>
  <c r="C39" i="6249"/>
  <c r="C43" i="6249"/>
  <c r="H50" i="6249"/>
  <c r="C20" i="6249"/>
  <c r="H4" i="6249"/>
  <c r="H16" i="6249"/>
  <c r="C17" i="6249"/>
  <c r="C21" i="6249"/>
  <c r="H32" i="6249"/>
  <c r="H36" i="6249"/>
  <c r="H40" i="6249"/>
  <c r="H44" i="6249"/>
  <c r="H51" i="6249"/>
  <c r="H6" i="6249"/>
  <c r="H19" i="6249"/>
  <c r="C18" i="6249"/>
  <c r="B22" i="6249"/>
  <c r="H28" i="6249"/>
  <c r="H33" i="6249"/>
  <c r="H37" i="6249"/>
  <c r="H41" i="6249"/>
  <c r="H45" i="6249"/>
  <c r="O18" i="6235" l="1"/>
  <c r="O20" i="6239"/>
  <c r="O20" i="6235" l="1"/>
  <c r="O22" i="6243"/>
  <c r="O24" i="6243"/>
  <c r="O17" i="6233"/>
  <c r="O16" i="6237"/>
  <c r="O17" i="6239"/>
  <c r="O21" i="6239"/>
  <c r="O18" i="6233"/>
  <c r="O18" i="6237"/>
  <c r="O15" i="6235"/>
  <c r="O20" i="6247"/>
  <c r="O22" i="6247"/>
  <c r="O22" i="6241" l="1"/>
  <c r="O18" i="6241"/>
  <c r="O15" i="6247"/>
  <c r="O16" i="6247"/>
  <c r="C30" i="6247"/>
  <c r="B25" i="6247"/>
  <c r="B24" i="6247"/>
  <c r="C16" i="6247"/>
  <c r="B15" i="6247"/>
  <c r="H52" i="6247" s="1"/>
  <c r="B14" i="6247"/>
  <c r="C14" i="6247" s="1"/>
  <c r="B13" i="6247"/>
  <c r="C13" i="6247" s="1"/>
  <c r="O12" i="6247"/>
  <c r="C12" i="6247"/>
  <c r="O11" i="6247"/>
  <c r="C11" i="6247"/>
  <c r="O10" i="6247"/>
  <c r="C10" i="6247"/>
  <c r="C9" i="6247"/>
  <c r="C8" i="6247"/>
  <c r="O7" i="6247"/>
  <c r="C7" i="6247"/>
  <c r="O6" i="6247"/>
  <c r="B6" i="6247"/>
  <c r="O5" i="6247"/>
  <c r="B5" i="6247"/>
  <c r="O4" i="6247"/>
  <c r="O3" i="6247"/>
  <c r="O2" i="6247"/>
  <c r="O17" i="6231"/>
  <c r="O17" i="6245"/>
  <c r="O24" i="6245"/>
  <c r="C30" i="6245"/>
  <c r="B25" i="6245"/>
  <c r="C16" i="6245"/>
  <c r="B15" i="6245"/>
  <c r="H52" i="6245" s="1"/>
  <c r="B14" i="6245"/>
  <c r="B24" i="6245" s="1"/>
  <c r="B13" i="6245"/>
  <c r="C13" i="6245" s="1"/>
  <c r="O12" i="6245"/>
  <c r="C12" i="6245"/>
  <c r="O11" i="6245"/>
  <c r="C11" i="6245"/>
  <c r="O10" i="6245"/>
  <c r="C10" i="6245"/>
  <c r="C9" i="6245"/>
  <c r="C8" i="6245"/>
  <c r="O7" i="6245"/>
  <c r="C7" i="6245"/>
  <c r="O6" i="6245"/>
  <c r="B6" i="6245"/>
  <c r="O5" i="6245"/>
  <c r="B5" i="6245"/>
  <c r="O4" i="6245"/>
  <c r="O3" i="6245"/>
  <c r="O2" i="6245"/>
  <c r="O20" i="6231"/>
  <c r="C14" i="6245" l="1"/>
  <c r="H6" i="6247"/>
  <c r="H15" i="6247"/>
  <c r="H9" i="6247"/>
  <c r="H2" i="6247"/>
  <c r="H19" i="6247"/>
  <c r="H10" i="6247"/>
  <c r="C32" i="6247"/>
  <c r="C15" i="6247"/>
  <c r="H22" i="6247"/>
  <c r="H24" i="6247"/>
  <c r="H3" i="6247"/>
  <c r="H11" i="6247"/>
  <c r="C36" i="6247"/>
  <c r="H4" i="6247"/>
  <c r="H25" i="6247"/>
  <c r="C40" i="6247"/>
  <c r="H26" i="6247"/>
  <c r="H28" i="6247"/>
  <c r="H12" i="6247"/>
  <c r="C33" i="6247"/>
  <c r="C37" i="6247"/>
  <c r="C41" i="6247"/>
  <c r="H47" i="6247"/>
  <c r="C19" i="6247"/>
  <c r="B23" i="6247"/>
  <c r="H30" i="6247"/>
  <c r="H35" i="6247"/>
  <c r="H39" i="6247"/>
  <c r="H43" i="6247"/>
  <c r="H48" i="6247"/>
  <c r="C38" i="6247"/>
  <c r="C20" i="6247"/>
  <c r="H36" i="6247"/>
  <c r="H40" i="6247"/>
  <c r="H44" i="6247"/>
  <c r="H50" i="6247"/>
  <c r="H18" i="6247"/>
  <c r="C42" i="6247"/>
  <c r="H8" i="6247"/>
  <c r="H16" i="6247"/>
  <c r="H13" i="6247"/>
  <c r="H27" i="6247"/>
  <c r="H14" i="6247"/>
  <c r="H32" i="6247"/>
  <c r="C35" i="6247"/>
  <c r="C39" i="6247"/>
  <c r="C43" i="6247"/>
  <c r="H51" i="6247"/>
  <c r="H17" i="6247"/>
  <c r="H31" i="6247"/>
  <c r="C34" i="6247"/>
  <c r="H49" i="6247"/>
  <c r="H7" i="6247"/>
  <c r="H21" i="6247"/>
  <c r="C17" i="6247"/>
  <c r="C21" i="6247"/>
  <c r="H33" i="6247"/>
  <c r="H37" i="6247"/>
  <c r="H41" i="6247"/>
  <c r="H45" i="6247"/>
  <c r="H20" i="6247"/>
  <c r="C44" i="6247"/>
  <c r="H5" i="6247"/>
  <c r="H23" i="6247"/>
  <c r="C18" i="6247"/>
  <c r="B22" i="6247"/>
  <c r="H29" i="6247"/>
  <c r="H34" i="6247"/>
  <c r="H38" i="6247"/>
  <c r="H42" i="6247"/>
  <c r="H46" i="6247"/>
  <c r="C15" i="6245"/>
  <c r="H9" i="6245"/>
  <c r="H11" i="6245"/>
  <c r="H29" i="6245"/>
  <c r="H8" i="6245"/>
  <c r="C19" i="6245"/>
  <c r="B23" i="6245"/>
  <c r="H33" i="6245"/>
  <c r="H20" i="6245"/>
  <c r="H39" i="6245"/>
  <c r="H43" i="6245"/>
  <c r="H48" i="6245"/>
  <c r="C37" i="6245"/>
  <c r="H2" i="6245"/>
  <c r="H25" i="6245"/>
  <c r="H15" i="6245"/>
  <c r="H30" i="6245"/>
  <c r="H16" i="6245"/>
  <c r="C34" i="6245"/>
  <c r="C38" i="6245"/>
  <c r="C42" i="6245"/>
  <c r="H49" i="6245"/>
  <c r="H27" i="6245"/>
  <c r="C33" i="6245"/>
  <c r="H40" i="6245"/>
  <c r="H50" i="6245"/>
  <c r="H17" i="6245"/>
  <c r="H47" i="6245"/>
  <c r="H3" i="6245"/>
  <c r="H12" i="6245"/>
  <c r="H36" i="6245"/>
  <c r="H44" i="6245"/>
  <c r="H23" i="6245"/>
  <c r="H18" i="6245"/>
  <c r="H28" i="6245"/>
  <c r="H14" i="6245"/>
  <c r="H19" i="6245"/>
  <c r="C35" i="6245"/>
  <c r="C39" i="6245"/>
  <c r="C43" i="6245"/>
  <c r="H51" i="6245"/>
  <c r="H7" i="6245"/>
  <c r="C41" i="6245"/>
  <c r="C20" i="6245"/>
  <c r="H6" i="6245"/>
  <c r="H22" i="6245"/>
  <c r="C17" i="6245"/>
  <c r="C21" i="6245"/>
  <c r="H34" i="6245"/>
  <c r="H37" i="6245"/>
  <c r="H41" i="6245"/>
  <c r="H45" i="6245"/>
  <c r="H21" i="6245"/>
  <c r="H10" i="6245"/>
  <c r="H26" i="6245"/>
  <c r="H13" i="6245"/>
  <c r="H31" i="6245"/>
  <c r="C32" i="6245"/>
  <c r="C36" i="6245"/>
  <c r="C40" i="6245"/>
  <c r="C44" i="6245"/>
  <c r="H5" i="6245"/>
  <c r="H4" i="6245"/>
  <c r="H24" i="6245"/>
  <c r="C18" i="6245"/>
  <c r="B22" i="6245"/>
  <c r="H32" i="6245"/>
  <c r="H35" i="6245"/>
  <c r="H38" i="6245"/>
  <c r="H42" i="6245"/>
  <c r="H46" i="6245"/>
  <c r="O23" i="6243" l="1"/>
  <c r="O18" i="6243"/>
  <c r="C30" i="6243"/>
  <c r="B25" i="6243"/>
  <c r="C16" i="6243"/>
  <c r="B15" i="6243"/>
  <c r="H52" i="6243" s="1"/>
  <c r="B14" i="6243"/>
  <c r="B24" i="6243" s="1"/>
  <c r="C13" i="6243"/>
  <c r="B13" i="6243"/>
  <c r="O12" i="6243"/>
  <c r="C12" i="6243"/>
  <c r="O11" i="6243"/>
  <c r="C11" i="6243"/>
  <c r="O10" i="6243"/>
  <c r="C10" i="6243"/>
  <c r="C9" i="6243"/>
  <c r="C8" i="6243"/>
  <c r="O7" i="6243"/>
  <c r="C7" i="6243"/>
  <c r="O6" i="6243"/>
  <c r="B6" i="6243"/>
  <c r="O5" i="6243"/>
  <c r="B5" i="6243"/>
  <c r="O4" i="6243"/>
  <c r="O3" i="6243"/>
  <c r="O2" i="6243"/>
  <c r="O21" i="6241"/>
  <c r="O17" i="6241"/>
  <c r="C30" i="6241"/>
  <c r="B25" i="6241"/>
  <c r="C16" i="6241"/>
  <c r="B15" i="6241"/>
  <c r="H52" i="6241" s="1"/>
  <c r="B14" i="6241"/>
  <c r="B24" i="6241" s="1"/>
  <c r="B13" i="6241"/>
  <c r="C13" i="6241" s="1"/>
  <c r="O12" i="6241"/>
  <c r="C12" i="6241"/>
  <c r="O11" i="6241"/>
  <c r="C11" i="6241"/>
  <c r="O10" i="6241"/>
  <c r="C10" i="6241"/>
  <c r="C9" i="6241"/>
  <c r="C8" i="6241"/>
  <c r="O7" i="6241"/>
  <c r="C7" i="6241"/>
  <c r="O6" i="6241"/>
  <c r="B6" i="6241"/>
  <c r="O5" i="6241"/>
  <c r="B5" i="6241"/>
  <c r="O4" i="6241"/>
  <c r="O3" i="6241"/>
  <c r="O2" i="6241"/>
  <c r="O18" i="6231"/>
  <c r="O19" i="6239"/>
  <c r="O16" i="6239"/>
  <c r="C30" i="6239"/>
  <c r="B25" i="6239"/>
  <c r="C16" i="6239"/>
  <c r="B15" i="6239"/>
  <c r="H52" i="6239" s="1"/>
  <c r="B14" i="6239"/>
  <c r="B24" i="6239" s="1"/>
  <c r="B13" i="6239"/>
  <c r="C13" i="6239" s="1"/>
  <c r="O12" i="6239"/>
  <c r="C12" i="6239"/>
  <c r="O11" i="6239"/>
  <c r="C11" i="6239"/>
  <c r="O10" i="6239"/>
  <c r="C10" i="6239"/>
  <c r="C9" i="6239"/>
  <c r="C8" i="6239"/>
  <c r="O7" i="6239"/>
  <c r="C7" i="6239"/>
  <c r="O6" i="6239"/>
  <c r="B6" i="6239"/>
  <c r="O5" i="6239"/>
  <c r="B5" i="6239"/>
  <c r="O4" i="6239"/>
  <c r="O3" i="6239"/>
  <c r="O2" i="6239"/>
  <c r="O21" i="6231"/>
  <c r="O23" i="6231"/>
  <c r="C14" i="6239" l="1"/>
  <c r="C14" i="6241"/>
  <c r="C14" i="6243"/>
  <c r="C15" i="6243"/>
  <c r="H11" i="6243"/>
  <c r="H9" i="6243"/>
  <c r="H47" i="6243"/>
  <c r="C19" i="6243"/>
  <c r="H33" i="6243"/>
  <c r="H36" i="6243"/>
  <c r="H40" i="6243"/>
  <c r="H43" i="6243"/>
  <c r="H48" i="6243"/>
  <c r="H2" i="6243"/>
  <c r="H3" i="6243"/>
  <c r="H29" i="6243"/>
  <c r="H18" i="6243"/>
  <c r="H20" i="6243"/>
  <c r="H21" i="6243"/>
  <c r="C34" i="6243"/>
  <c r="C38" i="6243"/>
  <c r="C42" i="6243"/>
  <c r="H49" i="6243"/>
  <c r="H32" i="6243"/>
  <c r="H37" i="6243"/>
  <c r="H41" i="6243"/>
  <c r="H44" i="6243"/>
  <c r="H50" i="6243"/>
  <c r="H10" i="6243"/>
  <c r="H23" i="6243"/>
  <c r="H19" i="6243"/>
  <c r="H31" i="6243"/>
  <c r="H13" i="6243"/>
  <c r="H34" i="6243"/>
  <c r="C35" i="6243"/>
  <c r="C39" i="6243"/>
  <c r="C43" i="6243"/>
  <c r="H51" i="6243"/>
  <c r="H7" i="6243"/>
  <c r="H30" i="6243"/>
  <c r="C33" i="6243"/>
  <c r="C20" i="6243"/>
  <c r="H6" i="6243"/>
  <c r="H17" i="6243"/>
  <c r="C17" i="6243"/>
  <c r="C21" i="6243"/>
  <c r="H26" i="6243"/>
  <c r="H38" i="6243"/>
  <c r="H27" i="6243"/>
  <c r="H45" i="6243"/>
  <c r="H16" i="6243"/>
  <c r="C37" i="6243"/>
  <c r="H4" i="6243"/>
  <c r="H12" i="6243"/>
  <c r="H15" i="6243"/>
  <c r="H14" i="6243"/>
  <c r="H24" i="6243"/>
  <c r="C32" i="6243"/>
  <c r="C36" i="6243"/>
  <c r="C40" i="6243"/>
  <c r="C44" i="6243"/>
  <c r="H5" i="6243"/>
  <c r="H22" i="6243"/>
  <c r="C41" i="6243"/>
  <c r="B23" i="6243"/>
  <c r="H8" i="6243"/>
  <c r="H28" i="6243"/>
  <c r="C18" i="6243"/>
  <c r="B22" i="6243"/>
  <c r="H25" i="6243"/>
  <c r="H35" i="6243"/>
  <c r="H39" i="6243"/>
  <c r="H42" i="6243"/>
  <c r="H46" i="6243"/>
  <c r="C20" i="6241"/>
  <c r="H23" i="6241"/>
  <c r="C38" i="6241"/>
  <c r="H18" i="6241"/>
  <c r="H9" i="6241"/>
  <c r="H17" i="6241"/>
  <c r="C40" i="6241"/>
  <c r="H43" i="6241"/>
  <c r="H3" i="6241"/>
  <c r="H11" i="6241"/>
  <c r="C15" i="6241"/>
  <c r="B23" i="6241"/>
  <c r="C32" i="6241"/>
  <c r="C42" i="6241"/>
  <c r="H25" i="6241"/>
  <c r="H26" i="6241"/>
  <c r="H36" i="6241"/>
  <c r="C44" i="6241"/>
  <c r="H5" i="6241"/>
  <c r="H6" i="6241"/>
  <c r="C34" i="6241"/>
  <c r="H48" i="6241"/>
  <c r="H15" i="6241"/>
  <c r="H29" i="6241"/>
  <c r="H10" i="6241"/>
  <c r="H13" i="6241"/>
  <c r="H21" i="6241"/>
  <c r="C36" i="6241"/>
  <c r="H49" i="6241"/>
  <c r="H2" i="6241"/>
  <c r="H4" i="6241"/>
  <c r="C19" i="6241"/>
  <c r="H33" i="6241"/>
  <c r="H39" i="6241"/>
  <c r="H7" i="6241"/>
  <c r="H31" i="6241"/>
  <c r="H22" i="6241"/>
  <c r="H8" i="6241"/>
  <c r="C33" i="6241"/>
  <c r="C37" i="6241"/>
  <c r="C41" i="6241"/>
  <c r="H47" i="6241"/>
  <c r="H37" i="6241"/>
  <c r="H40" i="6241"/>
  <c r="H44" i="6241"/>
  <c r="H50" i="6241"/>
  <c r="H24" i="6241"/>
  <c r="H16" i="6241"/>
  <c r="H32" i="6241"/>
  <c r="H14" i="6241"/>
  <c r="H19" i="6241"/>
  <c r="C35" i="6241"/>
  <c r="C39" i="6241"/>
  <c r="C43" i="6241"/>
  <c r="H51" i="6241"/>
  <c r="H20" i="6241"/>
  <c r="C17" i="6241"/>
  <c r="C21" i="6241"/>
  <c r="H27" i="6241"/>
  <c r="H28" i="6241"/>
  <c r="H41" i="6241"/>
  <c r="H45" i="6241"/>
  <c r="H12" i="6241"/>
  <c r="H30" i="6241"/>
  <c r="C18" i="6241"/>
  <c r="B22" i="6241"/>
  <c r="H34" i="6241"/>
  <c r="H35" i="6241"/>
  <c r="H38" i="6241"/>
  <c r="H42" i="6241"/>
  <c r="H46" i="6241"/>
  <c r="H10" i="6239"/>
  <c r="C15" i="6239"/>
  <c r="H22" i="6239"/>
  <c r="C19" i="6239"/>
  <c r="H39" i="6239"/>
  <c r="H35" i="6239"/>
  <c r="H14" i="6239"/>
  <c r="H43" i="6239"/>
  <c r="H8" i="6239"/>
  <c r="H31" i="6239"/>
  <c r="C20" i="6239"/>
  <c r="H6" i="6239"/>
  <c r="B23" i="6239"/>
  <c r="H48" i="6239"/>
  <c r="H25" i="6239"/>
  <c r="H27" i="6239"/>
  <c r="H11" i="6239"/>
  <c r="C33" i="6239"/>
  <c r="C37" i="6239"/>
  <c r="C41" i="6239"/>
  <c r="H47" i="6239"/>
  <c r="H2" i="6239"/>
  <c r="H4" i="6239"/>
  <c r="H24" i="6239"/>
  <c r="H19" i="6239"/>
  <c r="H28" i="6239"/>
  <c r="H20" i="6239"/>
  <c r="C34" i="6239"/>
  <c r="C38" i="6239"/>
  <c r="C42" i="6239"/>
  <c r="H49" i="6239"/>
  <c r="H36" i="6239"/>
  <c r="H40" i="6239"/>
  <c r="H44" i="6239"/>
  <c r="H50" i="6239"/>
  <c r="H18" i="6239"/>
  <c r="H15" i="6239"/>
  <c r="H26" i="6239"/>
  <c r="H13" i="6239"/>
  <c r="H32" i="6239"/>
  <c r="C35" i="6239"/>
  <c r="C39" i="6239"/>
  <c r="C43" i="6239"/>
  <c r="H51" i="6239"/>
  <c r="H7" i="6239"/>
  <c r="H21" i="6239"/>
  <c r="C17" i="6239"/>
  <c r="C21" i="6239"/>
  <c r="H33" i="6239"/>
  <c r="H37" i="6239"/>
  <c r="H41" i="6239"/>
  <c r="H45" i="6239"/>
  <c r="H17" i="6239"/>
  <c r="H3" i="6239"/>
  <c r="H9" i="6239"/>
  <c r="H16" i="6239"/>
  <c r="H12" i="6239"/>
  <c r="H29" i="6239"/>
  <c r="C32" i="6239"/>
  <c r="C36" i="6239"/>
  <c r="C40" i="6239"/>
  <c r="C44" i="6239"/>
  <c r="H5" i="6239"/>
  <c r="H23" i="6239"/>
  <c r="C18" i="6239"/>
  <c r="B22" i="6239"/>
  <c r="H30" i="6239"/>
  <c r="H34" i="6239"/>
  <c r="H38" i="6239"/>
  <c r="H42" i="6239"/>
  <c r="H46" i="6239"/>
  <c r="O23" i="6237" l="1"/>
  <c r="O19" i="6237"/>
  <c r="C30" i="6237"/>
  <c r="B25" i="6237"/>
  <c r="C16" i="6237"/>
  <c r="B15" i="6237"/>
  <c r="H52" i="6237" s="1"/>
  <c r="B14" i="6237"/>
  <c r="B24" i="6237" s="1"/>
  <c r="B13" i="6237"/>
  <c r="C13" i="6237" s="1"/>
  <c r="O12" i="6237"/>
  <c r="C12" i="6237"/>
  <c r="O11" i="6237"/>
  <c r="C11" i="6237"/>
  <c r="O10" i="6237"/>
  <c r="C10" i="6237"/>
  <c r="C9" i="6237"/>
  <c r="C8" i="6237"/>
  <c r="O7" i="6237"/>
  <c r="C7" i="6237"/>
  <c r="O6" i="6237"/>
  <c r="B6" i="6237"/>
  <c r="O5" i="6237"/>
  <c r="B5" i="6237"/>
  <c r="O4" i="6237"/>
  <c r="O3" i="6237"/>
  <c r="O2" i="6237"/>
  <c r="O19" i="6235"/>
  <c r="O21" i="6235"/>
  <c r="C30" i="6235"/>
  <c r="B25" i="6235"/>
  <c r="C16" i="6235"/>
  <c r="B15" i="6235"/>
  <c r="H52" i="6235" s="1"/>
  <c r="B14" i="6235"/>
  <c r="C14" i="6235" s="1"/>
  <c r="B13" i="6235"/>
  <c r="C13" i="6235" s="1"/>
  <c r="O12" i="6235"/>
  <c r="C12" i="6235"/>
  <c r="O11" i="6235"/>
  <c r="C11" i="6235"/>
  <c r="O10" i="6235"/>
  <c r="C10" i="6235"/>
  <c r="C9" i="6235"/>
  <c r="C8" i="6235"/>
  <c r="O7" i="6235"/>
  <c r="C7" i="6235"/>
  <c r="O6" i="6235"/>
  <c r="B6" i="6235"/>
  <c r="O5" i="6235"/>
  <c r="B5" i="6235"/>
  <c r="O4" i="6235"/>
  <c r="O3" i="6235"/>
  <c r="O2" i="6235"/>
  <c r="O19" i="6231"/>
  <c r="O19" i="6233"/>
  <c r="O20" i="6233"/>
  <c r="C30" i="6233"/>
  <c r="B25" i="6233"/>
  <c r="C16" i="6233"/>
  <c r="B15" i="6233"/>
  <c r="H52" i="6233" s="1"/>
  <c r="B14" i="6233"/>
  <c r="B24" i="6233" s="1"/>
  <c r="B13" i="6233"/>
  <c r="C13" i="6233" s="1"/>
  <c r="O12" i="6233"/>
  <c r="C12" i="6233"/>
  <c r="O11" i="6233"/>
  <c r="C11" i="6233"/>
  <c r="O10" i="6233"/>
  <c r="C10" i="6233"/>
  <c r="C9" i="6233"/>
  <c r="C8" i="6233"/>
  <c r="O7" i="6233"/>
  <c r="C7" i="6233"/>
  <c r="O6" i="6233"/>
  <c r="B6" i="6233"/>
  <c r="O5" i="6233"/>
  <c r="B5" i="6233"/>
  <c r="O4" i="6233"/>
  <c r="O3" i="6233"/>
  <c r="O2" i="6233"/>
  <c r="O22" i="6231"/>
  <c r="O25" i="6231"/>
  <c r="C30" i="6231"/>
  <c r="B25" i="6231"/>
  <c r="C16" i="6231"/>
  <c r="B15" i="6231"/>
  <c r="H52" i="6231" s="1"/>
  <c r="B14" i="6231"/>
  <c r="B24" i="6231" s="1"/>
  <c r="B13" i="6231"/>
  <c r="C13" i="6231" s="1"/>
  <c r="O12" i="6231"/>
  <c r="C12" i="6231"/>
  <c r="O11" i="6231"/>
  <c r="C11" i="6231"/>
  <c r="O10" i="6231"/>
  <c r="C10" i="6231"/>
  <c r="C9" i="6231"/>
  <c r="C8" i="6231"/>
  <c r="O7" i="6231"/>
  <c r="C7" i="6231"/>
  <c r="O6" i="6231"/>
  <c r="B6" i="6231"/>
  <c r="O5" i="6231"/>
  <c r="B5" i="6231"/>
  <c r="O4" i="6231"/>
  <c r="O3" i="6231"/>
  <c r="O2" i="6231"/>
  <c r="B24" i="6235" l="1"/>
  <c r="H6" i="6235"/>
  <c r="C14" i="6233"/>
  <c r="C14" i="6237"/>
  <c r="C14" i="6231"/>
  <c r="H14" i="6237"/>
  <c r="H12" i="6237"/>
  <c r="H18" i="6237"/>
  <c r="H21" i="6237"/>
  <c r="H11" i="6237"/>
  <c r="H6" i="6237"/>
  <c r="H10" i="6237"/>
  <c r="H5" i="6237"/>
  <c r="H32" i="6237"/>
  <c r="C15" i="6237"/>
  <c r="C32" i="6237"/>
  <c r="H29" i="6237"/>
  <c r="H25" i="6237"/>
  <c r="H9" i="6237"/>
  <c r="C33" i="6237"/>
  <c r="C37" i="6237"/>
  <c r="C41" i="6237"/>
  <c r="H47" i="6237"/>
  <c r="C19" i="6237"/>
  <c r="B23" i="6237"/>
  <c r="H26" i="6237"/>
  <c r="H27" i="6237"/>
  <c r="H39" i="6237"/>
  <c r="H43" i="6237"/>
  <c r="H48" i="6237"/>
  <c r="H17" i="6237"/>
  <c r="C38" i="6237"/>
  <c r="H8" i="6237"/>
  <c r="C20" i="6237"/>
  <c r="H36" i="6237"/>
  <c r="H40" i="6237"/>
  <c r="H44" i="6237"/>
  <c r="H50" i="6237"/>
  <c r="H49" i="6237"/>
  <c r="H22" i="6237"/>
  <c r="H16" i="6237"/>
  <c r="H30" i="6237"/>
  <c r="H13" i="6237"/>
  <c r="H20" i="6237"/>
  <c r="C35" i="6237"/>
  <c r="C39" i="6237"/>
  <c r="C43" i="6237"/>
  <c r="H51" i="6237"/>
  <c r="H2" i="6237"/>
  <c r="H3" i="6237"/>
  <c r="H24" i="6237"/>
  <c r="H31" i="6237"/>
  <c r="H15" i="6237"/>
  <c r="C34" i="6237"/>
  <c r="C42" i="6237"/>
  <c r="H7" i="6237"/>
  <c r="H23" i="6237"/>
  <c r="C17" i="6237"/>
  <c r="C21" i="6237"/>
  <c r="H34" i="6237"/>
  <c r="H37" i="6237"/>
  <c r="H41" i="6237"/>
  <c r="H45" i="6237"/>
  <c r="H19" i="6237"/>
  <c r="C36" i="6237"/>
  <c r="C40" i="6237"/>
  <c r="C44" i="6237"/>
  <c r="H4" i="6237"/>
  <c r="H28" i="6237"/>
  <c r="C18" i="6237"/>
  <c r="B22" i="6237"/>
  <c r="H33" i="6237"/>
  <c r="H35" i="6237"/>
  <c r="H38" i="6237"/>
  <c r="H42" i="6237"/>
  <c r="H46" i="6237"/>
  <c r="H4" i="6235"/>
  <c r="C15" i="6235"/>
  <c r="H10" i="6235"/>
  <c r="H13" i="6235"/>
  <c r="H32" i="6235"/>
  <c r="H22" i="6235"/>
  <c r="H8" i="6235"/>
  <c r="C33" i="6235"/>
  <c r="C37" i="6235"/>
  <c r="C41" i="6235"/>
  <c r="H47" i="6235"/>
  <c r="C19" i="6235"/>
  <c r="B23" i="6235"/>
  <c r="H28" i="6235"/>
  <c r="H27" i="6235"/>
  <c r="H40" i="6235"/>
  <c r="H44" i="6235"/>
  <c r="H48" i="6235"/>
  <c r="H11" i="6235"/>
  <c r="H2" i="6235"/>
  <c r="H23" i="6235"/>
  <c r="H19" i="6235"/>
  <c r="C34" i="6235"/>
  <c r="H49" i="6235"/>
  <c r="H9" i="6235"/>
  <c r="C20" i="6235"/>
  <c r="H37" i="6235"/>
  <c r="H41" i="6235"/>
  <c r="H45" i="6235"/>
  <c r="H50" i="6235"/>
  <c r="H20" i="6235"/>
  <c r="C42" i="6235"/>
  <c r="H18" i="6235"/>
  <c r="H15" i="6235"/>
  <c r="H33" i="6235"/>
  <c r="H12" i="6235"/>
  <c r="H24" i="6235"/>
  <c r="C35" i="6235"/>
  <c r="C39" i="6235"/>
  <c r="C43" i="6235"/>
  <c r="H51" i="6235"/>
  <c r="H25" i="6235"/>
  <c r="H3" i="6235"/>
  <c r="H17" i="6235"/>
  <c r="C38" i="6235"/>
  <c r="H7" i="6235"/>
  <c r="H30" i="6235"/>
  <c r="C17" i="6235"/>
  <c r="C21" i="6235"/>
  <c r="H35" i="6235"/>
  <c r="H38" i="6235"/>
  <c r="H42" i="6235"/>
  <c r="H46" i="6235"/>
  <c r="H16" i="6235"/>
  <c r="H21" i="6235"/>
  <c r="H14" i="6235"/>
  <c r="H34" i="6235"/>
  <c r="C32" i="6235"/>
  <c r="C36" i="6235"/>
  <c r="C40" i="6235"/>
  <c r="C44" i="6235"/>
  <c r="H5" i="6235"/>
  <c r="H31" i="6235"/>
  <c r="C18" i="6235"/>
  <c r="B22" i="6235"/>
  <c r="H26" i="6235"/>
  <c r="H36" i="6235"/>
  <c r="H39" i="6235"/>
  <c r="H43" i="6235"/>
  <c r="H29" i="6235"/>
  <c r="H17" i="6233"/>
  <c r="H31" i="6233"/>
  <c r="H3" i="6233"/>
  <c r="H8" i="6233"/>
  <c r="H2" i="6233"/>
  <c r="H14" i="6233"/>
  <c r="C40" i="6233"/>
  <c r="C19" i="6233"/>
  <c r="C38" i="6233"/>
  <c r="H11" i="6233"/>
  <c r="H42" i="6233"/>
  <c r="B23" i="6233"/>
  <c r="C32" i="6233"/>
  <c r="C42" i="6233"/>
  <c r="C44" i="6233"/>
  <c r="H30" i="6233"/>
  <c r="H5" i="6233"/>
  <c r="H18" i="6233"/>
  <c r="H23" i="6233"/>
  <c r="C34" i="6233"/>
  <c r="H47" i="6233"/>
  <c r="H10" i="6233"/>
  <c r="H6" i="6233"/>
  <c r="H9" i="6233"/>
  <c r="C36" i="6233"/>
  <c r="H48" i="6233"/>
  <c r="C15" i="6233"/>
  <c r="H34" i="6233"/>
  <c r="H12" i="6233"/>
  <c r="H16" i="6233"/>
  <c r="H25" i="6233"/>
  <c r="H38" i="6233"/>
  <c r="H4" i="6233"/>
  <c r="H28" i="6233"/>
  <c r="H24" i="6233"/>
  <c r="H13" i="6233"/>
  <c r="C33" i="6233"/>
  <c r="C37" i="6233"/>
  <c r="C41" i="6233"/>
  <c r="H46" i="6233"/>
  <c r="C20" i="6233"/>
  <c r="H35" i="6233"/>
  <c r="H39" i="6233"/>
  <c r="H43" i="6233"/>
  <c r="H49" i="6233"/>
  <c r="H22" i="6233"/>
  <c r="H19" i="6233"/>
  <c r="H29" i="6233"/>
  <c r="H15" i="6233"/>
  <c r="H32" i="6233"/>
  <c r="C35" i="6233"/>
  <c r="C39" i="6233"/>
  <c r="C43" i="6233"/>
  <c r="H50" i="6233"/>
  <c r="H7" i="6233"/>
  <c r="H26" i="6233"/>
  <c r="C17" i="6233"/>
  <c r="C21" i="6233"/>
  <c r="H21" i="6233"/>
  <c r="H36" i="6233"/>
  <c r="H40" i="6233"/>
  <c r="H44" i="6233"/>
  <c r="H51" i="6233"/>
  <c r="H27" i="6233"/>
  <c r="C18" i="6233"/>
  <c r="B22" i="6233"/>
  <c r="H20" i="6233"/>
  <c r="H33" i="6233"/>
  <c r="H37" i="6233"/>
  <c r="H41" i="6233"/>
  <c r="H45" i="6233"/>
  <c r="H14" i="6231"/>
  <c r="C15" i="6231"/>
  <c r="C34" i="6231"/>
  <c r="H22" i="6231"/>
  <c r="C38" i="6231"/>
  <c r="H11" i="6231"/>
  <c r="H24" i="6231"/>
  <c r="H26" i="6231"/>
  <c r="H28" i="6231"/>
  <c r="H12" i="6231"/>
  <c r="H18" i="6231"/>
  <c r="C44" i="6231"/>
  <c r="C42" i="6231"/>
  <c r="H4" i="6231"/>
  <c r="H6" i="6231"/>
  <c r="H19" i="6231"/>
  <c r="H49" i="6231"/>
  <c r="H2" i="6231"/>
  <c r="C36" i="6231"/>
  <c r="C40" i="6231"/>
  <c r="H10" i="6231"/>
  <c r="H3" i="6231"/>
  <c r="H17" i="6231"/>
  <c r="C32" i="6231"/>
  <c r="H5" i="6231"/>
  <c r="H36" i="6231"/>
  <c r="H25" i="6231"/>
  <c r="H9" i="6231"/>
  <c r="C33" i="6231"/>
  <c r="C37" i="6231"/>
  <c r="C41" i="6231"/>
  <c r="H47" i="6231"/>
  <c r="C19" i="6231"/>
  <c r="B23" i="6231"/>
  <c r="H29" i="6231"/>
  <c r="H31" i="6231"/>
  <c r="H41" i="6231"/>
  <c r="H44" i="6231"/>
  <c r="H48" i="6231"/>
  <c r="H8" i="6231"/>
  <c r="H42" i="6231"/>
  <c r="H45" i="6231"/>
  <c r="H50" i="6231"/>
  <c r="C20" i="6231"/>
  <c r="H39" i="6231"/>
  <c r="H20" i="6231"/>
  <c r="H15" i="6231"/>
  <c r="H37" i="6231"/>
  <c r="H13" i="6231"/>
  <c r="H21" i="6231"/>
  <c r="C35" i="6231"/>
  <c r="C39" i="6231"/>
  <c r="C43" i="6231"/>
  <c r="H51" i="6231"/>
  <c r="H7" i="6231"/>
  <c r="H23" i="6231"/>
  <c r="C17" i="6231"/>
  <c r="C21" i="6231"/>
  <c r="H30" i="6231"/>
  <c r="H32" i="6231"/>
  <c r="H33" i="6231"/>
  <c r="H46" i="6231"/>
  <c r="H16" i="6231"/>
  <c r="H35" i="6231"/>
  <c r="C18" i="6231"/>
  <c r="B22" i="6231"/>
  <c r="H27" i="6231"/>
  <c r="H38" i="6231"/>
  <c r="H40" i="6231"/>
  <c r="H43" i="6231"/>
  <c r="H34" i="6231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<sst xmlns="http://schemas.openxmlformats.org/spreadsheetml/2006/main" count="3806" uniqueCount="291">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</sst>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全体!$K$2:$K$806</c:f>
              <c:numCache>
                <c:formatCode>General</c:formatCode>
                <c:ptCount val="8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</c:numCache>
            </c:numRef>
          </c:xVal>
          <c:yVal>
            <c:numRef>
              <c:f>全体!$L$2:$L$806</c:f>
              <c:numCache>
                <c:formatCode>\+0.0;\-0.0;\±0</c:formatCode>
                <c:ptCount val="80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0-49A6-987B-0C5725F0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-27.465667915106117</c:v>
                </c:pt>
                <c:pt idx="1">
                  <c:v>10.139416983523448</c:v>
                </c:pt>
                <c:pt idx="2">
                  <c:v>-6.720430107526882</c:v>
                </c:pt>
                <c:pt idx="3">
                  <c:v>9.9290780141843964</c:v>
                </c:pt>
                <c:pt idx="4">
                  <c:v>3.0721966205837172</c:v>
                </c:pt>
                <c:pt idx="5">
                  <c:v>16.304347826086957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B-46C0-915C-95CB57D50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155</c:v>
                </c:pt>
                <c:pt idx="1">
                  <c:v>335</c:v>
                </c:pt>
                <c:pt idx="2">
                  <c:v>390</c:v>
                </c:pt>
                <c:pt idx="3">
                  <c:v>353</c:v>
                </c:pt>
                <c:pt idx="4">
                  <c:v>316</c:v>
                </c:pt>
                <c:pt idx="5">
                  <c:v>207</c:v>
                </c:pt>
                <c:pt idx="6">
                  <c:v>108</c:v>
                </c:pt>
                <c:pt idx="7">
                  <c:v>56</c:v>
                </c:pt>
                <c:pt idx="8">
                  <c:v>27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5FA-9DFB-9DDD89888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たかの!$L$2:$L$75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9-4CC8-AD4E-5AE45595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2147.9452054794519</c:v>
                </c:pt>
                <c:pt idx="1">
                  <c:v>-1718.0555555555557</c:v>
                </c:pt>
                <c:pt idx="2">
                  <c:v>-1652.8571428571429</c:v>
                </c:pt>
                <c:pt idx="3">
                  <c:v>-1203.030303030303</c:v>
                </c:pt>
                <c:pt idx="4">
                  <c:v>-190.76923076923077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8-4409-B67C-6F2F50C93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38</c:v>
                </c:pt>
                <c:pt idx="3">
                  <c:v>26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D-442A-98DD-3372C087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だいち!$L$2:$L$158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6-4FC0-8B71-ED6746E82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1269.6774193548388</c:v>
                </c:pt>
                <c:pt idx="1">
                  <c:v>980.26315789473688</c:v>
                </c:pt>
                <c:pt idx="2">
                  <c:v>750.68493150684935</c:v>
                </c:pt>
                <c:pt idx="3">
                  <c:v>464.70588235294116</c:v>
                </c:pt>
                <c:pt idx="4">
                  <c:v>1947.6190476190477</c:v>
                </c:pt>
                <c:pt idx="5">
                  <c:v>1716.504854368932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EB-4ED6-B813-DDBCBD9BC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81</c:v>
                </c:pt>
                <c:pt idx="2">
                  <c:v>90</c:v>
                </c:pt>
                <c:pt idx="3">
                  <c:v>80</c:v>
                </c:pt>
                <c:pt idx="4">
                  <c:v>63</c:v>
                </c:pt>
                <c:pt idx="5">
                  <c:v>41</c:v>
                </c:pt>
                <c:pt idx="6">
                  <c:v>21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F-4A84-B098-F97D282DC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ただ!$L$2:$L$140</c:f>
              <c:numCache>
                <c:formatCode>\+0.0;\-0.0;\±0</c:formatCode>
                <c:ptCount val="1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C-45A0-BC18-C97A91A30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-1574.4525547445255</c:v>
                </c:pt>
                <c:pt idx="1">
                  <c:v>1482.962962962963</c:v>
                </c:pt>
                <c:pt idx="2">
                  <c:v>-216.93548387096774</c:v>
                </c:pt>
                <c:pt idx="3">
                  <c:v>323.72881355932202</c:v>
                </c:pt>
                <c:pt idx="4">
                  <c:v>-931.48148148148152</c:v>
                </c:pt>
                <c:pt idx="5">
                  <c:v>1419.5652173913043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1-49F3-A672-FE86390E6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57</c:v>
                </c:pt>
                <c:pt idx="2">
                  <c:v>72</c:v>
                </c:pt>
                <c:pt idx="3">
                  <c:v>76</c:v>
                </c:pt>
                <c:pt idx="4">
                  <c:v>52</c:v>
                </c:pt>
                <c:pt idx="5">
                  <c:v>38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0-4E06-AED2-009A4AFC9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A-4FEC-83B5-4FA5A5107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-309.78260869565219</c:v>
                </c:pt>
                <c:pt idx="1">
                  <c:v>-1053.2608695652175</c:v>
                </c:pt>
                <c:pt idx="2">
                  <c:v>647.67441860465112</c:v>
                </c:pt>
                <c:pt idx="3">
                  <c:v>-785.88235294117646</c:v>
                </c:pt>
                <c:pt idx="4">
                  <c:v>-3083.75</c:v>
                </c:pt>
                <c:pt idx="5">
                  <c:v>-1332.8571428571429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4-47A4-8A7D-C61069902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49</c:v>
                </c:pt>
                <c:pt idx="3">
                  <c:v>33</c:v>
                </c:pt>
                <c:pt idx="4">
                  <c:v>36</c:v>
                </c:pt>
                <c:pt idx="5">
                  <c:v>23</c:v>
                </c:pt>
                <c:pt idx="6">
                  <c:v>13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A-419B-9C71-635AEEAFB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れんたろう!$L$2:$L$110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A-4F85-9892-B4709A8CD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1200</c:v>
                </c:pt>
                <c:pt idx="1">
                  <c:v>-1207.5471698113208</c:v>
                </c:pt>
                <c:pt idx="2">
                  <c:v>-156.70103092783506</c:v>
                </c:pt>
                <c:pt idx="3">
                  <c:v>2504.3010752688174</c:v>
                </c:pt>
                <c:pt idx="4">
                  <c:v>864.28571428571433</c:v>
                </c:pt>
                <c:pt idx="5">
                  <c:v>472.05882352941177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F-40AB-88B4-74691DD76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31</c:v>
                </c:pt>
                <c:pt idx="3">
                  <c:v>48</c:v>
                </c:pt>
                <c:pt idx="4">
                  <c:v>57</c:v>
                </c:pt>
                <c:pt idx="5">
                  <c:v>28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3CE-851A-1B32E42D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まっつん!$L$2:$L$125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5-4E83-AD56-98AD6AD5A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35.772357723577237</c:v>
                </c:pt>
                <c:pt idx="1">
                  <c:v>236.66666666666666</c:v>
                </c:pt>
                <c:pt idx="2">
                  <c:v>420.17543859649123</c:v>
                </c:pt>
                <c:pt idx="3">
                  <c:v>163.8095238095238</c:v>
                </c:pt>
                <c:pt idx="4">
                  <c:v>-112.76595744680851</c:v>
                </c:pt>
                <c:pt idx="5">
                  <c:v>-1169.5121951219512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62-4C17-A66D-8D37ACA29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50</c:v>
                </c:pt>
                <c:pt idx="2">
                  <c:v>60</c:v>
                </c:pt>
                <c:pt idx="3">
                  <c:v>52</c:v>
                </c:pt>
                <c:pt idx="4">
                  <c:v>40</c:v>
                </c:pt>
                <c:pt idx="5">
                  <c:v>32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8-470C-A374-93482ED89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のり!$L$2:$L$57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1-4E4D-BC7D-8974708DC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-2096.3636363636365</c:v>
                </c:pt>
                <c:pt idx="1">
                  <c:v>-261.81818181818181</c:v>
                </c:pt>
                <c:pt idx="2">
                  <c:v>-1358.4905660377358</c:v>
                </c:pt>
                <c:pt idx="3">
                  <c:v>-2133.3333333333335</c:v>
                </c:pt>
                <c:pt idx="4">
                  <c:v>-1854.3478260869565</c:v>
                </c:pt>
                <c:pt idx="5">
                  <c:v>-1846.1538461538462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B2-4DEF-A849-726C935BE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24</c:v>
                </c:pt>
                <c:pt idx="2">
                  <c:v>25</c:v>
                </c:pt>
                <c:pt idx="3">
                  <c:v>16</c:v>
                </c:pt>
                <c:pt idx="4">
                  <c:v>17</c:v>
                </c:pt>
                <c:pt idx="5">
                  <c:v>8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C-4AEE-AB04-00E02D228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AD-4650-9772-E542FB1F2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C-4A08-96A8-67CA3D92F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7-41C3-9D6B-2724F778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A5-41D7-A584-5D688415A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E-4882-90B7-FB59EF323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6-4169-9484-1F75C6736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8-40E1-9D6A-6DC732B7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22-4024-B3EE-002F5170E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0-47E8-9F63-1243B5BD1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ともき!$L$2:$L$13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D-4FFB-981F-70F8A9E83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-2881.818181818182</c:v>
                </c:pt>
                <c:pt idx="1">
                  <c:v>627.27272727272725</c:v>
                </c:pt>
                <c:pt idx="2">
                  <c:v>-1136.3636363636363</c:v>
                </c:pt>
                <c:pt idx="3">
                  <c:v>1827.2727272727273</c:v>
                </c:pt>
                <c:pt idx="4">
                  <c:v>1550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36-4A99-BDDE-872491F25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4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5-482A-8957-3D1D27590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7-4F41-B44C-653A8644A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8-4E7A-82E4-2AF554492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D-4F70-8C89-90132A48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D8-4525-B2F1-91065565B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F-4BDA-AE01-58D6EE94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3-4CAE-AFB8-A65783C33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りくと2!$B$3:$B$96</c:f>
              <c:numCache>
                <c:formatCode>\+0.0;\-0.0;\±0</c:formatCode>
                <c:ptCount val="9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りくと2!$C$3:$C$96</c:f>
              <c:numCache>
                <c:formatCode>\+0.0;\-0.0;\±0</c:formatCode>
                <c:ptCount val="94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  <c:pt idx="87">
                  <c:v>-6.3172413793103468</c:v>
                </c:pt>
                <c:pt idx="88">
                  <c:v>-5.8125000000000009</c:v>
                </c:pt>
                <c:pt idx="89">
                  <c:v>-5.7898876404494386</c:v>
                </c:pt>
                <c:pt idx="90">
                  <c:v>-6.19</c:v>
                </c:pt>
                <c:pt idx="91">
                  <c:v>-6.4109890109890104</c:v>
                </c:pt>
                <c:pt idx="92">
                  <c:v>-6.3934782608695642</c:v>
                </c:pt>
                <c:pt idx="93">
                  <c:v>-6.7505376344086017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302557729552986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りくと2!$D$3:$D$96</c:f>
              <c:numCache>
                <c:formatCode>0.00\ "位"</c:formatCode>
                <c:ptCount val="94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  <c:pt idx="87">
                  <c:v>2.1609195402298851</c:v>
                </c:pt>
                <c:pt idx="88">
                  <c:v>2.1477272727272729</c:v>
                </c:pt>
                <c:pt idx="89">
                  <c:v>2.1460674157303372</c:v>
                </c:pt>
                <c:pt idx="90">
                  <c:v>2.1555555555555554</c:v>
                </c:pt>
                <c:pt idx="91">
                  <c:v>2.1648351648351647</c:v>
                </c:pt>
                <c:pt idx="92">
                  <c:v>2.1630434782608696</c:v>
                </c:pt>
                <c:pt idx="93">
                  <c:v>2.172043010752688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りくと2!$E$3:$E$96</c:f>
              <c:numCache>
                <c:formatCode>0.0%</c:formatCode>
                <c:ptCount val="9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  <c:pt idx="87">
                  <c:v>0.21839080459770116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0.22222222222222221</c:v>
                </c:pt>
                <c:pt idx="91">
                  <c:v>0.21978021978021978</c:v>
                </c:pt>
                <c:pt idx="92">
                  <c:v>0.21739130434782608</c:v>
                </c:pt>
                <c:pt idx="93">
                  <c:v>0.21505376344086022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りくと2!$F$3:$F$96</c:f>
              <c:numCache>
                <c:formatCode>0.0%</c:formatCode>
                <c:ptCount val="9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0.37931034482758619</c:v>
                </c:pt>
                <c:pt idx="88">
                  <c:v>0.375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0.38709677419354838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りくと2!$G$3:$G$96</c:f>
              <c:numCache>
                <c:formatCode>0.0%</c:formatCode>
                <c:ptCount val="94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  <c:pt idx="87">
                  <c:v>0.28146143437077131</c:v>
                </c:pt>
                <c:pt idx="88">
                  <c:v>0.28170894526034712</c:v>
                </c:pt>
                <c:pt idx="89">
                  <c:v>0.28042328042328041</c:v>
                </c:pt>
                <c:pt idx="90">
                  <c:v>0.27785058977719529</c:v>
                </c:pt>
                <c:pt idx="91">
                  <c:v>0.27590673575129532</c:v>
                </c:pt>
                <c:pt idx="92">
                  <c:v>0.27493606138107418</c:v>
                </c:pt>
                <c:pt idx="93">
                  <c:v>0.27386934673366836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18518518518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りくと2!$H$3:$H$96</c:f>
              <c:numCache>
                <c:formatCode>0.0%</c:formatCode>
                <c:ptCount val="94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  <c:pt idx="87">
                  <c:v>0.18809201623815969</c:v>
                </c:pt>
                <c:pt idx="88">
                  <c:v>0.1855807743658211</c:v>
                </c:pt>
                <c:pt idx="89">
                  <c:v>0.18518518518518517</c:v>
                </c:pt>
                <c:pt idx="90">
                  <c:v>0.18479685452162517</c:v>
                </c:pt>
                <c:pt idx="91">
                  <c:v>0.18393782383419688</c:v>
                </c:pt>
                <c:pt idx="92">
                  <c:v>0.1815856777493606</c:v>
                </c:pt>
                <c:pt idx="93">
                  <c:v>0.18216080402010051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りくと2!$I$3:$I$96</c:f>
              <c:numCache>
                <c:formatCode>0</c:formatCode>
                <c:ptCount val="94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  <c:pt idx="87">
                  <c:v>7688.4615384615381</c:v>
                </c:pt>
                <c:pt idx="88">
                  <c:v>7709.9526066350709</c:v>
                </c:pt>
                <c:pt idx="89">
                  <c:v>7730.1886792452833</c:v>
                </c:pt>
                <c:pt idx="90">
                  <c:v>7730.1886792452833</c:v>
                </c:pt>
                <c:pt idx="91">
                  <c:v>7712.6760563380285</c:v>
                </c:pt>
                <c:pt idx="92">
                  <c:v>7733.9534883720926</c:v>
                </c:pt>
                <c:pt idx="93">
                  <c:v>7760.5504587155965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1.3782696177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りくと2!$J$3:$J$96</c:f>
              <c:numCache>
                <c:formatCode>0</c:formatCode>
                <c:ptCount val="94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  <c:pt idx="87">
                  <c:v>-7452.517985611511</c:v>
                </c:pt>
                <c:pt idx="88">
                  <c:v>-7452.517985611511</c:v>
                </c:pt>
                <c:pt idx="89">
                  <c:v>-7477.1428571428569</c:v>
                </c:pt>
                <c:pt idx="90">
                  <c:v>-7551.7730496453896</c:v>
                </c:pt>
                <c:pt idx="91">
                  <c:v>-7539.4366197183099</c:v>
                </c:pt>
                <c:pt idx="92">
                  <c:v>-7539.4366197183099</c:v>
                </c:pt>
                <c:pt idx="93">
                  <c:v>-7630.3448275862065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9.8630136986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りくと2!$K$3:$K$96</c:f>
              <c:numCache>
                <c:formatCode>0.0%</c:formatCode>
                <c:ptCount val="9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7.6086956521739135E-2</c:v>
                </c:pt>
                <c:pt idx="93">
                  <c:v>7.5268817204301078E-2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2835820895522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りくと2!$L$3:$L$96</c:f>
              <c:numCache>
                <c:formatCode>0.0%</c:formatCode>
                <c:ptCount val="94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  <c:pt idx="87">
                  <c:v>0.28281461434370769</c:v>
                </c:pt>
                <c:pt idx="88">
                  <c:v>0.28304405874499333</c:v>
                </c:pt>
                <c:pt idx="89">
                  <c:v>0.28174603174603174</c:v>
                </c:pt>
                <c:pt idx="90">
                  <c:v>0.28047182175622543</c:v>
                </c:pt>
                <c:pt idx="91">
                  <c:v>0.27849740932642486</c:v>
                </c:pt>
                <c:pt idx="92">
                  <c:v>0.27877237851662406</c:v>
                </c:pt>
                <c:pt idx="93">
                  <c:v>0.27763819095477388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703703703703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りくと2!$M$3:$M$96</c:f>
              <c:numCache>
                <c:formatCode>0.0%</c:formatCode>
                <c:ptCount val="94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  <c:pt idx="87">
                  <c:v>0.20162381596752368</c:v>
                </c:pt>
                <c:pt idx="88">
                  <c:v>0.19893190921228304</c:v>
                </c:pt>
                <c:pt idx="89">
                  <c:v>0.20105820105820105</c:v>
                </c:pt>
                <c:pt idx="90">
                  <c:v>0.20183486238532111</c:v>
                </c:pt>
                <c:pt idx="91">
                  <c:v>0.20207253886010362</c:v>
                </c:pt>
                <c:pt idx="92">
                  <c:v>0.19948849104859334</c:v>
                </c:pt>
                <c:pt idx="93">
                  <c:v>0.19974874371859297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6962962962962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りくと2!$N$3:$N$96</c:f>
              <c:numCache>
                <c:formatCode>0.0%</c:formatCode>
                <c:ptCount val="94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  <c:pt idx="87">
                  <c:v>0.55502392344497609</c:v>
                </c:pt>
                <c:pt idx="88">
                  <c:v>0.55660377358490565</c:v>
                </c:pt>
                <c:pt idx="89">
                  <c:v>0.5539906103286385</c:v>
                </c:pt>
                <c:pt idx="90">
                  <c:v>0.55140186915887845</c:v>
                </c:pt>
                <c:pt idx="91">
                  <c:v>0.5488372093023256</c:v>
                </c:pt>
                <c:pt idx="92">
                  <c:v>0.54587155963302747</c:v>
                </c:pt>
                <c:pt idx="93">
                  <c:v>0.54298642533936647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89048991354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りくと2!$O$3:$O$96</c:f>
              <c:numCache>
                <c:formatCode>0.0%</c:formatCode>
                <c:ptCount val="94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  <c:pt idx="87">
                  <c:v>0.41610738255033558</c:v>
                </c:pt>
                <c:pt idx="88">
                  <c:v>0.41610738255033558</c:v>
                </c:pt>
                <c:pt idx="89">
                  <c:v>0.41447368421052633</c:v>
                </c:pt>
                <c:pt idx="90">
                  <c:v>0.40909090909090912</c:v>
                </c:pt>
                <c:pt idx="91">
                  <c:v>0.41025641025641024</c:v>
                </c:pt>
                <c:pt idx="92">
                  <c:v>0.41025641025641024</c:v>
                </c:pt>
                <c:pt idx="93">
                  <c:v>0.41509433962264153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32375979112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りくと2!$A$3:$A$96</c:f>
              <c:numCache>
                <c:formatCode>0\ "回"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りくと2!$P$3:$P$96</c:f>
              <c:numCache>
                <c:formatCode>0.0%</c:formatCode>
                <c:ptCount val="94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  <c:pt idx="87">
                  <c:v>0.45673076923076922</c:v>
                </c:pt>
                <c:pt idx="88">
                  <c:v>0.46445497630331756</c:v>
                </c:pt>
                <c:pt idx="89">
                  <c:v>0.46226415094339623</c:v>
                </c:pt>
                <c:pt idx="90">
                  <c:v>0.46226415094339623</c:v>
                </c:pt>
                <c:pt idx="91">
                  <c:v>0.46478873239436619</c:v>
                </c:pt>
                <c:pt idx="92">
                  <c:v>0.46511627906976744</c:v>
                </c:pt>
                <c:pt idx="93">
                  <c:v>0.46330275229357798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66197183098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4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5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5" x14ac:dyDescent="0.4">
      <c r="A82" s="28" t="s">
        <v>288</v>
      </c>
      <c r="B82" s="29">
        <v>43815.960185185184</v>
      </c>
      <c r="C82" s="28" t="s">
        <v>128</v>
      </c>
    </row>
    <row r="83" spans="1:5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  <row r="84" spans="1:5" x14ac:dyDescent="0.4">
      <c r="A84" s="28" t="s">
        <v>290</v>
      </c>
      <c r="B84" s="29">
        <v>43818.049363425926</v>
      </c>
      <c r="C84" s="28" t="s">
        <v>128</v>
      </c>
      <c r="D84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804</v>
      </c>
    </row>
    <row r="2" spans="1:2" x14ac:dyDescent="0.4">
      <c r="A2" t="s">
        <v>161</v>
      </c>
      <c r="B2">
        <v>73</v>
      </c>
    </row>
    <row r="3" spans="1:2" x14ac:dyDescent="0.4">
      <c r="A3" t="s">
        <v>126</v>
      </c>
      <c r="B3">
        <v>156</v>
      </c>
    </row>
    <row r="4" spans="1:2" x14ac:dyDescent="0.4">
      <c r="A4" t="s">
        <v>127</v>
      </c>
      <c r="B4">
        <v>138</v>
      </c>
    </row>
    <row r="5" spans="1:2" x14ac:dyDescent="0.4">
      <c r="A5" t="s">
        <v>172</v>
      </c>
      <c r="B5">
        <v>93</v>
      </c>
    </row>
    <row r="6" spans="1:2" x14ac:dyDescent="0.4">
      <c r="A6" t="s">
        <v>170</v>
      </c>
      <c r="B6">
        <v>108</v>
      </c>
    </row>
    <row r="7" spans="1:2" x14ac:dyDescent="0.4">
      <c r="A7" t="s">
        <v>171</v>
      </c>
      <c r="B7">
        <v>123</v>
      </c>
    </row>
    <row r="8" spans="1:2" x14ac:dyDescent="0.4">
      <c r="A8" t="s">
        <v>197</v>
      </c>
      <c r="B8">
        <v>55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11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0.98303616324455723</v>
      </c>
      <c r="G2" s="163"/>
      <c r="H2" s="162">
        <v>0.88269435495891213</v>
      </c>
      <c r="I2" s="163"/>
      <c r="J2" s="162">
        <v>0.92211871765691988</v>
      </c>
      <c r="K2" s="163"/>
      <c r="L2" s="162">
        <v>0.72058624782124525</v>
      </c>
      <c r="M2" s="163"/>
      <c r="N2" s="162">
        <v>0.58212837392978545</v>
      </c>
      <c r="O2" s="163"/>
      <c r="P2" s="162">
        <v>0.28557315332919397</v>
      </c>
      <c r="Q2" s="163"/>
      <c r="R2" s="162">
        <v>0.10110204613585377</v>
      </c>
      <c r="S2" s="163"/>
      <c r="T2" s="162">
        <v>0.51367237267048393</v>
      </c>
      <c r="U2" s="163"/>
      <c r="V2" s="162">
        <v>0.61795240221872327</v>
      </c>
      <c r="W2" s="163"/>
      <c r="X2" s="162">
        <v>-0.26731899331455861</v>
      </c>
      <c r="Y2" s="163"/>
      <c r="Z2" s="162">
        <v>0.53933706524811575</v>
      </c>
      <c r="AA2" s="163"/>
      <c r="AB2" s="162">
        <v>0.4008998780890829</v>
      </c>
      <c r="AC2" s="163"/>
      <c r="AD2" s="162">
        <v>0.11414896516234099</v>
      </c>
      <c r="AE2" s="163"/>
      <c r="AF2" s="162">
        <v>0.57899156054045309</v>
      </c>
      <c r="AG2" s="163"/>
    </row>
    <row r="3" spans="1:33" x14ac:dyDescent="0.4">
      <c r="A3" s="70">
        <v>1</v>
      </c>
      <c r="B3" s="71" t="s">
        <v>126</v>
      </c>
      <c r="C3" s="72">
        <v>1263.9000000000001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10770.901639344262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471.10000000000019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0.25641025641025639</v>
      </c>
      <c r="L4" s="81" t="s">
        <v>274</v>
      </c>
      <c r="M4" s="84">
        <v>0.38</v>
      </c>
      <c r="N4" s="81" t="s">
        <v>274</v>
      </c>
      <c r="O4" s="84">
        <v>0.13</v>
      </c>
      <c r="P4" s="81" t="s">
        <v>281</v>
      </c>
      <c r="Q4" s="85">
        <v>9534.6153846153848</v>
      </c>
      <c r="R4" s="81" t="s">
        <v>171</v>
      </c>
      <c r="S4" s="85">
        <v>-7233.5766423357663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0.6470588235294118</v>
      </c>
      <c r="AB4" s="81" t="s">
        <v>274</v>
      </c>
      <c r="AC4" s="84">
        <v>0.75</v>
      </c>
      <c r="AD4" s="81" t="s">
        <v>170</v>
      </c>
      <c r="AE4" s="84">
        <v>0.51229508196721307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8.101923076923077</v>
      </c>
      <c r="F5" s="81" t="s">
        <v>126</v>
      </c>
      <c r="G5" s="82">
        <v>1.8076923076923077</v>
      </c>
      <c r="H5" s="81" t="s">
        <v>274</v>
      </c>
      <c r="I5" s="83">
        <v>0.45454545454545453</v>
      </c>
      <c r="J5" s="81" t="s">
        <v>274</v>
      </c>
      <c r="K5" s="83">
        <v>0.27272727272727271</v>
      </c>
      <c r="L5" s="81" t="s">
        <v>281</v>
      </c>
      <c r="M5" s="84">
        <v>0.37681159420289856</v>
      </c>
      <c r="N5" s="81" t="s">
        <v>126</v>
      </c>
      <c r="O5" s="84">
        <v>0.13239875389408098</v>
      </c>
      <c r="P5" s="81" t="s">
        <v>280</v>
      </c>
      <c r="Q5" s="85">
        <v>8512.5</v>
      </c>
      <c r="R5" s="81" t="s">
        <v>172</v>
      </c>
      <c r="S5" s="85">
        <v>-7630.3448275862065</v>
      </c>
      <c r="T5" s="81" t="s">
        <v>126</v>
      </c>
      <c r="U5" s="83">
        <v>4.4871794871794872E-2</v>
      </c>
      <c r="V5" s="81" t="s">
        <v>274</v>
      </c>
      <c r="W5" s="84">
        <v>0.34</v>
      </c>
      <c r="X5" s="81" t="s">
        <v>127</v>
      </c>
      <c r="Y5" s="84">
        <v>0.29818496110630943</v>
      </c>
      <c r="Z5" s="81" t="s">
        <v>126</v>
      </c>
      <c r="AA5" s="84">
        <v>0.59941520467836262</v>
      </c>
      <c r="AB5" s="81" t="s">
        <v>126</v>
      </c>
      <c r="AC5" s="84">
        <v>0.49494949494949497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127</v>
      </c>
      <c r="C6" s="80">
        <v>61.099999999999817</v>
      </c>
      <c r="D6" s="81" t="s">
        <v>274</v>
      </c>
      <c r="E6" s="93">
        <v>4.9272727272727268</v>
      </c>
      <c r="F6" s="81" t="s">
        <v>274</v>
      </c>
      <c r="G6" s="82">
        <v>1.8181818181818181</v>
      </c>
      <c r="H6" s="81" t="s">
        <v>126</v>
      </c>
      <c r="I6" s="83">
        <v>0.44871794871794873</v>
      </c>
      <c r="J6" s="81" t="s">
        <v>127</v>
      </c>
      <c r="K6" s="83">
        <v>0.29710144927536231</v>
      </c>
      <c r="L6" s="81" t="s">
        <v>126</v>
      </c>
      <c r="M6" s="84">
        <v>0.34190031152647976</v>
      </c>
      <c r="N6" s="81" t="s">
        <v>171</v>
      </c>
      <c r="O6" s="84">
        <v>0.13672654690618763</v>
      </c>
      <c r="P6" s="81" t="s">
        <v>196</v>
      </c>
      <c r="Q6" s="85">
        <v>8385.7142857142862</v>
      </c>
      <c r="R6" s="81" t="s">
        <v>126</v>
      </c>
      <c r="S6" s="85">
        <v>-7645.8823529411766</v>
      </c>
      <c r="T6" s="81" t="s">
        <v>171</v>
      </c>
      <c r="U6" s="83">
        <v>6.5040650406504072E-2</v>
      </c>
      <c r="V6" s="81" t="s">
        <v>170</v>
      </c>
      <c r="W6" s="84">
        <v>0.31626848691695109</v>
      </c>
      <c r="X6" s="81" t="s">
        <v>161</v>
      </c>
      <c r="Y6" s="84">
        <v>0.25267993874425726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0.46330275229357798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274</v>
      </c>
      <c r="C7" s="80">
        <v>54.199999999999996</v>
      </c>
      <c r="D7" s="81" t="s">
        <v>170</v>
      </c>
      <c r="E7" s="93">
        <v>4.3620370370370392</v>
      </c>
      <c r="F7" s="81" t="s">
        <v>170</v>
      </c>
      <c r="G7" s="82">
        <v>1.8981481481481481</v>
      </c>
      <c r="H7" s="81" t="s">
        <v>228</v>
      </c>
      <c r="I7" s="83">
        <v>0.42857142857142855</v>
      </c>
      <c r="J7" s="81" t="s">
        <v>171</v>
      </c>
      <c r="K7" s="83">
        <v>0.30081300813008133</v>
      </c>
      <c r="L7" s="81" t="s">
        <v>127</v>
      </c>
      <c r="M7" s="84">
        <v>0.30337078651685395</v>
      </c>
      <c r="N7" s="81" t="s">
        <v>161</v>
      </c>
      <c r="O7" s="84">
        <v>0.15620214395099541</v>
      </c>
      <c r="P7" s="81" t="s">
        <v>141</v>
      </c>
      <c r="Q7" s="85">
        <v>8371.3782696177059</v>
      </c>
      <c r="R7" s="81" t="s">
        <v>141</v>
      </c>
      <c r="S7" s="85">
        <v>-7769.8630136986303</v>
      </c>
      <c r="T7" s="81" t="s">
        <v>161</v>
      </c>
      <c r="U7" s="83">
        <v>6.8493150684931503E-2</v>
      </c>
      <c r="V7" s="81" t="s">
        <v>172</v>
      </c>
      <c r="W7" s="84">
        <v>0.27763819095477388</v>
      </c>
      <c r="X7" s="81" t="s">
        <v>126</v>
      </c>
      <c r="Y7" s="84">
        <v>0.23130841121495327</v>
      </c>
      <c r="Z7" s="81" t="s">
        <v>170</v>
      </c>
      <c r="AA7" s="84">
        <v>0.5539568345323741</v>
      </c>
      <c r="AB7" s="81" t="s">
        <v>171</v>
      </c>
      <c r="AC7" s="84">
        <v>0.43636363636363634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203</v>
      </c>
      <c r="C8" s="80">
        <v>26.2</v>
      </c>
      <c r="D8" s="81" t="s">
        <v>127</v>
      </c>
      <c r="E8" s="93">
        <v>0.44275362318840444</v>
      </c>
      <c r="F8" s="81" t="s">
        <v>127</v>
      </c>
      <c r="G8" s="82">
        <v>1.9565217391304348</v>
      </c>
      <c r="H8" s="81" t="s">
        <v>170</v>
      </c>
      <c r="I8" s="83">
        <v>0.40740740740740738</v>
      </c>
      <c r="J8" s="81" t="s">
        <v>170</v>
      </c>
      <c r="K8" s="83">
        <v>0.30555555555555558</v>
      </c>
      <c r="L8" s="81" t="s">
        <v>141</v>
      </c>
      <c r="M8" s="84">
        <v>0.29451851851851851</v>
      </c>
      <c r="N8" s="81" t="s">
        <v>141</v>
      </c>
      <c r="O8" s="84">
        <v>0.16222222222222221</v>
      </c>
      <c r="P8" s="81" t="s">
        <v>127</v>
      </c>
      <c r="Q8" s="85">
        <v>8363.5327635327631</v>
      </c>
      <c r="R8" s="81" t="s">
        <v>161</v>
      </c>
      <c r="S8" s="85">
        <v>-7789.2156862745096</v>
      </c>
      <c r="T8" s="81" t="s">
        <v>172</v>
      </c>
      <c r="U8" s="83">
        <v>7.5268817204301078E-2</v>
      </c>
      <c r="V8" s="81" t="s">
        <v>171</v>
      </c>
      <c r="W8" s="84">
        <v>0.27045908183632733</v>
      </c>
      <c r="X8" s="81" t="s">
        <v>197</v>
      </c>
      <c r="Y8" s="84">
        <v>0.22958057395143489</v>
      </c>
      <c r="Z8" s="81" t="s">
        <v>141</v>
      </c>
      <c r="AA8" s="84">
        <v>0.55389048991354461</v>
      </c>
      <c r="AB8" s="81" t="s">
        <v>197</v>
      </c>
      <c r="AC8" s="84">
        <v>0.42307692307692307</v>
      </c>
      <c r="AD8" s="81" t="s">
        <v>171</v>
      </c>
      <c r="AE8" s="84">
        <v>0.44522968197879859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-5.3025577295529864E-17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0.28243512974051899</v>
      </c>
      <c r="N9" s="81" t="s">
        <v>170</v>
      </c>
      <c r="O9" s="84">
        <v>0.17406143344709898</v>
      </c>
      <c r="P9" s="81" t="s">
        <v>171</v>
      </c>
      <c r="Q9" s="85">
        <v>8295.4063604240291</v>
      </c>
      <c r="R9" s="81" t="s">
        <v>274</v>
      </c>
      <c r="S9" s="85">
        <v>-7800</v>
      </c>
      <c r="T9" s="81" t="s">
        <v>274</v>
      </c>
      <c r="U9" s="83">
        <v>9.0909090909090912E-2</v>
      </c>
      <c r="V9" s="81" t="s">
        <v>203</v>
      </c>
      <c r="W9" s="84">
        <v>0.26666666666666666</v>
      </c>
      <c r="X9" s="81" t="s">
        <v>141</v>
      </c>
      <c r="Y9" s="84">
        <v>0.22696296296296295</v>
      </c>
      <c r="Z9" s="81" t="s">
        <v>171</v>
      </c>
      <c r="AA9" s="84">
        <v>0.54981549815498154</v>
      </c>
      <c r="AB9" s="81" t="s">
        <v>141</v>
      </c>
      <c r="AC9" s="84">
        <v>0.42232375979112269</v>
      </c>
      <c r="AD9" s="81" t="s">
        <v>197</v>
      </c>
      <c r="AE9" s="84">
        <v>0.44444444444444442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171</v>
      </c>
      <c r="C10" s="80">
        <v>-36.999999999999986</v>
      </c>
      <c r="D10" s="81" t="s">
        <v>171</v>
      </c>
      <c r="E10" s="93">
        <v>-0.30081300813008116</v>
      </c>
      <c r="F10" s="81" t="s">
        <v>196</v>
      </c>
      <c r="G10" s="82">
        <v>2.04</v>
      </c>
      <c r="H10" s="81" t="s">
        <v>127</v>
      </c>
      <c r="I10" s="83">
        <v>0.34057971014492755</v>
      </c>
      <c r="J10" s="81" t="s">
        <v>281</v>
      </c>
      <c r="K10" s="83">
        <v>0.375</v>
      </c>
      <c r="L10" s="81" t="s">
        <v>170</v>
      </c>
      <c r="M10" s="84">
        <v>0.27758816837315131</v>
      </c>
      <c r="N10" s="81" t="s">
        <v>196</v>
      </c>
      <c r="O10" s="84">
        <v>0.17499999999999999</v>
      </c>
      <c r="P10" s="81" t="s">
        <v>126</v>
      </c>
      <c r="Q10" s="85">
        <v>8171.7539863325737</v>
      </c>
      <c r="R10" s="81" t="s">
        <v>127</v>
      </c>
      <c r="S10" s="85">
        <v>-7936.4485981308408</v>
      </c>
      <c r="T10" s="81" t="s">
        <v>141</v>
      </c>
      <c r="U10" s="83">
        <v>9.3283582089552244E-2</v>
      </c>
      <c r="V10" s="81" t="s">
        <v>126</v>
      </c>
      <c r="W10" s="84">
        <v>0.26635514018691586</v>
      </c>
      <c r="X10" s="81" t="s">
        <v>171</v>
      </c>
      <c r="Y10" s="84">
        <v>0.21956087824351297</v>
      </c>
      <c r="Z10" s="81" t="s">
        <v>172</v>
      </c>
      <c r="AA10" s="84">
        <v>0.54298642533936647</v>
      </c>
      <c r="AB10" s="81" t="s">
        <v>172</v>
      </c>
      <c r="AC10" s="84">
        <v>0.41509433962264153</v>
      </c>
      <c r="AD10" s="81" t="s">
        <v>141</v>
      </c>
      <c r="AE10" s="84">
        <v>0.44366197183098594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171</v>
      </c>
      <c r="G11" s="82">
        <v>2.0569105691056913</v>
      </c>
      <c r="H11" s="81" t="s">
        <v>141</v>
      </c>
      <c r="I11" s="83">
        <v>0.33333333333333331</v>
      </c>
      <c r="J11" s="81" t="s">
        <v>172</v>
      </c>
      <c r="K11" s="83">
        <v>0.38709677419354838</v>
      </c>
      <c r="L11" s="81" t="s">
        <v>161</v>
      </c>
      <c r="M11" s="84">
        <v>0.27411944869831545</v>
      </c>
      <c r="N11" s="81" t="s">
        <v>197</v>
      </c>
      <c r="O11" s="84">
        <v>0.18101545253863136</v>
      </c>
      <c r="P11" s="81" t="s">
        <v>197</v>
      </c>
      <c r="Q11" s="85">
        <v>7968.3760683760684</v>
      </c>
      <c r="R11" s="81" t="s">
        <v>280</v>
      </c>
      <c r="S11" s="85">
        <v>-7987.5</v>
      </c>
      <c r="T11" s="81" t="s">
        <v>170</v>
      </c>
      <c r="U11" s="83">
        <v>0.10185185185185185</v>
      </c>
      <c r="V11" s="81" t="s">
        <v>196</v>
      </c>
      <c r="W11" s="84">
        <v>0.25833333333333336</v>
      </c>
      <c r="X11" s="81" t="s">
        <v>172</v>
      </c>
      <c r="Y11" s="84">
        <v>0.19974874371859297</v>
      </c>
      <c r="Z11" s="81" t="s">
        <v>197</v>
      </c>
      <c r="AA11" s="84">
        <v>0.54081632653061229</v>
      </c>
      <c r="AB11" s="81" t="s">
        <v>161</v>
      </c>
      <c r="AC11" s="84">
        <v>0.40606060606060607</v>
      </c>
      <c r="AD11" s="81" t="s">
        <v>161</v>
      </c>
      <c r="AE11" s="84">
        <v>0.41899441340782123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-6.3082191780821955</v>
      </c>
      <c r="F12" s="81" t="s">
        <v>161</v>
      </c>
      <c r="G12" s="82">
        <v>2.1369863013698631</v>
      </c>
      <c r="H12" s="81" t="s">
        <v>161</v>
      </c>
      <c r="I12" s="83">
        <v>0.31506849315068491</v>
      </c>
      <c r="J12" s="81" t="s">
        <v>196</v>
      </c>
      <c r="K12" s="83">
        <v>0.4</v>
      </c>
      <c r="L12" s="81" t="s">
        <v>172</v>
      </c>
      <c r="M12" s="84">
        <v>0.27386934673366836</v>
      </c>
      <c r="N12" s="81" t="s">
        <v>172</v>
      </c>
      <c r="O12" s="84">
        <v>0.18216080402010051</v>
      </c>
      <c r="P12" s="81" t="s">
        <v>172</v>
      </c>
      <c r="Q12" s="85">
        <v>7760.5504587155965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0.25703703703703706</v>
      </c>
      <c r="X12" s="81" t="s">
        <v>170</v>
      </c>
      <c r="Y12" s="84">
        <v>0.17064846416382254</v>
      </c>
      <c r="Z12" s="81" t="s">
        <v>228</v>
      </c>
      <c r="AA12" s="84">
        <v>0.53333333333333333</v>
      </c>
      <c r="AB12" s="81" t="s">
        <v>127</v>
      </c>
      <c r="AC12" s="84">
        <v>0.38260869565217392</v>
      </c>
      <c r="AD12" s="81" t="s">
        <v>126</v>
      </c>
      <c r="AE12" s="84">
        <v>0.41685649202733488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-6.7505376344086017</v>
      </c>
      <c r="F13" s="81" t="s">
        <v>228</v>
      </c>
      <c r="G13" s="82">
        <v>2.1428571428571428</v>
      </c>
      <c r="H13" s="81" t="s">
        <v>171</v>
      </c>
      <c r="I13" s="83">
        <v>0.24390243902439024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0.18496110630942092</v>
      </c>
      <c r="P13" s="81" t="s">
        <v>228</v>
      </c>
      <c r="Q13" s="85">
        <v>7473.333333333333</v>
      </c>
      <c r="R13" s="81" t="s">
        <v>170</v>
      </c>
      <c r="S13" s="85">
        <v>-8109.1503267973858</v>
      </c>
      <c r="T13" s="81" t="s">
        <v>127</v>
      </c>
      <c r="U13" s="83">
        <v>0.13043478260869565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0.52083333333333337</v>
      </c>
      <c r="AB13" s="81" t="s">
        <v>170</v>
      </c>
      <c r="AC13" s="84">
        <v>0.37333333333333335</v>
      </c>
      <c r="AD13" s="81" t="s">
        <v>127</v>
      </c>
      <c r="AE13" s="84">
        <v>0.41025641025641024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-460.50000000000028</v>
      </c>
      <c r="D14" s="81" t="s">
        <v>197</v>
      </c>
      <c r="E14" s="93">
        <v>-11.389090909090909</v>
      </c>
      <c r="F14" s="81" t="s">
        <v>172</v>
      </c>
      <c r="G14" s="82">
        <v>2.172043010752688</v>
      </c>
      <c r="H14" s="81" t="s">
        <v>172</v>
      </c>
      <c r="I14" s="83">
        <v>0.21505376344086022</v>
      </c>
      <c r="J14" s="81" t="s">
        <v>161</v>
      </c>
      <c r="K14" s="83">
        <v>0.45205479452054792</v>
      </c>
      <c r="L14" s="81" t="s">
        <v>197</v>
      </c>
      <c r="M14" s="84">
        <v>0.25827814569536423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-8185.3658536585363</v>
      </c>
      <c r="T14" s="81" t="s">
        <v>197</v>
      </c>
      <c r="U14" s="83">
        <v>0.18181818181818182</v>
      </c>
      <c r="V14" s="81" t="s">
        <v>127</v>
      </c>
      <c r="W14" s="84">
        <v>0.23422644770959378</v>
      </c>
      <c r="X14" s="81" t="s">
        <v>196</v>
      </c>
      <c r="Y14" s="84">
        <v>0.15</v>
      </c>
      <c r="Z14" s="81" t="s">
        <v>127</v>
      </c>
      <c r="AA14" s="84">
        <v>0.50184501845018448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197</v>
      </c>
      <c r="C15" s="80">
        <v>-626.4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0.47272727272727272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7007.2625698324018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0.21633554083885209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172</v>
      </c>
      <c r="C16" s="80">
        <v>-627.79999999999995</v>
      </c>
      <c r="D16" s="81" t="s">
        <v>280</v>
      </c>
      <c r="E16" s="93">
        <v>-16.160000000000004</v>
      </c>
      <c r="F16" s="81" t="s">
        <v>197</v>
      </c>
      <c r="G16" s="82">
        <v>2.290909090909091</v>
      </c>
      <c r="H16" s="81" t="s">
        <v>197</v>
      </c>
      <c r="I16" s="83">
        <v>0.18181818181818182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6765.7894736842109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0.14701378254211334</v>
      </c>
      <c r="X16" s="81" t="s">
        <v>274</v>
      </c>
      <c r="Y16" s="84">
        <v>0.12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2D2C8-26A6-42FA-93CE-384E1AAC3D31}">
  <sheetPr codeName="Sheet4"/>
  <dimension ref="A1:Q80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804</v>
      </c>
      <c r="C2" s="155"/>
      <c r="E2" s="58" t="s">
        <v>66</v>
      </c>
      <c r="F2" s="55" t="s">
        <v>22</v>
      </c>
      <c r="G2" s="43">
        <v>1500</v>
      </c>
      <c r="H2" s="128">
        <f>IF(B$15=0,0,G2/B$15)</f>
        <v>0.75452716297786715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-27.465667915106117</v>
      </c>
      <c r="P2" s="114">
        <v>801</v>
      </c>
      <c r="Q2" s="98">
        <v>-22000</v>
      </c>
    </row>
    <row r="3" spans="1:17" x14ac:dyDescent="0.4">
      <c r="A3" s="51" t="s">
        <v>8</v>
      </c>
      <c r="B3" s="156">
        <v>6750</v>
      </c>
      <c r="C3" s="157"/>
      <c r="E3" s="59" t="s">
        <v>72</v>
      </c>
      <c r="F3" s="56" t="s">
        <v>27</v>
      </c>
      <c r="G3" s="44">
        <v>1063</v>
      </c>
      <c r="H3" s="129">
        <f>IF(B$15=0,0,G3/B$15)</f>
        <v>0.53470824949698192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10.139416983523448</v>
      </c>
      <c r="P3" s="115">
        <v>789</v>
      </c>
      <c r="Q3" s="99">
        <v>8000</v>
      </c>
    </row>
    <row r="4" spans="1:17" x14ac:dyDescent="0.4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927</v>
      </c>
      <c r="H4" s="129">
        <f>IF(B$15=0,0,G4/B$15)</f>
        <v>0.46629778672032191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-6.720430107526882</v>
      </c>
      <c r="P4" s="115">
        <v>744</v>
      </c>
      <c r="Q4" s="99">
        <v>-5000</v>
      </c>
    </row>
    <row r="5" spans="1:17" x14ac:dyDescent="0.4">
      <c r="A5" s="51" t="s">
        <v>7</v>
      </c>
      <c r="B5" s="160">
        <f>IF(B$2=0,0,B$4/B$2)</f>
        <v>-5.3025577295529864E-17</v>
      </c>
      <c r="C5" s="161"/>
      <c r="E5" s="59" t="s">
        <v>166</v>
      </c>
      <c r="F5" s="56" t="s">
        <v>167</v>
      </c>
      <c r="G5" s="44">
        <v>773</v>
      </c>
      <c r="H5" s="129">
        <f>IF(B$15=0,0,G5/B$15)</f>
        <v>0.38883299798792759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9.9290780141843964</v>
      </c>
      <c r="P5" s="115">
        <v>705</v>
      </c>
      <c r="Q5" s="99">
        <v>7000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616</v>
      </c>
      <c r="H6" s="129">
        <f>IF(B$15=0,0,G6/B$15)</f>
        <v>0.30985915492957744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3.0721966205837172</v>
      </c>
      <c r="P6" s="115">
        <v>651</v>
      </c>
      <c r="Q6" s="99">
        <v>2000</v>
      </c>
    </row>
    <row r="7" spans="1:17" x14ac:dyDescent="0.4">
      <c r="A7" s="51" t="s">
        <v>2</v>
      </c>
      <c r="B7" s="44">
        <v>268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573</v>
      </c>
      <c r="H7" s="129">
        <f>IF(B$15=0,0,G7/B$15)</f>
        <v>0.28822937625754524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16.304347826086957</v>
      </c>
      <c r="P7" s="116">
        <v>552</v>
      </c>
      <c r="Q7" s="100">
        <v>9000</v>
      </c>
    </row>
    <row r="8" spans="1:17" x14ac:dyDescent="0.4">
      <c r="A8" s="51" t="s">
        <v>3</v>
      </c>
      <c r="B8" s="44">
        <v>268</v>
      </c>
      <c r="C8" s="37">
        <f t="shared" si="1"/>
        <v>0.33333333333333331</v>
      </c>
      <c r="E8" s="59" t="s">
        <v>69</v>
      </c>
      <c r="F8" s="56" t="s">
        <v>24</v>
      </c>
      <c r="G8" s="44">
        <v>283</v>
      </c>
      <c r="H8" s="129">
        <f>IF(B$15=0,0,G8/B$15)</f>
        <v>0.14235412474849093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268</v>
      </c>
      <c r="C9" s="38">
        <f t="shared" si="1"/>
        <v>0.33333333333333331</v>
      </c>
      <c r="E9" s="59" t="s">
        <v>89</v>
      </c>
      <c r="F9" s="56" t="s">
        <v>44</v>
      </c>
      <c r="G9" s="44">
        <v>262</v>
      </c>
      <c r="H9" s="129">
        <f>IF(B$15=0,0,G9/B$15)</f>
        <v>0.13179074446680081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75</v>
      </c>
      <c r="C10" s="40">
        <f t="shared" si="1"/>
        <v>9.3283582089552244E-2</v>
      </c>
      <c r="E10" s="59" t="s">
        <v>65</v>
      </c>
      <c r="F10" s="56" t="s">
        <v>21</v>
      </c>
      <c r="G10" s="44">
        <v>215</v>
      </c>
      <c r="H10" s="129">
        <f>IF(B$15=0,0,G10/B$15)</f>
        <v>0.10814889336016097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-1.9970149253731349</v>
      </c>
      <c r="P10" s="114">
        <v>268</v>
      </c>
      <c r="Q10" s="102">
        <v>-535.20000000000016</v>
      </c>
    </row>
    <row r="11" spans="1:17" x14ac:dyDescent="0.4">
      <c r="A11" s="54" t="s">
        <v>121</v>
      </c>
      <c r="B11" s="47">
        <v>1735</v>
      </c>
      <c r="C11" s="42">
        <f>IF(B$3=0,0,B11/B$3)</f>
        <v>0.25703703703703706</v>
      </c>
      <c r="E11" s="59" t="s">
        <v>70</v>
      </c>
      <c r="F11" s="56" t="s">
        <v>25</v>
      </c>
      <c r="G11" s="44">
        <v>184</v>
      </c>
      <c r="H11" s="129">
        <f>IF(B$15=0,0,G11/B$15)</f>
        <v>9.2555331991951706E-2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0.99514925373134344</v>
      </c>
      <c r="P11" s="115">
        <v>268</v>
      </c>
      <c r="Q11" s="103">
        <v>266.70000000000005</v>
      </c>
    </row>
    <row r="12" spans="1:17" x14ac:dyDescent="0.4">
      <c r="A12" s="51" t="s">
        <v>118</v>
      </c>
      <c r="B12" s="44">
        <v>1532</v>
      </c>
      <c r="C12" s="37">
        <f>IF(B$3=0,0,B12/B$3)</f>
        <v>0.22696296296296295</v>
      </c>
      <c r="E12" s="59" t="s">
        <v>71</v>
      </c>
      <c r="F12" s="56" t="s">
        <v>26</v>
      </c>
      <c r="G12" s="44">
        <v>159</v>
      </c>
      <c r="H12" s="129">
        <f>IF(B$15=0,0,G12/B$15)</f>
        <v>7.997987927565392E-2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1.0018656716417906</v>
      </c>
      <c r="P12" s="116">
        <v>268</v>
      </c>
      <c r="Q12" s="104">
        <v>268.49999999999989</v>
      </c>
    </row>
    <row r="13" spans="1:17" x14ac:dyDescent="0.4">
      <c r="A13" s="50" t="s">
        <v>123</v>
      </c>
      <c r="B13" s="43">
        <f>B19</f>
        <v>961</v>
      </c>
      <c r="C13" s="35">
        <f>IF(B$11=0,0,B13/B$11)</f>
        <v>0.55389048991354461</v>
      </c>
      <c r="E13" s="59" t="s">
        <v>86</v>
      </c>
      <c r="F13" s="56" t="s">
        <v>41</v>
      </c>
      <c r="G13" s="44">
        <v>105</v>
      </c>
      <c r="H13" s="129">
        <f>IF(B$15=0,0,G13/B$15)</f>
        <v>5.2816901408450703E-2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647</v>
      </c>
      <c r="C14" s="35">
        <f>IF(B$12=0,0,B14/B$12)</f>
        <v>0.42232375979112269</v>
      </c>
      <c r="E14" s="59" t="s">
        <v>83</v>
      </c>
      <c r="F14" s="56" t="s">
        <v>38</v>
      </c>
      <c r="G14" s="44">
        <v>102</v>
      </c>
      <c r="H14" s="129">
        <f>IF(B$15=0,0,G14/B$15)</f>
        <v>5.1307847082494973E-2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1988</v>
      </c>
      <c r="C15" s="35">
        <f>IF(B$3=0,0,B15/B$3)</f>
        <v>0.29451851851851851</v>
      </c>
      <c r="E15" s="59" t="s">
        <v>78</v>
      </c>
      <c r="F15" s="56" t="s">
        <v>33</v>
      </c>
      <c r="G15" s="44">
        <v>50</v>
      </c>
      <c r="H15" s="129">
        <f>IF(B$15=0,0,G15/B$15)</f>
        <v>2.5150905432595575E-2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1095</v>
      </c>
      <c r="C16" s="37">
        <f>IF(B$3=0,0,B16/B$3)</f>
        <v>0.16222222222222221</v>
      </c>
      <c r="E16" s="59" t="s">
        <v>162</v>
      </c>
      <c r="F16" s="56" t="s">
        <v>163</v>
      </c>
      <c r="G16" s="44">
        <v>46</v>
      </c>
      <c r="H16" s="129">
        <f>IF(B$15=0,0,G16/B$15)</f>
        <v>2.3138832997987926E-2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882</v>
      </c>
      <c r="C17" s="37">
        <f>IF(B$15=0,0,B17/B$15)</f>
        <v>0.44366197183098594</v>
      </c>
      <c r="E17" s="59" t="s">
        <v>81</v>
      </c>
      <c r="F17" s="56" t="s">
        <v>36</v>
      </c>
      <c r="G17" s="44">
        <v>40</v>
      </c>
      <c r="H17" s="129">
        <f>IF(B$15=0,0,G17/B$15)</f>
        <v>2.0120724346076459E-2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17.083636363636352</v>
      </c>
      <c r="P17" s="115">
        <v>110</v>
      </c>
      <c r="Q17" s="103">
        <v>1879.1999999999987</v>
      </c>
    </row>
    <row r="18" spans="1:17" x14ac:dyDescent="0.4">
      <c r="A18" s="51" t="s">
        <v>11</v>
      </c>
      <c r="B18" s="44">
        <v>1106</v>
      </c>
      <c r="C18" s="37">
        <f>IF(B$15=0,0,B18/B$15)</f>
        <v>0.55633802816901412</v>
      </c>
      <c r="E18" s="59" t="s">
        <v>91</v>
      </c>
      <c r="F18" s="56" t="s">
        <v>46</v>
      </c>
      <c r="G18" s="44">
        <v>28</v>
      </c>
      <c r="H18" s="129">
        <f>IF(B$15=0,0,G18/B$15)</f>
        <v>1.4084507042253521E-2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10.125806451612897</v>
      </c>
      <c r="P18" s="115">
        <v>186</v>
      </c>
      <c r="Q18" s="103">
        <v>1883.399999999999</v>
      </c>
    </row>
    <row r="19" spans="1:17" x14ac:dyDescent="0.4">
      <c r="A19" s="51" t="s">
        <v>195</v>
      </c>
      <c r="B19" s="44">
        <v>961</v>
      </c>
      <c r="C19" s="37">
        <f>IF(B$15=0,0,B19/B$15)</f>
        <v>0.4834004024144869</v>
      </c>
      <c r="E19" s="59" t="s">
        <v>79</v>
      </c>
      <c r="F19" s="56" t="s">
        <v>34</v>
      </c>
      <c r="G19" s="44">
        <v>27</v>
      </c>
      <c r="H19" s="129">
        <f>IF(B$15=0,0,G19/B$15)</f>
        <v>1.358148893360161E-2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6.5555555555555483</v>
      </c>
      <c r="P19" s="115">
        <v>162</v>
      </c>
      <c r="Q19" s="103">
        <v>1061.9999999999989</v>
      </c>
    </row>
    <row r="20" spans="1:17" x14ac:dyDescent="0.4">
      <c r="A20" s="51" t="s">
        <v>193</v>
      </c>
      <c r="B20" s="44">
        <v>647</v>
      </c>
      <c r="C20" s="37">
        <f>IF(B$15=0,0,B20/B$15)</f>
        <v>0.32545271629778671</v>
      </c>
      <c r="E20" s="59" t="s">
        <v>75</v>
      </c>
      <c r="F20" s="56" t="s">
        <v>30</v>
      </c>
      <c r="G20" s="44">
        <v>15</v>
      </c>
      <c r="H20" s="129">
        <f>IF(B$15=0,0,G20/B$15)</f>
        <v>7.545271629778672E-3</v>
      </c>
      <c r="I20" s="90">
        <v>5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">
      <c r="A21" s="51" t="s">
        <v>194</v>
      </c>
      <c r="B21" s="44">
        <v>380</v>
      </c>
      <c r="C21" s="37">
        <f>IF(B$15=0,0,B21/B$15)</f>
        <v>0.19114688128772636</v>
      </c>
      <c r="E21" s="59" t="s">
        <v>92</v>
      </c>
      <c r="F21" s="56" t="s">
        <v>47</v>
      </c>
      <c r="G21" s="44">
        <v>11</v>
      </c>
      <c r="H21" s="129">
        <f>IF(B$15=0,0,G21/B$15)</f>
        <v>5.533199195171026E-3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0.45121951219512163</v>
      </c>
      <c r="P21" s="115">
        <v>246</v>
      </c>
      <c r="Q21" s="103">
        <v>110.99999999999991</v>
      </c>
    </row>
    <row r="22" spans="1:17" x14ac:dyDescent="0.4">
      <c r="A22" s="51" t="s">
        <v>5</v>
      </c>
      <c r="B22" s="48">
        <f>IF(B$15=0,0,C22/B$15)</f>
        <v>8371.3782696177059</v>
      </c>
      <c r="C22" s="39">
        <v>16642300</v>
      </c>
      <c r="E22" s="59" t="s">
        <v>85</v>
      </c>
      <c r="F22" s="56" t="s">
        <v>40</v>
      </c>
      <c r="G22" s="44">
        <v>10</v>
      </c>
      <c r="H22" s="129">
        <f>IF(B$15=0,0,G22/B$15)</f>
        <v>5.0301810865191147E-3</v>
      </c>
      <c r="I22" s="90">
        <v>5</v>
      </c>
      <c r="K22" s="36">
        <v>20</v>
      </c>
      <c r="L22" s="95">
        <v>-61.199999999999996</v>
      </c>
      <c r="N22" s="111" t="s">
        <v>127</v>
      </c>
      <c r="O22" s="121">
        <f>IF(P22=0,0,Q22/P22)</f>
        <v>-0.66413043478261291</v>
      </c>
      <c r="P22" s="115">
        <v>276</v>
      </c>
      <c r="Q22" s="103">
        <v>-183.30000000000118</v>
      </c>
    </row>
    <row r="23" spans="1:17" x14ac:dyDescent="0.4">
      <c r="A23" s="52" t="s">
        <v>177</v>
      </c>
      <c r="B23" s="136">
        <f>IF($B$15-B$14=0,0,C23/($B$15-B$14))</f>
        <v>9007.4571215510805</v>
      </c>
      <c r="C23" s="137">
        <v>12079000</v>
      </c>
      <c r="E23" s="59" t="s">
        <v>73</v>
      </c>
      <c r="F23" s="56" t="s">
        <v>28</v>
      </c>
      <c r="G23" s="44">
        <v>8</v>
      </c>
      <c r="H23" s="129">
        <f>IF(B$15=0,0,G23/B$15)</f>
        <v>4.0241448692152921E-3</v>
      </c>
      <c r="I23" s="90">
        <v>3</v>
      </c>
      <c r="K23" s="36">
        <v>21</v>
      </c>
      <c r="L23" s="95">
        <v>7.1054273576010019E-15</v>
      </c>
      <c r="N23" s="111" t="s">
        <v>170</v>
      </c>
      <c r="O23" s="121">
        <f>IF(P23=0,0,Q23/P23)</f>
        <v>-6.5430555555555499</v>
      </c>
      <c r="P23" s="115">
        <v>216</v>
      </c>
      <c r="Q23" s="103">
        <v>-1413.2999999999988</v>
      </c>
    </row>
    <row r="24" spans="1:17" x14ac:dyDescent="0.4">
      <c r="A24" s="52" t="s">
        <v>178</v>
      </c>
      <c r="B24" s="136">
        <f>IF(B$14=0,0,C24/B$14)</f>
        <v>7053.0139103554866</v>
      </c>
      <c r="C24" s="137">
        <v>4563300</v>
      </c>
      <c r="E24" s="59" t="s">
        <v>74</v>
      </c>
      <c r="F24" s="56" t="s">
        <v>29</v>
      </c>
      <c r="G24" s="44">
        <v>8</v>
      </c>
      <c r="H24" s="129">
        <f>IF(B$15=0,0,G24/B$15)</f>
        <v>4.0241448692152921E-3</v>
      </c>
      <c r="I24" s="90">
        <v>5</v>
      </c>
      <c r="K24" s="36">
        <v>22</v>
      </c>
      <c r="L24" s="95">
        <v>-25.099999999999994</v>
      </c>
      <c r="N24" s="111" t="s">
        <v>274</v>
      </c>
      <c r="O24" s="121">
        <f>IF(P24=0,0,Q24/P24)</f>
        <v>-7.3909090909090933</v>
      </c>
      <c r="P24" s="115">
        <v>22</v>
      </c>
      <c r="Q24" s="103">
        <v>-162.60000000000005</v>
      </c>
    </row>
    <row r="25" spans="1:17" x14ac:dyDescent="0.4">
      <c r="A25" s="52" t="s">
        <v>176</v>
      </c>
      <c r="B25" s="136">
        <f>IF(B$16=0,0,C25/B$16)</f>
        <v>-7769.8630136986303</v>
      </c>
      <c r="C25" s="137">
        <v>-8508000</v>
      </c>
      <c r="E25" s="59" t="s">
        <v>84</v>
      </c>
      <c r="F25" s="56" t="s">
        <v>39</v>
      </c>
      <c r="G25" s="44">
        <v>7</v>
      </c>
      <c r="H25" s="129">
        <f>IF(B$15=0,0,G25/B$15)</f>
        <v>3.5211267605633804E-3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-12.152884615384611</v>
      </c>
      <c r="P25" s="115">
        <v>312</v>
      </c>
      <c r="Q25" s="103">
        <v>-3791.6999999999985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3.0181086519114686E-3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2.5150905432595573E-3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2.012072434607646E-3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2.012072434607646E-3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18</v>
      </c>
      <c r="C30" s="40">
        <f>IF(B$3=0,0,B30/B$3)</f>
        <v>2.6666666666666666E-3</v>
      </c>
      <c r="E30" s="59" t="s">
        <v>93</v>
      </c>
      <c r="F30" s="56" t="s">
        <v>48</v>
      </c>
      <c r="G30" s="44">
        <v>4</v>
      </c>
      <c r="H30" s="129">
        <f>IF(B$15=0,0,G30/B$15)</f>
        <v>2.012072434607646E-3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2.012072434607646E-3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155</v>
      </c>
      <c r="C32" s="141">
        <f>IF(B$15=0,0,B32/B$15)</f>
        <v>7.7967806841046275E-2</v>
      </c>
      <c r="E32" s="59" t="s">
        <v>97</v>
      </c>
      <c r="F32" s="56" t="s">
        <v>52</v>
      </c>
      <c r="G32" s="44">
        <v>1</v>
      </c>
      <c r="H32" s="129">
        <f>IF(B$15=0,0,G32/B$15)</f>
        <v>5.0301810865191151E-4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335</v>
      </c>
      <c r="C33" s="37">
        <f t="shared" ref="C33:C44" si="2">IF(B$15=0,0,B33/B$15)</f>
        <v>0.16851106639839034</v>
      </c>
      <c r="E33" s="59" t="s">
        <v>101</v>
      </c>
      <c r="F33" s="56" t="s">
        <v>56</v>
      </c>
      <c r="G33" s="44">
        <v>1</v>
      </c>
      <c r="H33" s="129">
        <f>IF(B$15=0,0,G33/B$15)</f>
        <v>5.0301810865191151E-4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390</v>
      </c>
      <c r="C34" s="37">
        <f>IF(B$15=0,0,B34/B$15)</f>
        <v>0.19617706237424548</v>
      </c>
      <c r="E34" s="59" t="s">
        <v>106</v>
      </c>
      <c r="F34" s="56" t="s">
        <v>113</v>
      </c>
      <c r="G34" s="44">
        <v>1</v>
      </c>
      <c r="H34" s="129">
        <f>IF(B$15=0,0,G34/B$15)</f>
        <v>5.0301810865191151E-4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353</v>
      </c>
      <c r="C35" s="37">
        <f t="shared" si="2"/>
        <v>0.17756539235412475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316</v>
      </c>
      <c r="C36" s="37">
        <f t="shared" si="2"/>
        <v>0.15895372233400401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207</v>
      </c>
      <c r="C37" s="37">
        <f t="shared" si="2"/>
        <v>0.10412474849094568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108</v>
      </c>
      <c r="C38" s="37">
        <f t="shared" si="2"/>
        <v>5.4325955734406441E-2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56</v>
      </c>
      <c r="C39" s="37">
        <f t="shared" si="2"/>
        <v>2.8169014084507043E-2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27</v>
      </c>
      <c r="C40" s="37">
        <f t="shared" si="2"/>
        <v>1.358148893360161E-2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7</v>
      </c>
      <c r="C41" s="37">
        <f t="shared" si="2"/>
        <v>3.5211267605633804E-3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3.0181086519114686E-3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3.0181086519114686E-3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22</v>
      </c>
      <c r="C44" s="40">
        <f t="shared" si="2"/>
        <v>1.1066398390342052E-2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772BB-DD6F-4393-93D8-E627D69639F4}">
  <sheetPr codeName="Sheet7"/>
  <dimension ref="A1:Q7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130</v>
      </c>
      <c r="H2" s="128">
        <f>IF(B$15=0,0,G2/B$15)</f>
        <v>0.72625698324022347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2147.9452054794519</v>
      </c>
      <c r="P2" s="114">
        <v>73</v>
      </c>
      <c r="Q2" s="98">
        <v>156800</v>
      </c>
    </row>
    <row r="3" spans="1:17" x14ac:dyDescent="0.4">
      <c r="A3" s="51" t="s">
        <v>8</v>
      </c>
      <c r="B3" s="156">
        <v>653</v>
      </c>
      <c r="C3" s="157"/>
      <c r="E3" s="59" t="s">
        <v>72</v>
      </c>
      <c r="F3" s="56" t="s">
        <v>27</v>
      </c>
      <c r="G3" s="44">
        <v>96</v>
      </c>
      <c r="H3" s="129">
        <f>IF(B$15=0,0,G3/B$15)</f>
        <v>0.53631284916201116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-1718.0555555555557</v>
      </c>
      <c r="P3" s="115">
        <v>72</v>
      </c>
      <c r="Q3" s="99">
        <v>-123700</v>
      </c>
    </row>
    <row r="4" spans="1:17" x14ac:dyDescent="0.4">
      <c r="A4" s="51" t="s">
        <v>6</v>
      </c>
      <c r="B4" s="158">
        <v>-460.50000000000028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0.37988826815642457</v>
      </c>
      <c r="I4" s="90">
        <v>8</v>
      </c>
      <c r="K4" s="36">
        <v>2</v>
      </c>
      <c r="L4" s="95">
        <v>19.899999999999999</v>
      </c>
      <c r="N4" s="111" t="s">
        <v>132</v>
      </c>
      <c r="O4" s="118">
        <f t="shared" si="0"/>
        <v>-1652.8571428571429</v>
      </c>
      <c r="P4" s="115">
        <v>70</v>
      </c>
      <c r="Q4" s="99">
        <v>-115700</v>
      </c>
    </row>
    <row r="5" spans="1:17" x14ac:dyDescent="0.4">
      <c r="A5" s="51" t="s">
        <v>7</v>
      </c>
      <c r="B5" s="160">
        <f>IF(B$2=0,0,B$4/B$2)</f>
        <v>-6.3082191780821955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0.26815642458100558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-1203.030303030303</v>
      </c>
      <c r="P5" s="115">
        <v>66</v>
      </c>
      <c r="Q5" s="99">
        <v>-79400</v>
      </c>
    </row>
    <row r="6" spans="1:17" x14ac:dyDescent="0.4">
      <c r="A6" s="51" t="s">
        <v>1</v>
      </c>
      <c r="B6" s="150">
        <f>IF(B$2=0,0,(B$7*1+B$8*2+B$9*3)/B$2)</f>
        <v>2.1369863013698631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0.26815642458100558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-190.76923076923077</v>
      </c>
      <c r="P6" s="115">
        <v>65</v>
      </c>
      <c r="Q6" s="99">
        <v>-12400</v>
      </c>
    </row>
    <row r="7" spans="1:17" x14ac:dyDescent="0.4">
      <c r="A7" s="51" t="s">
        <v>2</v>
      </c>
      <c r="B7" s="44">
        <v>23</v>
      </c>
      <c r="C7" s="37">
        <f t="shared" ref="C7:C10" si="1">IF(B$2=0,0,B7/B$2)</f>
        <v>0.31506849315068491</v>
      </c>
      <c r="E7" s="59" t="s">
        <v>67</v>
      </c>
      <c r="F7" s="56" t="s">
        <v>23</v>
      </c>
      <c r="G7" s="44">
        <v>32</v>
      </c>
      <c r="H7" s="129">
        <f>IF(B$15=0,0,G7/B$15)</f>
        <v>0.1787709497206704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">
      <c r="A8" s="51" t="s">
        <v>3</v>
      </c>
      <c r="B8" s="44">
        <v>17</v>
      </c>
      <c r="C8" s="37">
        <f t="shared" si="1"/>
        <v>0.23287671232876711</v>
      </c>
      <c r="E8" s="59" t="s">
        <v>69</v>
      </c>
      <c r="F8" s="56" t="s">
        <v>24</v>
      </c>
      <c r="G8" s="44">
        <v>32</v>
      </c>
      <c r="H8" s="129">
        <f>IF(B$15=0,0,G8/B$15)</f>
        <v>0.1787709497206704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0.45205479452054792</v>
      </c>
      <c r="E9" s="59" t="s">
        <v>71</v>
      </c>
      <c r="F9" s="56" t="s">
        <v>26</v>
      </c>
      <c r="G9" s="44">
        <v>22</v>
      </c>
      <c r="H9" s="129">
        <f>IF(B$15=0,0,G9/B$15)</f>
        <v>0.12290502793296089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6.8493150684931503E-2</v>
      </c>
      <c r="E10" s="59" t="s">
        <v>70</v>
      </c>
      <c r="F10" s="56" t="s">
        <v>25</v>
      </c>
      <c r="G10" s="44">
        <v>21</v>
      </c>
      <c r="H10" s="129">
        <f>IF(B$15=0,0,G10/B$15)</f>
        <v>0.11731843575418995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">
      <c r="A11" s="54" t="s">
        <v>121</v>
      </c>
      <c r="B11" s="47">
        <v>96</v>
      </c>
      <c r="C11" s="42">
        <f>IF(B$3=0,0,B11/B$3)</f>
        <v>0.14701378254211334</v>
      </c>
      <c r="E11" s="59" t="s">
        <v>83</v>
      </c>
      <c r="F11" s="56" t="s">
        <v>38</v>
      </c>
      <c r="G11" s="44">
        <v>15</v>
      </c>
      <c r="H11" s="129">
        <f>IF(B$15=0,0,G11/B$15)</f>
        <v>8.3798882681564241E-2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-6.0904761904761902</v>
      </c>
      <c r="P11" s="115">
        <v>21</v>
      </c>
      <c r="Q11" s="103">
        <v>-127.89999999999999</v>
      </c>
    </row>
    <row r="12" spans="1:17" x14ac:dyDescent="0.4">
      <c r="A12" s="51" t="s">
        <v>118</v>
      </c>
      <c r="B12" s="44">
        <v>165</v>
      </c>
      <c r="C12" s="37">
        <f>IF(B$3=0,0,B12/B$3)</f>
        <v>0.25267993874425726</v>
      </c>
      <c r="E12" s="59" t="s">
        <v>65</v>
      </c>
      <c r="F12" s="56" t="s">
        <v>21</v>
      </c>
      <c r="G12" s="44">
        <v>11</v>
      </c>
      <c r="H12" s="129">
        <f>IF(B$15=0,0,G12/B$15)</f>
        <v>6.1452513966480445E-2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-0.78399999999999959</v>
      </c>
      <c r="P12" s="116">
        <v>25</v>
      </c>
      <c r="Q12" s="104">
        <v>-19.599999999999991</v>
      </c>
    </row>
    <row r="13" spans="1:17" x14ac:dyDescent="0.4">
      <c r="A13" s="50" t="s">
        <v>123</v>
      </c>
      <c r="B13" s="43">
        <f>B19</f>
        <v>50</v>
      </c>
      <c r="C13" s="35">
        <f>IF(B$11=0,0,B13/B$11)</f>
        <v>0.52083333333333337</v>
      </c>
      <c r="E13" s="59" t="s">
        <v>89</v>
      </c>
      <c r="F13" s="56" t="s">
        <v>44</v>
      </c>
      <c r="G13" s="44">
        <v>9</v>
      </c>
      <c r="H13" s="129">
        <f>IF(B$15=0,0,G13/B$15)</f>
        <v>5.027932960893855E-2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81</v>
      </c>
      <c r="F14" s="56" t="s">
        <v>36</v>
      </c>
      <c r="G14" s="44">
        <v>8</v>
      </c>
      <c r="H14" s="129">
        <f>IF(B$15=0,0,G14/B$15)</f>
        <v>4.4692737430167599E-2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179</v>
      </c>
      <c r="C15" s="35">
        <f>IF(B$3=0,0,B15/B$3)</f>
        <v>0.27411944869831545</v>
      </c>
      <c r="E15" s="59" t="s">
        <v>86</v>
      </c>
      <c r="F15" s="56" t="s">
        <v>41</v>
      </c>
      <c r="G15" s="44">
        <v>5</v>
      </c>
      <c r="H15" s="129">
        <f>IF(B$15=0,0,G15/B$15)</f>
        <v>2.7932960893854747E-2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102</v>
      </c>
      <c r="C16" s="37">
        <f>IF(B$3=0,0,B16/B$3)</f>
        <v>0.15620214395099541</v>
      </c>
      <c r="E16" s="59" t="s">
        <v>79</v>
      </c>
      <c r="F16" s="56" t="s">
        <v>34</v>
      </c>
      <c r="G16" s="44">
        <v>3</v>
      </c>
      <c r="H16" s="129">
        <f>IF(B$15=0,0,G16/B$15)</f>
        <v>1.6759776536312849E-2</v>
      </c>
      <c r="I16" s="90">
        <v>6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75</v>
      </c>
      <c r="C17" s="37">
        <f>IF(B$15=0,0,B17/B$15)</f>
        <v>0.41899441340782123</v>
      </c>
      <c r="E17" s="59" t="s">
        <v>91</v>
      </c>
      <c r="F17" s="56" t="s">
        <v>46</v>
      </c>
      <c r="G17" s="44">
        <v>3</v>
      </c>
      <c r="H17" s="129">
        <f>IF(B$15=0,0,G17/B$15)</f>
        <v>1.6759776536312849E-2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>IF(P17=0,0,Q17/P17)</f>
        <v>1.7280000000000002</v>
      </c>
      <c r="P17" s="115">
        <v>25</v>
      </c>
      <c r="Q17" s="103">
        <v>43.2</v>
      </c>
    </row>
    <row r="18" spans="1:17" x14ac:dyDescent="0.4">
      <c r="A18" s="51" t="s">
        <v>11</v>
      </c>
      <c r="B18" s="44">
        <v>104</v>
      </c>
      <c r="C18" s="37">
        <f>IF(B$15=0,0,B18/B$15)</f>
        <v>0.58100558659217882</v>
      </c>
      <c r="E18" s="59" t="s">
        <v>74</v>
      </c>
      <c r="F18" s="56" t="s">
        <v>29</v>
      </c>
      <c r="G18" s="44">
        <v>2</v>
      </c>
      <c r="H18" s="129">
        <f>IF(B$15=0,0,G18/B$15)</f>
        <v>1.11731843575419E-2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50</v>
      </c>
      <c r="C19" s="37">
        <f>IF(B$15=0,0,B19/B$15)</f>
        <v>0.27932960893854747</v>
      </c>
      <c r="E19" s="59" t="s">
        <v>78</v>
      </c>
      <c r="F19" s="56" t="s">
        <v>33</v>
      </c>
      <c r="G19" s="44">
        <v>2</v>
      </c>
      <c r="H19" s="129">
        <f>IF(B$15=0,0,G19/B$15)</f>
        <v>1.11731843575419E-2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-3.0250000000000017</v>
      </c>
      <c r="P19" s="115">
        <v>28</v>
      </c>
      <c r="Q19" s="103">
        <v>-84.700000000000045</v>
      </c>
    </row>
    <row r="20" spans="1:17" x14ac:dyDescent="0.4">
      <c r="A20" s="51" t="s">
        <v>193</v>
      </c>
      <c r="B20" s="44">
        <v>67</v>
      </c>
      <c r="C20" s="37">
        <f>IF(B$15=0,0,B20/B$15)</f>
        <v>0.37430167597765363</v>
      </c>
      <c r="E20" s="59" t="s">
        <v>88</v>
      </c>
      <c r="F20" s="56" t="s">
        <v>43</v>
      </c>
      <c r="G20" s="44">
        <v>2</v>
      </c>
      <c r="H20" s="129">
        <f>IF(B$15=0,0,G20/B$15)</f>
        <v>1.11731843575419E-2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">
      <c r="A21" s="51" t="s">
        <v>194</v>
      </c>
      <c r="B21" s="44">
        <v>62</v>
      </c>
      <c r="C21" s="37">
        <f>IF(B$15=0,0,B21/B$15)</f>
        <v>0.34636871508379891</v>
      </c>
      <c r="E21" s="59" t="s">
        <v>93</v>
      </c>
      <c r="F21" s="56" t="s">
        <v>48</v>
      </c>
      <c r="G21" s="44">
        <v>2</v>
      </c>
      <c r="H21" s="129">
        <f>IF(B$15=0,0,G21/B$15)</f>
        <v>1.11731843575419E-2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">
      <c r="A22" s="51" t="s">
        <v>5</v>
      </c>
      <c r="B22" s="48">
        <f>IF(B$15=0,0,C22/B$15)</f>
        <v>7007.2625698324018</v>
      </c>
      <c r="C22" s="39">
        <v>1254300</v>
      </c>
      <c r="E22" s="59" t="s">
        <v>75</v>
      </c>
      <c r="F22" s="56" t="s">
        <v>30</v>
      </c>
      <c r="G22" s="44">
        <v>1</v>
      </c>
      <c r="H22" s="129">
        <f>IF(B$15=0,0,G22/B$15)</f>
        <v>5.5865921787709499E-3</v>
      </c>
      <c r="I22" s="90">
        <v>7</v>
      </c>
      <c r="K22" s="36">
        <v>20</v>
      </c>
      <c r="L22" s="95">
        <v>-88.8</v>
      </c>
      <c r="N22" s="111" t="s">
        <v>170</v>
      </c>
      <c r="O22" s="121">
        <f>IF(P22=0,0,Q22/P22)</f>
        <v>-37.36</v>
      </c>
      <c r="P22" s="115">
        <v>20</v>
      </c>
      <c r="Q22" s="103">
        <v>-747.19999999999993</v>
      </c>
    </row>
    <row r="23" spans="1:17" x14ac:dyDescent="0.4">
      <c r="A23" s="52" t="s">
        <v>177</v>
      </c>
      <c r="B23" s="136">
        <f>IF($B$15-B$14=0,0,C23/($B$15-B$14))</f>
        <v>7578.5714285714284</v>
      </c>
      <c r="C23" s="137">
        <v>848800</v>
      </c>
      <c r="E23" s="59" t="s">
        <v>77</v>
      </c>
      <c r="F23" s="56" t="s">
        <v>32</v>
      </c>
      <c r="G23" s="44">
        <v>1</v>
      </c>
      <c r="H23" s="129">
        <f>IF(B$15=0,0,G23/B$15)</f>
        <v>5.5865921787709499E-3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6052.2388059701489</v>
      </c>
      <c r="C24" s="137">
        <v>405500</v>
      </c>
      <c r="E24" s="59" t="s">
        <v>84</v>
      </c>
      <c r="F24" s="56" t="s">
        <v>39</v>
      </c>
      <c r="G24" s="44">
        <v>1</v>
      </c>
      <c r="H24" s="129">
        <f>IF(B$15=0,0,G24/B$15)</f>
        <v>5.5865921787709499E-3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-7789.2156862745096</v>
      </c>
      <c r="C25" s="137">
        <v>-794500</v>
      </c>
      <c r="E25" s="59" t="s">
        <v>87</v>
      </c>
      <c r="F25" s="56" t="s">
        <v>42</v>
      </c>
      <c r="G25" s="44">
        <v>1</v>
      </c>
      <c r="H25" s="129">
        <f>IF(B$15=0,0,G25/B$15)</f>
        <v>5.5865921787709499E-3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1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3.0627871362940277E-3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26</v>
      </c>
      <c r="C32" s="141">
        <f>IF(B$15=0,0,B32/B$15)</f>
        <v>0.14525139664804471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37</v>
      </c>
      <c r="C33" s="37">
        <f t="shared" ref="C33:C44" si="2">IF(B$15=0,0,B33/B$15)</f>
        <v>0.20670391061452514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38</v>
      </c>
      <c r="C34" s="37">
        <f>IF(B$15=0,0,B34/B$15)</f>
        <v>0.21229050279329609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26</v>
      </c>
      <c r="C35" s="37">
        <f t="shared" si="2"/>
        <v>0.14525139664804471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19</v>
      </c>
      <c r="C36" s="37">
        <f t="shared" si="2"/>
        <v>0.10614525139664804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14</v>
      </c>
      <c r="C37" s="37">
        <f t="shared" si="2"/>
        <v>7.8212290502793297E-2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10</v>
      </c>
      <c r="C38" s="37">
        <f t="shared" si="2"/>
        <v>5.5865921787709494E-2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2"/>
        <v>3.3519553072625698E-2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2"/>
        <v>5.5865921787709499E-3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2"/>
        <v>1.11731843575419E-2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1027-4A03-48AB-B684-275E8483A829}">
  <sheetPr codeName="Sheet9"/>
  <dimension ref="A1:Q1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295</v>
      </c>
      <c r="H2" s="128">
        <f>IF(B$15=0,0,G2/B$15)</f>
        <v>0.67198177676537585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1269.6774193548388</v>
      </c>
      <c r="P2" s="114">
        <v>155</v>
      </c>
      <c r="Q2" s="98">
        <v>196800</v>
      </c>
    </row>
    <row r="3" spans="1:17" x14ac:dyDescent="0.4">
      <c r="A3" s="51" t="s">
        <v>8</v>
      </c>
      <c r="B3" s="156">
        <v>1284</v>
      </c>
      <c r="C3" s="157"/>
      <c r="E3" s="59" t="s">
        <v>72</v>
      </c>
      <c r="F3" s="56" t="s">
        <v>27</v>
      </c>
      <c r="G3" s="44">
        <v>232</v>
      </c>
      <c r="H3" s="129">
        <f>IF(B$15=0,0,G3/B$15)</f>
        <v>0.52847380410022782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980.26315789473688</v>
      </c>
      <c r="P3" s="115">
        <v>152</v>
      </c>
      <c r="Q3" s="99">
        <v>149000</v>
      </c>
    </row>
    <row r="4" spans="1:17" x14ac:dyDescent="0.4">
      <c r="A4" s="51" t="s">
        <v>6</v>
      </c>
      <c r="B4" s="158">
        <v>1263.9000000000001</v>
      </c>
      <c r="C4" s="159"/>
      <c r="E4" s="59" t="s">
        <v>64</v>
      </c>
      <c r="F4" s="56" t="s">
        <v>20</v>
      </c>
      <c r="G4" s="44">
        <v>195</v>
      </c>
      <c r="H4" s="129">
        <f>IF(B$15=0,0,G4/B$15)</f>
        <v>0.44419134396355353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750.68493150684935</v>
      </c>
      <c r="P4" s="115">
        <v>146</v>
      </c>
      <c r="Q4" s="99">
        <v>109600</v>
      </c>
    </row>
    <row r="5" spans="1:17" x14ac:dyDescent="0.4">
      <c r="A5" s="51" t="s">
        <v>7</v>
      </c>
      <c r="B5" s="160">
        <f>IF(B$2=0,0,B$4/B$2)</f>
        <v>8.101923076923077</v>
      </c>
      <c r="C5" s="161"/>
      <c r="E5" s="59" t="s">
        <v>166</v>
      </c>
      <c r="F5" s="56" t="s">
        <v>167</v>
      </c>
      <c r="G5" s="44">
        <v>165</v>
      </c>
      <c r="H5" s="129">
        <f>IF(B$15=0,0,G5/B$15)</f>
        <v>0.37585421412300685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464.70588235294116</v>
      </c>
      <c r="P5" s="115">
        <v>136</v>
      </c>
      <c r="Q5" s="99">
        <v>63200</v>
      </c>
    </row>
    <row r="6" spans="1:17" x14ac:dyDescent="0.4">
      <c r="A6" s="51" t="s">
        <v>1</v>
      </c>
      <c r="B6" s="150">
        <f>IF(B$2=0,0,(B$7*1+B$8*2+B$9*3)/B$2)</f>
        <v>1.8076923076923077</v>
      </c>
      <c r="C6" s="151"/>
      <c r="E6" s="59" t="s">
        <v>68</v>
      </c>
      <c r="F6" s="56" t="s">
        <v>12</v>
      </c>
      <c r="G6" s="44">
        <v>121</v>
      </c>
      <c r="H6" s="129">
        <f>IF(B$15=0,0,G6/B$15)</f>
        <v>0.27562642369020501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1947.6190476190477</v>
      </c>
      <c r="P6" s="115">
        <v>126</v>
      </c>
      <c r="Q6" s="99">
        <v>245400</v>
      </c>
    </row>
    <row r="7" spans="1:17" x14ac:dyDescent="0.4">
      <c r="A7" s="51" t="s">
        <v>2</v>
      </c>
      <c r="B7" s="44">
        <v>70</v>
      </c>
      <c r="C7" s="37">
        <f t="shared" ref="C7:C10" si="1">IF(B$2=0,0,B7/B$2)</f>
        <v>0.44871794871794873</v>
      </c>
      <c r="E7" s="59" t="s">
        <v>67</v>
      </c>
      <c r="F7" s="56" t="s">
        <v>23</v>
      </c>
      <c r="G7" s="44">
        <v>111</v>
      </c>
      <c r="H7" s="129">
        <f>IF(B$15=0,0,G7/B$15)</f>
        <v>0.2528473804100228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1716.504854368932</v>
      </c>
      <c r="P7" s="116">
        <v>103</v>
      </c>
      <c r="Q7" s="100">
        <v>176800</v>
      </c>
    </row>
    <row r="8" spans="1:17" x14ac:dyDescent="0.4">
      <c r="A8" s="51" t="s">
        <v>3</v>
      </c>
      <c r="B8" s="44">
        <v>46</v>
      </c>
      <c r="C8" s="37">
        <f t="shared" si="1"/>
        <v>0.29487179487179488</v>
      </c>
      <c r="E8" s="59" t="s">
        <v>89</v>
      </c>
      <c r="F8" s="56" t="s">
        <v>44</v>
      </c>
      <c r="G8" s="44">
        <v>61</v>
      </c>
      <c r="H8" s="129">
        <f>IF(B$15=0,0,G8/B$15)</f>
        <v>0.13895216400911162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40</v>
      </c>
      <c r="C9" s="38">
        <f t="shared" si="1"/>
        <v>0.25641025641025639</v>
      </c>
      <c r="E9" s="59" t="s">
        <v>69</v>
      </c>
      <c r="F9" s="56" t="s">
        <v>24</v>
      </c>
      <c r="G9" s="44">
        <v>57</v>
      </c>
      <c r="H9" s="129">
        <f>IF(B$15=0,0,G9/B$15)</f>
        <v>0.12984054669703873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4.4871794871794872E-2</v>
      </c>
      <c r="E10" s="59" t="s">
        <v>65</v>
      </c>
      <c r="F10" s="56" t="s">
        <v>21</v>
      </c>
      <c r="G10" s="44">
        <v>49</v>
      </c>
      <c r="H10" s="129">
        <f>IF(B$15=0,0,G10/B$15)</f>
        <v>0.11161731207289294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13.158695652173908</v>
      </c>
      <c r="P10" s="114">
        <v>46</v>
      </c>
      <c r="Q10" s="102">
        <v>605.29999999999973</v>
      </c>
    </row>
    <row r="11" spans="1:17" x14ac:dyDescent="0.4">
      <c r="A11" s="54" t="s">
        <v>121</v>
      </c>
      <c r="B11" s="47">
        <v>342</v>
      </c>
      <c r="C11" s="42">
        <f>IF(B$3=0,0,B11/B$3)</f>
        <v>0.26635514018691586</v>
      </c>
      <c r="E11" s="59" t="s">
        <v>71</v>
      </c>
      <c r="F11" s="56" t="s">
        <v>26</v>
      </c>
      <c r="G11" s="44">
        <v>30</v>
      </c>
      <c r="H11" s="129">
        <f>IF(B$15=0,0,G11/B$15)</f>
        <v>6.8337129840546698E-2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">
      <c r="A12" s="51" t="s">
        <v>118</v>
      </c>
      <c r="B12" s="44">
        <v>297</v>
      </c>
      <c r="C12" s="37">
        <f>IF(B$3=0,0,B12/B$3)</f>
        <v>0.23130841121495327</v>
      </c>
      <c r="E12" s="59" t="s">
        <v>86</v>
      </c>
      <c r="F12" s="56" t="s">
        <v>41</v>
      </c>
      <c r="G12" s="44">
        <v>29</v>
      </c>
      <c r="H12" s="129">
        <f>IF(B$15=0,0,G12/B$15)</f>
        <v>6.6059225512528477E-2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9.1245614035087712</v>
      </c>
      <c r="P12" s="116">
        <v>57</v>
      </c>
      <c r="Q12" s="104">
        <v>520.09999999999991</v>
      </c>
    </row>
    <row r="13" spans="1:17" x14ac:dyDescent="0.4">
      <c r="A13" s="50" t="s">
        <v>123</v>
      </c>
      <c r="B13" s="43">
        <f>B19</f>
        <v>205</v>
      </c>
      <c r="C13" s="35">
        <f>IF(B$11=0,0,B13/B$11)</f>
        <v>0.59941520467836262</v>
      </c>
      <c r="E13" s="59" t="s">
        <v>70</v>
      </c>
      <c r="F13" s="56" t="s">
        <v>25</v>
      </c>
      <c r="G13" s="44">
        <v>24</v>
      </c>
      <c r="H13" s="129">
        <f>IF(B$15=0,0,G13/B$15)</f>
        <v>5.4669703872437359E-2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147</v>
      </c>
      <c r="C14" s="35">
        <f>IF(B$12=0,0,B14/B$12)</f>
        <v>0.49494949494949497</v>
      </c>
      <c r="E14" s="59" t="s">
        <v>83</v>
      </c>
      <c r="F14" s="56" t="s">
        <v>38</v>
      </c>
      <c r="G14" s="44">
        <v>22</v>
      </c>
      <c r="H14" s="129">
        <f>IF(B$15=0,0,G14/B$15)</f>
        <v>5.011389521640091E-2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439</v>
      </c>
      <c r="C15" s="35">
        <f>IF(B$3=0,0,B15/B$3)</f>
        <v>0.34190031152647976</v>
      </c>
      <c r="E15" s="59" t="s">
        <v>78</v>
      </c>
      <c r="F15" s="56" t="s">
        <v>33</v>
      </c>
      <c r="G15" s="44">
        <v>17</v>
      </c>
      <c r="H15" s="129">
        <f>IF(B$15=0,0,G15/B$15)</f>
        <v>3.8724373576309798E-2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170</v>
      </c>
      <c r="C16" s="37">
        <f>IF(B$3=0,0,B16/B$3)</f>
        <v>0.13239875389408098</v>
      </c>
      <c r="E16" s="59" t="s">
        <v>162</v>
      </c>
      <c r="F16" s="56" t="s">
        <v>163</v>
      </c>
      <c r="G16" s="44">
        <v>13</v>
      </c>
      <c r="H16" s="129">
        <f>IF(B$15=0,0,G16/B$15)</f>
        <v>2.9612756264236904E-2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">
      <c r="A17" s="51" t="s">
        <v>12</v>
      </c>
      <c r="B17" s="44">
        <v>183</v>
      </c>
      <c r="C17" s="37">
        <f>IF(B$15=0,0,B17/B$15)</f>
        <v>0.41685649202733488</v>
      </c>
      <c r="E17" s="59" t="s">
        <v>81</v>
      </c>
      <c r="F17" s="56" t="s">
        <v>36</v>
      </c>
      <c r="G17" s="44">
        <v>6</v>
      </c>
      <c r="H17" s="129">
        <f>IF(B$15=0,0,G17/B$15)</f>
        <v>1.366742596810934E-2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 x14ac:dyDescent="0.4">
      <c r="A18" s="51" t="s">
        <v>11</v>
      </c>
      <c r="B18" s="44">
        <v>256</v>
      </c>
      <c r="C18" s="37">
        <f>IF(B$15=0,0,B18/B$15)</f>
        <v>0.58314350797266512</v>
      </c>
      <c r="E18" s="59" t="s">
        <v>75</v>
      </c>
      <c r="F18" s="56" t="s">
        <v>30</v>
      </c>
      <c r="G18" s="44">
        <v>5</v>
      </c>
      <c r="H18" s="129">
        <f>IF(B$15=0,0,G18/B$15)</f>
        <v>1.1389521640091117E-2</v>
      </c>
      <c r="I18" s="90">
        <v>4</v>
      </c>
      <c r="K18" s="36">
        <v>16</v>
      </c>
      <c r="L18" s="95">
        <v>323.69999999999993</v>
      </c>
      <c r="N18" s="111" t="s">
        <v>172</v>
      </c>
      <c r="O18" s="121">
        <f>IF(P18=0,0,Q18/P18)</f>
        <v>13.508771929824562</v>
      </c>
      <c r="P18" s="115">
        <v>57</v>
      </c>
      <c r="Q18" s="103">
        <v>770</v>
      </c>
    </row>
    <row r="19" spans="1:17" x14ac:dyDescent="0.4">
      <c r="A19" s="51" t="s">
        <v>195</v>
      </c>
      <c r="B19" s="44">
        <v>205</v>
      </c>
      <c r="C19" s="37">
        <f>IF(B$15=0,0,B19/B$15)</f>
        <v>0.46697038724373574</v>
      </c>
      <c r="E19" s="59" t="s">
        <v>91</v>
      </c>
      <c r="F19" s="56" t="s">
        <v>46</v>
      </c>
      <c r="G19" s="44">
        <v>4</v>
      </c>
      <c r="H19" s="129">
        <f>IF(B$15=0,0,G19/B$15)</f>
        <v>9.1116173120728925E-3</v>
      </c>
      <c r="I19" s="90">
        <v>7</v>
      </c>
      <c r="K19" s="36">
        <v>17</v>
      </c>
      <c r="L19" s="95">
        <v>359.09999999999991</v>
      </c>
      <c r="N19" s="111" t="s">
        <v>161</v>
      </c>
      <c r="O19" s="121">
        <f>IF(P19=0,0,Q19/P19)</f>
        <v>13.075675675675678</v>
      </c>
      <c r="P19" s="115">
        <v>37</v>
      </c>
      <c r="Q19" s="103">
        <v>483.80000000000007</v>
      </c>
    </row>
    <row r="20" spans="1:17" x14ac:dyDescent="0.4">
      <c r="A20" s="51" t="s">
        <v>193</v>
      </c>
      <c r="B20" s="44">
        <v>147</v>
      </c>
      <c r="C20" s="37">
        <f>IF(B$15=0,0,B20/B$15)</f>
        <v>0.33485193621867881</v>
      </c>
      <c r="E20" s="59" t="s">
        <v>77</v>
      </c>
      <c r="F20" s="56" t="s">
        <v>32</v>
      </c>
      <c r="G20" s="44">
        <v>3</v>
      </c>
      <c r="H20" s="129">
        <f>IF(B$15=0,0,G20/B$15)</f>
        <v>6.8337129840546698E-3</v>
      </c>
      <c r="I20" s="90">
        <v>1</v>
      </c>
      <c r="K20" s="36">
        <v>18</v>
      </c>
      <c r="L20" s="95">
        <v>352.39999999999992</v>
      </c>
      <c r="N20" s="111" t="s">
        <v>171</v>
      </c>
      <c r="O20" s="121">
        <f>IF(P20=0,0,Q20/P20)</f>
        <v>12.944642857142856</v>
      </c>
      <c r="P20" s="115">
        <v>56</v>
      </c>
      <c r="Q20" s="103">
        <v>724.9</v>
      </c>
    </row>
    <row r="21" spans="1:17" x14ac:dyDescent="0.4">
      <c r="A21" s="51" t="s">
        <v>194</v>
      </c>
      <c r="B21" s="44">
        <v>87</v>
      </c>
      <c r="C21" s="37">
        <f>IF(B$15=0,0,B21/B$15)</f>
        <v>0.19817767653758542</v>
      </c>
      <c r="E21" s="59" t="s">
        <v>79</v>
      </c>
      <c r="F21" s="56" t="s">
        <v>34</v>
      </c>
      <c r="G21" s="44">
        <v>3</v>
      </c>
      <c r="H21" s="129">
        <f>IF(B$15=0,0,G21/B$15)</f>
        <v>6.8337129840546698E-3</v>
      </c>
      <c r="I21" s="90">
        <v>9</v>
      </c>
      <c r="K21" s="36">
        <v>19</v>
      </c>
      <c r="L21" s="95">
        <v>383.19999999999993</v>
      </c>
      <c r="N21" s="111" t="s">
        <v>127</v>
      </c>
      <c r="O21" s="121">
        <f>IF(P21=0,0,Q21/P21)</f>
        <v>12.341935483870968</v>
      </c>
      <c r="P21" s="115">
        <v>93</v>
      </c>
      <c r="Q21" s="103">
        <v>1147.8</v>
      </c>
    </row>
    <row r="22" spans="1:17" x14ac:dyDescent="0.4">
      <c r="A22" s="51" t="s">
        <v>5</v>
      </c>
      <c r="B22" s="48">
        <f>IF(B$15=0,0,C22/B$15)</f>
        <v>8171.7539863325737</v>
      </c>
      <c r="C22" s="39">
        <v>3587400</v>
      </c>
      <c r="E22" s="59" t="s">
        <v>84</v>
      </c>
      <c r="F22" s="56" t="s">
        <v>39</v>
      </c>
      <c r="G22" s="44">
        <v>3</v>
      </c>
      <c r="H22" s="129">
        <f>IF(B$15=0,0,G22/B$15)</f>
        <v>6.8337129840546698E-3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-2.5707317073170728</v>
      </c>
      <c r="P22" s="115">
        <v>41</v>
      </c>
      <c r="Q22" s="103">
        <v>-105.39999999999998</v>
      </c>
    </row>
    <row r="23" spans="1:17" x14ac:dyDescent="0.4">
      <c r="A23" s="52" t="s">
        <v>177</v>
      </c>
      <c r="B23" s="136">
        <f>IF($B$15-B$14=0,0,C23/($B$15-B$14))</f>
        <v>8630.1369863013697</v>
      </c>
      <c r="C23" s="137">
        <v>2520000</v>
      </c>
      <c r="E23" s="59" t="s">
        <v>85</v>
      </c>
      <c r="F23" s="56" t="s">
        <v>40</v>
      </c>
      <c r="G23" s="44">
        <v>3</v>
      </c>
      <c r="H23" s="129">
        <f>IF(B$15=0,0,G23/B$15)</f>
        <v>6.8337129840546698E-3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7261.2244897959181</v>
      </c>
      <c r="C24" s="137">
        <v>1067400</v>
      </c>
      <c r="E24" s="59" t="s">
        <v>92</v>
      </c>
      <c r="F24" s="56" t="s">
        <v>47</v>
      </c>
      <c r="G24" s="44">
        <v>3</v>
      </c>
      <c r="H24" s="129">
        <f>IF(B$15=0,0,G24/B$15)</f>
        <v>6.8337129840546698E-3</v>
      </c>
      <c r="I24" s="90">
        <v>4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-7645.8823529411766</v>
      </c>
      <c r="C25" s="137">
        <v>-1299800</v>
      </c>
      <c r="E25" s="59" t="s">
        <v>74</v>
      </c>
      <c r="F25" s="56" t="s">
        <v>29</v>
      </c>
      <c r="G25" s="44">
        <v>2</v>
      </c>
      <c r="H25" s="129">
        <f>IF(B$15=0,0,G25/B$15)</f>
        <v>4.5558086560364463E-3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4.5558086560364463E-3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4.5558086560364463E-3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2.2779043280182231E-3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2.2779043280182231E-3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7.7881619937694702E-4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40</v>
      </c>
      <c r="C32" s="141">
        <f>IF(B$15=0,0,B32/B$15)</f>
        <v>9.1116173120728935E-2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81</v>
      </c>
      <c r="C33" s="37">
        <f t="shared" ref="C33:C44" si="2">IF(B$15=0,0,B33/B$15)</f>
        <v>0.18451025056947609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90</v>
      </c>
      <c r="C34" s="37">
        <f>IF(B$15=0,0,B34/B$15)</f>
        <v>0.20501138952164008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80</v>
      </c>
      <c r="C35" s="37">
        <f t="shared" si="2"/>
        <v>0.18223234624145787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63</v>
      </c>
      <c r="C36" s="37">
        <f t="shared" si="2"/>
        <v>0.14350797266514806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41</v>
      </c>
      <c r="C37" s="37">
        <f t="shared" si="2"/>
        <v>9.3394077448747156E-2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21</v>
      </c>
      <c r="C38" s="37">
        <f t="shared" si="2"/>
        <v>4.7835990888382689E-2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6</v>
      </c>
      <c r="C39" s="37">
        <f t="shared" si="2"/>
        <v>1.366742596810934E-2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2"/>
        <v>2.2779043280182234E-2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2.2779043280182231E-3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6</v>
      </c>
      <c r="C44" s="40">
        <f t="shared" si="2"/>
        <v>1.366742596810934E-2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382F9-8C7B-4A40-91F7-2E7DB0249086}">
  <sheetPr codeName="Sheet11"/>
  <dimension ref="A1:Q14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138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0.80626780626780625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-1574.4525547445255</v>
      </c>
      <c r="P2" s="114">
        <v>137</v>
      </c>
      <c r="Q2" s="98">
        <v>-215700</v>
      </c>
    </row>
    <row r="3" spans="1:17" x14ac:dyDescent="0.4">
      <c r="A3" s="51" t="s">
        <v>8</v>
      </c>
      <c r="B3" s="156">
        <v>1157</v>
      </c>
      <c r="C3" s="157"/>
      <c r="E3" s="59" t="s">
        <v>72</v>
      </c>
      <c r="F3" s="56" t="s">
        <v>27</v>
      </c>
      <c r="G3" s="44">
        <v>199</v>
      </c>
      <c r="H3" s="129">
        <f>IF(B$15=0,0,G3/B$15)</f>
        <v>0.5669515669515669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1482.962962962963</v>
      </c>
      <c r="P3" s="115">
        <v>135</v>
      </c>
      <c r="Q3" s="99">
        <v>200200</v>
      </c>
    </row>
    <row r="4" spans="1:17" x14ac:dyDescent="0.4">
      <c r="A4" s="51" t="s">
        <v>6</v>
      </c>
      <c r="B4" s="158">
        <v>61.099999999999817</v>
      </c>
      <c r="C4" s="159"/>
      <c r="E4" s="59" t="s">
        <v>166</v>
      </c>
      <c r="F4" s="56" t="s">
        <v>167</v>
      </c>
      <c r="G4" s="44">
        <v>137</v>
      </c>
      <c r="H4" s="129">
        <f>IF(B$15=0,0,G4/B$15)</f>
        <v>0.3903133903133903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-216.93548387096774</v>
      </c>
      <c r="P4" s="115">
        <v>124</v>
      </c>
      <c r="Q4" s="99">
        <v>-26900</v>
      </c>
    </row>
    <row r="5" spans="1:17" x14ac:dyDescent="0.4">
      <c r="A5" s="51" t="s">
        <v>7</v>
      </c>
      <c r="B5" s="160">
        <f>IF(B$2=0,0,B$4/B$2)</f>
        <v>0.44275362318840444</v>
      </c>
      <c r="C5" s="161"/>
      <c r="E5" s="59" t="s">
        <v>64</v>
      </c>
      <c r="F5" s="56" t="s">
        <v>20</v>
      </c>
      <c r="G5" s="44">
        <v>136</v>
      </c>
      <c r="H5" s="129">
        <f>IF(B$15=0,0,G5/B$15)</f>
        <v>0.38746438746438744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323.72881355932202</v>
      </c>
      <c r="P5" s="115">
        <v>118</v>
      </c>
      <c r="Q5" s="99">
        <v>38200</v>
      </c>
    </row>
    <row r="6" spans="1:17" x14ac:dyDescent="0.4">
      <c r="A6" s="51" t="s">
        <v>1</v>
      </c>
      <c r="B6" s="150">
        <f>IF(B$2=0,0,(B$7*1+B$8*2+B$9*3)/B$2)</f>
        <v>1.9565217391304348</v>
      </c>
      <c r="C6" s="151"/>
      <c r="E6" s="59" t="s">
        <v>68</v>
      </c>
      <c r="F6" s="56" t="s">
        <v>12</v>
      </c>
      <c r="G6" s="44">
        <v>97</v>
      </c>
      <c r="H6" s="129">
        <f>IF(B$15=0,0,G6/B$15)</f>
        <v>0.27635327635327633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-931.48148148148152</v>
      </c>
      <c r="P6" s="115">
        <v>108</v>
      </c>
      <c r="Q6" s="99">
        <v>-100600</v>
      </c>
    </row>
    <row r="7" spans="1:17" x14ac:dyDescent="0.4">
      <c r="A7" s="51" t="s">
        <v>2</v>
      </c>
      <c r="B7" s="44">
        <v>47</v>
      </c>
      <c r="C7" s="37">
        <f t="shared" ref="C7:C10" si="1">IF(B$2=0,0,B7/B$2)</f>
        <v>0.34057971014492755</v>
      </c>
      <c r="E7" s="59" t="s">
        <v>67</v>
      </c>
      <c r="F7" s="56" t="s">
        <v>23</v>
      </c>
      <c r="G7" s="44">
        <v>73</v>
      </c>
      <c r="H7" s="129">
        <f>IF(B$15=0,0,G7/B$15)</f>
        <v>0.20797720797720798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1419.5652173913043</v>
      </c>
      <c r="P7" s="116">
        <v>92</v>
      </c>
      <c r="Q7" s="100">
        <v>130600</v>
      </c>
    </row>
    <row r="8" spans="1:17" x14ac:dyDescent="0.4">
      <c r="A8" s="51" t="s">
        <v>3</v>
      </c>
      <c r="B8" s="44">
        <v>50</v>
      </c>
      <c r="C8" s="37">
        <f t="shared" si="1"/>
        <v>0.36231884057971014</v>
      </c>
      <c r="E8" s="59" t="s">
        <v>69</v>
      </c>
      <c r="F8" s="56" t="s">
        <v>24</v>
      </c>
      <c r="G8" s="44">
        <v>41</v>
      </c>
      <c r="H8" s="129">
        <f>IF(B$15=0,0,G8/B$15)</f>
        <v>0.11680911680911681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41</v>
      </c>
      <c r="C9" s="38">
        <f t="shared" si="1"/>
        <v>0.29710144927536231</v>
      </c>
      <c r="E9" s="59" t="s">
        <v>89</v>
      </c>
      <c r="F9" s="56" t="s">
        <v>44</v>
      </c>
      <c r="G9" s="44">
        <v>41</v>
      </c>
      <c r="H9" s="129">
        <f>IF(B$15=0,0,G9/B$15)</f>
        <v>0.11680911680911681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0.13043478260869565</v>
      </c>
      <c r="E10" s="59" t="s">
        <v>70</v>
      </c>
      <c r="F10" s="56" t="s">
        <v>25</v>
      </c>
      <c r="G10" s="44">
        <v>35</v>
      </c>
      <c r="H10" s="129">
        <f>IF(B$15=0,0,G10/B$15)</f>
        <v>9.9715099715099717E-2</v>
      </c>
      <c r="I10" s="90">
        <v>9</v>
      </c>
      <c r="K10" s="36">
        <v>8</v>
      </c>
      <c r="L10" s="95">
        <v>-56.79999999999999</v>
      </c>
      <c r="N10" s="110" t="s">
        <v>157</v>
      </c>
      <c r="O10" s="120">
        <f>IF(P10=0,0,Q10/P10)</f>
        <v>1.371052631578948</v>
      </c>
      <c r="P10" s="114">
        <v>38</v>
      </c>
      <c r="Q10" s="102">
        <v>52.100000000000023</v>
      </c>
    </row>
    <row r="11" spans="1:17" x14ac:dyDescent="0.4">
      <c r="A11" s="54" t="s">
        <v>121</v>
      </c>
      <c r="B11" s="47">
        <v>271</v>
      </c>
      <c r="C11" s="42">
        <f>IF(B$3=0,0,B11/B$3)</f>
        <v>0.23422644770959378</v>
      </c>
      <c r="E11" s="59" t="s">
        <v>71</v>
      </c>
      <c r="F11" s="56" t="s">
        <v>26</v>
      </c>
      <c r="G11" s="44">
        <v>34</v>
      </c>
      <c r="H11" s="129">
        <f>IF(B$15=0,0,G11/B$15)</f>
        <v>9.686609686609686E-2</v>
      </c>
      <c r="I11" s="90">
        <v>4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">
      <c r="A12" s="51" t="s">
        <v>118</v>
      </c>
      <c r="B12" s="44">
        <v>345</v>
      </c>
      <c r="C12" s="37">
        <f>IF(B$3=0,0,B12/B$3)</f>
        <v>0.29818496110630943</v>
      </c>
      <c r="E12" s="59" t="s">
        <v>65</v>
      </c>
      <c r="F12" s="56" t="s">
        <v>21</v>
      </c>
      <c r="G12" s="44">
        <v>30</v>
      </c>
      <c r="H12" s="129">
        <f>IF(B$15=0,0,G12/B$15)</f>
        <v>8.5470085470085472E-2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-4.1207547169811329</v>
      </c>
      <c r="P12" s="116">
        <v>53</v>
      </c>
      <c r="Q12" s="104">
        <v>-218.40000000000003</v>
      </c>
    </row>
    <row r="13" spans="1:17" x14ac:dyDescent="0.4">
      <c r="A13" s="50" t="s">
        <v>123</v>
      </c>
      <c r="B13" s="43">
        <f>B19</f>
        <v>136</v>
      </c>
      <c r="C13" s="35">
        <f>IF(B$11=0,0,B13/B$11)</f>
        <v>0.50184501845018448</v>
      </c>
      <c r="E13" s="59" t="s">
        <v>86</v>
      </c>
      <c r="F13" s="56" t="s">
        <v>41</v>
      </c>
      <c r="G13" s="44">
        <v>24</v>
      </c>
      <c r="H13" s="129">
        <f>IF(B$15=0,0,G13/B$15)</f>
        <v>6.8376068376068383E-2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132</v>
      </c>
      <c r="C14" s="35">
        <f>IF(B$12=0,0,B14/B$12)</f>
        <v>0.38260869565217392</v>
      </c>
      <c r="E14" s="59" t="s">
        <v>83</v>
      </c>
      <c r="F14" s="56" t="s">
        <v>38</v>
      </c>
      <c r="G14" s="44">
        <v>19</v>
      </c>
      <c r="H14" s="129">
        <f>IF(B$15=0,0,G14/B$15)</f>
        <v>5.4131054131054131E-2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351</v>
      </c>
      <c r="C15" s="35">
        <f>IF(B$3=0,0,B15/B$3)</f>
        <v>0.30337078651685395</v>
      </c>
      <c r="E15" s="59" t="s">
        <v>91</v>
      </c>
      <c r="F15" s="56" t="s">
        <v>46</v>
      </c>
      <c r="G15" s="44">
        <v>11</v>
      </c>
      <c r="H15" s="129">
        <f>IF(B$15=0,0,G15/B$15)</f>
        <v>3.1339031339031341E-2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214</v>
      </c>
      <c r="C16" s="37">
        <f>IF(B$3=0,0,B16/B$3)</f>
        <v>0.18496110630942092</v>
      </c>
      <c r="E16" s="59" t="s">
        <v>78</v>
      </c>
      <c r="F16" s="56" t="s">
        <v>33</v>
      </c>
      <c r="G16" s="44">
        <v>10</v>
      </c>
      <c r="H16" s="129">
        <f>IF(B$15=0,0,G16/B$15)</f>
        <v>2.8490028490028491E-2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 t="shared" si="2"/>
        <v>17.456249999999994</v>
      </c>
      <c r="P16" s="115">
        <v>48</v>
      </c>
      <c r="Q16" s="103">
        <v>837.89999999999964</v>
      </c>
    </row>
    <row r="17" spans="1:17" x14ac:dyDescent="0.4">
      <c r="A17" s="51" t="s">
        <v>12</v>
      </c>
      <c r="B17" s="44">
        <v>144</v>
      </c>
      <c r="C17" s="37">
        <f>IF(B$15=0,0,B17/B$15)</f>
        <v>0.41025641025641024</v>
      </c>
      <c r="E17" s="59" t="s">
        <v>81</v>
      </c>
      <c r="F17" s="56" t="s">
        <v>36</v>
      </c>
      <c r="G17" s="44">
        <v>8</v>
      </c>
      <c r="H17" s="129">
        <f>IF(B$15=0,0,G17/B$15)</f>
        <v>2.2792022792022793E-2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207</v>
      </c>
      <c r="C18" s="37">
        <f>IF(B$15=0,0,B18/B$15)</f>
        <v>0.58974358974358976</v>
      </c>
      <c r="E18" s="59" t="s">
        <v>79</v>
      </c>
      <c r="F18" s="56" t="s">
        <v>34</v>
      </c>
      <c r="G18" s="44">
        <v>6</v>
      </c>
      <c r="H18" s="129">
        <f>IF(B$15=0,0,G18/B$15)</f>
        <v>1.7094017094017096E-2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136</v>
      </c>
      <c r="C19" s="37">
        <f>IF(B$15=0,0,B19/B$15)</f>
        <v>0.38746438746438744</v>
      </c>
      <c r="E19" s="59" t="s">
        <v>162</v>
      </c>
      <c r="F19" s="56" t="s">
        <v>163</v>
      </c>
      <c r="G19" s="44">
        <v>5</v>
      </c>
      <c r="H19" s="129">
        <f>IF(B$15=0,0,G19/B$15)</f>
        <v>1.4245014245014245E-2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3.0249999999999995</v>
      </c>
      <c r="P19" s="115">
        <v>28</v>
      </c>
      <c r="Q19" s="103">
        <v>84.699999999999989</v>
      </c>
    </row>
    <row r="20" spans="1:17" x14ac:dyDescent="0.4">
      <c r="A20" s="51" t="s">
        <v>193</v>
      </c>
      <c r="B20" s="44">
        <v>132</v>
      </c>
      <c r="C20" s="37">
        <f>IF(B$15=0,0,B20/B$15)</f>
        <v>0.37606837606837606</v>
      </c>
      <c r="E20" s="59" t="s">
        <v>92</v>
      </c>
      <c r="F20" s="56" t="s">
        <v>47</v>
      </c>
      <c r="G20" s="44">
        <v>3</v>
      </c>
      <c r="H20" s="129">
        <f>IF(B$15=0,0,G20/B$15)</f>
        <v>8.5470085470085479E-3</v>
      </c>
      <c r="I20" s="90">
        <v>2</v>
      </c>
      <c r="K20" s="36">
        <v>18</v>
      </c>
      <c r="L20" s="95">
        <v>-112.90000000000002</v>
      </c>
      <c r="N20" s="111" t="s">
        <v>170</v>
      </c>
      <c r="O20" s="121">
        <f t="shared" si="2"/>
        <v>0.66000000000000569</v>
      </c>
      <c r="P20" s="115">
        <v>40</v>
      </c>
      <c r="Q20" s="103">
        <v>26.400000000000226</v>
      </c>
    </row>
    <row r="21" spans="1:17" x14ac:dyDescent="0.4">
      <c r="A21" s="51" t="s">
        <v>194</v>
      </c>
      <c r="B21" s="44">
        <v>83</v>
      </c>
      <c r="C21" s="37">
        <f>IF(B$15=0,0,B21/B$15)</f>
        <v>0.23646723646723647</v>
      </c>
      <c r="E21" s="59" t="s">
        <v>74</v>
      </c>
      <c r="F21" s="56" t="s">
        <v>29</v>
      </c>
      <c r="G21" s="44">
        <v>2</v>
      </c>
      <c r="H21" s="129">
        <f>IF(B$15=0,0,G21/B$15)</f>
        <v>5.6980056980056983E-3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-1.1651162790697653</v>
      </c>
      <c r="P21" s="115">
        <v>43</v>
      </c>
      <c r="Q21" s="103">
        <v>-50.099999999999909</v>
      </c>
    </row>
    <row r="22" spans="1:17" x14ac:dyDescent="0.4">
      <c r="A22" s="51" t="s">
        <v>5</v>
      </c>
      <c r="B22" s="48">
        <f>IF(B$15=0,0,C22/B$15)</f>
        <v>8363.5327635327631</v>
      </c>
      <c r="C22" s="39">
        <v>2935600</v>
      </c>
      <c r="E22" s="59" t="s">
        <v>75</v>
      </c>
      <c r="F22" s="56" t="s">
        <v>30</v>
      </c>
      <c r="G22" s="44">
        <v>2</v>
      </c>
      <c r="H22" s="129">
        <f>IF(B$15=0,0,G22/B$15)</f>
        <v>5.6980056980056983E-3</v>
      </c>
      <c r="I22" s="90">
        <v>6</v>
      </c>
      <c r="K22" s="36">
        <v>20</v>
      </c>
      <c r="L22" s="95">
        <v>-96.000000000000028</v>
      </c>
      <c r="N22" s="111" t="s">
        <v>274</v>
      </c>
      <c r="O22" s="121">
        <f t="shared" si="2"/>
        <v>-6.2333333333333316</v>
      </c>
      <c r="P22" s="115">
        <v>3</v>
      </c>
      <c r="Q22" s="103">
        <v>-18.699999999999996</v>
      </c>
    </row>
    <row r="23" spans="1:17" x14ac:dyDescent="0.4">
      <c r="A23" s="52" t="s">
        <v>177</v>
      </c>
      <c r="B23" s="136">
        <f>IF($B$15-B$14=0,0,C23/($B$15-B$14))</f>
        <v>8981.278538812785</v>
      </c>
      <c r="C23" s="137">
        <v>1966900</v>
      </c>
      <c r="E23" s="59" t="s">
        <v>73</v>
      </c>
      <c r="F23" s="56" t="s">
        <v>28</v>
      </c>
      <c r="G23" s="44">
        <v>1</v>
      </c>
      <c r="H23" s="129">
        <f>IF(B$15=0,0,G23/B$15)</f>
        <v>2.8490028490028491E-3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-12.341935483870968</v>
      </c>
      <c r="P23" s="115">
        <v>93</v>
      </c>
      <c r="Q23" s="103">
        <v>-1147.8</v>
      </c>
    </row>
    <row r="24" spans="1:17" x14ac:dyDescent="0.4">
      <c r="A24" s="52" t="s">
        <v>178</v>
      </c>
      <c r="B24" s="136">
        <f>IF(B$14=0,0,C24/B$14)</f>
        <v>7338.636363636364</v>
      </c>
      <c r="C24" s="137">
        <v>968700</v>
      </c>
      <c r="E24" s="59" t="s">
        <v>77</v>
      </c>
      <c r="F24" s="56" t="s">
        <v>32</v>
      </c>
      <c r="G24" s="44">
        <v>1</v>
      </c>
      <c r="H24" s="129">
        <f>IF(B$15=0,0,G24/B$15)</f>
        <v>2.8490028490028491E-3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-7936.4485981308408</v>
      </c>
      <c r="C25" s="137">
        <v>-1698400</v>
      </c>
      <c r="E25" s="59" t="s">
        <v>84</v>
      </c>
      <c r="F25" s="56" t="s">
        <v>39</v>
      </c>
      <c r="G25" s="44">
        <v>1</v>
      </c>
      <c r="H25" s="129">
        <f>IF(B$15=0,0,G25/B$15)</f>
        <v>2.8490028490028491E-3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2.8490028490028491E-3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2.8490028490028491E-3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3.4572169403630079E-3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24</v>
      </c>
      <c r="C32" s="141">
        <f>IF(B$15=0,0,B32/B$15)</f>
        <v>6.8376068376068383E-2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57</v>
      </c>
      <c r="C33" s="37">
        <f t="shared" ref="C33:C44" si="3">IF(B$15=0,0,B33/B$15)</f>
        <v>0.1623931623931624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72</v>
      </c>
      <c r="C34" s="37">
        <f>IF(B$15=0,0,B34/B$15)</f>
        <v>0.20512820512820512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76</v>
      </c>
      <c r="C35" s="37">
        <f t="shared" si="3"/>
        <v>0.21652421652421652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52</v>
      </c>
      <c r="C36" s="37">
        <f t="shared" si="3"/>
        <v>0.14814814814814814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38</v>
      </c>
      <c r="C37" s="37">
        <f t="shared" si="3"/>
        <v>0.10826210826210826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12</v>
      </c>
      <c r="C38" s="37">
        <f t="shared" si="3"/>
        <v>3.4188034188034191E-2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8</v>
      </c>
      <c r="C39" s="37">
        <f t="shared" si="3"/>
        <v>2.2792022792022793E-2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5</v>
      </c>
      <c r="C40" s="37">
        <f t="shared" si="3"/>
        <v>1.4245014245014245E-2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3"/>
        <v>2.8490028490028491E-3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3"/>
        <v>5.6980056980056983E-3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3"/>
        <v>1.1396011396011397E-2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</sheetData>
  <sortState xmlns:xlrd2="http://schemas.microsoft.com/office/spreadsheetml/2017/richdata2" ref="E2:I14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80DF-F144-40E6-92D0-7C044450843C}">
  <sheetPr codeName="Sheet13"/>
  <dimension ref="A1:Q9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93</v>
      </c>
      <c r="C2" s="155"/>
      <c r="E2" s="58" t="s">
        <v>66</v>
      </c>
      <c r="F2" s="55" t="s">
        <v>22</v>
      </c>
      <c r="G2" s="43">
        <v>173</v>
      </c>
      <c r="H2" s="128">
        <f>IF(B$15=0,0,G2/B$15)</f>
        <v>0.79357798165137616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-309.78260869565219</v>
      </c>
      <c r="P2" s="114">
        <v>92</v>
      </c>
      <c r="Q2" s="98">
        <v>-28500</v>
      </c>
    </row>
    <row r="3" spans="1:17" x14ac:dyDescent="0.4">
      <c r="A3" s="51" t="s">
        <v>8</v>
      </c>
      <c r="B3" s="156">
        <v>796</v>
      </c>
      <c r="C3" s="157"/>
      <c r="E3" s="59" t="s">
        <v>64</v>
      </c>
      <c r="F3" s="56" t="s">
        <v>20</v>
      </c>
      <c r="G3" s="44">
        <v>121</v>
      </c>
      <c r="H3" s="129">
        <f>IF(B$15=0,0,G3/B$15)</f>
        <v>0.55504587155963303</v>
      </c>
      <c r="I3" s="90">
        <v>6</v>
      </c>
      <c r="K3" s="36">
        <v>1</v>
      </c>
      <c r="L3" s="95">
        <v>-37.799999999999997</v>
      </c>
      <c r="N3" s="111" t="s">
        <v>131</v>
      </c>
      <c r="O3" s="118">
        <f t="shared" si="0"/>
        <v>-1053.2608695652175</v>
      </c>
      <c r="P3" s="115">
        <v>92</v>
      </c>
      <c r="Q3" s="99">
        <v>-96900</v>
      </c>
    </row>
    <row r="4" spans="1:17" x14ac:dyDescent="0.4">
      <c r="A4" s="51" t="s">
        <v>6</v>
      </c>
      <c r="B4" s="158">
        <v>-627.79999999999995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0.50458715596330272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647.67441860465112</v>
      </c>
      <c r="P4" s="115">
        <v>86</v>
      </c>
      <c r="Q4" s="99">
        <v>55700</v>
      </c>
    </row>
    <row r="5" spans="1:17" x14ac:dyDescent="0.4">
      <c r="A5" s="51" t="s">
        <v>7</v>
      </c>
      <c r="B5" s="160">
        <f>IF(B$2=0,0,B$4/B$2)</f>
        <v>-6.7505376344086017</v>
      </c>
      <c r="C5" s="161"/>
      <c r="E5" s="59" t="s">
        <v>166</v>
      </c>
      <c r="F5" s="56" t="s">
        <v>167</v>
      </c>
      <c r="G5" s="44">
        <v>91</v>
      </c>
      <c r="H5" s="129">
        <f>IF(B$15=0,0,G5/B$15)</f>
        <v>0.41743119266055045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-785.88235294117646</v>
      </c>
      <c r="P5" s="115">
        <v>85</v>
      </c>
      <c r="Q5" s="99">
        <v>-66800</v>
      </c>
    </row>
    <row r="6" spans="1:17" x14ac:dyDescent="0.4">
      <c r="A6" s="51" t="s">
        <v>1</v>
      </c>
      <c r="B6" s="150">
        <f>IF(B$2=0,0,(B$7*1+B$8*2+B$9*3)/B$2)</f>
        <v>2.172043010752688</v>
      </c>
      <c r="C6" s="151"/>
      <c r="E6" s="59" t="s">
        <v>68</v>
      </c>
      <c r="F6" s="56" t="s">
        <v>12</v>
      </c>
      <c r="G6" s="44">
        <v>74</v>
      </c>
      <c r="H6" s="129">
        <f>IF(B$15=0,0,G6/B$15)</f>
        <v>0.33944954128440369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-3083.75</v>
      </c>
      <c r="P6" s="115">
        <v>80</v>
      </c>
      <c r="Q6" s="99">
        <v>-246700</v>
      </c>
    </row>
    <row r="7" spans="1:17" x14ac:dyDescent="0.4">
      <c r="A7" s="51" t="s">
        <v>2</v>
      </c>
      <c r="B7" s="44">
        <v>20</v>
      </c>
      <c r="C7" s="37">
        <f t="shared" ref="C7:C10" si="1">IF(B$2=0,0,B7/B$2)</f>
        <v>0.21505376344086022</v>
      </c>
      <c r="E7" s="59" t="s">
        <v>67</v>
      </c>
      <c r="F7" s="56" t="s">
        <v>23</v>
      </c>
      <c r="G7" s="44">
        <v>64</v>
      </c>
      <c r="H7" s="129">
        <f>IF(B$15=0,0,G7/B$15)</f>
        <v>0.29357798165137616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-1332.8571428571429</v>
      </c>
      <c r="P7" s="116">
        <v>70</v>
      </c>
      <c r="Q7" s="100">
        <v>-93300</v>
      </c>
    </row>
    <row r="8" spans="1:17" x14ac:dyDescent="0.4">
      <c r="A8" s="51" t="s">
        <v>3</v>
      </c>
      <c r="B8" s="44">
        <v>37</v>
      </c>
      <c r="C8" s="37">
        <f t="shared" si="1"/>
        <v>0.39784946236559138</v>
      </c>
      <c r="E8" s="59" t="s">
        <v>69</v>
      </c>
      <c r="F8" s="56" t="s">
        <v>24</v>
      </c>
      <c r="G8" s="44">
        <v>30</v>
      </c>
      <c r="H8" s="129">
        <f>IF(B$15=0,0,G8/B$15)</f>
        <v>0.13761467889908258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36</v>
      </c>
      <c r="C9" s="38">
        <f t="shared" si="1"/>
        <v>0.38709677419354838</v>
      </c>
      <c r="E9" s="59" t="s">
        <v>70</v>
      </c>
      <c r="F9" s="56" t="s">
        <v>25</v>
      </c>
      <c r="G9" s="44">
        <v>27</v>
      </c>
      <c r="H9" s="129">
        <f>IF(B$15=0,0,G9/B$15)</f>
        <v>0.12385321100917432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7.5268817204301078E-2</v>
      </c>
      <c r="E10" s="59" t="s">
        <v>65</v>
      </c>
      <c r="F10" s="56" t="s">
        <v>21</v>
      </c>
      <c r="G10" s="44">
        <v>26</v>
      </c>
      <c r="H10" s="129">
        <f>IF(B$15=0,0,G10/B$15)</f>
        <v>0.11926605504587157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">
      <c r="A11" s="54" t="s">
        <v>121</v>
      </c>
      <c r="B11" s="47">
        <v>221</v>
      </c>
      <c r="C11" s="42">
        <f>IF(B$3=0,0,B11/B$3)</f>
        <v>0.27763819095477388</v>
      </c>
      <c r="E11" s="59" t="s">
        <v>89</v>
      </c>
      <c r="F11" s="56" t="s">
        <v>44</v>
      </c>
      <c r="G11" s="44">
        <v>25</v>
      </c>
      <c r="H11" s="129">
        <f>IF(B$15=0,0,G11/B$15)</f>
        <v>0.11467889908256881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-6.8115384615384631</v>
      </c>
      <c r="P11" s="115">
        <v>26</v>
      </c>
      <c r="Q11" s="103">
        <v>-177.10000000000005</v>
      </c>
    </row>
    <row r="12" spans="1:17" x14ac:dyDescent="0.4">
      <c r="A12" s="51" t="s">
        <v>118</v>
      </c>
      <c r="B12" s="44">
        <v>159</v>
      </c>
      <c r="C12" s="37">
        <f>IF(B$3=0,0,B12/B$3)</f>
        <v>0.19974874371859297</v>
      </c>
      <c r="E12" s="59" t="s">
        <v>83</v>
      </c>
      <c r="F12" s="56" t="s">
        <v>38</v>
      </c>
      <c r="G12" s="44">
        <v>12</v>
      </c>
      <c r="H12" s="129">
        <f>IF(B$15=0,0,G12/B$15)</f>
        <v>5.5045871559633031E-2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">
      <c r="A13" s="50" t="s">
        <v>123</v>
      </c>
      <c r="B13" s="43">
        <f>B19</f>
        <v>120</v>
      </c>
      <c r="C13" s="35">
        <f>IF(B$11=0,0,B13/B$11)</f>
        <v>0.54298642533936647</v>
      </c>
      <c r="E13" s="59" t="s">
        <v>86</v>
      </c>
      <c r="F13" s="56" t="s">
        <v>41</v>
      </c>
      <c r="G13" s="44">
        <v>10</v>
      </c>
      <c r="H13" s="129">
        <f>IF(B$15=0,0,G13/B$15)</f>
        <v>4.5871559633027525E-2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4.1284403669724773E-2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218</v>
      </c>
      <c r="C15" s="35">
        <f>IF(B$3=0,0,B15/B$3)</f>
        <v>0.27386934673366836</v>
      </c>
      <c r="E15" s="59" t="s">
        <v>78</v>
      </c>
      <c r="F15" s="56" t="s">
        <v>33</v>
      </c>
      <c r="G15" s="44">
        <v>7</v>
      </c>
      <c r="H15" s="129">
        <f>IF(B$15=0,0,G15/B$15)</f>
        <v>3.2110091743119268E-2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145</v>
      </c>
      <c r="C16" s="37">
        <f>IF(B$3=0,0,B16/B$3)</f>
        <v>0.18216080402010051</v>
      </c>
      <c r="E16" s="59" t="s">
        <v>79</v>
      </c>
      <c r="F16" s="56" t="s">
        <v>34</v>
      </c>
      <c r="G16" s="44">
        <v>4</v>
      </c>
      <c r="H16" s="129">
        <f>IF(B$15=0,0,G16/B$15)</f>
        <v>1.834862385321101E-2</v>
      </c>
      <c r="I16" s="90">
        <v>4</v>
      </c>
      <c r="K16" s="36">
        <v>14</v>
      </c>
      <c r="L16" s="95">
        <v>-204.8</v>
      </c>
      <c r="N16" s="111" t="s">
        <v>170</v>
      </c>
      <c r="O16" s="121">
        <f>IF(P16=0,0,Q16/P16)</f>
        <v>2.5450000000000008</v>
      </c>
      <c r="P16" s="115">
        <v>20</v>
      </c>
      <c r="Q16" s="103">
        <v>50.90000000000002</v>
      </c>
    </row>
    <row r="17" spans="1:17" x14ac:dyDescent="0.4">
      <c r="A17" s="51" t="s">
        <v>12</v>
      </c>
      <c r="B17" s="44">
        <v>101</v>
      </c>
      <c r="C17" s="37">
        <f>IF(B$15=0,0,B17/B$15)</f>
        <v>0.46330275229357798</v>
      </c>
      <c r="E17" s="59" t="s">
        <v>162</v>
      </c>
      <c r="F17" s="56" t="s">
        <v>163</v>
      </c>
      <c r="G17" s="44">
        <v>4</v>
      </c>
      <c r="H17" s="129">
        <f>IF(B$15=0,0,G17/B$15)</f>
        <v>1.834862385321101E-2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117</v>
      </c>
      <c r="C18" s="37">
        <f>IF(B$15=0,0,B18/B$15)</f>
        <v>0.53669724770642202</v>
      </c>
      <c r="E18" s="59" t="s">
        <v>75</v>
      </c>
      <c r="F18" s="56" t="s">
        <v>30</v>
      </c>
      <c r="G18" s="44">
        <v>3</v>
      </c>
      <c r="H18" s="129">
        <f>IF(B$15=0,0,G18/B$15)</f>
        <v>1.3761467889908258E-2</v>
      </c>
      <c r="I18" s="90">
        <v>3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120</v>
      </c>
      <c r="C19" s="37">
        <f>IF(B$15=0,0,B19/B$15)</f>
        <v>0.55045871559633031</v>
      </c>
      <c r="E19" s="59" t="s">
        <v>81</v>
      </c>
      <c r="F19" s="56" t="s">
        <v>36</v>
      </c>
      <c r="G19" s="44">
        <v>3</v>
      </c>
      <c r="H19" s="129">
        <f>IF(B$15=0,0,G19/B$15)</f>
        <v>1.3761467889908258E-2</v>
      </c>
      <c r="I19" s="90">
        <v>9</v>
      </c>
      <c r="K19" s="36">
        <v>17</v>
      </c>
      <c r="L19" s="95">
        <v>-251.4</v>
      </c>
      <c r="N19" s="111" t="s">
        <v>171</v>
      </c>
      <c r="O19" s="121">
        <f>IF(P19=0,0,Q19/P19)</f>
        <v>-13.237499999999999</v>
      </c>
      <c r="P19" s="115">
        <v>24</v>
      </c>
      <c r="Q19" s="103">
        <v>-317.7</v>
      </c>
    </row>
    <row r="20" spans="1:17" x14ac:dyDescent="0.4">
      <c r="A20" s="51" t="s">
        <v>193</v>
      </c>
      <c r="B20" s="44">
        <v>66</v>
      </c>
      <c r="C20" s="37">
        <f>IF(B$15=0,0,B20/B$15)</f>
        <v>0.30275229357798167</v>
      </c>
      <c r="E20" s="59" t="s">
        <v>91</v>
      </c>
      <c r="F20" s="56" t="s">
        <v>46</v>
      </c>
      <c r="G20" s="44">
        <v>1</v>
      </c>
      <c r="H20" s="129">
        <f>IF(B$15=0,0,G20/B$15)</f>
        <v>4.5871559633027525E-3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>IF(P20=0,0,Q20/P20)</f>
        <v>-13.508771929824563</v>
      </c>
      <c r="P20" s="115">
        <v>57</v>
      </c>
      <c r="Q20" s="103">
        <v>-770.00000000000011</v>
      </c>
    </row>
    <row r="21" spans="1:17" x14ac:dyDescent="0.4">
      <c r="A21" s="51" t="s">
        <v>194</v>
      </c>
      <c r="B21" s="44">
        <v>32</v>
      </c>
      <c r="C21" s="37">
        <f>IF(B$15=0,0,B21/B$15)</f>
        <v>0.14678899082568808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">
      <c r="A22" s="51" t="s">
        <v>5</v>
      </c>
      <c r="B22" s="48">
        <f>IF(B$15=0,0,C22/B$15)</f>
        <v>7760.5504587155965</v>
      </c>
      <c r="C22" s="39">
        <v>1691800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8407.894736842105</v>
      </c>
      <c r="C23" s="137">
        <v>1278000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-7630.3448275862065</v>
      </c>
      <c r="C25" s="137">
        <v>-1106400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3.7688442211055275E-3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16</v>
      </c>
      <c r="C32" s="141">
        <f>IF(B$15=0,0,B32/B$15)</f>
        <v>7.3394495412844041E-2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2">IF(B$15=0,0,B33/B$15)</f>
        <v>0.17889908256880735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49</v>
      </c>
      <c r="C34" s="37">
        <f>IF(B$15=0,0,B34/B$15)</f>
        <v>0.22477064220183487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33</v>
      </c>
      <c r="C35" s="37">
        <f t="shared" si="2"/>
        <v>0.15137614678899083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36</v>
      </c>
      <c r="C36" s="37">
        <f t="shared" si="2"/>
        <v>0.16513761467889909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2"/>
        <v>0.10550458715596331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2"/>
        <v>5.9633027522935783E-2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5</v>
      </c>
      <c r="C39" s="37">
        <f t="shared" si="2"/>
        <v>2.2935779816513763E-2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2"/>
        <v>4.5871559633027525E-3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2"/>
        <v>4.5871559633027525E-3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2"/>
        <v>9.1743119266055051E-3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9F0E6-1389-495E-9EF9-0F857895D04F}">
  <sheetPr codeName="Sheet15"/>
  <dimension ref="A1:Q11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108</v>
      </c>
      <c r="C2" s="155"/>
      <c r="E2" s="58" t="s">
        <v>66</v>
      </c>
      <c r="F2" s="55" t="s">
        <v>22</v>
      </c>
      <c r="G2" s="43">
        <v>206</v>
      </c>
      <c r="H2" s="128">
        <f>IF(B$15=0,0,G2/B$15)</f>
        <v>0.84426229508196726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1200</v>
      </c>
      <c r="P2" s="114">
        <v>108</v>
      </c>
      <c r="Q2" s="98">
        <v>129600</v>
      </c>
    </row>
    <row r="3" spans="1:17" x14ac:dyDescent="0.4">
      <c r="A3" s="51" t="s">
        <v>8</v>
      </c>
      <c r="B3" s="156">
        <v>879</v>
      </c>
      <c r="C3" s="157"/>
      <c r="E3" s="59" t="s">
        <v>64</v>
      </c>
      <c r="F3" s="56" t="s">
        <v>20</v>
      </c>
      <c r="G3" s="44">
        <v>138</v>
      </c>
      <c r="H3" s="129">
        <f>IF(B$15=0,0,G3/B$15)</f>
        <v>0.56557377049180324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-1207.5471698113208</v>
      </c>
      <c r="P3" s="115">
        <v>106</v>
      </c>
      <c r="Q3" s="99">
        <v>-128000</v>
      </c>
    </row>
    <row r="4" spans="1:17" x14ac:dyDescent="0.4">
      <c r="A4" s="51" t="s">
        <v>6</v>
      </c>
      <c r="B4" s="158">
        <v>471.10000000000019</v>
      </c>
      <c r="C4" s="159"/>
      <c r="E4" s="59" t="s">
        <v>72</v>
      </c>
      <c r="F4" s="56" t="s">
        <v>27</v>
      </c>
      <c r="G4" s="44">
        <v>133</v>
      </c>
      <c r="H4" s="129">
        <f>IF(B$15=0,0,G4/B$15)</f>
        <v>0.54508196721311475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-156.70103092783506</v>
      </c>
      <c r="P4" s="115">
        <v>97</v>
      </c>
      <c r="Q4" s="99">
        <v>-15200</v>
      </c>
    </row>
    <row r="5" spans="1:17" x14ac:dyDescent="0.4">
      <c r="A5" s="51" t="s">
        <v>7</v>
      </c>
      <c r="B5" s="160">
        <f>IF(B$2=0,0,B$4/B$2)</f>
        <v>4.3620370370370392</v>
      </c>
      <c r="C5" s="161"/>
      <c r="E5" s="59" t="s">
        <v>67</v>
      </c>
      <c r="F5" s="56" t="s">
        <v>23</v>
      </c>
      <c r="G5" s="44">
        <v>107</v>
      </c>
      <c r="H5" s="129">
        <f>IF(B$15=0,0,G5/B$15)</f>
        <v>0.43852459016393441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2504.3010752688174</v>
      </c>
      <c r="P5" s="115">
        <v>93</v>
      </c>
      <c r="Q5" s="99">
        <v>232900</v>
      </c>
    </row>
    <row r="6" spans="1:17" x14ac:dyDescent="0.4">
      <c r="A6" s="51" t="s">
        <v>1</v>
      </c>
      <c r="B6" s="150">
        <f>IF(B$2=0,0,(B$7*1+B$8*2+B$9*3)/B$2)</f>
        <v>1.8981481481481481</v>
      </c>
      <c r="C6" s="151"/>
      <c r="E6" s="59" t="s">
        <v>68</v>
      </c>
      <c r="F6" s="56" t="s">
        <v>12</v>
      </c>
      <c r="G6" s="44">
        <v>98</v>
      </c>
      <c r="H6" s="129">
        <f>IF(B$15=0,0,G6/B$15)</f>
        <v>0.40163934426229508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864.28571428571433</v>
      </c>
      <c r="P6" s="115">
        <v>84</v>
      </c>
      <c r="Q6" s="99">
        <v>72600</v>
      </c>
    </row>
    <row r="7" spans="1:17" x14ac:dyDescent="0.4">
      <c r="A7" s="51" t="s">
        <v>2</v>
      </c>
      <c r="B7" s="44">
        <v>44</v>
      </c>
      <c r="C7" s="37">
        <f t="shared" ref="C7:C10" si="1">IF(B$2=0,0,B7/B$2)</f>
        <v>0.40740740740740738</v>
      </c>
      <c r="E7" s="59" t="s">
        <v>166</v>
      </c>
      <c r="F7" s="56" t="s">
        <v>167</v>
      </c>
      <c r="G7" s="44">
        <v>92</v>
      </c>
      <c r="H7" s="129">
        <f>IF(B$15=0,0,G7/B$15)</f>
        <v>0.37704918032786883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472.05882352941177</v>
      </c>
      <c r="P7" s="116">
        <v>68</v>
      </c>
      <c r="Q7" s="100">
        <v>32100</v>
      </c>
    </row>
    <row r="8" spans="1:17" x14ac:dyDescent="0.4">
      <c r="A8" s="51" t="s">
        <v>3</v>
      </c>
      <c r="B8" s="44">
        <v>31</v>
      </c>
      <c r="C8" s="37">
        <f t="shared" si="1"/>
        <v>0.28703703703703703</v>
      </c>
      <c r="E8" s="59" t="s">
        <v>89</v>
      </c>
      <c r="F8" s="56" t="s">
        <v>44</v>
      </c>
      <c r="G8" s="44">
        <v>57</v>
      </c>
      <c r="H8" s="129">
        <f>IF(B$15=0,0,G8/B$15)</f>
        <v>0.23360655737704919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0.30555555555555558</v>
      </c>
      <c r="E9" s="59" t="s">
        <v>69</v>
      </c>
      <c r="F9" s="56" t="s">
        <v>24</v>
      </c>
      <c r="G9" s="44">
        <v>51</v>
      </c>
      <c r="H9" s="129">
        <f>IF(B$15=0,0,G9/B$15)</f>
        <v>0.20901639344262296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</v>
      </c>
      <c r="C10" s="40">
        <f t="shared" si="1"/>
        <v>0.10185185185185185</v>
      </c>
      <c r="E10" s="59" t="s">
        <v>65</v>
      </c>
      <c r="F10" s="56" t="s">
        <v>21</v>
      </c>
      <c r="G10" s="44">
        <v>37</v>
      </c>
      <c r="H10" s="129">
        <f>IF(B$15=0,0,G10/B$15)</f>
        <v>0.15163934426229508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-0.913333333333333</v>
      </c>
      <c r="P10" s="114">
        <v>30</v>
      </c>
      <c r="Q10" s="102">
        <v>-27.399999999999991</v>
      </c>
    </row>
    <row r="11" spans="1:17" x14ac:dyDescent="0.4">
      <c r="A11" s="54" t="s">
        <v>121</v>
      </c>
      <c r="B11" s="47">
        <v>278</v>
      </c>
      <c r="C11" s="42">
        <f>IF(B$3=0,0,B11/B$3)</f>
        <v>0.31626848691695109</v>
      </c>
      <c r="E11" s="59" t="s">
        <v>70</v>
      </c>
      <c r="F11" s="56" t="s">
        <v>25</v>
      </c>
      <c r="G11" s="44">
        <v>26</v>
      </c>
      <c r="H11" s="129">
        <f>IF(B$15=0,0,G11/B$15)</f>
        <v>0.10655737704918032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8.1177777777777749</v>
      </c>
      <c r="P11" s="115">
        <v>45</v>
      </c>
      <c r="Q11" s="103">
        <v>365.2999999999999</v>
      </c>
    </row>
    <row r="12" spans="1:17" x14ac:dyDescent="0.4">
      <c r="A12" s="51" t="s">
        <v>118</v>
      </c>
      <c r="B12" s="44">
        <v>150</v>
      </c>
      <c r="C12" s="37">
        <f>IF(B$3=0,0,B12/B$3)</f>
        <v>0.17064846416382254</v>
      </c>
      <c r="E12" s="59" t="s">
        <v>162</v>
      </c>
      <c r="F12" s="56" t="s">
        <v>163</v>
      </c>
      <c r="G12" s="44">
        <v>16</v>
      </c>
      <c r="H12" s="129">
        <f>IF(B$15=0,0,G12/B$15)</f>
        <v>6.5573770491803282E-2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4.036363636363637</v>
      </c>
      <c r="P12" s="116">
        <v>33</v>
      </c>
      <c r="Q12" s="104">
        <v>133.20000000000002</v>
      </c>
    </row>
    <row r="13" spans="1:17" x14ac:dyDescent="0.4">
      <c r="A13" s="50" t="s">
        <v>123</v>
      </c>
      <c r="B13" s="43">
        <f>B19</f>
        <v>154</v>
      </c>
      <c r="C13" s="35">
        <f>IF(B$11=0,0,B13/B$11)</f>
        <v>0.5539568345323741</v>
      </c>
      <c r="E13" s="59" t="s">
        <v>71</v>
      </c>
      <c r="F13" s="56" t="s">
        <v>26</v>
      </c>
      <c r="G13" s="44">
        <v>14</v>
      </c>
      <c r="H13" s="129">
        <f>IF(B$15=0,0,G13/B$15)</f>
        <v>5.737704918032787E-2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56</v>
      </c>
      <c r="C14" s="35">
        <f>IF(B$12=0,0,B14/B$12)</f>
        <v>0.37333333333333335</v>
      </c>
      <c r="E14" s="59" t="s">
        <v>86</v>
      </c>
      <c r="F14" s="56" t="s">
        <v>41</v>
      </c>
      <c r="G14" s="44">
        <v>10</v>
      </c>
      <c r="H14" s="129">
        <f>IF(B$15=0,0,G14/B$15)</f>
        <v>4.0983606557377046E-2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244</v>
      </c>
      <c r="C15" s="35">
        <f>IF(B$3=0,0,B15/B$3)</f>
        <v>0.27758816837315131</v>
      </c>
      <c r="E15" s="59" t="s">
        <v>83</v>
      </c>
      <c r="F15" s="56" t="s">
        <v>38</v>
      </c>
      <c r="G15" s="44">
        <v>7</v>
      </c>
      <c r="H15" s="129">
        <f>IF(B$15=0,0,G15/B$15)</f>
        <v>2.8688524590163935E-2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153</v>
      </c>
      <c r="C16" s="37">
        <f>IF(B$3=0,0,B16/B$3)</f>
        <v>0.17406143344709898</v>
      </c>
      <c r="E16" s="59" t="s">
        <v>78</v>
      </c>
      <c r="F16" s="56" t="s">
        <v>33</v>
      </c>
      <c r="G16" s="44">
        <v>4</v>
      </c>
      <c r="H16" s="129">
        <f>IF(B$15=0,0,G16/B$15)</f>
        <v>1.6393442622950821E-2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 t="shared" si="2"/>
        <v>37.36</v>
      </c>
      <c r="P16" s="115">
        <v>20</v>
      </c>
      <c r="Q16" s="103">
        <v>747.19999999999993</v>
      </c>
    </row>
    <row r="17" spans="1:17" x14ac:dyDescent="0.4">
      <c r="A17" s="51" t="s">
        <v>12</v>
      </c>
      <c r="B17" s="44">
        <v>125</v>
      </c>
      <c r="C17" s="37">
        <f>IF(B$15=0,0,B17/B$15)</f>
        <v>0.51229508196721307</v>
      </c>
      <c r="E17" s="59" t="s">
        <v>81</v>
      </c>
      <c r="F17" s="56" t="s">
        <v>36</v>
      </c>
      <c r="G17" s="44">
        <v>4</v>
      </c>
      <c r="H17" s="129">
        <f>IF(B$15=0,0,G17/B$15)</f>
        <v>1.6393442622950821E-2</v>
      </c>
      <c r="I17" s="90">
        <v>7</v>
      </c>
      <c r="K17" s="36">
        <v>15</v>
      </c>
      <c r="L17" s="95">
        <v>-101.79999999999997</v>
      </c>
      <c r="N17" s="111" t="s">
        <v>171</v>
      </c>
      <c r="O17" s="121">
        <f t="shared" si="2"/>
        <v>10.089285714285714</v>
      </c>
      <c r="P17" s="115">
        <v>56</v>
      </c>
      <c r="Q17" s="103">
        <v>565</v>
      </c>
    </row>
    <row r="18" spans="1:17" x14ac:dyDescent="0.4">
      <c r="A18" s="51" t="s">
        <v>11</v>
      </c>
      <c r="B18" s="44">
        <v>119</v>
      </c>
      <c r="C18" s="37">
        <f>IF(B$15=0,0,B18/B$15)</f>
        <v>0.48770491803278687</v>
      </c>
      <c r="E18" s="59" t="s">
        <v>91</v>
      </c>
      <c r="F18" s="56" t="s">
        <v>46</v>
      </c>
      <c r="G18" s="44">
        <v>4</v>
      </c>
      <c r="H18" s="129">
        <f>IF(B$15=0,0,G18/B$15)</f>
        <v>1.6393442622950821E-2</v>
      </c>
      <c r="I18" s="90">
        <v>5</v>
      </c>
      <c r="K18" s="36">
        <v>16</v>
      </c>
      <c r="L18" s="95">
        <v>-63.099999999999966</v>
      </c>
      <c r="N18" s="111" t="s">
        <v>197</v>
      </c>
      <c r="O18" s="121">
        <f t="shared" si="2"/>
        <v>9.4086956521739165</v>
      </c>
      <c r="P18" s="115">
        <v>23</v>
      </c>
      <c r="Q18" s="103">
        <v>216.40000000000006</v>
      </c>
    </row>
    <row r="19" spans="1:17" x14ac:dyDescent="0.4">
      <c r="A19" s="51" t="s">
        <v>195</v>
      </c>
      <c r="B19" s="44">
        <v>154</v>
      </c>
      <c r="C19" s="37">
        <f>IF(B$15=0,0,B19/B$15)</f>
        <v>0.63114754098360659</v>
      </c>
      <c r="E19" s="59" t="s">
        <v>92</v>
      </c>
      <c r="F19" s="56" t="s">
        <v>47</v>
      </c>
      <c r="G19" s="44">
        <v>4</v>
      </c>
      <c r="H19" s="129">
        <f>IF(B$15=0,0,G19/B$15)</f>
        <v>1.6393442622950821E-2</v>
      </c>
      <c r="I19" s="90">
        <v>1</v>
      </c>
      <c r="K19" s="36">
        <v>17</v>
      </c>
      <c r="L19" s="95">
        <v>-55.799999999999969</v>
      </c>
      <c r="N19" s="111" t="s">
        <v>126</v>
      </c>
      <c r="O19" s="121">
        <f t="shared" si="2"/>
        <v>2.5707317073170706</v>
      </c>
      <c r="P19" s="115">
        <v>41</v>
      </c>
      <c r="Q19" s="103">
        <v>105.39999999999989</v>
      </c>
    </row>
    <row r="20" spans="1:17" x14ac:dyDescent="0.4">
      <c r="A20" s="51" t="s">
        <v>193</v>
      </c>
      <c r="B20" s="44">
        <v>56</v>
      </c>
      <c r="C20" s="37">
        <f>IF(B$15=0,0,B20/B$15)</f>
        <v>0.22950819672131148</v>
      </c>
      <c r="E20" s="59" t="s">
        <v>73</v>
      </c>
      <c r="F20" s="56" t="s">
        <v>28</v>
      </c>
      <c r="G20" s="44">
        <v>2</v>
      </c>
      <c r="H20" s="129">
        <f>IF(B$15=0,0,G20/B$15)</f>
        <v>8.1967213114754103E-3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 t="shared" si="2"/>
        <v>-0.66000000000000258</v>
      </c>
      <c r="P20" s="115">
        <v>40</v>
      </c>
      <c r="Q20" s="103">
        <v>-26.400000000000102</v>
      </c>
    </row>
    <row r="21" spans="1:17" x14ac:dyDescent="0.4">
      <c r="A21" s="51" t="s">
        <v>194</v>
      </c>
      <c r="B21" s="44">
        <v>34</v>
      </c>
      <c r="C21" s="37">
        <f>IF(B$15=0,0,B21/B$15)</f>
        <v>0.13934426229508196</v>
      </c>
      <c r="E21" s="59" t="s">
        <v>79</v>
      </c>
      <c r="F21" s="56" t="s">
        <v>34</v>
      </c>
      <c r="G21" s="44">
        <v>2</v>
      </c>
      <c r="H21" s="129">
        <f>IF(B$15=0,0,G21/B$15)</f>
        <v>8.1967213114754103E-3</v>
      </c>
      <c r="I21" s="90">
        <v>8</v>
      </c>
      <c r="K21" s="36">
        <v>19</v>
      </c>
      <c r="L21" s="95">
        <v>-27.799999999999969</v>
      </c>
      <c r="N21" s="111" t="s">
        <v>172</v>
      </c>
      <c r="O21" s="121">
        <f t="shared" si="2"/>
        <v>-2.5450000000000008</v>
      </c>
      <c r="P21" s="115">
        <v>20</v>
      </c>
      <c r="Q21" s="103">
        <v>-50.90000000000002</v>
      </c>
    </row>
    <row r="22" spans="1:17" x14ac:dyDescent="0.4">
      <c r="A22" s="51" t="s">
        <v>5</v>
      </c>
      <c r="B22" s="48">
        <f>IF(B$15=0,0,C22/B$15)</f>
        <v>10770.901639344262</v>
      </c>
      <c r="C22" s="39">
        <v>2628100</v>
      </c>
      <c r="E22" s="59" t="s">
        <v>84</v>
      </c>
      <c r="F22" s="56" t="s">
        <v>39</v>
      </c>
      <c r="G22" s="44">
        <v>2</v>
      </c>
      <c r="H22" s="129">
        <f>IF(B$15=0,0,G22/B$15)</f>
        <v>8.1967213114754103E-3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-14.099999999999998</v>
      </c>
      <c r="P22" s="115">
        <v>8</v>
      </c>
      <c r="Q22" s="103">
        <v>-112.79999999999998</v>
      </c>
    </row>
    <row r="23" spans="1:17" x14ac:dyDescent="0.4">
      <c r="A23" s="52" t="s">
        <v>177</v>
      </c>
      <c r="B23" s="136">
        <f>IF($B$15-B$14=0,0,C23/($B$15-B$14))</f>
        <v>11428.191489361701</v>
      </c>
      <c r="C23" s="137">
        <v>2148500</v>
      </c>
      <c r="E23" s="59" t="s">
        <v>90</v>
      </c>
      <c r="F23" s="56" t="s">
        <v>45</v>
      </c>
      <c r="G23" s="44">
        <v>2</v>
      </c>
      <c r="H23" s="129">
        <f>IF(B$15=0,0,G23/B$15)</f>
        <v>8.1967213114754103E-3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-25.316666666666666</v>
      </c>
      <c r="P23" s="115">
        <v>6</v>
      </c>
      <c r="Q23" s="103">
        <v>-151.9</v>
      </c>
    </row>
    <row r="24" spans="1:17" x14ac:dyDescent="0.4">
      <c r="A24" s="52" t="s">
        <v>178</v>
      </c>
      <c r="B24" s="136">
        <f>IF(B$14=0,0,C24/B$14)</f>
        <v>8564.2857142857138</v>
      </c>
      <c r="C24" s="137">
        <v>479600</v>
      </c>
      <c r="E24" s="59" t="s">
        <v>75</v>
      </c>
      <c r="F24" s="56" t="s">
        <v>30</v>
      </c>
      <c r="G24" s="44">
        <v>1</v>
      </c>
      <c r="H24" s="129">
        <f>IF(B$15=0,0,G24/B$15)</f>
        <v>4.0983606557377051E-3</v>
      </c>
      <c r="I24" s="90">
        <v>8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-8109.1503267973858</v>
      </c>
      <c r="C25" s="137">
        <v>-1240700</v>
      </c>
      <c r="E25" s="59" t="s">
        <v>77</v>
      </c>
      <c r="F25" s="56" t="s">
        <v>32</v>
      </c>
      <c r="G25" s="44">
        <v>1</v>
      </c>
      <c r="H25" s="129">
        <f>IF(B$15=0,0,G25/B$15)</f>
        <v>4.0983606557377051E-3</v>
      </c>
      <c r="I25" s="90">
        <v>3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1</v>
      </c>
      <c r="H26" s="129">
        <f>IF(B$15=0,0,G26/B$15)</f>
        <v>4.0983606557377051E-3</v>
      </c>
      <c r="I26" s="90">
        <v>6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5</v>
      </c>
      <c r="E27" s="59" t="s">
        <v>93</v>
      </c>
      <c r="F27" s="56" t="s">
        <v>48</v>
      </c>
      <c r="G27" s="44">
        <v>1</v>
      </c>
      <c r="H27" s="129">
        <f>IF(B$15=0,0,G27/B$15)</f>
        <v>4.0983606557377051E-3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4.0983606557377051E-3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1</v>
      </c>
      <c r="C30" s="40">
        <f>IF(B$3=0,0,B30/B$3)</f>
        <v>1.1376564277588168E-3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6</v>
      </c>
      <c r="C32" s="141">
        <f>IF(B$15=0,0,B32/B$15)</f>
        <v>2.4590163934426229E-2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20</v>
      </c>
      <c r="C33" s="37">
        <f t="shared" ref="C33:C44" si="3">IF(B$15=0,0,B33/B$15)</f>
        <v>8.1967213114754092E-2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31</v>
      </c>
      <c r="C34" s="37">
        <f>IF(B$15=0,0,B34/B$15)</f>
        <v>0.12704918032786885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48</v>
      </c>
      <c r="C35" s="37">
        <f t="shared" si="3"/>
        <v>0.19672131147540983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57</v>
      </c>
      <c r="C36" s="37">
        <f t="shared" si="3"/>
        <v>0.23360655737704919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28</v>
      </c>
      <c r="C37" s="37">
        <f t="shared" si="3"/>
        <v>0.11475409836065574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21</v>
      </c>
      <c r="C38" s="37">
        <f t="shared" si="3"/>
        <v>8.6065573770491802E-2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16</v>
      </c>
      <c r="C39" s="37">
        <f t="shared" si="3"/>
        <v>6.5573770491803282E-2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3"/>
        <v>2.4590163934426229E-2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3"/>
        <v>8.1967213114754103E-3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3"/>
        <v>8.1967213114754103E-3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3"/>
        <v>4.0983606557377051E-3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6</v>
      </c>
      <c r="C44" s="40">
        <f t="shared" si="3"/>
        <v>2.4590163934426229E-2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</sheetData>
  <sortState xmlns:xlrd2="http://schemas.microsoft.com/office/spreadsheetml/2017/richdata2" ref="E2:I11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4B0E-A78D-4FF4-827C-9556D21463F6}">
  <sheetPr codeName="Sheet17"/>
  <dimension ref="A1:Q12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123</v>
      </c>
      <c r="C2" s="155"/>
      <c r="E2" s="58" t="s">
        <v>66</v>
      </c>
      <c r="F2" s="55" t="s">
        <v>22</v>
      </c>
      <c r="G2" s="43">
        <v>210</v>
      </c>
      <c r="H2" s="128">
        <f>IF(B$15=0,0,G2/B$15)</f>
        <v>0.74204946996466437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35.772357723577237</v>
      </c>
      <c r="P2" s="114">
        <v>123</v>
      </c>
      <c r="Q2" s="98">
        <v>4400</v>
      </c>
    </row>
    <row r="3" spans="1:17" x14ac:dyDescent="0.4">
      <c r="A3" s="51" t="s">
        <v>8</v>
      </c>
      <c r="B3" s="156">
        <v>1002</v>
      </c>
      <c r="C3" s="157"/>
      <c r="E3" s="59" t="s">
        <v>72</v>
      </c>
      <c r="F3" s="56" t="s">
        <v>27</v>
      </c>
      <c r="G3" s="44">
        <v>159</v>
      </c>
      <c r="H3" s="129">
        <f>IF(B$15=0,0,G3/B$15)</f>
        <v>0.56183745583038869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236.66666666666666</v>
      </c>
      <c r="P3" s="115">
        <v>120</v>
      </c>
      <c r="Q3" s="99">
        <v>28400</v>
      </c>
    </row>
    <row r="4" spans="1:17" x14ac:dyDescent="0.4">
      <c r="A4" s="51" t="s">
        <v>6</v>
      </c>
      <c r="B4" s="158">
        <v>-36.999999999999986</v>
      </c>
      <c r="C4" s="159"/>
      <c r="E4" s="59" t="s">
        <v>64</v>
      </c>
      <c r="F4" s="56" t="s">
        <v>20</v>
      </c>
      <c r="G4" s="44">
        <v>143</v>
      </c>
      <c r="H4" s="129">
        <f>IF(B$15=0,0,G4/B$15)</f>
        <v>0.5053003533568905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420.17543859649123</v>
      </c>
      <c r="P4" s="115">
        <v>114</v>
      </c>
      <c r="Q4" s="99">
        <v>47900</v>
      </c>
    </row>
    <row r="5" spans="1:17" x14ac:dyDescent="0.4">
      <c r="A5" s="51" t="s">
        <v>7</v>
      </c>
      <c r="B5" s="160">
        <f>IF(B$2=0,0,B$4/B$2)</f>
        <v>-0.30081300813008116</v>
      </c>
      <c r="C5" s="161"/>
      <c r="E5" s="59" t="s">
        <v>166</v>
      </c>
      <c r="F5" s="56" t="s">
        <v>167</v>
      </c>
      <c r="G5" s="44">
        <v>123</v>
      </c>
      <c r="H5" s="129">
        <f>IF(B$15=0,0,G5/B$15)</f>
        <v>0.43462897526501765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163.8095238095238</v>
      </c>
      <c r="P5" s="115">
        <v>105</v>
      </c>
      <c r="Q5" s="99">
        <v>17200</v>
      </c>
    </row>
    <row r="6" spans="1:17" x14ac:dyDescent="0.4">
      <c r="A6" s="51" t="s">
        <v>1</v>
      </c>
      <c r="B6" s="150">
        <f>IF(B$2=0,0,(B$7*1+B$8*2+B$9*3)/B$2)</f>
        <v>2.0569105691056913</v>
      </c>
      <c r="C6" s="151"/>
      <c r="E6" s="59" t="s">
        <v>67</v>
      </c>
      <c r="F6" s="56" t="s">
        <v>23</v>
      </c>
      <c r="G6" s="44">
        <v>100</v>
      </c>
      <c r="H6" s="129">
        <f>IF(B$15=0,0,G6/B$15)</f>
        <v>0.35335689045936397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-112.76595744680851</v>
      </c>
      <c r="P6" s="115">
        <v>94</v>
      </c>
      <c r="Q6" s="99">
        <v>-10600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0.24390243902439024</v>
      </c>
      <c r="E7" s="59" t="s">
        <v>68</v>
      </c>
      <c r="F7" s="56" t="s">
        <v>12</v>
      </c>
      <c r="G7" s="44">
        <v>91</v>
      </c>
      <c r="H7" s="129">
        <f>IF(B$15=0,0,G7/B$15)</f>
        <v>0.32155477031802121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-1169.5121951219512</v>
      </c>
      <c r="P7" s="116">
        <v>82</v>
      </c>
      <c r="Q7" s="100">
        <v>-95900</v>
      </c>
    </row>
    <row r="8" spans="1:17" x14ac:dyDescent="0.4">
      <c r="A8" s="51" t="s">
        <v>3</v>
      </c>
      <c r="B8" s="44">
        <v>56</v>
      </c>
      <c r="C8" s="37">
        <f t="shared" si="1"/>
        <v>0.45528455284552843</v>
      </c>
      <c r="E8" s="59" t="s">
        <v>69</v>
      </c>
      <c r="F8" s="56" t="s">
        <v>24</v>
      </c>
      <c r="G8" s="44">
        <v>38</v>
      </c>
      <c r="H8" s="129">
        <f>IF(B$15=0,0,G8/B$15)</f>
        <v>0.13427561837455831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0.30081300813008133</v>
      </c>
      <c r="E9" s="59" t="s">
        <v>89</v>
      </c>
      <c r="F9" s="56" t="s">
        <v>44</v>
      </c>
      <c r="G9" s="44">
        <v>35</v>
      </c>
      <c r="H9" s="129">
        <f>IF(B$15=0,0,G9/B$15)</f>
        <v>0.12367491166077739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6.5040650406504072E-2</v>
      </c>
      <c r="E10" s="59" t="s">
        <v>71</v>
      </c>
      <c r="F10" s="56" t="s">
        <v>26</v>
      </c>
      <c r="G10" s="44">
        <v>27</v>
      </c>
      <c r="H10" s="129">
        <f>IF(B$15=0,0,G10/B$15)</f>
        <v>9.5406360424028266E-2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-1.0882352941176474</v>
      </c>
      <c r="P10" s="114">
        <v>51</v>
      </c>
      <c r="Q10" s="102">
        <v>-55.500000000000014</v>
      </c>
    </row>
    <row r="11" spans="1:17" x14ac:dyDescent="0.4">
      <c r="A11" s="54" t="s">
        <v>121</v>
      </c>
      <c r="B11" s="47">
        <v>271</v>
      </c>
      <c r="C11" s="42">
        <f>IF(B$3=0,0,B11/B$3)</f>
        <v>0.27045908183632733</v>
      </c>
      <c r="E11" s="59" t="s">
        <v>65</v>
      </c>
      <c r="F11" s="56" t="s">
        <v>21</v>
      </c>
      <c r="G11" s="44">
        <v>24</v>
      </c>
      <c r="H11" s="129">
        <f>IF(B$15=0,0,G11/B$15)</f>
        <v>8.4805653710247356E-2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2.022222222222223</v>
      </c>
      <c r="P11" s="115">
        <v>36</v>
      </c>
      <c r="Q11" s="103">
        <v>72.800000000000026</v>
      </c>
    </row>
    <row r="12" spans="1:17" x14ac:dyDescent="0.4">
      <c r="A12" s="51" t="s">
        <v>118</v>
      </c>
      <c r="B12" s="44">
        <v>220</v>
      </c>
      <c r="C12" s="37">
        <f>IF(B$3=0,0,B12/B$3)</f>
        <v>0.21956087824351297</v>
      </c>
      <c r="E12" s="59" t="s">
        <v>70</v>
      </c>
      <c r="F12" s="56" t="s">
        <v>25</v>
      </c>
      <c r="G12" s="44">
        <v>22</v>
      </c>
      <c r="H12" s="129">
        <f>IF(B$15=0,0,G12/B$15)</f>
        <v>7.7738515901060068E-2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">
      <c r="A13" s="50" t="s">
        <v>123</v>
      </c>
      <c r="B13" s="43">
        <f>B19</f>
        <v>149</v>
      </c>
      <c r="C13" s="35">
        <f>IF(B$11=0,0,B13/B$11)</f>
        <v>0.54981549815498154</v>
      </c>
      <c r="E13" s="59" t="s">
        <v>86</v>
      </c>
      <c r="F13" s="56" t="s">
        <v>41</v>
      </c>
      <c r="G13" s="44">
        <v>14</v>
      </c>
      <c r="H13" s="129">
        <f>IF(B$15=0,0,G13/B$15)</f>
        <v>4.9469964664310952E-2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96</v>
      </c>
      <c r="C14" s="35">
        <f>IF(B$12=0,0,B14/B$12)</f>
        <v>0.43636363636363634</v>
      </c>
      <c r="E14" s="59" t="s">
        <v>83</v>
      </c>
      <c r="F14" s="56" t="s">
        <v>38</v>
      </c>
      <c r="G14" s="44">
        <v>12</v>
      </c>
      <c r="H14" s="129">
        <f>IF(B$15=0,0,G14/B$15)</f>
        <v>4.2402826855123678E-2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283</v>
      </c>
      <c r="C15" s="35">
        <f>IF(B$3=0,0,B15/B$3)</f>
        <v>0.28243512974051899</v>
      </c>
      <c r="E15" s="59" t="s">
        <v>79</v>
      </c>
      <c r="F15" s="56" t="s">
        <v>34</v>
      </c>
      <c r="G15" s="44">
        <v>7</v>
      </c>
      <c r="H15" s="129">
        <f>IF(B$15=0,0,G15/B$15)</f>
        <v>2.4734982332155476E-2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137</v>
      </c>
      <c r="C16" s="37">
        <f>IF(B$3=0,0,B16/B$3)</f>
        <v>0.13672654690618763</v>
      </c>
      <c r="E16" s="59" t="s">
        <v>162</v>
      </c>
      <c r="F16" s="56" t="s">
        <v>163</v>
      </c>
      <c r="G16" s="44">
        <v>6</v>
      </c>
      <c r="H16" s="129">
        <f>IF(B$15=0,0,G16/B$15)</f>
        <v>2.1201413427561839E-2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126</v>
      </c>
      <c r="C17" s="37">
        <f>IF(B$15=0,0,B17/B$15)</f>
        <v>0.44522968197879859</v>
      </c>
      <c r="E17" s="59" t="s">
        <v>73</v>
      </c>
      <c r="F17" s="56" t="s">
        <v>28</v>
      </c>
      <c r="G17" s="44">
        <v>5</v>
      </c>
      <c r="H17" s="129">
        <f>IF(B$15=0,0,G17/B$15)</f>
        <v>1.7667844522968199E-2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23.608333333333331</v>
      </c>
      <c r="P17" s="115">
        <v>24</v>
      </c>
      <c r="Q17" s="103">
        <v>566.59999999999991</v>
      </c>
    </row>
    <row r="18" spans="1:17" x14ac:dyDescent="0.4">
      <c r="A18" s="51" t="s">
        <v>11</v>
      </c>
      <c r="B18" s="44">
        <v>157</v>
      </c>
      <c r="C18" s="37">
        <f>IF(B$15=0,0,B18/B$15)</f>
        <v>0.55477031802120136</v>
      </c>
      <c r="E18" s="59" t="s">
        <v>81</v>
      </c>
      <c r="F18" s="56" t="s">
        <v>36</v>
      </c>
      <c r="G18" s="44">
        <v>5</v>
      </c>
      <c r="H18" s="129">
        <f>IF(B$15=0,0,G18/B$15)</f>
        <v>1.7667844522968199E-2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">
      <c r="A19" s="51" t="s">
        <v>195</v>
      </c>
      <c r="B19" s="44">
        <v>149</v>
      </c>
      <c r="C19" s="37">
        <f>IF(B$15=0,0,B19/B$15)</f>
        <v>0.52650176678445226</v>
      </c>
      <c r="E19" s="59" t="s">
        <v>78</v>
      </c>
      <c r="F19" s="56" t="s">
        <v>33</v>
      </c>
      <c r="G19" s="44">
        <v>3</v>
      </c>
      <c r="H19" s="129">
        <f>IF(B$15=0,0,G19/B$15)</f>
        <v>1.0600706713780919E-2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96</v>
      </c>
      <c r="C20" s="37">
        <f>IF(B$15=0,0,B20/B$15)</f>
        <v>0.33922261484098942</v>
      </c>
      <c r="E20" s="59" t="s">
        <v>85</v>
      </c>
      <c r="F20" s="56" t="s">
        <v>40</v>
      </c>
      <c r="G20" s="44">
        <v>3</v>
      </c>
      <c r="H20" s="129">
        <f>IF(B$15=0,0,G20/B$15)</f>
        <v>1.0600706713780919E-2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38</v>
      </c>
      <c r="C21" s="37">
        <f>IF(B$15=0,0,B21/B$15)</f>
        <v>0.13427561837455831</v>
      </c>
      <c r="E21" s="59" t="s">
        <v>91</v>
      </c>
      <c r="F21" s="56" t="s">
        <v>46</v>
      </c>
      <c r="G21" s="44">
        <v>2</v>
      </c>
      <c r="H21" s="129">
        <f>IF(B$15=0,0,G21/B$15)</f>
        <v>7.0671378091872791E-3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1.1651162790697678</v>
      </c>
      <c r="P21" s="115">
        <v>43</v>
      </c>
      <c r="Q21" s="103">
        <v>50.100000000000016</v>
      </c>
    </row>
    <row r="22" spans="1:17" x14ac:dyDescent="0.4">
      <c r="A22" s="51" t="s">
        <v>5</v>
      </c>
      <c r="B22" s="48">
        <f>IF(B$15=0,0,C22/B$15)</f>
        <v>8295.4063604240291</v>
      </c>
      <c r="C22" s="39">
        <v>2347600</v>
      </c>
      <c r="E22" s="59" t="s">
        <v>74</v>
      </c>
      <c r="F22" s="56" t="s">
        <v>29</v>
      </c>
      <c r="G22" s="44">
        <v>1</v>
      </c>
      <c r="H22" s="129">
        <f>IF(B$15=0,0,G22/B$15)</f>
        <v>3.5335689045936395E-3</v>
      </c>
      <c r="I22" s="90">
        <v>6</v>
      </c>
      <c r="K22" s="36">
        <v>20</v>
      </c>
      <c r="L22" s="95">
        <v>-93.199999999999989</v>
      </c>
      <c r="N22" s="111" t="s">
        <v>161</v>
      </c>
      <c r="O22" s="121">
        <f t="shared" si="2"/>
        <v>-0.36428571428571388</v>
      </c>
      <c r="P22" s="115">
        <v>28</v>
      </c>
      <c r="Q22" s="103">
        <v>-10.199999999999989</v>
      </c>
    </row>
    <row r="23" spans="1:17" x14ac:dyDescent="0.4">
      <c r="A23" s="52" t="s">
        <v>177</v>
      </c>
      <c r="B23" s="136">
        <f>IF($B$15-B$14=0,0,C23/($B$15-B$14))</f>
        <v>9112.2994652406414</v>
      </c>
      <c r="C23" s="137">
        <v>1704000</v>
      </c>
      <c r="E23" s="59" t="s">
        <v>75</v>
      </c>
      <c r="F23" s="56" t="s">
        <v>30</v>
      </c>
      <c r="G23" s="44">
        <v>1</v>
      </c>
      <c r="H23" s="129">
        <f>IF(B$15=0,0,G23/B$15)</f>
        <v>3.5335689045936395E-3</v>
      </c>
      <c r="I23" s="90">
        <v>9</v>
      </c>
      <c r="K23" s="36">
        <v>21</v>
      </c>
      <c r="L23" s="95">
        <v>-123.69999999999999</v>
      </c>
      <c r="N23" s="111" t="s">
        <v>170</v>
      </c>
      <c r="O23" s="121">
        <f t="shared" si="2"/>
        <v>-10.089285714285714</v>
      </c>
      <c r="P23" s="115">
        <v>56</v>
      </c>
      <c r="Q23" s="103">
        <v>-565</v>
      </c>
    </row>
    <row r="24" spans="1:17" x14ac:dyDescent="0.4">
      <c r="A24" s="52" t="s">
        <v>178</v>
      </c>
      <c r="B24" s="136">
        <f>IF(B$14=0,0,C24/B$14)</f>
        <v>6704.166666666667</v>
      </c>
      <c r="C24" s="137">
        <v>643600</v>
      </c>
      <c r="E24" s="59" t="s">
        <v>87</v>
      </c>
      <c r="F24" s="56" t="s">
        <v>42</v>
      </c>
      <c r="G24" s="44">
        <v>1</v>
      </c>
      <c r="H24" s="129">
        <f>IF(B$15=0,0,G24/B$15)</f>
        <v>3.5335689045936395E-3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-12.944642857142856</v>
      </c>
      <c r="P24" s="115">
        <v>56</v>
      </c>
      <c r="Q24" s="103">
        <v>-724.9</v>
      </c>
    </row>
    <row r="25" spans="1:17" x14ac:dyDescent="0.4">
      <c r="A25" s="52" t="s">
        <v>176</v>
      </c>
      <c r="B25" s="136">
        <f>IF(B$16=0,0,C25/B$16)</f>
        <v>-7233.5766423357663</v>
      </c>
      <c r="C25" s="137">
        <v>-991000</v>
      </c>
      <c r="E25" s="59" t="s">
        <v>88</v>
      </c>
      <c r="F25" s="56" t="s">
        <v>43</v>
      </c>
      <c r="G25" s="44">
        <v>1</v>
      </c>
      <c r="H25" s="129">
        <f>IF(B$15=0,0,G25/B$15)</f>
        <v>3.5335689045936395E-3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3.5335689045936395E-3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3.5335689045936395E-3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1.996007984031936E-3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18</v>
      </c>
      <c r="C32" s="141">
        <f>IF(B$15=0,0,B32/B$15)</f>
        <v>6.3604240282685506E-2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50</v>
      </c>
      <c r="C33" s="37">
        <f t="shared" ref="C33:C44" si="3">IF(B$15=0,0,B33/B$15)</f>
        <v>0.17667844522968199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60</v>
      </c>
      <c r="C34" s="37">
        <f>IF(B$15=0,0,B34/B$15)</f>
        <v>0.21201413427561838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52</v>
      </c>
      <c r="C35" s="37">
        <f t="shared" si="3"/>
        <v>0.18374558303886926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40</v>
      </c>
      <c r="C36" s="37">
        <f t="shared" si="3"/>
        <v>0.14134275618374559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32</v>
      </c>
      <c r="C37" s="37">
        <f t="shared" si="3"/>
        <v>0.11307420494699646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14</v>
      </c>
      <c r="C38" s="37">
        <f t="shared" si="3"/>
        <v>4.9469964664310952E-2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3"/>
        <v>2.4734982332155476E-2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3"/>
        <v>1.0600706713780919E-2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3"/>
        <v>7.0671378091872791E-3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3"/>
        <v>3.5335689045936395E-3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3"/>
        <v>7.0671378091872791E-3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2</v>
      </c>
      <c r="C44" s="40">
        <f t="shared" si="3"/>
        <v>7.0671378091872791E-3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</sheetData>
  <sortState xmlns:xlrd2="http://schemas.microsoft.com/office/spreadsheetml/2017/richdata2" ref="E2:I12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EDC5A-7479-49E9-BC5A-989A22B75B8D}">
  <sheetPr codeName="Sheet19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55</v>
      </c>
      <c r="C2" s="155"/>
      <c r="E2" s="58" t="s">
        <v>72</v>
      </c>
      <c r="F2" s="55" t="s">
        <v>27</v>
      </c>
      <c r="G2" s="43">
        <v>75</v>
      </c>
      <c r="H2" s="128">
        <f>IF(B$15=0,0,G2/B$15)</f>
        <v>0.64102564102564108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-2096.3636363636365</v>
      </c>
      <c r="P2" s="114">
        <v>55</v>
      </c>
      <c r="Q2" s="98">
        <v>-115300</v>
      </c>
    </row>
    <row r="3" spans="1:17" x14ac:dyDescent="0.4">
      <c r="A3" s="51" t="s">
        <v>8</v>
      </c>
      <c r="B3" s="156">
        <v>453</v>
      </c>
      <c r="C3" s="157"/>
      <c r="E3" s="59" t="s">
        <v>66</v>
      </c>
      <c r="F3" s="56" t="s">
        <v>22</v>
      </c>
      <c r="G3" s="44">
        <v>74</v>
      </c>
      <c r="H3" s="129">
        <f>IF(B$15=0,0,G3/B$15)</f>
        <v>0.63247863247863245</v>
      </c>
      <c r="I3" s="90">
        <v>11</v>
      </c>
      <c r="K3" s="36">
        <v>1</v>
      </c>
      <c r="L3" s="95">
        <v>-12</v>
      </c>
      <c r="N3" s="111" t="s">
        <v>131</v>
      </c>
      <c r="O3" s="118">
        <f t="shared" si="0"/>
        <v>-261.81818181818181</v>
      </c>
      <c r="P3" s="115">
        <v>55</v>
      </c>
      <c r="Q3" s="99">
        <v>-14400</v>
      </c>
    </row>
    <row r="4" spans="1:17" x14ac:dyDescent="0.4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51</v>
      </c>
      <c r="H4" s="129">
        <f>IF(B$15=0,0,G4/B$15)</f>
        <v>0.4358974358974359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-1358.4905660377358</v>
      </c>
      <c r="P4" s="115">
        <v>53</v>
      </c>
      <c r="Q4" s="99">
        <v>-72000</v>
      </c>
    </row>
    <row r="5" spans="1:17" x14ac:dyDescent="0.4">
      <c r="A5" s="51" t="s">
        <v>7</v>
      </c>
      <c r="B5" s="160">
        <f>IF(B$2=0,0,B$4/B$2)</f>
        <v>-11.389090909090909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0.35897435897435898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-2133.3333333333335</v>
      </c>
      <c r="P5" s="115">
        <v>48</v>
      </c>
      <c r="Q5" s="99">
        <v>-102400</v>
      </c>
    </row>
    <row r="6" spans="1:17" x14ac:dyDescent="0.4">
      <c r="A6" s="51" t="s">
        <v>1</v>
      </c>
      <c r="B6" s="150">
        <f>IF(B$2=0,0,(B$7*1+B$8*2+B$9*3)/B$2)</f>
        <v>2.290909090909091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0.24786324786324787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-1854.3478260869565</v>
      </c>
      <c r="P6" s="115">
        <v>46</v>
      </c>
      <c r="Q6" s="99">
        <v>-85300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0.18181818181818182</v>
      </c>
      <c r="E7" s="59" t="s">
        <v>68</v>
      </c>
      <c r="F7" s="56" t="s">
        <v>12</v>
      </c>
      <c r="G7" s="44">
        <v>29</v>
      </c>
      <c r="H7" s="129">
        <f>IF(B$15=0,0,G7/B$15)</f>
        <v>0.24786324786324787</v>
      </c>
      <c r="I7" s="90">
        <v>13</v>
      </c>
      <c r="K7" s="36">
        <v>5</v>
      </c>
      <c r="L7" s="95">
        <v>-124.3</v>
      </c>
      <c r="N7" s="112" t="s">
        <v>135</v>
      </c>
      <c r="O7" s="119">
        <f t="shared" si="0"/>
        <v>-1846.1538461538462</v>
      </c>
      <c r="P7" s="116">
        <v>39</v>
      </c>
      <c r="Q7" s="100">
        <v>-72000</v>
      </c>
    </row>
    <row r="8" spans="1:17" x14ac:dyDescent="0.4">
      <c r="A8" s="51" t="s">
        <v>3</v>
      </c>
      <c r="B8" s="44">
        <v>19</v>
      </c>
      <c r="C8" s="37">
        <f t="shared" si="1"/>
        <v>0.34545454545454546</v>
      </c>
      <c r="E8" s="59" t="s">
        <v>89</v>
      </c>
      <c r="F8" s="56" t="s">
        <v>44</v>
      </c>
      <c r="G8" s="44">
        <v>18</v>
      </c>
      <c r="H8" s="129">
        <f>IF(B$15=0,0,G8/B$15)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0.47272727272727272</v>
      </c>
      <c r="E9" s="59" t="s">
        <v>65</v>
      </c>
      <c r="F9" s="56" t="s">
        <v>21</v>
      </c>
      <c r="G9" s="44">
        <v>14</v>
      </c>
      <c r="H9" s="129">
        <f>IF(B$15=0,0,G9/B$15)</f>
        <v>0.11965811965811966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0.18181818181818182</v>
      </c>
      <c r="E10" s="59" t="s">
        <v>70</v>
      </c>
      <c r="F10" s="56" t="s">
        <v>25</v>
      </c>
      <c r="G10" s="44">
        <v>12</v>
      </c>
      <c r="H10" s="129">
        <f>IF(B$15=0,0,G10/B$15)</f>
        <v>0.10256410256410256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">
      <c r="A11" s="54" t="s">
        <v>121</v>
      </c>
      <c r="B11" s="47">
        <v>98</v>
      </c>
      <c r="C11" s="42">
        <f>IF(B$3=0,0,B11/B$3)</f>
        <v>0.21633554083885209</v>
      </c>
      <c r="E11" s="59" t="s">
        <v>71</v>
      </c>
      <c r="F11" s="56" t="s">
        <v>26</v>
      </c>
      <c r="G11" s="44">
        <v>11</v>
      </c>
      <c r="H11" s="129">
        <f>IF(B$15=0,0,G11/B$15)</f>
        <v>9.4017094017094016E-2</v>
      </c>
      <c r="I11" s="90">
        <v>7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">
      <c r="A12" s="51" t="s">
        <v>118</v>
      </c>
      <c r="B12" s="44">
        <v>104</v>
      </c>
      <c r="C12" s="37">
        <f>IF(B$3=0,0,B12/B$3)</f>
        <v>0.22958057395143489</v>
      </c>
      <c r="E12" s="59" t="s">
        <v>69</v>
      </c>
      <c r="F12" s="56" t="s">
        <v>24</v>
      </c>
      <c r="G12" s="44">
        <v>9</v>
      </c>
      <c r="H12" s="129">
        <f>IF(B$15=0,0,G12/B$15)</f>
        <v>7.6923076923076927E-2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">
      <c r="A13" s="50" t="s">
        <v>123</v>
      </c>
      <c r="B13" s="43">
        <f>B19</f>
        <v>53</v>
      </c>
      <c r="C13" s="35">
        <f>IF(B$11=0,0,B13/B$11)</f>
        <v>0.54081632653061229</v>
      </c>
      <c r="E13" s="59" t="s">
        <v>83</v>
      </c>
      <c r="F13" s="56" t="s">
        <v>38</v>
      </c>
      <c r="G13" s="44">
        <v>8</v>
      </c>
      <c r="H13" s="129">
        <f>IF(B$15=0,0,G13/B$15)</f>
        <v>6.8376068376068383E-2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44</v>
      </c>
      <c r="C14" s="35">
        <f>IF(B$12=0,0,B14/B$12)</f>
        <v>0.42307692307692307</v>
      </c>
      <c r="E14" s="59" t="s">
        <v>86</v>
      </c>
      <c r="F14" s="56" t="s">
        <v>41</v>
      </c>
      <c r="G14" s="44">
        <v>8</v>
      </c>
      <c r="H14" s="129">
        <f>IF(B$15=0,0,G14/B$15)</f>
        <v>6.8376068376068383E-2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117</v>
      </c>
      <c r="C15" s="35">
        <f>IF(B$3=0,0,B15/B$3)</f>
        <v>0.25827814569536423</v>
      </c>
      <c r="E15" s="59" t="s">
        <v>81</v>
      </c>
      <c r="F15" s="56" t="s">
        <v>36</v>
      </c>
      <c r="G15" s="44">
        <v>3</v>
      </c>
      <c r="H15" s="129">
        <f>IF(B$15=0,0,G15/B$15)</f>
        <v>2.564102564102564E-2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11.526666666666662</v>
      </c>
      <c r="P15" s="114">
        <v>15</v>
      </c>
      <c r="Q15" s="102">
        <v>172.89999999999992</v>
      </c>
    </row>
    <row r="16" spans="1:17" x14ac:dyDescent="0.4">
      <c r="A16" s="51" t="s">
        <v>13</v>
      </c>
      <c r="B16" s="44">
        <v>82</v>
      </c>
      <c r="C16" s="37">
        <f>IF(B$3=0,0,B16/B$3)</f>
        <v>0.18101545253863136</v>
      </c>
      <c r="E16" s="59" t="s">
        <v>91</v>
      </c>
      <c r="F16" s="56" t="s">
        <v>46</v>
      </c>
      <c r="G16" s="44">
        <v>2</v>
      </c>
      <c r="H16" s="129">
        <f>IF(B$15=0,0,G16/B$15)</f>
        <v>1.7094017094017096E-2</v>
      </c>
      <c r="I16" s="90">
        <v>3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52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8.5470085470085479E-3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">
      <c r="A18" s="51" t="s">
        <v>11</v>
      </c>
      <c r="B18" s="44">
        <v>65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8.5470085470085479E-3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53</v>
      </c>
      <c r="C19" s="37">
        <f>IF(B$15=0,0,B19/B$15)</f>
        <v>0.45299145299145299</v>
      </c>
      <c r="E19" s="59" t="s">
        <v>92</v>
      </c>
      <c r="F19" s="56" t="s">
        <v>47</v>
      </c>
      <c r="G19" s="44">
        <v>1</v>
      </c>
      <c r="H19" s="129">
        <f>IF(B$15=0,0,G19/B$15)</f>
        <v>8.5470085470085479E-3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44</v>
      </c>
      <c r="C20" s="37">
        <f>IF(B$15=0,0,B20/B$15)</f>
        <v>0.37606837606837606</v>
      </c>
      <c r="E20" s="59" t="s">
        <v>95</v>
      </c>
      <c r="F20" s="56" t="s">
        <v>50</v>
      </c>
      <c r="G20" s="44">
        <v>1</v>
      </c>
      <c r="H20" s="129">
        <f>IF(B$15=0,0,G20/B$15)</f>
        <v>8.5470085470085479E-3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194</v>
      </c>
      <c r="B21" s="44">
        <v>20</v>
      </c>
      <c r="C21" s="37">
        <f>IF(B$15=0,0,B21/B$15)</f>
        <v>0.17094017094017094</v>
      </c>
      <c r="E21" s="59" t="s">
        <v>162</v>
      </c>
      <c r="F21" s="56" t="s">
        <v>163</v>
      </c>
      <c r="G21" s="44">
        <v>1</v>
      </c>
      <c r="H21" s="129">
        <f>IF(B$15=0,0,G21/B$15)</f>
        <v>8.5470085470085479E-3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 t="shared" si="2"/>
        <v>-23.608333333333331</v>
      </c>
      <c r="P21" s="115">
        <v>24</v>
      </c>
      <c r="Q21" s="103">
        <v>-566.59999999999991</v>
      </c>
    </row>
    <row r="22" spans="1:17" x14ac:dyDescent="0.4">
      <c r="A22" s="51" t="s">
        <v>5</v>
      </c>
      <c r="B22" s="48">
        <f>IF(B$15=0,0,C22/B$15)</f>
        <v>7968.3760683760684</v>
      </c>
      <c r="C22" s="39">
        <v>932300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8380.82191780822</v>
      </c>
      <c r="C23" s="137">
        <v>611800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-27.288235294117648</v>
      </c>
      <c r="P23" s="115">
        <v>17</v>
      </c>
      <c r="Q23" s="103">
        <v>-463.90000000000003</v>
      </c>
    </row>
    <row r="24" spans="1:17" x14ac:dyDescent="0.4">
      <c r="A24" s="52" t="s">
        <v>178</v>
      </c>
      <c r="B24" s="136">
        <f>IF(B$14=0,0,C24/B$14)</f>
        <v>7284.090909090909</v>
      </c>
      <c r="C24" s="137">
        <v>320500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21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6.6225165562913907E-3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10</v>
      </c>
      <c r="C32" s="141">
        <f>IF(B$15=0,0,B32/B$15)</f>
        <v>8.5470085470085472E-2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24</v>
      </c>
      <c r="C33" s="37">
        <f t="shared" ref="C33:C44" si="3">IF(B$15=0,0,B33/B$15)</f>
        <v>0.20512820512820512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25</v>
      </c>
      <c r="C34" s="37">
        <f>IF(B$15=0,0,B34/B$15)</f>
        <v>0.21367521367521367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16</v>
      </c>
      <c r="C35" s="37">
        <f t="shared" si="3"/>
        <v>0.13675213675213677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17</v>
      </c>
      <c r="C36" s="37">
        <f t="shared" si="3"/>
        <v>0.14529914529914531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8</v>
      </c>
      <c r="C37" s="37">
        <f t="shared" si="3"/>
        <v>6.8376068376068383E-2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9</v>
      </c>
      <c r="C38" s="37">
        <f t="shared" si="3"/>
        <v>7.6923076923076927E-2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3"/>
        <v>4.2735042735042736E-2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3"/>
        <v>8.5470085470085479E-3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3"/>
        <v>1.7094017094017096E-2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</sheetData>
  <sortState xmlns:xlrd2="http://schemas.microsoft.com/office/spreadsheetml/2017/richdata2" ref="E2:I5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A66D3-87B0-4A8D-BA49-21EF1E3C393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D2361-8DD5-49C0-80C6-DB4E94D359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084BC-97A8-42B8-B02B-04A888A6E49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FB6E6-0716-43ED-9342-A1802CCE93C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0.60526315789473684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-2881.818181818182</v>
      </c>
      <c r="P2" s="114">
        <v>11</v>
      </c>
      <c r="Q2" s="98">
        <v>-31700</v>
      </c>
    </row>
    <row r="3" spans="1:17" x14ac:dyDescent="0.4">
      <c r="A3" s="51" t="s">
        <v>8</v>
      </c>
      <c r="B3" s="156">
        <v>100</v>
      </c>
      <c r="C3" s="157"/>
      <c r="E3" s="59" t="s">
        <v>66</v>
      </c>
      <c r="F3" s="56" t="s">
        <v>22</v>
      </c>
      <c r="G3" s="44">
        <v>21</v>
      </c>
      <c r="H3" s="129">
        <f>IF(B$15=0,0,G3/B$15)</f>
        <v>0.55263157894736847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627.27272727272725</v>
      </c>
      <c r="P3" s="115">
        <v>11</v>
      </c>
      <c r="Q3" s="99">
        <v>6900</v>
      </c>
    </row>
    <row r="4" spans="1:17" x14ac:dyDescent="0.4">
      <c r="A4" s="51" t="s">
        <v>6</v>
      </c>
      <c r="B4" s="158">
        <v>54.199999999999996</v>
      </c>
      <c r="C4" s="159"/>
      <c r="E4" s="59" t="s">
        <v>72</v>
      </c>
      <c r="F4" s="56" t="s">
        <v>27</v>
      </c>
      <c r="G4" s="44">
        <v>17</v>
      </c>
      <c r="H4" s="129">
        <f>IF(B$15=0,0,G4/B$15)</f>
        <v>0.44736842105263158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-1136.3636363636363</v>
      </c>
      <c r="P4" s="115">
        <v>11</v>
      </c>
      <c r="Q4" s="99">
        <v>-12500</v>
      </c>
    </row>
    <row r="5" spans="1:17" x14ac:dyDescent="0.4">
      <c r="A5" s="51" t="s">
        <v>7</v>
      </c>
      <c r="B5" s="160">
        <f>IF(B$2=0,0,B$4/B$2)</f>
        <v>4.9272727272727268</v>
      </c>
      <c r="C5" s="161"/>
      <c r="E5" s="59" t="s">
        <v>68</v>
      </c>
      <c r="F5" s="56" t="s">
        <v>12</v>
      </c>
      <c r="G5" s="44">
        <v>15</v>
      </c>
      <c r="H5" s="129">
        <f>IF(B$15=0,0,G5/B$15)</f>
        <v>0.39473684210526316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1827.2727272727273</v>
      </c>
      <c r="P5" s="115">
        <v>11</v>
      </c>
      <c r="Q5" s="99">
        <v>20100</v>
      </c>
    </row>
    <row r="6" spans="1:17" x14ac:dyDescent="0.4">
      <c r="A6" s="51" t="s">
        <v>1</v>
      </c>
      <c r="B6" s="150">
        <f>IF(B$2=0,0,(B$7*1+B$8*2+B$9*3)/B$2)</f>
        <v>1.8181818181818181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0.34210526315789475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1550</v>
      </c>
      <c r="P6" s="115">
        <v>10</v>
      </c>
      <c r="Q6" s="99">
        <v>15500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0.45454545454545453</v>
      </c>
      <c r="E7" s="59" t="s">
        <v>166</v>
      </c>
      <c r="F7" s="56" t="s">
        <v>167</v>
      </c>
      <c r="G7" s="44">
        <v>9</v>
      </c>
      <c r="H7" s="129">
        <f>IF(B$15=0,0,G7/B$15)</f>
        <v>0.23684210526315788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0.27272727272727271</v>
      </c>
      <c r="E8" s="59" t="s">
        <v>65</v>
      </c>
      <c r="F8" s="56" t="s">
        <v>21</v>
      </c>
      <c r="G8" s="44">
        <v>7</v>
      </c>
      <c r="H8" s="129">
        <f>IF(B$15=0,0,G8/B$15)</f>
        <v>0.18421052631578946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0.27272727272727271</v>
      </c>
      <c r="E9" s="59" t="s">
        <v>69</v>
      </c>
      <c r="F9" s="56" t="s">
        <v>24</v>
      </c>
      <c r="G9" s="44">
        <v>4</v>
      </c>
      <c r="H9" s="129">
        <f>IF(B$15=0,0,G9/B$15)</f>
        <v>0.10526315789473684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9.0909090909090912E-2</v>
      </c>
      <c r="E10" s="59" t="s">
        <v>70</v>
      </c>
      <c r="F10" s="56" t="s">
        <v>25</v>
      </c>
      <c r="G10" s="44">
        <v>4</v>
      </c>
      <c r="H10" s="129">
        <f>IF(B$15=0,0,G10/B$15)</f>
        <v>0.10526315789473684</v>
      </c>
      <c r="I10" s="90">
        <v>7</v>
      </c>
      <c r="K10" s="36">
        <v>8</v>
      </c>
      <c r="L10" s="95">
        <v>41.3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">
      <c r="A11" s="54" t="s">
        <v>121</v>
      </c>
      <c r="B11" s="47">
        <v>34</v>
      </c>
      <c r="C11" s="42">
        <f>IF(B$3=0,0,B11/B$3)</f>
        <v>0.34</v>
      </c>
      <c r="E11" s="59" t="s">
        <v>89</v>
      </c>
      <c r="F11" s="56" t="s">
        <v>44</v>
      </c>
      <c r="G11" s="44">
        <v>3</v>
      </c>
      <c r="H11" s="129">
        <f>IF(B$15=0,0,G11/B$15)</f>
        <v>7.8947368421052627E-2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12</v>
      </c>
      <c r="C12" s="37">
        <f>IF(B$3=0,0,B12/B$3)</f>
        <v>0.12</v>
      </c>
      <c r="E12" s="59" t="s">
        <v>83</v>
      </c>
      <c r="F12" s="56" t="s">
        <v>38</v>
      </c>
      <c r="G12" s="44">
        <v>2</v>
      </c>
      <c r="H12" s="129">
        <f>IF(B$15=0,0,G12/B$15)</f>
        <v>5.2631578947368418E-2</v>
      </c>
      <c r="I12" s="90">
        <v>7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0.6470588235294118</v>
      </c>
      <c r="E13" s="59" t="s">
        <v>85</v>
      </c>
      <c r="F13" s="56" t="s">
        <v>40</v>
      </c>
      <c r="G13" s="44">
        <v>2</v>
      </c>
      <c r="H13" s="129">
        <f>IF(B$15=0,0,G13/B$15)</f>
        <v>5.2631578947368418E-2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</v>
      </c>
      <c r="C14" s="35">
        <f>IF(B$12=0,0,B14/B$12)</f>
        <v>0.75</v>
      </c>
      <c r="E14" s="59" t="s">
        <v>71</v>
      </c>
      <c r="F14" s="56" t="s">
        <v>26</v>
      </c>
      <c r="G14" s="44">
        <v>1</v>
      </c>
      <c r="H14" s="129">
        <f>IF(B$15=0,0,G14/B$15)</f>
        <v>2.6315789473684209E-2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38</v>
      </c>
      <c r="C15" s="35">
        <f>IF(B$3=0,0,B15/B$3)</f>
        <v>0.38</v>
      </c>
      <c r="E15" s="59" t="s">
        <v>75</v>
      </c>
      <c r="F15" s="56" t="s">
        <v>30</v>
      </c>
      <c r="G15" s="44">
        <v>1</v>
      </c>
      <c r="H15" s="129">
        <f>IF(B$15=0,0,G15/B$15)</f>
        <v>2.6315789473684209E-2</v>
      </c>
      <c r="I15" s="90">
        <v>1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13</v>
      </c>
      <c r="C16" s="37">
        <f>IF(B$3=0,0,B16/B$3)</f>
        <v>0.13</v>
      </c>
      <c r="E16" s="59" t="s">
        <v>79</v>
      </c>
      <c r="F16" s="56" t="s">
        <v>34</v>
      </c>
      <c r="G16" s="44">
        <v>1</v>
      </c>
      <c r="H16" s="129">
        <f>IF(B$15=0,0,G16/B$15)</f>
        <v>2.6315789473684209E-2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19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2.6315789473684209E-2</v>
      </c>
      <c r="I17" s="90">
        <v>11</v>
      </c>
      <c r="N17" s="111" t="s">
        <v>170</v>
      </c>
      <c r="O17" s="121">
        <f t="shared" si="2"/>
        <v>25.316666666666666</v>
      </c>
      <c r="P17" s="115">
        <v>6</v>
      </c>
      <c r="Q17" s="103">
        <v>151.9</v>
      </c>
    </row>
    <row r="18" spans="1:17" x14ac:dyDescent="0.4">
      <c r="A18" s="51" t="s">
        <v>11</v>
      </c>
      <c r="B18" s="44">
        <v>19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172</v>
      </c>
      <c r="O18" s="121">
        <f t="shared" si="2"/>
        <v>19.249999999999996</v>
      </c>
      <c r="P18" s="115">
        <v>4</v>
      </c>
      <c r="Q18" s="103">
        <v>76.999999999999986</v>
      </c>
    </row>
    <row r="19" spans="1:17" x14ac:dyDescent="0.4">
      <c r="A19" s="51" t="s">
        <v>195</v>
      </c>
      <c r="B19" s="44">
        <v>22</v>
      </c>
      <c r="C19" s="37">
        <f>IF(B$15=0,0,B19/B$15)</f>
        <v>0.57894736842105265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197</v>
      </c>
      <c r="O19" s="121">
        <f t="shared" si="2"/>
        <v>12.000000000000002</v>
      </c>
      <c r="P19" s="115">
        <v>1</v>
      </c>
      <c r="Q19" s="103">
        <v>12.000000000000002</v>
      </c>
    </row>
    <row r="20" spans="1:17" x14ac:dyDescent="0.4">
      <c r="A20" s="51" t="s">
        <v>193</v>
      </c>
      <c r="B20" s="44">
        <v>9</v>
      </c>
      <c r="C20" s="37">
        <f>IF(B$15=0,0,B20/B$15)</f>
        <v>0.23684210526315788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 t="shared" si="2"/>
        <v>6.2333333333333343</v>
      </c>
      <c r="P20" s="115">
        <v>3</v>
      </c>
      <c r="Q20" s="103">
        <v>18.700000000000003</v>
      </c>
    </row>
    <row r="21" spans="1:17" x14ac:dyDescent="0.4">
      <c r="A21" s="51" t="s">
        <v>194</v>
      </c>
      <c r="B21" s="44">
        <v>7</v>
      </c>
      <c r="C21" s="37">
        <f>IF(B$15=0,0,B21/B$15)</f>
        <v>0.18421052631578946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-29.949999999999996</v>
      </c>
      <c r="P21" s="115">
        <v>2</v>
      </c>
      <c r="Q21" s="103">
        <v>-59.899999999999991</v>
      </c>
    </row>
    <row r="22" spans="1:17" x14ac:dyDescent="0.4">
      <c r="A22" s="51" t="s">
        <v>5</v>
      </c>
      <c r="B22" s="48">
        <f>IF(B$15=0,0,C22/B$15)</f>
        <v>6765.7894736842109</v>
      </c>
      <c r="C22" s="39">
        <v>257100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7234.4827586206893</v>
      </c>
      <c r="C23" s="137">
        <v>209800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5255.5555555555557</v>
      </c>
      <c r="C24" s="137">
        <v>47300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-7800</v>
      </c>
      <c r="C25" s="137">
        <v>-101400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3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4</v>
      </c>
      <c r="C32" s="141">
        <f>IF(B$15=0,0,B32/B$15)</f>
        <v>0.10526315789473684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10</v>
      </c>
      <c r="C33" s="37">
        <f t="shared" ref="C33:C44" si="3">IF(B$15=0,0,B33/B$15)</f>
        <v>0.26315789473684209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5</v>
      </c>
      <c r="C34" s="37">
        <f>IF(B$15=0,0,B34/B$15)</f>
        <v>0.13157894736842105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3"/>
        <v>0.23684210526315788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3"/>
        <v>0.15789473684210525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2.6315789473684209E-2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3"/>
        <v>5.2631578947368418E-2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2.6315789473684209E-2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14DC4-81E3-4AA6-9690-65EE34E1957C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2F4B1-35F1-4C36-BC8F-B57FE267503A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866-D3A3-4CA0-A843-46001189C756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719A-AFB0-40C2-9760-4B78E7725972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D1B-95D7-4C4B-987D-4FEB24EDB7A0}">
  <sheetPr codeName="Sheet28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4D6C8-B42D-4ED9-9496-88B4A7D36B1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05E4A-5EC3-48A3-80A8-0A4B27F97AF3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53EB1-5081-4366-9C1B-24454D35DB17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66A4-32A9-402C-8633-0A85300D4C2D}">
  <sheetPr codeName="Sheet20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8ADFB-6226-4ECE-9408-8A7E8864BEE6}">
  <sheetPr codeName="Sheet18"/>
  <dimension ref="A1:Q1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14AA-CCA0-45C4-99E7-074B10F1DE9E}">
  <sheetPr codeName="Sheet16"/>
  <dimension ref="A1:Q1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72CC-E16F-4E17-A1E6-34AC602D2491}">
  <sheetPr codeName="Sheet14"/>
  <dimension ref="A1:Q9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8127-EB40-4B72-BC8E-AE75AC02F5BC}">
  <sheetPr codeName="Sheet12"/>
  <dimension ref="A1:Q1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A3D4-BF42-47AA-8CBB-6DAC85A14EA5}">
  <sheetPr codeName="Sheet10"/>
  <dimension ref="A1:Q1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B8854-5095-4D91-8763-50270FA0D48E}">
  <sheetPr codeName="Sheet8"/>
  <dimension ref="A1:Q7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3099-D9C0-403C-AEFF-E5727195EFEB}">
  <sheetPr codeName="Sheet6"/>
  <dimension ref="A1:Q27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2019-12-18T16:11:22Z</dcterms:modified>
</cp:coreProperties>
</file>