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D1A36A6-6844-4C51-A043-970299BC076C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1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7" i="6349"/>
  <c r="O20" i="6335"/>
  <c r="C19" i="6357" l="1"/>
  <c r="H8" i="6357"/>
  <c r="H9" i="6357"/>
  <c r="H5" i="6357"/>
  <c r="H20" i="6357"/>
  <c r="H13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4" i="6357"/>
  <c r="C32" i="6357"/>
  <c r="H35" i="6357"/>
  <c r="H38" i="6357"/>
  <c r="C40" i="6357"/>
  <c r="H43" i="6357"/>
  <c r="H47" i="6357"/>
  <c r="H7" i="6357"/>
  <c r="H15" i="6357"/>
  <c r="H12" i="6357"/>
  <c r="H24" i="6357"/>
  <c r="H6" i="6357"/>
  <c r="C15" i="6357"/>
  <c r="H16" i="6357"/>
  <c r="H29" i="6357"/>
  <c r="H3" i="6357"/>
  <c r="H2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3" i="6349"/>
  <c r="O16" i="6353" l="1"/>
  <c r="O23" i="6343"/>
  <c r="O21" i="6337" l="1"/>
  <c r="O17" i="6339"/>
  <c r="O15" i="6349"/>
  <c r="O22" i="6349"/>
  <c r="O19" i="6347" l="1"/>
  <c r="O18" i="6351"/>
  <c r="O18" i="6341" l="1"/>
  <c r="O17" i="6347"/>
  <c r="O18" i="6349"/>
  <c r="O20" i="6349"/>
  <c r="O16" i="6337" l="1"/>
  <c r="O17" i="6351"/>
  <c r="O19" i="6351"/>
  <c r="O18" i="6343"/>
  <c r="O20" i="6341" l="1"/>
  <c r="O20" i="6345"/>
  <c r="O21" i="6345" l="1"/>
  <c r="O22" i="6339"/>
  <c r="O25" i="6349"/>
  <c r="O17" i="6353"/>
  <c r="O15" i="6353"/>
  <c r="O21" i="6351"/>
  <c r="O15" i="6341" l="1"/>
  <c r="O22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20" i="6343"/>
  <c r="O21" i="6339" l="1"/>
  <c r="O22" i="6347"/>
  <c r="O24" i="6347"/>
  <c r="O17" i="6337"/>
  <c r="O16" i="6341"/>
  <c r="O17" i="6343"/>
  <c r="O21" i="6343"/>
  <c r="O18" i="6337"/>
  <c r="O17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9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4" i="6349"/>
  <c r="H26" i="6349"/>
  <c r="H37" i="6349"/>
  <c r="H49" i="6349"/>
  <c r="H25" i="6349"/>
  <c r="C19" i="6349"/>
  <c r="H13" i="6349"/>
  <c r="H31" i="6349"/>
  <c r="H21" i="6349"/>
  <c r="C36" i="6349"/>
  <c r="H40" i="6349"/>
  <c r="H43" i="6349"/>
  <c r="C44" i="6349"/>
  <c r="H50" i="6349"/>
  <c r="C17" i="6349"/>
  <c r="H14" i="6349"/>
  <c r="B22" i="6349"/>
  <c r="H32" i="6349"/>
  <c r="H34" i="6349"/>
  <c r="C34" i="6349"/>
  <c r="H38" i="6349"/>
  <c r="H41" i="6349"/>
  <c r="C42" i="6349"/>
  <c r="H46" i="6349"/>
  <c r="H22" i="6349"/>
  <c r="H7" i="6349"/>
  <c r="H23" i="6349"/>
  <c r="C15" i="6349"/>
  <c r="H19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5" i="6349"/>
  <c r="H8" i="6349"/>
  <c r="H20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3" i="6335"/>
  <c r="O24" i="6335"/>
  <c r="C34" i="6343" l="1"/>
  <c r="C18" i="6343"/>
  <c r="C14" i="6345"/>
  <c r="C14" i="6343"/>
  <c r="H24" i="6343"/>
  <c r="H2" i="6343"/>
  <c r="H3" i="6343"/>
  <c r="H10" i="6343"/>
  <c r="H8" i="6343"/>
  <c r="H4" i="6343"/>
  <c r="C42" i="6343"/>
  <c r="C19" i="6343"/>
  <c r="H36" i="6343"/>
  <c r="H23" i="6343"/>
  <c r="H19" i="6343"/>
  <c r="H14" i="6343"/>
  <c r="C21" i="6343"/>
  <c r="H21" i="6343"/>
  <c r="C38" i="6343"/>
  <c r="H6" i="6343"/>
  <c r="H25" i="6343"/>
  <c r="H9" i="6343"/>
  <c r="H12" i="6343"/>
  <c r="H40" i="6343"/>
  <c r="C14" i="6347"/>
  <c r="H7" i="6347"/>
  <c r="H11" i="6347"/>
  <c r="H28" i="6347"/>
  <c r="H9" i="6347"/>
  <c r="H29" i="6347"/>
  <c r="C19" i="6347"/>
  <c r="H14" i="6347"/>
  <c r="H25" i="6347"/>
  <c r="H36" i="6347"/>
  <c r="C36" i="6347"/>
  <c r="H41" i="6347"/>
  <c r="H43" i="6347"/>
  <c r="C44" i="6347"/>
  <c r="H50" i="6347"/>
  <c r="B22" i="6347"/>
  <c r="C34" i="6347"/>
  <c r="H46" i="6347"/>
  <c r="H6" i="6347"/>
  <c r="H18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4" i="6347"/>
  <c r="H22" i="6347"/>
  <c r="C17" i="6347"/>
  <c r="H19" i="6347"/>
  <c r="H26" i="6347"/>
  <c r="H27" i="6347"/>
  <c r="H39" i="6347"/>
  <c r="C42" i="6347"/>
  <c r="H17" i="6347"/>
  <c r="C15" i="6347"/>
  <c r="H20" i="6347"/>
  <c r="H4" i="6347"/>
  <c r="H2" i="6347"/>
  <c r="H12" i="6347"/>
  <c r="H3" i="6347"/>
  <c r="H30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6" i="6347"/>
  <c r="H31" i="6347"/>
  <c r="H32" i="6347"/>
  <c r="H33" i="6347"/>
  <c r="H13" i="6347"/>
  <c r="H8" i="6347"/>
  <c r="H23" i="6347"/>
  <c r="C33" i="6347"/>
  <c r="C35" i="6347"/>
  <c r="C37" i="6347"/>
  <c r="C39" i="6347"/>
  <c r="C41" i="6347"/>
  <c r="C43" i="6347"/>
  <c r="H47" i="6347"/>
  <c r="H6" i="6345"/>
  <c r="H10" i="6345"/>
  <c r="H12" i="6345"/>
  <c r="H30" i="6345"/>
  <c r="H20" i="6345"/>
  <c r="H9" i="6345"/>
  <c r="H31" i="6345"/>
  <c r="C20" i="6345"/>
  <c r="H37" i="6345"/>
  <c r="C40" i="6345"/>
  <c r="H48" i="6345"/>
  <c r="H34" i="6345"/>
  <c r="C32" i="6345"/>
  <c r="H42" i="6345"/>
  <c r="H5" i="6345"/>
  <c r="H22" i="6345"/>
  <c r="C18" i="6345"/>
  <c r="H15" i="6345"/>
  <c r="H35" i="6345"/>
  <c r="H39" i="6345"/>
  <c r="H44" i="6345"/>
  <c r="H7" i="6345"/>
  <c r="H23" i="6345"/>
  <c r="C21" i="6345"/>
  <c r="H29" i="6345"/>
  <c r="H49" i="6345"/>
  <c r="C15" i="6345"/>
  <c r="H25" i="6345"/>
  <c r="H3" i="6345"/>
  <c r="H2" i="6345"/>
  <c r="H11" i="6345"/>
  <c r="H4" i="6345"/>
  <c r="H26" i="6345"/>
  <c r="C19" i="6345"/>
  <c r="H21" i="6345"/>
  <c r="H16" i="6345"/>
  <c r="H36" i="6345"/>
  <c r="C38" i="6345"/>
  <c r="H45" i="6345"/>
  <c r="H52" i="6345"/>
  <c r="C36" i="6345"/>
  <c r="H40" i="6345"/>
  <c r="H43" i="6345"/>
  <c r="C44" i="6345"/>
  <c r="H50" i="6345"/>
  <c r="C17" i="6345"/>
  <c r="H19" i="6345"/>
  <c r="B22" i="6345"/>
  <c r="H27" i="6345"/>
  <c r="H28" i="6345"/>
  <c r="C34" i="6345"/>
  <c r="H38" i="6345"/>
  <c r="H41" i="6345"/>
  <c r="C42" i="6345"/>
  <c r="H46" i="6345"/>
  <c r="H13" i="6345"/>
  <c r="B23" i="6345"/>
  <c r="H18" i="6345"/>
  <c r="H32" i="6345"/>
  <c r="H33" i="6345"/>
  <c r="H24" i="6345"/>
  <c r="H14" i="6345"/>
  <c r="H8" i="6345"/>
  <c r="H17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2" i="6343"/>
  <c r="B23" i="6343"/>
  <c r="C15" i="6343"/>
  <c r="H16" i="6343"/>
  <c r="C20" i="6343"/>
  <c r="H20" i="6343"/>
  <c r="H30" i="6343"/>
  <c r="H34" i="6343"/>
  <c r="H38" i="6343"/>
  <c r="H42" i="6343"/>
  <c r="H46" i="6343"/>
  <c r="H52" i="6343"/>
  <c r="H15" i="6343"/>
  <c r="H26" i="6343"/>
  <c r="H27" i="6343"/>
  <c r="H28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19" i="6339"/>
  <c r="O20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2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0" i="6339"/>
  <c r="C20" i="6339"/>
  <c r="H21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22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7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6" i="6335"/>
  <c r="C42" i="6335"/>
  <c r="H7" i="6335"/>
  <c r="H23" i="6335"/>
  <c r="H22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1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<sst xmlns="http://schemas.openxmlformats.org/spreadsheetml/2006/main" count="3874" uniqueCount="307">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</sst>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全体!$K$2:$K$962</c:f>
              <c:numCache>
                <c:formatCode>General</c:formatCode>
                <c:ptCount val="9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</c:numCache>
            </c:numRef>
          </c:xVal>
          <c:yVal>
            <c:numRef>
              <c:f>全体!$L$2:$L$962</c:f>
              <c:numCache>
                <c:formatCode>\+0.0;\-0.0;\±0</c:formatCode>
                <c:ptCount val="96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-28.213166144200628</c:v>
                </c:pt>
                <c:pt idx="1">
                  <c:v>8.4656084656084651</c:v>
                </c:pt>
                <c:pt idx="2">
                  <c:v>-2.244668911335578</c:v>
                </c:pt>
                <c:pt idx="3">
                  <c:v>5.9523809523809526</c:v>
                </c:pt>
                <c:pt idx="4">
                  <c:v>3.8610038610038608</c:v>
                </c:pt>
                <c:pt idx="5">
                  <c:v>17.133956386292834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187</c:v>
                </c:pt>
                <c:pt idx="1">
                  <c:v>408</c:v>
                </c:pt>
                <c:pt idx="2">
                  <c:v>463</c:v>
                </c:pt>
                <c:pt idx="3">
                  <c:v>421</c:v>
                </c:pt>
                <c:pt idx="4">
                  <c:v>368</c:v>
                </c:pt>
                <c:pt idx="5">
                  <c:v>249</c:v>
                </c:pt>
                <c:pt idx="6">
                  <c:v>124</c:v>
                </c:pt>
                <c:pt idx="7">
                  <c:v>68</c:v>
                </c:pt>
                <c:pt idx="8">
                  <c:v>30</c:v>
                </c:pt>
                <c:pt idx="9">
                  <c:v>10</c:v>
                </c:pt>
                <c:pt idx="10">
                  <c:v>7</c:v>
                </c:pt>
                <c:pt idx="11">
                  <c:v>6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たかの!$L$2:$L$89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1810.344827586207</c:v>
                </c:pt>
                <c:pt idx="1">
                  <c:v>-1944.1860465116279</c:v>
                </c:pt>
                <c:pt idx="2">
                  <c:v>-1697.5903614457832</c:v>
                </c:pt>
                <c:pt idx="3">
                  <c:v>-1089.7435897435898</c:v>
                </c:pt>
                <c:pt idx="4">
                  <c:v>-235.52631578947367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44</c:v>
                </c:pt>
                <c:pt idx="2">
                  <c:v>43</c:v>
                </c:pt>
                <c:pt idx="3">
                  <c:v>37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だいち!$K$2:$K$192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</c:numCache>
            </c:numRef>
          </c:xVal>
          <c:yVal>
            <c:numRef>
              <c:f>だいち!$L$2:$L$192</c:f>
              <c:numCache>
                <c:formatCode>\+0.0;\-0.0;\±0</c:formatCode>
                <c:ptCount val="19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1368.7830687830688</c:v>
                </c:pt>
                <c:pt idx="1">
                  <c:v>1113.9784946236559</c:v>
                </c:pt>
                <c:pt idx="2">
                  <c:v>1038.5474860335196</c:v>
                </c:pt>
                <c:pt idx="3">
                  <c:v>213.77245508982037</c:v>
                </c:pt>
                <c:pt idx="4">
                  <c:v>1944.8717948717949</c:v>
                </c:pt>
                <c:pt idx="5">
                  <c:v>1852.34375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53</c:v>
                </c:pt>
                <c:pt idx="1">
                  <c:v>100</c:v>
                </c:pt>
                <c:pt idx="2">
                  <c:v>107</c:v>
                </c:pt>
                <c:pt idx="3">
                  <c:v>97</c:v>
                </c:pt>
                <c:pt idx="4">
                  <c:v>77</c:v>
                </c:pt>
                <c:pt idx="5">
                  <c:v>51</c:v>
                </c:pt>
                <c:pt idx="6">
                  <c:v>25</c:v>
                </c:pt>
                <c:pt idx="7">
                  <c:v>10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ただ!$K$2:$K$174</c:f>
              <c:numCache>
                <c:formatCode>General</c:formatCode>
                <c:ptCount val="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</c:numCache>
            </c:numRef>
          </c:xVal>
          <c:yVal>
            <c:numRef>
              <c:f>ただ!$L$2:$L$174</c:f>
              <c:numCache>
                <c:formatCode>\+0.0;\-0.0;\±0</c:formatCode>
                <c:ptCount val="17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-908.77192982456143</c:v>
                </c:pt>
                <c:pt idx="1">
                  <c:v>1283.4319526627219</c:v>
                </c:pt>
                <c:pt idx="2">
                  <c:v>-59.235668789808919</c:v>
                </c:pt>
                <c:pt idx="3">
                  <c:v>-48.322147651006709</c:v>
                </c:pt>
                <c:pt idx="4">
                  <c:v>-1624.087591240876</c:v>
                </c:pt>
                <c:pt idx="5">
                  <c:v>1261.4035087719299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34</c:v>
                </c:pt>
                <c:pt idx="1">
                  <c:v>84</c:v>
                </c:pt>
                <c:pt idx="2">
                  <c:v>96</c:v>
                </c:pt>
                <c:pt idx="3">
                  <c:v>89</c:v>
                </c:pt>
                <c:pt idx="4">
                  <c:v>63</c:v>
                </c:pt>
                <c:pt idx="5">
                  <c:v>42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-637.37373737373741</c:v>
                </c:pt>
                <c:pt idx="1">
                  <c:v>-893.93939393939399</c:v>
                </c:pt>
                <c:pt idx="2">
                  <c:v>469.89247311827955</c:v>
                </c:pt>
                <c:pt idx="3">
                  <c:v>-779.12087912087907</c:v>
                </c:pt>
                <c:pt idx="4">
                  <c:v>-2894.1860465116279</c:v>
                </c:pt>
                <c:pt idx="5">
                  <c:v>-1877.3333333333333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35</c:v>
                </c:pt>
                <c:pt idx="4">
                  <c:v>39</c:v>
                </c:pt>
                <c:pt idx="5">
                  <c:v>23</c:v>
                </c:pt>
                <c:pt idx="6">
                  <c:v>14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れんたろう!$K$2:$K$141</c:f>
              <c:numCache>
                <c:formatCode>General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れんたろう!$L$2:$L$141</c:f>
              <c:numCache>
                <c:formatCode>\+0.0;\-0.0;\±0</c:formatCode>
                <c:ptCount val="14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1191.3669064748201</c:v>
                </c:pt>
                <c:pt idx="1">
                  <c:v>-1805.8394160583941</c:v>
                </c:pt>
                <c:pt idx="2">
                  <c:v>-416</c:v>
                </c:pt>
                <c:pt idx="3">
                  <c:v>2340.6779661016949</c:v>
                </c:pt>
                <c:pt idx="4">
                  <c:v>1516.0377358490566</c:v>
                </c:pt>
                <c:pt idx="5">
                  <c:v>246.25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24</c:v>
                </c:pt>
                <c:pt idx="2">
                  <c:v>42</c:v>
                </c:pt>
                <c:pt idx="3">
                  <c:v>57</c:v>
                </c:pt>
                <c:pt idx="4">
                  <c:v>67</c:v>
                </c:pt>
                <c:pt idx="5">
                  <c:v>43</c:v>
                </c:pt>
                <c:pt idx="6">
                  <c:v>23</c:v>
                </c:pt>
                <c:pt idx="7">
                  <c:v>21</c:v>
                </c:pt>
                <c:pt idx="8">
                  <c:v>8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-207.53424657534248</c:v>
                </c:pt>
                <c:pt idx="1">
                  <c:v>264.33566433566432</c:v>
                </c:pt>
                <c:pt idx="2">
                  <c:v>178.5185185185185</c:v>
                </c:pt>
                <c:pt idx="3">
                  <c:v>376.61290322580646</c:v>
                </c:pt>
                <c:pt idx="4">
                  <c:v>144.24778761061947</c:v>
                </c:pt>
                <c:pt idx="5">
                  <c:v>-622.91666666666663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62</c:v>
                </c:pt>
                <c:pt idx="2">
                  <c:v>67</c:v>
                </c:pt>
                <c:pt idx="3">
                  <c:v>61</c:v>
                </c:pt>
                <c:pt idx="4">
                  <c:v>48</c:v>
                </c:pt>
                <c:pt idx="5">
                  <c:v>38</c:v>
                </c:pt>
                <c:pt idx="6">
                  <c:v>18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のり!$L$2:$L$67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-2886.1538461538462</c:v>
                </c:pt>
                <c:pt idx="1">
                  <c:v>1089.2307692307693</c:v>
                </c:pt>
                <c:pt idx="2">
                  <c:v>-591.93548387096769</c:v>
                </c:pt>
                <c:pt idx="3">
                  <c:v>-1503.5714285714287</c:v>
                </c:pt>
                <c:pt idx="4">
                  <c:v>-1926.4150943396226</c:v>
                </c:pt>
                <c:pt idx="5">
                  <c:v>-2106.9767441860463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29</c:v>
                </c:pt>
                <c:pt idx="3">
                  <c:v>23</c:v>
                </c:pt>
                <c:pt idx="4">
                  <c:v>20</c:v>
                </c:pt>
                <c:pt idx="5">
                  <c:v>11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-3857.1428571428573</c:v>
                </c:pt>
                <c:pt idx="1">
                  <c:v>-578.57142857142856</c:v>
                </c:pt>
                <c:pt idx="2">
                  <c:v>-2921.4285714285716</c:v>
                </c:pt>
                <c:pt idx="3">
                  <c:v>692.85714285714289</c:v>
                </c:pt>
                <c:pt idx="4">
                  <c:v>-841.66666666666663</c:v>
                </c:pt>
                <c:pt idx="5">
                  <c:v>5020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7</c:v>
                </c:pt>
                <c:pt idx="3">
                  <c:v>9</c:v>
                </c:pt>
                <c:pt idx="4">
                  <c:v>6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ともき2!$B$3:$B$17</c:f>
              <c:numCache>
                <c:formatCode>\+0.0;\-0.0;\±0</c:formatCode>
                <c:ptCount val="15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394884621840901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ともき2!$C$3:$C$17</c:f>
              <c:numCache>
                <c:formatCode>\+0.0;\-0.0;\±0</c:formatCode>
                <c:ptCount val="15"/>
                <c:pt idx="1">
                  <c:v>17.600000000000001</c:v>
                </c:pt>
                <c:pt idx="2">
                  <c:v>13.9</c:v>
                </c:pt>
                <c:pt idx="3">
                  <c:v>6.8</c:v>
                </c:pt>
                <c:pt idx="4">
                  <c:v>13.275</c:v>
                </c:pt>
                <c:pt idx="5">
                  <c:v>5.7200000000000006</c:v>
                </c:pt>
                <c:pt idx="6">
                  <c:v>-2.9666666666666663</c:v>
                </c:pt>
                <c:pt idx="7">
                  <c:v>3.3000000000000003</c:v>
                </c:pt>
                <c:pt idx="8">
                  <c:v>5.1624999999999996</c:v>
                </c:pt>
                <c:pt idx="9">
                  <c:v>8.8555555555555543</c:v>
                </c:pt>
                <c:pt idx="10">
                  <c:v>8.61</c:v>
                </c:pt>
                <c:pt idx="11">
                  <c:v>4.9272727272727268</c:v>
                </c:pt>
                <c:pt idx="12">
                  <c:v>0.40833333333333321</c:v>
                </c:pt>
                <c:pt idx="13">
                  <c:v>-3.6615384615384619</c:v>
                </c:pt>
                <c:pt idx="14">
                  <c:v>-3.9642857142857144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66133814775093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ともき2!$D$3:$D$17</c:f>
              <c:numCache>
                <c:formatCode>0.00\ "位"</c:formatCode>
                <c:ptCount val="15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1.8181818181818181</c:v>
                </c:pt>
                <c:pt idx="12">
                  <c:v>1.9166666666666667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ともき2!$E$3:$E$17</c:f>
              <c:numCache>
                <c:formatCode>0.0%</c:formatCode>
                <c:ptCount val="1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ともき2!$F$3:$F$17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ともき2!$G$3:$G$17</c:f>
              <c:numCache>
                <c:formatCode>0.0%</c:formatCode>
                <c:ptCount val="15"/>
                <c:pt idx="1">
                  <c:v>0.66666666666666663</c:v>
                </c:pt>
                <c:pt idx="2">
                  <c:v>0.47058823529411764</c:v>
                </c:pt>
                <c:pt idx="3">
                  <c:v>0.37931034482758619</c:v>
                </c:pt>
                <c:pt idx="4">
                  <c:v>0.39473684210526316</c:v>
                </c:pt>
                <c:pt idx="5">
                  <c:v>0.35555555555555557</c:v>
                </c:pt>
                <c:pt idx="6">
                  <c:v>0.32075471698113206</c:v>
                </c:pt>
                <c:pt idx="7">
                  <c:v>0.35</c:v>
                </c:pt>
                <c:pt idx="8">
                  <c:v>0.36764705882352944</c:v>
                </c:pt>
                <c:pt idx="9">
                  <c:v>0.39240506329113922</c:v>
                </c:pt>
                <c:pt idx="10">
                  <c:v>0.37777777777777777</c:v>
                </c:pt>
                <c:pt idx="11">
                  <c:v>0.38</c:v>
                </c:pt>
                <c:pt idx="12">
                  <c:v>0.37614678899082571</c:v>
                </c:pt>
                <c:pt idx="13">
                  <c:v>0.3559322033898305</c:v>
                </c:pt>
                <c:pt idx="14">
                  <c:v>0.34920634920634919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092177379172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ともき2!$H$3:$H$17</c:f>
              <c:numCache>
                <c:formatCode>0.0%</c:formatCode>
                <c:ptCount val="15"/>
                <c:pt idx="1">
                  <c:v>0.16666666666666666</c:v>
                </c:pt>
                <c:pt idx="2">
                  <c:v>5.8823529411764705E-2</c:v>
                </c:pt>
                <c:pt idx="3">
                  <c:v>6.8965517241379309E-2</c:v>
                </c:pt>
                <c:pt idx="4">
                  <c:v>7.8947368421052627E-2</c:v>
                </c:pt>
                <c:pt idx="5">
                  <c:v>8.8888888888888892E-2</c:v>
                </c:pt>
                <c:pt idx="6">
                  <c:v>0.11320754716981132</c:v>
                </c:pt>
                <c:pt idx="7">
                  <c:v>0.1</c:v>
                </c:pt>
                <c:pt idx="8">
                  <c:v>0.13235294117647059</c:v>
                </c:pt>
                <c:pt idx="9">
                  <c:v>0.12658227848101267</c:v>
                </c:pt>
                <c:pt idx="10">
                  <c:v>0.12222222222222222</c:v>
                </c:pt>
                <c:pt idx="11">
                  <c:v>0.13</c:v>
                </c:pt>
                <c:pt idx="12">
                  <c:v>0.14678899082568808</c:v>
                </c:pt>
                <c:pt idx="13">
                  <c:v>0.16949152542372881</c:v>
                </c:pt>
                <c:pt idx="1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185849526656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ともき2!$I$3:$I$17</c:f>
              <c:numCache>
                <c:formatCode>0</c:formatCode>
                <c:ptCount val="15"/>
                <c:pt idx="1">
                  <c:v>3900</c:v>
                </c:pt>
                <c:pt idx="2">
                  <c:v>5575</c:v>
                </c:pt>
                <c:pt idx="3">
                  <c:v>6427.272727272727</c:v>
                </c:pt>
                <c:pt idx="4">
                  <c:v>6793.333333333333</c:v>
                </c:pt>
                <c:pt idx="5">
                  <c:v>6868.75</c:v>
                </c:pt>
                <c:pt idx="6">
                  <c:v>6935.2941176470586</c:v>
                </c:pt>
                <c:pt idx="7">
                  <c:v>7342.8571428571431</c:v>
                </c:pt>
                <c:pt idx="8">
                  <c:v>7608</c:v>
                </c:pt>
                <c:pt idx="9">
                  <c:v>7138.7096774193551</c:v>
                </c:pt>
                <c:pt idx="10">
                  <c:v>7147.0588235294117</c:v>
                </c:pt>
                <c:pt idx="11">
                  <c:v>6765.7894736842109</c:v>
                </c:pt>
                <c:pt idx="12">
                  <c:v>6531.707317073171</c:v>
                </c:pt>
                <c:pt idx="13">
                  <c:v>6407.1428571428569</c:v>
                </c:pt>
                <c:pt idx="14">
                  <c:v>6534.090909090909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57.7036724356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ともき2!$J$3:$J$17</c:f>
              <c:numCache>
                <c:formatCode>0</c:formatCode>
                <c:ptCount val="15"/>
                <c:pt idx="1">
                  <c:v>-8000</c:v>
                </c:pt>
                <c:pt idx="2">
                  <c:v>-8000</c:v>
                </c:pt>
                <c:pt idx="3">
                  <c:v>-5600</c:v>
                </c:pt>
                <c:pt idx="4">
                  <c:v>-4700</c:v>
                </c:pt>
                <c:pt idx="5">
                  <c:v>-6525</c:v>
                </c:pt>
                <c:pt idx="6">
                  <c:v>-8500</c:v>
                </c:pt>
                <c:pt idx="7">
                  <c:v>-8500</c:v>
                </c:pt>
                <c:pt idx="8">
                  <c:v>-8477.7777777777774</c:v>
                </c:pt>
                <c:pt idx="9">
                  <c:v>-8150</c:v>
                </c:pt>
                <c:pt idx="10">
                  <c:v>-7990.909090909091</c:v>
                </c:pt>
                <c:pt idx="11">
                  <c:v>-7800</c:v>
                </c:pt>
                <c:pt idx="12">
                  <c:v>-8337.5</c:v>
                </c:pt>
                <c:pt idx="13">
                  <c:v>-8205</c:v>
                </c:pt>
                <c:pt idx="14">
                  <c:v>-8195.2380952380954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70.7882534775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ともき2!$K$3:$K$17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6666666666666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ともき2!$L$3:$L$17</c:f>
              <c:numCache>
                <c:formatCode>0.0%</c:formatCode>
                <c:ptCount val="15"/>
                <c:pt idx="1">
                  <c:v>0.66666666666666663</c:v>
                </c:pt>
                <c:pt idx="2">
                  <c:v>0.52941176470588236</c:v>
                </c:pt>
                <c:pt idx="3">
                  <c:v>0.37931034482758619</c:v>
                </c:pt>
                <c:pt idx="4">
                  <c:v>0.34210526315789475</c:v>
                </c:pt>
                <c:pt idx="5">
                  <c:v>0.31111111111111112</c:v>
                </c:pt>
                <c:pt idx="6">
                  <c:v>0.32075471698113206</c:v>
                </c:pt>
                <c:pt idx="7">
                  <c:v>0.35</c:v>
                </c:pt>
                <c:pt idx="8">
                  <c:v>0.36764705882352944</c:v>
                </c:pt>
                <c:pt idx="9">
                  <c:v>0.35443037974683544</c:v>
                </c:pt>
                <c:pt idx="10">
                  <c:v>0.35555555555555557</c:v>
                </c:pt>
                <c:pt idx="11">
                  <c:v>0.34</c:v>
                </c:pt>
                <c:pt idx="12">
                  <c:v>0.32110091743119268</c:v>
                </c:pt>
                <c:pt idx="13">
                  <c:v>0.30508474576271188</c:v>
                </c:pt>
                <c:pt idx="14">
                  <c:v>0.30952380952380953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622820129546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ともき2!$M$3:$M$17</c:f>
              <c:numCache>
                <c:formatCode>0.0%</c:formatCode>
                <c:ptCount val="15"/>
                <c:pt idx="1">
                  <c:v>0</c:v>
                </c:pt>
                <c:pt idx="2">
                  <c:v>0.17647058823529413</c:v>
                </c:pt>
                <c:pt idx="3">
                  <c:v>0.13793103448275862</c:v>
                </c:pt>
                <c:pt idx="4">
                  <c:v>0.18421052631578946</c:v>
                </c:pt>
                <c:pt idx="5">
                  <c:v>0.15555555555555556</c:v>
                </c:pt>
                <c:pt idx="6">
                  <c:v>0.13207547169811321</c:v>
                </c:pt>
                <c:pt idx="7">
                  <c:v>0.11666666666666667</c:v>
                </c:pt>
                <c:pt idx="8">
                  <c:v>0.13235294117647059</c:v>
                </c:pt>
                <c:pt idx="9">
                  <c:v>0.12658227848101267</c:v>
                </c:pt>
                <c:pt idx="10">
                  <c:v>0.12222222222222222</c:v>
                </c:pt>
                <c:pt idx="11">
                  <c:v>0.12</c:v>
                </c:pt>
                <c:pt idx="12">
                  <c:v>0.12844036697247707</c:v>
                </c:pt>
                <c:pt idx="13">
                  <c:v>0.1271186440677966</c:v>
                </c:pt>
                <c:pt idx="14">
                  <c:v>0.12698412698412698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311908320876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ともき2!$N$3:$N$17</c:f>
              <c:numCache>
                <c:formatCode>0.0%</c:formatCode>
                <c:ptCount val="15"/>
                <c:pt idx="1">
                  <c:v>1</c:v>
                </c:pt>
                <c:pt idx="2">
                  <c:v>0.66666666666666663</c:v>
                </c:pt>
                <c:pt idx="3">
                  <c:v>0.63636363636363635</c:v>
                </c:pt>
                <c:pt idx="4">
                  <c:v>0.69230769230769229</c:v>
                </c:pt>
                <c:pt idx="5">
                  <c:v>0.7142857142857143</c:v>
                </c:pt>
                <c:pt idx="6">
                  <c:v>0.6470588235294118</c:v>
                </c:pt>
                <c:pt idx="7">
                  <c:v>0.7142857142857143</c:v>
                </c:pt>
                <c:pt idx="8">
                  <c:v>0.68</c:v>
                </c:pt>
                <c:pt idx="9">
                  <c:v>0.6785714285714286</c:v>
                </c:pt>
                <c:pt idx="10">
                  <c:v>0.65625</c:v>
                </c:pt>
                <c:pt idx="11">
                  <c:v>0.6470588235294118</c:v>
                </c:pt>
                <c:pt idx="12">
                  <c:v>0.62857142857142856</c:v>
                </c:pt>
                <c:pt idx="13">
                  <c:v>0.61111111111111116</c:v>
                </c:pt>
                <c:pt idx="14">
                  <c:v>0.58974358974358976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2186878727634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ともき2!$O$3:$O$17</c:f>
              <c:numCache>
                <c:formatCode>0.0%</c:formatCode>
                <c:ptCount val="15"/>
                <c:pt idx="1">
                  <c:v>0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0.72727272727272729</c:v>
                </c:pt>
                <c:pt idx="11">
                  <c:v>0.75</c:v>
                </c:pt>
                <c:pt idx="12">
                  <c:v>0.7142857142857143</c:v>
                </c:pt>
                <c:pt idx="13">
                  <c:v>0.73333333333333328</c:v>
                </c:pt>
                <c:pt idx="14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839142091152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ともき2!$P$3:$P$17</c:f>
              <c:numCache>
                <c:formatCode>0.0%</c:formatCode>
                <c:ptCount val="15"/>
                <c:pt idx="1">
                  <c:v>0.25</c:v>
                </c:pt>
                <c:pt idx="2">
                  <c:v>0.125</c:v>
                </c:pt>
                <c:pt idx="3">
                  <c:v>0.36363636363636365</c:v>
                </c:pt>
                <c:pt idx="4">
                  <c:v>0.4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0.38095238095238093</c:v>
                </c:pt>
                <c:pt idx="8">
                  <c:v>0.44</c:v>
                </c:pt>
                <c:pt idx="9">
                  <c:v>0.4838709677419355</c:v>
                </c:pt>
                <c:pt idx="10">
                  <c:v>0.47058823529411764</c:v>
                </c:pt>
                <c:pt idx="11">
                  <c:v>0.5</c:v>
                </c:pt>
                <c:pt idx="12">
                  <c:v>0.51219512195121952</c:v>
                </c:pt>
                <c:pt idx="13">
                  <c:v>0.5</c:v>
                </c:pt>
                <c:pt idx="14">
                  <c:v>0.52272727272727271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71253693541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0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301</v>
      </c>
      <c r="B95" s="29">
        <v>43846.004641203705</v>
      </c>
      <c r="C95" s="28" t="s">
        <v>128</v>
      </c>
    </row>
    <row r="96" spans="1:9" x14ac:dyDescent="0.45">
      <c r="A96" s="28" t="s">
        <v>302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303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304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305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306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960</v>
      </c>
    </row>
    <row r="2" spans="1:2" x14ac:dyDescent="0.45">
      <c r="A2" t="s">
        <v>161</v>
      </c>
      <c r="B2">
        <v>87</v>
      </c>
    </row>
    <row r="3" spans="1:2" x14ac:dyDescent="0.45">
      <c r="A3" t="s">
        <v>126</v>
      </c>
      <c r="B3">
        <v>190</v>
      </c>
    </row>
    <row r="4" spans="1:2" x14ac:dyDescent="0.45">
      <c r="A4" t="s">
        <v>127</v>
      </c>
      <c r="B4">
        <v>172</v>
      </c>
    </row>
    <row r="5" spans="1:2" x14ac:dyDescent="0.45">
      <c r="A5" t="s">
        <v>172</v>
      </c>
      <c r="B5">
        <v>100</v>
      </c>
    </row>
    <row r="6" spans="1:2" x14ac:dyDescent="0.45">
      <c r="A6" t="s">
        <v>170</v>
      </c>
      <c r="B6">
        <v>139</v>
      </c>
    </row>
    <row r="7" spans="1:2" x14ac:dyDescent="0.45">
      <c r="A7" t="s">
        <v>171</v>
      </c>
      <c r="B7">
        <v>146</v>
      </c>
    </row>
    <row r="8" spans="1:2" x14ac:dyDescent="0.45">
      <c r="A8" t="s">
        <v>197</v>
      </c>
      <c r="B8">
        <v>65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14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>
      <selection activeCell="A2" sqref="A2"/>
    </sheetView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0.9679948467906111</v>
      </c>
      <c r="G2" s="163"/>
      <c r="H2" s="162">
        <v>0.86703107202927021</v>
      </c>
      <c r="I2" s="163"/>
      <c r="J2" s="162">
        <v>0.90076690395684078</v>
      </c>
      <c r="K2" s="163"/>
      <c r="L2" s="162">
        <v>0.50554609129592532</v>
      </c>
      <c r="M2" s="163"/>
      <c r="N2" s="162">
        <v>0.62938950366103319</v>
      </c>
      <c r="O2" s="163"/>
      <c r="P2" s="162">
        <v>0.45709827309180134</v>
      </c>
      <c r="Q2" s="163"/>
      <c r="R2" s="162">
        <v>0.19898373753272694</v>
      </c>
      <c r="S2" s="163"/>
      <c r="T2" s="162">
        <v>0.42266889219621551</v>
      </c>
      <c r="U2" s="163"/>
      <c r="V2" s="162">
        <v>0.43688303224503294</v>
      </c>
      <c r="W2" s="163"/>
      <c r="X2" s="162">
        <v>5.1888403926471344E-2</v>
      </c>
      <c r="Y2" s="163"/>
      <c r="Z2" s="162">
        <v>0.49638188714729176</v>
      </c>
      <c r="AA2" s="163"/>
      <c r="AB2" s="162">
        <v>-3.6069403708634803E-2</v>
      </c>
      <c r="AC2" s="163"/>
      <c r="AD2" s="162">
        <v>-4.7389450806166328E-2</v>
      </c>
      <c r="AE2" s="163"/>
      <c r="AF2" s="162">
        <v>0.86703336545862697</v>
      </c>
      <c r="AG2" s="163"/>
    </row>
    <row r="3" spans="1:33" x14ac:dyDescent="0.45">
      <c r="A3" s="70">
        <v>1</v>
      </c>
      <c r="B3" s="71" t="s">
        <v>126</v>
      </c>
      <c r="C3" s="72">
        <v>1689.2999999999997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10969.155844155845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581.90000000000055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0.24210526315789474</v>
      </c>
      <c r="L4" s="81" t="s">
        <v>281</v>
      </c>
      <c r="M4" s="84">
        <v>0.37681159420289856</v>
      </c>
      <c r="N4" s="81" t="s">
        <v>126</v>
      </c>
      <c r="O4" s="84">
        <v>0.12587859424920128</v>
      </c>
      <c r="P4" s="81" t="s">
        <v>281</v>
      </c>
      <c r="Q4" s="85">
        <v>9534.6153846153848</v>
      </c>
      <c r="R4" s="81" t="s">
        <v>171</v>
      </c>
      <c r="S4" s="85">
        <v>-6992.0731707317073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196</v>
      </c>
      <c r="AA4" s="84">
        <v>0.59677419354838712</v>
      </c>
      <c r="AB4" s="81" t="s">
        <v>274</v>
      </c>
      <c r="AC4" s="84">
        <v>0.75</v>
      </c>
      <c r="AD4" s="81" t="s">
        <v>274</v>
      </c>
      <c r="AE4" s="84">
        <v>0.52272727272727271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8.8910526315789458</v>
      </c>
      <c r="F5" s="81" t="s">
        <v>126</v>
      </c>
      <c r="G5" s="82">
        <v>1.7789473684210526</v>
      </c>
      <c r="H5" s="81" t="s">
        <v>126</v>
      </c>
      <c r="I5" s="83">
        <v>0.4631578947368421</v>
      </c>
      <c r="J5" s="81" t="s">
        <v>171</v>
      </c>
      <c r="K5" s="83">
        <v>0.29452054794520549</v>
      </c>
      <c r="L5" s="81" t="s">
        <v>274</v>
      </c>
      <c r="M5" s="84">
        <v>0.34920634920634919</v>
      </c>
      <c r="N5" s="81" t="s">
        <v>171</v>
      </c>
      <c r="O5" s="84">
        <v>0.13874788494077833</v>
      </c>
      <c r="P5" s="81" t="s">
        <v>280</v>
      </c>
      <c r="Q5" s="85">
        <v>8512.5</v>
      </c>
      <c r="R5" s="81" t="s">
        <v>161</v>
      </c>
      <c r="S5" s="85">
        <v>-7537.3015873015875</v>
      </c>
      <c r="T5" s="81" t="s">
        <v>126</v>
      </c>
      <c r="U5" s="83">
        <v>4.2105263157894736E-2</v>
      </c>
      <c r="V5" s="81" t="s">
        <v>274</v>
      </c>
      <c r="W5" s="84">
        <v>0.30952380952380953</v>
      </c>
      <c r="X5" s="81" t="s">
        <v>127</v>
      </c>
      <c r="Y5" s="84">
        <v>0.29852838121934128</v>
      </c>
      <c r="Z5" s="81" t="s">
        <v>126</v>
      </c>
      <c r="AA5" s="84">
        <v>0.59277108433734937</v>
      </c>
      <c r="AB5" s="81" t="s">
        <v>126</v>
      </c>
      <c r="AC5" s="84">
        <v>0.49056603773584906</v>
      </c>
      <c r="AD5" s="81" t="s">
        <v>170</v>
      </c>
      <c r="AE5" s="84">
        <v>0.51298701298701299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4.1863309352518021</v>
      </c>
      <c r="F6" s="81" t="s">
        <v>170</v>
      </c>
      <c r="G6" s="82">
        <v>1.9136690647482015</v>
      </c>
      <c r="H6" s="81" t="s">
        <v>228</v>
      </c>
      <c r="I6" s="83">
        <v>0.42857142857142855</v>
      </c>
      <c r="J6" s="81" t="s">
        <v>170</v>
      </c>
      <c r="K6" s="83">
        <v>0.31654676258992803</v>
      </c>
      <c r="L6" s="81" t="s">
        <v>126</v>
      </c>
      <c r="M6" s="84">
        <v>0.34504792332268369</v>
      </c>
      <c r="N6" s="81" t="s">
        <v>141</v>
      </c>
      <c r="O6" s="84">
        <v>0.16118584952665671</v>
      </c>
      <c r="P6" s="81" t="s">
        <v>196</v>
      </c>
      <c r="Q6" s="85">
        <v>8385.7142857142862</v>
      </c>
      <c r="R6" s="81" t="s">
        <v>141</v>
      </c>
      <c r="S6" s="85">
        <v>-7770.788253477589</v>
      </c>
      <c r="T6" s="81" t="s">
        <v>171</v>
      </c>
      <c r="U6" s="83">
        <v>6.8493150684931503E-2</v>
      </c>
      <c r="V6" s="81" t="s">
        <v>170</v>
      </c>
      <c r="W6" s="84">
        <v>0.29593639575971731</v>
      </c>
      <c r="X6" s="81" t="s">
        <v>161</v>
      </c>
      <c r="Y6" s="84">
        <v>0.26336375488917863</v>
      </c>
      <c r="Z6" s="81" t="s">
        <v>274</v>
      </c>
      <c r="AA6" s="84">
        <v>0.58974358974358976</v>
      </c>
      <c r="AB6" s="81" t="s">
        <v>281</v>
      </c>
      <c r="AC6" s="84">
        <v>0.45454545454545453</v>
      </c>
      <c r="AD6" s="81" t="s">
        <v>172</v>
      </c>
      <c r="AE6" s="84">
        <v>0.46724890829694321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-6.3948846218409017E-14</v>
      </c>
      <c r="D7" s="81" t="s">
        <v>141</v>
      </c>
      <c r="E7" s="93">
        <v>-6.661338147750939E-17</v>
      </c>
      <c r="F7" s="81" t="s">
        <v>127</v>
      </c>
      <c r="G7" s="82">
        <v>1.9883720930232558</v>
      </c>
      <c r="H7" s="81" t="s">
        <v>170</v>
      </c>
      <c r="I7" s="83">
        <v>0.40287769784172661</v>
      </c>
      <c r="J7" s="81" t="s">
        <v>127</v>
      </c>
      <c r="K7" s="83">
        <v>0.32558139534883723</v>
      </c>
      <c r="L7" s="81" t="s">
        <v>127</v>
      </c>
      <c r="M7" s="84">
        <v>0.31254379817799577</v>
      </c>
      <c r="N7" s="81" t="s">
        <v>161</v>
      </c>
      <c r="O7" s="84">
        <v>0.16427640156453716</v>
      </c>
      <c r="P7" s="81" t="s">
        <v>141</v>
      </c>
      <c r="Q7" s="85">
        <v>8357.7036724356276</v>
      </c>
      <c r="R7" s="81" t="s">
        <v>172</v>
      </c>
      <c r="S7" s="85">
        <v>-7813.9240506329115</v>
      </c>
      <c r="T7" s="81" t="s">
        <v>172</v>
      </c>
      <c r="U7" s="83">
        <v>0.08</v>
      </c>
      <c r="V7" s="81" t="s">
        <v>172</v>
      </c>
      <c r="W7" s="84">
        <v>0.27346465816917731</v>
      </c>
      <c r="X7" s="81" t="s">
        <v>126</v>
      </c>
      <c r="Y7" s="84">
        <v>0.23706070287539935</v>
      </c>
      <c r="Z7" s="81" t="s">
        <v>171</v>
      </c>
      <c r="AA7" s="84">
        <v>0.55555555555555558</v>
      </c>
      <c r="AB7" s="81" t="s">
        <v>197</v>
      </c>
      <c r="AC7" s="84">
        <v>0.43548387096774194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171</v>
      </c>
      <c r="C8" s="80">
        <v>-28.099999999999977</v>
      </c>
      <c r="D8" s="81" t="s">
        <v>171</v>
      </c>
      <c r="E8" s="93">
        <v>-0.19246575342465738</v>
      </c>
      <c r="F8" s="81" t="s">
        <v>274</v>
      </c>
      <c r="G8" s="82">
        <v>2</v>
      </c>
      <c r="H8" s="81" t="s">
        <v>196</v>
      </c>
      <c r="I8" s="83">
        <v>0.36</v>
      </c>
      <c r="J8" s="81" t="s">
        <v>141</v>
      </c>
      <c r="K8" s="83">
        <v>0.33333333333333331</v>
      </c>
      <c r="L8" s="81" t="s">
        <v>141</v>
      </c>
      <c r="M8" s="84">
        <v>0.29509217737917287</v>
      </c>
      <c r="N8" s="81" t="s">
        <v>274</v>
      </c>
      <c r="O8" s="84">
        <v>0.16666666666666666</v>
      </c>
      <c r="P8" s="81" t="s">
        <v>171</v>
      </c>
      <c r="Q8" s="85">
        <v>8336.3363363363369</v>
      </c>
      <c r="R8" s="81" t="s">
        <v>126</v>
      </c>
      <c r="S8" s="85">
        <v>-7815.2284263959391</v>
      </c>
      <c r="T8" s="81" t="s">
        <v>161</v>
      </c>
      <c r="U8" s="83">
        <v>8.0459770114942528E-2</v>
      </c>
      <c r="V8" s="81" t="s">
        <v>203</v>
      </c>
      <c r="W8" s="84">
        <v>0.26666666666666666</v>
      </c>
      <c r="X8" s="81" t="s">
        <v>171</v>
      </c>
      <c r="Y8" s="84">
        <v>0.2326565143824027</v>
      </c>
      <c r="Z8" s="81" t="s">
        <v>141</v>
      </c>
      <c r="AA8" s="84">
        <v>0.55218687872763417</v>
      </c>
      <c r="AB8" s="81" t="s">
        <v>171</v>
      </c>
      <c r="AC8" s="84">
        <v>0.42545454545454547</v>
      </c>
      <c r="AD8" s="81" t="s">
        <v>197</v>
      </c>
      <c r="AE8" s="84">
        <v>0.45714285714285713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127</v>
      </c>
      <c r="E9" s="93">
        <v>-0.35174418604651281</v>
      </c>
      <c r="F9" s="81" t="s">
        <v>141</v>
      </c>
      <c r="G9" s="82">
        <v>2</v>
      </c>
      <c r="H9" s="81" t="s">
        <v>274</v>
      </c>
      <c r="I9" s="83">
        <v>0.35714285714285715</v>
      </c>
      <c r="J9" s="81" t="s">
        <v>274</v>
      </c>
      <c r="K9" s="83">
        <v>0.35714285714285715</v>
      </c>
      <c r="L9" s="81" t="s">
        <v>171</v>
      </c>
      <c r="M9" s="84">
        <v>0.28172588832487311</v>
      </c>
      <c r="N9" s="81" t="s">
        <v>170</v>
      </c>
      <c r="O9" s="84">
        <v>0.17402826855123674</v>
      </c>
      <c r="P9" s="81" t="s">
        <v>197</v>
      </c>
      <c r="Q9" s="85">
        <v>8176.4285714285716</v>
      </c>
      <c r="R9" s="81" t="s">
        <v>170</v>
      </c>
      <c r="S9" s="85">
        <v>-7926.3959390862947</v>
      </c>
      <c r="T9" s="81" t="s">
        <v>141</v>
      </c>
      <c r="U9" s="83">
        <v>9.166666666666666E-2</v>
      </c>
      <c r="V9" s="81" t="s">
        <v>126</v>
      </c>
      <c r="W9" s="84">
        <v>0.26517571884984026</v>
      </c>
      <c r="X9" s="81" t="s">
        <v>141</v>
      </c>
      <c r="Y9" s="84">
        <v>0.23231190832087692</v>
      </c>
      <c r="Z9" s="81" t="s">
        <v>170</v>
      </c>
      <c r="AA9" s="84">
        <v>0.54925373134328359</v>
      </c>
      <c r="AB9" s="81" t="s">
        <v>141</v>
      </c>
      <c r="AC9" s="84">
        <v>0.41983914209115281</v>
      </c>
      <c r="AD9" s="81" t="s">
        <v>141</v>
      </c>
      <c r="AE9" s="84">
        <v>0.4487125369354158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274</v>
      </c>
      <c r="C10" s="80">
        <v>-55.5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0.33720930232558138</v>
      </c>
      <c r="J10" s="81" t="s">
        <v>281</v>
      </c>
      <c r="K10" s="83">
        <v>0.375</v>
      </c>
      <c r="L10" s="81" t="s">
        <v>161</v>
      </c>
      <c r="M10" s="84">
        <v>0.27379400260756193</v>
      </c>
      <c r="N10" s="81" t="s">
        <v>196</v>
      </c>
      <c r="O10" s="84">
        <v>0.17499999999999999</v>
      </c>
      <c r="P10" s="81" t="s">
        <v>126</v>
      </c>
      <c r="Q10" s="85">
        <v>8101.4814814814818</v>
      </c>
      <c r="R10" s="81" t="s">
        <v>127</v>
      </c>
      <c r="S10" s="85">
        <v>-7970.3125</v>
      </c>
      <c r="T10" s="81" t="s">
        <v>127</v>
      </c>
      <c r="U10" s="83">
        <v>0.10465116279069768</v>
      </c>
      <c r="V10" s="81" t="s">
        <v>171</v>
      </c>
      <c r="W10" s="84">
        <v>0.25888324873096447</v>
      </c>
      <c r="X10" s="81" t="s">
        <v>197</v>
      </c>
      <c r="Y10" s="84">
        <v>0.22962962962962963</v>
      </c>
      <c r="Z10" s="81" t="s">
        <v>172</v>
      </c>
      <c r="AA10" s="84">
        <v>0.53813559322033899</v>
      </c>
      <c r="AB10" s="81" t="s">
        <v>172</v>
      </c>
      <c r="AC10" s="84">
        <v>0.40606060606060607</v>
      </c>
      <c r="AD10" s="81" t="s">
        <v>171</v>
      </c>
      <c r="AE10" s="84">
        <v>0.44744744744744747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127</v>
      </c>
      <c r="C11" s="80">
        <v>-60.500000000000199</v>
      </c>
      <c r="D11" s="81" t="s">
        <v>274</v>
      </c>
      <c r="E11" s="93">
        <v>-3.9642857142857144</v>
      </c>
      <c r="F11" s="81" t="s">
        <v>171</v>
      </c>
      <c r="G11" s="82">
        <v>2.0410958904109591</v>
      </c>
      <c r="H11" s="81" t="s">
        <v>141</v>
      </c>
      <c r="I11" s="83">
        <v>0.33333333333333331</v>
      </c>
      <c r="J11" s="81" t="s">
        <v>172</v>
      </c>
      <c r="K11" s="83">
        <v>0.4</v>
      </c>
      <c r="L11" s="81" t="s">
        <v>170</v>
      </c>
      <c r="M11" s="84">
        <v>0.27208480565371024</v>
      </c>
      <c r="N11" s="81" t="s">
        <v>197</v>
      </c>
      <c r="O11" s="84">
        <v>0.17777777777777778</v>
      </c>
      <c r="P11" s="81" t="s">
        <v>127</v>
      </c>
      <c r="Q11" s="85">
        <v>7948.6547085201792</v>
      </c>
      <c r="R11" s="81" t="s">
        <v>280</v>
      </c>
      <c r="S11" s="85">
        <v>-7987.5</v>
      </c>
      <c r="T11" s="81" t="s">
        <v>170</v>
      </c>
      <c r="U11" s="83">
        <v>0.11510791366906475</v>
      </c>
      <c r="V11" s="81" t="s">
        <v>196</v>
      </c>
      <c r="W11" s="84">
        <v>0.25833333333333336</v>
      </c>
      <c r="X11" s="81" t="s">
        <v>172</v>
      </c>
      <c r="Y11" s="84">
        <v>0.19119351100811124</v>
      </c>
      <c r="Z11" s="81" t="s">
        <v>228</v>
      </c>
      <c r="AA11" s="84">
        <v>0.53333333333333333</v>
      </c>
      <c r="AB11" s="81" t="s">
        <v>161</v>
      </c>
      <c r="AC11" s="84">
        <v>0.40099009900990101</v>
      </c>
      <c r="AD11" s="81" t="s">
        <v>161</v>
      </c>
      <c r="AE11" s="84">
        <v>0.42857142857142855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280</v>
      </c>
      <c r="C12" s="80">
        <v>-80.800000000000011</v>
      </c>
      <c r="D12" s="81" t="s">
        <v>161</v>
      </c>
      <c r="E12" s="93">
        <v>-6.9758620689655206</v>
      </c>
      <c r="F12" s="81" t="s">
        <v>228</v>
      </c>
      <c r="G12" s="82">
        <v>2.1428571428571428</v>
      </c>
      <c r="H12" s="81" t="s">
        <v>161</v>
      </c>
      <c r="I12" s="83">
        <v>0.28735632183908044</v>
      </c>
      <c r="J12" s="81" t="s">
        <v>196</v>
      </c>
      <c r="K12" s="83">
        <v>0.4</v>
      </c>
      <c r="L12" s="81" t="s">
        <v>172</v>
      </c>
      <c r="M12" s="84">
        <v>0.26535341830822712</v>
      </c>
      <c r="N12" s="81" t="s">
        <v>127</v>
      </c>
      <c r="O12" s="84">
        <v>0.17939733707077785</v>
      </c>
      <c r="P12" s="81" t="s">
        <v>172</v>
      </c>
      <c r="Q12" s="85">
        <v>7835.8078602620089</v>
      </c>
      <c r="R12" s="81" t="s">
        <v>203</v>
      </c>
      <c r="S12" s="85">
        <v>-8000</v>
      </c>
      <c r="T12" s="81" t="s">
        <v>196</v>
      </c>
      <c r="U12" s="83">
        <v>0.12</v>
      </c>
      <c r="V12" s="81" t="s">
        <v>141</v>
      </c>
      <c r="W12" s="84">
        <v>0.25062282012954656</v>
      </c>
      <c r="X12" s="81" t="s">
        <v>170</v>
      </c>
      <c r="Y12" s="84">
        <v>0.18197879858657243</v>
      </c>
      <c r="Z12" s="81" t="s">
        <v>161</v>
      </c>
      <c r="AA12" s="84">
        <v>0.5321100917431193</v>
      </c>
      <c r="AB12" s="81" t="s">
        <v>127</v>
      </c>
      <c r="AC12" s="84">
        <v>0.38497652582159625</v>
      </c>
      <c r="AD12" s="81" t="s">
        <v>126</v>
      </c>
      <c r="AE12" s="84">
        <v>0.42407407407407405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228</v>
      </c>
      <c r="C13" s="80">
        <v>-104.80000000000001</v>
      </c>
      <c r="D13" s="81" t="s">
        <v>172</v>
      </c>
      <c r="E13" s="93">
        <v>-7.5269999999999992</v>
      </c>
      <c r="F13" s="81" t="s">
        <v>161</v>
      </c>
      <c r="G13" s="82">
        <v>2.1609195402298851</v>
      </c>
      <c r="H13" s="81" t="s">
        <v>171</v>
      </c>
      <c r="I13" s="83">
        <v>0.25342465753424659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172</v>
      </c>
      <c r="O13" s="84">
        <v>0.18308227114716108</v>
      </c>
      <c r="P13" s="81" t="s">
        <v>228</v>
      </c>
      <c r="Q13" s="85">
        <v>7473.333333333333</v>
      </c>
      <c r="R13" s="81" t="s">
        <v>274</v>
      </c>
      <c r="S13" s="85">
        <v>-8195.2380952380954</v>
      </c>
      <c r="T13" s="81" t="s">
        <v>197</v>
      </c>
      <c r="U13" s="83">
        <v>0.15384615384615385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0.51754385964912286</v>
      </c>
      <c r="AB13" s="81" t="s">
        <v>170</v>
      </c>
      <c r="AC13" s="84">
        <v>0.36893203883495146</v>
      </c>
      <c r="AD13" s="81" t="s">
        <v>127</v>
      </c>
      <c r="AE13" s="84">
        <v>0.4170403587443946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-606.90000000000032</v>
      </c>
      <c r="D14" s="81" t="s">
        <v>197</v>
      </c>
      <c r="E14" s="93">
        <v>-10.290769230769232</v>
      </c>
      <c r="F14" s="81" t="s">
        <v>172</v>
      </c>
      <c r="G14" s="82">
        <v>2.19</v>
      </c>
      <c r="H14" s="81" t="s">
        <v>172</v>
      </c>
      <c r="I14" s="83">
        <v>0.21</v>
      </c>
      <c r="J14" s="81" t="s">
        <v>197</v>
      </c>
      <c r="K14" s="83">
        <v>0.43076923076923079</v>
      </c>
      <c r="L14" s="81" t="s">
        <v>197</v>
      </c>
      <c r="M14" s="84">
        <v>0.25925925925925924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-8397.9166666666661</v>
      </c>
      <c r="T14" s="81" t="s">
        <v>280</v>
      </c>
      <c r="U14" s="83">
        <v>0.2</v>
      </c>
      <c r="V14" s="81" t="s">
        <v>127</v>
      </c>
      <c r="W14" s="84">
        <v>0.23405746320953047</v>
      </c>
      <c r="X14" s="81" t="s">
        <v>196</v>
      </c>
      <c r="Y14" s="84">
        <v>0.15</v>
      </c>
      <c r="Z14" s="81" t="s">
        <v>127</v>
      </c>
      <c r="AA14" s="84">
        <v>0.51497005988023947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-668.90000000000009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0.44827586206896552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7096.666666666667</v>
      </c>
      <c r="R15" s="81" t="s">
        <v>281</v>
      </c>
      <c r="S15" s="85">
        <v>-8437.5</v>
      </c>
      <c r="T15" s="81" t="s">
        <v>274</v>
      </c>
      <c r="U15" s="83">
        <v>0.21428571428571427</v>
      </c>
      <c r="V15" s="81" t="s">
        <v>197</v>
      </c>
      <c r="W15" s="84">
        <v>0.21111111111111111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-752.69999999999993</v>
      </c>
      <c r="D16" s="81" t="s">
        <v>280</v>
      </c>
      <c r="E16" s="93">
        <v>-16.160000000000004</v>
      </c>
      <c r="F16" s="81" t="s">
        <v>197</v>
      </c>
      <c r="G16" s="82">
        <v>2.2615384615384615</v>
      </c>
      <c r="H16" s="81" t="s">
        <v>197</v>
      </c>
      <c r="I16" s="83">
        <v>0.16923076923076924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6534.090909090909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0.14211212516297261</v>
      </c>
      <c r="X16" s="81" t="s">
        <v>274</v>
      </c>
      <c r="Y16" s="84">
        <v>0.12698412698412698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6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960</v>
      </c>
      <c r="C2" s="155"/>
      <c r="E2" s="58" t="s">
        <v>66</v>
      </c>
      <c r="F2" s="55" t="s">
        <v>22</v>
      </c>
      <c r="G2" s="43">
        <v>1766</v>
      </c>
      <c r="H2" s="128">
        <f>IF(B$15=0,0,G2/B$15)</f>
        <v>0.74546222034613763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-28.213166144200628</v>
      </c>
      <c r="P2" s="114">
        <v>957</v>
      </c>
      <c r="Q2" s="98">
        <v>-27000</v>
      </c>
    </row>
    <row r="3" spans="1:17" x14ac:dyDescent="0.45">
      <c r="A3" s="51" t="s">
        <v>8</v>
      </c>
      <c r="B3" s="156">
        <v>8028</v>
      </c>
      <c r="C3" s="157"/>
      <c r="E3" s="59" t="s">
        <v>72</v>
      </c>
      <c r="F3" s="56" t="s">
        <v>27</v>
      </c>
      <c r="G3" s="44">
        <v>1284</v>
      </c>
      <c r="H3" s="129">
        <f>IF(B$15=0,0,G3/B$15)</f>
        <v>0.54200084423807515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8.4656084656084651</v>
      </c>
      <c r="P3" s="115">
        <v>945</v>
      </c>
      <c r="Q3" s="99">
        <v>8000</v>
      </c>
    </row>
    <row r="4" spans="1:17" x14ac:dyDescent="0.45">
      <c r="A4" s="51" t="s">
        <v>6</v>
      </c>
      <c r="B4" s="158">
        <v>-6.3948846218409017E-14</v>
      </c>
      <c r="C4" s="159"/>
      <c r="E4" s="59" t="s">
        <v>64</v>
      </c>
      <c r="F4" s="56" t="s">
        <v>20</v>
      </c>
      <c r="G4" s="44">
        <v>1074</v>
      </c>
      <c r="H4" s="129">
        <f>IF(B$15=0,0,G4/B$15)</f>
        <v>0.45335584634867032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-2.244668911335578</v>
      </c>
      <c r="P4" s="115">
        <v>891</v>
      </c>
      <c r="Q4" s="99">
        <v>-2000</v>
      </c>
    </row>
    <row r="5" spans="1:17" x14ac:dyDescent="0.45">
      <c r="A5" s="51" t="s">
        <v>7</v>
      </c>
      <c r="B5" s="160">
        <f>IF(B$2=0,0,B$4/B$2)</f>
        <v>-6.661338147750939E-17</v>
      </c>
      <c r="C5" s="161"/>
      <c r="E5" s="59" t="s">
        <v>166</v>
      </c>
      <c r="F5" s="56" t="s">
        <v>167</v>
      </c>
      <c r="G5" s="44">
        <v>924</v>
      </c>
      <c r="H5" s="129">
        <f>IF(B$15=0,0,G5/B$15)</f>
        <v>0.39003799071338119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5.9523809523809526</v>
      </c>
      <c r="P5" s="115">
        <v>840</v>
      </c>
      <c r="Q5" s="99">
        <v>5000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738</v>
      </c>
      <c r="H6" s="129">
        <f>IF(B$15=0,0,G6/B$15)</f>
        <v>0.31152384972562264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3.8610038610038608</v>
      </c>
      <c r="P6" s="115">
        <v>777</v>
      </c>
      <c r="Q6" s="99">
        <v>3000</v>
      </c>
    </row>
    <row r="7" spans="1:17" x14ac:dyDescent="0.45">
      <c r="A7" s="51" t="s">
        <v>2</v>
      </c>
      <c r="B7" s="44">
        <v>320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657</v>
      </c>
      <c r="H7" s="129">
        <f>IF(B$15=0,0,G7/B$15)</f>
        <v>0.2773322076825665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17.133956386292834</v>
      </c>
      <c r="P7" s="116">
        <v>642</v>
      </c>
      <c r="Q7" s="100">
        <v>11000</v>
      </c>
    </row>
    <row r="8" spans="1:17" x14ac:dyDescent="0.45">
      <c r="A8" s="51" t="s">
        <v>3</v>
      </c>
      <c r="B8" s="44">
        <v>320</v>
      </c>
      <c r="C8" s="37">
        <f t="shared" si="1"/>
        <v>0.33333333333333331</v>
      </c>
      <c r="E8" s="59" t="s">
        <v>69</v>
      </c>
      <c r="F8" s="56" t="s">
        <v>24</v>
      </c>
      <c r="G8" s="44">
        <v>334</v>
      </c>
      <c r="H8" s="129">
        <f>IF(B$15=0,0,G8/B$15)</f>
        <v>0.14098775854791051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320</v>
      </c>
      <c r="C9" s="38">
        <f t="shared" si="1"/>
        <v>0.33333333333333331</v>
      </c>
      <c r="E9" s="59" t="s">
        <v>89</v>
      </c>
      <c r="F9" s="56" t="s">
        <v>44</v>
      </c>
      <c r="G9" s="44">
        <v>326</v>
      </c>
      <c r="H9" s="129">
        <f>IF(B$15=0,0,G9/B$15)</f>
        <v>0.13761080624736174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88</v>
      </c>
      <c r="C10" s="40">
        <f t="shared" si="1"/>
        <v>9.166666666666666E-2</v>
      </c>
      <c r="E10" s="59" t="s">
        <v>65</v>
      </c>
      <c r="F10" s="56" t="s">
        <v>21</v>
      </c>
      <c r="G10" s="44">
        <v>247</v>
      </c>
      <c r="H10" s="129">
        <f>IF(B$15=0,0,G10/B$15)</f>
        <v>0.10426340227944281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-4.1628124999999994</v>
      </c>
      <c r="P10" s="114">
        <v>320</v>
      </c>
      <c r="Q10" s="102">
        <v>-1332.0999999999997</v>
      </c>
    </row>
    <row r="11" spans="1:17" x14ac:dyDescent="0.45">
      <c r="A11" s="54" t="s">
        <v>121</v>
      </c>
      <c r="B11" s="47">
        <v>2012</v>
      </c>
      <c r="C11" s="42">
        <f>IF(B$3=0,0,B11/B$3)</f>
        <v>0.25062282012954656</v>
      </c>
      <c r="E11" s="59" t="s">
        <v>70</v>
      </c>
      <c r="F11" s="56" t="s">
        <v>25</v>
      </c>
      <c r="G11" s="44">
        <v>217</v>
      </c>
      <c r="H11" s="129">
        <f>IF(B$15=0,0,G11/B$15)</f>
        <v>9.1599831152384972E-2</v>
      </c>
      <c r="I11" s="90">
        <v>8</v>
      </c>
      <c r="K11" s="36">
        <v>9</v>
      </c>
      <c r="L11" s="95">
        <v>0</v>
      </c>
      <c r="N11" s="111" t="s">
        <v>158</v>
      </c>
      <c r="O11" s="121">
        <f>IF(P11=0,0,Q11/P11)</f>
        <v>0.99250000000000027</v>
      </c>
      <c r="P11" s="115">
        <v>320</v>
      </c>
      <c r="Q11" s="103">
        <v>317.60000000000008</v>
      </c>
    </row>
    <row r="12" spans="1:17" x14ac:dyDescent="0.45">
      <c r="A12" s="51" t="s">
        <v>118</v>
      </c>
      <c r="B12" s="44">
        <v>1865</v>
      </c>
      <c r="C12" s="37">
        <f>IF(B$3=0,0,B12/B$3)</f>
        <v>0.23231190832087692</v>
      </c>
      <c r="E12" s="59" t="s">
        <v>71</v>
      </c>
      <c r="F12" s="56" t="s">
        <v>26</v>
      </c>
      <c r="G12" s="44">
        <v>187</v>
      </c>
      <c r="H12" s="129">
        <f>IF(B$15=0,0,G12/B$15)</f>
        <v>7.8936260025327137E-2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3.1703124999999988</v>
      </c>
      <c r="P12" s="116">
        <v>320</v>
      </c>
      <c r="Q12" s="104">
        <v>1014.4999999999997</v>
      </c>
    </row>
    <row r="13" spans="1:17" x14ac:dyDescent="0.45">
      <c r="A13" s="50" t="s">
        <v>123</v>
      </c>
      <c r="B13" s="43">
        <f>B19</f>
        <v>1111</v>
      </c>
      <c r="C13" s="35">
        <f>IF(B$11=0,0,B13/B$11)</f>
        <v>0.55218687872763417</v>
      </c>
      <c r="E13" s="59" t="s">
        <v>83</v>
      </c>
      <c r="F13" s="56" t="s">
        <v>38</v>
      </c>
      <c r="G13" s="44">
        <v>118</v>
      </c>
      <c r="H13" s="129">
        <f>IF(B$15=0,0,G13/B$15)</f>
        <v>4.9810046433094134E-2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783</v>
      </c>
      <c r="C14" s="35">
        <f>IF(B$12=0,0,B14/B$12)</f>
        <v>0.41983914209115281</v>
      </c>
      <c r="E14" s="59" t="s">
        <v>86</v>
      </c>
      <c r="F14" s="56" t="s">
        <v>41</v>
      </c>
      <c r="G14" s="44">
        <v>117</v>
      </c>
      <c r="H14" s="129">
        <f>IF(B$15=0,0,G14/B$15)</f>
        <v>4.9387927395525541E-2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2369</v>
      </c>
      <c r="C15" s="35">
        <f>IF(B$3=0,0,B15/B$3)</f>
        <v>0.29509217737917287</v>
      </c>
      <c r="E15" s="59" t="s">
        <v>78</v>
      </c>
      <c r="F15" s="56" t="s">
        <v>33</v>
      </c>
      <c r="G15" s="44">
        <v>66</v>
      </c>
      <c r="H15" s="129">
        <f>IF(B$15=0,0,G15/B$15)</f>
        <v>2.7859856479527226E-2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1294</v>
      </c>
      <c r="C16" s="37">
        <f>IF(B$3=0,0,B16/B$3)</f>
        <v>0.16118584952665671</v>
      </c>
      <c r="E16" s="59" t="s">
        <v>81</v>
      </c>
      <c r="F16" s="56" t="s">
        <v>36</v>
      </c>
      <c r="G16" s="44">
        <v>51</v>
      </c>
      <c r="H16" s="129">
        <f>IF(B$15=0,0,G16/B$15)</f>
        <v>2.1528070915998312E-2</v>
      </c>
      <c r="I16" s="90">
        <v>5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1063</v>
      </c>
      <c r="C17" s="37">
        <f>IF(B$15=0,0,B17/B$15)</f>
        <v>0.4487125369354158</v>
      </c>
      <c r="E17" s="59" t="s">
        <v>162</v>
      </c>
      <c r="F17" s="56" t="s">
        <v>163</v>
      </c>
      <c r="G17" s="44">
        <v>49</v>
      </c>
      <c r="H17" s="129">
        <f>IF(B$15=0,0,G17/B$15)</f>
        <v>2.0683832840861123E-2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15.436153846153831</v>
      </c>
      <c r="P17" s="115">
        <v>130</v>
      </c>
      <c r="Q17" s="103">
        <v>2006.699999999998</v>
      </c>
    </row>
    <row r="18" spans="1:17" x14ac:dyDescent="0.45">
      <c r="A18" s="51" t="s">
        <v>11</v>
      </c>
      <c r="B18" s="44">
        <v>1306</v>
      </c>
      <c r="C18" s="37">
        <f>IF(B$15=0,0,B18/B$15)</f>
        <v>0.5512874630645842</v>
      </c>
      <c r="E18" s="59" t="s">
        <v>91</v>
      </c>
      <c r="F18" s="56" t="s">
        <v>46</v>
      </c>
      <c r="G18" s="44">
        <v>37</v>
      </c>
      <c r="H18" s="129">
        <f>IF(B$15=0,0,G18/B$15)</f>
        <v>1.561840439003799E-2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11.290499999999994</v>
      </c>
      <c r="P18" s="115">
        <v>200</v>
      </c>
      <c r="Q18" s="103">
        <v>2258.099999999999</v>
      </c>
    </row>
    <row r="19" spans="1:17" x14ac:dyDescent="0.45">
      <c r="A19" s="51" t="s">
        <v>195</v>
      </c>
      <c r="B19" s="44">
        <v>1111</v>
      </c>
      <c r="C19" s="37">
        <f>IF(B$15=0,0,B19/B$15)</f>
        <v>0.4689742507387083</v>
      </c>
      <c r="E19" s="59" t="s">
        <v>79</v>
      </c>
      <c r="F19" s="56" t="s">
        <v>34</v>
      </c>
      <c r="G19" s="44">
        <v>34</v>
      </c>
      <c r="H19" s="129">
        <f>IF(B$15=0,0,G19/B$15)</f>
        <v>1.4352047277332207E-2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7.901052631578942</v>
      </c>
      <c r="P19" s="115">
        <v>190</v>
      </c>
      <c r="Q19" s="103">
        <v>1501.1999999999989</v>
      </c>
    </row>
    <row r="20" spans="1:17" x14ac:dyDescent="0.45">
      <c r="A20" s="51" t="s">
        <v>193</v>
      </c>
      <c r="B20" s="44">
        <v>783</v>
      </c>
      <c r="C20" s="37">
        <f>IF(B$15=0,0,B20/B$15)</f>
        <v>0.33051920641620935</v>
      </c>
      <c r="E20" s="59" t="s">
        <v>75</v>
      </c>
      <c r="F20" s="56" t="s">
        <v>30</v>
      </c>
      <c r="G20" s="44">
        <v>19</v>
      </c>
      <c r="H20" s="129">
        <f>IF(B$15=0,0,G20/B$15)</f>
        <v>8.0202617138032933E-3</v>
      </c>
      <c r="I20" s="90">
        <v>6</v>
      </c>
      <c r="K20" s="36">
        <v>18</v>
      </c>
      <c r="L20" s="95">
        <v>0</v>
      </c>
      <c r="N20" s="111" t="s">
        <v>274</v>
      </c>
      <c r="O20" s="121">
        <f>IF(P20=0,0,Q20/P20)</f>
        <v>5.9464285714285685</v>
      </c>
      <c r="P20" s="115">
        <v>28</v>
      </c>
      <c r="Q20" s="103">
        <v>166.49999999999991</v>
      </c>
    </row>
    <row r="21" spans="1:17" x14ac:dyDescent="0.45">
      <c r="A21" s="51" t="s">
        <v>194</v>
      </c>
      <c r="B21" s="44">
        <v>475</v>
      </c>
      <c r="C21" s="37">
        <f>IF(B$15=0,0,B21/B$15)</f>
        <v>0.20050654284508232</v>
      </c>
      <c r="E21" s="59" t="s">
        <v>92</v>
      </c>
      <c r="F21" s="56" t="s">
        <v>47</v>
      </c>
      <c r="G21" s="44">
        <v>16</v>
      </c>
      <c r="H21" s="129">
        <f>IF(B$15=0,0,G21/B$15)</f>
        <v>6.7539046010975093E-3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8357.7036724356276</v>
      </c>
      <c r="C22" s="39">
        <v>19799400</v>
      </c>
      <c r="E22" s="59" t="s">
        <v>85</v>
      </c>
      <c r="F22" s="56" t="s">
        <v>40</v>
      </c>
      <c r="G22" s="44">
        <v>14</v>
      </c>
      <c r="H22" s="129">
        <f>IF(B$15=0,0,G22/B$15)</f>
        <v>5.9096665259603205E-3</v>
      </c>
      <c r="I22" s="90">
        <v>6</v>
      </c>
      <c r="K22" s="36">
        <v>20</v>
      </c>
      <c r="L22" s="95">
        <v>-61.199999999999996</v>
      </c>
      <c r="N22" s="111" t="s">
        <v>127</v>
      </c>
      <c r="O22" s="121">
        <f>IF(P22=0,0,Q22/P22)</f>
        <v>0.52761627906976394</v>
      </c>
      <c r="P22" s="115">
        <v>344</v>
      </c>
      <c r="Q22" s="103">
        <v>181.49999999999881</v>
      </c>
    </row>
    <row r="23" spans="1:17" x14ac:dyDescent="0.45">
      <c r="A23" s="52" t="s">
        <v>177</v>
      </c>
      <c r="B23" s="136">
        <f>IF($B$15-B$14=0,0,C23/($B$15-B$14))</f>
        <v>9044.9558638083236</v>
      </c>
      <c r="C23" s="137">
        <v>14345300</v>
      </c>
      <c r="E23" s="59" t="s">
        <v>73</v>
      </c>
      <c r="F23" s="56" t="s">
        <v>28</v>
      </c>
      <c r="G23" s="44">
        <v>8</v>
      </c>
      <c r="H23" s="129">
        <f>IF(B$15=0,0,G23/B$15)</f>
        <v>3.3769523005487546E-3</v>
      </c>
      <c r="I23" s="90">
        <v>3</v>
      </c>
      <c r="K23" s="36">
        <v>21</v>
      </c>
      <c r="L23" s="95">
        <v>7.1054273576010019E-15</v>
      </c>
      <c r="N23" s="111" t="s">
        <v>171</v>
      </c>
      <c r="O23" s="121">
        <f>IF(P23=0,0,Q23/P23)</f>
        <v>0.28869863013698649</v>
      </c>
      <c r="P23" s="115">
        <v>292</v>
      </c>
      <c r="Q23" s="103">
        <v>84.300000000000054</v>
      </c>
    </row>
    <row r="24" spans="1:17" x14ac:dyDescent="0.45">
      <c r="A24" s="52" t="s">
        <v>178</v>
      </c>
      <c r="B24" s="136">
        <f>IF(B$14=0,0,C24/B$14)</f>
        <v>6965.6449553001275</v>
      </c>
      <c r="C24" s="137">
        <v>5454100</v>
      </c>
      <c r="E24" s="59" t="s">
        <v>74</v>
      </c>
      <c r="F24" s="56" t="s">
        <v>29</v>
      </c>
      <c r="G24" s="44">
        <v>8</v>
      </c>
      <c r="H24" s="129">
        <f>IF(B$15=0,0,G24/B$15)</f>
        <v>3.3769523005487546E-3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-6.279496402877693</v>
      </c>
      <c r="P24" s="115">
        <v>278</v>
      </c>
      <c r="Q24" s="103">
        <v>-1745.6999999999987</v>
      </c>
    </row>
    <row r="25" spans="1:17" x14ac:dyDescent="0.45">
      <c r="A25" s="52" t="s">
        <v>176</v>
      </c>
      <c r="B25" s="136">
        <f>IF(B$16=0,0,C25/B$16)</f>
        <v>-7770.788253477589</v>
      </c>
      <c r="C25" s="137">
        <v>-10055400</v>
      </c>
      <c r="E25" s="59" t="s">
        <v>84</v>
      </c>
      <c r="F25" s="56" t="s">
        <v>39</v>
      </c>
      <c r="G25" s="44">
        <v>7</v>
      </c>
      <c r="H25" s="129">
        <f>IF(B$15=0,0,G25/B$15)</f>
        <v>2.9548332629801602E-3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-13.336578947368425</v>
      </c>
      <c r="P25" s="115">
        <v>380</v>
      </c>
      <c r="Q25" s="103">
        <v>-5067.9000000000015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2.5327142254115659E-3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88</v>
      </c>
      <c r="F27" s="56" t="s">
        <v>43</v>
      </c>
      <c r="G27" s="44">
        <v>6</v>
      </c>
      <c r="H27" s="129">
        <f>IF(B$15=0,0,G27/B$15)</f>
        <v>2.5327142254115659E-3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2.1105951878429719E-3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1.6884761502743773E-3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22</v>
      </c>
      <c r="C30" s="40">
        <f>IF(B$3=0,0,B30/B$3)</f>
        <v>2.7404085700049826E-3</v>
      </c>
      <c r="E30" s="59" t="s">
        <v>93</v>
      </c>
      <c r="F30" s="56" t="s">
        <v>48</v>
      </c>
      <c r="G30" s="44">
        <v>4</v>
      </c>
      <c r="H30" s="129">
        <f>IF(B$15=0,0,G30/B$15)</f>
        <v>1.6884761502743773E-3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1.6884761502743773E-3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187</v>
      </c>
      <c r="C32" s="141">
        <f>IF(B$15=0,0,B32/B$15)</f>
        <v>7.8936260025327137E-2</v>
      </c>
      <c r="E32" s="59" t="s">
        <v>97</v>
      </c>
      <c r="F32" s="56" t="s">
        <v>52</v>
      </c>
      <c r="G32" s="44">
        <v>1</v>
      </c>
      <c r="H32" s="129">
        <f>IF(B$15=0,0,G32/B$15)</f>
        <v>4.2211903756859433E-4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408</v>
      </c>
      <c r="C33" s="37">
        <f t="shared" ref="C33:C44" si="2">IF(B$15=0,0,B33/B$15)</f>
        <v>0.17222456732798649</v>
      </c>
      <c r="E33" s="59" t="s">
        <v>101</v>
      </c>
      <c r="F33" s="56" t="s">
        <v>56</v>
      </c>
      <c r="G33" s="44">
        <v>1</v>
      </c>
      <c r="H33" s="129">
        <f>IF(B$15=0,0,G33/B$15)</f>
        <v>4.2211903756859433E-4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463</v>
      </c>
      <c r="C34" s="37">
        <f>IF(B$15=0,0,B34/B$15)</f>
        <v>0.19544111439425918</v>
      </c>
      <c r="E34" s="59" t="s">
        <v>106</v>
      </c>
      <c r="F34" s="56" t="s">
        <v>113</v>
      </c>
      <c r="G34" s="44">
        <v>1</v>
      </c>
      <c r="H34" s="129">
        <f>IF(B$15=0,0,G34/B$15)</f>
        <v>4.2211903756859433E-4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421</v>
      </c>
      <c r="C35" s="37">
        <f t="shared" si="2"/>
        <v>0.17771211481637822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368</v>
      </c>
      <c r="C36" s="37">
        <f t="shared" si="2"/>
        <v>0.1553398058252427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249</v>
      </c>
      <c r="C37" s="37">
        <f t="shared" si="2"/>
        <v>0.10510764035457999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124</v>
      </c>
      <c r="C38" s="37">
        <f t="shared" si="2"/>
        <v>5.2342760658505696E-2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68</v>
      </c>
      <c r="C39" s="37">
        <f t="shared" si="2"/>
        <v>2.8704094554664415E-2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30</v>
      </c>
      <c r="C40" s="37">
        <f t="shared" si="2"/>
        <v>1.266357112705783E-2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10</v>
      </c>
      <c r="C41" s="37">
        <f t="shared" si="2"/>
        <v>4.2211903756859438E-3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7</v>
      </c>
      <c r="C42" s="37">
        <f t="shared" si="2"/>
        <v>2.9548332629801602E-3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2.5327142254115659E-3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28</v>
      </c>
      <c r="C44" s="40">
        <f t="shared" si="2"/>
        <v>1.1819333051920641E-2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87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0.69047619047619047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1810.344827586207</v>
      </c>
      <c r="P2" s="114">
        <v>87</v>
      </c>
      <c r="Q2" s="98">
        <v>157500</v>
      </c>
    </row>
    <row r="3" spans="1:17" x14ac:dyDescent="0.45">
      <c r="A3" s="51" t="s">
        <v>8</v>
      </c>
      <c r="B3" s="156">
        <v>767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0.56666666666666665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-1944.1860465116279</v>
      </c>
      <c r="P3" s="115">
        <v>86</v>
      </c>
      <c r="Q3" s="99">
        <v>-167200</v>
      </c>
    </row>
    <row r="4" spans="1:17" x14ac:dyDescent="0.45">
      <c r="A4" s="51" t="s">
        <v>6</v>
      </c>
      <c r="B4" s="158">
        <v>-606.90000000000032</v>
      </c>
      <c r="C4" s="159"/>
      <c r="E4" s="59" t="s">
        <v>166</v>
      </c>
      <c r="F4" s="56" t="s">
        <v>167</v>
      </c>
      <c r="G4" s="44">
        <v>73</v>
      </c>
      <c r="H4" s="129">
        <f>IF(B$15=0,0,G4/B$15)</f>
        <v>0.34761904761904761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-1697.5903614457832</v>
      </c>
      <c r="P4" s="115">
        <v>83</v>
      </c>
      <c r="Q4" s="99">
        <v>-140900</v>
      </c>
    </row>
    <row r="5" spans="1:17" x14ac:dyDescent="0.45">
      <c r="A5" s="51" t="s">
        <v>7</v>
      </c>
      <c r="B5" s="160">
        <f>IF(B$2=0,0,B$4/B$2)</f>
        <v>-6.9758620689655206</v>
      </c>
      <c r="C5" s="161"/>
      <c r="E5" s="59" t="s">
        <v>64</v>
      </c>
      <c r="F5" s="56" t="s">
        <v>20</v>
      </c>
      <c r="G5" s="44">
        <v>57</v>
      </c>
      <c r="H5" s="129">
        <f>IF(B$15=0,0,G5/B$15)</f>
        <v>0.27142857142857141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-1089.7435897435898</v>
      </c>
      <c r="P5" s="115">
        <v>78</v>
      </c>
      <c r="Q5" s="99">
        <v>-85000</v>
      </c>
    </row>
    <row r="6" spans="1:17" x14ac:dyDescent="0.45">
      <c r="A6" s="51" t="s">
        <v>1</v>
      </c>
      <c r="B6" s="150">
        <f>IF(B$2=0,0,(B$7*1+B$8*2+B$9*3)/B$2)</f>
        <v>2.1609195402298851</v>
      </c>
      <c r="C6" s="151"/>
      <c r="E6" s="59" t="s">
        <v>68</v>
      </c>
      <c r="F6" s="56" t="s">
        <v>12</v>
      </c>
      <c r="G6" s="44">
        <v>57</v>
      </c>
      <c r="H6" s="129">
        <f>IF(B$15=0,0,G6/B$15)</f>
        <v>0.27142857142857141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-235.52631578947367</v>
      </c>
      <c r="P6" s="115">
        <v>76</v>
      </c>
      <c r="Q6" s="99">
        <v>-17900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0.28735632183908044</v>
      </c>
      <c r="E7" s="59" t="s">
        <v>67</v>
      </c>
      <c r="F7" s="56" t="s">
        <v>23</v>
      </c>
      <c r="G7" s="44">
        <v>38</v>
      </c>
      <c r="H7" s="129">
        <f>IF(B$15=0,0,G7/B$15)</f>
        <v>0.18095238095238095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23</v>
      </c>
      <c r="C8" s="37">
        <f t="shared" si="1"/>
        <v>0.26436781609195403</v>
      </c>
      <c r="E8" s="59" t="s">
        <v>69</v>
      </c>
      <c r="F8" s="56" t="s">
        <v>24</v>
      </c>
      <c r="G8" s="44">
        <v>35</v>
      </c>
      <c r="H8" s="129">
        <f>IF(B$15=0,0,G8/B$15)</f>
        <v>0.16666666666666666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0.44827586206896552</v>
      </c>
      <c r="E9" s="59" t="s">
        <v>71</v>
      </c>
      <c r="F9" s="56" t="s">
        <v>26</v>
      </c>
      <c r="G9" s="44">
        <v>27</v>
      </c>
      <c r="H9" s="129">
        <f>IF(B$15=0,0,G9/B$15)</f>
        <v>0.12857142857142856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8.0459770114942528E-2</v>
      </c>
      <c r="E10" s="59" t="s">
        <v>70</v>
      </c>
      <c r="F10" s="56" t="s">
        <v>25</v>
      </c>
      <c r="G10" s="44">
        <v>24</v>
      </c>
      <c r="H10" s="129">
        <f>IF(B$15=0,0,G10/B$15)</f>
        <v>0.11428571428571428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-13.446666666666665</v>
      </c>
      <c r="P10" s="114">
        <v>30</v>
      </c>
      <c r="Q10" s="102">
        <v>-403.4</v>
      </c>
    </row>
    <row r="11" spans="1:17" x14ac:dyDescent="0.45">
      <c r="A11" s="54" t="s">
        <v>121</v>
      </c>
      <c r="B11" s="47">
        <v>109</v>
      </c>
      <c r="C11" s="42">
        <f>IF(B$3=0,0,B11/B$3)</f>
        <v>0.14211212516297261</v>
      </c>
      <c r="E11" s="59" t="s">
        <v>83</v>
      </c>
      <c r="F11" s="56" t="s">
        <v>38</v>
      </c>
      <c r="G11" s="44">
        <v>19</v>
      </c>
      <c r="H11" s="129">
        <f>IF(B$15=0,0,G11/B$15)</f>
        <v>9.0476190476190474E-2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202</v>
      </c>
      <c r="C12" s="37">
        <f>IF(B$3=0,0,B12/B$3)</f>
        <v>0.26336375488917863</v>
      </c>
      <c r="E12" s="59" t="s">
        <v>89</v>
      </c>
      <c r="F12" s="56" t="s">
        <v>44</v>
      </c>
      <c r="G12" s="44">
        <v>14</v>
      </c>
      <c r="H12" s="129">
        <f>IF(B$15=0,0,G12/B$15)</f>
        <v>6.6666666666666666E-2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58</v>
      </c>
      <c r="C13" s="35">
        <f>IF(B$11=0,0,B13/B$11)</f>
        <v>0.5321100917431193</v>
      </c>
      <c r="E13" s="59" t="s">
        <v>65</v>
      </c>
      <c r="F13" s="56" t="s">
        <v>21</v>
      </c>
      <c r="G13" s="44">
        <v>13</v>
      </c>
      <c r="H13" s="129">
        <f>IF(B$15=0,0,G13/B$15)</f>
        <v>6.1904761904761907E-2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</v>
      </c>
      <c r="C14" s="35">
        <f>IF(B$12=0,0,B14/B$12)</f>
        <v>0.40099009900990101</v>
      </c>
      <c r="E14" s="59" t="s">
        <v>81</v>
      </c>
      <c r="F14" s="56" t="s">
        <v>36</v>
      </c>
      <c r="G14" s="44">
        <v>9</v>
      </c>
      <c r="H14" s="129">
        <f>IF(B$15=0,0,G14/B$15)</f>
        <v>4.2857142857142858E-2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210</v>
      </c>
      <c r="C15" s="35">
        <f>IF(B$3=0,0,B15/B$3)</f>
        <v>0.27379400260756193</v>
      </c>
      <c r="E15" s="59" t="s">
        <v>86</v>
      </c>
      <c r="F15" s="56" t="s">
        <v>41</v>
      </c>
      <c r="G15" s="44">
        <v>7</v>
      </c>
      <c r="H15" s="129">
        <f>IF(B$15=0,0,G15/B$15)</f>
        <v>3.3333333333333333E-2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126</v>
      </c>
      <c r="C16" s="37">
        <f>IF(B$3=0,0,B16/B$3)</f>
        <v>0.16427640156453716</v>
      </c>
      <c r="E16" s="59" t="s">
        <v>79</v>
      </c>
      <c r="F16" s="56" t="s">
        <v>34</v>
      </c>
      <c r="G16" s="44">
        <v>5</v>
      </c>
      <c r="H16" s="129">
        <f>IF(B$15=0,0,G16/B$15)</f>
        <v>2.3809523809523808E-2</v>
      </c>
      <c r="I16" s="90">
        <v>2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90</v>
      </c>
      <c r="C17" s="37">
        <f>IF(B$15=0,0,B17/B$15)</f>
        <v>0.42857142857142855</v>
      </c>
      <c r="E17" s="59" t="s">
        <v>91</v>
      </c>
      <c r="F17" s="56" t="s">
        <v>46</v>
      </c>
      <c r="G17" s="44">
        <v>4</v>
      </c>
      <c r="H17" s="129">
        <f>IF(B$15=0,0,G17/B$15)</f>
        <v>1.9047619047619049E-2</v>
      </c>
      <c r="I17" s="90">
        <v>4</v>
      </c>
      <c r="K17" s="36">
        <v>15</v>
      </c>
      <c r="L17" s="95">
        <v>-65.2</v>
      </c>
      <c r="N17" s="111" t="s">
        <v>171</v>
      </c>
      <c r="O17" s="121">
        <f t="shared" si="2"/>
        <v>-0.73448275862068968</v>
      </c>
      <c r="P17" s="115">
        <v>29</v>
      </c>
      <c r="Q17" s="103">
        <v>-21.3</v>
      </c>
    </row>
    <row r="18" spans="1:17" x14ac:dyDescent="0.45">
      <c r="A18" s="51" t="s">
        <v>11</v>
      </c>
      <c r="B18" s="44">
        <v>120</v>
      </c>
      <c r="C18" s="37">
        <f>IF(B$15=0,0,B18/B$15)</f>
        <v>0.5714285714285714</v>
      </c>
      <c r="E18" s="59" t="s">
        <v>74</v>
      </c>
      <c r="F18" s="56" t="s">
        <v>29</v>
      </c>
      <c r="G18" s="44">
        <v>2</v>
      </c>
      <c r="H18" s="129">
        <f>IF(B$15=0,0,G18/B$15)</f>
        <v>9.5238095238095247E-3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58</v>
      </c>
      <c r="C19" s="37">
        <f>IF(B$15=0,0,B19/B$15)</f>
        <v>0.27619047619047621</v>
      </c>
      <c r="E19" s="59" t="s">
        <v>75</v>
      </c>
      <c r="F19" s="56" t="s">
        <v>30</v>
      </c>
      <c r="G19" s="44">
        <v>2</v>
      </c>
      <c r="H19" s="129">
        <f>IF(B$15=0,0,G19/B$15)</f>
        <v>9.5238095238095247E-3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81</v>
      </c>
      <c r="C20" s="37">
        <f>IF(B$15=0,0,B20/B$15)</f>
        <v>0.38571428571428573</v>
      </c>
      <c r="E20" s="59" t="s">
        <v>78</v>
      </c>
      <c r="F20" s="56" t="s">
        <v>33</v>
      </c>
      <c r="G20" s="44">
        <v>2</v>
      </c>
      <c r="H20" s="129">
        <f>IF(B$15=0,0,G20/B$15)</f>
        <v>9.5238095238095247E-3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 t="shared" si="2"/>
        <v>-14.360000000000005</v>
      </c>
      <c r="P20" s="115">
        <v>40</v>
      </c>
      <c r="Q20" s="103">
        <v>-574.4000000000002</v>
      </c>
    </row>
    <row r="21" spans="1:17" x14ac:dyDescent="0.45">
      <c r="A21" s="51" t="s">
        <v>194</v>
      </c>
      <c r="B21" s="44">
        <v>71</v>
      </c>
      <c r="C21" s="37">
        <f>IF(B$15=0,0,B21/B$15)</f>
        <v>0.33809523809523812</v>
      </c>
      <c r="E21" s="59" t="s">
        <v>88</v>
      </c>
      <c r="F21" s="56" t="s">
        <v>43</v>
      </c>
      <c r="G21" s="44">
        <v>2</v>
      </c>
      <c r="H21" s="129">
        <f>IF(B$15=0,0,G21/B$15)</f>
        <v>9.5238095238095247E-3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7096.666666666667</v>
      </c>
      <c r="C22" s="39">
        <v>1490300</v>
      </c>
      <c r="E22" s="59" t="s">
        <v>93</v>
      </c>
      <c r="F22" s="56" t="s">
        <v>48</v>
      </c>
      <c r="G22" s="44">
        <v>2</v>
      </c>
      <c r="H22" s="129">
        <f>IF(B$15=0,0,G22/B$15)</f>
        <v>9.5238095238095247E-3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-26.54137931034483</v>
      </c>
      <c r="P22" s="115">
        <v>29</v>
      </c>
      <c r="Q22" s="103">
        <v>-769.7</v>
      </c>
    </row>
    <row r="23" spans="1:17" x14ac:dyDescent="0.45">
      <c r="A23" s="52" t="s">
        <v>177</v>
      </c>
      <c r="B23" s="136">
        <f>IF($B$15-B$14=0,0,C23/($B$15-B$14))</f>
        <v>7605.426356589147</v>
      </c>
      <c r="C23" s="137">
        <v>981100</v>
      </c>
      <c r="E23" s="59" t="s">
        <v>77</v>
      </c>
      <c r="F23" s="56" t="s">
        <v>32</v>
      </c>
      <c r="G23" s="44">
        <v>1</v>
      </c>
      <c r="H23" s="129">
        <f>IF(B$15=0,0,G23/B$15)</f>
        <v>4.7619047619047623E-3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6286.4197530864194</v>
      </c>
      <c r="C24" s="137">
        <v>509200</v>
      </c>
      <c r="E24" s="59" t="s">
        <v>84</v>
      </c>
      <c r="F24" s="56" t="s">
        <v>39</v>
      </c>
      <c r="G24" s="44">
        <v>1</v>
      </c>
      <c r="H24" s="129">
        <f>IF(B$15=0,0,G24/B$15)</f>
        <v>4.7619047619047623E-3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-7537.3015873015875</v>
      </c>
      <c r="C25" s="137">
        <v>-949700</v>
      </c>
      <c r="E25" s="59" t="s">
        <v>87</v>
      </c>
      <c r="F25" s="56" t="s">
        <v>42</v>
      </c>
      <c r="G25" s="44">
        <v>1</v>
      </c>
      <c r="H25" s="129">
        <f>IF(B$15=0,0,G25/B$15)</f>
        <v>4.7619047619047623E-3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4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2.6075619295958278E-3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0.12857142857142856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44</v>
      </c>
      <c r="C33" s="37">
        <f t="shared" ref="C33:C44" si="3">IF(B$15=0,0,B33/B$15)</f>
        <v>0.20952380952380953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43</v>
      </c>
      <c r="C34" s="37">
        <f>IF(B$15=0,0,B34/B$15)</f>
        <v>0.20476190476190476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37</v>
      </c>
      <c r="C35" s="37">
        <f t="shared" si="3"/>
        <v>0.1761904761904762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0.10476190476190476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3"/>
        <v>8.0952380952380956E-2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5.2380952380952382E-2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2.8571428571428571E-2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4.7619047619047623E-3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9.5238095238095247E-3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</sheetData>
  <sortState xmlns:xlrd2="http://schemas.microsoft.com/office/spreadsheetml/2017/richdata2" ref="E2:I9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9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190</v>
      </c>
      <c r="C2" s="155"/>
      <c r="E2" s="58" t="s">
        <v>66</v>
      </c>
      <c r="F2" s="55" t="s">
        <v>22</v>
      </c>
      <c r="G2" s="43">
        <v>363</v>
      </c>
      <c r="H2" s="128">
        <f>IF(B$15=0,0,G2/B$15)</f>
        <v>0.67222222222222228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1368.7830687830688</v>
      </c>
      <c r="P2" s="114">
        <v>189</v>
      </c>
      <c r="Q2" s="98">
        <v>258700</v>
      </c>
    </row>
    <row r="3" spans="1:17" x14ac:dyDescent="0.45">
      <c r="A3" s="51" t="s">
        <v>8</v>
      </c>
      <c r="B3" s="156">
        <v>1565</v>
      </c>
      <c r="C3" s="157"/>
      <c r="E3" s="59" t="s">
        <v>72</v>
      </c>
      <c r="F3" s="56" t="s">
        <v>27</v>
      </c>
      <c r="G3" s="44">
        <v>287</v>
      </c>
      <c r="H3" s="129">
        <f>IF(B$15=0,0,G3/B$15)</f>
        <v>0.53148148148148144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1113.9784946236559</v>
      </c>
      <c r="P3" s="115">
        <v>186</v>
      </c>
      <c r="Q3" s="99">
        <v>207200</v>
      </c>
    </row>
    <row r="4" spans="1:17" x14ac:dyDescent="0.45">
      <c r="A4" s="51" t="s">
        <v>6</v>
      </c>
      <c r="B4" s="158">
        <v>1689.2999999999997</v>
      </c>
      <c r="C4" s="159"/>
      <c r="E4" s="59" t="s">
        <v>64</v>
      </c>
      <c r="F4" s="56" t="s">
        <v>20</v>
      </c>
      <c r="G4" s="44">
        <v>233</v>
      </c>
      <c r="H4" s="129">
        <f>IF(B$15=0,0,G4/B$15)</f>
        <v>0.43148148148148147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1038.5474860335196</v>
      </c>
      <c r="P4" s="115">
        <v>179</v>
      </c>
      <c r="Q4" s="99">
        <v>185900</v>
      </c>
    </row>
    <row r="5" spans="1:17" x14ac:dyDescent="0.45">
      <c r="A5" s="51" t="s">
        <v>7</v>
      </c>
      <c r="B5" s="160">
        <f>IF(B$2=0,0,B$4/B$2)</f>
        <v>8.8910526315789458</v>
      </c>
      <c r="C5" s="161"/>
      <c r="E5" s="59" t="s">
        <v>166</v>
      </c>
      <c r="F5" s="56" t="s">
        <v>167</v>
      </c>
      <c r="G5" s="44">
        <v>208</v>
      </c>
      <c r="H5" s="129">
        <f>IF(B$15=0,0,G5/B$15)</f>
        <v>0.38518518518518519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213.77245508982037</v>
      </c>
      <c r="P5" s="115">
        <v>167</v>
      </c>
      <c r="Q5" s="99">
        <v>35700</v>
      </c>
    </row>
    <row r="6" spans="1:17" x14ac:dyDescent="0.45">
      <c r="A6" s="51" t="s">
        <v>1</v>
      </c>
      <c r="B6" s="150">
        <f>IF(B$2=0,0,(B$7*1+B$8*2+B$9*3)/B$2)</f>
        <v>1.7789473684210526</v>
      </c>
      <c r="C6" s="151"/>
      <c r="E6" s="59" t="s">
        <v>68</v>
      </c>
      <c r="F6" s="56" t="s">
        <v>12</v>
      </c>
      <c r="G6" s="44">
        <v>151</v>
      </c>
      <c r="H6" s="129">
        <f>IF(B$15=0,0,G6/B$15)</f>
        <v>0.27962962962962962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1944.8717948717949</v>
      </c>
      <c r="P6" s="115">
        <v>156</v>
      </c>
      <c r="Q6" s="99">
        <v>303400</v>
      </c>
    </row>
    <row r="7" spans="1:17" x14ac:dyDescent="0.45">
      <c r="A7" s="51" t="s">
        <v>2</v>
      </c>
      <c r="B7" s="44">
        <v>88</v>
      </c>
      <c r="C7" s="37">
        <f t="shared" ref="C7:C10" si="1">IF(B$2=0,0,B7/B$2)</f>
        <v>0.4631578947368421</v>
      </c>
      <c r="E7" s="59" t="s">
        <v>67</v>
      </c>
      <c r="F7" s="56" t="s">
        <v>23</v>
      </c>
      <c r="G7" s="44">
        <v>129</v>
      </c>
      <c r="H7" s="129">
        <f>IF(B$15=0,0,G7/B$15)</f>
        <v>0.2388888888888889</v>
      </c>
      <c r="I7" s="90">
        <v>11</v>
      </c>
      <c r="K7" s="36">
        <v>5</v>
      </c>
      <c r="L7" s="95">
        <v>99.9</v>
      </c>
      <c r="N7" s="112" t="s">
        <v>135</v>
      </c>
      <c r="O7" s="119">
        <f t="shared" si="0"/>
        <v>1852.34375</v>
      </c>
      <c r="P7" s="116">
        <v>128</v>
      </c>
      <c r="Q7" s="100">
        <v>237100</v>
      </c>
    </row>
    <row r="8" spans="1:17" x14ac:dyDescent="0.45">
      <c r="A8" s="51" t="s">
        <v>3</v>
      </c>
      <c r="B8" s="44">
        <v>56</v>
      </c>
      <c r="C8" s="37">
        <f t="shared" si="1"/>
        <v>0.29473684210526313</v>
      </c>
      <c r="E8" s="59" t="s">
        <v>89</v>
      </c>
      <c r="F8" s="56" t="s">
        <v>44</v>
      </c>
      <c r="G8" s="44">
        <v>79</v>
      </c>
      <c r="H8" s="129">
        <f>IF(B$15=0,0,G8/B$15)</f>
        <v>0.14629629629629629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46</v>
      </c>
      <c r="C9" s="38">
        <f t="shared" si="1"/>
        <v>0.24210526315789474</v>
      </c>
      <c r="E9" s="59" t="s">
        <v>69</v>
      </c>
      <c r="F9" s="56" t="s">
        <v>24</v>
      </c>
      <c r="G9" s="44">
        <v>68</v>
      </c>
      <c r="H9" s="129">
        <f>IF(B$15=0,0,G9/B$15)</f>
        <v>0.12592592592592591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4.2105263157894736E-2</v>
      </c>
      <c r="E10" s="59" t="s">
        <v>65</v>
      </c>
      <c r="F10" s="56" t="s">
        <v>21</v>
      </c>
      <c r="G10" s="44">
        <v>59</v>
      </c>
      <c r="H10" s="129">
        <f>IF(B$15=0,0,G10/B$15)</f>
        <v>0.10925925925925926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11.664285714285713</v>
      </c>
      <c r="P10" s="114">
        <v>56</v>
      </c>
      <c r="Q10" s="102">
        <v>653.19999999999993</v>
      </c>
    </row>
    <row r="11" spans="1:17" x14ac:dyDescent="0.45">
      <c r="A11" s="54" t="s">
        <v>121</v>
      </c>
      <c r="B11" s="47">
        <v>415</v>
      </c>
      <c r="C11" s="42">
        <f>IF(B$3=0,0,B11/B$3)</f>
        <v>0.26517571884984026</v>
      </c>
      <c r="E11" s="59" t="s">
        <v>71</v>
      </c>
      <c r="F11" s="56" t="s">
        <v>26</v>
      </c>
      <c r="G11" s="44">
        <v>38</v>
      </c>
      <c r="H11" s="129">
        <f>IF(B$15=0,0,G11/B$15)</f>
        <v>7.0370370370370375E-2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4.2249999999999996</v>
      </c>
      <c r="P11" s="115">
        <v>64</v>
      </c>
      <c r="Q11" s="103">
        <v>270.39999999999998</v>
      </c>
    </row>
    <row r="12" spans="1:17" x14ac:dyDescent="0.45">
      <c r="A12" s="51" t="s">
        <v>118</v>
      </c>
      <c r="B12" s="44">
        <v>371</v>
      </c>
      <c r="C12" s="37">
        <f>IF(B$3=0,0,B12/B$3)</f>
        <v>0.23706070287539935</v>
      </c>
      <c r="E12" s="59" t="s">
        <v>86</v>
      </c>
      <c r="F12" s="56" t="s">
        <v>41</v>
      </c>
      <c r="G12" s="44">
        <v>34</v>
      </c>
      <c r="H12" s="129">
        <f>IF(B$15=0,0,G12/B$15)</f>
        <v>6.2962962962962957E-2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10.938571428571427</v>
      </c>
      <c r="P12" s="116">
        <v>70</v>
      </c>
      <c r="Q12" s="104">
        <v>765.69999999999982</v>
      </c>
    </row>
    <row r="13" spans="1:17" x14ac:dyDescent="0.45">
      <c r="A13" s="50" t="s">
        <v>123</v>
      </c>
      <c r="B13" s="43">
        <f>B19</f>
        <v>246</v>
      </c>
      <c r="C13" s="35">
        <f>IF(B$11=0,0,B13/B$11)</f>
        <v>0.59277108433734937</v>
      </c>
      <c r="E13" s="59" t="s">
        <v>70</v>
      </c>
      <c r="F13" s="56" t="s">
        <v>25</v>
      </c>
      <c r="G13" s="44">
        <v>32</v>
      </c>
      <c r="H13" s="129">
        <f>IF(B$15=0,0,G13/B$15)</f>
        <v>5.9259259259259262E-2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182</v>
      </c>
      <c r="C14" s="35">
        <f>IF(B$12=0,0,B14/B$12)</f>
        <v>0.49056603773584906</v>
      </c>
      <c r="E14" s="59" t="s">
        <v>83</v>
      </c>
      <c r="F14" s="56" t="s">
        <v>38</v>
      </c>
      <c r="G14" s="44">
        <v>25</v>
      </c>
      <c r="H14" s="129">
        <f>IF(B$15=0,0,G14/B$15)</f>
        <v>4.6296296296296294E-2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540</v>
      </c>
      <c r="C15" s="35">
        <f>IF(B$3=0,0,B15/B$3)</f>
        <v>0.34504792332268369</v>
      </c>
      <c r="E15" s="59" t="s">
        <v>78</v>
      </c>
      <c r="F15" s="56" t="s">
        <v>33</v>
      </c>
      <c r="G15" s="44">
        <v>21</v>
      </c>
      <c r="H15" s="129">
        <f>IF(B$15=0,0,G15/B$15)</f>
        <v>3.888888888888889E-2</v>
      </c>
      <c r="I15" s="90">
        <v>4</v>
      </c>
      <c r="K15" s="36">
        <v>13</v>
      </c>
      <c r="L15" s="95">
        <v>206.39999999999998</v>
      </c>
      <c r="N15" s="110" t="s">
        <v>274</v>
      </c>
      <c r="O15" s="120">
        <f>IF(P15=0,0,Q15/P15)</f>
        <v>47.224999999999994</v>
      </c>
      <c r="P15" s="114">
        <v>4</v>
      </c>
      <c r="Q15" s="102">
        <v>188.89999999999998</v>
      </c>
    </row>
    <row r="16" spans="1:17" x14ac:dyDescent="0.45">
      <c r="A16" s="51" t="s">
        <v>13</v>
      </c>
      <c r="B16" s="44">
        <v>197</v>
      </c>
      <c r="C16" s="37">
        <f>IF(B$3=0,0,B16/B$3)</f>
        <v>0.12587859424920128</v>
      </c>
      <c r="E16" s="59" t="s">
        <v>162</v>
      </c>
      <c r="F16" s="56" t="s">
        <v>163</v>
      </c>
      <c r="G16" s="44">
        <v>15</v>
      </c>
      <c r="H16" s="129">
        <f>IF(B$15=0,0,G16/B$15)</f>
        <v>2.7777777777777776E-2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229</v>
      </c>
      <c r="C17" s="37">
        <f>IF(B$15=0,0,B17/B$15)</f>
        <v>0.42407407407407405</v>
      </c>
      <c r="E17" s="59" t="s">
        <v>81</v>
      </c>
      <c r="F17" s="56" t="s">
        <v>36</v>
      </c>
      <c r="G17" s="44">
        <v>8</v>
      </c>
      <c r="H17" s="129">
        <f>IF(B$15=0,0,G17/B$15)</f>
        <v>1.4814814814814815E-2</v>
      </c>
      <c r="I17" s="90">
        <v>9</v>
      </c>
      <c r="K17" s="36">
        <v>15</v>
      </c>
      <c r="L17" s="95">
        <v>269.49999999999994</v>
      </c>
      <c r="N17" s="111" t="s">
        <v>197</v>
      </c>
      <c r="O17" s="121">
        <f>IF(P17=0,0,Q17/P17)</f>
        <v>24.157142857142862</v>
      </c>
      <c r="P17" s="115">
        <v>21</v>
      </c>
      <c r="Q17" s="103">
        <v>507.30000000000007</v>
      </c>
    </row>
    <row r="18" spans="1:17" x14ac:dyDescent="0.45">
      <c r="A18" s="51" t="s">
        <v>11</v>
      </c>
      <c r="B18" s="44">
        <v>311</v>
      </c>
      <c r="C18" s="37">
        <f>IF(B$15=0,0,B18/B$15)</f>
        <v>0.57592592592592595</v>
      </c>
      <c r="E18" s="59" t="s">
        <v>91</v>
      </c>
      <c r="F18" s="56" t="s">
        <v>46</v>
      </c>
      <c r="G18" s="44">
        <v>6</v>
      </c>
      <c r="H18" s="129">
        <f>IF(B$15=0,0,G18/B$15)</f>
        <v>1.1111111111111112E-2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>IF(P18=0,0,Q18/P18)</f>
        <v>15.762499999999999</v>
      </c>
      <c r="P18" s="115">
        <v>64</v>
      </c>
      <c r="Q18" s="103">
        <v>1008.8</v>
      </c>
    </row>
    <row r="19" spans="1:17" x14ac:dyDescent="0.45">
      <c r="A19" s="51" t="s">
        <v>195</v>
      </c>
      <c r="B19" s="44">
        <v>246</v>
      </c>
      <c r="C19" s="37">
        <f>IF(B$15=0,0,B19/B$15)</f>
        <v>0.45555555555555555</v>
      </c>
      <c r="E19" s="59" t="s">
        <v>75</v>
      </c>
      <c r="F19" s="56" t="s">
        <v>30</v>
      </c>
      <c r="G19" s="44">
        <v>5</v>
      </c>
      <c r="H19" s="129">
        <f>IF(B$15=0,0,G19/B$15)</f>
        <v>9.2592592592592587E-3</v>
      </c>
      <c r="I19" s="90">
        <v>5</v>
      </c>
      <c r="K19" s="36">
        <v>17</v>
      </c>
      <c r="L19" s="95">
        <v>359.09999999999991</v>
      </c>
      <c r="N19" s="111" t="s">
        <v>161</v>
      </c>
      <c r="O19" s="121">
        <f>IF(P19=0,0,Q19/P19)</f>
        <v>14.770731707317074</v>
      </c>
      <c r="P19" s="115">
        <v>41</v>
      </c>
      <c r="Q19" s="103">
        <v>605.6</v>
      </c>
    </row>
    <row r="20" spans="1:17" x14ac:dyDescent="0.45">
      <c r="A20" s="51" t="s">
        <v>193</v>
      </c>
      <c r="B20" s="44">
        <v>182</v>
      </c>
      <c r="C20" s="37">
        <f>IF(B$15=0,0,B20/B$15)</f>
        <v>0.33703703703703702</v>
      </c>
      <c r="E20" s="59" t="s">
        <v>79</v>
      </c>
      <c r="F20" s="56" t="s">
        <v>34</v>
      </c>
      <c r="G20" s="44">
        <v>4</v>
      </c>
      <c r="H20" s="129">
        <f>IF(B$15=0,0,G20/B$15)</f>
        <v>7.4074074074074077E-3</v>
      </c>
      <c r="I20" s="90">
        <v>9</v>
      </c>
      <c r="K20" s="36">
        <v>18</v>
      </c>
      <c r="L20" s="95">
        <v>352.39999999999992</v>
      </c>
      <c r="N20" s="111" t="s">
        <v>127</v>
      </c>
      <c r="O20" s="121">
        <f>IF(P20=0,0,Q20/P20)</f>
        <v>13.773684210526318</v>
      </c>
      <c r="P20" s="115">
        <v>114</v>
      </c>
      <c r="Q20" s="103">
        <v>1570.2000000000003</v>
      </c>
    </row>
    <row r="21" spans="1:17" x14ac:dyDescent="0.45">
      <c r="A21" s="51" t="s">
        <v>194</v>
      </c>
      <c r="B21" s="44">
        <v>112</v>
      </c>
      <c r="C21" s="37">
        <f>IF(B$15=0,0,B21/B$15)</f>
        <v>0.2074074074074074</v>
      </c>
      <c r="E21" s="59" t="s">
        <v>85</v>
      </c>
      <c r="F21" s="56" t="s">
        <v>40</v>
      </c>
      <c r="G21" s="44">
        <v>4</v>
      </c>
      <c r="H21" s="129">
        <f>IF(B$15=0,0,G21/B$15)</f>
        <v>7.4074074074074077E-3</v>
      </c>
      <c r="I21" s="90">
        <v>5</v>
      </c>
      <c r="K21" s="36">
        <v>19</v>
      </c>
      <c r="L21" s="95">
        <v>383.19999999999993</v>
      </c>
      <c r="N21" s="111" t="s">
        <v>171</v>
      </c>
      <c r="O21" s="121">
        <f>IF(P21=0,0,Q21/P21)</f>
        <v>11.989855072463769</v>
      </c>
      <c r="P21" s="115">
        <v>69</v>
      </c>
      <c r="Q21" s="103">
        <v>827.30000000000007</v>
      </c>
    </row>
    <row r="22" spans="1:17" x14ac:dyDescent="0.45">
      <c r="A22" s="51" t="s">
        <v>5</v>
      </c>
      <c r="B22" s="48">
        <f>IF(B$15=0,0,C22/B$15)</f>
        <v>8101.4814814814818</v>
      </c>
      <c r="C22" s="39">
        <v>4374800</v>
      </c>
      <c r="E22" s="59" t="s">
        <v>92</v>
      </c>
      <c r="F22" s="56" t="s">
        <v>47</v>
      </c>
      <c r="G22" s="44">
        <v>4</v>
      </c>
      <c r="H22" s="129">
        <f>IF(B$15=0,0,G22/B$15)</f>
        <v>7.4074074074074077E-3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1.9482758620689655</v>
      </c>
      <c r="P22" s="115">
        <v>58</v>
      </c>
      <c r="Q22" s="103">
        <v>113</v>
      </c>
    </row>
    <row r="23" spans="1:17" x14ac:dyDescent="0.45">
      <c r="A23" s="52" t="s">
        <v>177</v>
      </c>
      <c r="B23" s="136">
        <f>IF($B$15-B$14=0,0,C23/($B$15-B$14))</f>
        <v>8651.9553072625695</v>
      </c>
      <c r="C23" s="137">
        <v>3097400</v>
      </c>
      <c r="E23" s="59" t="s">
        <v>77</v>
      </c>
      <c r="F23" s="56" t="s">
        <v>32</v>
      </c>
      <c r="G23" s="44">
        <v>3</v>
      </c>
      <c r="H23" s="129">
        <f>IF(B$15=0,0,G23/B$15)</f>
        <v>5.5555555555555558E-3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7018.6813186813188</v>
      </c>
      <c r="C24" s="137">
        <v>1277400</v>
      </c>
      <c r="E24" s="59" t="s">
        <v>84</v>
      </c>
      <c r="F24" s="56" t="s">
        <v>39</v>
      </c>
      <c r="G24" s="44">
        <v>3</v>
      </c>
      <c r="H24" s="129">
        <f>IF(B$15=0,0,G24/B$15)</f>
        <v>5.5555555555555558E-3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-7815.2284263959391</v>
      </c>
      <c r="C25" s="137">
        <v>-1539600</v>
      </c>
      <c r="E25" s="59" t="s">
        <v>74</v>
      </c>
      <c r="F25" s="56" t="s">
        <v>29</v>
      </c>
      <c r="G25" s="44">
        <v>2</v>
      </c>
      <c r="H25" s="129">
        <f>IF(B$15=0,0,G25/B$15)</f>
        <v>3.7037037037037038E-3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3.7037037037037038E-3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5</v>
      </c>
      <c r="E27" s="59" t="s">
        <v>95</v>
      </c>
      <c r="F27" s="56" t="s">
        <v>50</v>
      </c>
      <c r="G27" s="44">
        <v>2</v>
      </c>
      <c r="H27" s="129">
        <f>IF(B$15=0,0,G27/B$15)</f>
        <v>3.7037037037037038E-3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1.8518518518518519E-3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1.8518518518518519E-3</v>
      </c>
      <c r="I29" s="90">
        <v>3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1.2779552715654952E-3</v>
      </c>
      <c r="E30" s="59" t="s">
        <v>106</v>
      </c>
      <c r="F30" s="56" t="s">
        <v>113</v>
      </c>
      <c r="G30" s="44">
        <v>1</v>
      </c>
      <c r="H30" s="129">
        <f>IF(B$15=0,0,G30/B$15)</f>
        <v>1.8518518518518519E-3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53</v>
      </c>
      <c r="C32" s="141">
        <f>IF(B$15=0,0,B32/B$15)</f>
        <v>9.8148148148148151E-2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100</v>
      </c>
      <c r="C33" s="37">
        <f t="shared" ref="C33:C44" si="2">IF(B$15=0,0,B33/B$15)</f>
        <v>0.18518518518518517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107</v>
      </c>
      <c r="C34" s="37">
        <f>IF(B$15=0,0,B34/B$15)</f>
        <v>0.19814814814814816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97</v>
      </c>
      <c r="C35" s="37">
        <f t="shared" si="2"/>
        <v>0.17962962962962964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77</v>
      </c>
      <c r="C36" s="37">
        <f t="shared" si="2"/>
        <v>0.1425925925925926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51</v>
      </c>
      <c r="C37" s="37">
        <f t="shared" si="2"/>
        <v>9.4444444444444442E-2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25</v>
      </c>
      <c r="C38" s="37">
        <f t="shared" si="2"/>
        <v>4.6296296296296294E-2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10</v>
      </c>
      <c r="C39" s="37">
        <f t="shared" si="2"/>
        <v>1.8518518518518517E-2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1.8518518518518517E-2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2"/>
        <v>3.7037037037037038E-3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1.8518518518518519E-3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7</v>
      </c>
      <c r="C44" s="40">
        <f t="shared" si="2"/>
        <v>1.2962962962962963E-2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7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172</v>
      </c>
      <c r="C2" s="155"/>
      <c r="E2" s="58" t="s">
        <v>66</v>
      </c>
      <c r="F2" s="55" t="s">
        <v>22</v>
      </c>
      <c r="G2" s="43">
        <v>333</v>
      </c>
      <c r="H2" s="128">
        <f>IF(B$15=0,0,G2/B$15)</f>
        <v>0.74663677130044848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-908.77192982456143</v>
      </c>
      <c r="P2" s="114">
        <v>171</v>
      </c>
      <c r="Q2" s="98">
        <v>-155400</v>
      </c>
    </row>
    <row r="3" spans="1:17" x14ac:dyDescent="0.45">
      <c r="A3" s="51" t="s">
        <v>8</v>
      </c>
      <c r="B3" s="156">
        <v>1427</v>
      </c>
      <c r="C3" s="157"/>
      <c r="E3" s="59" t="s">
        <v>72</v>
      </c>
      <c r="F3" s="56" t="s">
        <v>27</v>
      </c>
      <c r="G3" s="44">
        <v>253</v>
      </c>
      <c r="H3" s="129">
        <f>IF(B$15=0,0,G3/B$15)</f>
        <v>0.56726457399103136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1283.4319526627219</v>
      </c>
      <c r="P3" s="115">
        <v>169</v>
      </c>
      <c r="Q3" s="99">
        <v>216900</v>
      </c>
    </row>
    <row r="4" spans="1:17" x14ac:dyDescent="0.45">
      <c r="A4" s="51" t="s">
        <v>6</v>
      </c>
      <c r="B4" s="158">
        <v>-60.500000000000199</v>
      </c>
      <c r="C4" s="159"/>
      <c r="E4" s="59" t="s">
        <v>166</v>
      </c>
      <c r="F4" s="56" t="s">
        <v>167</v>
      </c>
      <c r="G4" s="44">
        <v>183</v>
      </c>
      <c r="H4" s="129">
        <f>IF(B$15=0,0,G4/B$15)</f>
        <v>0.4103139013452915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-59.235668789808919</v>
      </c>
      <c r="P4" s="115">
        <v>157</v>
      </c>
      <c r="Q4" s="99">
        <v>-9300</v>
      </c>
    </row>
    <row r="5" spans="1:17" x14ac:dyDescent="0.45">
      <c r="A5" s="51" t="s">
        <v>7</v>
      </c>
      <c r="B5" s="160">
        <f>IF(B$2=0,0,B$4/B$2)</f>
        <v>-0.35174418604651281</v>
      </c>
      <c r="C5" s="161"/>
      <c r="E5" s="59" t="s">
        <v>64</v>
      </c>
      <c r="F5" s="56" t="s">
        <v>20</v>
      </c>
      <c r="G5" s="44">
        <v>172</v>
      </c>
      <c r="H5" s="129">
        <f>IF(B$15=0,0,G5/B$15)</f>
        <v>0.38565022421524664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-48.322147651006709</v>
      </c>
      <c r="P5" s="115">
        <v>149</v>
      </c>
      <c r="Q5" s="99">
        <v>-7200</v>
      </c>
    </row>
    <row r="6" spans="1:17" x14ac:dyDescent="0.45">
      <c r="A6" s="51" t="s">
        <v>1</v>
      </c>
      <c r="B6" s="150">
        <f>IF(B$2=0,0,(B$7*1+B$8*2+B$9*3)/B$2)</f>
        <v>1.9883720930232558</v>
      </c>
      <c r="C6" s="151"/>
      <c r="E6" s="59" t="s">
        <v>68</v>
      </c>
      <c r="F6" s="56" t="s">
        <v>12</v>
      </c>
      <c r="G6" s="44">
        <v>125</v>
      </c>
      <c r="H6" s="129">
        <f>IF(B$15=0,0,G6/B$15)</f>
        <v>0.2802690582959641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-1624.087591240876</v>
      </c>
      <c r="P6" s="115">
        <v>137</v>
      </c>
      <c r="Q6" s="99">
        <v>-222500</v>
      </c>
    </row>
    <row r="7" spans="1:17" x14ac:dyDescent="0.45">
      <c r="A7" s="51" t="s">
        <v>2</v>
      </c>
      <c r="B7" s="44">
        <v>58</v>
      </c>
      <c r="C7" s="37">
        <f t="shared" ref="C7:C10" si="1">IF(B$2=0,0,B7/B$2)</f>
        <v>0.33720930232558138</v>
      </c>
      <c r="E7" s="59" t="s">
        <v>67</v>
      </c>
      <c r="F7" s="56" t="s">
        <v>23</v>
      </c>
      <c r="G7" s="44">
        <v>94</v>
      </c>
      <c r="H7" s="129">
        <f>IF(B$15=0,0,G7/B$15)</f>
        <v>0.21076233183856502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1261.4035087719299</v>
      </c>
      <c r="P7" s="116">
        <v>114</v>
      </c>
      <c r="Q7" s="100">
        <v>143800</v>
      </c>
    </row>
    <row r="8" spans="1:17" x14ac:dyDescent="0.45">
      <c r="A8" s="51" t="s">
        <v>3</v>
      </c>
      <c r="B8" s="44">
        <v>58</v>
      </c>
      <c r="C8" s="37">
        <f t="shared" si="1"/>
        <v>0.33720930232558138</v>
      </c>
      <c r="E8" s="59" t="s">
        <v>69</v>
      </c>
      <c r="F8" s="56" t="s">
        <v>24</v>
      </c>
      <c r="G8" s="44">
        <v>49</v>
      </c>
      <c r="H8" s="129">
        <f>IF(B$15=0,0,G8/B$15)</f>
        <v>0.10986547085201794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56</v>
      </c>
      <c r="C9" s="38">
        <f t="shared" si="1"/>
        <v>0.32558139534883723</v>
      </c>
      <c r="E9" s="59" t="s">
        <v>89</v>
      </c>
      <c r="F9" s="56" t="s">
        <v>44</v>
      </c>
      <c r="G9" s="44">
        <v>46</v>
      </c>
      <c r="H9" s="129">
        <f>IF(B$15=0,0,G9/B$15)</f>
        <v>0.1031390134529148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0.10465116279069768</v>
      </c>
      <c r="E10" s="59" t="s">
        <v>70</v>
      </c>
      <c r="F10" s="56" t="s">
        <v>25</v>
      </c>
      <c r="G10" s="44">
        <v>44</v>
      </c>
      <c r="H10" s="129">
        <f>IF(B$15=0,0,G10/B$15)</f>
        <v>9.8654708520179366E-2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-0.92352941176470549</v>
      </c>
      <c r="P10" s="114">
        <v>51</v>
      </c>
      <c r="Q10" s="102">
        <v>-47.09999999999998</v>
      </c>
    </row>
    <row r="11" spans="1:17" x14ac:dyDescent="0.45">
      <c r="A11" s="54" t="s">
        <v>121</v>
      </c>
      <c r="B11" s="47">
        <v>334</v>
      </c>
      <c r="C11" s="42">
        <f>IF(B$3=0,0,B11/B$3)</f>
        <v>0.23405746320953047</v>
      </c>
      <c r="E11" s="59" t="s">
        <v>71</v>
      </c>
      <c r="F11" s="56" t="s">
        <v>26</v>
      </c>
      <c r="G11" s="44">
        <v>40</v>
      </c>
      <c r="H11" s="129">
        <f>IF(B$15=0,0,G11/B$15)</f>
        <v>8.9686098654708515E-2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2.9418181818181837</v>
      </c>
      <c r="P11" s="115">
        <v>55</v>
      </c>
      <c r="Q11" s="103">
        <v>161.8000000000001</v>
      </c>
    </row>
    <row r="12" spans="1:17" x14ac:dyDescent="0.45">
      <c r="A12" s="51" t="s">
        <v>118</v>
      </c>
      <c r="B12" s="44">
        <v>426</v>
      </c>
      <c r="C12" s="37">
        <f>IF(B$3=0,0,B12/B$3)</f>
        <v>0.29852838121934128</v>
      </c>
      <c r="E12" s="59" t="s">
        <v>65</v>
      </c>
      <c r="F12" s="56" t="s">
        <v>21</v>
      </c>
      <c r="G12" s="44">
        <v>34</v>
      </c>
      <c r="H12" s="129">
        <f>IF(B$15=0,0,G12/B$15)</f>
        <v>7.623318385650224E-2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-2.6545454545454548</v>
      </c>
      <c r="P12" s="116">
        <v>66</v>
      </c>
      <c r="Q12" s="104">
        <v>-175.20000000000002</v>
      </c>
    </row>
    <row r="13" spans="1:17" x14ac:dyDescent="0.45">
      <c r="A13" s="50" t="s">
        <v>123</v>
      </c>
      <c r="B13" s="43">
        <f>B19</f>
        <v>172</v>
      </c>
      <c r="C13" s="35">
        <f>IF(B$11=0,0,B13/B$11)</f>
        <v>0.51497005988023947</v>
      </c>
      <c r="E13" s="59" t="s">
        <v>86</v>
      </c>
      <c r="F13" s="56" t="s">
        <v>41</v>
      </c>
      <c r="G13" s="44">
        <v>25</v>
      </c>
      <c r="H13" s="129">
        <f>IF(B$15=0,0,G13/B$15)</f>
        <v>5.6053811659192827E-2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164</v>
      </c>
      <c r="C14" s="35">
        <f>IF(B$12=0,0,B14/B$12)</f>
        <v>0.38497652582159625</v>
      </c>
      <c r="E14" s="59" t="s">
        <v>83</v>
      </c>
      <c r="F14" s="56" t="s">
        <v>38</v>
      </c>
      <c r="G14" s="44">
        <v>21</v>
      </c>
      <c r="H14" s="129">
        <f>IF(B$15=0,0,G14/B$15)</f>
        <v>4.708520179372197E-2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446</v>
      </c>
      <c r="C15" s="35">
        <f>IF(B$3=0,0,B15/B$3)</f>
        <v>0.31254379817799577</v>
      </c>
      <c r="E15" s="59" t="s">
        <v>78</v>
      </c>
      <c r="F15" s="56" t="s">
        <v>33</v>
      </c>
      <c r="G15" s="44">
        <v>18</v>
      </c>
      <c r="H15" s="129">
        <f>IF(B$15=0,0,G15/B$15)</f>
        <v>4.0358744394618833E-2</v>
      </c>
      <c r="I15" s="90">
        <v>3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256</v>
      </c>
      <c r="C16" s="37">
        <f>IF(B$3=0,0,B16/B$3)</f>
        <v>0.17939733707077785</v>
      </c>
      <c r="E16" s="59" t="s">
        <v>91</v>
      </c>
      <c r="F16" s="56" t="s">
        <v>46</v>
      </c>
      <c r="G16" s="44">
        <v>14</v>
      </c>
      <c r="H16" s="129">
        <f>IF(B$15=0,0,G16/B$15)</f>
        <v>3.1390134529147982E-2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18.434693877551016</v>
      </c>
      <c r="P16" s="115">
        <v>49</v>
      </c>
      <c r="Q16" s="103">
        <v>903.29999999999973</v>
      </c>
    </row>
    <row r="17" spans="1:17" x14ac:dyDescent="0.45">
      <c r="A17" s="51" t="s">
        <v>12</v>
      </c>
      <c r="B17" s="44">
        <v>186</v>
      </c>
      <c r="C17" s="37">
        <f>IF(B$15=0,0,B17/B$15)</f>
        <v>0.4170403587443946</v>
      </c>
      <c r="E17" s="59" t="s">
        <v>81</v>
      </c>
      <c r="F17" s="56" t="s">
        <v>36</v>
      </c>
      <c r="G17" s="44">
        <v>10</v>
      </c>
      <c r="H17" s="129">
        <f>IF(B$15=0,0,G17/B$15)</f>
        <v>2.2421524663677129E-2</v>
      </c>
      <c r="I17" s="90">
        <v>4</v>
      </c>
      <c r="K17" s="36">
        <v>15</v>
      </c>
      <c r="L17" s="95">
        <v>-144.30000000000001</v>
      </c>
      <c r="N17" s="111" t="s">
        <v>196</v>
      </c>
      <c r="O17" s="121">
        <f>IF(P17=0,0,Q17/P17)</f>
        <v>13.5</v>
      </c>
      <c r="P17" s="115">
        <v>5</v>
      </c>
      <c r="Q17" s="103">
        <v>67.5</v>
      </c>
    </row>
    <row r="18" spans="1:17" x14ac:dyDescent="0.45">
      <c r="A18" s="51" t="s">
        <v>11</v>
      </c>
      <c r="B18" s="44">
        <v>260</v>
      </c>
      <c r="C18" s="37">
        <f>IF(B$15=0,0,B18/B$15)</f>
        <v>0.5829596412556054</v>
      </c>
      <c r="E18" s="59" t="s">
        <v>79</v>
      </c>
      <c r="F18" s="56" t="s">
        <v>34</v>
      </c>
      <c r="G18" s="44">
        <v>8</v>
      </c>
      <c r="H18" s="129">
        <f>IF(B$15=0,0,G18/B$15)</f>
        <v>1.7937219730941704E-2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>IF(P18=0,0,Q18/P18)</f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172</v>
      </c>
      <c r="C19" s="37">
        <f>IF(B$15=0,0,B19/B$15)</f>
        <v>0.38565022421524664</v>
      </c>
      <c r="E19" s="59" t="s">
        <v>162</v>
      </c>
      <c r="F19" s="56" t="s">
        <v>163</v>
      </c>
      <c r="G19" s="44">
        <v>5</v>
      </c>
      <c r="H19" s="129">
        <f>IF(B$15=0,0,G19/B$15)</f>
        <v>1.1210762331838564E-2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164</v>
      </c>
      <c r="C20" s="37">
        <f>IF(B$15=0,0,B20/B$15)</f>
        <v>0.36771300448430494</v>
      </c>
      <c r="E20" s="59" t="s">
        <v>92</v>
      </c>
      <c r="F20" s="56" t="s">
        <v>47</v>
      </c>
      <c r="G20" s="44">
        <v>3</v>
      </c>
      <c r="H20" s="129">
        <f>IF(B$15=0,0,G20/B$15)</f>
        <v>6.7264573991031393E-3</v>
      </c>
      <c r="I20" s="90">
        <v>5</v>
      </c>
      <c r="K20" s="36">
        <v>18</v>
      </c>
      <c r="L20" s="95">
        <v>-112.90000000000002</v>
      </c>
      <c r="N20" s="111" t="s">
        <v>170</v>
      </c>
      <c r="O20" s="121">
        <f>IF(P20=0,0,Q20/P20)</f>
        <v>-2.0999999999999965</v>
      </c>
      <c r="P20" s="115">
        <v>57</v>
      </c>
      <c r="Q20" s="103">
        <v>-119.6999999999998</v>
      </c>
    </row>
    <row r="21" spans="1:17" x14ac:dyDescent="0.45">
      <c r="A21" s="51" t="s">
        <v>194</v>
      </c>
      <c r="B21" s="44">
        <v>110</v>
      </c>
      <c r="C21" s="37">
        <f>IF(B$15=0,0,B21/B$15)</f>
        <v>0.24663677130044842</v>
      </c>
      <c r="E21" s="59" t="s">
        <v>74</v>
      </c>
      <c r="F21" s="56" t="s">
        <v>29</v>
      </c>
      <c r="G21" s="44">
        <v>2</v>
      </c>
      <c r="H21" s="129">
        <f>IF(B$15=0,0,G21/B$15)</f>
        <v>4.4843049327354259E-3</v>
      </c>
      <c r="I21" s="90">
        <v>3</v>
      </c>
      <c r="K21" s="36">
        <v>19</v>
      </c>
      <c r="L21" s="95">
        <v>-162.40000000000003</v>
      </c>
      <c r="N21" s="111" t="s">
        <v>274</v>
      </c>
      <c r="O21" s="121">
        <f>IF(P21=0,0,Q21/P21)</f>
        <v>-2.86</v>
      </c>
      <c r="P21" s="115">
        <v>5</v>
      </c>
      <c r="Q21" s="103">
        <v>-14.299999999999999</v>
      </c>
    </row>
    <row r="22" spans="1:17" x14ac:dyDescent="0.45">
      <c r="A22" s="51" t="s">
        <v>5</v>
      </c>
      <c r="B22" s="48">
        <f>IF(B$15=0,0,C22/B$15)</f>
        <v>7948.6547085201792</v>
      </c>
      <c r="C22" s="39">
        <v>3545100</v>
      </c>
      <c r="E22" s="59" t="s">
        <v>75</v>
      </c>
      <c r="F22" s="56" t="s">
        <v>30</v>
      </c>
      <c r="G22" s="44">
        <v>2</v>
      </c>
      <c r="H22" s="129">
        <f>IF(B$15=0,0,G22/B$15)</f>
        <v>4.4843049327354259E-3</v>
      </c>
      <c r="I22" s="90">
        <v>9</v>
      </c>
      <c r="K22" s="36">
        <v>20</v>
      </c>
      <c r="L22" s="95">
        <v>-96.000000000000028</v>
      </c>
      <c r="N22" s="111" t="s">
        <v>171</v>
      </c>
      <c r="O22" s="121">
        <f>IF(P22=0,0,Q22/P22)</f>
        <v>-3.2271186440677955</v>
      </c>
      <c r="P22" s="115">
        <v>59</v>
      </c>
      <c r="Q22" s="103">
        <v>-190.39999999999992</v>
      </c>
    </row>
    <row r="23" spans="1:17" x14ac:dyDescent="0.45">
      <c r="A23" s="52" t="s">
        <v>177</v>
      </c>
      <c r="B23" s="136">
        <f>IF($B$15-B$14=0,0,C23/($B$15-B$14))</f>
        <v>8569.8581560283692</v>
      </c>
      <c r="C23" s="137">
        <v>2416700</v>
      </c>
      <c r="E23" s="59" t="s">
        <v>73</v>
      </c>
      <c r="F23" s="56" t="s">
        <v>28</v>
      </c>
      <c r="G23" s="44">
        <v>1</v>
      </c>
      <c r="H23" s="129">
        <f>IF(B$15=0,0,G23/B$15)</f>
        <v>2.242152466367713E-3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-13.773684210526318</v>
      </c>
      <c r="P23" s="115">
        <v>114</v>
      </c>
      <c r="Q23" s="103">
        <v>-1570.2000000000003</v>
      </c>
    </row>
    <row r="24" spans="1:17" x14ac:dyDescent="0.45">
      <c r="A24" s="52" t="s">
        <v>178</v>
      </c>
      <c r="B24" s="136">
        <f>IF(B$14=0,0,C24/B$14)</f>
        <v>6880.4878048780483</v>
      </c>
      <c r="C24" s="137">
        <v>1128400</v>
      </c>
      <c r="E24" s="59" t="s">
        <v>77</v>
      </c>
      <c r="F24" s="56" t="s">
        <v>32</v>
      </c>
      <c r="G24" s="44">
        <v>1</v>
      </c>
      <c r="H24" s="129">
        <f>IF(B$15=0,0,G24/B$15)</f>
        <v>2.242152466367713E-3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-7970.3125</v>
      </c>
      <c r="C25" s="137">
        <v>-2040400</v>
      </c>
      <c r="E25" s="59" t="s">
        <v>84</v>
      </c>
      <c r="F25" s="56" t="s">
        <v>39</v>
      </c>
      <c r="G25" s="44">
        <v>1</v>
      </c>
      <c r="H25" s="129">
        <f>IF(B$15=0,0,G25/B$15)</f>
        <v>2.242152466367713E-3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2.242152466367713E-3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0</v>
      </c>
      <c r="E27" s="59" t="s">
        <v>95</v>
      </c>
      <c r="F27" s="56" t="s">
        <v>50</v>
      </c>
      <c r="G27" s="44">
        <v>1</v>
      </c>
      <c r="H27" s="129">
        <f>IF(B$15=0,0,G27/B$15)</f>
        <v>2.242152466367713E-3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3.5038542396636299E-3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34</v>
      </c>
      <c r="C32" s="141">
        <f>IF(B$15=0,0,B32/B$15)</f>
        <v>7.623318385650224E-2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84</v>
      </c>
      <c r="C33" s="37">
        <f t="shared" ref="C33:C44" si="2">IF(B$15=0,0,B33/B$15)</f>
        <v>0.18834080717488788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96</v>
      </c>
      <c r="C34" s="37">
        <f>IF(B$15=0,0,B34/B$15)</f>
        <v>0.21524663677130046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89</v>
      </c>
      <c r="C35" s="37">
        <f t="shared" si="2"/>
        <v>0.19955156950672645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63</v>
      </c>
      <c r="C36" s="37">
        <f t="shared" si="2"/>
        <v>0.14125560538116591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42</v>
      </c>
      <c r="C37" s="37">
        <f t="shared" si="2"/>
        <v>9.417040358744394E-2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2"/>
        <v>3.3632286995515695E-2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2.0179372197309416E-2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1.3452914798206279E-2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2.242152466367713E-3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2"/>
        <v>6.7264573991031393E-3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8.9686098654708519E-3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176</v>
      </c>
      <c r="H2" s="128">
        <f>IF(B$15=0,0,G2/B$15)</f>
        <v>0.76855895196506552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-637.37373737373741</v>
      </c>
      <c r="P2" s="114">
        <v>99</v>
      </c>
      <c r="Q2" s="98">
        <v>-63100</v>
      </c>
    </row>
    <row r="3" spans="1:17" x14ac:dyDescent="0.45">
      <c r="A3" s="51" t="s">
        <v>8</v>
      </c>
      <c r="B3" s="156">
        <v>863</v>
      </c>
      <c r="C3" s="157"/>
      <c r="E3" s="59" t="s">
        <v>64</v>
      </c>
      <c r="F3" s="56" t="s">
        <v>20</v>
      </c>
      <c r="G3" s="44">
        <v>127</v>
      </c>
      <c r="H3" s="129">
        <f>IF(B$15=0,0,G3/B$15)</f>
        <v>0.55458515283842791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-893.93939393939399</v>
      </c>
      <c r="P3" s="115">
        <v>99</v>
      </c>
      <c r="Q3" s="99">
        <v>-88500</v>
      </c>
    </row>
    <row r="4" spans="1:17" x14ac:dyDescent="0.45">
      <c r="A4" s="51" t="s">
        <v>6</v>
      </c>
      <c r="B4" s="158">
        <v>-752.69999999999993</v>
      </c>
      <c r="C4" s="159"/>
      <c r="E4" s="59" t="s">
        <v>72</v>
      </c>
      <c r="F4" s="56" t="s">
        <v>27</v>
      </c>
      <c r="G4" s="44">
        <v>114</v>
      </c>
      <c r="H4" s="129">
        <f>IF(B$15=0,0,G4/B$15)</f>
        <v>0.49781659388646288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469.89247311827955</v>
      </c>
      <c r="P4" s="115">
        <v>93</v>
      </c>
      <c r="Q4" s="99">
        <v>43700</v>
      </c>
    </row>
    <row r="5" spans="1:17" x14ac:dyDescent="0.45">
      <c r="A5" s="51" t="s">
        <v>7</v>
      </c>
      <c r="B5" s="160">
        <f>IF(B$2=0,0,B$4/B$2)</f>
        <v>-7.5269999999999992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0.41921397379912662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-779.12087912087907</v>
      </c>
      <c r="P5" s="115">
        <v>91</v>
      </c>
      <c r="Q5" s="99">
        <v>-70900</v>
      </c>
    </row>
    <row r="6" spans="1:17" x14ac:dyDescent="0.45">
      <c r="A6" s="51" t="s">
        <v>1</v>
      </c>
      <c r="B6" s="150">
        <f>IF(B$2=0,0,(B$7*1+B$8*2+B$9*3)/B$2)</f>
        <v>2.19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0.34934497816593885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-2894.1860465116279</v>
      </c>
      <c r="P6" s="115">
        <v>86</v>
      </c>
      <c r="Q6" s="99">
        <v>-248900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</v>
      </c>
      <c r="E7" s="59" t="s">
        <v>67</v>
      </c>
      <c r="F7" s="56" t="s">
        <v>23</v>
      </c>
      <c r="G7" s="44">
        <v>70</v>
      </c>
      <c r="H7" s="129">
        <f>IF(B$15=0,0,G7/B$15)</f>
        <v>0.3056768558951965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-1877.3333333333333</v>
      </c>
      <c r="P7" s="116">
        <v>75</v>
      </c>
      <c r="Q7" s="100">
        <v>-140800</v>
      </c>
    </row>
    <row r="8" spans="1:17" x14ac:dyDescent="0.45">
      <c r="A8" s="51" t="s">
        <v>3</v>
      </c>
      <c r="B8" s="44">
        <v>39</v>
      </c>
      <c r="C8" s="37">
        <f t="shared" si="1"/>
        <v>0.39</v>
      </c>
      <c r="E8" s="59" t="s">
        <v>69</v>
      </c>
      <c r="F8" s="56" t="s">
        <v>24</v>
      </c>
      <c r="G8" s="44">
        <v>33</v>
      </c>
      <c r="H8" s="129">
        <f>IF(B$15=0,0,G8/B$15)</f>
        <v>0.14410480349344978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0.4</v>
      </c>
      <c r="E9" s="59" t="s">
        <v>65</v>
      </c>
      <c r="F9" s="56" t="s">
        <v>21</v>
      </c>
      <c r="G9" s="44">
        <v>28</v>
      </c>
      <c r="H9" s="129">
        <f>IF(B$15=0,0,G9/B$15)</f>
        <v>0.1222707423580786</v>
      </c>
      <c r="I9" s="90">
        <v>7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0.08</v>
      </c>
      <c r="E10" s="59" t="s">
        <v>70</v>
      </c>
      <c r="F10" s="56" t="s">
        <v>25</v>
      </c>
      <c r="G10" s="44">
        <v>28</v>
      </c>
      <c r="H10" s="129">
        <f>IF(B$15=0,0,G10/B$15)</f>
        <v>0.1222707423580786</v>
      </c>
      <c r="I10" s="90">
        <v>3</v>
      </c>
      <c r="K10" s="36">
        <v>8</v>
      </c>
      <c r="L10" s="95">
        <v>-62.999999999999993</v>
      </c>
      <c r="N10" s="110" t="s">
        <v>157</v>
      </c>
      <c r="O10" s="120">
        <f>IF(P10=0,0,Q10/P10)</f>
        <v>-6.9425000000000026</v>
      </c>
      <c r="P10" s="114">
        <v>40</v>
      </c>
      <c r="Q10" s="102">
        <v>-277.7000000000001</v>
      </c>
    </row>
    <row r="11" spans="1:17" x14ac:dyDescent="0.45">
      <c r="A11" s="54" t="s">
        <v>121</v>
      </c>
      <c r="B11" s="47">
        <v>236</v>
      </c>
      <c r="C11" s="42">
        <f>IF(B$3=0,0,B11/B$3)</f>
        <v>0.27346465816917731</v>
      </c>
      <c r="E11" s="59" t="s">
        <v>89</v>
      </c>
      <c r="F11" s="56" t="s">
        <v>44</v>
      </c>
      <c r="G11" s="44">
        <v>26</v>
      </c>
      <c r="H11" s="129">
        <f>IF(B$15=0,0,G11/B$15)</f>
        <v>0.11353711790393013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165</v>
      </c>
      <c r="C12" s="37">
        <f>IF(B$3=0,0,B12/B$3)</f>
        <v>0.19119351100811124</v>
      </c>
      <c r="E12" s="59" t="s">
        <v>83</v>
      </c>
      <c r="F12" s="56" t="s">
        <v>38</v>
      </c>
      <c r="G12" s="44">
        <v>14</v>
      </c>
      <c r="H12" s="129">
        <f>IF(B$15=0,0,G12/B$15)</f>
        <v>6.1135371179039298E-2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127</v>
      </c>
      <c r="C13" s="35">
        <f>IF(B$11=0,0,B13/B$11)</f>
        <v>0.53813559322033899</v>
      </c>
      <c r="E13" s="59" t="s">
        <v>86</v>
      </c>
      <c r="F13" s="56" t="s">
        <v>41</v>
      </c>
      <c r="G13" s="44">
        <v>10</v>
      </c>
      <c r="H13" s="129">
        <f>IF(B$15=0,0,G13/B$15)</f>
        <v>4.3668122270742356E-2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71</v>
      </c>
      <c r="F14" s="56" t="s">
        <v>26</v>
      </c>
      <c r="G14" s="44">
        <v>9</v>
      </c>
      <c r="H14" s="129">
        <f>IF(B$15=0,0,G14/B$15)</f>
        <v>3.9301310043668124E-2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229</v>
      </c>
      <c r="C15" s="35">
        <f>IF(B$3=0,0,B15/B$3)</f>
        <v>0.26535341830822712</v>
      </c>
      <c r="E15" s="59" t="s">
        <v>78</v>
      </c>
      <c r="F15" s="56" t="s">
        <v>33</v>
      </c>
      <c r="G15" s="44">
        <v>8</v>
      </c>
      <c r="H15" s="129">
        <f>IF(B$15=0,0,G15/B$15)</f>
        <v>3.4934497816593885E-2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158</v>
      </c>
      <c r="C16" s="37">
        <f>IF(B$3=0,0,B16/B$3)</f>
        <v>0.18308227114716108</v>
      </c>
      <c r="E16" s="59" t="s">
        <v>79</v>
      </c>
      <c r="F16" s="56" t="s">
        <v>34</v>
      </c>
      <c r="G16" s="44">
        <v>4</v>
      </c>
      <c r="H16" s="129">
        <f>IF(B$15=0,0,G16/B$15)</f>
        <v>1.7467248908296942E-2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107</v>
      </c>
      <c r="C17" s="37">
        <f>IF(B$15=0,0,B17/B$15)</f>
        <v>0.46724890829694321</v>
      </c>
      <c r="E17" s="59" t="s">
        <v>81</v>
      </c>
      <c r="F17" s="56" t="s">
        <v>36</v>
      </c>
      <c r="G17" s="44">
        <v>4</v>
      </c>
      <c r="H17" s="129">
        <f>IF(B$15=0,0,G17/B$15)</f>
        <v>1.7467248908296942E-2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0.53275109170305679</v>
      </c>
      <c r="E18" s="59" t="s">
        <v>162</v>
      </c>
      <c r="F18" s="56" t="s">
        <v>163</v>
      </c>
      <c r="G18" s="44">
        <v>4</v>
      </c>
      <c r="H18" s="129">
        <f>IF(B$15=0,0,G18/B$15)</f>
        <v>1.7467248908296942E-2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127</v>
      </c>
      <c r="C19" s="37">
        <f>IF(B$15=0,0,B19/B$15)</f>
        <v>0.55458515283842791</v>
      </c>
      <c r="E19" s="59" t="s">
        <v>75</v>
      </c>
      <c r="F19" s="56" t="s">
        <v>30</v>
      </c>
      <c r="G19" s="44">
        <v>3</v>
      </c>
      <c r="H19" s="129">
        <f>IF(B$15=0,0,G19/B$15)</f>
        <v>1.3100436681222707E-2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0.29257641921397382</v>
      </c>
      <c r="E20" s="59" t="s">
        <v>85</v>
      </c>
      <c r="F20" s="56" t="s">
        <v>40</v>
      </c>
      <c r="G20" s="44">
        <v>1</v>
      </c>
      <c r="H20" s="129">
        <f>IF(B$15=0,0,G20/B$15)</f>
        <v>4.3668122270742356E-3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-15.762500000000001</v>
      </c>
      <c r="P20" s="115">
        <v>64</v>
      </c>
      <c r="Q20" s="103">
        <v>-1008.8000000000001</v>
      </c>
    </row>
    <row r="21" spans="1:17" x14ac:dyDescent="0.45">
      <c r="A21" s="51" t="s">
        <v>194</v>
      </c>
      <c r="B21" s="44">
        <v>35</v>
      </c>
      <c r="C21" s="37">
        <f>IF(B$15=0,0,B21/B$15)</f>
        <v>0.15283842794759825</v>
      </c>
      <c r="E21" s="59" t="s">
        <v>91</v>
      </c>
      <c r="F21" s="56" t="s">
        <v>46</v>
      </c>
      <c r="G21" s="44">
        <v>1</v>
      </c>
      <c r="H21" s="129">
        <f>IF(B$15=0,0,G21/B$15)</f>
        <v>4.3668122270742356E-3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7835.8078602620089</v>
      </c>
      <c r="C22" s="39">
        <v>1794400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8448.1481481481478</v>
      </c>
      <c r="C23" s="137">
        <v>1368600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-7813.9240506329115</v>
      </c>
      <c r="C25" s="137">
        <v>-1234600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3.4762456546929316E-3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7.4235807860262015E-2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0.1703056768558952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0.22707423580786026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35</v>
      </c>
      <c r="C35" s="37">
        <f t="shared" si="3"/>
        <v>0.15283842794759825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3"/>
        <v>0.1703056768558952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0.10043668122270742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6.1135371179039298E-2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2.6200873362445413E-2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4.3668122270742356E-3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4.3668122270742356E-3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8.7336244541484712E-3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4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139</v>
      </c>
      <c r="C2" s="155"/>
      <c r="E2" s="58" t="s">
        <v>66</v>
      </c>
      <c r="F2" s="55" t="s">
        <v>22</v>
      </c>
      <c r="G2" s="43">
        <v>275</v>
      </c>
      <c r="H2" s="128">
        <f>IF(B$15=0,0,G2/B$15)</f>
        <v>0.8928571428571429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1191.3669064748201</v>
      </c>
      <c r="P2" s="114">
        <v>139</v>
      </c>
      <c r="Q2" s="98">
        <v>165600</v>
      </c>
    </row>
    <row r="3" spans="1:17" x14ac:dyDescent="0.45">
      <c r="A3" s="51" t="s">
        <v>8</v>
      </c>
      <c r="B3" s="156">
        <v>1132</v>
      </c>
      <c r="C3" s="157"/>
      <c r="E3" s="59" t="s">
        <v>64</v>
      </c>
      <c r="F3" s="56" t="s">
        <v>20</v>
      </c>
      <c r="G3" s="44">
        <v>169</v>
      </c>
      <c r="H3" s="129">
        <f>IF(B$15=0,0,G3/B$15)</f>
        <v>0.54870129870129869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-1805.8394160583941</v>
      </c>
      <c r="P3" s="115">
        <v>137</v>
      </c>
      <c r="Q3" s="99">
        <v>-247400</v>
      </c>
    </row>
    <row r="4" spans="1:17" x14ac:dyDescent="0.45">
      <c r="A4" s="51" t="s">
        <v>6</v>
      </c>
      <c r="B4" s="158">
        <v>581.90000000000055</v>
      </c>
      <c r="C4" s="159"/>
      <c r="E4" s="59" t="s">
        <v>72</v>
      </c>
      <c r="F4" s="56" t="s">
        <v>27</v>
      </c>
      <c r="G4" s="44">
        <v>169</v>
      </c>
      <c r="H4" s="129">
        <f>IF(B$15=0,0,G4/B$15)</f>
        <v>0.54870129870129869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-416</v>
      </c>
      <c r="P4" s="115">
        <v>125</v>
      </c>
      <c r="Q4" s="99">
        <v>-52000</v>
      </c>
    </row>
    <row r="5" spans="1:17" x14ac:dyDescent="0.45">
      <c r="A5" s="51" t="s">
        <v>7</v>
      </c>
      <c r="B5" s="160">
        <f>IF(B$2=0,0,B$4/B$2)</f>
        <v>4.1863309352518021</v>
      </c>
      <c r="C5" s="161"/>
      <c r="E5" s="59" t="s">
        <v>67</v>
      </c>
      <c r="F5" s="56" t="s">
        <v>23</v>
      </c>
      <c r="G5" s="44">
        <v>124</v>
      </c>
      <c r="H5" s="129">
        <f>IF(B$15=0,0,G5/B$15)</f>
        <v>0.40259740259740262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2340.6779661016949</v>
      </c>
      <c r="P5" s="115">
        <v>118</v>
      </c>
      <c r="Q5" s="99">
        <v>276200</v>
      </c>
    </row>
    <row r="6" spans="1:17" x14ac:dyDescent="0.45">
      <c r="A6" s="51" t="s">
        <v>1</v>
      </c>
      <c r="B6" s="150">
        <f>IF(B$2=0,0,(B$7*1+B$8*2+B$9*3)/B$2)</f>
        <v>1.9136690647482015</v>
      </c>
      <c r="C6" s="151"/>
      <c r="E6" s="59" t="s">
        <v>68</v>
      </c>
      <c r="F6" s="56" t="s">
        <v>12</v>
      </c>
      <c r="G6" s="44">
        <v>122</v>
      </c>
      <c r="H6" s="129">
        <f>IF(B$15=0,0,G6/B$15)</f>
        <v>0.39610389610389612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1516.0377358490566</v>
      </c>
      <c r="P6" s="115">
        <v>106</v>
      </c>
      <c r="Q6" s="99">
        <v>160700</v>
      </c>
    </row>
    <row r="7" spans="1:17" x14ac:dyDescent="0.45">
      <c r="A7" s="51" t="s">
        <v>2</v>
      </c>
      <c r="B7" s="44">
        <v>56</v>
      </c>
      <c r="C7" s="37">
        <f t="shared" ref="C7:C10" si="1">IF(B$2=0,0,B7/B$2)</f>
        <v>0.40287769784172661</v>
      </c>
      <c r="E7" s="59" t="s">
        <v>166</v>
      </c>
      <c r="F7" s="56" t="s">
        <v>167</v>
      </c>
      <c r="G7" s="44">
        <v>114</v>
      </c>
      <c r="H7" s="129">
        <f>IF(B$15=0,0,G7/B$15)</f>
        <v>0.37012987012987014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246.25</v>
      </c>
      <c r="P7" s="116">
        <v>80</v>
      </c>
      <c r="Q7" s="100">
        <v>19700</v>
      </c>
    </row>
    <row r="8" spans="1:17" x14ac:dyDescent="0.45">
      <c r="A8" s="51" t="s">
        <v>3</v>
      </c>
      <c r="B8" s="44">
        <v>39</v>
      </c>
      <c r="C8" s="37">
        <f t="shared" si="1"/>
        <v>0.2805755395683453</v>
      </c>
      <c r="E8" s="59" t="s">
        <v>89</v>
      </c>
      <c r="F8" s="56" t="s">
        <v>44</v>
      </c>
      <c r="G8" s="44">
        <v>76</v>
      </c>
      <c r="H8" s="129">
        <f>IF(B$15=0,0,G8/B$15)</f>
        <v>0.24675324675324675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44</v>
      </c>
      <c r="C9" s="38">
        <f t="shared" si="1"/>
        <v>0.31654676258992803</v>
      </c>
      <c r="E9" s="59" t="s">
        <v>69</v>
      </c>
      <c r="F9" s="56" t="s">
        <v>24</v>
      </c>
      <c r="G9" s="44">
        <v>66</v>
      </c>
      <c r="H9" s="129">
        <f>IF(B$15=0,0,G9/B$15)</f>
        <v>0.21428571428571427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16</v>
      </c>
      <c r="C10" s="40">
        <f t="shared" si="1"/>
        <v>0.11510791366906475</v>
      </c>
      <c r="E10" s="59" t="s">
        <v>65</v>
      </c>
      <c r="F10" s="56" t="s">
        <v>21</v>
      </c>
      <c r="G10" s="44">
        <v>46</v>
      </c>
      <c r="H10" s="129">
        <f>IF(B$15=0,0,G10/B$15)</f>
        <v>0.14935064935064934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-8.3526315789473689</v>
      </c>
      <c r="P10" s="114">
        <v>38</v>
      </c>
      <c r="Q10" s="102">
        <v>-317.40000000000003</v>
      </c>
    </row>
    <row r="11" spans="1:17" x14ac:dyDescent="0.45">
      <c r="A11" s="54" t="s">
        <v>121</v>
      </c>
      <c r="B11" s="47">
        <v>335</v>
      </c>
      <c r="C11" s="42">
        <f>IF(B$3=0,0,B11/B$3)</f>
        <v>0.29593639575971731</v>
      </c>
      <c r="E11" s="59" t="s">
        <v>70</v>
      </c>
      <c r="F11" s="56" t="s">
        <v>25</v>
      </c>
      <c r="G11" s="44">
        <v>37</v>
      </c>
      <c r="H11" s="129">
        <f>IF(B$15=0,0,G11/B$15)</f>
        <v>0.12012987012987013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7.0584905660377339</v>
      </c>
      <c r="P11" s="115">
        <v>53</v>
      </c>
      <c r="Q11" s="103">
        <v>374.09999999999991</v>
      </c>
    </row>
    <row r="12" spans="1:17" x14ac:dyDescent="0.45">
      <c r="A12" s="51" t="s">
        <v>118</v>
      </c>
      <c r="B12" s="44">
        <v>206</v>
      </c>
      <c r="C12" s="37">
        <f>IF(B$3=0,0,B12/B$3)</f>
        <v>0.18197879858657243</v>
      </c>
      <c r="E12" s="59" t="s">
        <v>71</v>
      </c>
      <c r="F12" s="56" t="s">
        <v>26</v>
      </c>
      <c r="G12" s="44">
        <v>17</v>
      </c>
      <c r="H12" s="129">
        <f>IF(B$15=0,0,G12/B$15)</f>
        <v>5.5194805194805192E-2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10.941666666666668</v>
      </c>
      <c r="P12" s="116">
        <v>48</v>
      </c>
      <c r="Q12" s="104">
        <v>525.20000000000005</v>
      </c>
    </row>
    <row r="13" spans="1:17" x14ac:dyDescent="0.45">
      <c r="A13" s="50" t="s">
        <v>123</v>
      </c>
      <c r="B13" s="43">
        <f>B19</f>
        <v>184</v>
      </c>
      <c r="C13" s="35">
        <f>IF(B$11=0,0,B13/B$11)</f>
        <v>0.54925373134328359</v>
      </c>
      <c r="E13" s="59" t="s">
        <v>162</v>
      </c>
      <c r="F13" s="56" t="s">
        <v>163</v>
      </c>
      <c r="G13" s="44">
        <v>17</v>
      </c>
      <c r="H13" s="129">
        <f>IF(B$15=0,0,G13/B$15)</f>
        <v>5.5194805194805192E-2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76</v>
      </c>
      <c r="C14" s="35">
        <f>IF(B$12=0,0,B14/B$12)</f>
        <v>0.36893203883495146</v>
      </c>
      <c r="E14" s="59" t="s">
        <v>86</v>
      </c>
      <c r="F14" s="56" t="s">
        <v>41</v>
      </c>
      <c r="G14" s="44">
        <v>12</v>
      </c>
      <c r="H14" s="129">
        <f>IF(B$15=0,0,G14/B$15)</f>
        <v>3.896103896103896E-2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308</v>
      </c>
      <c r="C15" s="35">
        <f>IF(B$3=0,0,B15/B$3)</f>
        <v>0.27208480565371024</v>
      </c>
      <c r="E15" s="59" t="s">
        <v>83</v>
      </c>
      <c r="F15" s="56" t="s">
        <v>38</v>
      </c>
      <c r="G15" s="44">
        <v>10</v>
      </c>
      <c r="H15" s="129">
        <f>IF(B$15=0,0,G15/B$15)</f>
        <v>3.2467532467532464E-2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197</v>
      </c>
      <c r="C16" s="37">
        <f>IF(B$3=0,0,B16/B$3)</f>
        <v>0.17402826855123674</v>
      </c>
      <c r="E16" s="59" t="s">
        <v>91</v>
      </c>
      <c r="F16" s="56" t="s">
        <v>46</v>
      </c>
      <c r="G16" s="44">
        <v>6</v>
      </c>
      <c r="H16" s="129">
        <f>IF(B$15=0,0,G16/B$15)</f>
        <v>1.948051948051948E-2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 t="shared" si="2"/>
        <v>26.54137931034483</v>
      </c>
      <c r="P16" s="115">
        <v>29</v>
      </c>
      <c r="Q16" s="103">
        <v>769.7</v>
      </c>
    </row>
    <row r="17" spans="1:17" x14ac:dyDescent="0.45">
      <c r="A17" s="51" t="s">
        <v>12</v>
      </c>
      <c r="B17" s="44">
        <v>158</v>
      </c>
      <c r="C17" s="37">
        <f>IF(B$15=0,0,B17/B$15)</f>
        <v>0.51298701298701299</v>
      </c>
      <c r="E17" s="59" t="s">
        <v>92</v>
      </c>
      <c r="F17" s="56" t="s">
        <v>47</v>
      </c>
      <c r="G17" s="44">
        <v>6</v>
      </c>
      <c r="H17" s="129">
        <f>IF(B$15=0,0,G17/B$15)</f>
        <v>1.948051948051948E-2</v>
      </c>
      <c r="I17" s="90">
        <v>1</v>
      </c>
      <c r="K17" s="36">
        <v>15</v>
      </c>
      <c r="L17" s="95">
        <v>-101.79999999999997</v>
      </c>
      <c r="N17" s="111" t="s">
        <v>197</v>
      </c>
      <c r="O17" s="121">
        <f t="shared" si="2"/>
        <v>12.110344827586209</v>
      </c>
      <c r="P17" s="115">
        <v>29</v>
      </c>
      <c r="Q17" s="103">
        <v>351.20000000000005</v>
      </c>
    </row>
    <row r="18" spans="1:17" x14ac:dyDescent="0.45">
      <c r="A18" s="51" t="s">
        <v>11</v>
      </c>
      <c r="B18" s="44">
        <v>150</v>
      </c>
      <c r="C18" s="37">
        <f>IF(B$15=0,0,B18/B$15)</f>
        <v>0.48701298701298701</v>
      </c>
      <c r="E18" s="59" t="s">
        <v>78</v>
      </c>
      <c r="F18" s="56" t="s">
        <v>33</v>
      </c>
      <c r="G18" s="44">
        <v>4</v>
      </c>
      <c r="H18" s="129">
        <f>IF(B$15=0,0,G18/B$15)</f>
        <v>1.2987012987012988E-2</v>
      </c>
      <c r="I18" s="90">
        <v>8</v>
      </c>
      <c r="K18" s="36">
        <v>16</v>
      </c>
      <c r="L18" s="95">
        <v>-63.099999999999966</v>
      </c>
      <c r="N18" s="111" t="s">
        <v>171</v>
      </c>
      <c r="O18" s="121">
        <f t="shared" si="2"/>
        <v>10.093650793650792</v>
      </c>
      <c r="P18" s="115">
        <v>63</v>
      </c>
      <c r="Q18" s="103">
        <v>635.89999999999986</v>
      </c>
    </row>
    <row r="19" spans="1:17" x14ac:dyDescent="0.45">
      <c r="A19" s="51" t="s">
        <v>195</v>
      </c>
      <c r="B19" s="44">
        <v>184</v>
      </c>
      <c r="C19" s="37">
        <f>IF(B$15=0,0,B19/B$15)</f>
        <v>0.59740259740259738</v>
      </c>
      <c r="E19" s="59" t="s">
        <v>81</v>
      </c>
      <c r="F19" s="56" t="s">
        <v>36</v>
      </c>
      <c r="G19" s="44">
        <v>4</v>
      </c>
      <c r="H19" s="129">
        <f>IF(B$15=0,0,G19/B$15)</f>
        <v>1.2987012987012988E-2</v>
      </c>
      <c r="I19" s="90">
        <v>10</v>
      </c>
      <c r="K19" s="36">
        <v>17</v>
      </c>
      <c r="L19" s="95">
        <v>-55.799999999999969</v>
      </c>
      <c r="N19" s="111" t="s">
        <v>274</v>
      </c>
      <c r="O19" s="121">
        <f t="shared" si="2"/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76</v>
      </c>
      <c r="C20" s="37">
        <f>IF(B$15=0,0,B20/B$15)</f>
        <v>0.24675324675324675</v>
      </c>
      <c r="E20" s="59" t="s">
        <v>79</v>
      </c>
      <c r="F20" s="56" t="s">
        <v>34</v>
      </c>
      <c r="G20" s="44">
        <v>3</v>
      </c>
      <c r="H20" s="129">
        <f>IF(B$15=0,0,G20/B$15)</f>
        <v>9.74025974025974E-3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 t="shared" si="2"/>
        <v>2.0999999999999988</v>
      </c>
      <c r="P20" s="115">
        <v>57</v>
      </c>
      <c r="Q20" s="103">
        <v>119.69999999999992</v>
      </c>
    </row>
    <row r="21" spans="1:17" x14ac:dyDescent="0.45">
      <c r="A21" s="51" t="s">
        <v>194</v>
      </c>
      <c r="B21" s="44">
        <v>48</v>
      </c>
      <c r="C21" s="37">
        <f>IF(B$15=0,0,B21/B$15)</f>
        <v>0.15584415584415584</v>
      </c>
      <c r="E21" s="59" t="s">
        <v>85</v>
      </c>
      <c r="F21" s="56" t="s">
        <v>40</v>
      </c>
      <c r="G21" s="44">
        <v>3</v>
      </c>
      <c r="H21" s="129">
        <f>IF(B$15=0,0,G21/B$15)</f>
        <v>9.74025974025974E-3</v>
      </c>
      <c r="I21" s="90">
        <v>3</v>
      </c>
      <c r="K21" s="36">
        <v>19</v>
      </c>
      <c r="L21" s="95">
        <v>-27.799999999999969</v>
      </c>
      <c r="N21" s="111" t="s">
        <v>126</v>
      </c>
      <c r="O21" s="121">
        <f t="shared" si="2"/>
        <v>-1.9482758620689686</v>
      </c>
      <c r="P21" s="115">
        <v>58</v>
      </c>
      <c r="Q21" s="103">
        <v>-113.00000000000018</v>
      </c>
    </row>
    <row r="22" spans="1:17" x14ac:dyDescent="0.45">
      <c r="A22" s="51" t="s">
        <v>5</v>
      </c>
      <c r="B22" s="48">
        <f>IF(B$15=0,0,C22/B$15)</f>
        <v>10969.155844155845</v>
      </c>
      <c r="C22" s="39">
        <v>3378500</v>
      </c>
      <c r="E22" s="59" t="s">
        <v>73</v>
      </c>
      <c r="F22" s="56" t="s">
        <v>28</v>
      </c>
      <c r="G22" s="44">
        <v>2</v>
      </c>
      <c r="H22" s="129">
        <f>IF(B$15=0,0,G22/B$15)</f>
        <v>6.4935064935064939E-3</v>
      </c>
      <c r="I22" s="90">
        <v>2</v>
      </c>
      <c r="K22" s="36">
        <v>20</v>
      </c>
      <c r="L22" s="95">
        <v>-50.39999999999997</v>
      </c>
      <c r="N22" s="111" t="s">
        <v>172</v>
      </c>
      <c r="O22" s="121">
        <f t="shared" si="2"/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11604.741379310344</v>
      </c>
      <c r="C23" s="137">
        <v>2692300</v>
      </c>
      <c r="E23" s="59" t="s">
        <v>75</v>
      </c>
      <c r="F23" s="56" t="s">
        <v>30</v>
      </c>
      <c r="G23" s="44">
        <v>2</v>
      </c>
      <c r="H23" s="129">
        <f>IF(B$15=0,0,G23/B$15)</f>
        <v>6.4935064935064939E-3</v>
      </c>
      <c r="I23" s="90">
        <v>7</v>
      </c>
      <c r="K23" s="36">
        <v>21</v>
      </c>
      <c r="L23" s="95">
        <v>-59.89999999999997</v>
      </c>
      <c r="N23" s="111" t="s">
        <v>196</v>
      </c>
      <c r="O23" s="121">
        <f t="shared" si="2"/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9028.9473684210534</v>
      </c>
      <c r="C24" s="137">
        <v>686200</v>
      </c>
      <c r="E24" s="59" t="s">
        <v>84</v>
      </c>
      <c r="F24" s="56" t="s">
        <v>39</v>
      </c>
      <c r="G24" s="44">
        <v>2</v>
      </c>
      <c r="H24" s="129">
        <f>IF(B$15=0,0,G24/B$15)</f>
        <v>6.4935064935064939E-3</v>
      </c>
      <c r="I24" s="90">
        <v>1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-7926.3959390862947</v>
      </c>
      <c r="C25" s="137">
        <v>-1561500</v>
      </c>
      <c r="E25" s="59" t="s">
        <v>90</v>
      </c>
      <c r="F25" s="56" t="s">
        <v>45</v>
      </c>
      <c r="G25" s="44">
        <v>2</v>
      </c>
      <c r="H25" s="129">
        <f>IF(B$15=0,0,G25/B$15)</f>
        <v>6.4935064935064939E-3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77</v>
      </c>
      <c r="F26" s="56" t="s">
        <v>32</v>
      </c>
      <c r="G26" s="44">
        <v>1</v>
      </c>
      <c r="H26" s="129">
        <f>IF(B$15=0,0,G26/B$15)</f>
        <v>3.246753246753247E-3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3</v>
      </c>
      <c r="E27" s="59" t="s">
        <v>88</v>
      </c>
      <c r="F27" s="56" t="s">
        <v>43</v>
      </c>
      <c r="G27" s="44">
        <v>1</v>
      </c>
      <c r="H27" s="129">
        <f>IF(B$15=0,0,G27/B$15)</f>
        <v>3.246753246753247E-3</v>
      </c>
      <c r="I27" s="90">
        <v>3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3.246753246753247E-3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97</v>
      </c>
      <c r="F29" s="56" t="s">
        <v>52</v>
      </c>
      <c r="G29" s="44">
        <v>1</v>
      </c>
      <c r="H29" s="129">
        <f>IF(B$15=0,0,G29/B$15)</f>
        <v>3.246753246753247E-3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1.7667844522968198E-3</v>
      </c>
      <c r="E30" s="59" t="s">
        <v>74</v>
      </c>
      <c r="F30" s="56" t="s">
        <v>29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-10.999999999999972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2.5974025974025976E-2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24</v>
      </c>
      <c r="C33" s="37">
        <f t="shared" ref="C33:C44" si="3">IF(B$15=0,0,B33/B$15)</f>
        <v>7.792207792207792E-2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42</v>
      </c>
      <c r="C34" s="37">
        <f>IF(B$15=0,0,B34/B$15)</f>
        <v>0.13636363636363635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7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57</v>
      </c>
      <c r="C35" s="37">
        <f t="shared" si="3"/>
        <v>0.18506493506493507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67</v>
      </c>
      <c r="C36" s="37">
        <f t="shared" si="3"/>
        <v>0.21753246753246752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43</v>
      </c>
      <c r="C37" s="37">
        <f t="shared" si="3"/>
        <v>0.1396103896103896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23</v>
      </c>
      <c r="C38" s="37">
        <f t="shared" si="3"/>
        <v>7.4675324675324672E-2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21</v>
      </c>
      <c r="C39" s="37">
        <f t="shared" si="3"/>
        <v>6.8181818181818177E-2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8</v>
      </c>
      <c r="C40" s="37">
        <f t="shared" si="3"/>
        <v>2.5974025974025976E-2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3"/>
        <v>9.74025974025974E-3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3"/>
        <v>6.4935064935064939E-3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3"/>
        <v>3.246753246753247E-3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9</v>
      </c>
      <c r="C44" s="40">
        <f t="shared" si="3"/>
        <v>2.922077922077922E-2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</sheetData>
  <sortState xmlns:xlrd2="http://schemas.microsoft.com/office/spreadsheetml/2017/richdata2" ref="E2:I14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4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146</v>
      </c>
      <c r="C2" s="155"/>
      <c r="E2" s="58" t="s">
        <v>66</v>
      </c>
      <c r="F2" s="55" t="s">
        <v>22</v>
      </c>
      <c r="G2" s="43">
        <v>245</v>
      </c>
      <c r="H2" s="128">
        <f>IF(B$15=0,0,G2/B$15)</f>
        <v>0.7357357357357357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-207.53424657534248</v>
      </c>
      <c r="P2" s="114">
        <v>146</v>
      </c>
      <c r="Q2" s="98">
        <v>-30300</v>
      </c>
    </row>
    <row r="3" spans="1:17" x14ac:dyDescent="0.45">
      <c r="A3" s="51" t="s">
        <v>8</v>
      </c>
      <c r="B3" s="156">
        <v>1182</v>
      </c>
      <c r="C3" s="157"/>
      <c r="E3" s="59" t="s">
        <v>72</v>
      </c>
      <c r="F3" s="56" t="s">
        <v>27</v>
      </c>
      <c r="G3" s="44">
        <v>187</v>
      </c>
      <c r="H3" s="129">
        <f>IF(B$15=0,0,G3/B$15)</f>
        <v>0.56156156156156156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264.33566433566432</v>
      </c>
      <c r="P3" s="115">
        <v>143</v>
      </c>
      <c r="Q3" s="99">
        <v>37800</v>
      </c>
    </row>
    <row r="4" spans="1:17" x14ac:dyDescent="0.45">
      <c r="A4" s="51" t="s">
        <v>6</v>
      </c>
      <c r="B4" s="158">
        <v>-28.099999999999977</v>
      </c>
      <c r="C4" s="159"/>
      <c r="E4" s="59" t="s">
        <v>64</v>
      </c>
      <c r="F4" s="56" t="s">
        <v>20</v>
      </c>
      <c r="G4" s="44">
        <v>164</v>
      </c>
      <c r="H4" s="129">
        <f>IF(B$15=0,0,G4/B$15)</f>
        <v>0.4924924924924925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178.5185185185185</v>
      </c>
      <c r="P4" s="115">
        <v>135</v>
      </c>
      <c r="Q4" s="99">
        <v>24100</v>
      </c>
    </row>
    <row r="5" spans="1:17" x14ac:dyDescent="0.45">
      <c r="A5" s="51" t="s">
        <v>7</v>
      </c>
      <c r="B5" s="160">
        <f>IF(B$2=0,0,B$4/B$2)</f>
        <v>-0.19246575342465738</v>
      </c>
      <c r="C5" s="161"/>
      <c r="E5" s="59" t="s">
        <v>166</v>
      </c>
      <c r="F5" s="56" t="s">
        <v>167</v>
      </c>
      <c r="G5" s="44">
        <v>145</v>
      </c>
      <c r="H5" s="129">
        <f>IF(B$15=0,0,G5/B$15)</f>
        <v>0.43543543543543545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376.61290322580646</v>
      </c>
      <c r="P5" s="115">
        <v>124</v>
      </c>
      <c r="Q5" s="99">
        <v>46700</v>
      </c>
    </row>
    <row r="6" spans="1:17" x14ac:dyDescent="0.45">
      <c r="A6" s="51" t="s">
        <v>1</v>
      </c>
      <c r="B6" s="150">
        <f>IF(B$2=0,0,(B$7*1+B$8*2+B$9*3)/B$2)</f>
        <v>2.0410958904109591</v>
      </c>
      <c r="C6" s="151"/>
      <c r="E6" s="59" t="s">
        <v>67</v>
      </c>
      <c r="F6" s="56" t="s">
        <v>23</v>
      </c>
      <c r="G6" s="44">
        <v>110</v>
      </c>
      <c r="H6" s="129">
        <f>IF(B$15=0,0,G6/B$15)</f>
        <v>0.33033033033033032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144.24778761061947</v>
      </c>
      <c r="P6" s="115">
        <v>113</v>
      </c>
      <c r="Q6" s="99">
        <v>16300</v>
      </c>
    </row>
    <row r="7" spans="1:17" x14ac:dyDescent="0.45">
      <c r="A7" s="51" t="s">
        <v>2</v>
      </c>
      <c r="B7" s="44">
        <v>37</v>
      </c>
      <c r="C7" s="37">
        <f t="shared" ref="C7:C10" si="1">IF(B$2=0,0,B7/B$2)</f>
        <v>0.25342465753424659</v>
      </c>
      <c r="E7" s="59" t="s">
        <v>68</v>
      </c>
      <c r="F7" s="56" t="s">
        <v>12</v>
      </c>
      <c r="G7" s="44">
        <v>105</v>
      </c>
      <c r="H7" s="129">
        <f>IF(B$15=0,0,G7/B$15)</f>
        <v>0.31531531531531531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-622.91666666666663</v>
      </c>
      <c r="P7" s="116">
        <v>96</v>
      </c>
      <c r="Q7" s="100">
        <v>-59800</v>
      </c>
    </row>
    <row r="8" spans="1:17" x14ac:dyDescent="0.45">
      <c r="A8" s="51" t="s">
        <v>3</v>
      </c>
      <c r="B8" s="44">
        <v>66</v>
      </c>
      <c r="C8" s="37">
        <f t="shared" si="1"/>
        <v>0.45205479452054792</v>
      </c>
      <c r="E8" s="59" t="s">
        <v>89</v>
      </c>
      <c r="F8" s="56" t="s">
        <v>44</v>
      </c>
      <c r="G8" s="44">
        <v>46</v>
      </c>
      <c r="H8" s="129">
        <f>IF(B$15=0,0,G8/B$15)</f>
        <v>0.13813813813813813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43</v>
      </c>
      <c r="C9" s="38">
        <f t="shared" si="1"/>
        <v>0.29452054794520549</v>
      </c>
      <c r="E9" s="59" t="s">
        <v>69</v>
      </c>
      <c r="F9" s="56" t="s">
        <v>24</v>
      </c>
      <c r="G9" s="44">
        <v>45</v>
      </c>
      <c r="H9" s="129">
        <f>IF(B$15=0,0,G9/B$15)</f>
        <v>0.13513513513513514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6.8493150684931503E-2</v>
      </c>
      <c r="E10" s="59" t="s">
        <v>71</v>
      </c>
      <c r="F10" s="56" t="s">
        <v>26</v>
      </c>
      <c r="G10" s="44">
        <v>31</v>
      </c>
      <c r="H10" s="129">
        <f>IF(B$15=0,0,G10/B$15)</f>
        <v>9.3093093093093091E-2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-2.6033333333333339</v>
      </c>
      <c r="P10" s="114">
        <v>60</v>
      </c>
      <c r="Q10" s="102">
        <v>-156.20000000000005</v>
      </c>
    </row>
    <row r="11" spans="1:17" x14ac:dyDescent="0.45">
      <c r="A11" s="54" t="s">
        <v>121</v>
      </c>
      <c r="B11" s="47">
        <v>306</v>
      </c>
      <c r="C11" s="42">
        <f>IF(B$3=0,0,B11/B$3)</f>
        <v>0.25888324873096447</v>
      </c>
      <c r="E11" s="59" t="s">
        <v>65</v>
      </c>
      <c r="F11" s="56" t="s">
        <v>21</v>
      </c>
      <c r="G11" s="44">
        <v>27</v>
      </c>
      <c r="H11" s="129">
        <f>IF(B$15=0,0,G11/B$15)</f>
        <v>8.1081081081081086E-2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1.6413043478260876</v>
      </c>
      <c r="P11" s="115">
        <v>46</v>
      </c>
      <c r="Q11" s="103">
        <v>75.500000000000028</v>
      </c>
    </row>
    <row r="12" spans="1:17" x14ac:dyDescent="0.45">
      <c r="A12" s="51" t="s">
        <v>118</v>
      </c>
      <c r="B12" s="44">
        <v>275</v>
      </c>
      <c r="C12" s="37">
        <f>IF(B$3=0,0,B12/B$3)</f>
        <v>0.2326565143824027</v>
      </c>
      <c r="E12" s="59" t="s">
        <v>70</v>
      </c>
      <c r="F12" s="56" t="s">
        <v>25</v>
      </c>
      <c r="G12" s="44">
        <v>23</v>
      </c>
      <c r="H12" s="129">
        <f>IF(B$15=0,0,G12/B$15)</f>
        <v>6.9069069069069067E-2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1.3149999999999997</v>
      </c>
      <c r="P12" s="116">
        <v>40</v>
      </c>
      <c r="Q12" s="104">
        <v>52.599999999999987</v>
      </c>
    </row>
    <row r="13" spans="1:17" x14ac:dyDescent="0.45">
      <c r="A13" s="50" t="s">
        <v>123</v>
      </c>
      <c r="B13" s="43">
        <f>B19</f>
        <v>170</v>
      </c>
      <c r="C13" s="35">
        <f>IF(B$11=0,0,B13/B$11)</f>
        <v>0.55555555555555558</v>
      </c>
      <c r="E13" s="59" t="s">
        <v>86</v>
      </c>
      <c r="F13" s="56" t="s">
        <v>41</v>
      </c>
      <c r="G13" s="44">
        <v>16</v>
      </c>
      <c r="H13" s="129">
        <f>IF(B$15=0,0,G13/B$15)</f>
        <v>4.8048048048048048E-2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117</v>
      </c>
      <c r="C14" s="35">
        <f>IF(B$12=0,0,B14/B$12)</f>
        <v>0.42545454545454547</v>
      </c>
      <c r="E14" s="59" t="s">
        <v>83</v>
      </c>
      <c r="F14" s="56" t="s">
        <v>38</v>
      </c>
      <c r="G14" s="44">
        <v>13</v>
      </c>
      <c r="H14" s="129">
        <f>IF(B$15=0,0,G14/B$15)</f>
        <v>3.903903903903904E-2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333</v>
      </c>
      <c r="C15" s="35">
        <f>IF(B$3=0,0,B15/B$3)</f>
        <v>0.28172588832487311</v>
      </c>
      <c r="E15" s="59" t="s">
        <v>79</v>
      </c>
      <c r="F15" s="56" t="s">
        <v>34</v>
      </c>
      <c r="G15" s="44">
        <v>7</v>
      </c>
      <c r="H15" s="129">
        <f>IF(B$15=0,0,G15/B$15)</f>
        <v>2.1021021021021023E-2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164</v>
      </c>
      <c r="C16" s="37">
        <f>IF(B$3=0,0,B16/B$3)</f>
        <v>0.13874788494077833</v>
      </c>
      <c r="E16" s="59" t="s">
        <v>78</v>
      </c>
      <c r="F16" s="56" t="s">
        <v>33</v>
      </c>
      <c r="G16" s="44">
        <v>6</v>
      </c>
      <c r="H16" s="129">
        <f>IF(B$15=0,0,G16/B$15)</f>
        <v>1.8018018018018018E-2</v>
      </c>
      <c r="I16" s="90">
        <v>7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149</v>
      </c>
      <c r="C17" s="37">
        <f>IF(B$15=0,0,B17/B$15)</f>
        <v>0.44744744744744747</v>
      </c>
      <c r="E17" s="59" t="s">
        <v>162</v>
      </c>
      <c r="F17" s="56" t="s">
        <v>163</v>
      </c>
      <c r="G17" s="44">
        <v>6</v>
      </c>
      <c r="H17" s="129">
        <f>IF(B$15=0,0,G17/B$15)</f>
        <v>1.8018018018018018E-2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184</v>
      </c>
      <c r="C18" s="37">
        <f>IF(B$15=0,0,B18/B$15)</f>
        <v>0.55255255255255253</v>
      </c>
      <c r="E18" s="59" t="s">
        <v>73</v>
      </c>
      <c r="F18" s="56" t="s">
        <v>28</v>
      </c>
      <c r="G18" s="44">
        <v>5</v>
      </c>
      <c r="H18" s="129">
        <f>IF(B$15=0,0,G18/B$15)</f>
        <v>1.5015015015015015E-2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170</v>
      </c>
      <c r="C19" s="37">
        <f>IF(B$15=0,0,B19/B$15)</f>
        <v>0.51051051051051055</v>
      </c>
      <c r="E19" s="59" t="s">
        <v>81</v>
      </c>
      <c r="F19" s="56" t="s">
        <v>36</v>
      </c>
      <c r="G19" s="44">
        <v>5</v>
      </c>
      <c r="H19" s="129">
        <f>IF(B$15=0,0,G19/B$15)</f>
        <v>1.5015015015015015E-2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117</v>
      </c>
      <c r="C20" s="37">
        <f>IF(B$15=0,0,B20/B$15)</f>
        <v>0.35135135135135137</v>
      </c>
      <c r="E20" s="59" t="s">
        <v>85</v>
      </c>
      <c r="F20" s="56" t="s">
        <v>40</v>
      </c>
      <c r="G20" s="44">
        <v>3</v>
      </c>
      <c r="H20" s="129">
        <f>IF(B$15=0,0,G20/B$15)</f>
        <v>9.0090090090090089E-3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46</v>
      </c>
      <c r="C21" s="37">
        <f>IF(B$15=0,0,B21/B$15)</f>
        <v>0.13813813813813813</v>
      </c>
      <c r="E21" s="59" t="s">
        <v>91</v>
      </c>
      <c r="F21" s="56" t="s">
        <v>46</v>
      </c>
      <c r="G21" s="44">
        <v>3</v>
      </c>
      <c r="H21" s="129">
        <f>IF(B$15=0,0,G21/B$15)</f>
        <v>9.0090090090090089E-3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 t="shared" si="2"/>
        <v>3.2271186440677964</v>
      </c>
      <c r="P21" s="115">
        <v>59</v>
      </c>
      <c r="Q21" s="103">
        <v>190.39999999999998</v>
      </c>
    </row>
    <row r="22" spans="1:17" x14ac:dyDescent="0.45">
      <c r="A22" s="51" t="s">
        <v>5</v>
      </c>
      <c r="B22" s="48">
        <f>IF(B$15=0,0,C22/B$15)</f>
        <v>8336.3363363363369</v>
      </c>
      <c r="C22" s="39">
        <v>2776000</v>
      </c>
      <c r="E22" s="59" t="s">
        <v>75</v>
      </c>
      <c r="F22" s="56" t="s">
        <v>30</v>
      </c>
      <c r="G22" s="44">
        <v>2</v>
      </c>
      <c r="H22" s="129">
        <f>IF(B$15=0,0,G22/B$15)</f>
        <v>6.006006006006006E-3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 t="shared" si="2"/>
        <v>1.6968750000000004</v>
      </c>
      <c r="P22" s="115">
        <v>32</v>
      </c>
      <c r="Q22" s="103">
        <v>54.300000000000011</v>
      </c>
    </row>
    <row r="23" spans="1:17" x14ac:dyDescent="0.45">
      <c r="A23" s="52" t="s">
        <v>177</v>
      </c>
      <c r="B23" s="136">
        <f>IF($B$15-B$14=0,0,C23/($B$15-B$14))</f>
        <v>9336.5740740740748</v>
      </c>
      <c r="C23" s="137">
        <v>2016700</v>
      </c>
      <c r="E23" s="59" t="s">
        <v>92</v>
      </c>
      <c r="F23" s="56" t="s">
        <v>47</v>
      </c>
      <c r="G23" s="44">
        <v>2</v>
      </c>
      <c r="H23" s="129">
        <f>IF(B$15=0,0,G23/B$15)</f>
        <v>6.006006006006006E-3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 t="shared" si="2"/>
        <v>-10.093650793650792</v>
      </c>
      <c r="P23" s="115">
        <v>63</v>
      </c>
      <c r="Q23" s="103">
        <v>-635.89999999999986</v>
      </c>
    </row>
    <row r="24" spans="1:17" x14ac:dyDescent="0.45">
      <c r="A24" s="52" t="s">
        <v>178</v>
      </c>
      <c r="B24" s="136">
        <f>IF(B$14=0,0,C24/B$14)</f>
        <v>6489.7435897435898</v>
      </c>
      <c r="C24" s="137">
        <v>759300</v>
      </c>
      <c r="E24" s="59" t="s">
        <v>74</v>
      </c>
      <c r="F24" s="56" t="s">
        <v>29</v>
      </c>
      <c r="G24" s="44">
        <v>1</v>
      </c>
      <c r="H24" s="129">
        <f>IF(B$15=0,0,G24/B$15)</f>
        <v>3.003003003003003E-3</v>
      </c>
      <c r="I24" s="90">
        <v>6</v>
      </c>
      <c r="K24" s="36">
        <v>22</v>
      </c>
      <c r="L24" s="95">
        <v>-66.999999999999986</v>
      </c>
      <c r="N24" s="111" t="s">
        <v>126</v>
      </c>
      <c r="O24" s="121">
        <f t="shared" si="2"/>
        <v>-11.989855072463769</v>
      </c>
      <c r="P24" s="115">
        <v>69</v>
      </c>
      <c r="Q24" s="103">
        <v>-827.30000000000007</v>
      </c>
    </row>
    <row r="25" spans="1:17" x14ac:dyDescent="0.45">
      <c r="A25" s="52" t="s">
        <v>176</v>
      </c>
      <c r="B25" s="136">
        <f>IF(B$16=0,0,C25/B$16)</f>
        <v>-6992.0731707317073</v>
      </c>
      <c r="C25" s="137">
        <v>-1146700</v>
      </c>
      <c r="E25" s="59" t="s">
        <v>87</v>
      </c>
      <c r="F25" s="56" t="s">
        <v>42</v>
      </c>
      <c r="G25" s="44">
        <v>1</v>
      </c>
      <c r="H25" s="129">
        <f>IF(B$15=0,0,G25/B$15)</f>
        <v>3.003003003003003E-3</v>
      </c>
      <c r="I25" s="90">
        <v>4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1</v>
      </c>
      <c r="H26" s="129">
        <f>IF(B$15=0,0,G26/B$15)</f>
        <v>3.003003003003003E-3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2</v>
      </c>
      <c r="E27" s="59" t="s">
        <v>93</v>
      </c>
      <c r="F27" s="56" t="s">
        <v>48</v>
      </c>
      <c r="G27" s="44">
        <v>1</v>
      </c>
      <c r="H27" s="129">
        <f>IF(B$15=0,0,G27/B$15)</f>
        <v>3.003003003003003E-3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3.003003003003003E-3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1.6920473773265651E-3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6.006006006006006E-2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62</v>
      </c>
      <c r="C33" s="37">
        <f t="shared" ref="C33:C44" si="3">IF(B$15=0,0,B33/B$15)</f>
        <v>0.18618618618618618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67</v>
      </c>
      <c r="C34" s="37">
        <f>IF(B$15=0,0,B34/B$15)</f>
        <v>0.20120120120120119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61</v>
      </c>
      <c r="C35" s="37">
        <f t="shared" si="3"/>
        <v>0.18318318318318319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48</v>
      </c>
      <c r="C36" s="37">
        <f t="shared" si="3"/>
        <v>0.14414414414414414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38</v>
      </c>
      <c r="C37" s="37">
        <f t="shared" si="3"/>
        <v>0.11411411411411411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18</v>
      </c>
      <c r="C38" s="37">
        <f t="shared" si="3"/>
        <v>5.4054054054054057E-2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2.1021021021021023E-2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9.0090090090090089E-3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6.006006006006006E-3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3.003003003003003E-3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6.006006006006006E-3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4</v>
      </c>
      <c r="C44" s="40">
        <f t="shared" si="3"/>
        <v>1.2012012012012012E-2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</sheetData>
  <sortState xmlns:xlrd2="http://schemas.microsoft.com/office/spreadsheetml/2017/richdata2" ref="E2:I14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65</v>
      </c>
      <c r="C2" s="155"/>
      <c r="E2" s="58" t="s">
        <v>66</v>
      </c>
      <c r="F2" s="55" t="s">
        <v>22</v>
      </c>
      <c r="G2" s="43">
        <v>96</v>
      </c>
      <c r="H2" s="128">
        <f>IF(B$15=0,0,G2/B$15)</f>
        <v>0.68571428571428572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-2886.1538461538462</v>
      </c>
      <c r="P2" s="114">
        <v>65</v>
      </c>
      <c r="Q2" s="98">
        <v>-187600</v>
      </c>
    </row>
    <row r="3" spans="1:17" x14ac:dyDescent="0.45">
      <c r="A3" s="51" t="s">
        <v>8</v>
      </c>
      <c r="B3" s="156">
        <v>540</v>
      </c>
      <c r="C3" s="157"/>
      <c r="E3" s="59" t="s">
        <v>72</v>
      </c>
      <c r="F3" s="56" t="s">
        <v>27</v>
      </c>
      <c r="G3" s="44">
        <v>92</v>
      </c>
      <c r="H3" s="129">
        <f>IF(B$15=0,0,G3/B$15)</f>
        <v>0.65714285714285714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1089.2307692307693</v>
      </c>
      <c r="P3" s="115">
        <v>65</v>
      </c>
      <c r="Q3" s="99">
        <v>70800</v>
      </c>
    </row>
    <row r="4" spans="1:17" x14ac:dyDescent="0.45">
      <c r="A4" s="51" t="s">
        <v>6</v>
      </c>
      <c r="B4" s="158">
        <v>-668.90000000000009</v>
      </c>
      <c r="C4" s="159"/>
      <c r="E4" s="59" t="s">
        <v>64</v>
      </c>
      <c r="F4" s="56" t="s">
        <v>20</v>
      </c>
      <c r="G4" s="44">
        <v>56</v>
      </c>
      <c r="H4" s="129">
        <f>IF(B$15=0,0,G4/B$15)</f>
        <v>0.4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-591.93548387096769</v>
      </c>
      <c r="P4" s="115">
        <v>62</v>
      </c>
      <c r="Q4" s="99">
        <v>-36700</v>
      </c>
    </row>
    <row r="5" spans="1:17" x14ac:dyDescent="0.45">
      <c r="A5" s="51" t="s">
        <v>7</v>
      </c>
      <c r="B5" s="160">
        <f>IF(B$2=0,0,B$4/B$2)</f>
        <v>-10.290769230769232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0.33571428571428569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-1503.5714285714287</v>
      </c>
      <c r="P5" s="115">
        <v>56</v>
      </c>
      <c r="Q5" s="99">
        <v>-84200</v>
      </c>
    </row>
    <row r="6" spans="1:17" x14ac:dyDescent="0.45">
      <c r="A6" s="51" t="s">
        <v>1</v>
      </c>
      <c r="B6" s="150">
        <f>IF(B$2=0,0,(B$7*1+B$8*2+B$9*3)/B$2)</f>
        <v>2.2615384615384615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0.27142857142857141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-1926.4150943396226</v>
      </c>
      <c r="P6" s="115">
        <v>53</v>
      </c>
      <c r="Q6" s="99">
        <v>-102100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0.16923076923076924</v>
      </c>
      <c r="E7" s="59" t="s">
        <v>67</v>
      </c>
      <c r="F7" s="56" t="s">
        <v>23</v>
      </c>
      <c r="G7" s="44">
        <v>34</v>
      </c>
      <c r="H7" s="129">
        <f>IF(B$15=0,0,G7/B$15)</f>
        <v>0.24285714285714285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-2106.9767441860463</v>
      </c>
      <c r="P7" s="116">
        <v>43</v>
      </c>
      <c r="Q7" s="100">
        <v>-90600</v>
      </c>
    </row>
    <row r="8" spans="1:17" x14ac:dyDescent="0.45">
      <c r="A8" s="51" t="s">
        <v>3</v>
      </c>
      <c r="B8" s="44">
        <v>26</v>
      </c>
      <c r="C8" s="37">
        <f t="shared" si="1"/>
        <v>0.4</v>
      </c>
      <c r="E8" s="59" t="s">
        <v>89</v>
      </c>
      <c r="F8" s="56" t="s">
        <v>44</v>
      </c>
      <c r="G8" s="44">
        <v>23</v>
      </c>
      <c r="H8" s="129">
        <f>IF(B$15=0,0,G8/B$15)</f>
        <v>0.16428571428571428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28</v>
      </c>
      <c r="C9" s="38">
        <f t="shared" si="1"/>
        <v>0.43076923076923079</v>
      </c>
      <c r="E9" s="59" t="s">
        <v>65</v>
      </c>
      <c r="F9" s="56" t="s">
        <v>21</v>
      </c>
      <c r="G9" s="44">
        <v>16</v>
      </c>
      <c r="H9" s="129">
        <f>IF(B$15=0,0,G9/B$15)</f>
        <v>0.11428571428571428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0.15384615384615385</v>
      </c>
      <c r="E10" s="59" t="s">
        <v>71</v>
      </c>
      <c r="F10" s="56" t="s">
        <v>26</v>
      </c>
      <c r="G10" s="44">
        <v>13</v>
      </c>
      <c r="H10" s="129">
        <f>IF(B$15=0,0,G10/B$15)</f>
        <v>9.285714285714286E-2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-18.792857142857141</v>
      </c>
      <c r="P10" s="114">
        <v>28</v>
      </c>
      <c r="Q10" s="102">
        <v>-526.19999999999993</v>
      </c>
    </row>
    <row r="11" spans="1:17" x14ac:dyDescent="0.45">
      <c r="A11" s="54" t="s">
        <v>121</v>
      </c>
      <c r="B11" s="47">
        <v>114</v>
      </c>
      <c r="C11" s="42">
        <f>IF(B$3=0,0,B11/B$3)</f>
        <v>0.21111111111111111</v>
      </c>
      <c r="E11" s="59" t="s">
        <v>69</v>
      </c>
      <c r="F11" s="56" t="s">
        <v>24</v>
      </c>
      <c r="G11" s="44">
        <v>12</v>
      </c>
      <c r="H11" s="129">
        <f>IF(B$15=0,0,G11/B$15)</f>
        <v>8.5714285714285715E-2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-0.81052631578947321</v>
      </c>
      <c r="P11" s="115">
        <v>19</v>
      </c>
      <c r="Q11" s="103">
        <v>-15.399999999999991</v>
      </c>
    </row>
    <row r="12" spans="1:17" x14ac:dyDescent="0.45">
      <c r="A12" s="51" t="s">
        <v>118</v>
      </c>
      <c r="B12" s="44">
        <v>124</v>
      </c>
      <c r="C12" s="37">
        <f>IF(B$3=0,0,B12/B$3)</f>
        <v>0.22962962962962963</v>
      </c>
      <c r="E12" s="59" t="s">
        <v>70</v>
      </c>
      <c r="F12" s="56" t="s">
        <v>25</v>
      </c>
      <c r="G12" s="44">
        <v>12</v>
      </c>
      <c r="H12" s="129">
        <f>IF(B$15=0,0,G12/B$15)</f>
        <v>8.5714285714285715E-2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59</v>
      </c>
      <c r="C13" s="35">
        <f>IF(B$11=0,0,B13/B$11)</f>
        <v>0.51754385964912286</v>
      </c>
      <c r="E13" s="59" t="s">
        <v>83</v>
      </c>
      <c r="F13" s="56" t="s">
        <v>38</v>
      </c>
      <c r="G13" s="44">
        <v>9</v>
      </c>
      <c r="H13" s="129">
        <f>IF(B$15=0,0,G13/B$15)</f>
        <v>6.4285714285714279E-2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</v>
      </c>
      <c r="C14" s="35">
        <f>IF(B$12=0,0,B14/B$12)</f>
        <v>0.43548387096774194</v>
      </c>
      <c r="E14" s="59" t="s">
        <v>81</v>
      </c>
      <c r="F14" s="56" t="s">
        <v>36</v>
      </c>
      <c r="G14" s="44">
        <v>8</v>
      </c>
      <c r="H14" s="129">
        <f>IF(B$15=0,0,G14/B$15)</f>
        <v>5.7142857142857141E-2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140</v>
      </c>
      <c r="C15" s="35">
        <f>IF(B$3=0,0,B15/B$3)</f>
        <v>0.25925925925925924</v>
      </c>
      <c r="E15" s="59" t="s">
        <v>86</v>
      </c>
      <c r="F15" s="56" t="s">
        <v>41</v>
      </c>
      <c r="G15" s="44">
        <v>8</v>
      </c>
      <c r="H15" s="129">
        <f>IF(B$15=0,0,G15/B$15)</f>
        <v>5.7142857142857141E-2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96</v>
      </c>
      <c r="C16" s="37">
        <f>IF(B$3=0,0,B16/B$3)</f>
        <v>0.17777777777777778</v>
      </c>
      <c r="E16" s="59" t="s">
        <v>91</v>
      </c>
      <c r="F16" s="56" t="s">
        <v>46</v>
      </c>
      <c r="G16" s="44">
        <v>2</v>
      </c>
      <c r="H16" s="129">
        <f>IF(B$15=0,0,G16/B$15)</f>
        <v>1.4285714285714285E-2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64</v>
      </c>
      <c r="C17" s="37">
        <f>IF(B$15=0,0,B17/B$15)</f>
        <v>0.45714285714285713</v>
      </c>
      <c r="E17" s="59" t="s">
        <v>74</v>
      </c>
      <c r="F17" s="56" t="s">
        <v>29</v>
      </c>
      <c r="G17" s="44">
        <v>1</v>
      </c>
      <c r="H17" s="129">
        <f>IF(B$15=0,0,G17/B$15)</f>
        <v>7.1428571428571426E-3</v>
      </c>
      <c r="I17" s="90">
        <v>2</v>
      </c>
      <c r="K17" s="36">
        <v>15</v>
      </c>
      <c r="L17" s="95">
        <v>-272.50000000000006</v>
      </c>
      <c r="N17" s="111" t="s">
        <v>274</v>
      </c>
      <c r="O17" s="121">
        <f>IF(P17=0,0,Q17/P17)</f>
        <v>-12.000000000000002</v>
      </c>
      <c r="P17" s="115">
        <v>1</v>
      </c>
      <c r="Q17" s="103">
        <v>-12.000000000000002</v>
      </c>
    </row>
    <row r="18" spans="1:17" x14ac:dyDescent="0.45">
      <c r="A18" s="51" t="s">
        <v>11</v>
      </c>
      <c r="B18" s="44">
        <v>76</v>
      </c>
      <c r="C18" s="37">
        <f>IF(B$15=0,0,B18/B$15)</f>
        <v>0.54285714285714282</v>
      </c>
      <c r="E18" s="59" t="s">
        <v>78</v>
      </c>
      <c r="F18" s="56" t="s">
        <v>33</v>
      </c>
      <c r="G18" s="44">
        <v>1</v>
      </c>
      <c r="H18" s="129">
        <f>IF(B$15=0,0,G18/B$15)</f>
        <v>7.1428571428571426E-3</v>
      </c>
      <c r="I18" s="90">
        <v>10</v>
      </c>
      <c r="K18" s="36">
        <v>16</v>
      </c>
      <c r="L18" s="95">
        <v>-320.30000000000007</v>
      </c>
      <c r="N18" s="111" t="s">
        <v>127</v>
      </c>
      <c r="O18" s="121">
        <f>IF(P18=0,0,Q18/P18)</f>
        <v>-12.000000000000002</v>
      </c>
      <c r="P18" s="115">
        <v>17</v>
      </c>
      <c r="Q18" s="103">
        <v>-204.00000000000003</v>
      </c>
    </row>
    <row r="19" spans="1:17" x14ac:dyDescent="0.45">
      <c r="A19" s="51" t="s">
        <v>195</v>
      </c>
      <c r="B19" s="44">
        <v>59</v>
      </c>
      <c r="C19" s="37">
        <f>IF(B$15=0,0,B19/B$15)</f>
        <v>0.42142857142857143</v>
      </c>
      <c r="E19" s="59" t="s">
        <v>79</v>
      </c>
      <c r="F19" s="56" t="s">
        <v>34</v>
      </c>
      <c r="G19" s="44">
        <v>1</v>
      </c>
      <c r="H19" s="129">
        <f>IF(B$15=0,0,G19/B$15)</f>
        <v>7.1428571428571426E-3</v>
      </c>
      <c r="I19" s="90">
        <v>10</v>
      </c>
      <c r="K19" s="36">
        <v>17</v>
      </c>
      <c r="L19" s="95">
        <v>-352.60000000000008</v>
      </c>
      <c r="N19" s="111" t="s">
        <v>170</v>
      </c>
      <c r="O19" s="121">
        <f>IF(P19=0,0,Q19/P19)</f>
        <v>-12.110344827586207</v>
      </c>
      <c r="P19" s="115">
        <v>29</v>
      </c>
      <c r="Q19" s="103">
        <v>-351.2</v>
      </c>
    </row>
    <row r="20" spans="1:17" x14ac:dyDescent="0.45">
      <c r="A20" s="51" t="s">
        <v>193</v>
      </c>
      <c r="B20" s="44">
        <v>54</v>
      </c>
      <c r="C20" s="37">
        <f>IF(B$15=0,0,B20/B$15)</f>
        <v>0.38571428571428573</v>
      </c>
      <c r="E20" s="59" t="s">
        <v>92</v>
      </c>
      <c r="F20" s="56" t="s">
        <v>47</v>
      </c>
      <c r="G20" s="44">
        <v>1</v>
      </c>
      <c r="H20" s="129">
        <f>IF(B$15=0,0,G20/B$15)</f>
        <v>7.1428571428571426E-3</v>
      </c>
      <c r="I20" s="90">
        <v>3</v>
      </c>
      <c r="K20" s="36">
        <v>18</v>
      </c>
      <c r="L20" s="95">
        <v>-355.50000000000006</v>
      </c>
      <c r="N20" s="111" t="s">
        <v>171</v>
      </c>
      <c r="O20" s="121">
        <f>IF(P20=0,0,Q20/P20)</f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27</v>
      </c>
      <c r="C21" s="37">
        <f>IF(B$15=0,0,B21/B$15)</f>
        <v>0.19285714285714287</v>
      </c>
      <c r="E21" s="59" t="s">
        <v>95</v>
      </c>
      <c r="F21" s="56" t="s">
        <v>50</v>
      </c>
      <c r="G21" s="44">
        <v>1</v>
      </c>
      <c r="H21" s="129">
        <f>IF(B$15=0,0,G21/B$15)</f>
        <v>7.1428571428571426E-3</v>
      </c>
      <c r="I21" s="90">
        <v>1</v>
      </c>
      <c r="K21" s="36">
        <v>19</v>
      </c>
      <c r="L21" s="95">
        <v>-400.60000000000008</v>
      </c>
      <c r="N21" s="111" t="s">
        <v>203</v>
      </c>
      <c r="O21" s="121">
        <f>IF(P21=0,0,Q21/P21)</f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8176.4285714285716</v>
      </c>
      <c r="C22" s="39">
        <v>1144700</v>
      </c>
      <c r="E22" s="59" t="s">
        <v>162</v>
      </c>
      <c r="F22" s="56" t="s">
        <v>163</v>
      </c>
      <c r="G22" s="44">
        <v>1</v>
      </c>
      <c r="H22" s="129">
        <f>IF(B$15=0,0,G22/B$15)</f>
        <v>7.1428571428571426E-3</v>
      </c>
      <c r="I22" s="90">
        <v>8</v>
      </c>
      <c r="K22" s="36">
        <v>20</v>
      </c>
      <c r="L22" s="95">
        <v>-428.10000000000008</v>
      </c>
      <c r="N22" s="111" t="s">
        <v>126</v>
      </c>
      <c r="O22" s="121">
        <f>IF(P22=0,0,Q22/P22)</f>
        <v>-24.157142857142865</v>
      </c>
      <c r="P22" s="115">
        <v>21</v>
      </c>
      <c r="Q22" s="103">
        <v>-507.30000000000018</v>
      </c>
    </row>
    <row r="23" spans="1:17" x14ac:dyDescent="0.45">
      <c r="A23" s="52" t="s">
        <v>177</v>
      </c>
      <c r="B23" s="136">
        <f>IF($B$15-B$14=0,0,C23/($B$15-B$14))</f>
        <v>8753.4883720930229</v>
      </c>
      <c r="C23" s="137">
        <v>752800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172</v>
      </c>
      <c r="O23" s="121">
        <f>IF(P23=0,0,Q23/P23)</f>
        <v>-24.274999999999999</v>
      </c>
      <c r="P23" s="115">
        <v>4</v>
      </c>
      <c r="Q23" s="103">
        <v>-97.1</v>
      </c>
    </row>
    <row r="24" spans="1:17" x14ac:dyDescent="0.45">
      <c r="A24" s="52" t="s">
        <v>178</v>
      </c>
      <c r="B24" s="136">
        <f>IF(B$14=0,0,C24/B$14)</f>
        <v>7257.4074074074078</v>
      </c>
      <c r="C24" s="137">
        <v>391900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-8397.9166666666661</v>
      </c>
      <c r="C25" s="137">
        <v>-806200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5.5555555555555558E-3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8.5714285714285715E-2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2">IF(B$15=0,0,B33/B$15)</f>
        <v>0.18571428571428572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29</v>
      </c>
      <c r="C34" s="37">
        <f>IF(B$15=0,0,B34/B$15)</f>
        <v>0.20714285714285716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23</v>
      </c>
      <c r="C35" s="37">
        <f t="shared" si="2"/>
        <v>0.16428571428571428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20</v>
      </c>
      <c r="C36" s="37">
        <f t="shared" si="2"/>
        <v>0.14285714285714285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2"/>
        <v>7.857142857142857E-2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2"/>
        <v>7.1428571428571425E-2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2"/>
        <v>4.2857142857142858E-2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7.1428571428571426E-3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4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</v>
      </c>
      <c r="C2" s="155"/>
      <c r="E2" s="58" t="s">
        <v>66</v>
      </c>
      <c r="F2" s="55" t="s">
        <v>22</v>
      </c>
      <c r="G2" s="43">
        <v>25</v>
      </c>
      <c r="H2" s="128">
        <f>IF(B$15=0,0,G2/B$15)</f>
        <v>0.56818181818181823</v>
      </c>
      <c r="I2" s="89">
        <v>13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-3857.1428571428573</v>
      </c>
      <c r="P2" s="114">
        <v>14</v>
      </c>
      <c r="Q2" s="98">
        <v>-54000</v>
      </c>
    </row>
    <row r="3" spans="1:17" x14ac:dyDescent="0.45">
      <c r="A3" s="51" t="s">
        <v>8</v>
      </c>
      <c r="B3" s="156">
        <v>126</v>
      </c>
      <c r="C3" s="157"/>
      <c r="E3" s="59" t="s">
        <v>64</v>
      </c>
      <c r="F3" s="56" t="s">
        <v>20</v>
      </c>
      <c r="G3" s="44">
        <v>24</v>
      </c>
      <c r="H3" s="129">
        <f>IF(B$15=0,0,G3/B$15)</f>
        <v>0.54545454545454541</v>
      </c>
      <c r="I3" s="90">
        <v>6</v>
      </c>
      <c r="K3" s="36">
        <v>1</v>
      </c>
      <c r="L3" s="95">
        <v>17.600000000000001</v>
      </c>
      <c r="N3" s="111" t="s">
        <v>131</v>
      </c>
      <c r="O3" s="118">
        <f t="shared" si="0"/>
        <v>-578.57142857142856</v>
      </c>
      <c r="P3" s="115">
        <v>14</v>
      </c>
      <c r="Q3" s="99">
        <v>-8100</v>
      </c>
    </row>
    <row r="4" spans="1:17" x14ac:dyDescent="0.45">
      <c r="A4" s="51" t="s">
        <v>6</v>
      </c>
      <c r="B4" s="158">
        <v>-55.5</v>
      </c>
      <c r="C4" s="159"/>
      <c r="E4" s="59" t="s">
        <v>72</v>
      </c>
      <c r="F4" s="56" t="s">
        <v>27</v>
      </c>
      <c r="G4" s="44">
        <v>21</v>
      </c>
      <c r="H4" s="129">
        <f>IF(B$15=0,0,G4/B$15)</f>
        <v>0.47727272727272729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-2921.4285714285716</v>
      </c>
      <c r="P4" s="115">
        <v>14</v>
      </c>
      <c r="Q4" s="99">
        <v>-40900</v>
      </c>
    </row>
    <row r="5" spans="1:17" x14ac:dyDescent="0.45">
      <c r="A5" s="51" t="s">
        <v>7</v>
      </c>
      <c r="B5" s="160">
        <f>IF(B$2=0,0,B$4/B$2)</f>
        <v>-3.9642857142857144</v>
      </c>
      <c r="C5" s="161"/>
      <c r="E5" s="59" t="s">
        <v>68</v>
      </c>
      <c r="F5" s="56" t="s">
        <v>12</v>
      </c>
      <c r="G5" s="44">
        <v>17</v>
      </c>
      <c r="H5" s="129">
        <f>IF(B$15=0,0,G5/B$15)</f>
        <v>0.38636363636363635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692.85714285714289</v>
      </c>
      <c r="P5" s="115">
        <v>14</v>
      </c>
      <c r="Q5" s="99">
        <v>9700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14</v>
      </c>
      <c r="H6" s="129">
        <f>IF(B$15=0,0,G6/B$15)</f>
        <v>0.31818181818181818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-841.66666666666663</v>
      </c>
      <c r="P6" s="115">
        <v>12</v>
      </c>
      <c r="Q6" s="99">
        <v>-10100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0.35714285714285715</v>
      </c>
      <c r="E7" s="59" t="s">
        <v>166</v>
      </c>
      <c r="F7" s="56" t="s">
        <v>167</v>
      </c>
      <c r="G7" s="44">
        <v>12</v>
      </c>
      <c r="H7" s="129">
        <f>IF(B$15=0,0,G7/B$15)</f>
        <v>0.27272727272727271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5020</v>
      </c>
      <c r="P7" s="116">
        <v>10</v>
      </c>
      <c r="Q7" s="100">
        <v>50200</v>
      </c>
    </row>
    <row r="8" spans="1:17" x14ac:dyDescent="0.45">
      <c r="A8" s="51" t="s">
        <v>3</v>
      </c>
      <c r="B8" s="44">
        <v>4</v>
      </c>
      <c r="C8" s="37">
        <f t="shared" si="1"/>
        <v>0.2857142857142857</v>
      </c>
      <c r="E8" s="59" t="s">
        <v>65</v>
      </c>
      <c r="F8" s="56" t="s">
        <v>21</v>
      </c>
      <c r="G8" s="44">
        <v>7</v>
      </c>
      <c r="H8" s="129">
        <f>IF(B$15=0,0,G8/B$15)</f>
        <v>0.15909090909090909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0.35714285714285715</v>
      </c>
      <c r="E9" s="59" t="s">
        <v>69</v>
      </c>
      <c r="F9" s="56" t="s">
        <v>24</v>
      </c>
      <c r="G9" s="44">
        <v>5</v>
      </c>
      <c r="H9" s="129">
        <f>IF(B$15=0,0,G9/B$15)</f>
        <v>0.11363636363636363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0.21428571428571427</v>
      </c>
      <c r="E10" s="59" t="s">
        <v>70</v>
      </c>
      <c r="F10" s="56" t="s">
        <v>25</v>
      </c>
      <c r="G10" s="44">
        <v>4</v>
      </c>
      <c r="H10" s="129">
        <f>IF(B$15=0,0,G10/B$15)</f>
        <v>9.0909090909090912E-2</v>
      </c>
      <c r="I10" s="90">
        <v>9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39</v>
      </c>
      <c r="C11" s="42">
        <f>IF(B$3=0,0,B11/B$3)</f>
        <v>0.30952380952380953</v>
      </c>
      <c r="E11" s="59" t="s">
        <v>89</v>
      </c>
      <c r="F11" s="56" t="s">
        <v>44</v>
      </c>
      <c r="G11" s="44">
        <v>3</v>
      </c>
      <c r="H11" s="129">
        <f>IF(B$15=0,0,G11/B$15)</f>
        <v>6.8181818181818177E-2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0.25714285714285773</v>
      </c>
      <c r="P11" s="115">
        <v>7</v>
      </c>
      <c r="Q11" s="103">
        <v>1.8000000000000043</v>
      </c>
    </row>
    <row r="12" spans="1:17" x14ac:dyDescent="0.45">
      <c r="A12" s="51" t="s">
        <v>118</v>
      </c>
      <c r="B12" s="44">
        <v>16</v>
      </c>
      <c r="C12" s="37">
        <f>IF(B$3=0,0,B12/B$3)</f>
        <v>0.12698412698412698</v>
      </c>
      <c r="E12" s="59" t="s">
        <v>75</v>
      </c>
      <c r="F12" s="56" t="s">
        <v>30</v>
      </c>
      <c r="G12" s="44">
        <v>2</v>
      </c>
      <c r="H12" s="129">
        <f>IF(B$15=0,0,G12/B$15)</f>
        <v>4.5454545454545456E-2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23</v>
      </c>
      <c r="C13" s="35">
        <f>IF(B$11=0,0,B13/B$11)</f>
        <v>0.58974358974358976</v>
      </c>
      <c r="E13" s="59" t="s">
        <v>83</v>
      </c>
      <c r="F13" s="56" t="s">
        <v>38</v>
      </c>
      <c r="G13" s="44">
        <v>2</v>
      </c>
      <c r="H13" s="129">
        <f>IF(B$15=0,0,G13/B$15)</f>
        <v>4.5454545454545456E-2</v>
      </c>
      <c r="I13" s="90">
        <v>9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0.75</v>
      </c>
      <c r="E14" s="59" t="s">
        <v>85</v>
      </c>
      <c r="F14" s="56" t="s">
        <v>40</v>
      </c>
      <c r="G14" s="44">
        <v>2</v>
      </c>
      <c r="H14" s="129">
        <f>IF(B$15=0,0,G14/B$15)</f>
        <v>4.5454545454545456E-2</v>
      </c>
      <c r="I14" s="90">
        <v>1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44</v>
      </c>
      <c r="C15" s="35">
        <f>IF(B$3=0,0,B15/B$3)</f>
        <v>0.34920634920634919</v>
      </c>
      <c r="E15" s="59" t="s">
        <v>71</v>
      </c>
      <c r="F15" s="56" t="s">
        <v>26</v>
      </c>
      <c r="G15" s="44">
        <v>1</v>
      </c>
      <c r="H15" s="129">
        <f>IF(B$15=0,0,G15/B$15)</f>
        <v>2.2727272727272728E-2</v>
      </c>
      <c r="I15" s="90">
        <v>13</v>
      </c>
      <c r="K15" s="36">
        <v>13</v>
      </c>
      <c r="L15" s="95">
        <v>-47.6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21</v>
      </c>
      <c r="C16" s="37">
        <f>IF(B$3=0,0,B16/B$3)</f>
        <v>0.16666666666666666</v>
      </c>
      <c r="E16" s="59" t="s">
        <v>79</v>
      </c>
      <c r="F16" s="56" t="s">
        <v>34</v>
      </c>
      <c r="G16" s="44">
        <v>1</v>
      </c>
      <c r="H16" s="129">
        <f>IF(B$15=0,0,G16/B$15)</f>
        <v>2.2727272727272728E-2</v>
      </c>
      <c r="I16" s="90">
        <v>3</v>
      </c>
      <c r="K16" s="36">
        <v>14</v>
      </c>
      <c r="L16" s="95">
        <v>-55.5</v>
      </c>
      <c r="N16" s="111" t="s">
        <v>171</v>
      </c>
      <c r="O16" s="121">
        <f>IF(P16=0,0,Q16/P16)</f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23</v>
      </c>
      <c r="C17" s="37">
        <f>IF(B$15=0,0,B17/B$15)</f>
        <v>0.52272727272727271</v>
      </c>
      <c r="E17" s="59" t="s">
        <v>86</v>
      </c>
      <c r="F17" s="56" t="s">
        <v>41</v>
      </c>
      <c r="G17" s="44">
        <v>1</v>
      </c>
      <c r="H17" s="129">
        <f>IF(B$15=0,0,G17/B$15)</f>
        <v>2.2727272727272728E-2</v>
      </c>
      <c r="I17" s="90">
        <v>11</v>
      </c>
      <c r="N17" s="111" t="s">
        <v>172</v>
      </c>
      <c r="O17" s="121">
        <f>IF(P17=0,0,Q17/P17)</f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0.47727272727272729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>IF(P18=0,0,Q18/P18)</f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23</v>
      </c>
      <c r="C19" s="37">
        <f>IF(B$15=0,0,B19/B$15)</f>
        <v>0.52272727272727271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>IF(P19=0,0,Q19/P19)</f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12</v>
      </c>
      <c r="C20" s="37">
        <f>IF(B$15=0,0,B20/B$15)</f>
        <v>0.27272727272727271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>IF(P20=0,0,Q20/P20)</f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0.20454545454545456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>IF(P21=0,0,Q21/P21)</f>
        <v>-47.224999999999994</v>
      </c>
      <c r="P21" s="115">
        <v>4</v>
      </c>
      <c r="Q21" s="103">
        <v>-188.89999999999998</v>
      </c>
    </row>
    <row r="22" spans="1:17" x14ac:dyDescent="0.45">
      <c r="A22" s="51" t="s">
        <v>5</v>
      </c>
      <c r="B22" s="48">
        <f>IF(B$15=0,0,C22/B$15)</f>
        <v>6534.090909090909</v>
      </c>
      <c r="C22" s="39">
        <v>287500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>IF(P22=0,0,Q22/P22)</f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7140.625</v>
      </c>
      <c r="C23" s="137">
        <v>228500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4916.666666666667</v>
      </c>
      <c r="C24" s="137">
        <v>59000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-8195.2380952380954</v>
      </c>
      <c r="C25" s="137">
        <v>-172100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1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6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7.9365079365079361E-3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5</v>
      </c>
      <c r="C32" s="141">
        <f>IF(B$15=0,0,B32/B$15)</f>
        <v>0.11363636363636363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2">IF(B$15=0,0,B33/B$15)</f>
        <v>0.27272727272727271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7</v>
      </c>
      <c r="C34" s="37">
        <f>IF(B$15=0,0,B34/B$15)</f>
        <v>0.15909090909090909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2"/>
        <v>0.20454545454545456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2"/>
        <v>0.13636363636363635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4.5454545454545456E-2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2"/>
        <v>4.5454545454545456E-2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2"/>
        <v>2.2727272727272728E-2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4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7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9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9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2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2020-01-25T15:24:41Z</dcterms:modified>
</cp:coreProperties>
</file>