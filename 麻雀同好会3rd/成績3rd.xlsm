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D40F7BEC-FB97-4347-9C22-6F6EE2006D58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33" r:id="rId6"/>
    <sheet name="たかの" sheetId="5835" r:id="rId7"/>
    <sheet name="だいち" sheetId="5837" r:id="rId8"/>
    <sheet name="ただ" sheetId="5839" r:id="rId9"/>
    <sheet name="りくと" sheetId="5841" r:id="rId10"/>
    <sheet name="れんたろう" sheetId="5843" r:id="rId11"/>
    <sheet name="まっつん" sheetId="5845" r:id="rId12"/>
    <sheet name="のり" sheetId="5847" r:id="rId13"/>
    <sheet name="ぱぱ" sheetId="5849" r:id="rId14"/>
    <sheet name="ほたに" sheetId="5851" r:id="rId15"/>
    <sheet name="いっしー" sheetId="5853" r:id="rId16"/>
    <sheet name="いっしー2" sheetId="5854" state="hidden" r:id="rId17"/>
    <sheet name="ほたに2" sheetId="5852" state="hidden" r:id="rId18"/>
    <sheet name="ぱぱ2" sheetId="5850" state="hidden" r:id="rId19"/>
    <sheet name="のり2" sheetId="5848" state="hidden" r:id="rId20"/>
    <sheet name="まっつん2" sheetId="5846" state="hidden" r:id="rId21"/>
    <sheet name="れんたろう2" sheetId="5844" state="hidden" r:id="rId22"/>
    <sheet name="りくと2" sheetId="5842" state="hidden" r:id="rId23"/>
    <sheet name="ただ2" sheetId="5840" state="hidden" r:id="rId24"/>
    <sheet name="だいち2" sheetId="5838" state="hidden" r:id="rId25"/>
    <sheet name="たかの2" sheetId="5836" state="hidden" r:id="rId26"/>
    <sheet name="全体2" sheetId="583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45" l="1"/>
  <c r="O17" i="5853"/>
  <c r="O22" i="5837"/>
  <c r="O16" i="5853"/>
  <c r="O15" i="5853"/>
  <c r="C29" i="5853"/>
  <c r="B26" i="5853"/>
  <c r="B25" i="5853"/>
  <c r="C20" i="5853"/>
  <c r="B17" i="5853"/>
  <c r="H50" i="5853" s="1"/>
  <c r="C16" i="5853"/>
  <c r="C15" i="5853"/>
  <c r="C14" i="5853"/>
  <c r="C13" i="5853"/>
  <c r="O12" i="5853"/>
  <c r="C12" i="5853"/>
  <c r="O11" i="5853"/>
  <c r="C11" i="5853"/>
  <c r="O10" i="5853"/>
  <c r="C10" i="5853"/>
  <c r="C9" i="5853"/>
  <c r="C8" i="5853"/>
  <c r="O7" i="5853"/>
  <c r="C7" i="5853"/>
  <c r="O6" i="5853"/>
  <c r="B6" i="5853"/>
  <c r="O5" i="5853"/>
  <c r="B5" i="5853"/>
  <c r="O4" i="5853"/>
  <c r="O3" i="5853"/>
  <c r="O2" i="5853"/>
  <c r="O16" i="5847"/>
  <c r="O24" i="5833"/>
  <c r="H19" i="5853" l="1"/>
  <c r="H9" i="5853"/>
  <c r="H5" i="5853"/>
  <c r="H4" i="5853"/>
  <c r="C18" i="5853"/>
  <c r="H43" i="5853"/>
  <c r="H31" i="5853"/>
  <c r="H2" i="5853"/>
  <c r="H47" i="5853"/>
  <c r="C17" i="5853"/>
  <c r="H35" i="5853"/>
  <c r="H6" i="5853"/>
  <c r="H39" i="5853"/>
  <c r="H17" i="5853"/>
  <c r="B23" i="5853"/>
  <c r="H3" i="5853"/>
  <c r="H14" i="5853"/>
  <c r="H51" i="5853"/>
  <c r="H21" i="5853"/>
  <c r="H25" i="5853"/>
  <c r="H29" i="5853"/>
  <c r="H36" i="5853"/>
  <c r="H44" i="5853"/>
  <c r="H11" i="5853"/>
  <c r="H18" i="5853"/>
  <c r="C19" i="5853"/>
  <c r="B24" i="5853"/>
  <c r="H37" i="5853"/>
  <c r="H45" i="5853"/>
  <c r="H52" i="5853"/>
  <c r="H12" i="5853"/>
  <c r="H7" i="5853"/>
  <c r="H10" i="5853"/>
  <c r="H15" i="5853"/>
  <c r="H22" i="5853"/>
  <c r="H26" i="5853"/>
  <c r="H30" i="5853"/>
  <c r="H38" i="5853"/>
  <c r="H46" i="5853"/>
  <c r="H23" i="5853"/>
  <c r="H27" i="5853"/>
  <c r="H32" i="5853"/>
  <c r="H40" i="5853"/>
  <c r="H48" i="5853"/>
  <c r="H13" i="5853"/>
  <c r="H16" i="5853"/>
  <c r="H8" i="5853"/>
  <c r="H33" i="5853"/>
  <c r="H41" i="5853"/>
  <c r="H49" i="5853"/>
  <c r="H20" i="5853"/>
  <c r="H24" i="5853"/>
  <c r="H28" i="5853"/>
  <c r="H34" i="5853"/>
  <c r="H42" i="5853"/>
  <c r="O20" i="5835" l="1"/>
  <c r="O16" i="5843"/>
  <c r="O15" i="5843" l="1"/>
  <c r="O19" i="5851"/>
  <c r="O15" i="5841" l="1"/>
  <c r="O20" i="5847"/>
  <c r="O16" i="5851" l="1"/>
  <c r="O22" i="5841"/>
  <c r="O21" i="5835" l="1"/>
  <c r="O16" i="5837"/>
  <c r="O15" i="5847"/>
  <c r="O19" i="5847"/>
  <c r="O20" i="5845" l="1"/>
  <c r="O18" i="5849"/>
  <c r="O16" i="5839" l="1"/>
  <c r="O17" i="5845"/>
  <c r="O21" i="5847"/>
  <c r="O17" i="5847"/>
  <c r="O18" i="5835" l="1"/>
  <c r="O19" i="5849"/>
  <c r="O17" i="5849"/>
  <c r="O17" i="5841"/>
  <c r="O18" i="5839" l="1"/>
  <c r="O21" i="5843"/>
  <c r="O19" i="5843" l="1"/>
  <c r="O21" i="5837"/>
  <c r="O23" i="5847"/>
  <c r="O17" i="5851"/>
  <c r="O15" i="5851"/>
  <c r="O20" i="5849"/>
  <c r="O15" i="5839" l="1"/>
  <c r="O20" i="5839"/>
  <c r="O18" i="5851"/>
  <c r="O20" i="5851"/>
  <c r="C29" i="5851"/>
  <c r="B26" i="5851"/>
  <c r="B25" i="5851"/>
  <c r="C20" i="5851"/>
  <c r="B17" i="5851"/>
  <c r="H50" i="5851" s="1"/>
  <c r="C16" i="5851"/>
  <c r="C15" i="5851"/>
  <c r="C14" i="5851"/>
  <c r="C13" i="5851"/>
  <c r="O12" i="5851"/>
  <c r="C12" i="5851"/>
  <c r="O11" i="5851"/>
  <c r="C11" i="5851"/>
  <c r="O10" i="5851"/>
  <c r="C10" i="5851"/>
  <c r="C9" i="5851"/>
  <c r="C8" i="5851"/>
  <c r="O7" i="5851"/>
  <c r="C7" i="5851"/>
  <c r="O6" i="5851"/>
  <c r="B6" i="5851"/>
  <c r="O5" i="5851"/>
  <c r="B5" i="5851"/>
  <c r="O4" i="5851"/>
  <c r="O3" i="5851"/>
  <c r="O2" i="5851"/>
  <c r="O21" i="5845"/>
  <c r="O15" i="5845"/>
  <c r="O16" i="5833"/>
  <c r="H26" i="5851" l="1"/>
  <c r="H39" i="5851"/>
  <c r="H16" i="5851"/>
  <c r="B23" i="5851"/>
  <c r="H19" i="5851"/>
  <c r="H21" i="5851"/>
  <c r="H31" i="5851"/>
  <c r="H35" i="5851"/>
  <c r="H2" i="5851"/>
  <c r="H36" i="5851"/>
  <c r="H11" i="5851"/>
  <c r="H44" i="5851"/>
  <c r="H43" i="5851"/>
  <c r="C18" i="5851"/>
  <c r="H47" i="5851"/>
  <c r="H4" i="5851"/>
  <c r="C17" i="5851"/>
  <c r="H9" i="5851"/>
  <c r="H29" i="5851"/>
  <c r="H3" i="5851"/>
  <c r="H5" i="5851"/>
  <c r="H22" i="5851"/>
  <c r="H51" i="5851"/>
  <c r="H6" i="5851"/>
  <c r="H20" i="5851"/>
  <c r="C19" i="5851"/>
  <c r="B24" i="5851"/>
  <c r="H37" i="5851"/>
  <c r="H45" i="5851"/>
  <c r="H52" i="5851"/>
  <c r="H7" i="5851"/>
  <c r="H8" i="5851"/>
  <c r="H12" i="5851"/>
  <c r="H17" i="5851"/>
  <c r="H23" i="5851"/>
  <c r="H15" i="5851"/>
  <c r="H30" i="5851"/>
  <c r="H38" i="5851"/>
  <c r="H46" i="5851"/>
  <c r="H24" i="5851"/>
  <c r="H27" i="5851"/>
  <c r="H32" i="5851"/>
  <c r="H40" i="5851"/>
  <c r="H48" i="5851"/>
  <c r="H10" i="5851"/>
  <c r="H18" i="5851"/>
  <c r="H14" i="5851"/>
  <c r="H33" i="5851"/>
  <c r="H41" i="5851"/>
  <c r="H49" i="5851"/>
  <c r="H13" i="5851"/>
  <c r="H25" i="5851"/>
  <c r="H28" i="5851"/>
  <c r="H34" i="5851"/>
  <c r="H42" i="5851"/>
  <c r="O17" i="5837" l="1"/>
  <c r="O21" i="5841"/>
  <c r="O18" i="5837" l="1"/>
  <c r="O19" i="5845"/>
  <c r="O22" i="5845"/>
  <c r="O15" i="5835"/>
  <c r="O19" i="5839"/>
  <c r="O16" i="5841"/>
  <c r="O18" i="5841"/>
  <c r="O19" i="5835"/>
  <c r="O17" i="5839"/>
  <c r="O15" i="5837"/>
  <c r="O21" i="5849"/>
  <c r="O22" i="5849"/>
  <c r="O22" i="5843" l="1"/>
  <c r="O17" i="5843"/>
  <c r="O15" i="5849"/>
  <c r="O16" i="5849"/>
  <c r="C29" i="5849"/>
  <c r="B26" i="5849"/>
  <c r="B25" i="5849"/>
  <c r="C20" i="5849"/>
  <c r="B17" i="5849"/>
  <c r="H5" i="5849" s="1"/>
  <c r="C16" i="5849"/>
  <c r="C15" i="5849"/>
  <c r="C14" i="5849"/>
  <c r="C13" i="5849"/>
  <c r="O12" i="5849"/>
  <c r="C12" i="5849"/>
  <c r="O11" i="5849"/>
  <c r="C11" i="5849"/>
  <c r="O10" i="5849"/>
  <c r="C10" i="5849"/>
  <c r="C9" i="5849"/>
  <c r="C8" i="5849"/>
  <c r="O7" i="5849"/>
  <c r="C7" i="5849"/>
  <c r="O6" i="5849"/>
  <c r="B6" i="5849"/>
  <c r="O5" i="5849"/>
  <c r="B5" i="5849"/>
  <c r="O4" i="5849"/>
  <c r="O3" i="5849"/>
  <c r="O2" i="5849"/>
  <c r="O15" i="5833"/>
  <c r="O18" i="5847"/>
  <c r="O22" i="5847"/>
  <c r="C29" i="5847"/>
  <c r="B26" i="5847"/>
  <c r="B25" i="5847"/>
  <c r="C20" i="5847"/>
  <c r="B17" i="5847"/>
  <c r="H50" i="5847" s="1"/>
  <c r="C16" i="5847"/>
  <c r="C15" i="5847"/>
  <c r="C14" i="5847"/>
  <c r="C13" i="5847"/>
  <c r="O12" i="5847"/>
  <c r="C12" i="5847"/>
  <c r="O11" i="5847"/>
  <c r="C11" i="5847"/>
  <c r="O10" i="5847"/>
  <c r="C10" i="5847"/>
  <c r="C9" i="5847"/>
  <c r="C8" i="5847"/>
  <c r="O7" i="5847"/>
  <c r="C7" i="5847"/>
  <c r="O6" i="5847"/>
  <c r="B6" i="5847"/>
  <c r="O5" i="5847"/>
  <c r="B5" i="5847"/>
  <c r="O4" i="5847"/>
  <c r="O3" i="5847"/>
  <c r="O2" i="5847"/>
  <c r="O20" i="5833"/>
  <c r="H4" i="5849" l="1"/>
  <c r="H15" i="5849"/>
  <c r="H39" i="5849"/>
  <c r="H21" i="5849"/>
  <c r="H9" i="5849"/>
  <c r="H13" i="5849"/>
  <c r="H40" i="5849"/>
  <c r="H10" i="5849"/>
  <c r="C17" i="5849"/>
  <c r="H42" i="5849"/>
  <c r="C19" i="5849"/>
  <c r="H46" i="5849"/>
  <c r="H31" i="5849"/>
  <c r="H47" i="5849"/>
  <c r="H14" i="5849"/>
  <c r="H32" i="5849"/>
  <c r="H48" i="5849"/>
  <c r="H6" i="5849"/>
  <c r="H8" i="5849"/>
  <c r="H27" i="5849"/>
  <c r="H50" i="5849"/>
  <c r="H2" i="5849"/>
  <c r="H16" i="5849"/>
  <c r="H7" i="5849"/>
  <c r="H23" i="5849"/>
  <c r="H34" i="5849"/>
  <c r="H3" i="5849"/>
  <c r="H11" i="5849"/>
  <c r="B24" i="5849"/>
  <c r="H38" i="5849"/>
  <c r="H52" i="5849"/>
  <c r="H26" i="5849"/>
  <c r="H18" i="5849"/>
  <c r="H33" i="5849"/>
  <c r="H41" i="5849"/>
  <c r="H49" i="5849"/>
  <c r="H24" i="5849"/>
  <c r="H28" i="5849"/>
  <c r="H29" i="5849"/>
  <c r="H35" i="5849"/>
  <c r="H43" i="5849"/>
  <c r="H51" i="5849"/>
  <c r="H20" i="5849"/>
  <c r="H22" i="5849"/>
  <c r="C18" i="5849"/>
  <c r="B23" i="5849"/>
  <c r="H12" i="5849"/>
  <c r="H36" i="5849"/>
  <c r="H44" i="5849"/>
  <c r="H19" i="5849"/>
  <c r="H25" i="5849"/>
  <c r="H17" i="5849"/>
  <c r="H30" i="5849"/>
  <c r="H37" i="5849"/>
  <c r="H45" i="5849"/>
  <c r="B23" i="5847"/>
  <c r="H21" i="5847"/>
  <c r="H13" i="5847"/>
  <c r="H43" i="5847"/>
  <c r="H47" i="5847"/>
  <c r="H2" i="5847"/>
  <c r="H19" i="5847"/>
  <c r="H51" i="5847"/>
  <c r="H17" i="5847"/>
  <c r="H8" i="5847"/>
  <c r="H5" i="5847"/>
  <c r="C17" i="5847"/>
  <c r="H32" i="5847"/>
  <c r="C18" i="5847"/>
  <c r="H35" i="5847"/>
  <c r="H4" i="5847"/>
  <c r="H3" i="5847"/>
  <c r="H39" i="5847"/>
  <c r="H24" i="5847"/>
  <c r="H27" i="5847"/>
  <c r="H30" i="5847"/>
  <c r="H36" i="5847"/>
  <c r="H44" i="5847"/>
  <c r="H6" i="5847"/>
  <c r="H22" i="5847"/>
  <c r="C19" i="5847"/>
  <c r="B24" i="5847"/>
  <c r="H37" i="5847"/>
  <c r="H45" i="5847"/>
  <c r="H52" i="5847"/>
  <c r="H9" i="5847"/>
  <c r="H7" i="5847"/>
  <c r="H10" i="5847"/>
  <c r="H16" i="5847"/>
  <c r="H15" i="5847"/>
  <c r="H14" i="5847"/>
  <c r="H31" i="5847"/>
  <c r="H38" i="5847"/>
  <c r="H46" i="5847"/>
  <c r="H25" i="5847"/>
  <c r="H28" i="5847"/>
  <c r="H33" i="5847"/>
  <c r="H40" i="5847"/>
  <c r="H48" i="5847"/>
  <c r="H12" i="5847"/>
  <c r="H20" i="5847"/>
  <c r="H11" i="5847"/>
  <c r="H34" i="5847"/>
  <c r="H41" i="5847"/>
  <c r="H49" i="5847"/>
  <c r="H23" i="5847"/>
  <c r="H26" i="5847"/>
  <c r="H29" i="5847"/>
  <c r="H18" i="5847"/>
  <c r="H42" i="5847"/>
  <c r="O23" i="5845" l="1"/>
  <c r="O18" i="5845"/>
  <c r="C29" i="5845"/>
  <c r="B26" i="5845"/>
  <c r="B25" i="5845"/>
  <c r="C20" i="5845"/>
  <c r="B17" i="5845"/>
  <c r="H5" i="5845" s="1"/>
  <c r="C16" i="5845"/>
  <c r="C15" i="5845"/>
  <c r="C14" i="5845"/>
  <c r="C13" i="5845"/>
  <c r="O12" i="5845"/>
  <c r="C12" i="5845"/>
  <c r="O11" i="5845"/>
  <c r="C11" i="5845"/>
  <c r="O10" i="5845"/>
  <c r="C10" i="5845"/>
  <c r="C9" i="5845"/>
  <c r="C8" i="5845"/>
  <c r="O7" i="5845"/>
  <c r="C7" i="5845"/>
  <c r="O6" i="5845"/>
  <c r="B6" i="5845"/>
  <c r="O5" i="5845"/>
  <c r="B5" i="5845"/>
  <c r="O4" i="5845"/>
  <c r="O3" i="5845"/>
  <c r="O2" i="5845"/>
  <c r="O20" i="5843"/>
  <c r="O18" i="5843"/>
  <c r="C29" i="5843"/>
  <c r="B26" i="5843"/>
  <c r="B25" i="5843"/>
  <c r="C20" i="5843"/>
  <c r="B17" i="5843"/>
  <c r="H51" i="5843" s="1"/>
  <c r="C16" i="5843"/>
  <c r="C15" i="5843"/>
  <c r="C14" i="5843"/>
  <c r="C13" i="5843"/>
  <c r="O12" i="5843"/>
  <c r="C12" i="5843"/>
  <c r="O11" i="5843"/>
  <c r="C11" i="5843"/>
  <c r="O10" i="5843"/>
  <c r="C10" i="5843"/>
  <c r="C9" i="5843"/>
  <c r="C8" i="5843"/>
  <c r="O7" i="5843"/>
  <c r="C7" i="5843"/>
  <c r="O6" i="5843"/>
  <c r="B6" i="5843"/>
  <c r="O5" i="5843"/>
  <c r="B5" i="5843"/>
  <c r="O4" i="5843"/>
  <c r="O3" i="5843"/>
  <c r="O2" i="5843"/>
  <c r="O17" i="5833"/>
  <c r="O19" i="5841"/>
  <c r="O20" i="5841"/>
  <c r="C29" i="5841"/>
  <c r="B26" i="5841"/>
  <c r="B25" i="5841"/>
  <c r="C20" i="5841"/>
  <c r="B17" i="5841"/>
  <c r="H51" i="5841" s="1"/>
  <c r="C16" i="5841"/>
  <c r="C15" i="5841"/>
  <c r="C14" i="5841"/>
  <c r="C13" i="5841"/>
  <c r="O12" i="5841"/>
  <c r="C12" i="5841"/>
  <c r="O11" i="5841"/>
  <c r="C11" i="5841"/>
  <c r="O10" i="5841"/>
  <c r="C10" i="5841"/>
  <c r="C9" i="5841"/>
  <c r="C8" i="5841"/>
  <c r="O7" i="5841"/>
  <c r="C7" i="5841"/>
  <c r="O6" i="5841"/>
  <c r="B6" i="5841"/>
  <c r="O5" i="5841"/>
  <c r="B5" i="5841"/>
  <c r="O4" i="5841"/>
  <c r="O3" i="5841"/>
  <c r="O2" i="5841"/>
  <c r="O19" i="5833"/>
  <c r="O23" i="5833"/>
  <c r="H44" i="5841" l="1"/>
  <c r="H21" i="5843"/>
  <c r="H33" i="5845"/>
  <c r="H18" i="5845"/>
  <c r="H28" i="5841"/>
  <c r="H5" i="5841"/>
  <c r="H21" i="5841"/>
  <c r="H2" i="5841"/>
  <c r="H8" i="5841"/>
  <c r="H31" i="5841"/>
  <c r="C17" i="5841"/>
  <c r="C18" i="5841"/>
  <c r="H36" i="5841"/>
  <c r="H11" i="5841"/>
  <c r="H7" i="5841"/>
  <c r="H25" i="5841"/>
  <c r="H3" i="5841"/>
  <c r="H4" i="5841"/>
  <c r="H23" i="5841"/>
  <c r="B23" i="5841"/>
  <c r="H37" i="5841"/>
  <c r="H39" i="5845"/>
  <c r="H25" i="5845"/>
  <c r="H15" i="5845"/>
  <c r="H31" i="5845"/>
  <c r="H7" i="5845"/>
  <c r="C17" i="5845"/>
  <c r="H41" i="5845"/>
  <c r="H43" i="5845"/>
  <c r="C19" i="5845"/>
  <c r="H46" i="5845"/>
  <c r="H10" i="5845"/>
  <c r="H13" i="5845"/>
  <c r="H26" i="5845"/>
  <c r="H48" i="5845"/>
  <c r="H40" i="5845"/>
  <c r="H11" i="5845"/>
  <c r="H3" i="5845"/>
  <c r="H14" i="5845"/>
  <c r="H22" i="5845"/>
  <c r="H2" i="5845"/>
  <c r="H8" i="5845"/>
  <c r="H19" i="5845"/>
  <c r="H28" i="5845"/>
  <c r="H23" i="5845"/>
  <c r="H51" i="5845"/>
  <c r="B24" i="5845"/>
  <c r="H36" i="5845"/>
  <c r="H52" i="5845"/>
  <c r="H47" i="5845"/>
  <c r="H30" i="5845"/>
  <c r="H21" i="5845"/>
  <c r="H34" i="5845"/>
  <c r="H24" i="5845"/>
  <c r="H49" i="5845"/>
  <c r="H35" i="5845"/>
  <c r="H42" i="5845"/>
  <c r="H50" i="5845"/>
  <c r="H6" i="5845"/>
  <c r="H17" i="5845"/>
  <c r="H27" i="5845"/>
  <c r="C18" i="5845"/>
  <c r="B23" i="5845"/>
  <c r="H9" i="5845"/>
  <c r="H37" i="5845"/>
  <c r="H44" i="5845"/>
  <c r="H16" i="5845"/>
  <c r="H4" i="5845"/>
  <c r="H12" i="5845"/>
  <c r="H29" i="5845"/>
  <c r="H20" i="5845"/>
  <c r="H32" i="5845"/>
  <c r="H38" i="5845"/>
  <c r="H45" i="5845"/>
  <c r="H19" i="5843"/>
  <c r="B23" i="5843"/>
  <c r="H2" i="5843"/>
  <c r="H44" i="5843"/>
  <c r="H17" i="5843"/>
  <c r="H11" i="5843"/>
  <c r="C18" i="5843"/>
  <c r="H48" i="5843"/>
  <c r="C17" i="5843"/>
  <c r="H5" i="5843"/>
  <c r="H13" i="5843"/>
  <c r="H8" i="5843"/>
  <c r="H4" i="5843"/>
  <c r="H3" i="5843"/>
  <c r="H29" i="5843"/>
  <c r="H36" i="5843"/>
  <c r="H26" i="5843"/>
  <c r="H40" i="5843"/>
  <c r="H22" i="5843"/>
  <c r="H23" i="5843"/>
  <c r="H37" i="5843"/>
  <c r="H45" i="5843"/>
  <c r="H6" i="5843"/>
  <c r="H27" i="5843"/>
  <c r="C19" i="5843"/>
  <c r="B24" i="5843"/>
  <c r="H38" i="5843"/>
  <c r="H46" i="5843"/>
  <c r="H52" i="5843"/>
  <c r="H10" i="5843"/>
  <c r="H7" i="5843"/>
  <c r="H12" i="5843"/>
  <c r="H25" i="5843"/>
  <c r="H15" i="5843"/>
  <c r="H16" i="5843"/>
  <c r="H18" i="5843"/>
  <c r="H39" i="5843"/>
  <c r="H47" i="5843"/>
  <c r="H30" i="5843"/>
  <c r="H32" i="5843"/>
  <c r="H24" i="5843"/>
  <c r="H41" i="5843"/>
  <c r="H49" i="5843"/>
  <c r="H9" i="5843"/>
  <c r="H20" i="5843"/>
  <c r="H14" i="5843"/>
  <c r="H34" i="5843"/>
  <c r="H42" i="5843"/>
  <c r="H50" i="5843"/>
  <c r="H28" i="5843"/>
  <c r="H31" i="5843"/>
  <c r="H33" i="5843"/>
  <c r="H35" i="5843"/>
  <c r="H43" i="5843"/>
  <c r="H45" i="5841"/>
  <c r="H17" i="5841"/>
  <c r="H24" i="5841"/>
  <c r="C19" i="5841"/>
  <c r="B24" i="5841"/>
  <c r="H38" i="5841"/>
  <c r="H46" i="5841"/>
  <c r="H52" i="5841"/>
  <c r="H10" i="5841"/>
  <c r="H6" i="5841"/>
  <c r="H13" i="5841"/>
  <c r="H22" i="5841"/>
  <c r="H16" i="5841"/>
  <c r="H15" i="5841"/>
  <c r="H20" i="5841"/>
  <c r="H39" i="5841"/>
  <c r="H47" i="5841"/>
  <c r="H14" i="5841"/>
  <c r="H32" i="5841"/>
  <c r="H40" i="5841"/>
  <c r="H48" i="5841"/>
  <c r="H26" i="5841"/>
  <c r="H34" i="5841"/>
  <c r="H42" i="5841"/>
  <c r="H50" i="5841"/>
  <c r="H29" i="5841"/>
  <c r="H33" i="5841"/>
  <c r="H41" i="5841"/>
  <c r="H49" i="5841"/>
  <c r="H9" i="5841"/>
  <c r="H18" i="5841"/>
  <c r="H12" i="5841"/>
  <c r="H19" i="5841"/>
  <c r="H27" i="5841"/>
  <c r="H30" i="5841"/>
  <c r="H35" i="5841"/>
  <c r="H43" i="5841"/>
  <c r="O22" i="5839" l="1"/>
  <c r="O21" i="5839"/>
  <c r="C29" i="5839"/>
  <c r="B26" i="5839"/>
  <c r="B25" i="5839"/>
  <c r="C20" i="5839"/>
  <c r="B17" i="5839"/>
  <c r="H23" i="5839" s="1"/>
  <c r="C16" i="5839"/>
  <c r="C15" i="5839"/>
  <c r="C14" i="5839"/>
  <c r="C13" i="5839"/>
  <c r="O12" i="5839"/>
  <c r="C12" i="5839"/>
  <c r="O11" i="5839"/>
  <c r="C11" i="5839"/>
  <c r="O10" i="5839"/>
  <c r="C10" i="5839"/>
  <c r="C9" i="5839"/>
  <c r="C8" i="5839"/>
  <c r="O7" i="5839"/>
  <c r="C7" i="5839"/>
  <c r="O6" i="5839"/>
  <c r="B6" i="5839"/>
  <c r="O5" i="5839"/>
  <c r="B5" i="5839"/>
  <c r="O4" i="5839"/>
  <c r="O3" i="5839"/>
  <c r="O2" i="5839"/>
  <c r="O20" i="5837"/>
  <c r="O19" i="5837"/>
  <c r="C29" i="5837"/>
  <c r="B26" i="5837"/>
  <c r="B25" i="5837"/>
  <c r="C20" i="5837"/>
  <c r="B17" i="5837"/>
  <c r="H14" i="5837" s="1"/>
  <c r="C16" i="5837"/>
  <c r="C15" i="5837"/>
  <c r="C14" i="5837"/>
  <c r="C13" i="5837"/>
  <c r="O12" i="5837"/>
  <c r="C12" i="5837"/>
  <c r="O11" i="5837"/>
  <c r="C11" i="5837"/>
  <c r="O10" i="5837"/>
  <c r="C10" i="5837"/>
  <c r="C9" i="5837"/>
  <c r="C8" i="5837"/>
  <c r="O7" i="5837"/>
  <c r="C7" i="5837"/>
  <c r="O6" i="5837"/>
  <c r="B6" i="5837"/>
  <c r="O5" i="5837"/>
  <c r="B5" i="5837"/>
  <c r="O4" i="5837"/>
  <c r="O3" i="5837"/>
  <c r="O2" i="5837"/>
  <c r="O18" i="5833"/>
  <c r="O17" i="5835"/>
  <c r="O16" i="5835"/>
  <c r="C29" i="5835"/>
  <c r="B26" i="5835"/>
  <c r="B25" i="5835"/>
  <c r="C20" i="5835"/>
  <c r="B17" i="5835"/>
  <c r="H51" i="5835" s="1"/>
  <c r="C16" i="5835"/>
  <c r="C15" i="5835"/>
  <c r="C14" i="5835"/>
  <c r="C13" i="5835"/>
  <c r="O12" i="5835"/>
  <c r="C12" i="5835"/>
  <c r="O11" i="5835"/>
  <c r="C11" i="5835"/>
  <c r="O10" i="5835"/>
  <c r="C10" i="5835"/>
  <c r="C9" i="5835"/>
  <c r="C8" i="5835"/>
  <c r="O7" i="5835"/>
  <c r="C7" i="5835"/>
  <c r="O6" i="5835"/>
  <c r="B6" i="5835"/>
  <c r="O5" i="5835"/>
  <c r="B5" i="5835"/>
  <c r="O4" i="5835"/>
  <c r="O3" i="5835"/>
  <c r="O2" i="5835"/>
  <c r="O21" i="5833"/>
  <c r="O22" i="5833"/>
  <c r="C29" i="5833"/>
  <c r="B26" i="5833"/>
  <c r="B25" i="5833"/>
  <c r="C20" i="5833"/>
  <c r="B17" i="5833"/>
  <c r="H50" i="5833" s="1"/>
  <c r="C16" i="5833"/>
  <c r="C15" i="5833"/>
  <c r="C14" i="5833"/>
  <c r="C13" i="5833"/>
  <c r="O12" i="5833"/>
  <c r="C12" i="5833"/>
  <c r="O11" i="5833"/>
  <c r="C11" i="5833"/>
  <c r="O10" i="5833"/>
  <c r="C10" i="5833"/>
  <c r="C9" i="5833"/>
  <c r="C8" i="5833"/>
  <c r="O7" i="5833"/>
  <c r="C7" i="5833"/>
  <c r="O6" i="5833"/>
  <c r="B6" i="5833"/>
  <c r="O5" i="5833"/>
  <c r="B5" i="5833"/>
  <c r="O4" i="5833"/>
  <c r="O3" i="5833"/>
  <c r="O2" i="5833"/>
  <c r="H3" i="5837" l="1"/>
  <c r="H3" i="5839"/>
  <c r="H5" i="5839"/>
  <c r="C17" i="5839"/>
  <c r="H2" i="5839"/>
  <c r="H12" i="5839"/>
  <c r="H28" i="5839"/>
  <c r="H33" i="5839"/>
  <c r="H4" i="5839"/>
  <c r="H27" i="5839"/>
  <c r="B24" i="5839"/>
  <c r="H52" i="5839"/>
  <c r="H10" i="5839"/>
  <c r="H6" i="5839"/>
  <c r="H11" i="5839"/>
  <c r="H19" i="5839"/>
  <c r="H18" i="5839"/>
  <c r="H13" i="5839"/>
  <c r="H15" i="5839"/>
  <c r="H39" i="5839"/>
  <c r="H47" i="5839"/>
  <c r="H30" i="5839"/>
  <c r="H37" i="5839"/>
  <c r="H45" i="5839"/>
  <c r="C19" i="5839"/>
  <c r="H38" i="5839"/>
  <c r="H46" i="5839"/>
  <c r="H16" i="5839"/>
  <c r="H21" i="5839"/>
  <c r="H40" i="5839"/>
  <c r="H48" i="5839"/>
  <c r="H31" i="5839"/>
  <c r="H41" i="5839"/>
  <c r="H8" i="5839"/>
  <c r="H25" i="5839"/>
  <c r="H50" i="5839"/>
  <c r="H17" i="5839"/>
  <c r="H20" i="5839"/>
  <c r="H32" i="5839"/>
  <c r="H22" i="5839"/>
  <c r="H43" i="5839"/>
  <c r="H51" i="5839"/>
  <c r="H29" i="5839"/>
  <c r="H34" i="5839"/>
  <c r="H49" i="5839"/>
  <c r="H14" i="5839"/>
  <c r="H35" i="5839"/>
  <c r="H42" i="5839"/>
  <c r="H7" i="5839"/>
  <c r="H24" i="5839"/>
  <c r="H26" i="5839"/>
  <c r="C18" i="5839"/>
  <c r="B23" i="5839"/>
  <c r="H9" i="5839"/>
  <c r="H36" i="5839"/>
  <c r="H44" i="5839"/>
  <c r="H25" i="5837"/>
  <c r="H4" i="5837"/>
  <c r="H26" i="5837"/>
  <c r="C17" i="5837"/>
  <c r="H37" i="5837"/>
  <c r="H2" i="5837"/>
  <c r="H31" i="5837"/>
  <c r="H45" i="5837"/>
  <c r="H12" i="5837"/>
  <c r="H5" i="5837"/>
  <c r="H17" i="5837"/>
  <c r="C19" i="5837"/>
  <c r="B24" i="5837"/>
  <c r="H38" i="5837"/>
  <c r="H46" i="5837"/>
  <c r="H52" i="5837"/>
  <c r="H10" i="5837"/>
  <c r="H6" i="5837"/>
  <c r="H11" i="5837"/>
  <c r="H22" i="5837"/>
  <c r="H24" i="5837"/>
  <c r="H15" i="5837"/>
  <c r="H27" i="5837"/>
  <c r="H39" i="5837"/>
  <c r="H47" i="5837"/>
  <c r="H16" i="5837"/>
  <c r="H21" i="5837"/>
  <c r="H40" i="5837"/>
  <c r="H48" i="5837"/>
  <c r="H33" i="5837"/>
  <c r="H34" i="5837"/>
  <c r="H49" i="5837"/>
  <c r="H9" i="5837"/>
  <c r="H19" i="5837"/>
  <c r="H13" i="5837"/>
  <c r="H35" i="5837"/>
  <c r="H23" i="5837"/>
  <c r="H18" i="5837"/>
  <c r="H20" i="5837"/>
  <c r="H28" i="5837"/>
  <c r="H43" i="5837"/>
  <c r="H51" i="5837"/>
  <c r="H32" i="5837"/>
  <c r="H41" i="5837"/>
  <c r="H42" i="5837"/>
  <c r="H50" i="5837"/>
  <c r="H7" i="5837"/>
  <c r="H29" i="5837"/>
  <c r="H30" i="5837"/>
  <c r="C18" i="5837"/>
  <c r="B23" i="5837"/>
  <c r="H8" i="5837"/>
  <c r="H36" i="5837"/>
  <c r="H44" i="5837"/>
  <c r="B24" i="5835"/>
  <c r="H20" i="5835"/>
  <c r="H12" i="5835"/>
  <c r="H3" i="5835"/>
  <c r="H39" i="5835"/>
  <c r="H24" i="5835"/>
  <c r="H36" i="5835"/>
  <c r="H37" i="5835"/>
  <c r="H2" i="5835"/>
  <c r="H29" i="5835"/>
  <c r="H44" i="5835"/>
  <c r="H31" i="5835"/>
  <c r="H47" i="5835"/>
  <c r="H8" i="5835"/>
  <c r="H45" i="5835"/>
  <c r="H10" i="5835"/>
  <c r="H26" i="5835"/>
  <c r="H4" i="5835"/>
  <c r="C17" i="5835"/>
  <c r="H6" i="5835"/>
  <c r="H5" i="5835"/>
  <c r="C19" i="5835"/>
  <c r="H32" i="5835"/>
  <c r="H52" i="5835"/>
  <c r="H18" i="5835"/>
  <c r="H14" i="5835"/>
  <c r="H15" i="5835"/>
  <c r="H16" i="5835"/>
  <c r="H38" i="5835"/>
  <c r="H46" i="5835"/>
  <c r="H33" i="5835"/>
  <c r="H41" i="5835"/>
  <c r="H49" i="5835"/>
  <c r="H30" i="5835"/>
  <c r="H48" i="5835"/>
  <c r="H19" i="5835"/>
  <c r="H11" i="5835"/>
  <c r="H25" i="5835"/>
  <c r="H28" i="5835"/>
  <c r="H17" i="5835"/>
  <c r="H34" i="5835"/>
  <c r="H42" i="5835"/>
  <c r="H50" i="5835"/>
  <c r="H27" i="5835"/>
  <c r="H21" i="5835"/>
  <c r="H40" i="5835"/>
  <c r="H7" i="5835"/>
  <c r="H9" i="5835"/>
  <c r="H22" i="5835"/>
  <c r="H23" i="5835"/>
  <c r="C18" i="5835"/>
  <c r="B23" i="5835"/>
  <c r="H13" i="5835"/>
  <c r="H35" i="5835"/>
  <c r="H43" i="5835"/>
  <c r="H26" i="5833"/>
  <c r="H13" i="5833"/>
  <c r="H3" i="5833"/>
  <c r="H8" i="5833"/>
  <c r="H15" i="5833"/>
  <c r="H2" i="5833"/>
  <c r="C17" i="5833"/>
  <c r="H21" i="5833"/>
  <c r="H19" i="5833"/>
  <c r="H41" i="5833"/>
  <c r="H20" i="5833"/>
  <c r="H48" i="5833"/>
  <c r="H23" i="5833"/>
  <c r="H28" i="5833"/>
  <c r="H43" i="5833"/>
  <c r="H51" i="5833"/>
  <c r="H7" i="5833"/>
  <c r="H24" i="5833"/>
  <c r="H33" i="5833"/>
  <c r="C18" i="5833"/>
  <c r="B23" i="5833"/>
  <c r="H9" i="5833"/>
  <c r="H37" i="5833"/>
  <c r="H44" i="5833"/>
  <c r="H16" i="5833"/>
  <c r="H4" i="5833"/>
  <c r="H11" i="5833"/>
  <c r="H34" i="5833"/>
  <c r="H27" i="5833"/>
  <c r="H30" i="5833"/>
  <c r="H38" i="5833"/>
  <c r="H45" i="5833"/>
  <c r="H5" i="5833"/>
  <c r="H25" i="5833"/>
  <c r="C19" i="5833"/>
  <c r="B24" i="5833"/>
  <c r="H39" i="5833"/>
  <c r="H46" i="5833"/>
  <c r="H52" i="5833"/>
  <c r="H10" i="5833"/>
  <c r="H6" i="5833"/>
  <c r="H12" i="5833"/>
  <c r="H22" i="5833"/>
  <c r="H17" i="5833"/>
  <c r="H14" i="5833"/>
  <c r="H18" i="5833"/>
  <c r="H40" i="5833"/>
  <c r="H47" i="5833"/>
  <c r="H35" i="5833"/>
  <c r="H29" i="5833"/>
  <c r="H31" i="5833"/>
  <c r="H32" i="5833"/>
  <c r="H49" i="5833"/>
  <c r="H36" i="5833"/>
  <c r="H42" i="5833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<sst xmlns="http://schemas.openxmlformats.org/spreadsheetml/2006/main" count="2803" uniqueCount="235">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</sst>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全体!$K$2:$K$455</c:f>
              <c:numCache>
                <c:formatCode>General</c:formatCode>
                <c:ptCount val="4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</c:numCache>
            </c:numRef>
          </c:xVal>
          <c:yVal>
            <c:numRef>
              <c:f>全体!$L$2:$L$455</c:f>
              <c:numCache>
                <c:formatCode>\+0.0;\-0.0;\±0</c:formatCode>
                <c:ptCount val="45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7-419D-842B-C96C2535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-22.222222222222221</c:v>
                </c:pt>
                <c:pt idx="1">
                  <c:v>9.1324200913242013</c:v>
                </c:pt>
                <c:pt idx="2">
                  <c:v>-19.18465227817746</c:v>
                </c:pt>
                <c:pt idx="3">
                  <c:v>12.626262626262626</c:v>
                </c:pt>
                <c:pt idx="4">
                  <c:v>16.129032258064516</c:v>
                </c:pt>
                <c:pt idx="5">
                  <c:v>9.5238095238095237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D2-4722-B206-42106FCD6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AA-450F-AF81-A0A65813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1372.0930232558139</c:v>
                </c:pt>
                <c:pt idx="1">
                  <c:v>-661.90476190476193</c:v>
                </c:pt>
                <c:pt idx="2">
                  <c:v>-732.5</c:v>
                </c:pt>
                <c:pt idx="3">
                  <c:v>-1797.5</c:v>
                </c:pt>
                <c:pt idx="4">
                  <c:v>-62.5</c:v>
                </c:pt>
                <c:pt idx="5">
                  <c:v>-1811.7647058823529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5-452F-922D-C95193A71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だいち!$L$2:$L$92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9-4848-853E-CB8E83E96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312.35955056179773</c:v>
                </c:pt>
                <c:pt idx="1">
                  <c:v>-225.58139534883722</c:v>
                </c:pt>
                <c:pt idx="2">
                  <c:v>-588.09523809523807</c:v>
                </c:pt>
                <c:pt idx="3">
                  <c:v>-577.92207792207796</c:v>
                </c:pt>
                <c:pt idx="4">
                  <c:v>2656.1643835616437</c:v>
                </c:pt>
                <c:pt idx="5">
                  <c:v>3313.1147540983607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8-4DAE-A22D-981013C43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4-41A5-BFD2-B8CFD2684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-1897.560975609756</c:v>
                </c:pt>
                <c:pt idx="1">
                  <c:v>1463.75</c:v>
                </c:pt>
                <c:pt idx="2">
                  <c:v>640.78947368421052</c:v>
                </c:pt>
                <c:pt idx="3">
                  <c:v>2302.7777777777778</c:v>
                </c:pt>
                <c:pt idx="4">
                  <c:v>-35.294117647058826</c:v>
                </c:pt>
                <c:pt idx="5">
                  <c:v>1667.2413793103449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4-42D3-BEA1-60360FBA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りくと!$L$2:$L$59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5-4A87-9712-B814D4F8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-512.5</c:v>
                </c:pt>
                <c:pt idx="1">
                  <c:v>-382.14285714285717</c:v>
                </c:pt>
                <c:pt idx="2">
                  <c:v>1120.7547169811321</c:v>
                </c:pt>
                <c:pt idx="3">
                  <c:v>-1419.2307692307693</c:v>
                </c:pt>
                <c:pt idx="4">
                  <c:v>-3500</c:v>
                </c:pt>
                <c:pt idx="5">
                  <c:v>-1368.1818181818182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B-441A-A125-9C16801CF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れんたろう!$L$2:$L$54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57-4868-AF45-FBAE9D59A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2698.0769230769229</c:v>
                </c:pt>
                <c:pt idx="1">
                  <c:v>-2026</c:v>
                </c:pt>
                <c:pt idx="2">
                  <c:v>2006.5217391304348</c:v>
                </c:pt>
                <c:pt idx="3">
                  <c:v>3213.953488372093</c:v>
                </c:pt>
                <c:pt idx="4">
                  <c:v>-705</c:v>
                </c:pt>
                <c:pt idx="5">
                  <c:v>-324.24242424242425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86-4229-9E6E-22BA0342B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33-4984-B703-C7F521227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1162.5</c:v>
                </c:pt>
                <c:pt idx="1">
                  <c:v>1113.0434782608695</c:v>
                </c:pt>
                <c:pt idx="2">
                  <c:v>-1071.875</c:v>
                </c:pt>
                <c:pt idx="3">
                  <c:v>198.30508474576271</c:v>
                </c:pt>
                <c:pt idx="4">
                  <c:v>-960.37735849056605</c:v>
                </c:pt>
                <c:pt idx="5">
                  <c:v>-1242.5531914893618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C-4E85-ACCF-AE1692FD9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4B-4614-9E31-001EC194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-2700</c:v>
                </c:pt>
                <c:pt idx="1">
                  <c:v>-170.96774193548387</c:v>
                </c:pt>
                <c:pt idx="2">
                  <c:v>-745.16129032258061</c:v>
                </c:pt>
                <c:pt idx="3">
                  <c:v>-2773.3333333333335</c:v>
                </c:pt>
                <c:pt idx="4">
                  <c:v>-1531.0344827586207</c:v>
                </c:pt>
                <c:pt idx="5">
                  <c:v>-3683.3333333333335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07-42D2-9D63-2096C73C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ぱぱ!$L$2:$L$18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FC-4F4A-9DB2-7CD28B842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-1087.5</c:v>
                </c:pt>
                <c:pt idx="1">
                  <c:v>-706.25</c:v>
                </c:pt>
                <c:pt idx="2">
                  <c:v>360</c:v>
                </c:pt>
                <c:pt idx="3">
                  <c:v>-2213.3333333333335</c:v>
                </c:pt>
                <c:pt idx="4">
                  <c:v>6414.2857142857147</c:v>
                </c:pt>
                <c:pt idx="5">
                  <c:v>-545.4545454545455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A-4B4C-9770-389FDD923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3-44DD-9847-0211AF2F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A-4E4B-B59E-F4FFC5F5B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815-948C-38E5C517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5-4279-A3D8-E89590D62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まっつん2!$B$3:$B$75</c:f>
              <c:numCache>
                <c:formatCode>\+0.0;\-0.0;\±0</c:formatCode>
                <c:ptCount val="7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まっつん2!$C$3:$C$75</c:f>
              <c:numCache>
                <c:formatCode>\+0.0;\-0.0;\±0</c:formatCode>
                <c:ptCount val="73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705581031523842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まっつん2!$D$3:$D$75</c:f>
              <c:numCache>
                <c:formatCode>0.00\ "位"</c:formatCode>
                <c:ptCount val="73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まっつん2!$E$3:$E$75</c:f>
              <c:numCache>
                <c:formatCode>0.0%</c:formatCode>
                <c:ptCount val="73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まっつん2!$F$3:$F$75</c:f>
              <c:numCache>
                <c:formatCode>0.0%</c:formatCode>
                <c:ptCount val="7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まっつん2!$G$3:$G$75</c:f>
              <c:numCache>
                <c:formatCode>0.0%</c:formatCode>
                <c:ptCount val="73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961159882947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まっつん2!$H$3:$H$75</c:f>
              <c:numCache>
                <c:formatCode>0.0%</c:formatCode>
                <c:ptCount val="73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277201383346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まっつん2!$I$3:$I$75</c:f>
              <c:numCache>
                <c:formatCode>0</c:formatCode>
                <c:ptCount val="73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44.88687782805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まっつん2!$J$3:$J$75</c:f>
              <c:numCache>
                <c:formatCode>0</c:formatCode>
                <c:ptCount val="73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62.95081967213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まっつん2!$K$3:$K$75</c:f>
              <c:numCache>
                <c:formatCode>0.0%</c:formatCode>
                <c:ptCount val="7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050772626931567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まっつん2!$L$3:$L$75</c:f>
              <c:numCache>
                <c:formatCode>0.0%</c:formatCode>
                <c:ptCount val="7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8.8235294117647065E-2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7.4999999999999997E-2</c:v>
                </c:pt>
                <c:pt idx="41">
                  <c:v>7.3170731707317069E-2</c:v>
                </c:pt>
                <c:pt idx="42">
                  <c:v>7.1428571428571425E-2</c:v>
                </c:pt>
                <c:pt idx="43">
                  <c:v>6.9767441860465115E-2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050772626931567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まっつん2!$M$3:$M$75</c:f>
              <c:numCache>
                <c:formatCode>0.0%</c:formatCode>
                <c:ptCount val="73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066507049747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まっつん2!$N$3:$N$75</c:f>
              <c:numCache>
                <c:formatCode>0.0%</c:formatCode>
                <c:ptCount val="73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3572758712423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まっつん2!$O$3:$O$75</c:f>
              <c:numCache>
                <c:formatCode>0.0%</c:formatCode>
                <c:ptCount val="73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5957446808510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まっつん2!$P$3:$P$75</c:f>
              <c:numCache>
                <c:formatCode>0.0%</c:formatCode>
                <c:ptCount val="73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7744874715261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まっつん2!$Q$3:$Q$75</c:f>
              <c:numCache>
                <c:formatCode>0.0%</c:formatCode>
                <c:ptCount val="73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2533936651583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43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7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7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7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7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7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7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7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7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7" x14ac:dyDescent="0.4">
      <c r="A41" s="28" t="s">
        <v>232</v>
      </c>
      <c r="B41" s="29">
        <v>43766.037835648145</v>
      </c>
      <c r="C41" s="28" t="s">
        <v>128</v>
      </c>
    </row>
    <row r="42" spans="1:7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7" x14ac:dyDescent="0.4">
      <c r="A43" s="28" t="s">
        <v>234</v>
      </c>
      <c r="B43" s="29">
        <v>43767.377511574072</v>
      </c>
      <c r="C43" s="28" t="s">
        <v>128</v>
      </c>
      <c r="D43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453</v>
      </c>
    </row>
    <row r="2" spans="1:2" x14ac:dyDescent="0.4">
      <c r="A2" t="s">
        <v>166</v>
      </c>
      <c r="B2">
        <v>43</v>
      </c>
    </row>
    <row r="3" spans="1:2" x14ac:dyDescent="0.4">
      <c r="A3" t="s">
        <v>126</v>
      </c>
      <c r="B3">
        <v>90</v>
      </c>
    </row>
    <row r="4" spans="1:2" x14ac:dyDescent="0.4">
      <c r="A4" t="s">
        <v>127</v>
      </c>
      <c r="B4">
        <v>83</v>
      </c>
    </row>
    <row r="5" spans="1:2" x14ac:dyDescent="0.4">
      <c r="A5" t="s">
        <v>179</v>
      </c>
      <c r="B5">
        <v>57</v>
      </c>
    </row>
    <row r="6" spans="1:2" x14ac:dyDescent="0.4">
      <c r="A6" t="s">
        <v>177</v>
      </c>
      <c r="B6">
        <v>52</v>
      </c>
    </row>
    <row r="7" spans="1:2" x14ac:dyDescent="0.4">
      <c r="A7" t="s">
        <v>178</v>
      </c>
      <c r="B7">
        <v>72</v>
      </c>
    </row>
    <row r="8" spans="1:2" x14ac:dyDescent="0.4">
      <c r="A8" t="s">
        <v>182</v>
      </c>
      <c r="B8">
        <v>31</v>
      </c>
    </row>
    <row r="9" spans="1:2" x14ac:dyDescent="0.4">
      <c r="A9" t="s">
        <v>181</v>
      </c>
      <c r="B9">
        <v>16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0.98832666238306599</v>
      </c>
      <c r="G2" s="157"/>
      <c r="H2" s="156">
        <v>0.9237838462112713</v>
      </c>
      <c r="I2" s="157"/>
      <c r="J2" s="156">
        <v>0.93243595740113983</v>
      </c>
      <c r="K2" s="157"/>
      <c r="L2" s="156">
        <v>0.90159006368170902</v>
      </c>
      <c r="M2" s="157"/>
      <c r="N2" s="156">
        <v>0.4238954685238846</v>
      </c>
      <c r="O2" s="157"/>
      <c r="P2" s="156">
        <v>0.44684653362948207</v>
      </c>
      <c r="Q2" s="157"/>
      <c r="R2" s="156">
        <v>-3.5674740439666355E-2</v>
      </c>
      <c r="S2" s="157"/>
      <c r="T2" s="156">
        <v>0.19489368682570535</v>
      </c>
      <c r="U2" s="157"/>
      <c r="V2" s="156">
        <v>0.75537497390686204</v>
      </c>
      <c r="W2" s="157"/>
      <c r="X2" s="156">
        <v>0.550109374594001</v>
      </c>
      <c r="Y2" s="157"/>
      <c r="Z2" s="156">
        <v>9.2754769371548751E-2</v>
      </c>
      <c r="AA2" s="157"/>
      <c r="AB2" s="156">
        <v>8.9608752195570532E-2</v>
      </c>
      <c r="AC2" s="157"/>
      <c r="AD2" s="156">
        <v>0.30999945967272113</v>
      </c>
      <c r="AE2" s="157"/>
      <c r="AF2" s="156">
        <v>-0.14612797361879132</v>
      </c>
      <c r="AG2" s="157"/>
      <c r="AH2" s="156">
        <v>0.5808217052301452</v>
      </c>
      <c r="AI2" s="157"/>
    </row>
    <row r="3" spans="1:35" x14ac:dyDescent="0.4">
      <c r="A3" s="70">
        <v>1</v>
      </c>
      <c r="B3" s="71" t="s">
        <v>126</v>
      </c>
      <c r="C3" s="72">
        <v>486.29999999999984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10544.8</v>
      </c>
      <c r="R3" s="73" t="s">
        <v>166</v>
      </c>
      <c r="S3" s="77">
        <v>-6775.4716981132078</v>
      </c>
      <c r="T3" s="73" t="s">
        <v>166</v>
      </c>
      <c r="U3" s="75">
        <v>0</v>
      </c>
      <c r="V3" s="73" t="s">
        <v>177</v>
      </c>
      <c r="W3" s="75">
        <v>0.21153846153846154</v>
      </c>
      <c r="X3" s="73" t="s">
        <v>177</v>
      </c>
      <c r="Y3" s="76">
        <v>0.32692307692307693</v>
      </c>
      <c r="Z3" s="73" t="s">
        <v>195</v>
      </c>
      <c r="AA3" s="76">
        <v>0.35483870967741937</v>
      </c>
      <c r="AB3" s="73" t="s">
        <v>181</v>
      </c>
      <c r="AC3" s="76">
        <v>0.62222222222222223</v>
      </c>
      <c r="AD3" s="73" t="s">
        <v>222</v>
      </c>
      <c r="AE3" s="76">
        <v>1</v>
      </c>
      <c r="AF3" s="73" t="s">
        <v>181</v>
      </c>
      <c r="AG3" s="76">
        <v>0.53333333333333333</v>
      </c>
      <c r="AH3" s="73" t="s">
        <v>177</v>
      </c>
      <c r="AI3" s="87">
        <v>103600</v>
      </c>
    </row>
    <row r="4" spans="1:35" x14ac:dyDescent="0.4">
      <c r="A4" s="78">
        <v>2</v>
      </c>
      <c r="B4" s="79" t="s">
        <v>127</v>
      </c>
      <c r="C4" s="80">
        <v>328.7999999999999</v>
      </c>
      <c r="D4" s="81" t="s">
        <v>177</v>
      </c>
      <c r="E4" s="93">
        <v>6.2538461538461556</v>
      </c>
      <c r="F4" s="81" t="s">
        <v>126</v>
      </c>
      <c r="G4" s="82">
        <v>1.8111111111111111</v>
      </c>
      <c r="H4" s="81" t="s">
        <v>126</v>
      </c>
      <c r="I4" s="83">
        <v>0.45555555555555555</v>
      </c>
      <c r="J4" s="81" t="s">
        <v>126</v>
      </c>
      <c r="K4" s="83">
        <v>0.26666666666666666</v>
      </c>
      <c r="L4" s="81" t="s">
        <v>126</v>
      </c>
      <c r="M4" s="84">
        <v>0.3287101248266297</v>
      </c>
      <c r="N4" s="81" t="s">
        <v>178</v>
      </c>
      <c r="O4" s="84">
        <v>0.12780656303972365</v>
      </c>
      <c r="P4" s="81" t="s">
        <v>127</v>
      </c>
      <c r="Q4" s="85">
        <v>8703.6036036036039</v>
      </c>
      <c r="R4" s="81" t="s">
        <v>181</v>
      </c>
      <c r="S4" s="85">
        <v>-6845</v>
      </c>
      <c r="T4" s="81" t="s">
        <v>222</v>
      </c>
      <c r="U4" s="83">
        <v>0</v>
      </c>
      <c r="V4" s="81" t="s">
        <v>195</v>
      </c>
      <c r="W4" s="83">
        <v>0.14285714285714285</v>
      </c>
      <c r="X4" s="81" t="s">
        <v>181</v>
      </c>
      <c r="Y4" s="84">
        <v>0.29220779220779219</v>
      </c>
      <c r="Z4" s="81" t="s">
        <v>222</v>
      </c>
      <c r="AA4" s="84">
        <v>0.33333333333333331</v>
      </c>
      <c r="AB4" s="81" t="s">
        <v>179</v>
      </c>
      <c r="AC4" s="84">
        <v>0.61313868613138689</v>
      </c>
      <c r="AD4" s="81" t="s">
        <v>126</v>
      </c>
      <c r="AE4" s="84">
        <v>0.47272727272727272</v>
      </c>
      <c r="AF4" s="81" t="s">
        <v>177</v>
      </c>
      <c r="AG4" s="84">
        <v>0.48799999999999999</v>
      </c>
      <c r="AH4" s="81" t="s">
        <v>143</v>
      </c>
      <c r="AI4" s="88">
        <v>103600</v>
      </c>
    </row>
    <row r="5" spans="1:35" x14ac:dyDescent="0.4">
      <c r="A5" s="78">
        <v>3</v>
      </c>
      <c r="B5" s="79" t="s">
        <v>177</v>
      </c>
      <c r="C5" s="80">
        <v>325.2000000000001</v>
      </c>
      <c r="D5" s="81" t="s">
        <v>126</v>
      </c>
      <c r="E5" s="93">
        <v>5.4033333333333315</v>
      </c>
      <c r="F5" s="81" t="s">
        <v>177</v>
      </c>
      <c r="G5" s="82">
        <v>1.8653846153846154</v>
      </c>
      <c r="H5" s="81" t="s">
        <v>177</v>
      </c>
      <c r="I5" s="83">
        <v>0.44230769230769229</v>
      </c>
      <c r="J5" s="81" t="s">
        <v>127</v>
      </c>
      <c r="K5" s="83">
        <v>0.28915662650602408</v>
      </c>
      <c r="L5" s="81" t="s">
        <v>127</v>
      </c>
      <c r="M5" s="84">
        <v>0.31400282885431402</v>
      </c>
      <c r="N5" s="81" t="s">
        <v>181</v>
      </c>
      <c r="O5" s="84">
        <v>0.12987012987012986</v>
      </c>
      <c r="P5" s="81" t="s">
        <v>178</v>
      </c>
      <c r="Q5" s="85">
        <v>8430.6748466257668</v>
      </c>
      <c r="R5" s="81" t="s">
        <v>179</v>
      </c>
      <c r="S5" s="85">
        <v>-7629</v>
      </c>
      <c r="T5" s="81" t="s">
        <v>126</v>
      </c>
      <c r="U5" s="83">
        <v>5.5555555555555552E-2</v>
      </c>
      <c r="V5" s="81" t="s">
        <v>181</v>
      </c>
      <c r="W5" s="83">
        <v>0.125</v>
      </c>
      <c r="X5" s="81" t="s">
        <v>179</v>
      </c>
      <c r="Y5" s="84">
        <v>0.28541666666666665</v>
      </c>
      <c r="Z5" s="81" t="s">
        <v>127</v>
      </c>
      <c r="AA5" s="84">
        <v>0.30410183875530411</v>
      </c>
      <c r="AB5" s="81" t="s">
        <v>126</v>
      </c>
      <c r="AC5" s="84">
        <v>0.58638743455497377</v>
      </c>
      <c r="AD5" s="81" t="s">
        <v>177</v>
      </c>
      <c r="AE5" s="84">
        <v>0.46835443037974683</v>
      </c>
      <c r="AF5" s="81" t="s">
        <v>182</v>
      </c>
      <c r="AG5" s="84">
        <v>0.48275862068965519</v>
      </c>
      <c r="AH5" s="81" t="s">
        <v>181</v>
      </c>
      <c r="AI5" s="88">
        <v>95200</v>
      </c>
    </row>
    <row r="6" spans="1:35" x14ac:dyDescent="0.4">
      <c r="A6" s="78">
        <v>4</v>
      </c>
      <c r="B6" s="79" t="s">
        <v>181</v>
      </c>
      <c r="C6" s="80">
        <v>28.300000000000004</v>
      </c>
      <c r="D6" s="81" t="s">
        <v>127</v>
      </c>
      <c r="E6" s="93">
        <v>3.9614457831325289</v>
      </c>
      <c r="F6" s="81" t="s">
        <v>127</v>
      </c>
      <c r="G6" s="82">
        <v>1.8915662650602409</v>
      </c>
      <c r="H6" s="81" t="s">
        <v>195</v>
      </c>
      <c r="I6" s="83">
        <v>0.42857142857142855</v>
      </c>
      <c r="J6" s="81" t="s">
        <v>178</v>
      </c>
      <c r="K6" s="83">
        <v>0.29166666666666669</v>
      </c>
      <c r="L6" s="81" t="s">
        <v>177</v>
      </c>
      <c r="M6" s="84">
        <v>0.30048076923076922</v>
      </c>
      <c r="N6" s="81" t="s">
        <v>126</v>
      </c>
      <c r="O6" s="84">
        <v>0.13869625520110956</v>
      </c>
      <c r="P6" s="81" t="s">
        <v>143</v>
      </c>
      <c r="Q6" s="85">
        <v>8344.8868778280539</v>
      </c>
      <c r="R6" s="81" t="s">
        <v>127</v>
      </c>
      <c r="S6" s="85">
        <v>-7707.246376811594</v>
      </c>
      <c r="T6" s="81" t="s">
        <v>178</v>
      </c>
      <c r="U6" s="83">
        <v>6.9444444444444448E-2</v>
      </c>
      <c r="V6" s="81" t="s">
        <v>127</v>
      </c>
      <c r="W6" s="83">
        <v>9.6385542168674704E-2</v>
      </c>
      <c r="X6" s="81" t="s">
        <v>222</v>
      </c>
      <c r="Y6" s="84">
        <v>0.26666666666666666</v>
      </c>
      <c r="Z6" s="81" t="s">
        <v>178</v>
      </c>
      <c r="AA6" s="84">
        <v>0.24525043177892919</v>
      </c>
      <c r="AB6" s="81" t="s">
        <v>178</v>
      </c>
      <c r="AC6" s="84">
        <v>0.57241379310344831</v>
      </c>
      <c r="AD6" s="81" t="s">
        <v>178</v>
      </c>
      <c r="AE6" s="84">
        <v>0.40845070422535212</v>
      </c>
      <c r="AF6" s="81" t="s">
        <v>179</v>
      </c>
      <c r="AG6" s="84">
        <v>0.47058823529411764</v>
      </c>
      <c r="AH6" s="81" t="s">
        <v>127</v>
      </c>
      <c r="AI6" s="88">
        <v>91800</v>
      </c>
    </row>
    <row r="7" spans="1:35" x14ac:dyDescent="0.4">
      <c r="A7" s="78">
        <v>5</v>
      </c>
      <c r="B7" s="79" t="s">
        <v>222</v>
      </c>
      <c r="C7" s="80">
        <v>26.2</v>
      </c>
      <c r="D7" s="81" t="s">
        <v>181</v>
      </c>
      <c r="E7" s="93">
        <v>1.7687500000000003</v>
      </c>
      <c r="F7" s="81" t="s">
        <v>181</v>
      </c>
      <c r="G7" s="82">
        <v>1.9375</v>
      </c>
      <c r="H7" s="81" t="s">
        <v>127</v>
      </c>
      <c r="I7" s="83">
        <v>0.39759036144578314</v>
      </c>
      <c r="J7" s="81" t="s">
        <v>177</v>
      </c>
      <c r="K7" s="83">
        <v>0.30769230769230771</v>
      </c>
      <c r="L7" s="81" t="s">
        <v>143</v>
      </c>
      <c r="M7" s="84">
        <v>0.29396115988294758</v>
      </c>
      <c r="N7" s="81" t="s">
        <v>166</v>
      </c>
      <c r="O7" s="84">
        <v>0.14133333333333334</v>
      </c>
      <c r="P7" s="81" t="s">
        <v>179</v>
      </c>
      <c r="Q7" s="85">
        <v>8029.411764705882</v>
      </c>
      <c r="R7" s="81" t="s">
        <v>126</v>
      </c>
      <c r="S7" s="85">
        <v>-7715</v>
      </c>
      <c r="T7" s="81" t="s">
        <v>179</v>
      </c>
      <c r="U7" s="83">
        <v>7.0175438596491224E-2</v>
      </c>
      <c r="V7" s="81" t="s">
        <v>143</v>
      </c>
      <c r="W7" s="83">
        <v>9.0507726269315678E-2</v>
      </c>
      <c r="X7" s="81" t="s">
        <v>126</v>
      </c>
      <c r="Y7" s="84">
        <v>0.26490984743411927</v>
      </c>
      <c r="Z7" s="81" t="s">
        <v>143</v>
      </c>
      <c r="AA7" s="84">
        <v>0.23357275871242353</v>
      </c>
      <c r="AB7" s="81" t="s">
        <v>143</v>
      </c>
      <c r="AC7" s="84">
        <v>0.56595744680851068</v>
      </c>
      <c r="AD7" s="81" t="s">
        <v>143</v>
      </c>
      <c r="AE7" s="84">
        <v>0.40774487471526194</v>
      </c>
      <c r="AF7" s="81" t="s">
        <v>178</v>
      </c>
      <c r="AG7" s="84">
        <v>0.46012269938650308</v>
      </c>
      <c r="AH7" s="81" t="s">
        <v>166</v>
      </c>
      <c r="AI7" s="88">
        <v>86900</v>
      </c>
    </row>
    <row r="8" spans="1:35" x14ac:dyDescent="0.4">
      <c r="A8" s="78">
        <v>6</v>
      </c>
      <c r="B8" s="79" t="s">
        <v>143</v>
      </c>
      <c r="C8" s="80">
        <v>-2.1316282072803006E-14</v>
      </c>
      <c r="D8" s="81" t="s">
        <v>143</v>
      </c>
      <c r="E8" s="93">
        <v>-4.7055810315238423E-17</v>
      </c>
      <c r="F8" s="81" t="s">
        <v>143</v>
      </c>
      <c r="G8" s="82">
        <v>2</v>
      </c>
      <c r="H8" s="81" t="s">
        <v>181</v>
      </c>
      <c r="I8" s="83">
        <v>0.375</v>
      </c>
      <c r="J8" s="81" t="s">
        <v>181</v>
      </c>
      <c r="K8" s="83">
        <v>0.3125</v>
      </c>
      <c r="L8" s="81" t="s">
        <v>181</v>
      </c>
      <c r="M8" s="84">
        <v>0.29220779220779219</v>
      </c>
      <c r="N8" s="81" t="s">
        <v>177</v>
      </c>
      <c r="O8" s="84">
        <v>0.15625</v>
      </c>
      <c r="P8" s="81" t="s">
        <v>182</v>
      </c>
      <c r="Q8" s="85">
        <v>7901.7241379310344</v>
      </c>
      <c r="R8" s="81" t="s">
        <v>143</v>
      </c>
      <c r="S8" s="85">
        <v>-7762.9508196721308</v>
      </c>
      <c r="T8" s="81" t="s">
        <v>143</v>
      </c>
      <c r="U8" s="83">
        <v>9.0507726269315678E-2</v>
      </c>
      <c r="V8" s="81" t="s">
        <v>126</v>
      </c>
      <c r="W8" s="83">
        <v>8.8888888888888892E-2</v>
      </c>
      <c r="X8" s="81" t="s">
        <v>178</v>
      </c>
      <c r="Y8" s="84">
        <v>0.25043177892918828</v>
      </c>
      <c r="Z8" s="81" t="s">
        <v>126</v>
      </c>
      <c r="AA8" s="84">
        <v>0.2288488210818308</v>
      </c>
      <c r="AB8" s="81" t="s">
        <v>182</v>
      </c>
      <c r="AC8" s="84">
        <v>0.54166666666666663</v>
      </c>
      <c r="AD8" s="81" t="s">
        <v>182</v>
      </c>
      <c r="AE8" s="84">
        <v>0.4</v>
      </c>
      <c r="AF8" s="81" t="s">
        <v>143</v>
      </c>
      <c r="AG8" s="84">
        <v>0.44253393665158369</v>
      </c>
      <c r="AH8" s="81" t="s">
        <v>178</v>
      </c>
      <c r="AI8" s="88">
        <v>86500</v>
      </c>
    </row>
    <row r="9" spans="1:35" x14ac:dyDescent="0.4">
      <c r="A9" s="78">
        <v>7</v>
      </c>
      <c r="B9" s="79" t="s">
        <v>178</v>
      </c>
      <c r="C9" s="80">
        <v>-68.199999999999974</v>
      </c>
      <c r="D9" s="81" t="s">
        <v>178</v>
      </c>
      <c r="E9" s="93">
        <v>-0.94722222222222185</v>
      </c>
      <c r="F9" s="81" t="s">
        <v>178</v>
      </c>
      <c r="G9" s="82">
        <v>2.0833333333333335</v>
      </c>
      <c r="H9" s="81" t="s">
        <v>143</v>
      </c>
      <c r="I9" s="83">
        <v>0.33333333333333331</v>
      </c>
      <c r="J9" s="81" t="s">
        <v>143</v>
      </c>
      <c r="K9" s="83">
        <v>0.33333333333333331</v>
      </c>
      <c r="L9" s="81" t="s">
        <v>179</v>
      </c>
      <c r="M9" s="84">
        <v>0.28333333333333333</v>
      </c>
      <c r="N9" s="81" t="s">
        <v>143</v>
      </c>
      <c r="O9" s="84">
        <v>0.16227720138334664</v>
      </c>
      <c r="P9" s="81" t="s">
        <v>126</v>
      </c>
      <c r="Q9" s="85">
        <v>7735.4430379746836</v>
      </c>
      <c r="R9" s="81" t="s">
        <v>222</v>
      </c>
      <c r="S9" s="85">
        <v>-8000</v>
      </c>
      <c r="T9" s="81" t="s">
        <v>177</v>
      </c>
      <c r="U9" s="83">
        <v>9.6153846153846159E-2</v>
      </c>
      <c r="V9" s="81" t="s">
        <v>178</v>
      </c>
      <c r="W9" s="83">
        <v>8.3333333333333329E-2</v>
      </c>
      <c r="X9" s="81" t="s">
        <v>143</v>
      </c>
      <c r="Y9" s="84">
        <v>0.25006650704974726</v>
      </c>
      <c r="Z9" s="81" t="s">
        <v>166</v>
      </c>
      <c r="AA9" s="84">
        <v>0.22666666666666666</v>
      </c>
      <c r="AB9" s="81" t="s">
        <v>127</v>
      </c>
      <c r="AC9" s="84">
        <v>0.53703703703703709</v>
      </c>
      <c r="AD9" s="81" t="s">
        <v>179</v>
      </c>
      <c r="AE9" s="84">
        <v>0.38636363636363635</v>
      </c>
      <c r="AF9" s="81" t="s">
        <v>126</v>
      </c>
      <c r="AG9" s="84">
        <v>0.43459915611814348</v>
      </c>
      <c r="AH9" s="81" t="s">
        <v>126</v>
      </c>
      <c r="AI9" s="88">
        <v>86200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-4.0046511627906991</v>
      </c>
      <c r="F10" s="81" t="s">
        <v>166</v>
      </c>
      <c r="G10" s="82">
        <v>2.0930232558139537</v>
      </c>
      <c r="H10" s="81" t="s">
        <v>166</v>
      </c>
      <c r="I10" s="83">
        <v>0.32558139534883723</v>
      </c>
      <c r="J10" s="81" t="s">
        <v>179</v>
      </c>
      <c r="K10" s="83">
        <v>0.38596491228070173</v>
      </c>
      <c r="L10" s="81" t="s">
        <v>178</v>
      </c>
      <c r="M10" s="84">
        <v>0.28151986183074268</v>
      </c>
      <c r="N10" s="81" t="s">
        <v>182</v>
      </c>
      <c r="O10" s="84">
        <v>0.188</v>
      </c>
      <c r="P10" s="81" t="s">
        <v>181</v>
      </c>
      <c r="Q10" s="85">
        <v>7646.666666666667</v>
      </c>
      <c r="R10" s="81" t="s">
        <v>182</v>
      </c>
      <c r="S10" s="85">
        <v>-8059.5744680851067</v>
      </c>
      <c r="T10" s="81" t="s">
        <v>181</v>
      </c>
      <c r="U10" s="83">
        <v>0.125</v>
      </c>
      <c r="V10" s="81" t="s">
        <v>166</v>
      </c>
      <c r="W10" s="83">
        <v>4.6511627906976744E-2</v>
      </c>
      <c r="X10" s="81" t="s">
        <v>195</v>
      </c>
      <c r="Y10" s="84">
        <v>0.24193548387096775</v>
      </c>
      <c r="Z10" s="81" t="s">
        <v>182</v>
      </c>
      <c r="AA10" s="84">
        <v>0.22</v>
      </c>
      <c r="AB10" s="81" t="s">
        <v>177</v>
      </c>
      <c r="AC10" s="84">
        <v>0.53676470588235292</v>
      </c>
      <c r="AD10" s="81" t="s">
        <v>127</v>
      </c>
      <c r="AE10" s="84">
        <v>0.37674418604651161</v>
      </c>
      <c r="AF10" s="81" t="s">
        <v>166</v>
      </c>
      <c r="AG10" s="84">
        <v>0.41237113402061853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-172.20000000000005</v>
      </c>
      <c r="D11" s="81" t="s">
        <v>179</v>
      </c>
      <c r="E11" s="93">
        <v>-6.6052631578947363</v>
      </c>
      <c r="F11" s="81" t="s">
        <v>195</v>
      </c>
      <c r="G11" s="82">
        <v>2.1428571428571428</v>
      </c>
      <c r="H11" s="81" t="s">
        <v>179</v>
      </c>
      <c r="I11" s="83">
        <v>0.21052631578947367</v>
      </c>
      <c r="J11" s="81" t="s">
        <v>166</v>
      </c>
      <c r="K11" s="83">
        <v>0.41860465116279072</v>
      </c>
      <c r="L11" s="81" t="s">
        <v>166</v>
      </c>
      <c r="M11" s="84">
        <v>0.25866666666666666</v>
      </c>
      <c r="N11" s="81" t="s">
        <v>195</v>
      </c>
      <c r="O11" s="84">
        <v>0.19354838709677419</v>
      </c>
      <c r="P11" s="81" t="s">
        <v>195</v>
      </c>
      <c r="Q11" s="85">
        <v>7473.333333333333</v>
      </c>
      <c r="R11" s="81" t="s">
        <v>178</v>
      </c>
      <c r="S11" s="85">
        <v>-8078.3783783783783</v>
      </c>
      <c r="T11" s="81" t="s">
        <v>127</v>
      </c>
      <c r="U11" s="83">
        <v>0.13253012048192772</v>
      </c>
      <c r="V11" s="81" t="s">
        <v>179</v>
      </c>
      <c r="W11" s="83">
        <v>3.5087719298245612E-2</v>
      </c>
      <c r="X11" s="81" t="s">
        <v>127</v>
      </c>
      <c r="Y11" s="84">
        <v>0.22913719943422914</v>
      </c>
      <c r="Z11" s="81" t="s">
        <v>177</v>
      </c>
      <c r="AA11" s="84">
        <v>0.18990384615384615</v>
      </c>
      <c r="AB11" s="81" t="s">
        <v>195</v>
      </c>
      <c r="AC11" s="84">
        <v>0.53333333333333333</v>
      </c>
      <c r="AD11" s="81" t="s">
        <v>166</v>
      </c>
      <c r="AE11" s="84">
        <v>0.35294117647058826</v>
      </c>
      <c r="AF11" s="81" t="s">
        <v>127</v>
      </c>
      <c r="AG11" s="84">
        <v>0.39189189189189189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-376.49999999999994</v>
      </c>
      <c r="D12" s="81" t="s">
        <v>195</v>
      </c>
      <c r="E12" s="93">
        <v>-14.971428571428573</v>
      </c>
      <c r="F12" s="81" t="s">
        <v>179</v>
      </c>
      <c r="G12" s="82">
        <v>2.1754385964912282</v>
      </c>
      <c r="H12" s="81" t="s">
        <v>178</v>
      </c>
      <c r="I12" s="83">
        <v>0.20833333333333334</v>
      </c>
      <c r="J12" s="81" t="s">
        <v>182</v>
      </c>
      <c r="K12" s="83">
        <v>0.54838709677419351</v>
      </c>
      <c r="L12" s="81" t="s">
        <v>195</v>
      </c>
      <c r="M12" s="84">
        <v>0.24193548387096775</v>
      </c>
      <c r="N12" s="81" t="s">
        <v>127</v>
      </c>
      <c r="O12" s="84">
        <v>0.19519094766619519</v>
      </c>
      <c r="P12" s="81" t="s">
        <v>222</v>
      </c>
      <c r="Q12" s="85">
        <v>7385.7142857142853</v>
      </c>
      <c r="R12" s="81" t="s">
        <v>177</v>
      </c>
      <c r="S12" s="85">
        <v>-8429.2307692307695</v>
      </c>
      <c r="T12" s="81" t="s">
        <v>182</v>
      </c>
      <c r="U12" s="83">
        <v>0.16129032258064516</v>
      </c>
      <c r="V12" s="81" t="s">
        <v>182</v>
      </c>
      <c r="W12" s="83">
        <v>3.2258064516129031E-2</v>
      </c>
      <c r="X12" s="81" t="s">
        <v>182</v>
      </c>
      <c r="Y12" s="84">
        <v>0.192</v>
      </c>
      <c r="Z12" s="81" t="s">
        <v>179</v>
      </c>
      <c r="AA12" s="84">
        <v>0.18333333333333332</v>
      </c>
      <c r="AB12" s="81" t="s">
        <v>166</v>
      </c>
      <c r="AC12" s="84">
        <v>0.50877192982456143</v>
      </c>
      <c r="AD12" s="81" t="s">
        <v>181</v>
      </c>
      <c r="AE12" s="84">
        <v>0.31818181818181818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-473.10000000000014</v>
      </c>
      <c r="D13" s="81" t="s">
        <v>182</v>
      </c>
      <c r="E13" s="93">
        <v>-15.261290322580649</v>
      </c>
      <c r="F13" s="81" t="s">
        <v>182</v>
      </c>
      <c r="G13" s="82">
        <v>2.4516129032258065</v>
      </c>
      <c r="H13" s="81" t="s">
        <v>182</v>
      </c>
      <c r="I13" s="83">
        <v>9.6774193548387094E-2</v>
      </c>
      <c r="J13" s="81" t="s">
        <v>195</v>
      </c>
      <c r="K13" s="83">
        <v>0.5714285714285714</v>
      </c>
      <c r="L13" s="81" t="s">
        <v>182</v>
      </c>
      <c r="M13" s="84">
        <v>0.23200000000000001</v>
      </c>
      <c r="N13" s="81" t="s">
        <v>179</v>
      </c>
      <c r="O13" s="84">
        <v>0.20833333333333334</v>
      </c>
      <c r="P13" s="81" t="s">
        <v>166</v>
      </c>
      <c r="Q13" s="85">
        <v>7269.072164948454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0.152</v>
      </c>
      <c r="Z13" s="81" t="s">
        <v>181</v>
      </c>
      <c r="AA13" s="84">
        <v>0.14285714285714285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DAEBA-4F24-45C5-819C-B622F81A8F21}">
  <sheetPr codeName="Sheet4"/>
  <dimension ref="A1:Q45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453</v>
      </c>
      <c r="C2" s="149"/>
      <c r="E2" s="58" t="s">
        <v>66</v>
      </c>
      <c r="F2" s="55" t="s">
        <v>22</v>
      </c>
      <c r="G2" s="43">
        <v>856</v>
      </c>
      <c r="H2" s="128">
        <f>IF(B$17=0,0,G2/B$17)</f>
        <v>0.77466063348416292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-22.222222222222221</v>
      </c>
      <c r="P2" s="114">
        <v>450</v>
      </c>
      <c r="Q2" s="98">
        <v>-10000</v>
      </c>
    </row>
    <row r="3" spans="1:17" x14ac:dyDescent="0.4">
      <c r="A3" s="51" t="s">
        <v>8</v>
      </c>
      <c r="B3" s="150">
        <v>3759</v>
      </c>
      <c r="C3" s="151"/>
      <c r="E3" s="59" t="s">
        <v>72</v>
      </c>
      <c r="F3" s="56" t="s">
        <v>27</v>
      </c>
      <c r="G3" s="44">
        <v>595</v>
      </c>
      <c r="H3" s="129">
        <f>IF(B$17=0,0,G3/B$17)</f>
        <v>0.53846153846153844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9.1324200913242013</v>
      </c>
      <c r="P3" s="115">
        <v>438</v>
      </c>
      <c r="Q3" s="99">
        <v>4000</v>
      </c>
    </row>
    <row r="4" spans="1:17" x14ac:dyDescent="0.4">
      <c r="A4" s="51" t="s">
        <v>6</v>
      </c>
      <c r="B4" s="152">
        <v>-2.1316282072803006E-14</v>
      </c>
      <c r="C4" s="153"/>
      <c r="E4" s="59" t="s">
        <v>64</v>
      </c>
      <c r="F4" s="56" t="s">
        <v>20</v>
      </c>
      <c r="G4" s="44">
        <v>509</v>
      </c>
      <c r="H4" s="129">
        <f>IF(B$17=0,0,G4/B$17)</f>
        <v>0.4606334841628959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-19.18465227817746</v>
      </c>
      <c r="P4" s="115">
        <v>417</v>
      </c>
      <c r="Q4" s="99">
        <v>-8000</v>
      </c>
    </row>
    <row r="5" spans="1:17" x14ac:dyDescent="0.4">
      <c r="A5" s="51" t="s">
        <v>7</v>
      </c>
      <c r="B5" s="154">
        <f>IF(B$2=0,0,B$4/B$2)</f>
        <v>-4.7055810315238423E-17</v>
      </c>
      <c r="C5" s="155"/>
      <c r="E5" s="59" t="s">
        <v>171</v>
      </c>
      <c r="F5" s="56" t="s">
        <v>172</v>
      </c>
      <c r="G5" s="44">
        <v>435</v>
      </c>
      <c r="H5" s="129">
        <f>IF(B$17=0,0,G5/B$17)</f>
        <v>0.39366515837104071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12.626262626262626</v>
      </c>
      <c r="P5" s="115">
        <v>396</v>
      </c>
      <c r="Q5" s="99">
        <v>5000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352</v>
      </c>
      <c r="H6" s="129">
        <f>IF(B$17=0,0,G6/B$17)</f>
        <v>0.318552036199095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16.129032258064516</v>
      </c>
      <c r="P6" s="115">
        <v>372</v>
      </c>
      <c r="Q6" s="99">
        <v>6000</v>
      </c>
    </row>
    <row r="7" spans="1:17" x14ac:dyDescent="0.4">
      <c r="A7" s="51" t="s">
        <v>2</v>
      </c>
      <c r="B7" s="44">
        <v>151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329</v>
      </c>
      <c r="H7" s="129">
        <f>IF(B$17=0,0,G7/B$17)</f>
        <v>0.29773755656108597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9.5238095238095237</v>
      </c>
      <c r="P7" s="116">
        <v>315</v>
      </c>
      <c r="Q7" s="100">
        <v>3000</v>
      </c>
    </row>
    <row r="8" spans="1:17" x14ac:dyDescent="0.4">
      <c r="A8" s="51" t="s">
        <v>3</v>
      </c>
      <c r="B8" s="44">
        <v>151</v>
      </c>
      <c r="C8" s="37">
        <f t="shared" si="1"/>
        <v>0.33333333333333331</v>
      </c>
      <c r="E8" s="59" t="s">
        <v>69</v>
      </c>
      <c r="F8" s="56" t="s">
        <v>24</v>
      </c>
      <c r="G8" s="44">
        <v>168</v>
      </c>
      <c r="H8" s="129">
        <f>IF(B$17=0,0,G8/B$17)</f>
        <v>0.15203619909502261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151</v>
      </c>
      <c r="C9" s="38">
        <f t="shared" si="1"/>
        <v>0.33333333333333331</v>
      </c>
      <c r="E9" s="59" t="s">
        <v>89</v>
      </c>
      <c r="F9" s="56" t="s">
        <v>44</v>
      </c>
      <c r="G9" s="44">
        <v>147</v>
      </c>
      <c r="H9" s="129">
        <f>IF(B$17=0,0,G9/B$17)</f>
        <v>0.1330316742081448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41</v>
      </c>
      <c r="C10" s="38">
        <f t="shared" si="1"/>
        <v>9.0507726269315678E-2</v>
      </c>
      <c r="E10" s="59" t="s">
        <v>65</v>
      </c>
      <c r="F10" s="56" t="s">
        <v>21</v>
      </c>
      <c r="G10" s="44">
        <v>113</v>
      </c>
      <c r="H10" s="129">
        <f>IF(B$17=0,0,G10/B$17)</f>
        <v>0.10226244343891402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0.65629139072847642</v>
      </c>
      <c r="P10" s="114">
        <v>151</v>
      </c>
      <c r="Q10" s="102">
        <v>99.099999999999937</v>
      </c>
    </row>
    <row r="11" spans="1:17" x14ac:dyDescent="0.4">
      <c r="A11" s="52" t="s">
        <v>138</v>
      </c>
      <c r="B11" s="45">
        <v>41</v>
      </c>
      <c r="C11" s="38">
        <f t="shared" si="1"/>
        <v>9.0507726269315678E-2</v>
      </c>
      <c r="E11" s="59" t="s">
        <v>70</v>
      </c>
      <c r="F11" s="56" t="s">
        <v>25</v>
      </c>
      <c r="G11" s="44">
        <v>106</v>
      </c>
      <c r="H11" s="129">
        <f>IF(B$17=0,0,G11/B$17)</f>
        <v>9.5927601809954757E-2</v>
      </c>
      <c r="I11" s="90">
        <v>6</v>
      </c>
      <c r="K11" s="36">
        <v>9</v>
      </c>
      <c r="L11" s="95">
        <v>0</v>
      </c>
      <c r="N11" s="111" t="s">
        <v>163</v>
      </c>
      <c r="O11" s="121">
        <f>IF(P11=0,0,Q11/P11)</f>
        <v>0.78874172185430436</v>
      </c>
      <c r="P11" s="115">
        <v>151</v>
      </c>
      <c r="Q11" s="103">
        <v>119.09999999999997</v>
      </c>
    </row>
    <row r="12" spans="1:17" x14ac:dyDescent="0.4">
      <c r="A12" s="53" t="s">
        <v>158</v>
      </c>
      <c r="B12" s="46">
        <v>48</v>
      </c>
      <c r="C12" s="40">
        <f t="shared" si="1"/>
        <v>0.10596026490066225</v>
      </c>
      <c r="E12" s="59" t="s">
        <v>71</v>
      </c>
      <c r="F12" s="56" t="s">
        <v>26</v>
      </c>
      <c r="G12" s="44">
        <v>87</v>
      </c>
      <c r="H12" s="129">
        <f>IF(B$17=0,0,G12/B$17)</f>
        <v>7.8733031674208143E-2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-1.4450331125827822</v>
      </c>
      <c r="P12" s="116">
        <v>151</v>
      </c>
      <c r="Q12" s="104">
        <v>-218.2000000000001</v>
      </c>
    </row>
    <row r="13" spans="1:17" x14ac:dyDescent="0.4">
      <c r="A13" s="54" t="s">
        <v>121</v>
      </c>
      <c r="B13" s="47">
        <v>940</v>
      </c>
      <c r="C13" s="42">
        <f>IF(B$3=0,0,B13/B$3)</f>
        <v>0.25006650704974726</v>
      </c>
      <c r="E13" s="59" t="s">
        <v>83</v>
      </c>
      <c r="F13" s="56" t="s">
        <v>38</v>
      </c>
      <c r="G13" s="44">
        <v>59</v>
      </c>
      <c r="H13" s="129">
        <f>IF(B$17=0,0,G13/B$17)</f>
        <v>5.3393665158371038E-2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878</v>
      </c>
      <c r="C14" s="37">
        <f>IF(B$3=0,0,B14/B$3)</f>
        <v>0.23357275871242353</v>
      </c>
      <c r="E14" s="59" t="s">
        <v>86</v>
      </c>
      <c r="F14" s="56" t="s">
        <v>41</v>
      </c>
      <c r="G14" s="44">
        <v>50</v>
      </c>
      <c r="H14" s="129">
        <f>IF(B$17=0,0,G14/B$17)</f>
        <v>4.5248868778280542E-2</v>
      </c>
      <c r="I14" s="90">
        <v>4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532</v>
      </c>
      <c r="C15" s="35">
        <f>IF(B$13=0,0,B15/B$13)</f>
        <v>0.56595744680851068</v>
      </c>
      <c r="E15" s="59" t="s">
        <v>78</v>
      </c>
      <c r="F15" s="56" t="s">
        <v>33</v>
      </c>
      <c r="G15" s="44">
        <v>28</v>
      </c>
      <c r="H15" s="129">
        <f>IF(B$17=0,0,G15/B$17)</f>
        <v>2.5339366515837104E-2</v>
      </c>
      <c r="I15" s="90">
        <v>4</v>
      </c>
      <c r="K15" s="36">
        <v>13</v>
      </c>
      <c r="L15" s="95">
        <v>-1.7</v>
      </c>
      <c r="N15" s="110" t="s">
        <v>182</v>
      </c>
      <c r="O15" s="120">
        <f>IF(P15=0,0,Q15/P15)</f>
        <v>22.891935483870952</v>
      </c>
      <c r="P15" s="114">
        <v>62</v>
      </c>
      <c r="Q15" s="102">
        <v>1419.299999999999</v>
      </c>
    </row>
    <row r="16" spans="1:17" x14ac:dyDescent="0.4">
      <c r="A16" s="50" t="s">
        <v>124</v>
      </c>
      <c r="B16" s="43">
        <v>358</v>
      </c>
      <c r="C16" s="35">
        <f>IF(B$14=0,0,B16/B$14)</f>
        <v>0.40774487471526194</v>
      </c>
      <c r="E16" s="59" t="s">
        <v>167</v>
      </c>
      <c r="F16" s="56" t="s">
        <v>168</v>
      </c>
      <c r="G16" s="44">
        <v>27</v>
      </c>
      <c r="H16" s="129">
        <f>IF(B$17=0,0,G16/B$17)</f>
        <v>2.4434389140271493E-2</v>
      </c>
      <c r="I16" s="90">
        <v>4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1105</v>
      </c>
      <c r="C17" s="35">
        <f>IF(B$3=0,0,B17/B$3)</f>
        <v>0.29396115988294758</v>
      </c>
      <c r="E17" s="59" t="s">
        <v>81</v>
      </c>
      <c r="F17" s="56" t="s">
        <v>36</v>
      </c>
      <c r="G17" s="44">
        <v>20</v>
      </c>
      <c r="H17" s="129">
        <f>IF(B$17=0,0,G17/B$17)</f>
        <v>1.8099547511312219E-2</v>
      </c>
      <c r="I17" s="90">
        <v>7</v>
      </c>
      <c r="K17" s="36">
        <v>15</v>
      </c>
      <c r="L17" s="95">
        <v>0</v>
      </c>
      <c r="N17" s="111" t="s">
        <v>179</v>
      </c>
      <c r="O17" s="121">
        <f>IF(P17=0,0,Q17/P17)</f>
        <v>9.907894736842108</v>
      </c>
      <c r="P17" s="115">
        <v>114</v>
      </c>
      <c r="Q17" s="103">
        <v>1129.5000000000002</v>
      </c>
    </row>
    <row r="18" spans="1:17" x14ac:dyDescent="0.4">
      <c r="A18" s="51" t="s">
        <v>12</v>
      </c>
      <c r="B18" s="44">
        <v>489</v>
      </c>
      <c r="C18" s="37">
        <f>IF(B$17=0,0,B18/B$17)</f>
        <v>0.44253393665158369</v>
      </c>
      <c r="E18" s="59" t="s">
        <v>91</v>
      </c>
      <c r="F18" s="56" t="s">
        <v>46</v>
      </c>
      <c r="G18" s="44">
        <v>16</v>
      </c>
      <c r="H18" s="129">
        <f>IF(B$17=0,0,G18/B$17)</f>
        <v>1.4479638009049774E-2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6.0069767441860442</v>
      </c>
      <c r="P18" s="115">
        <v>86</v>
      </c>
      <c r="Q18" s="103">
        <v>516.5999999999998</v>
      </c>
    </row>
    <row r="19" spans="1:17" x14ac:dyDescent="0.4">
      <c r="A19" s="51" t="s">
        <v>11</v>
      </c>
      <c r="B19" s="44">
        <v>616</v>
      </c>
      <c r="C19" s="37">
        <f>IF(B$17=0,0,B19/B$17)</f>
        <v>0.55746606334841631</v>
      </c>
      <c r="E19" s="59" t="s">
        <v>79</v>
      </c>
      <c r="F19" s="56" t="s">
        <v>34</v>
      </c>
      <c r="G19" s="44">
        <v>15</v>
      </c>
      <c r="H19" s="129">
        <f>IF(B$17=0,0,G19/B$17)</f>
        <v>1.3574660633484163E-2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1.4208333333333325</v>
      </c>
      <c r="P19" s="115">
        <v>144</v>
      </c>
      <c r="Q19" s="103">
        <v>204.59999999999988</v>
      </c>
    </row>
    <row r="20" spans="1:17" x14ac:dyDescent="0.4">
      <c r="A20" s="51" t="s">
        <v>13</v>
      </c>
      <c r="B20" s="44">
        <v>610</v>
      </c>
      <c r="C20" s="37">
        <f>IF(B$3=0,0,B20/B$3)</f>
        <v>0.16227720138334664</v>
      </c>
      <c r="E20" s="59" t="s">
        <v>75</v>
      </c>
      <c r="F20" s="56" t="s">
        <v>30</v>
      </c>
      <c r="G20" s="44">
        <v>7</v>
      </c>
      <c r="H20" s="129">
        <f>IF(B$17=0,0,G20/B$17)</f>
        <v>6.3348416289592761E-3</v>
      </c>
      <c r="I20" s="90">
        <v>6</v>
      </c>
      <c r="K20" s="36">
        <v>18</v>
      </c>
      <c r="L20" s="95">
        <v>0</v>
      </c>
      <c r="N20" s="111" t="s">
        <v>181</v>
      </c>
      <c r="O20" s="121">
        <f>IF(P20=0,0,Q20/P20)</f>
        <v>-2.6531250000000002</v>
      </c>
      <c r="P20" s="115">
        <v>32</v>
      </c>
      <c r="Q20" s="103">
        <v>-84.9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92</v>
      </c>
      <c r="F21" s="56" t="s">
        <v>47</v>
      </c>
      <c r="G21" s="44">
        <v>6</v>
      </c>
      <c r="H21" s="129">
        <f>IF(B$17=0,0,G21/B$17)</f>
        <v>5.4298642533936649E-3</v>
      </c>
      <c r="I21" s="90">
        <v>3</v>
      </c>
      <c r="K21" s="36">
        <v>19</v>
      </c>
      <c r="L21" s="95">
        <v>-22.4</v>
      </c>
      <c r="N21" s="111" t="s">
        <v>127</v>
      </c>
      <c r="O21" s="121">
        <f>IF(P21=0,0,Q21/P21)</f>
        <v>-5.9421686746988023</v>
      </c>
      <c r="P21" s="115">
        <v>166</v>
      </c>
      <c r="Q21" s="103">
        <v>-986.40000000000111</v>
      </c>
    </row>
    <row r="22" spans="1:17" x14ac:dyDescent="0.4">
      <c r="A22" s="51" t="s">
        <v>170</v>
      </c>
      <c r="B22" s="44">
        <v>31</v>
      </c>
      <c r="C22" s="131">
        <v>11</v>
      </c>
      <c r="E22" s="59" t="s">
        <v>74</v>
      </c>
      <c r="F22" s="56" t="s">
        <v>29</v>
      </c>
      <c r="G22" s="44">
        <v>5</v>
      </c>
      <c r="H22" s="129">
        <f>IF(B$17=0,0,G22/B$17)</f>
        <v>4.5248868778280547E-3</v>
      </c>
      <c r="I22" s="90">
        <v>4</v>
      </c>
      <c r="K22" s="36">
        <v>20</v>
      </c>
      <c r="L22" s="95">
        <v>-61.199999999999996</v>
      </c>
      <c r="N22" s="111" t="s">
        <v>126</v>
      </c>
      <c r="O22" s="121">
        <f>IF(P22=0,0,Q22/P22)</f>
        <v>-8.1049999999999933</v>
      </c>
      <c r="P22" s="115">
        <v>180</v>
      </c>
      <c r="Q22" s="103">
        <v>-1458.8999999999987</v>
      </c>
    </row>
    <row r="23" spans="1:17" x14ac:dyDescent="0.4">
      <c r="A23" s="51" t="s">
        <v>5</v>
      </c>
      <c r="B23" s="48">
        <f>IF(B$17=0,0,C23/B$17)</f>
        <v>8344.8868778280539</v>
      </c>
      <c r="C23" s="39">
        <v>9221100</v>
      </c>
      <c r="E23" s="59" t="s">
        <v>88</v>
      </c>
      <c r="F23" s="56" t="s">
        <v>43</v>
      </c>
      <c r="G23" s="44">
        <v>5</v>
      </c>
      <c r="H23" s="129">
        <f>IF(B$17=0,0,G23/B$17)</f>
        <v>4.5248868778280547E-3</v>
      </c>
      <c r="I23" s="90">
        <v>4</v>
      </c>
      <c r="K23" s="36">
        <v>21</v>
      </c>
      <c r="L23" s="95">
        <v>7.1054273576010019E-15</v>
      </c>
      <c r="N23" s="111" t="s">
        <v>177</v>
      </c>
      <c r="O23" s="121">
        <f>IF(P23=0,0,Q23/P23)</f>
        <v>-9.3807692307692303</v>
      </c>
      <c r="P23" s="115">
        <v>104</v>
      </c>
      <c r="Q23" s="103">
        <v>-975.59999999999991</v>
      </c>
    </row>
    <row r="24" spans="1:17" x14ac:dyDescent="0.4">
      <c r="A24" s="52" t="s">
        <v>216</v>
      </c>
      <c r="B24" s="136">
        <f>IF($B$17-B$16=0,0,C24/($B$17-B$16))</f>
        <v>8842.1686746987943</v>
      </c>
      <c r="C24" s="137">
        <v>6605100</v>
      </c>
      <c r="E24" s="59" t="s">
        <v>73</v>
      </c>
      <c r="F24" s="56" t="s">
        <v>28</v>
      </c>
      <c r="G24" s="44">
        <v>4</v>
      </c>
      <c r="H24" s="129">
        <f>IF(B$17=0,0,G24/B$17)</f>
        <v>3.6199095022624436E-3</v>
      </c>
      <c r="I24" s="90">
        <v>3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7307.2625698324018</v>
      </c>
      <c r="C25" s="137">
        <v>2616000</v>
      </c>
      <c r="E25" s="59" t="s">
        <v>77</v>
      </c>
      <c r="F25" s="56" t="s">
        <v>32</v>
      </c>
      <c r="G25" s="44">
        <v>4</v>
      </c>
      <c r="H25" s="129">
        <f>IF(B$17=0,0,G25/B$17)</f>
        <v>3.6199095022624436E-3</v>
      </c>
      <c r="I25" s="90">
        <v>3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-7762.9508196721308</v>
      </c>
      <c r="C26" s="137">
        <v>-4735400</v>
      </c>
      <c r="E26" s="59" t="s">
        <v>84</v>
      </c>
      <c r="F26" s="56" t="s">
        <v>39</v>
      </c>
      <c r="G26" s="44">
        <v>4</v>
      </c>
      <c r="H26" s="129">
        <f>IF(B$17=0,0,G26/B$17)</f>
        <v>3.6199095022624436E-3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85</v>
      </c>
      <c r="F27" s="56" t="s">
        <v>40</v>
      </c>
      <c r="G27" s="44">
        <v>4</v>
      </c>
      <c r="H27" s="129">
        <f>IF(B$17=0,0,G27/B$17)</f>
        <v>3.6199095022624436E-3</v>
      </c>
      <c r="I27" s="90">
        <v>5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103600</v>
      </c>
      <c r="C28" s="141"/>
      <c r="E28" s="59" t="s">
        <v>95</v>
      </c>
      <c r="F28" s="56" t="s">
        <v>50</v>
      </c>
      <c r="G28" s="44">
        <v>3</v>
      </c>
      <c r="H28" s="129">
        <f>IF(B$17=0,0,G28/B$17)</f>
        <v>2.7149321266968325E-3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12</v>
      </c>
      <c r="C29" s="40">
        <f>IF(B$3=0,0,B29/B$3)</f>
        <v>3.1923383878691143E-3</v>
      </c>
      <c r="E29" s="59" t="s">
        <v>87</v>
      </c>
      <c r="F29" s="56" t="s">
        <v>42</v>
      </c>
      <c r="G29" s="44">
        <v>2</v>
      </c>
      <c r="H29" s="129">
        <f>IF(B$17=0,0,G29/B$17)</f>
        <v>1.8099547511312218E-3</v>
      </c>
      <c r="I29" s="90">
        <v>3</v>
      </c>
      <c r="K29" s="36">
        <v>27</v>
      </c>
      <c r="L29" s="95">
        <v>6.7723604502134549E-15</v>
      </c>
    </row>
    <row r="30" spans="1:17" x14ac:dyDescent="0.4">
      <c r="E30" s="59" t="s">
        <v>90</v>
      </c>
      <c r="F30" s="56" t="s">
        <v>45</v>
      </c>
      <c r="G30" s="44">
        <v>2</v>
      </c>
      <c r="H30" s="129">
        <f>IF(B$17=0,0,G30/B$17)</f>
        <v>1.8099547511312218E-3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2</v>
      </c>
      <c r="H31" s="129">
        <f>IF(B$17=0,0,G31/B$17)</f>
        <v>1.8099547511312218E-3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9.049773755656109E-4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96807-210F-446B-859E-F5885C981433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43</v>
      </c>
      <c r="C2" s="149"/>
      <c r="E2" s="58" t="s">
        <v>66</v>
      </c>
      <c r="F2" s="55" t="s">
        <v>22</v>
      </c>
      <c r="G2" s="43">
        <v>63</v>
      </c>
      <c r="H2" s="128">
        <f>IF(B$17=0,0,G2/B$17)</f>
        <v>0.64948453608247425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1372.0930232558139</v>
      </c>
      <c r="P2" s="114">
        <v>43</v>
      </c>
      <c r="Q2" s="98">
        <v>59000</v>
      </c>
    </row>
    <row r="3" spans="1:17" x14ac:dyDescent="0.4">
      <c r="A3" s="51" t="s">
        <v>8</v>
      </c>
      <c r="B3" s="150">
        <v>375</v>
      </c>
      <c r="C3" s="151"/>
      <c r="E3" s="59" t="s">
        <v>72</v>
      </c>
      <c r="F3" s="56" t="s">
        <v>27</v>
      </c>
      <c r="G3" s="44">
        <v>48</v>
      </c>
      <c r="H3" s="129">
        <f>IF(B$17=0,0,G3/B$17)</f>
        <v>0.49484536082474229</v>
      </c>
      <c r="I3" s="90">
        <v>9</v>
      </c>
      <c r="K3" s="36">
        <v>1</v>
      </c>
      <c r="L3" s="95">
        <v>-4.5999999999999996</v>
      </c>
      <c r="N3" s="111" t="s">
        <v>131</v>
      </c>
      <c r="O3" s="118">
        <f t="shared" si="0"/>
        <v>-661.90476190476193</v>
      </c>
      <c r="P3" s="115">
        <v>42</v>
      </c>
      <c r="Q3" s="99">
        <v>-27800</v>
      </c>
    </row>
    <row r="4" spans="1:17" x14ac:dyDescent="0.4">
      <c r="A4" s="51" t="s">
        <v>6</v>
      </c>
      <c r="B4" s="152">
        <v>-172.20000000000005</v>
      </c>
      <c r="C4" s="153"/>
      <c r="E4" s="59" t="s">
        <v>171</v>
      </c>
      <c r="F4" s="56" t="s">
        <v>172</v>
      </c>
      <c r="G4" s="44">
        <v>38</v>
      </c>
      <c r="H4" s="129">
        <f>IF(B$17=0,0,G4/B$17)</f>
        <v>0.39175257731958762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-732.5</v>
      </c>
      <c r="P4" s="115">
        <v>40</v>
      </c>
      <c r="Q4" s="99">
        <v>-29300</v>
      </c>
    </row>
    <row r="5" spans="1:17" x14ac:dyDescent="0.4">
      <c r="A5" s="51" t="s">
        <v>7</v>
      </c>
      <c r="B5" s="154">
        <f>IF(B$2=0,0,B$4/B$2)</f>
        <v>-4.0046511627906991</v>
      </c>
      <c r="C5" s="155"/>
      <c r="E5" s="59" t="s">
        <v>68</v>
      </c>
      <c r="F5" s="56" t="s">
        <v>12</v>
      </c>
      <c r="G5" s="44">
        <v>29</v>
      </c>
      <c r="H5" s="129">
        <f>IF(B$17=0,0,G5/B$17)</f>
        <v>0.29896907216494845</v>
      </c>
      <c r="I5" s="90">
        <v>6</v>
      </c>
      <c r="K5" s="36">
        <v>3</v>
      </c>
      <c r="L5" s="95">
        <v>-8.3000000000000007</v>
      </c>
      <c r="N5" s="111" t="s">
        <v>133</v>
      </c>
      <c r="O5" s="118">
        <f t="shared" si="0"/>
        <v>-1797.5</v>
      </c>
      <c r="P5" s="115">
        <v>40</v>
      </c>
      <c r="Q5" s="99">
        <v>-71900</v>
      </c>
    </row>
    <row r="6" spans="1:17" x14ac:dyDescent="0.4">
      <c r="A6" s="51" t="s">
        <v>1</v>
      </c>
      <c r="B6" s="144">
        <f>IF(B$2=0,0,(B$7*1+B$8*2+B$9*3)/B$2)</f>
        <v>2.0930232558139537</v>
      </c>
      <c r="C6" s="145"/>
      <c r="E6" s="59" t="s">
        <v>64</v>
      </c>
      <c r="F6" s="56" t="s">
        <v>20</v>
      </c>
      <c r="G6" s="44">
        <v>27</v>
      </c>
      <c r="H6" s="129">
        <f>IF(B$17=0,0,G6/B$17)</f>
        <v>0.27835051546391754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-62.5</v>
      </c>
      <c r="P6" s="115">
        <v>40</v>
      </c>
      <c r="Q6" s="99">
        <v>-2500</v>
      </c>
    </row>
    <row r="7" spans="1:17" x14ac:dyDescent="0.4">
      <c r="A7" s="51" t="s">
        <v>2</v>
      </c>
      <c r="B7" s="44">
        <v>14</v>
      </c>
      <c r="C7" s="37">
        <f t="shared" ref="C7:C12" si="1">IF(B$2=0,0,B7/B$2)</f>
        <v>0.32558139534883723</v>
      </c>
      <c r="E7" s="59" t="s">
        <v>69</v>
      </c>
      <c r="F7" s="56" t="s">
        <v>24</v>
      </c>
      <c r="G7" s="44">
        <v>22</v>
      </c>
      <c r="H7" s="129">
        <f>IF(B$17=0,0,G7/B$17)</f>
        <v>0.22680412371134021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-1811.7647058823529</v>
      </c>
      <c r="P7" s="116">
        <v>34</v>
      </c>
      <c r="Q7" s="100">
        <v>-61600</v>
      </c>
    </row>
    <row r="8" spans="1:17" x14ac:dyDescent="0.4">
      <c r="A8" s="51" t="s">
        <v>3</v>
      </c>
      <c r="B8" s="44">
        <v>11</v>
      </c>
      <c r="C8" s="37">
        <f t="shared" si="1"/>
        <v>0.2558139534883721</v>
      </c>
      <c r="E8" s="59" t="s">
        <v>70</v>
      </c>
      <c r="F8" s="56" t="s">
        <v>25</v>
      </c>
      <c r="G8" s="44">
        <v>17</v>
      </c>
      <c r="H8" s="129">
        <f>IF(B$17=0,0,G8/B$17)</f>
        <v>0.17525773195876287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0.41860465116279072</v>
      </c>
      <c r="E9" s="59" t="s">
        <v>67</v>
      </c>
      <c r="F9" s="56" t="s">
        <v>23</v>
      </c>
      <c r="G9" s="44">
        <v>12</v>
      </c>
      <c r="H9" s="129">
        <f>IF(B$17=0,0,G9/B$17)</f>
        <v>0.12371134020618557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9</v>
      </c>
      <c r="H10" s="129">
        <f>IF(B$17=0,0,G10/B$17)</f>
        <v>9.2783505154639179E-2</v>
      </c>
      <c r="I10" s="90">
        <v>4</v>
      </c>
      <c r="K10" s="36">
        <v>8</v>
      </c>
      <c r="L10" s="95">
        <v>-76.900000000000006</v>
      </c>
      <c r="N10" s="110" t="s">
        <v>162</v>
      </c>
      <c r="O10" s="120">
        <f>IF(P10=0,0,Q10/P10)</f>
        <v>-1.5071428571428567</v>
      </c>
      <c r="P10" s="114">
        <v>14</v>
      </c>
      <c r="Q10" s="102">
        <v>-21.099999999999994</v>
      </c>
    </row>
    <row r="11" spans="1:17" x14ac:dyDescent="0.4">
      <c r="A11" s="52" t="s">
        <v>138</v>
      </c>
      <c r="B11" s="45">
        <v>2</v>
      </c>
      <c r="C11" s="38">
        <f t="shared" si="1"/>
        <v>4.6511627906976744E-2</v>
      </c>
      <c r="E11" s="59" t="s">
        <v>83</v>
      </c>
      <c r="F11" s="56" t="s">
        <v>38</v>
      </c>
      <c r="G11" s="44">
        <v>9</v>
      </c>
      <c r="H11" s="129">
        <f>IF(B$17=0,0,G11/B$17)</f>
        <v>9.2783505154639179E-2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-8.2416666666666654</v>
      </c>
      <c r="P11" s="115">
        <v>12</v>
      </c>
      <c r="Q11" s="103">
        <v>-98.899999999999977</v>
      </c>
    </row>
    <row r="12" spans="1:17" x14ac:dyDescent="0.4">
      <c r="A12" s="53" t="s">
        <v>158</v>
      </c>
      <c r="B12" s="46">
        <v>6</v>
      </c>
      <c r="C12" s="40">
        <f t="shared" si="1"/>
        <v>0.13953488372093023</v>
      </c>
      <c r="E12" s="59" t="s">
        <v>65</v>
      </c>
      <c r="F12" s="56" t="s">
        <v>21</v>
      </c>
      <c r="G12" s="44">
        <v>8</v>
      </c>
      <c r="H12" s="129">
        <f>IF(B$17=0,0,G12/B$17)</f>
        <v>8.247422680412371E-2</v>
      </c>
      <c r="I12" s="90">
        <v>9</v>
      </c>
      <c r="K12" s="36">
        <v>10</v>
      </c>
      <c r="L12" s="95">
        <v>-32.700000000000003</v>
      </c>
      <c r="N12" s="112" t="s">
        <v>164</v>
      </c>
      <c r="O12" s="122">
        <f>IF(P12=0,0,Q12/P12)</f>
        <v>-3.070588235294117</v>
      </c>
      <c r="P12" s="116">
        <v>17</v>
      </c>
      <c r="Q12" s="104">
        <v>-52.199999999999989</v>
      </c>
    </row>
    <row r="13" spans="1:17" x14ac:dyDescent="0.4">
      <c r="A13" s="54" t="s">
        <v>121</v>
      </c>
      <c r="B13" s="47">
        <v>57</v>
      </c>
      <c r="C13" s="42">
        <f>IF(B$3=0,0,B13/B$3)</f>
        <v>0.152</v>
      </c>
      <c r="E13" s="59" t="s">
        <v>89</v>
      </c>
      <c r="F13" s="56" t="s">
        <v>44</v>
      </c>
      <c r="G13" s="44">
        <v>7</v>
      </c>
      <c r="H13" s="129">
        <f>IF(B$17=0,0,G13/B$17)</f>
        <v>7.2164948453608241E-2</v>
      </c>
      <c r="I13" s="90">
        <v>10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85</v>
      </c>
      <c r="C14" s="37">
        <f>IF(B$3=0,0,B14/B$3)</f>
        <v>0.22666666666666666</v>
      </c>
      <c r="E14" s="59" t="s">
        <v>81</v>
      </c>
      <c r="F14" s="56" t="s">
        <v>36</v>
      </c>
      <c r="G14" s="44">
        <v>4</v>
      </c>
      <c r="H14" s="129">
        <f>IF(B$17=0,0,G14/B$17)</f>
        <v>4.1237113402061855E-2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29</v>
      </c>
      <c r="C15" s="35">
        <f>IF(B$13=0,0,B15/B$13)</f>
        <v>0.50877192982456143</v>
      </c>
      <c r="E15" s="59" t="s">
        <v>86</v>
      </c>
      <c r="F15" s="56" t="s">
        <v>41</v>
      </c>
      <c r="G15" s="44">
        <v>3</v>
      </c>
      <c r="H15" s="129">
        <f>IF(B$17=0,0,G15/B$17)</f>
        <v>3.0927835051546393E-2</v>
      </c>
      <c r="I15" s="90">
        <v>8</v>
      </c>
      <c r="K15" s="36">
        <v>13</v>
      </c>
      <c r="L15" s="95">
        <v>-66.2</v>
      </c>
      <c r="N15" s="110" t="s">
        <v>178</v>
      </c>
      <c r="O15" s="120">
        <f>IF(P15=0,0,Q15/P15)</f>
        <v>0.50000000000000067</v>
      </c>
      <c r="P15" s="114">
        <v>15</v>
      </c>
      <c r="Q15" s="102">
        <v>7.5000000000000107</v>
      </c>
    </row>
    <row r="16" spans="1:17" x14ac:dyDescent="0.4">
      <c r="A16" s="50" t="s">
        <v>124</v>
      </c>
      <c r="B16" s="43">
        <v>30</v>
      </c>
      <c r="C16" s="35">
        <f>IF(B$14=0,0,B16/B$14)</f>
        <v>0.35294117647058826</v>
      </c>
      <c r="E16" s="59" t="s">
        <v>91</v>
      </c>
      <c r="F16" s="56" t="s">
        <v>46</v>
      </c>
      <c r="G16" s="44">
        <v>3</v>
      </c>
      <c r="H16" s="129">
        <f>IF(B$17=0,0,G16/B$17)</f>
        <v>3.0927835051546393E-2</v>
      </c>
      <c r="I16" s="90">
        <v>2</v>
      </c>
      <c r="K16" s="36">
        <v>14</v>
      </c>
      <c r="L16" s="95">
        <v>-51.1</v>
      </c>
      <c r="N16" s="111" t="s">
        <v>126</v>
      </c>
      <c r="O16" s="121">
        <f>IF(P16=0,0,Q16/P16)</f>
        <v>-1.8272727272727274</v>
      </c>
      <c r="P16" s="115">
        <v>22</v>
      </c>
      <c r="Q16" s="103">
        <v>-40.200000000000003</v>
      </c>
    </row>
    <row r="17" spans="1:17" x14ac:dyDescent="0.4">
      <c r="A17" s="50" t="s">
        <v>10</v>
      </c>
      <c r="B17" s="43">
        <f>B19+B18</f>
        <v>97</v>
      </c>
      <c r="C17" s="35">
        <f>IF(B$3=0,0,B17/B$3)</f>
        <v>0.25866666666666666</v>
      </c>
      <c r="E17" s="59" t="s">
        <v>88</v>
      </c>
      <c r="F17" s="56" t="s">
        <v>43</v>
      </c>
      <c r="G17" s="44">
        <v>2</v>
      </c>
      <c r="H17" s="129">
        <f>IF(B$17=0,0,G17/B$17)</f>
        <v>2.0618556701030927E-2</v>
      </c>
      <c r="I17" s="90">
        <v>1</v>
      </c>
      <c r="K17" s="36">
        <v>15</v>
      </c>
      <c r="L17" s="95">
        <v>-65.2</v>
      </c>
      <c r="N17" s="111" t="s">
        <v>127</v>
      </c>
      <c r="O17" s="121">
        <f>IF(P17=0,0,Q17/P17)</f>
        <v>-4.1100000000000012</v>
      </c>
      <c r="P17" s="115">
        <v>20</v>
      </c>
      <c r="Q17" s="103">
        <v>-82.200000000000017</v>
      </c>
    </row>
    <row r="18" spans="1:17" x14ac:dyDescent="0.4">
      <c r="A18" s="51" t="s">
        <v>12</v>
      </c>
      <c r="B18" s="44">
        <v>40</v>
      </c>
      <c r="C18" s="37">
        <f>IF(B$17=0,0,B18/B$17)</f>
        <v>0.41237113402061853</v>
      </c>
      <c r="E18" s="59" t="s">
        <v>74</v>
      </c>
      <c r="F18" s="56" t="s">
        <v>29</v>
      </c>
      <c r="G18" s="44">
        <v>1</v>
      </c>
      <c r="H18" s="129">
        <f>IF(B$17=0,0,G18/B$17)</f>
        <v>1.0309278350515464E-2</v>
      </c>
      <c r="I18" s="90">
        <v>2</v>
      </c>
      <c r="K18" s="36">
        <v>16</v>
      </c>
      <c r="L18" s="95">
        <v>-70.600000000000009</v>
      </c>
      <c r="N18" s="111" t="s">
        <v>181</v>
      </c>
      <c r="O18" s="121">
        <f>IF(P18=0,0,Q18/P18)</f>
        <v>-5.04</v>
      </c>
      <c r="P18" s="115">
        <v>5</v>
      </c>
      <c r="Q18" s="103">
        <v>-25.2</v>
      </c>
    </row>
    <row r="19" spans="1:17" x14ac:dyDescent="0.4">
      <c r="A19" s="51" t="s">
        <v>11</v>
      </c>
      <c r="B19" s="44">
        <v>57</v>
      </c>
      <c r="C19" s="37">
        <f>IF(B$17=0,0,B19/B$17)</f>
        <v>0.58762886597938147</v>
      </c>
      <c r="E19" s="59" t="s">
        <v>75</v>
      </c>
      <c r="F19" s="56" t="s">
        <v>30</v>
      </c>
      <c r="G19" s="44">
        <v>1</v>
      </c>
      <c r="H19" s="129">
        <f>IF(B$17=0,0,G19/B$17)</f>
        <v>1.0309278350515464E-2</v>
      </c>
      <c r="I19" s="90">
        <v>3</v>
      </c>
      <c r="K19" s="36">
        <v>17</v>
      </c>
      <c r="L19" s="95">
        <v>-65.2</v>
      </c>
      <c r="N19" s="111" t="s">
        <v>179</v>
      </c>
      <c r="O19" s="121">
        <f>IF(P19=0,0,Q19/P19)</f>
        <v>-7.0692307692307708</v>
      </c>
      <c r="P19" s="115">
        <v>13</v>
      </c>
      <c r="Q19" s="103">
        <v>-91.90000000000002</v>
      </c>
    </row>
    <row r="20" spans="1:17" x14ac:dyDescent="0.4">
      <c r="A20" s="51" t="s">
        <v>13</v>
      </c>
      <c r="B20" s="44">
        <v>53</v>
      </c>
      <c r="C20" s="37">
        <f>IF(B$3=0,0,B20/B$3)</f>
        <v>0.14133333333333334</v>
      </c>
      <c r="E20" s="59" t="s">
        <v>77</v>
      </c>
      <c r="F20" s="56" t="s">
        <v>32</v>
      </c>
      <c r="G20" s="44">
        <v>1</v>
      </c>
      <c r="H20" s="129">
        <f>IF(B$17=0,0,G20/B$17)</f>
        <v>1.0309278350515464E-2</v>
      </c>
      <c r="I20" s="90">
        <v>2</v>
      </c>
      <c r="K20" s="36">
        <v>18</v>
      </c>
      <c r="L20" s="95">
        <v>-80.2</v>
      </c>
      <c r="N20" s="111" t="s">
        <v>177</v>
      </c>
      <c r="O20" s="121">
        <f>IF(P20=0,0,Q20/P20)</f>
        <v>-24.4</v>
      </c>
      <c r="P20" s="115">
        <v>7</v>
      </c>
      <c r="Q20" s="103">
        <v>-170.79999999999998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1.0309278350515464E-2</v>
      </c>
      <c r="I21" s="90">
        <v>1</v>
      </c>
      <c r="K21" s="36">
        <v>19</v>
      </c>
      <c r="L21" s="95">
        <v>-115.1</v>
      </c>
      <c r="N21" s="111" t="s">
        <v>182</v>
      </c>
      <c r="O21" s="121">
        <f>IF(P21=0,0,Q21/P21)</f>
        <v>-28.449999999999996</v>
      </c>
      <c r="P21" s="115">
        <v>4</v>
      </c>
      <c r="Q21" s="103">
        <v>-113.79999999999998</v>
      </c>
    </row>
    <row r="22" spans="1:17" x14ac:dyDescent="0.4">
      <c r="A22" s="51" t="s">
        <v>170</v>
      </c>
      <c r="B22" s="44">
        <v>23</v>
      </c>
      <c r="C22" s="131">
        <v>22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7269.072164948454</v>
      </c>
      <c r="C23" s="39">
        <v>705100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7795.5223880597014</v>
      </c>
      <c r="C24" s="137">
        <v>522300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6093.333333333333</v>
      </c>
      <c r="C25" s="137">
        <v>182800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-6775.4716981132078</v>
      </c>
      <c r="C26" s="137">
        <v>-359100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5.3333333333333332E-3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0D46E-CE13-474F-87E8-579E85EB1E93}">
  <sheetPr codeName="Sheet9"/>
  <dimension ref="A1:Q9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90</v>
      </c>
      <c r="C2" s="149"/>
      <c r="E2" s="58" t="s">
        <v>66</v>
      </c>
      <c r="F2" s="55" t="s">
        <v>22</v>
      </c>
      <c r="G2" s="43">
        <v>155</v>
      </c>
      <c r="H2" s="128">
        <f>IF(B$17=0,0,G2/B$17)</f>
        <v>0.65400843881856541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312.35955056179773</v>
      </c>
      <c r="P2" s="114">
        <v>89</v>
      </c>
      <c r="Q2" s="98">
        <v>27800</v>
      </c>
    </row>
    <row r="3" spans="1:17" x14ac:dyDescent="0.4">
      <c r="A3" s="51" t="s">
        <v>8</v>
      </c>
      <c r="B3" s="150">
        <v>721</v>
      </c>
      <c r="C3" s="151"/>
      <c r="E3" s="59" t="s">
        <v>72</v>
      </c>
      <c r="F3" s="56" t="s">
        <v>27</v>
      </c>
      <c r="G3" s="44">
        <v>118</v>
      </c>
      <c r="H3" s="129">
        <f>IF(B$17=0,0,G3/B$17)</f>
        <v>0.49789029535864981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-225.58139534883722</v>
      </c>
      <c r="P3" s="115">
        <v>86</v>
      </c>
      <c r="Q3" s="99">
        <v>-19400</v>
      </c>
    </row>
    <row r="4" spans="1:17" x14ac:dyDescent="0.4">
      <c r="A4" s="51" t="s">
        <v>6</v>
      </c>
      <c r="B4" s="152">
        <v>486.29999999999984</v>
      </c>
      <c r="C4" s="153"/>
      <c r="E4" s="59" t="s">
        <v>64</v>
      </c>
      <c r="F4" s="56" t="s">
        <v>20</v>
      </c>
      <c r="G4" s="44">
        <v>104</v>
      </c>
      <c r="H4" s="129">
        <f>IF(B$17=0,0,G4/B$17)</f>
        <v>0.43881856540084391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-588.09523809523807</v>
      </c>
      <c r="P4" s="115">
        <v>84</v>
      </c>
      <c r="Q4" s="99">
        <v>-49400</v>
      </c>
    </row>
    <row r="5" spans="1:17" x14ac:dyDescent="0.4">
      <c r="A5" s="51" t="s">
        <v>7</v>
      </c>
      <c r="B5" s="154">
        <f>IF(B$2=0,0,B$4/B$2)</f>
        <v>5.4033333333333315</v>
      </c>
      <c r="C5" s="155"/>
      <c r="E5" s="59" t="s">
        <v>171</v>
      </c>
      <c r="F5" s="56" t="s">
        <v>172</v>
      </c>
      <c r="G5" s="44">
        <v>85</v>
      </c>
      <c r="H5" s="129">
        <f>IF(B$17=0,0,G5/B$17)</f>
        <v>0.35864978902953587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-577.92207792207796</v>
      </c>
      <c r="P5" s="115">
        <v>77</v>
      </c>
      <c r="Q5" s="99">
        <v>-44500</v>
      </c>
    </row>
    <row r="6" spans="1:17" x14ac:dyDescent="0.4">
      <c r="A6" s="51" t="s">
        <v>1</v>
      </c>
      <c r="B6" s="144">
        <f>IF(B$2=0,0,(B$7*1+B$8*2+B$9*3)/B$2)</f>
        <v>1.8111111111111111</v>
      </c>
      <c r="C6" s="145"/>
      <c r="E6" s="59" t="s">
        <v>68</v>
      </c>
      <c r="F6" s="56" t="s">
        <v>12</v>
      </c>
      <c r="G6" s="44">
        <v>70</v>
      </c>
      <c r="H6" s="129">
        <f>IF(B$17=0,0,G6/B$17)</f>
        <v>0.29535864978902954</v>
      </c>
      <c r="I6" s="90">
        <v>7</v>
      </c>
      <c r="K6" s="36">
        <v>4</v>
      </c>
      <c r="L6" s="95">
        <v>101.60000000000001</v>
      </c>
      <c r="N6" s="111" t="s">
        <v>134</v>
      </c>
      <c r="O6" s="118">
        <f t="shared" si="0"/>
        <v>2656.1643835616437</v>
      </c>
      <c r="P6" s="115">
        <v>73</v>
      </c>
      <c r="Q6" s="99">
        <v>193900</v>
      </c>
    </row>
    <row r="7" spans="1:17" x14ac:dyDescent="0.4">
      <c r="A7" s="51" t="s">
        <v>2</v>
      </c>
      <c r="B7" s="44">
        <v>41</v>
      </c>
      <c r="C7" s="37">
        <f t="shared" ref="C7:C12" si="1">IF(B$2=0,0,B7/B$2)</f>
        <v>0.45555555555555555</v>
      </c>
      <c r="E7" s="59" t="s">
        <v>67</v>
      </c>
      <c r="F7" s="56" t="s">
        <v>23</v>
      </c>
      <c r="G7" s="44">
        <v>63</v>
      </c>
      <c r="H7" s="129">
        <f>IF(B$17=0,0,G7/B$17)</f>
        <v>0.26582278481012656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3313.1147540983607</v>
      </c>
      <c r="P7" s="116">
        <v>61</v>
      </c>
      <c r="Q7" s="100">
        <v>202100</v>
      </c>
    </row>
    <row r="8" spans="1:17" x14ac:dyDescent="0.4">
      <c r="A8" s="51" t="s">
        <v>3</v>
      </c>
      <c r="B8" s="44">
        <v>25</v>
      </c>
      <c r="C8" s="37">
        <f t="shared" si="1"/>
        <v>0.27777777777777779</v>
      </c>
      <c r="E8" s="59" t="s">
        <v>89</v>
      </c>
      <c r="F8" s="56" t="s">
        <v>44</v>
      </c>
      <c r="G8" s="44">
        <v>40</v>
      </c>
      <c r="H8" s="129">
        <f>IF(B$17=0,0,G8/B$17)</f>
        <v>0.16877637130801687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0.26666666666666666</v>
      </c>
      <c r="E9" s="59" t="s">
        <v>69</v>
      </c>
      <c r="F9" s="56" t="s">
        <v>24</v>
      </c>
      <c r="G9" s="44">
        <v>37</v>
      </c>
      <c r="H9" s="129">
        <f>IF(B$17=0,0,G9/B$17)</f>
        <v>0.15611814345991562</v>
      </c>
      <c r="I9" s="90">
        <v>4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5.5555555555555552E-2</v>
      </c>
      <c r="E10" s="59" t="s">
        <v>65</v>
      </c>
      <c r="F10" s="56" t="s">
        <v>21</v>
      </c>
      <c r="G10" s="44">
        <v>27</v>
      </c>
      <c r="H10" s="129">
        <f>IF(B$17=0,0,G10/B$17)</f>
        <v>0.11392405063291139</v>
      </c>
      <c r="I10" s="90">
        <v>5</v>
      </c>
      <c r="K10" s="36">
        <v>8</v>
      </c>
      <c r="L10" s="95">
        <v>148.1</v>
      </c>
      <c r="N10" s="110" t="s">
        <v>162</v>
      </c>
      <c r="O10" s="120">
        <f>IF(P10=0,0,Q10/P10)</f>
        <v>8.58</v>
      </c>
      <c r="P10" s="114">
        <v>25</v>
      </c>
      <c r="Q10" s="102">
        <v>214.5</v>
      </c>
    </row>
    <row r="11" spans="1:17" x14ac:dyDescent="0.4">
      <c r="A11" s="52" t="s">
        <v>138</v>
      </c>
      <c r="B11" s="45">
        <v>8</v>
      </c>
      <c r="C11" s="38">
        <f t="shared" si="1"/>
        <v>8.8888888888888892E-2</v>
      </c>
      <c r="E11" s="59" t="s">
        <v>71</v>
      </c>
      <c r="F11" s="56" t="s">
        <v>26</v>
      </c>
      <c r="G11" s="44">
        <v>17</v>
      </c>
      <c r="H11" s="129">
        <f>IF(B$17=0,0,G11/B$17)</f>
        <v>7.1729957805907171E-2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1.929411764705883</v>
      </c>
      <c r="P11" s="115">
        <v>34</v>
      </c>
      <c r="Q11" s="103">
        <v>65.600000000000023</v>
      </c>
    </row>
    <row r="12" spans="1:17" x14ac:dyDescent="0.4">
      <c r="A12" s="53" t="s">
        <v>158</v>
      </c>
      <c r="B12" s="46">
        <v>11</v>
      </c>
      <c r="C12" s="40">
        <f t="shared" si="1"/>
        <v>0.12222222222222222</v>
      </c>
      <c r="E12" s="59" t="s">
        <v>70</v>
      </c>
      <c r="F12" s="56" t="s">
        <v>25</v>
      </c>
      <c r="G12" s="44">
        <v>12</v>
      </c>
      <c r="H12" s="129">
        <f>IF(B$17=0,0,G12/B$17)</f>
        <v>5.0632911392405063E-2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6.6516129032258045</v>
      </c>
      <c r="P12" s="116">
        <v>31</v>
      </c>
      <c r="Q12" s="104">
        <v>206.19999999999993</v>
      </c>
    </row>
    <row r="13" spans="1:17" x14ac:dyDescent="0.4">
      <c r="A13" s="54" t="s">
        <v>121</v>
      </c>
      <c r="B13" s="47">
        <v>191</v>
      </c>
      <c r="C13" s="42">
        <f>IF(B$3=0,0,B13/B$3)</f>
        <v>0.26490984743411927</v>
      </c>
      <c r="E13" s="59" t="s">
        <v>83</v>
      </c>
      <c r="F13" s="56" t="s">
        <v>38</v>
      </c>
      <c r="G13" s="44">
        <v>11</v>
      </c>
      <c r="H13" s="129">
        <f>IF(B$17=0,0,G13/B$17)</f>
        <v>4.6413502109704644E-2</v>
      </c>
      <c r="I13" s="90">
        <v>9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165</v>
      </c>
      <c r="C14" s="37">
        <f>IF(B$3=0,0,B14/B$3)</f>
        <v>0.2288488210818308</v>
      </c>
      <c r="E14" s="59" t="s">
        <v>167</v>
      </c>
      <c r="F14" s="56" t="s">
        <v>168</v>
      </c>
      <c r="G14" s="44">
        <v>11</v>
      </c>
      <c r="H14" s="129">
        <f>IF(B$17=0,0,G14/B$17)</f>
        <v>4.6413502109704644E-2</v>
      </c>
      <c r="I14" s="90">
        <v>2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112</v>
      </c>
      <c r="C15" s="35">
        <f>IF(B$13=0,0,B15/B$13)</f>
        <v>0.58638743455497377</v>
      </c>
      <c r="E15" s="59" t="s">
        <v>86</v>
      </c>
      <c r="F15" s="56" t="s">
        <v>41</v>
      </c>
      <c r="G15" s="44">
        <v>10</v>
      </c>
      <c r="H15" s="129">
        <f>IF(B$17=0,0,G15/B$17)</f>
        <v>4.2194092827004218E-2</v>
      </c>
      <c r="I15" s="90">
        <v>7</v>
      </c>
      <c r="K15" s="36">
        <v>13</v>
      </c>
      <c r="L15" s="95">
        <v>206.39999999999998</v>
      </c>
      <c r="N15" s="110" t="s">
        <v>181</v>
      </c>
      <c r="O15" s="120">
        <f t="shared" ref="O15:O22" si="2">IF(P15=0,0,Q15/P15)</f>
        <v>57.4</v>
      </c>
      <c r="P15" s="114">
        <v>4</v>
      </c>
      <c r="Q15" s="102">
        <v>229.6</v>
      </c>
    </row>
    <row r="16" spans="1:17" x14ac:dyDescent="0.4">
      <c r="A16" s="50" t="s">
        <v>124</v>
      </c>
      <c r="B16" s="43">
        <v>78</v>
      </c>
      <c r="C16" s="35">
        <f>IF(B$14=0,0,B16/B$14)</f>
        <v>0.47272727272727272</v>
      </c>
      <c r="E16" s="59" t="s">
        <v>78</v>
      </c>
      <c r="F16" s="56" t="s">
        <v>33</v>
      </c>
      <c r="G16" s="44">
        <v>9</v>
      </c>
      <c r="H16" s="129">
        <f>IF(B$17=0,0,G16/B$17)</f>
        <v>3.7974683544303799E-2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 t="shared" si="2"/>
        <v>21.422222222222214</v>
      </c>
      <c r="P16" s="115">
        <v>9</v>
      </c>
      <c r="Q16" s="103">
        <v>192.79999999999993</v>
      </c>
    </row>
    <row r="17" spans="1:17" x14ac:dyDescent="0.4">
      <c r="A17" s="50" t="s">
        <v>10</v>
      </c>
      <c r="B17" s="43">
        <f>B19+B18</f>
        <v>237</v>
      </c>
      <c r="C17" s="35">
        <f>IF(B$3=0,0,B17/B$3)</f>
        <v>0.3287101248266297</v>
      </c>
      <c r="E17" s="59" t="s">
        <v>77</v>
      </c>
      <c r="F17" s="56" t="s">
        <v>32</v>
      </c>
      <c r="G17" s="44">
        <v>3</v>
      </c>
      <c r="H17" s="129">
        <f>IF(B$17=0,0,G17/B$17)</f>
        <v>1.2658227848101266E-2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 t="shared" si="2"/>
        <v>15.38974358974359</v>
      </c>
      <c r="P17" s="115">
        <v>39</v>
      </c>
      <c r="Q17" s="103">
        <v>600.20000000000005</v>
      </c>
    </row>
    <row r="18" spans="1:17" x14ac:dyDescent="0.4">
      <c r="A18" s="51" t="s">
        <v>12</v>
      </c>
      <c r="B18" s="44">
        <v>103</v>
      </c>
      <c r="C18" s="37">
        <f>IF(B$17=0,0,B18/B$17)</f>
        <v>0.43459915611814348</v>
      </c>
      <c r="E18" s="59" t="s">
        <v>84</v>
      </c>
      <c r="F18" s="56" t="s">
        <v>39</v>
      </c>
      <c r="G18" s="44">
        <v>3</v>
      </c>
      <c r="H18" s="129">
        <f>IF(B$17=0,0,G18/B$17)</f>
        <v>1.2658227848101266E-2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 t="shared" si="2"/>
        <v>9.9800000000000058</v>
      </c>
      <c r="P18" s="115">
        <v>30</v>
      </c>
      <c r="Q18" s="103">
        <v>299.40000000000015</v>
      </c>
    </row>
    <row r="19" spans="1:17" x14ac:dyDescent="0.4">
      <c r="A19" s="51" t="s">
        <v>11</v>
      </c>
      <c r="B19" s="44">
        <v>134</v>
      </c>
      <c r="C19" s="37">
        <f>IF(B$17=0,0,B19/B$17)</f>
        <v>0.56540084388185652</v>
      </c>
      <c r="E19" s="59" t="s">
        <v>75</v>
      </c>
      <c r="F19" s="56" t="s">
        <v>30</v>
      </c>
      <c r="G19" s="44">
        <v>2</v>
      </c>
      <c r="H19" s="129">
        <f>IF(B$17=0,0,G19/B$17)</f>
        <v>8.4388185654008432E-3</v>
      </c>
      <c r="I19" s="90">
        <v>4</v>
      </c>
      <c r="K19" s="36">
        <v>17</v>
      </c>
      <c r="L19" s="95">
        <v>359.09999999999991</v>
      </c>
      <c r="N19" s="111" t="s">
        <v>127</v>
      </c>
      <c r="O19" s="121">
        <f t="shared" si="2"/>
        <v>7.7327272727272742</v>
      </c>
      <c r="P19" s="115">
        <v>55</v>
      </c>
      <c r="Q19" s="103">
        <v>425.30000000000007</v>
      </c>
    </row>
    <row r="20" spans="1:17" x14ac:dyDescent="0.4">
      <c r="A20" s="51" t="s">
        <v>13</v>
      </c>
      <c r="B20" s="44">
        <v>100</v>
      </c>
      <c r="C20" s="37">
        <f>IF(B$3=0,0,B20/B$3)</f>
        <v>0.13869625520110956</v>
      </c>
      <c r="E20" s="59" t="s">
        <v>88</v>
      </c>
      <c r="F20" s="56" t="s">
        <v>43</v>
      </c>
      <c r="G20" s="44">
        <v>2</v>
      </c>
      <c r="H20" s="129">
        <f>IF(B$17=0,0,G20/B$17)</f>
        <v>8.4388185654008432E-3</v>
      </c>
      <c r="I20" s="90">
        <v>2</v>
      </c>
      <c r="K20" s="36">
        <v>18</v>
      </c>
      <c r="L20" s="95">
        <v>352.39999999999992</v>
      </c>
      <c r="N20" s="111" t="s">
        <v>166</v>
      </c>
      <c r="O20" s="121">
        <f t="shared" si="2"/>
        <v>1.827272727272726</v>
      </c>
      <c r="P20" s="115">
        <v>22</v>
      </c>
      <c r="Q20" s="103">
        <v>40.199999999999974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92</v>
      </c>
      <c r="F21" s="56" t="s">
        <v>47</v>
      </c>
      <c r="G21" s="44">
        <v>2</v>
      </c>
      <c r="H21" s="129">
        <f>IF(B$17=0,0,G21/B$17)</f>
        <v>8.4388185654008432E-3</v>
      </c>
      <c r="I21" s="90">
        <v>2</v>
      </c>
      <c r="K21" s="36">
        <v>19</v>
      </c>
      <c r="L21" s="95">
        <v>383.19999999999993</v>
      </c>
      <c r="N21" s="111" t="s">
        <v>177</v>
      </c>
      <c r="O21" s="121">
        <f t="shared" si="2"/>
        <v>-12.905000000000001</v>
      </c>
      <c r="P21" s="115">
        <v>20</v>
      </c>
      <c r="Q21" s="103">
        <v>-258.10000000000002</v>
      </c>
    </row>
    <row r="22" spans="1:17" x14ac:dyDescent="0.4">
      <c r="A22" s="51" t="s">
        <v>170</v>
      </c>
      <c r="B22" s="44">
        <v>31</v>
      </c>
      <c r="C22" s="131">
        <v>0</v>
      </c>
      <c r="E22" s="59" t="s">
        <v>74</v>
      </c>
      <c r="F22" s="56" t="s">
        <v>29</v>
      </c>
      <c r="G22" s="44">
        <v>1</v>
      </c>
      <c r="H22" s="129">
        <f>IF(B$17=0,0,G22/B$17)</f>
        <v>4.2194092827004216E-3</v>
      </c>
      <c r="I22" s="90">
        <v>5</v>
      </c>
      <c r="K22" s="36">
        <v>20</v>
      </c>
      <c r="L22" s="95">
        <v>365.49999999999994</v>
      </c>
      <c r="N22" s="111" t="s">
        <v>222</v>
      </c>
      <c r="O22" s="121">
        <f t="shared" si="2"/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7735.4430379746836</v>
      </c>
      <c r="C23" s="39">
        <v>1833300</v>
      </c>
      <c r="E23" s="59" t="s">
        <v>79</v>
      </c>
      <c r="F23" s="56" t="s">
        <v>34</v>
      </c>
      <c r="G23" s="44">
        <v>1</v>
      </c>
      <c r="H23" s="129">
        <f>IF(B$17=0,0,G23/B$17)</f>
        <v>4.2194092827004216E-3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7696.8553459119494</v>
      </c>
      <c r="C24" s="137">
        <v>1223800</v>
      </c>
      <c r="E24" s="59" t="s">
        <v>81</v>
      </c>
      <c r="F24" s="56" t="s">
        <v>36</v>
      </c>
      <c r="G24" s="44">
        <v>1</v>
      </c>
      <c r="H24" s="129">
        <f>IF(B$17=0,0,G24/B$17)</f>
        <v>4.2194092827004216E-3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7814.1025641025644</v>
      </c>
      <c r="C25" s="137">
        <v>609500</v>
      </c>
      <c r="E25" s="59" t="s">
        <v>85</v>
      </c>
      <c r="F25" s="56" t="s">
        <v>40</v>
      </c>
      <c r="G25" s="44">
        <v>1</v>
      </c>
      <c r="H25" s="129">
        <f>IF(B$17=0,0,G25/B$17)</f>
        <v>4.2194092827004216E-3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-7715</v>
      </c>
      <c r="C26" s="137">
        <v>-771500</v>
      </c>
      <c r="E26" s="59" t="s">
        <v>90</v>
      </c>
      <c r="F26" s="56" t="s">
        <v>45</v>
      </c>
      <c r="G26" s="44">
        <v>1</v>
      </c>
      <c r="H26" s="129">
        <f>IF(B$17=0,0,G26/B$17)</f>
        <v>4.2194092827004216E-3</v>
      </c>
      <c r="I26" s="90">
        <v>2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91</v>
      </c>
      <c r="F27" s="56" t="s">
        <v>46</v>
      </c>
      <c r="G27" s="44">
        <v>1</v>
      </c>
      <c r="H27" s="129">
        <f>IF(B$17=0,0,G27/B$17)</f>
        <v>4.2194092827004216E-3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4.2194092827004216E-3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1.3869625520110957E-3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</sheetData>
  <sortState xmlns:xlrd2="http://schemas.microsoft.com/office/spreadsheetml/2017/richdata2" ref="E2:I9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9791E-5538-4BDC-9805-B80966CB0C79}">
  <sheetPr codeName="Sheet11"/>
  <dimension ref="A1:Q8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83</v>
      </c>
      <c r="C2" s="149"/>
      <c r="E2" s="58" t="s">
        <v>66</v>
      </c>
      <c r="F2" s="55" t="s">
        <v>22</v>
      </c>
      <c r="G2" s="43">
        <v>203</v>
      </c>
      <c r="H2" s="128">
        <f>IF(B$17=0,0,G2/B$17)</f>
        <v>0.9144144144144144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-1897.560975609756</v>
      </c>
      <c r="P2" s="114">
        <v>82</v>
      </c>
      <c r="Q2" s="98">
        <v>-155600</v>
      </c>
    </row>
    <row r="3" spans="1:17" x14ac:dyDescent="0.4">
      <c r="A3" s="51" t="s">
        <v>8</v>
      </c>
      <c r="B3" s="150">
        <v>707</v>
      </c>
      <c r="C3" s="151"/>
      <c r="E3" s="59" t="s">
        <v>72</v>
      </c>
      <c r="F3" s="56" t="s">
        <v>27</v>
      </c>
      <c r="G3" s="44">
        <v>119</v>
      </c>
      <c r="H3" s="129">
        <f>IF(B$17=0,0,G3/B$17)</f>
        <v>0.536036036036036</v>
      </c>
      <c r="I3" s="90">
        <v>6</v>
      </c>
      <c r="K3" s="36">
        <v>1</v>
      </c>
      <c r="L3" s="95">
        <v>-45.6</v>
      </c>
      <c r="N3" s="111" t="s">
        <v>131</v>
      </c>
      <c r="O3" s="118">
        <f t="shared" si="0"/>
        <v>1463.75</v>
      </c>
      <c r="P3" s="115">
        <v>80</v>
      </c>
      <c r="Q3" s="99">
        <v>117100</v>
      </c>
    </row>
    <row r="4" spans="1:17" x14ac:dyDescent="0.4">
      <c r="A4" s="51" t="s">
        <v>6</v>
      </c>
      <c r="B4" s="152">
        <v>328.7999999999999</v>
      </c>
      <c r="C4" s="153"/>
      <c r="E4" s="59" t="s">
        <v>171</v>
      </c>
      <c r="F4" s="56" t="s">
        <v>172</v>
      </c>
      <c r="G4" s="44">
        <v>96</v>
      </c>
      <c r="H4" s="129">
        <f>IF(B$17=0,0,G4/B$17)</f>
        <v>0.43243243243243246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640.78947368421052</v>
      </c>
      <c r="P4" s="115">
        <v>76</v>
      </c>
      <c r="Q4" s="99">
        <v>48700</v>
      </c>
    </row>
    <row r="5" spans="1:17" x14ac:dyDescent="0.4">
      <c r="A5" s="51" t="s">
        <v>7</v>
      </c>
      <c r="B5" s="154">
        <f>IF(B$2=0,0,B$4/B$2)</f>
        <v>3.9614457831325289</v>
      </c>
      <c r="C5" s="155"/>
      <c r="E5" s="59" t="s">
        <v>64</v>
      </c>
      <c r="F5" s="56" t="s">
        <v>20</v>
      </c>
      <c r="G5" s="44">
        <v>90</v>
      </c>
      <c r="H5" s="129">
        <f>IF(B$17=0,0,G5/B$17)</f>
        <v>0.40540540540540543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2302.7777777777778</v>
      </c>
      <c r="P5" s="115">
        <v>72</v>
      </c>
      <c r="Q5" s="99">
        <v>165800</v>
      </c>
    </row>
    <row r="6" spans="1:17" x14ac:dyDescent="0.4">
      <c r="A6" s="51" t="s">
        <v>1</v>
      </c>
      <c r="B6" s="144">
        <f>IF(B$2=0,0,(B$7*1+B$8*2+B$9*3)/B$2)</f>
        <v>1.8915662650602409</v>
      </c>
      <c r="C6" s="145"/>
      <c r="E6" s="59" t="s">
        <v>68</v>
      </c>
      <c r="F6" s="56" t="s">
        <v>12</v>
      </c>
      <c r="G6" s="44">
        <v>62</v>
      </c>
      <c r="H6" s="129">
        <f>IF(B$17=0,0,G6/B$17)</f>
        <v>0.27927927927927926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-35.294117647058826</v>
      </c>
      <c r="P6" s="115">
        <v>68</v>
      </c>
      <c r="Q6" s="99">
        <v>-2400</v>
      </c>
    </row>
    <row r="7" spans="1:17" x14ac:dyDescent="0.4">
      <c r="A7" s="51" t="s">
        <v>2</v>
      </c>
      <c r="B7" s="44">
        <v>33</v>
      </c>
      <c r="C7" s="37">
        <f t="shared" ref="C7:C12" si="1">IF(B$2=0,0,B7/B$2)</f>
        <v>0.39759036144578314</v>
      </c>
      <c r="E7" s="59" t="s">
        <v>67</v>
      </c>
      <c r="F7" s="56" t="s">
        <v>23</v>
      </c>
      <c r="G7" s="44">
        <v>52</v>
      </c>
      <c r="H7" s="129">
        <f>IF(B$17=0,0,G7/B$17)</f>
        <v>0.23423423423423423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1667.2413793103449</v>
      </c>
      <c r="P7" s="116">
        <v>58</v>
      </c>
      <c r="Q7" s="100">
        <v>96700</v>
      </c>
    </row>
    <row r="8" spans="1:17" x14ac:dyDescent="0.4">
      <c r="A8" s="51" t="s">
        <v>3</v>
      </c>
      <c r="B8" s="44">
        <v>26</v>
      </c>
      <c r="C8" s="37">
        <f t="shared" si="1"/>
        <v>0.31325301204819278</v>
      </c>
      <c r="E8" s="59" t="s">
        <v>69</v>
      </c>
      <c r="F8" s="56" t="s">
        <v>24</v>
      </c>
      <c r="G8" s="44">
        <v>28</v>
      </c>
      <c r="H8" s="129">
        <f>IF(B$17=0,0,G8/B$17)</f>
        <v>0.12612612612612611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0.28915662650602408</v>
      </c>
      <c r="E9" s="59" t="s">
        <v>89</v>
      </c>
      <c r="F9" s="56" t="s">
        <v>44</v>
      </c>
      <c r="G9" s="44">
        <v>26</v>
      </c>
      <c r="H9" s="129">
        <f>IF(B$17=0,0,G9/B$17)</f>
        <v>0.11711711711711711</v>
      </c>
      <c r="I9" s="90">
        <v>7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11</v>
      </c>
      <c r="C10" s="38">
        <f t="shared" si="1"/>
        <v>0.13253012048192772</v>
      </c>
      <c r="E10" s="59" t="s">
        <v>65</v>
      </c>
      <c r="F10" s="56" t="s">
        <v>21</v>
      </c>
      <c r="G10" s="44">
        <v>21</v>
      </c>
      <c r="H10" s="129">
        <f>IF(B$17=0,0,G10/B$17)</f>
        <v>9.45945945945946E-2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6.4800000000000013</v>
      </c>
      <c r="P10" s="114">
        <v>20</v>
      </c>
      <c r="Q10" s="102">
        <v>129.60000000000002</v>
      </c>
    </row>
    <row r="11" spans="1:17" x14ac:dyDescent="0.4">
      <c r="A11" s="52" t="s">
        <v>138</v>
      </c>
      <c r="B11" s="45">
        <v>8</v>
      </c>
      <c r="C11" s="38">
        <f t="shared" si="1"/>
        <v>9.6385542168674704E-2</v>
      </c>
      <c r="E11" s="59" t="s">
        <v>71</v>
      </c>
      <c r="F11" s="56" t="s">
        <v>26</v>
      </c>
      <c r="G11" s="44">
        <v>20</v>
      </c>
      <c r="H11" s="129">
        <f>IF(B$17=0,0,G11/B$17)</f>
        <v>9.0090090090090086E-2</v>
      </c>
      <c r="I11" s="90">
        <v>5</v>
      </c>
      <c r="K11" s="36">
        <v>9</v>
      </c>
      <c r="L11" s="95">
        <v>-83.699999999999989</v>
      </c>
      <c r="N11" s="111" t="s">
        <v>163</v>
      </c>
      <c r="O11" s="121">
        <f>IF(P11=0,0,Q11/P11)</f>
        <v>5.541666666666667</v>
      </c>
      <c r="P11" s="115">
        <v>24</v>
      </c>
      <c r="Q11" s="103">
        <v>133</v>
      </c>
    </row>
    <row r="12" spans="1:17" x14ac:dyDescent="0.4">
      <c r="A12" s="53" t="s">
        <v>158</v>
      </c>
      <c r="B12" s="46">
        <v>17</v>
      </c>
      <c r="C12" s="40">
        <f t="shared" si="1"/>
        <v>0.20481927710843373</v>
      </c>
      <c r="E12" s="59" t="s">
        <v>70</v>
      </c>
      <c r="F12" s="56" t="s">
        <v>25</v>
      </c>
      <c r="G12" s="44">
        <v>18</v>
      </c>
      <c r="H12" s="129">
        <f>IF(B$17=0,0,G12/B$17)</f>
        <v>8.1081081081081086E-2</v>
      </c>
      <c r="I12" s="90">
        <v>7</v>
      </c>
      <c r="K12" s="36">
        <v>10</v>
      </c>
      <c r="L12" s="95">
        <v>-78.399999999999991</v>
      </c>
      <c r="N12" s="112" t="s">
        <v>164</v>
      </c>
      <c r="O12" s="122">
        <f>IF(P12=0,0,Q12/P12)</f>
        <v>1.6974358974358965</v>
      </c>
      <c r="P12" s="116">
        <v>39</v>
      </c>
      <c r="Q12" s="104">
        <v>66.19999999999996</v>
      </c>
    </row>
    <row r="13" spans="1:17" x14ac:dyDescent="0.4">
      <c r="A13" s="54" t="s">
        <v>121</v>
      </c>
      <c r="B13" s="47">
        <v>162</v>
      </c>
      <c r="C13" s="42">
        <f>IF(B$3=0,0,B13/B$3)</f>
        <v>0.22913719943422914</v>
      </c>
      <c r="E13" s="59" t="s">
        <v>86</v>
      </c>
      <c r="F13" s="56" t="s">
        <v>41</v>
      </c>
      <c r="G13" s="44">
        <v>16</v>
      </c>
      <c r="H13" s="129">
        <f>IF(B$17=0,0,G13/B$17)</f>
        <v>7.2072072072072071E-2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215</v>
      </c>
      <c r="C14" s="37">
        <f>IF(B$3=0,0,B14/B$3)</f>
        <v>0.30410183875530411</v>
      </c>
      <c r="E14" s="59" t="s">
        <v>83</v>
      </c>
      <c r="F14" s="56" t="s">
        <v>38</v>
      </c>
      <c r="G14" s="44">
        <v>11</v>
      </c>
      <c r="H14" s="129">
        <f>IF(B$17=0,0,G14/B$17)</f>
        <v>4.954954954954955E-2</v>
      </c>
      <c r="I14" s="90">
        <v>7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87</v>
      </c>
      <c r="C15" s="35">
        <f>IF(B$13=0,0,B15/B$13)</f>
        <v>0.53703703703703709</v>
      </c>
      <c r="E15" s="59" t="s">
        <v>91</v>
      </c>
      <c r="F15" s="56" t="s">
        <v>46</v>
      </c>
      <c r="G15" s="44">
        <v>8</v>
      </c>
      <c r="H15" s="129">
        <f>IF(B$17=0,0,G15/B$17)</f>
        <v>3.6036036036036036E-2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 t="shared" ref="O15:O22" si="2"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81</v>
      </c>
      <c r="C16" s="35">
        <f>IF(B$14=0,0,B16/B$14)</f>
        <v>0.37674418604651161</v>
      </c>
      <c r="E16" s="59" t="s">
        <v>78</v>
      </c>
      <c r="F16" s="56" t="s">
        <v>33</v>
      </c>
      <c r="G16" s="44">
        <v>7</v>
      </c>
      <c r="H16" s="129">
        <f>IF(B$17=0,0,G16/B$17)</f>
        <v>3.1531531531531529E-2</v>
      </c>
      <c r="I16" s="90">
        <v>3</v>
      </c>
      <c r="K16" s="36">
        <v>14</v>
      </c>
      <c r="L16" s="95">
        <v>-138.4</v>
      </c>
      <c r="N16" s="111" t="s">
        <v>182</v>
      </c>
      <c r="O16" s="121">
        <f t="shared" si="2"/>
        <v>37.040000000000006</v>
      </c>
      <c r="P16" s="115">
        <v>10</v>
      </c>
      <c r="Q16" s="103">
        <v>370.40000000000003</v>
      </c>
    </row>
    <row r="17" spans="1:17" x14ac:dyDescent="0.4">
      <c r="A17" s="50" t="s">
        <v>10</v>
      </c>
      <c r="B17" s="43">
        <f>B19+B18</f>
        <v>222</v>
      </c>
      <c r="C17" s="35">
        <f>IF(B$3=0,0,B17/B$3)</f>
        <v>0.31400282885431402</v>
      </c>
      <c r="E17" s="59" t="s">
        <v>79</v>
      </c>
      <c r="F17" s="56" t="s">
        <v>34</v>
      </c>
      <c r="G17" s="44">
        <v>5</v>
      </c>
      <c r="H17" s="129">
        <f>IF(B$17=0,0,G17/B$17)</f>
        <v>2.2522522522522521E-2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 t="shared" si="2"/>
        <v>19.850000000000001</v>
      </c>
      <c r="P17" s="115">
        <v>2</v>
      </c>
      <c r="Q17" s="103">
        <v>39.700000000000003</v>
      </c>
    </row>
    <row r="18" spans="1:17" x14ac:dyDescent="0.4">
      <c r="A18" s="51" t="s">
        <v>12</v>
      </c>
      <c r="B18" s="44">
        <v>87</v>
      </c>
      <c r="C18" s="37">
        <f>IF(B$17=0,0,B18/B$17)</f>
        <v>0.39189189189189189</v>
      </c>
      <c r="E18" s="59" t="s">
        <v>81</v>
      </c>
      <c r="F18" s="56" t="s">
        <v>36</v>
      </c>
      <c r="G18" s="44">
        <v>5</v>
      </c>
      <c r="H18" s="129">
        <f>IF(B$17=0,0,G18/B$17)</f>
        <v>2.2522522522522521E-2</v>
      </c>
      <c r="I18" s="90">
        <v>4</v>
      </c>
      <c r="K18" s="36">
        <v>16</v>
      </c>
      <c r="L18" s="95">
        <v>-187.3</v>
      </c>
      <c r="N18" s="111" t="s">
        <v>177</v>
      </c>
      <c r="O18" s="121">
        <f t="shared" si="2"/>
        <v>12.182608695652181</v>
      </c>
      <c r="P18" s="115">
        <v>23</v>
      </c>
      <c r="Q18" s="103">
        <v>280.20000000000016</v>
      </c>
    </row>
    <row r="19" spans="1:17" x14ac:dyDescent="0.4">
      <c r="A19" s="51" t="s">
        <v>11</v>
      </c>
      <c r="B19" s="44">
        <v>135</v>
      </c>
      <c r="C19" s="37">
        <f>IF(B$17=0,0,B19/B$17)</f>
        <v>0.60810810810810811</v>
      </c>
      <c r="E19" s="59" t="s">
        <v>74</v>
      </c>
      <c r="F19" s="56" t="s">
        <v>29</v>
      </c>
      <c r="G19" s="44">
        <v>2</v>
      </c>
      <c r="H19" s="129">
        <f>IF(B$17=0,0,G19/B$17)</f>
        <v>9.0090090090090089E-3</v>
      </c>
      <c r="I19" s="90">
        <v>3</v>
      </c>
      <c r="K19" s="36">
        <v>17</v>
      </c>
      <c r="L19" s="95">
        <v>-179.70000000000002</v>
      </c>
      <c r="N19" s="111" t="s">
        <v>179</v>
      </c>
      <c r="O19" s="121">
        <f t="shared" si="2"/>
        <v>10.948148148148144</v>
      </c>
      <c r="P19" s="115">
        <v>27</v>
      </c>
      <c r="Q19" s="103">
        <v>295.59999999999991</v>
      </c>
    </row>
    <row r="20" spans="1:17" x14ac:dyDescent="0.4">
      <c r="A20" s="51" t="s">
        <v>13</v>
      </c>
      <c r="B20" s="44">
        <v>138</v>
      </c>
      <c r="C20" s="37">
        <f>IF(B$3=0,0,B20/B$3)</f>
        <v>0.19519094766619519</v>
      </c>
      <c r="E20" s="59" t="s">
        <v>84</v>
      </c>
      <c r="F20" s="56" t="s">
        <v>39</v>
      </c>
      <c r="G20" s="44">
        <v>1</v>
      </c>
      <c r="H20" s="129">
        <f>IF(B$17=0,0,G20/B$17)</f>
        <v>4.5045045045045045E-3</v>
      </c>
      <c r="I20" s="90">
        <v>2</v>
      </c>
      <c r="K20" s="36">
        <v>18</v>
      </c>
      <c r="L20" s="95">
        <v>-112.90000000000002</v>
      </c>
      <c r="N20" s="111" t="s">
        <v>178</v>
      </c>
      <c r="O20" s="121">
        <f t="shared" si="2"/>
        <v>7.1481481481481532</v>
      </c>
      <c r="P20" s="115">
        <v>27</v>
      </c>
      <c r="Q20" s="103">
        <v>193.00000000000014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1</v>
      </c>
      <c r="H21" s="129">
        <f>IF(B$17=0,0,G21/B$17)</f>
        <v>4.5045045045045045E-3</v>
      </c>
      <c r="I21" s="90">
        <v>4</v>
      </c>
      <c r="K21" s="36">
        <v>19</v>
      </c>
      <c r="L21" s="95">
        <v>-162.40000000000003</v>
      </c>
      <c r="N21" s="111" t="s">
        <v>166</v>
      </c>
      <c r="O21" s="121">
        <f t="shared" si="2"/>
        <v>4.1099999999999977</v>
      </c>
      <c r="P21" s="115">
        <v>20</v>
      </c>
      <c r="Q21" s="103">
        <v>82.19999999999996</v>
      </c>
    </row>
    <row r="22" spans="1:17" x14ac:dyDescent="0.4">
      <c r="A22" s="51" t="s">
        <v>170</v>
      </c>
      <c r="B22" s="44">
        <v>23</v>
      </c>
      <c r="C22" s="131">
        <v>3</v>
      </c>
      <c r="E22" s="59" t="s">
        <v>95</v>
      </c>
      <c r="F22" s="56" t="s">
        <v>50</v>
      </c>
      <c r="G22" s="44">
        <v>1</v>
      </c>
      <c r="H22" s="129">
        <f>IF(B$17=0,0,G22/B$17)</f>
        <v>4.5045045045045045E-3</v>
      </c>
      <c r="I22" s="90">
        <v>2</v>
      </c>
      <c r="K22" s="36">
        <v>20</v>
      </c>
      <c r="L22" s="95">
        <v>-96.000000000000028</v>
      </c>
      <c r="N22" s="111" t="s">
        <v>126</v>
      </c>
      <c r="O22" s="121">
        <f t="shared" si="2"/>
        <v>-7.7327272727272733</v>
      </c>
      <c r="P22" s="115">
        <v>55</v>
      </c>
      <c r="Q22" s="103">
        <v>-425.3</v>
      </c>
    </row>
    <row r="23" spans="1:17" x14ac:dyDescent="0.4">
      <c r="A23" s="51" t="s">
        <v>5</v>
      </c>
      <c r="B23" s="48">
        <f>IF(B$17=0,0,C23/B$17)</f>
        <v>8703.6036036036039</v>
      </c>
      <c r="C23" s="39">
        <v>1932200</v>
      </c>
      <c r="E23" s="59" t="s">
        <v>167</v>
      </c>
      <c r="F23" s="56" t="s">
        <v>168</v>
      </c>
      <c r="G23" s="44">
        <v>1</v>
      </c>
      <c r="H23" s="129">
        <f>IF(B$17=0,0,G23/B$17)</f>
        <v>4.5045045045045045E-3</v>
      </c>
      <c r="I23" s="90">
        <v>7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9032.6241134751781</v>
      </c>
      <c r="C24" s="137">
        <v>1273600</v>
      </c>
      <c r="E24" s="59" t="s">
        <v>73</v>
      </c>
      <c r="F24" s="56" t="s">
        <v>28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8130.8641975308637</v>
      </c>
      <c r="C25" s="137">
        <v>658600</v>
      </c>
      <c r="E25" s="59" t="s">
        <v>75</v>
      </c>
      <c r="F25" s="56" t="s">
        <v>30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-7707.246376811594</v>
      </c>
      <c r="C26" s="137">
        <v>-1063600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4.2432814710042432E-3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</sheetData>
  <sortState xmlns:xlrd2="http://schemas.microsoft.com/office/spreadsheetml/2017/richdata2" ref="E2:I86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5294D-DFF5-4D8E-8F39-E15FF577616C}">
  <sheetPr codeName="Sheet13"/>
  <dimension ref="A1:Q5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57</v>
      </c>
      <c r="C2" s="149"/>
      <c r="E2" s="58" t="s">
        <v>66</v>
      </c>
      <c r="F2" s="55" t="s">
        <v>22</v>
      </c>
      <c r="G2" s="43">
        <v>101</v>
      </c>
      <c r="H2" s="128">
        <f>IF(B$17=0,0,G2/B$17)</f>
        <v>0.74264705882352944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-512.5</v>
      </c>
      <c r="P2" s="114">
        <v>56</v>
      </c>
      <c r="Q2" s="98">
        <v>-28700</v>
      </c>
    </row>
    <row r="3" spans="1:17" x14ac:dyDescent="0.4">
      <c r="A3" s="51" t="s">
        <v>8</v>
      </c>
      <c r="B3" s="150">
        <v>480</v>
      </c>
      <c r="C3" s="151"/>
      <c r="E3" s="59" t="s">
        <v>64</v>
      </c>
      <c r="F3" s="56" t="s">
        <v>20</v>
      </c>
      <c r="G3" s="44">
        <v>81</v>
      </c>
      <c r="H3" s="129">
        <f>IF(B$17=0,0,G3/B$17)</f>
        <v>0.59558823529411764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-382.14285714285717</v>
      </c>
      <c r="P3" s="115">
        <v>56</v>
      </c>
      <c r="Q3" s="99">
        <v>-21400</v>
      </c>
    </row>
    <row r="4" spans="1:17" x14ac:dyDescent="0.4">
      <c r="A4" s="51" t="s">
        <v>6</v>
      </c>
      <c r="B4" s="152">
        <v>-376.49999999999994</v>
      </c>
      <c r="C4" s="153"/>
      <c r="E4" s="59" t="s">
        <v>72</v>
      </c>
      <c r="F4" s="56" t="s">
        <v>27</v>
      </c>
      <c r="G4" s="44">
        <v>69</v>
      </c>
      <c r="H4" s="129">
        <f>IF(B$17=0,0,G4/B$17)</f>
        <v>0.50735294117647056</v>
      </c>
      <c r="I4" s="90">
        <v>7</v>
      </c>
      <c r="K4" s="36">
        <v>2</v>
      </c>
      <c r="L4" s="95">
        <v>-30.099999999999998</v>
      </c>
      <c r="N4" s="111" t="s">
        <v>132</v>
      </c>
      <c r="O4" s="118">
        <f t="shared" si="0"/>
        <v>1120.7547169811321</v>
      </c>
      <c r="P4" s="115">
        <v>53</v>
      </c>
      <c r="Q4" s="99">
        <v>59400</v>
      </c>
    </row>
    <row r="5" spans="1:17" x14ac:dyDescent="0.4">
      <c r="A5" s="51" t="s">
        <v>7</v>
      </c>
      <c r="B5" s="154">
        <f>IF(B$2=0,0,B$4/B$2)</f>
        <v>-6.6052631578947363</v>
      </c>
      <c r="C5" s="155"/>
      <c r="E5" s="59" t="s">
        <v>171</v>
      </c>
      <c r="F5" s="56" t="s">
        <v>172</v>
      </c>
      <c r="G5" s="44">
        <v>54</v>
      </c>
      <c r="H5" s="129">
        <f>IF(B$17=0,0,G5/B$17)</f>
        <v>0.39705882352941174</v>
      </c>
      <c r="I5" s="90">
        <v>3</v>
      </c>
      <c r="K5" s="36">
        <v>3</v>
      </c>
      <c r="L5" s="95">
        <v>-17.599999999999998</v>
      </c>
      <c r="N5" s="111" t="s">
        <v>133</v>
      </c>
      <c r="O5" s="118">
        <f t="shared" si="0"/>
        <v>-1419.2307692307693</v>
      </c>
      <c r="P5" s="115">
        <v>52</v>
      </c>
      <c r="Q5" s="99">
        <v>-73800</v>
      </c>
    </row>
    <row r="6" spans="1:17" x14ac:dyDescent="0.4">
      <c r="A6" s="51" t="s">
        <v>1</v>
      </c>
      <c r="B6" s="144">
        <f>IF(B$2=0,0,(B$7*1+B$8*2+B$9*3)/B$2)</f>
        <v>2.1754385964912282</v>
      </c>
      <c r="C6" s="145"/>
      <c r="E6" s="59" t="s">
        <v>68</v>
      </c>
      <c r="F6" s="56" t="s">
        <v>12</v>
      </c>
      <c r="G6" s="44">
        <v>49</v>
      </c>
      <c r="H6" s="129">
        <f>IF(B$17=0,0,G6/B$17)</f>
        <v>0.36029411764705882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-3500</v>
      </c>
      <c r="P6" s="115">
        <v>50</v>
      </c>
      <c r="Q6" s="99">
        <v>-175000</v>
      </c>
    </row>
    <row r="7" spans="1:17" x14ac:dyDescent="0.4">
      <c r="A7" s="51" t="s">
        <v>2</v>
      </c>
      <c r="B7" s="44">
        <v>12</v>
      </c>
      <c r="C7" s="37">
        <f t="shared" ref="C7:C12" si="1">IF(B$2=0,0,B7/B$2)</f>
        <v>0.21052631578947367</v>
      </c>
      <c r="E7" s="59" t="s">
        <v>67</v>
      </c>
      <c r="F7" s="56" t="s">
        <v>23</v>
      </c>
      <c r="G7" s="44">
        <v>45</v>
      </c>
      <c r="H7" s="129">
        <f>IF(B$17=0,0,G7/B$17)</f>
        <v>0.33088235294117646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-1368.1818181818182</v>
      </c>
      <c r="P7" s="116">
        <v>44</v>
      </c>
      <c r="Q7" s="100">
        <v>-60200</v>
      </c>
    </row>
    <row r="8" spans="1:17" x14ac:dyDescent="0.4">
      <c r="A8" s="51" t="s">
        <v>3</v>
      </c>
      <c r="B8" s="44">
        <v>23</v>
      </c>
      <c r="C8" s="37">
        <f t="shared" si="1"/>
        <v>0.40350877192982454</v>
      </c>
      <c r="E8" s="59" t="s">
        <v>70</v>
      </c>
      <c r="F8" s="56" t="s">
        <v>25</v>
      </c>
      <c r="G8" s="44">
        <v>22</v>
      </c>
      <c r="H8" s="129">
        <f>IF(B$17=0,0,G8/B$17)</f>
        <v>0.16176470588235295</v>
      </c>
      <c r="I8" s="90">
        <v>2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22</v>
      </c>
      <c r="C9" s="38">
        <f t="shared" si="1"/>
        <v>0.38596491228070173</v>
      </c>
      <c r="E9" s="59" t="s">
        <v>69</v>
      </c>
      <c r="F9" s="56" t="s">
        <v>24</v>
      </c>
      <c r="G9" s="44">
        <v>20</v>
      </c>
      <c r="H9" s="129">
        <f>IF(B$17=0,0,G9/B$17)</f>
        <v>0.14705882352941177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7.0175438596491224E-2</v>
      </c>
      <c r="E10" s="59" t="s">
        <v>65</v>
      </c>
      <c r="F10" s="56" t="s">
        <v>21</v>
      </c>
      <c r="G10" s="44">
        <v>14</v>
      </c>
      <c r="H10" s="129">
        <f>IF(B$17=0,0,G10/B$17)</f>
        <v>0.10294117647058823</v>
      </c>
      <c r="I10" s="90">
        <v>6</v>
      </c>
      <c r="K10" s="36">
        <v>8</v>
      </c>
      <c r="L10" s="95">
        <v>-62.999999999999993</v>
      </c>
      <c r="N10" s="110" t="s">
        <v>162</v>
      </c>
      <c r="O10" s="120">
        <f>IF(P10=0,0,Q10/P10)</f>
        <v>-1.6545454545454559</v>
      </c>
      <c r="P10" s="114">
        <v>22</v>
      </c>
      <c r="Q10" s="102">
        <v>-36.400000000000027</v>
      </c>
    </row>
    <row r="11" spans="1:17" x14ac:dyDescent="0.4">
      <c r="A11" s="52" t="s">
        <v>138</v>
      </c>
      <c r="B11" s="45">
        <v>2</v>
      </c>
      <c r="C11" s="38">
        <f t="shared" si="1"/>
        <v>3.5087719298245612E-2</v>
      </c>
      <c r="E11" s="59" t="s">
        <v>89</v>
      </c>
      <c r="F11" s="56" t="s">
        <v>44</v>
      </c>
      <c r="G11" s="44">
        <v>13</v>
      </c>
      <c r="H11" s="129">
        <f>IF(B$17=0,0,G11/B$17)</f>
        <v>9.5588235294117641E-2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-7.8368421052631581</v>
      </c>
      <c r="P11" s="115">
        <v>19</v>
      </c>
      <c r="Q11" s="103">
        <v>-148.9</v>
      </c>
    </row>
    <row r="12" spans="1:17" x14ac:dyDescent="0.4">
      <c r="A12" s="53" t="s">
        <v>158</v>
      </c>
      <c r="B12" s="46">
        <v>5</v>
      </c>
      <c r="C12" s="40">
        <f t="shared" si="1"/>
        <v>8.771929824561403E-2</v>
      </c>
      <c r="E12" s="59" t="s">
        <v>83</v>
      </c>
      <c r="F12" s="56" t="s">
        <v>38</v>
      </c>
      <c r="G12" s="44">
        <v>8</v>
      </c>
      <c r="H12" s="129">
        <f>IF(B$17=0,0,G12/B$17)</f>
        <v>5.8823529411764705E-2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-11.95</v>
      </c>
      <c r="P12" s="116">
        <v>16</v>
      </c>
      <c r="Q12" s="104">
        <v>-191.2</v>
      </c>
    </row>
    <row r="13" spans="1:17" x14ac:dyDescent="0.4">
      <c r="A13" s="54" t="s">
        <v>121</v>
      </c>
      <c r="B13" s="47">
        <v>137</v>
      </c>
      <c r="C13" s="42">
        <f>IF(B$3=0,0,B13/B$3)</f>
        <v>0.28541666666666665</v>
      </c>
      <c r="E13" s="59" t="s">
        <v>71</v>
      </c>
      <c r="F13" s="56" t="s">
        <v>26</v>
      </c>
      <c r="G13" s="44">
        <v>6</v>
      </c>
      <c r="H13" s="129">
        <f>IF(B$17=0,0,G13/B$17)</f>
        <v>4.4117647058823532E-2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88</v>
      </c>
      <c r="C14" s="37">
        <f>IF(B$3=0,0,B14/B$3)</f>
        <v>0.18333333333333332</v>
      </c>
      <c r="E14" s="59" t="s">
        <v>78</v>
      </c>
      <c r="F14" s="56" t="s">
        <v>33</v>
      </c>
      <c r="G14" s="44">
        <v>6</v>
      </c>
      <c r="H14" s="129">
        <f>IF(B$17=0,0,G14/B$17)</f>
        <v>4.4117647058823532E-2</v>
      </c>
      <c r="I14" s="90">
        <v>1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84</v>
      </c>
      <c r="C15" s="35">
        <f>IF(B$13=0,0,B15/B$13)</f>
        <v>0.61313868613138689</v>
      </c>
      <c r="E15" s="59" t="s">
        <v>86</v>
      </c>
      <c r="F15" s="56" t="s">
        <v>41</v>
      </c>
      <c r="G15" s="44">
        <v>4</v>
      </c>
      <c r="H15" s="129">
        <f>IF(B$17=0,0,G15/B$17)</f>
        <v>2.9411764705882353E-2</v>
      </c>
      <c r="I15" s="90">
        <v>9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34</v>
      </c>
      <c r="C16" s="35">
        <f>IF(B$14=0,0,B16/B$14)</f>
        <v>0.38636363636363635</v>
      </c>
      <c r="E16" s="59" t="s">
        <v>81</v>
      </c>
      <c r="F16" s="56" t="s">
        <v>36</v>
      </c>
      <c r="G16" s="44">
        <v>3</v>
      </c>
      <c r="H16" s="129">
        <f>IF(B$17=0,0,G16/B$17)</f>
        <v>2.2058823529411766E-2</v>
      </c>
      <c r="I16" s="90">
        <v>6</v>
      </c>
      <c r="K16" s="36">
        <v>14</v>
      </c>
      <c r="L16" s="95">
        <v>-204.8</v>
      </c>
      <c r="N16" s="111" t="s">
        <v>166</v>
      </c>
      <c r="O16" s="121">
        <f t="shared" si="2"/>
        <v>7.0692307692307699</v>
      </c>
      <c r="P16" s="115">
        <v>13</v>
      </c>
      <c r="Q16" s="103">
        <v>91.9</v>
      </c>
    </row>
    <row r="17" spans="1:17" x14ac:dyDescent="0.4">
      <c r="A17" s="50" t="s">
        <v>10</v>
      </c>
      <c r="B17" s="43">
        <f>B19+B18</f>
        <v>136</v>
      </c>
      <c r="C17" s="35">
        <f>IF(B$3=0,0,B17/B$3)</f>
        <v>0.28333333333333333</v>
      </c>
      <c r="E17" s="59" t="s">
        <v>167</v>
      </c>
      <c r="F17" s="56" t="s">
        <v>168</v>
      </c>
      <c r="G17" s="44">
        <v>3</v>
      </c>
      <c r="H17" s="129">
        <f>IF(B$17=0,0,G17/B$17)</f>
        <v>2.2058823529411766E-2</v>
      </c>
      <c r="I17" s="90">
        <v>6</v>
      </c>
      <c r="K17" s="36">
        <v>15</v>
      </c>
      <c r="L17" s="95">
        <v>-221.5</v>
      </c>
      <c r="N17" s="111" t="s">
        <v>181</v>
      </c>
      <c r="O17" s="121">
        <f t="shared" si="2"/>
        <v>3.7285714285714309</v>
      </c>
      <c r="P17" s="115">
        <v>7</v>
      </c>
      <c r="Q17" s="103">
        <v>26.100000000000016</v>
      </c>
    </row>
    <row r="18" spans="1:17" x14ac:dyDescent="0.4">
      <c r="A18" s="51" t="s">
        <v>12</v>
      </c>
      <c r="B18" s="44">
        <v>64</v>
      </c>
      <c r="C18" s="37">
        <f>IF(B$17=0,0,B18/B$17)</f>
        <v>0.47058823529411764</v>
      </c>
      <c r="E18" s="59" t="s">
        <v>75</v>
      </c>
      <c r="F18" s="56" t="s">
        <v>30</v>
      </c>
      <c r="G18" s="44">
        <v>2</v>
      </c>
      <c r="H18" s="129">
        <f>IF(B$17=0,0,G18/B$17)</f>
        <v>1.4705882352941176E-2</v>
      </c>
      <c r="I18" s="90">
        <v>2</v>
      </c>
      <c r="K18" s="36">
        <v>16</v>
      </c>
      <c r="L18" s="95">
        <v>-224.3</v>
      </c>
      <c r="N18" s="111" t="s">
        <v>127</v>
      </c>
      <c r="O18" s="121">
        <f t="shared" si="2"/>
        <v>-10.948148148148144</v>
      </c>
      <c r="P18" s="115">
        <v>27</v>
      </c>
      <c r="Q18" s="103">
        <v>-295.59999999999991</v>
      </c>
    </row>
    <row r="19" spans="1:17" x14ac:dyDescent="0.4">
      <c r="A19" s="51" t="s">
        <v>11</v>
      </c>
      <c r="B19" s="44">
        <v>72</v>
      </c>
      <c r="C19" s="37">
        <f>IF(B$17=0,0,B19/B$17)</f>
        <v>0.52941176470588236</v>
      </c>
      <c r="E19" s="59" t="s">
        <v>79</v>
      </c>
      <c r="F19" s="56" t="s">
        <v>34</v>
      </c>
      <c r="G19" s="44">
        <v>2</v>
      </c>
      <c r="H19" s="129">
        <f>IF(B$17=0,0,G19/B$17)</f>
        <v>1.4705882352941176E-2</v>
      </c>
      <c r="I19" s="90">
        <v>4</v>
      </c>
      <c r="K19" s="36">
        <v>17</v>
      </c>
      <c r="L19" s="95">
        <v>-251.4</v>
      </c>
      <c r="N19" s="111" t="s">
        <v>178</v>
      </c>
      <c r="O19" s="121">
        <f t="shared" si="2"/>
        <v>-12.288888888888891</v>
      </c>
      <c r="P19" s="115">
        <v>18</v>
      </c>
      <c r="Q19" s="103">
        <v>-221.20000000000005</v>
      </c>
    </row>
    <row r="20" spans="1:17" x14ac:dyDescent="0.4">
      <c r="A20" s="51" t="s">
        <v>13</v>
      </c>
      <c r="B20" s="44">
        <v>100</v>
      </c>
      <c r="C20" s="37">
        <f>IF(B$3=0,0,B20/B$3)</f>
        <v>0.20833333333333334</v>
      </c>
      <c r="E20" s="59" t="s">
        <v>91</v>
      </c>
      <c r="F20" s="56" t="s">
        <v>46</v>
      </c>
      <c r="G20" s="44">
        <v>1</v>
      </c>
      <c r="H20" s="129">
        <f>IF(B$17=0,0,G20/B$17)</f>
        <v>7.3529411764705881E-3</v>
      </c>
      <c r="I20" s="90">
        <v>5</v>
      </c>
      <c r="K20" s="36">
        <v>18</v>
      </c>
      <c r="L20" s="95">
        <v>-240</v>
      </c>
      <c r="N20" s="111" t="s">
        <v>177</v>
      </c>
      <c r="O20" s="121">
        <f t="shared" si="2"/>
        <v>-12.462499999999999</v>
      </c>
      <c r="P20" s="115">
        <v>8</v>
      </c>
      <c r="Q20" s="103">
        <v>-99.699999999999989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-218</v>
      </c>
      <c r="N21" s="111" t="s">
        <v>126</v>
      </c>
      <c r="O21" s="121">
        <f t="shared" si="2"/>
        <v>-15.389743589743594</v>
      </c>
      <c r="P21" s="115">
        <v>39</v>
      </c>
      <c r="Q21" s="103">
        <v>-600.20000000000016</v>
      </c>
    </row>
    <row r="22" spans="1:17" x14ac:dyDescent="0.4">
      <c r="A22" s="51" t="s">
        <v>170</v>
      </c>
      <c r="B22" s="44">
        <v>21</v>
      </c>
      <c r="C22" s="131">
        <v>1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8029.411764705882</v>
      </c>
      <c r="C23" s="39">
        <v>1092000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8585.2941176470595</v>
      </c>
      <c r="C24" s="137">
        <v>875700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6361.7647058823532</v>
      </c>
      <c r="C25" s="137">
        <v>216300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-7629</v>
      </c>
      <c r="C26" s="137">
        <v>-762900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4.1666666666666666E-3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</sheetData>
  <sortState xmlns:xlrd2="http://schemas.microsoft.com/office/spreadsheetml/2017/richdata2" ref="E2:I60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85D03-E29A-440A-9F31-B852B548C1B7}">
  <sheetPr codeName="Sheet15"/>
  <dimension ref="A1:Q5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52</v>
      </c>
      <c r="C2" s="149"/>
      <c r="E2" s="58" t="s">
        <v>66</v>
      </c>
      <c r="F2" s="55" t="s">
        <v>22</v>
      </c>
      <c r="G2" s="43">
        <v>107</v>
      </c>
      <c r="H2" s="128">
        <f>IF(B$17=0,0,G2/B$17)</f>
        <v>0.85599999999999998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2698.0769230769229</v>
      </c>
      <c r="P2" s="114">
        <v>52</v>
      </c>
      <c r="Q2" s="98">
        <v>140300</v>
      </c>
    </row>
    <row r="3" spans="1:17" x14ac:dyDescent="0.4">
      <c r="A3" s="51" t="s">
        <v>8</v>
      </c>
      <c r="B3" s="150">
        <v>416</v>
      </c>
      <c r="C3" s="151"/>
      <c r="E3" s="59" t="s">
        <v>72</v>
      </c>
      <c r="F3" s="56" t="s">
        <v>27</v>
      </c>
      <c r="G3" s="44">
        <v>72</v>
      </c>
      <c r="H3" s="129">
        <f>IF(B$17=0,0,G3/B$17)</f>
        <v>0.57599999999999996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-2026</v>
      </c>
      <c r="P3" s="115">
        <v>50</v>
      </c>
      <c r="Q3" s="99">
        <v>-101300</v>
      </c>
    </row>
    <row r="4" spans="1:17" x14ac:dyDescent="0.4">
      <c r="A4" s="51" t="s">
        <v>6</v>
      </c>
      <c r="B4" s="152">
        <v>325.2000000000001</v>
      </c>
      <c r="C4" s="153"/>
      <c r="E4" s="59" t="s">
        <v>64</v>
      </c>
      <c r="F4" s="56" t="s">
        <v>20</v>
      </c>
      <c r="G4" s="44">
        <v>65</v>
      </c>
      <c r="H4" s="129">
        <f>IF(B$17=0,0,G4/B$17)</f>
        <v>0.52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2006.5217391304348</v>
      </c>
      <c r="P4" s="115">
        <v>46</v>
      </c>
      <c r="Q4" s="99">
        <v>92300</v>
      </c>
    </row>
    <row r="5" spans="1:17" x14ac:dyDescent="0.4">
      <c r="A5" s="51" t="s">
        <v>7</v>
      </c>
      <c r="B5" s="154">
        <f>IF(B$2=0,0,B$4/B$2)</f>
        <v>6.2538461538461556</v>
      </c>
      <c r="C5" s="155"/>
      <c r="E5" s="59" t="s">
        <v>67</v>
      </c>
      <c r="F5" s="56" t="s">
        <v>23</v>
      </c>
      <c r="G5" s="44">
        <v>53</v>
      </c>
      <c r="H5" s="129">
        <f>IF(B$17=0,0,G5/B$17)</f>
        <v>0.42399999999999999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3213.953488372093</v>
      </c>
      <c r="P5" s="115">
        <v>43</v>
      </c>
      <c r="Q5" s="99">
        <v>138200</v>
      </c>
    </row>
    <row r="6" spans="1:17" x14ac:dyDescent="0.4">
      <c r="A6" s="51" t="s">
        <v>1</v>
      </c>
      <c r="B6" s="144">
        <f>IF(B$2=0,0,(B$7*1+B$8*2+B$9*3)/B$2)</f>
        <v>1.8653846153846154</v>
      </c>
      <c r="C6" s="145"/>
      <c r="E6" s="59" t="s">
        <v>171</v>
      </c>
      <c r="F6" s="56" t="s">
        <v>172</v>
      </c>
      <c r="G6" s="44">
        <v>49</v>
      </c>
      <c r="H6" s="129">
        <f>IF(B$17=0,0,G6/B$17)</f>
        <v>0.39200000000000002</v>
      </c>
      <c r="I6" s="90">
        <v>5</v>
      </c>
      <c r="K6" s="36">
        <v>4</v>
      </c>
      <c r="L6" s="95">
        <v>-74.599999999999994</v>
      </c>
      <c r="N6" s="111" t="s">
        <v>134</v>
      </c>
      <c r="O6" s="118">
        <f t="shared" si="0"/>
        <v>-705</v>
      </c>
      <c r="P6" s="115">
        <v>40</v>
      </c>
      <c r="Q6" s="99">
        <v>-28200</v>
      </c>
    </row>
    <row r="7" spans="1:17" x14ac:dyDescent="0.4">
      <c r="A7" s="51" t="s">
        <v>2</v>
      </c>
      <c r="B7" s="44">
        <v>23</v>
      </c>
      <c r="C7" s="37">
        <f t="shared" ref="C7:C12" si="1">IF(B$2=0,0,B7/B$2)</f>
        <v>0.44230769230769229</v>
      </c>
      <c r="E7" s="59" t="s">
        <v>68</v>
      </c>
      <c r="F7" s="56" t="s">
        <v>12</v>
      </c>
      <c r="G7" s="44">
        <v>47</v>
      </c>
      <c r="H7" s="129">
        <f>IF(B$17=0,0,G7/B$17)</f>
        <v>0.376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-324.24242424242425</v>
      </c>
      <c r="P7" s="116">
        <v>33</v>
      </c>
      <c r="Q7" s="100">
        <v>-10700</v>
      </c>
    </row>
    <row r="8" spans="1:17" x14ac:dyDescent="0.4">
      <c r="A8" s="51" t="s">
        <v>3</v>
      </c>
      <c r="B8" s="44">
        <v>13</v>
      </c>
      <c r="C8" s="37">
        <f t="shared" si="1"/>
        <v>0.25</v>
      </c>
      <c r="E8" s="59" t="s">
        <v>89</v>
      </c>
      <c r="F8" s="56" t="s">
        <v>44</v>
      </c>
      <c r="G8" s="44">
        <v>30</v>
      </c>
      <c r="H8" s="129">
        <f>IF(B$17=0,0,G8/B$17)</f>
        <v>0.24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16</v>
      </c>
      <c r="C9" s="38">
        <f t="shared" si="1"/>
        <v>0.30769230769230771</v>
      </c>
      <c r="E9" s="59" t="s">
        <v>69</v>
      </c>
      <c r="F9" s="56" t="s">
        <v>24</v>
      </c>
      <c r="G9" s="44">
        <v>26</v>
      </c>
      <c r="H9" s="129">
        <f>IF(B$17=0,0,G9/B$17)</f>
        <v>0.20799999999999999</v>
      </c>
      <c r="I9" s="90">
        <v>3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9.6153846153846159E-2</v>
      </c>
      <c r="E10" s="59" t="s">
        <v>65</v>
      </c>
      <c r="F10" s="56" t="s">
        <v>21</v>
      </c>
      <c r="G10" s="44">
        <v>15</v>
      </c>
      <c r="H10" s="129">
        <f>IF(B$17=0,0,G10/B$17)</f>
        <v>0.12</v>
      </c>
      <c r="I10" s="90">
        <v>4</v>
      </c>
      <c r="K10" s="36">
        <v>8</v>
      </c>
      <c r="L10" s="95">
        <v>-110.19999999999999</v>
      </c>
      <c r="N10" s="110" t="s">
        <v>162</v>
      </c>
      <c r="O10" s="120">
        <f>IF(P10=0,0,Q10/P10)</f>
        <v>12.256250000000001</v>
      </c>
      <c r="P10" s="114">
        <v>16</v>
      </c>
      <c r="Q10" s="102">
        <v>196.10000000000002</v>
      </c>
    </row>
    <row r="11" spans="1:17" x14ac:dyDescent="0.4">
      <c r="A11" s="52" t="s">
        <v>138</v>
      </c>
      <c r="B11" s="45">
        <v>11</v>
      </c>
      <c r="C11" s="38">
        <f t="shared" si="1"/>
        <v>0.21153846153846154</v>
      </c>
      <c r="E11" s="59" t="s">
        <v>70</v>
      </c>
      <c r="F11" s="56" t="s">
        <v>25</v>
      </c>
      <c r="G11" s="44">
        <v>14</v>
      </c>
      <c r="H11" s="129">
        <f>IF(B$17=0,0,G11/B$17)</f>
        <v>0.112</v>
      </c>
      <c r="I11" s="90">
        <v>4</v>
      </c>
      <c r="K11" s="36">
        <v>9</v>
      </c>
      <c r="L11" s="95">
        <v>-120.99999999999999</v>
      </c>
      <c r="N11" s="111" t="s">
        <v>163</v>
      </c>
      <c r="O11" s="121">
        <f>IF(P11=0,0,Q11/P11)</f>
        <v>8.5791666666666657</v>
      </c>
      <c r="P11" s="115">
        <v>24</v>
      </c>
      <c r="Q11" s="103">
        <v>205.89999999999998</v>
      </c>
    </row>
    <row r="12" spans="1:17" x14ac:dyDescent="0.4">
      <c r="A12" s="53" t="s">
        <v>158</v>
      </c>
      <c r="B12" s="46">
        <v>5</v>
      </c>
      <c r="C12" s="40">
        <f t="shared" si="1"/>
        <v>9.6153846153846159E-2</v>
      </c>
      <c r="E12" s="59" t="s">
        <v>71</v>
      </c>
      <c r="F12" s="56" t="s">
        <v>26</v>
      </c>
      <c r="G12" s="44">
        <v>7</v>
      </c>
      <c r="H12" s="129">
        <f>IF(B$17=0,0,G12/B$17)</f>
        <v>5.6000000000000001E-2</v>
      </c>
      <c r="I12" s="90">
        <v>10</v>
      </c>
      <c r="K12" s="36">
        <v>10</v>
      </c>
      <c r="L12" s="95">
        <v>-113.29999999999998</v>
      </c>
      <c r="N12" s="112" t="s">
        <v>164</v>
      </c>
      <c r="O12" s="122">
        <f>IF(P12=0,0,Q12/P12)</f>
        <v>-6.3999999999999995</v>
      </c>
      <c r="P12" s="116">
        <v>12</v>
      </c>
      <c r="Q12" s="104">
        <v>-76.8</v>
      </c>
    </row>
    <row r="13" spans="1:17" x14ac:dyDescent="0.4">
      <c r="A13" s="54" t="s">
        <v>121</v>
      </c>
      <c r="B13" s="47">
        <v>136</v>
      </c>
      <c r="C13" s="42">
        <f>IF(B$3=0,0,B13/B$3)</f>
        <v>0.32692307692307693</v>
      </c>
      <c r="E13" s="59" t="s">
        <v>167</v>
      </c>
      <c r="F13" s="56" t="s">
        <v>168</v>
      </c>
      <c r="G13" s="44">
        <v>7</v>
      </c>
      <c r="H13" s="129">
        <f>IF(B$17=0,0,G13/B$17)</f>
        <v>5.6000000000000001E-2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79</v>
      </c>
      <c r="C14" s="37">
        <f>IF(B$3=0,0,B14/B$3)</f>
        <v>0.18990384615384615</v>
      </c>
      <c r="E14" s="59" t="s">
        <v>83</v>
      </c>
      <c r="F14" s="56" t="s">
        <v>38</v>
      </c>
      <c r="G14" s="44">
        <v>6</v>
      </c>
      <c r="H14" s="129">
        <f>IF(B$17=0,0,G14/B$17)</f>
        <v>4.8000000000000001E-2</v>
      </c>
      <c r="I14" s="90">
        <v>8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73</v>
      </c>
      <c r="C15" s="35">
        <f>IF(B$13=0,0,B15/B$13)</f>
        <v>0.53676470588235292</v>
      </c>
      <c r="E15" s="59" t="s">
        <v>81</v>
      </c>
      <c r="F15" s="56" t="s">
        <v>36</v>
      </c>
      <c r="G15" s="44">
        <v>3</v>
      </c>
      <c r="H15" s="129">
        <f>IF(B$17=0,0,G15/B$17)</f>
        <v>2.4E-2</v>
      </c>
      <c r="I15" s="90">
        <v>3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37</v>
      </c>
      <c r="C16" s="35">
        <f>IF(B$14=0,0,B16/B$14)</f>
        <v>0.46835443037974683</v>
      </c>
      <c r="E16" s="59" t="s">
        <v>86</v>
      </c>
      <c r="F16" s="56" t="s">
        <v>41</v>
      </c>
      <c r="G16" s="44">
        <v>3</v>
      </c>
      <c r="H16" s="129">
        <f>IF(B$17=0,0,G16/B$17)</f>
        <v>2.4E-2</v>
      </c>
      <c r="I16" s="90">
        <v>10</v>
      </c>
      <c r="K16" s="36">
        <v>14</v>
      </c>
      <c r="L16" s="95">
        <v>-86.499999999999972</v>
      </c>
      <c r="N16" s="111" t="s">
        <v>166</v>
      </c>
      <c r="O16" s="121">
        <f>IF(P16=0,0,Q16/P16)</f>
        <v>24.400000000000002</v>
      </c>
      <c r="P16" s="115">
        <v>7</v>
      </c>
      <c r="Q16" s="103">
        <v>170.8</v>
      </c>
    </row>
    <row r="17" spans="1:17" x14ac:dyDescent="0.4">
      <c r="A17" s="50" t="s">
        <v>10</v>
      </c>
      <c r="B17" s="43">
        <f>B19+B18</f>
        <v>125</v>
      </c>
      <c r="C17" s="35">
        <f>IF(B$3=0,0,B17/B$3)</f>
        <v>0.30048076923076922</v>
      </c>
      <c r="E17" s="59" t="s">
        <v>92</v>
      </c>
      <c r="F17" s="56" t="s">
        <v>47</v>
      </c>
      <c r="G17" s="44">
        <v>3</v>
      </c>
      <c r="H17" s="129">
        <f>IF(B$17=0,0,G17/B$17)</f>
        <v>2.4E-2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>IF(P17=0,0,Q17/P17)</f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61</v>
      </c>
      <c r="C18" s="37">
        <f>IF(B$17=0,0,B18/B$17)</f>
        <v>0.48799999999999999</v>
      </c>
      <c r="E18" s="59" t="s">
        <v>91</v>
      </c>
      <c r="F18" s="56" t="s">
        <v>46</v>
      </c>
      <c r="G18" s="44">
        <v>2</v>
      </c>
      <c r="H18" s="129">
        <f>IF(B$17=0,0,G18/B$17)</f>
        <v>1.6E-2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>IF(P18=0,0,Q18/P18)</f>
        <v>19.648148148148149</v>
      </c>
      <c r="P18" s="115">
        <v>27</v>
      </c>
      <c r="Q18" s="103">
        <v>530.5</v>
      </c>
    </row>
    <row r="19" spans="1:17" x14ac:dyDescent="0.4">
      <c r="A19" s="51" t="s">
        <v>11</v>
      </c>
      <c r="B19" s="44">
        <v>64</v>
      </c>
      <c r="C19" s="37">
        <f>IF(B$17=0,0,B19/B$17)</f>
        <v>0.51200000000000001</v>
      </c>
      <c r="E19" s="59" t="s">
        <v>73</v>
      </c>
      <c r="F19" s="56" t="s">
        <v>28</v>
      </c>
      <c r="G19" s="44">
        <v>1</v>
      </c>
      <c r="H19" s="129">
        <f>IF(B$17=0,0,G19/B$17)</f>
        <v>8.0000000000000002E-3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12.904999999999998</v>
      </c>
      <c r="P19" s="115">
        <v>20</v>
      </c>
      <c r="Q19" s="103">
        <v>258.09999999999997</v>
      </c>
    </row>
    <row r="20" spans="1:17" x14ac:dyDescent="0.4">
      <c r="A20" s="51" t="s">
        <v>13</v>
      </c>
      <c r="B20" s="44">
        <v>65</v>
      </c>
      <c r="C20" s="37">
        <f>IF(B$3=0,0,B20/B$3)</f>
        <v>0.15625</v>
      </c>
      <c r="E20" s="59" t="s">
        <v>75</v>
      </c>
      <c r="F20" s="56" t="s">
        <v>30</v>
      </c>
      <c r="G20" s="44">
        <v>1</v>
      </c>
      <c r="H20" s="129">
        <f>IF(B$17=0,0,G20/B$17)</f>
        <v>8.0000000000000002E-3</v>
      </c>
      <c r="I20" s="90">
        <v>5</v>
      </c>
      <c r="K20" s="36">
        <v>18</v>
      </c>
      <c r="L20" s="95">
        <v>-24.999999999999968</v>
      </c>
      <c r="N20" s="111" t="s">
        <v>179</v>
      </c>
      <c r="O20" s="121">
        <f>IF(P20=0,0,Q20/P20)</f>
        <v>12.462499999999999</v>
      </c>
      <c r="P20" s="115">
        <v>8</v>
      </c>
      <c r="Q20" s="103">
        <v>99.699999999999989</v>
      </c>
    </row>
    <row r="21" spans="1:17" x14ac:dyDescent="0.4">
      <c r="A21" s="51" t="s">
        <v>169</v>
      </c>
      <c r="B21" s="44">
        <v>3</v>
      </c>
      <c r="C21" s="131">
        <v>1</v>
      </c>
      <c r="E21" s="59" t="s">
        <v>78</v>
      </c>
      <c r="F21" s="56" t="s">
        <v>33</v>
      </c>
      <c r="G21" s="44">
        <v>1</v>
      </c>
      <c r="H21" s="129">
        <f>IF(B$17=0,0,G21/B$17)</f>
        <v>8.0000000000000002E-3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-12.182608695652178</v>
      </c>
      <c r="P21" s="115">
        <v>23</v>
      </c>
      <c r="Q21" s="103">
        <v>-280.2000000000001</v>
      </c>
    </row>
    <row r="22" spans="1:17" x14ac:dyDescent="0.4">
      <c r="A22" s="51" t="s">
        <v>170</v>
      </c>
      <c r="B22" s="44">
        <v>25</v>
      </c>
      <c r="C22" s="131">
        <v>8</v>
      </c>
      <c r="E22" s="59" t="s">
        <v>85</v>
      </c>
      <c r="F22" s="56" t="s">
        <v>40</v>
      </c>
      <c r="G22" s="44">
        <v>1</v>
      </c>
      <c r="H22" s="129">
        <f>IF(B$17=0,0,G22/B$17)</f>
        <v>8.0000000000000002E-3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>IF(P22=0,0,Q22/P22)</f>
        <v>-34.6</v>
      </c>
      <c r="P22" s="115">
        <v>5</v>
      </c>
      <c r="Q22" s="103">
        <v>-173</v>
      </c>
    </row>
    <row r="23" spans="1:17" x14ac:dyDescent="0.4">
      <c r="A23" s="51" t="s">
        <v>5</v>
      </c>
      <c r="B23" s="48">
        <f>IF(B$17=0,0,C23/B$17)</f>
        <v>10544.8</v>
      </c>
      <c r="C23" s="39">
        <v>1318100</v>
      </c>
      <c r="E23" s="59" t="s">
        <v>90</v>
      </c>
      <c r="F23" s="56" t="s">
        <v>45</v>
      </c>
      <c r="G23" s="44">
        <v>1</v>
      </c>
      <c r="H23" s="129">
        <f>IF(B$17=0,0,G23/B$17)</f>
        <v>8.0000000000000002E-3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11625</v>
      </c>
      <c r="C24" s="137">
        <v>1023000</v>
      </c>
      <c r="E24" s="59" t="s">
        <v>93</v>
      </c>
      <c r="F24" s="56" t="s">
        <v>48</v>
      </c>
      <c r="G24" s="44">
        <v>1</v>
      </c>
      <c r="H24" s="129">
        <f>IF(B$17=0,0,G24/B$17)</f>
        <v>8.0000000000000002E-3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7975.6756756756758</v>
      </c>
      <c r="C25" s="137">
        <v>295100</v>
      </c>
      <c r="E25" s="59" t="s">
        <v>74</v>
      </c>
      <c r="F25" s="56" t="s">
        <v>29</v>
      </c>
      <c r="G25" s="44">
        <v>0</v>
      </c>
      <c r="H25" s="129">
        <f>IF(B$17=0,0,G25/B$17)</f>
        <v>0</v>
      </c>
      <c r="I25" s="90">
        <v>6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-8429.2307692307695</v>
      </c>
      <c r="C26" s="137">
        <v>-547900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79</v>
      </c>
      <c r="F28" s="56" t="s">
        <v>34</v>
      </c>
      <c r="G28" s="44">
        <v>0</v>
      </c>
      <c r="H28" s="129">
        <f>IF(B$17=0,0,G28/B$17)</f>
        <v>0</v>
      </c>
      <c r="I28" s="90">
        <v>7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-16.499999999999972</v>
      </c>
    </row>
    <row r="32" spans="1:17" x14ac:dyDescent="0.4">
      <c r="E32" s="59" t="s">
        <v>87</v>
      </c>
      <c r="F32" s="56" t="s">
        <v>42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88</v>
      </c>
      <c r="F33" s="56" t="s">
        <v>43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27AE2-E624-4606-9F75-8440E523DCD0}">
  <sheetPr codeName="Sheet17"/>
  <dimension ref="A1:Q7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72</v>
      </c>
      <c r="C2" s="149"/>
      <c r="E2" s="58" t="s">
        <v>66</v>
      </c>
      <c r="F2" s="55" t="s">
        <v>22</v>
      </c>
      <c r="G2" s="43">
        <v>130</v>
      </c>
      <c r="H2" s="128">
        <f>IF(B$17=0,0,G2/B$17)</f>
        <v>0.7975460122699386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1162.5</v>
      </c>
      <c r="P2" s="114">
        <v>72</v>
      </c>
      <c r="Q2" s="98">
        <v>83700</v>
      </c>
    </row>
    <row r="3" spans="1:17" x14ac:dyDescent="0.4">
      <c r="A3" s="51" t="s">
        <v>8</v>
      </c>
      <c r="B3" s="150">
        <v>579</v>
      </c>
      <c r="C3" s="151"/>
      <c r="E3" s="59" t="s">
        <v>72</v>
      </c>
      <c r="F3" s="56" t="s">
        <v>27</v>
      </c>
      <c r="G3" s="44">
        <v>107</v>
      </c>
      <c r="H3" s="129">
        <f>IF(B$17=0,0,G3/B$17)</f>
        <v>0.65644171779141103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1113.0434782608695</v>
      </c>
      <c r="P3" s="115">
        <v>69</v>
      </c>
      <c r="Q3" s="99">
        <v>76800</v>
      </c>
    </row>
    <row r="4" spans="1:17" x14ac:dyDescent="0.4">
      <c r="A4" s="51" t="s">
        <v>6</v>
      </c>
      <c r="B4" s="152">
        <v>-68.199999999999974</v>
      </c>
      <c r="C4" s="153"/>
      <c r="E4" s="59" t="s">
        <v>64</v>
      </c>
      <c r="F4" s="56" t="s">
        <v>20</v>
      </c>
      <c r="G4" s="44">
        <v>79</v>
      </c>
      <c r="H4" s="129">
        <f>IF(B$17=0,0,G4/B$17)</f>
        <v>0.48466257668711654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-1071.875</v>
      </c>
      <c r="P4" s="115">
        <v>64</v>
      </c>
      <c r="Q4" s="99">
        <v>-68600</v>
      </c>
    </row>
    <row r="5" spans="1:17" x14ac:dyDescent="0.4">
      <c r="A5" s="51" t="s">
        <v>7</v>
      </c>
      <c r="B5" s="154">
        <f>IF(B$2=0,0,B$4/B$2)</f>
        <v>-0.94722222222222185</v>
      </c>
      <c r="C5" s="155"/>
      <c r="E5" s="59" t="s">
        <v>171</v>
      </c>
      <c r="F5" s="56" t="s">
        <v>172</v>
      </c>
      <c r="G5" s="44">
        <v>74</v>
      </c>
      <c r="H5" s="129">
        <f>IF(B$17=0,0,G5/B$17)</f>
        <v>0.45398773006134968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198.30508474576271</v>
      </c>
      <c r="P5" s="115">
        <v>59</v>
      </c>
      <c r="Q5" s="99">
        <v>11700</v>
      </c>
    </row>
    <row r="6" spans="1:17" x14ac:dyDescent="0.4">
      <c r="A6" s="51" t="s">
        <v>1</v>
      </c>
      <c r="B6" s="144">
        <f>IF(B$2=0,0,(B$7*1+B$8*2+B$9*3)/B$2)</f>
        <v>2.0833333333333335</v>
      </c>
      <c r="C6" s="145"/>
      <c r="E6" s="59" t="s">
        <v>67</v>
      </c>
      <c r="F6" s="56" t="s">
        <v>23</v>
      </c>
      <c r="G6" s="44">
        <v>65</v>
      </c>
      <c r="H6" s="129">
        <f>IF(B$17=0,0,G6/B$17)</f>
        <v>0.3987730061349693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-960.37735849056605</v>
      </c>
      <c r="P6" s="115">
        <v>53</v>
      </c>
      <c r="Q6" s="99">
        <v>-50900</v>
      </c>
    </row>
    <row r="7" spans="1:17" x14ac:dyDescent="0.4">
      <c r="A7" s="51" t="s">
        <v>2</v>
      </c>
      <c r="B7" s="44">
        <v>15</v>
      </c>
      <c r="C7" s="37">
        <f t="shared" ref="C7:C12" si="1">IF(B$2=0,0,B7/B$2)</f>
        <v>0.20833333333333334</v>
      </c>
      <c r="E7" s="59" t="s">
        <v>68</v>
      </c>
      <c r="F7" s="56" t="s">
        <v>12</v>
      </c>
      <c r="G7" s="44">
        <v>54</v>
      </c>
      <c r="H7" s="129">
        <f>IF(B$17=0,0,G7/B$17)</f>
        <v>0.33128834355828218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-1242.5531914893618</v>
      </c>
      <c r="P7" s="116">
        <v>47</v>
      </c>
      <c r="Q7" s="100">
        <v>-58400</v>
      </c>
    </row>
    <row r="8" spans="1:17" x14ac:dyDescent="0.4">
      <c r="A8" s="51" t="s">
        <v>3</v>
      </c>
      <c r="B8" s="44">
        <v>36</v>
      </c>
      <c r="C8" s="37">
        <f t="shared" si="1"/>
        <v>0.5</v>
      </c>
      <c r="E8" s="59" t="s">
        <v>69</v>
      </c>
      <c r="F8" s="56" t="s">
        <v>24</v>
      </c>
      <c r="G8" s="44">
        <v>20</v>
      </c>
      <c r="H8" s="129">
        <f>IF(B$17=0,0,G8/B$17)</f>
        <v>0.12269938650306748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21</v>
      </c>
      <c r="C9" s="38">
        <f t="shared" si="1"/>
        <v>0.29166666666666669</v>
      </c>
      <c r="E9" s="59" t="s">
        <v>89</v>
      </c>
      <c r="F9" s="56" t="s">
        <v>44</v>
      </c>
      <c r="G9" s="44">
        <v>15</v>
      </c>
      <c r="H9" s="129">
        <f>IF(B$17=0,0,G9/B$17)</f>
        <v>9.202453987730061E-2</v>
      </c>
      <c r="I9" s="90">
        <v>9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6.9444444444444448E-2</v>
      </c>
      <c r="E10" s="59" t="s">
        <v>71</v>
      </c>
      <c r="F10" s="56" t="s">
        <v>26</v>
      </c>
      <c r="G10" s="44">
        <v>14</v>
      </c>
      <c r="H10" s="129">
        <f>IF(B$17=0,0,G10/B$17)</f>
        <v>8.5889570552147243E-2</v>
      </c>
      <c r="I10" s="90">
        <v>6</v>
      </c>
      <c r="K10" s="36">
        <v>8</v>
      </c>
      <c r="L10" s="95">
        <v>-46.7</v>
      </c>
      <c r="N10" s="110" t="s">
        <v>162</v>
      </c>
      <c r="O10" s="120">
        <f>IF(P10=0,0,Q10/P10)</f>
        <v>0.7466666666666667</v>
      </c>
      <c r="P10" s="114">
        <v>30</v>
      </c>
      <c r="Q10" s="102">
        <v>22.400000000000002</v>
      </c>
    </row>
    <row r="11" spans="1:17" x14ac:dyDescent="0.4">
      <c r="A11" s="52" t="s">
        <v>138</v>
      </c>
      <c r="B11" s="45">
        <v>6</v>
      </c>
      <c r="C11" s="38">
        <f t="shared" si="1"/>
        <v>8.3333333333333329E-2</v>
      </c>
      <c r="E11" s="59" t="s">
        <v>65</v>
      </c>
      <c r="F11" s="56" t="s">
        <v>21</v>
      </c>
      <c r="G11" s="44">
        <v>12</v>
      </c>
      <c r="H11" s="129">
        <f>IF(B$17=0,0,G11/B$17)</f>
        <v>7.3619631901840496E-2</v>
      </c>
      <c r="I11" s="90">
        <v>10</v>
      </c>
      <c r="K11" s="36">
        <v>9</v>
      </c>
      <c r="L11" s="95">
        <v>-90.9</v>
      </c>
      <c r="N11" s="111" t="s">
        <v>163</v>
      </c>
      <c r="O11" s="121">
        <f>IF(P11=0,0,Q11/P11)</f>
        <v>2.3250000000000002</v>
      </c>
      <c r="P11" s="115">
        <v>20</v>
      </c>
      <c r="Q11" s="103">
        <v>46.5</v>
      </c>
    </row>
    <row r="12" spans="1:17" x14ac:dyDescent="0.4">
      <c r="A12" s="53" t="s">
        <v>158</v>
      </c>
      <c r="B12" s="46">
        <v>3</v>
      </c>
      <c r="C12" s="40">
        <f t="shared" si="1"/>
        <v>4.1666666666666664E-2</v>
      </c>
      <c r="E12" s="59" t="s">
        <v>70</v>
      </c>
      <c r="F12" s="56" t="s">
        <v>25</v>
      </c>
      <c r="G12" s="44">
        <v>12</v>
      </c>
      <c r="H12" s="129">
        <f>IF(B$17=0,0,G12/B$17)</f>
        <v>7.3619631901840496E-2</v>
      </c>
      <c r="I12" s="90">
        <v>8</v>
      </c>
      <c r="K12" s="36">
        <v>10</v>
      </c>
      <c r="L12" s="95">
        <v>-146.69999999999999</v>
      </c>
      <c r="N12" s="112" t="s">
        <v>164</v>
      </c>
      <c r="O12" s="122">
        <f>IF(P12=0,0,Q12/P12)</f>
        <v>-6.2318181818181815</v>
      </c>
      <c r="P12" s="116">
        <v>22</v>
      </c>
      <c r="Q12" s="104">
        <v>-137.1</v>
      </c>
    </row>
    <row r="13" spans="1:17" x14ac:dyDescent="0.4">
      <c r="A13" s="54" t="s">
        <v>121</v>
      </c>
      <c r="B13" s="47">
        <v>145</v>
      </c>
      <c r="C13" s="42">
        <f>IF(B$3=0,0,B13/B$3)</f>
        <v>0.25043177892918828</v>
      </c>
      <c r="E13" s="59" t="s">
        <v>86</v>
      </c>
      <c r="F13" s="56" t="s">
        <v>41</v>
      </c>
      <c r="G13" s="44">
        <v>7</v>
      </c>
      <c r="H13" s="129">
        <f>IF(B$17=0,0,G13/B$17)</f>
        <v>4.2944785276073622E-2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142</v>
      </c>
      <c r="C14" s="37">
        <f>IF(B$3=0,0,B14/B$3)</f>
        <v>0.24525043177892919</v>
      </c>
      <c r="E14" s="59" t="s">
        <v>79</v>
      </c>
      <c r="F14" s="56" t="s">
        <v>34</v>
      </c>
      <c r="G14" s="44">
        <v>6</v>
      </c>
      <c r="H14" s="129">
        <f>IF(B$17=0,0,G14/B$17)</f>
        <v>3.6809815950920248E-2</v>
      </c>
      <c r="I14" s="90">
        <v>2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83</v>
      </c>
      <c r="C15" s="35">
        <f>IF(B$13=0,0,B15/B$13)</f>
        <v>0.57241379310344831</v>
      </c>
      <c r="E15" s="59" t="s">
        <v>83</v>
      </c>
      <c r="F15" s="56" t="s">
        <v>38</v>
      </c>
      <c r="G15" s="44">
        <v>6</v>
      </c>
      <c r="H15" s="129">
        <f>IF(B$17=0,0,G15/B$17)</f>
        <v>3.6809815950920248E-2</v>
      </c>
      <c r="I15" s="90">
        <v>10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58</v>
      </c>
      <c r="C16" s="35">
        <f>IF(B$14=0,0,B16/B$14)</f>
        <v>0.40845070422535212</v>
      </c>
      <c r="E16" s="59" t="s">
        <v>167</v>
      </c>
      <c r="F16" s="56" t="s">
        <v>168</v>
      </c>
      <c r="G16" s="44">
        <v>4</v>
      </c>
      <c r="H16" s="129">
        <f>IF(B$17=0,0,G16/B$17)</f>
        <v>2.4539877300613498E-2</v>
      </c>
      <c r="I16" s="90">
        <v>3</v>
      </c>
      <c r="K16" s="36">
        <v>14</v>
      </c>
      <c r="L16" s="95">
        <v>-25.79999999999999</v>
      </c>
      <c r="N16" s="111" t="s">
        <v>222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163</v>
      </c>
      <c r="C17" s="35">
        <f>IF(B$3=0,0,B17/B$3)</f>
        <v>0.28151986183074268</v>
      </c>
      <c r="E17" s="59" t="s">
        <v>73</v>
      </c>
      <c r="F17" s="56" t="s">
        <v>28</v>
      </c>
      <c r="G17" s="44">
        <v>3</v>
      </c>
      <c r="H17" s="129">
        <f>IF(B$17=0,0,G17/B$17)</f>
        <v>1.8404907975460124E-2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>IF(P17=0,0,Q17/P17)</f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75</v>
      </c>
      <c r="C18" s="37">
        <f>IF(B$17=0,0,B18/B$17)</f>
        <v>0.46012269938650308</v>
      </c>
      <c r="E18" s="59" t="s">
        <v>78</v>
      </c>
      <c r="F18" s="56" t="s">
        <v>33</v>
      </c>
      <c r="G18" s="44">
        <v>3</v>
      </c>
      <c r="H18" s="129">
        <f>IF(B$17=0,0,G18/B$17)</f>
        <v>1.8404907975460124E-2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>IF(P18=0,0,Q18/P18)</f>
        <v>12.288888888888891</v>
      </c>
      <c r="P18" s="115">
        <v>18</v>
      </c>
      <c r="Q18" s="103">
        <v>221.20000000000005</v>
      </c>
    </row>
    <row r="19" spans="1:17" x14ac:dyDescent="0.4">
      <c r="A19" s="51" t="s">
        <v>11</v>
      </c>
      <c r="B19" s="44">
        <v>88</v>
      </c>
      <c r="C19" s="37">
        <f>IF(B$17=0,0,B19/B$17)</f>
        <v>0.53987730061349692</v>
      </c>
      <c r="E19" s="59" t="s">
        <v>81</v>
      </c>
      <c r="F19" s="56" t="s">
        <v>36</v>
      </c>
      <c r="G19" s="44">
        <v>1</v>
      </c>
      <c r="H19" s="129">
        <f>IF(B$17=0,0,G19/B$17)</f>
        <v>6.1349693251533744E-3</v>
      </c>
      <c r="I19" s="90">
        <v>8</v>
      </c>
      <c r="K19" s="36">
        <v>17</v>
      </c>
      <c r="L19" s="95">
        <v>-29.799999999999986</v>
      </c>
      <c r="N19" s="111" t="s">
        <v>166</v>
      </c>
      <c r="O19" s="121">
        <f>IF(P19=0,0,Q19/P19)</f>
        <v>-0.50000000000000044</v>
      </c>
      <c r="P19" s="115">
        <v>15</v>
      </c>
      <c r="Q19" s="103">
        <v>-7.5000000000000071</v>
      </c>
    </row>
    <row r="20" spans="1:17" x14ac:dyDescent="0.4">
      <c r="A20" s="51" t="s">
        <v>13</v>
      </c>
      <c r="B20" s="44">
        <v>74</v>
      </c>
      <c r="C20" s="37">
        <f>IF(B$3=0,0,B20/B$3)</f>
        <v>0.12780656303972365</v>
      </c>
      <c r="E20" s="59" t="s">
        <v>85</v>
      </c>
      <c r="F20" s="56" t="s">
        <v>40</v>
      </c>
      <c r="G20" s="44">
        <v>1</v>
      </c>
      <c r="H20" s="129">
        <f>IF(B$17=0,0,G20/B$17)</f>
        <v>6.1349693251533744E-3</v>
      </c>
      <c r="I20" s="90">
        <v>3</v>
      </c>
      <c r="K20" s="36">
        <v>18</v>
      </c>
      <c r="L20" s="95">
        <v>-62.399999999999991</v>
      </c>
      <c r="N20" s="111" t="s">
        <v>181</v>
      </c>
      <c r="O20" s="121">
        <f>IF(P20=0,0,Q20/P20)</f>
        <v>-2.56666666666667</v>
      </c>
      <c r="P20" s="115">
        <v>3</v>
      </c>
      <c r="Q20" s="103">
        <v>-7.7000000000000099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87</v>
      </c>
      <c r="F21" s="56" t="s">
        <v>42</v>
      </c>
      <c r="G21" s="44">
        <v>1</v>
      </c>
      <c r="H21" s="129">
        <f>IF(B$17=0,0,G21/B$17)</f>
        <v>6.1349693251533744E-3</v>
      </c>
      <c r="I21" s="90">
        <v>2</v>
      </c>
      <c r="K21" s="36">
        <v>19</v>
      </c>
      <c r="L21" s="95">
        <v>-56.399999999999991</v>
      </c>
      <c r="N21" s="111" t="s">
        <v>127</v>
      </c>
      <c r="O21" s="121">
        <f>IF(P21=0,0,Q21/P21)</f>
        <v>-7.1481481481481479</v>
      </c>
      <c r="P21" s="115">
        <v>27</v>
      </c>
      <c r="Q21" s="103">
        <v>-193</v>
      </c>
    </row>
    <row r="22" spans="1:17" x14ac:dyDescent="0.4">
      <c r="A22" s="51" t="s">
        <v>170</v>
      </c>
      <c r="B22" s="44">
        <v>44</v>
      </c>
      <c r="C22" s="131">
        <v>3</v>
      </c>
      <c r="E22" s="59" t="s">
        <v>88</v>
      </c>
      <c r="F22" s="56" t="s">
        <v>43</v>
      </c>
      <c r="G22" s="44">
        <v>1</v>
      </c>
      <c r="H22" s="129">
        <f>IF(B$17=0,0,G22/B$17)</f>
        <v>6.1349693251533744E-3</v>
      </c>
      <c r="I22" s="90">
        <v>3</v>
      </c>
      <c r="K22" s="36">
        <v>20</v>
      </c>
      <c r="L22" s="95">
        <v>-93.199999999999989</v>
      </c>
      <c r="N22" s="111" t="s">
        <v>126</v>
      </c>
      <c r="O22" s="121">
        <f>IF(P22=0,0,Q22/P22)</f>
        <v>-9.9800000000000022</v>
      </c>
      <c r="P22" s="115">
        <v>30</v>
      </c>
      <c r="Q22" s="103">
        <v>-299.40000000000009</v>
      </c>
    </row>
    <row r="23" spans="1:17" x14ac:dyDescent="0.4">
      <c r="A23" s="51" t="s">
        <v>5</v>
      </c>
      <c r="B23" s="48">
        <f>IF(B$17=0,0,C23/B$17)</f>
        <v>8430.6748466257668</v>
      </c>
      <c r="C23" s="39">
        <v>1374200</v>
      </c>
      <c r="E23" s="59" t="s">
        <v>91</v>
      </c>
      <c r="F23" s="56" t="s">
        <v>46</v>
      </c>
      <c r="G23" s="44">
        <v>1</v>
      </c>
      <c r="H23" s="129">
        <f>IF(B$17=0,0,G23/B$17)</f>
        <v>6.1349693251533744E-3</v>
      </c>
      <c r="I23" s="90">
        <v>6</v>
      </c>
      <c r="K23" s="36">
        <v>21</v>
      </c>
      <c r="L23" s="95">
        <v>-123.69999999999999</v>
      </c>
      <c r="N23" s="111" t="s">
        <v>177</v>
      </c>
      <c r="O23" s="121">
        <f>IF(P23=0,0,Q23/P23)</f>
        <v>-19.648148148148149</v>
      </c>
      <c r="P23" s="115">
        <v>27</v>
      </c>
      <c r="Q23" s="103">
        <v>-530.5</v>
      </c>
    </row>
    <row r="24" spans="1:17" x14ac:dyDescent="0.4">
      <c r="A24" s="52" t="s">
        <v>216</v>
      </c>
      <c r="B24" s="136">
        <f>IF($B$17-B$16=0,0,C24/($B$17-B$16))</f>
        <v>9557.1428571428569</v>
      </c>
      <c r="C24" s="137">
        <v>1003500</v>
      </c>
      <c r="E24" s="59" t="s">
        <v>101</v>
      </c>
      <c r="F24" s="56" t="s">
        <v>56</v>
      </c>
      <c r="G24" s="44">
        <v>1</v>
      </c>
      <c r="H24" s="129">
        <f>IF(B$17=0,0,G24/B$17)</f>
        <v>6.1349693251533744E-3</v>
      </c>
      <c r="I24" s="90">
        <v>1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6391.3793103448279</v>
      </c>
      <c r="C25" s="137">
        <v>370700</v>
      </c>
      <c r="E25" s="59" t="s">
        <v>74</v>
      </c>
      <c r="F25" s="56" t="s">
        <v>29</v>
      </c>
      <c r="G25" s="44">
        <v>0</v>
      </c>
      <c r="H25" s="129">
        <f>IF(B$17=0,0,G25/B$17)</f>
        <v>0</v>
      </c>
      <c r="I25" s="90">
        <v>6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-8078.3783783783783</v>
      </c>
      <c r="C26" s="137">
        <v>-597800</v>
      </c>
      <c r="E26" s="59" t="s">
        <v>75</v>
      </c>
      <c r="F26" s="56" t="s">
        <v>30</v>
      </c>
      <c r="G26" s="44">
        <v>0</v>
      </c>
      <c r="H26" s="129">
        <f>IF(B$17=0,0,G26/B$17)</f>
        <v>0</v>
      </c>
      <c r="I26" s="90">
        <v>7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3.4542314335060447E-3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5807E-8919-4F26-BCB9-06B55BB69A1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31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0.68965517241379315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-2700</v>
      </c>
      <c r="P2" s="114">
        <v>31</v>
      </c>
      <c r="Q2" s="98">
        <v>-83700</v>
      </c>
    </row>
    <row r="3" spans="1:17" x14ac:dyDescent="0.4">
      <c r="A3" s="51" t="s">
        <v>8</v>
      </c>
      <c r="B3" s="150">
        <v>250</v>
      </c>
      <c r="C3" s="151"/>
      <c r="E3" s="59" t="s">
        <v>72</v>
      </c>
      <c r="F3" s="56" t="s">
        <v>27</v>
      </c>
      <c r="G3" s="44">
        <v>34</v>
      </c>
      <c r="H3" s="129">
        <f>IF(B$17=0,0,G3/B$17)</f>
        <v>0.58620689655172409</v>
      </c>
      <c r="I3" s="90">
        <v>3</v>
      </c>
      <c r="K3" s="36">
        <v>1</v>
      </c>
      <c r="L3" s="95">
        <v>-12</v>
      </c>
      <c r="N3" s="111" t="s">
        <v>131</v>
      </c>
      <c r="O3" s="118">
        <f t="shared" si="0"/>
        <v>-170.96774193548387</v>
      </c>
      <c r="P3" s="115">
        <v>31</v>
      </c>
      <c r="Q3" s="99">
        <v>-5300</v>
      </c>
    </row>
    <row r="4" spans="1:17" x14ac:dyDescent="0.4">
      <c r="A4" s="51" t="s">
        <v>6</v>
      </c>
      <c r="B4" s="152">
        <v>-473.10000000000014</v>
      </c>
      <c r="C4" s="153"/>
      <c r="E4" s="59" t="s">
        <v>64</v>
      </c>
      <c r="F4" s="56" t="s">
        <v>20</v>
      </c>
      <c r="G4" s="44">
        <v>25</v>
      </c>
      <c r="H4" s="129">
        <f>IF(B$17=0,0,G4/B$17)</f>
        <v>0.43103448275862066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-745.16129032258061</v>
      </c>
      <c r="P4" s="115">
        <v>31</v>
      </c>
      <c r="Q4" s="99">
        <v>-23100</v>
      </c>
    </row>
    <row r="5" spans="1:17" x14ac:dyDescent="0.4">
      <c r="A5" s="51" t="s">
        <v>7</v>
      </c>
      <c r="B5" s="154">
        <f>IF(B$2=0,0,B$4/B$2)</f>
        <v>-15.261290322580649</v>
      </c>
      <c r="C5" s="155"/>
      <c r="E5" s="59" t="s">
        <v>67</v>
      </c>
      <c r="F5" s="56" t="s">
        <v>23</v>
      </c>
      <c r="G5" s="44">
        <v>18</v>
      </c>
      <c r="H5" s="129">
        <f>IF(B$17=0,0,G5/B$17)</f>
        <v>0.31034482758620691</v>
      </c>
      <c r="I5" s="90">
        <v>6</v>
      </c>
      <c r="K5" s="36">
        <v>3</v>
      </c>
      <c r="L5" s="95">
        <v>-33.6</v>
      </c>
      <c r="N5" s="111" t="s">
        <v>133</v>
      </c>
      <c r="O5" s="118">
        <f t="shared" si="0"/>
        <v>-2773.3333333333335</v>
      </c>
      <c r="P5" s="115">
        <v>30</v>
      </c>
      <c r="Q5" s="99">
        <v>-83200</v>
      </c>
    </row>
    <row r="6" spans="1:17" x14ac:dyDescent="0.4">
      <c r="A6" s="51" t="s">
        <v>1</v>
      </c>
      <c r="B6" s="144">
        <f>IF(B$2=0,0,(B$7*1+B$8*2+B$9*3)/B$2)</f>
        <v>2.4516129032258065</v>
      </c>
      <c r="C6" s="145"/>
      <c r="E6" s="59" t="s">
        <v>171</v>
      </c>
      <c r="F6" s="56" t="s">
        <v>172</v>
      </c>
      <c r="G6" s="44">
        <v>18</v>
      </c>
      <c r="H6" s="129">
        <f>IF(B$17=0,0,G6/B$17)</f>
        <v>0.31034482758620691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-1531.0344827586207</v>
      </c>
      <c r="P6" s="115">
        <v>29</v>
      </c>
      <c r="Q6" s="99">
        <v>-44400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9.6774193548387094E-2</v>
      </c>
      <c r="E7" s="59" t="s">
        <v>68</v>
      </c>
      <c r="F7" s="56" t="s">
        <v>12</v>
      </c>
      <c r="G7" s="44">
        <v>17</v>
      </c>
      <c r="H7" s="129">
        <f>IF(B$17=0,0,G7/B$17)</f>
        <v>0.29310344827586204</v>
      </c>
      <c r="I7" s="90">
        <v>8</v>
      </c>
      <c r="K7" s="36">
        <v>5</v>
      </c>
      <c r="L7" s="95">
        <v>-124.3</v>
      </c>
      <c r="N7" s="112" t="s">
        <v>135</v>
      </c>
      <c r="O7" s="119">
        <f t="shared" si="0"/>
        <v>-3683.3333333333335</v>
      </c>
      <c r="P7" s="116">
        <v>24</v>
      </c>
      <c r="Q7" s="100">
        <v>-88400</v>
      </c>
    </row>
    <row r="8" spans="1:17" x14ac:dyDescent="0.4">
      <c r="A8" s="51" t="s">
        <v>3</v>
      </c>
      <c r="B8" s="44">
        <v>11</v>
      </c>
      <c r="C8" s="37">
        <f t="shared" si="1"/>
        <v>0.35483870967741937</v>
      </c>
      <c r="E8" s="59" t="s">
        <v>89</v>
      </c>
      <c r="F8" s="56" t="s">
        <v>44</v>
      </c>
      <c r="G8" s="44">
        <v>8</v>
      </c>
      <c r="H8" s="129">
        <f>IF(B$17=0,0,G8/B$17)</f>
        <v>0.13793103448275862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0.54838709677419351</v>
      </c>
      <c r="E9" s="59" t="s">
        <v>65</v>
      </c>
      <c r="F9" s="56" t="s">
        <v>21</v>
      </c>
      <c r="G9" s="44">
        <v>7</v>
      </c>
      <c r="H9" s="129">
        <f>IF(B$17=0,0,G9/B$17)</f>
        <v>0.1206896551724138</v>
      </c>
      <c r="I9" s="90">
        <v>3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0.16129032258064516</v>
      </c>
      <c r="E10" s="59" t="s">
        <v>71</v>
      </c>
      <c r="F10" s="56" t="s">
        <v>26</v>
      </c>
      <c r="G10" s="44">
        <v>6</v>
      </c>
      <c r="H10" s="129">
        <f>IF(B$17=0,0,G10/B$17)</f>
        <v>0.10344827586206896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-23.529411764705884</v>
      </c>
      <c r="P10" s="114">
        <v>17</v>
      </c>
      <c r="Q10" s="102">
        <v>-400</v>
      </c>
    </row>
    <row r="11" spans="1:17" x14ac:dyDescent="0.4">
      <c r="A11" s="52" t="s">
        <v>138</v>
      </c>
      <c r="B11" s="45">
        <v>1</v>
      </c>
      <c r="C11" s="38">
        <f t="shared" si="1"/>
        <v>3.2258064516129031E-2</v>
      </c>
      <c r="E11" s="59" t="s">
        <v>83</v>
      </c>
      <c r="F11" s="56" t="s">
        <v>38</v>
      </c>
      <c r="G11" s="44">
        <v>5</v>
      </c>
      <c r="H11" s="129">
        <f>IF(B$17=0,0,G11/B$17)</f>
        <v>8.6206896551724144E-2</v>
      </c>
      <c r="I11" s="90">
        <v>3</v>
      </c>
      <c r="K11" s="36">
        <v>9</v>
      </c>
      <c r="L11" s="95">
        <v>-150.6</v>
      </c>
      <c r="N11" s="111" t="s">
        <v>163</v>
      </c>
      <c r="O11" s="121">
        <f>IF(P11=0,0,Q11/P11)</f>
        <v>-7.2874999999999988</v>
      </c>
      <c r="P11" s="115">
        <v>8</v>
      </c>
      <c r="Q11" s="103">
        <v>-58.29999999999999</v>
      </c>
    </row>
    <row r="12" spans="1:17" x14ac:dyDescent="0.4">
      <c r="A12" s="53" t="s">
        <v>158</v>
      </c>
      <c r="B12" s="46">
        <v>1</v>
      </c>
      <c r="C12" s="40">
        <f t="shared" si="1"/>
        <v>3.2258064516129031E-2</v>
      </c>
      <c r="E12" s="59" t="s">
        <v>69</v>
      </c>
      <c r="F12" s="56" t="s">
        <v>24</v>
      </c>
      <c r="G12" s="44">
        <v>4</v>
      </c>
      <c r="H12" s="129">
        <f>IF(B$17=0,0,G12/B$17)</f>
        <v>6.8965517241379309E-2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-2.4666666666666663</v>
      </c>
      <c r="P12" s="116">
        <v>6</v>
      </c>
      <c r="Q12" s="104">
        <v>-14.799999999999999</v>
      </c>
    </row>
    <row r="13" spans="1:17" x14ac:dyDescent="0.4">
      <c r="A13" s="54" t="s">
        <v>121</v>
      </c>
      <c r="B13" s="47">
        <v>48</v>
      </c>
      <c r="C13" s="42">
        <f>IF(B$3=0,0,B13/B$3)</f>
        <v>0.192</v>
      </c>
      <c r="E13" s="59" t="s">
        <v>70</v>
      </c>
      <c r="F13" s="56" t="s">
        <v>25</v>
      </c>
      <c r="G13" s="44">
        <v>4</v>
      </c>
      <c r="H13" s="129">
        <f>IF(B$17=0,0,G13/B$17)</f>
        <v>6.8965517241379309E-2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55</v>
      </c>
      <c r="C14" s="37">
        <f>IF(B$3=0,0,B14/B$3)</f>
        <v>0.22</v>
      </c>
      <c r="E14" s="59" t="s">
        <v>86</v>
      </c>
      <c r="F14" s="56" t="s">
        <v>41</v>
      </c>
      <c r="G14" s="44">
        <v>4</v>
      </c>
      <c r="H14" s="129">
        <f>IF(B$17=0,0,G14/B$17)</f>
        <v>6.8965517241379309E-2</v>
      </c>
      <c r="I14" s="90">
        <v>2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0.54166666666666663</v>
      </c>
      <c r="E15" s="59" t="s">
        <v>81</v>
      </c>
      <c r="F15" s="56" t="s">
        <v>36</v>
      </c>
      <c r="G15" s="44">
        <v>2</v>
      </c>
      <c r="H15" s="129">
        <f>IF(B$17=0,0,G15/B$17)</f>
        <v>3.4482758620689655E-2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22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1.7241379310344827E-2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 t="shared" si="2"/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58</v>
      </c>
      <c r="C17" s="35">
        <f>IF(B$3=0,0,B17/B$3)</f>
        <v>0.23200000000000001</v>
      </c>
      <c r="E17" s="59" t="s">
        <v>78</v>
      </c>
      <c r="F17" s="56" t="s">
        <v>33</v>
      </c>
      <c r="G17" s="44">
        <v>1</v>
      </c>
      <c r="H17" s="129">
        <f>IF(B$17=0,0,G17/B$17)</f>
        <v>1.7241379310344827E-2</v>
      </c>
      <c r="I17" s="90">
        <v>7</v>
      </c>
      <c r="K17" s="36">
        <v>15</v>
      </c>
      <c r="L17" s="95">
        <v>-272.50000000000006</v>
      </c>
      <c r="N17" s="111" t="s">
        <v>178</v>
      </c>
      <c r="O17" s="121">
        <f t="shared" si="2"/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28</v>
      </c>
      <c r="C18" s="37">
        <f>IF(B$17=0,0,B18/B$17)</f>
        <v>0.48275862068965519</v>
      </c>
      <c r="E18" s="59" t="s">
        <v>95</v>
      </c>
      <c r="F18" s="56" t="s">
        <v>50</v>
      </c>
      <c r="G18" s="44">
        <v>1</v>
      </c>
      <c r="H18" s="129">
        <f>IF(B$17=0,0,G18/B$17)</f>
        <v>1.7241379310344827E-2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 t="shared" si="2"/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30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4</v>
      </c>
      <c r="K19" s="36">
        <v>17</v>
      </c>
      <c r="L19" s="95">
        <v>-352.60000000000008</v>
      </c>
      <c r="N19" s="111" t="s">
        <v>126</v>
      </c>
      <c r="O19" s="121">
        <f t="shared" si="2"/>
        <v>-21.422222222222224</v>
      </c>
      <c r="P19" s="115">
        <v>9</v>
      </c>
      <c r="Q19" s="103">
        <v>-192.8</v>
      </c>
    </row>
    <row r="20" spans="1:17" x14ac:dyDescent="0.4">
      <c r="A20" s="51" t="s">
        <v>13</v>
      </c>
      <c r="B20" s="44">
        <v>47</v>
      </c>
      <c r="C20" s="37">
        <f>IF(B$3=0,0,B20/B$3)</f>
        <v>0.188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7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127</v>
      </c>
      <c r="O21" s="121">
        <f t="shared" si="2"/>
        <v>-37.040000000000006</v>
      </c>
      <c r="P21" s="115">
        <v>10</v>
      </c>
      <c r="Q21" s="103">
        <v>-370.40000000000003</v>
      </c>
    </row>
    <row r="22" spans="1:17" x14ac:dyDescent="0.4">
      <c r="A22" s="51" t="s">
        <v>170</v>
      </c>
      <c r="B22" s="44">
        <v>16</v>
      </c>
      <c r="C22" s="131">
        <v>6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-428.10000000000008</v>
      </c>
      <c r="N22" s="111" t="s">
        <v>181</v>
      </c>
      <c r="O22" s="121">
        <f t="shared" si="2"/>
        <v>-52.525000000000006</v>
      </c>
      <c r="P22" s="115">
        <v>4</v>
      </c>
      <c r="Q22" s="103">
        <v>-210.10000000000002</v>
      </c>
    </row>
    <row r="23" spans="1:17" x14ac:dyDescent="0.4">
      <c r="A23" s="51" t="s">
        <v>5</v>
      </c>
      <c r="B23" s="48">
        <f>IF(B$17=0,0,C23/B$17)</f>
        <v>7901.7241379310344</v>
      </c>
      <c r="C23" s="39">
        <v>458300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8158.333333333333</v>
      </c>
      <c r="C24" s="137">
        <v>293700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7481.818181818182</v>
      </c>
      <c r="C25" s="137">
        <v>164600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-8059.5744680851067</v>
      </c>
      <c r="C26" s="137">
        <v>-378800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4.0000000000000001E-3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B0502-F2FB-489B-964E-EF7B70D9743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16</v>
      </c>
      <c r="C2" s="149"/>
      <c r="E2" s="58" t="s">
        <v>66</v>
      </c>
      <c r="F2" s="55" t="s">
        <v>22</v>
      </c>
      <c r="G2" s="43">
        <v>43</v>
      </c>
      <c r="H2" s="128">
        <f>IF(B$17=0,0,G2/B$17)</f>
        <v>0.9555555555555556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-1087.5</v>
      </c>
      <c r="P2" s="114">
        <v>16</v>
      </c>
      <c r="Q2" s="98">
        <v>-17400</v>
      </c>
    </row>
    <row r="3" spans="1:17" x14ac:dyDescent="0.4">
      <c r="A3" s="51" t="s">
        <v>8</v>
      </c>
      <c r="B3" s="150">
        <v>154</v>
      </c>
      <c r="C3" s="151"/>
      <c r="E3" s="59" t="s">
        <v>64</v>
      </c>
      <c r="F3" s="56" t="s">
        <v>20</v>
      </c>
      <c r="G3" s="44">
        <v>28</v>
      </c>
      <c r="H3" s="129">
        <f>IF(B$17=0,0,G3/B$17)</f>
        <v>0.62222222222222223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-706.25</v>
      </c>
      <c r="P3" s="115">
        <v>16</v>
      </c>
      <c r="Q3" s="99">
        <v>-11300</v>
      </c>
    </row>
    <row r="4" spans="1:17" x14ac:dyDescent="0.4">
      <c r="A4" s="51" t="s">
        <v>6</v>
      </c>
      <c r="B4" s="152">
        <v>28.300000000000004</v>
      </c>
      <c r="C4" s="153"/>
      <c r="E4" s="59" t="s">
        <v>68</v>
      </c>
      <c r="F4" s="56" t="s">
        <v>12</v>
      </c>
      <c r="G4" s="44">
        <v>19</v>
      </c>
      <c r="H4" s="129">
        <f>IF(B$17=0,0,G4/B$17)</f>
        <v>0.42222222222222222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360</v>
      </c>
      <c r="P4" s="115">
        <v>15</v>
      </c>
      <c r="Q4" s="99">
        <v>5400</v>
      </c>
    </row>
    <row r="5" spans="1:17" x14ac:dyDescent="0.4">
      <c r="A5" s="51" t="s">
        <v>7</v>
      </c>
      <c r="B5" s="154">
        <f>IF(B$2=0,0,B$4/B$2)</f>
        <v>1.7687500000000003</v>
      </c>
      <c r="C5" s="155"/>
      <c r="E5" s="59" t="s">
        <v>171</v>
      </c>
      <c r="F5" s="56" t="s">
        <v>172</v>
      </c>
      <c r="G5" s="44">
        <v>15</v>
      </c>
      <c r="H5" s="129">
        <f>IF(B$17=0,0,G5/B$17)</f>
        <v>0.33333333333333331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-2213.3333333333335</v>
      </c>
      <c r="P5" s="115">
        <v>15</v>
      </c>
      <c r="Q5" s="99">
        <v>-33200</v>
      </c>
    </row>
    <row r="6" spans="1:17" x14ac:dyDescent="0.4">
      <c r="A6" s="51" t="s">
        <v>1</v>
      </c>
      <c r="B6" s="144">
        <f>IF(B$2=0,0,(B$7*1+B$8*2+B$9*3)/B$2)</f>
        <v>1.9375</v>
      </c>
      <c r="C6" s="145"/>
      <c r="E6" s="59" t="s">
        <v>72</v>
      </c>
      <c r="F6" s="56" t="s">
        <v>27</v>
      </c>
      <c r="G6" s="44">
        <v>14</v>
      </c>
      <c r="H6" s="129">
        <f>IF(B$17=0,0,G6/B$17)</f>
        <v>0.31111111111111112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6414.2857142857147</v>
      </c>
      <c r="P6" s="115">
        <v>14</v>
      </c>
      <c r="Q6" s="99">
        <v>89800</v>
      </c>
    </row>
    <row r="7" spans="1:17" x14ac:dyDescent="0.4">
      <c r="A7" s="51" t="s">
        <v>2</v>
      </c>
      <c r="B7" s="44">
        <v>6</v>
      </c>
      <c r="C7" s="37">
        <f t="shared" ref="C7:C12" si="1">IF(B$2=0,0,B7/B$2)</f>
        <v>0.375</v>
      </c>
      <c r="E7" s="59" t="s">
        <v>67</v>
      </c>
      <c r="F7" s="56" t="s">
        <v>23</v>
      </c>
      <c r="G7" s="44">
        <v>11</v>
      </c>
      <c r="H7" s="129">
        <f>IF(B$17=0,0,G7/B$17)</f>
        <v>0.24444444444444444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-545.4545454545455</v>
      </c>
      <c r="P7" s="116">
        <v>11</v>
      </c>
      <c r="Q7" s="100">
        <v>-6000</v>
      </c>
    </row>
    <row r="8" spans="1:17" x14ac:dyDescent="0.4">
      <c r="A8" s="51" t="s">
        <v>3</v>
      </c>
      <c r="B8" s="44">
        <v>5</v>
      </c>
      <c r="C8" s="37">
        <f t="shared" si="1"/>
        <v>0.3125</v>
      </c>
      <c r="E8" s="59" t="s">
        <v>69</v>
      </c>
      <c r="F8" s="56" t="s">
        <v>24</v>
      </c>
      <c r="G8" s="44">
        <v>10</v>
      </c>
      <c r="H8" s="129">
        <f>IF(B$17=0,0,G8/B$17)</f>
        <v>0.22222222222222221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5</v>
      </c>
      <c r="C9" s="38">
        <f t="shared" si="1"/>
        <v>0.3125</v>
      </c>
      <c r="E9" s="59" t="s">
        <v>65</v>
      </c>
      <c r="F9" s="56" t="s">
        <v>21</v>
      </c>
      <c r="G9" s="44">
        <v>6</v>
      </c>
      <c r="H9" s="129">
        <f>IF(B$17=0,0,G9/B$17)</f>
        <v>0.13333333333333333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0.125</v>
      </c>
      <c r="E10" s="59" t="s">
        <v>71</v>
      </c>
      <c r="F10" s="56" t="s">
        <v>26</v>
      </c>
      <c r="G10" s="44">
        <v>6</v>
      </c>
      <c r="H10" s="129">
        <f>IF(B$17=0,0,G10/B$17)</f>
        <v>0.13333333333333333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-0.85714285714285665</v>
      </c>
      <c r="P10" s="114">
        <v>7</v>
      </c>
      <c r="Q10" s="102">
        <v>-5.9999999999999964</v>
      </c>
    </row>
    <row r="11" spans="1:17" x14ac:dyDescent="0.4">
      <c r="A11" s="52" t="s">
        <v>138</v>
      </c>
      <c r="B11" s="45">
        <v>2</v>
      </c>
      <c r="C11" s="38">
        <f t="shared" si="1"/>
        <v>0.125</v>
      </c>
      <c r="E11" s="59" t="s">
        <v>70</v>
      </c>
      <c r="F11" s="56" t="s">
        <v>25</v>
      </c>
      <c r="G11" s="44">
        <v>5</v>
      </c>
      <c r="H11" s="129">
        <f>IF(B$17=0,0,G11/B$17)</f>
        <v>0.1111111111111111</v>
      </c>
      <c r="I11" s="90">
        <v>5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3</v>
      </c>
      <c r="H12" s="129">
        <f>IF(B$17=0,0,G12/B$17)</f>
        <v>6.6666666666666666E-2</v>
      </c>
      <c r="I12" s="90">
        <v>11</v>
      </c>
      <c r="K12" s="36">
        <v>10</v>
      </c>
      <c r="L12" s="95">
        <v>162.80000000000001</v>
      </c>
      <c r="N12" s="112" t="s">
        <v>164</v>
      </c>
      <c r="O12" s="122">
        <f>IF(P12=0,0,Q12/P12)</f>
        <v>-0.13333333333333405</v>
      </c>
      <c r="P12" s="116">
        <v>6</v>
      </c>
      <c r="Q12" s="104">
        <v>-0.80000000000000426</v>
      </c>
    </row>
    <row r="13" spans="1:17" x14ac:dyDescent="0.4">
      <c r="A13" s="54" t="s">
        <v>121</v>
      </c>
      <c r="B13" s="47">
        <v>45</v>
      </c>
      <c r="C13" s="42">
        <f>IF(B$3=0,0,B13/B$3)</f>
        <v>0.29220779220779219</v>
      </c>
      <c r="E13" s="59" t="s">
        <v>86</v>
      </c>
      <c r="F13" s="56" t="s">
        <v>41</v>
      </c>
      <c r="G13" s="44">
        <v>2</v>
      </c>
      <c r="H13" s="129">
        <f>IF(B$17=0,0,G13/B$17)</f>
        <v>4.4444444444444446E-2</v>
      </c>
      <c r="I13" s="90">
        <v>5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0.14285714285714285</v>
      </c>
      <c r="E14" s="59" t="s">
        <v>75</v>
      </c>
      <c r="F14" s="56" t="s">
        <v>30</v>
      </c>
      <c r="G14" s="44">
        <v>1</v>
      </c>
      <c r="H14" s="129">
        <f>IF(B$17=0,0,G14/B$17)</f>
        <v>2.2222222222222223E-2</v>
      </c>
      <c r="I14" s="90">
        <v>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28</v>
      </c>
      <c r="C15" s="35">
        <f>IF(B$13=0,0,B15/B$13)</f>
        <v>0.62222222222222223</v>
      </c>
      <c r="E15" s="59" t="s">
        <v>78</v>
      </c>
      <c r="F15" s="56" t="s">
        <v>33</v>
      </c>
      <c r="G15" s="44">
        <v>1</v>
      </c>
      <c r="H15" s="129">
        <f>IF(B$17=0,0,G15/B$17)</f>
        <v>2.2222222222222223E-2</v>
      </c>
      <c r="I15" s="90">
        <v>5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52.525000000000006</v>
      </c>
      <c r="P15" s="114">
        <v>4</v>
      </c>
      <c r="Q15" s="102">
        <v>210.10000000000002</v>
      </c>
    </row>
    <row r="16" spans="1:17" x14ac:dyDescent="0.4">
      <c r="A16" s="50" t="s">
        <v>124</v>
      </c>
      <c r="B16" s="43">
        <v>7</v>
      </c>
      <c r="C16" s="35">
        <f>IF(B$14=0,0,B16/B$14)</f>
        <v>0.31818181818181818</v>
      </c>
      <c r="E16" s="59" t="s">
        <v>81</v>
      </c>
      <c r="F16" s="56" t="s">
        <v>36</v>
      </c>
      <c r="G16" s="44">
        <v>1</v>
      </c>
      <c r="H16" s="129">
        <f>IF(B$17=0,0,G16/B$17)</f>
        <v>2.2222222222222223E-2</v>
      </c>
      <c r="I16" s="90">
        <v>5</v>
      </c>
      <c r="K16" s="36">
        <v>14</v>
      </c>
      <c r="L16" s="95">
        <v>49.900000000000006</v>
      </c>
      <c r="N16" s="111" t="s">
        <v>177</v>
      </c>
      <c r="O16" s="121">
        <f t="shared" si="2"/>
        <v>34.6</v>
      </c>
      <c r="P16" s="115">
        <v>5</v>
      </c>
      <c r="Q16" s="103">
        <v>173</v>
      </c>
    </row>
    <row r="17" spans="1:17" x14ac:dyDescent="0.4">
      <c r="A17" s="50" t="s">
        <v>10</v>
      </c>
      <c r="B17" s="43">
        <f>B19+B18</f>
        <v>45</v>
      </c>
      <c r="C17" s="35">
        <f>IF(B$3=0,0,B17/B$3)</f>
        <v>0.29220779220779219</v>
      </c>
      <c r="E17" s="59" t="s">
        <v>85</v>
      </c>
      <c r="F17" s="56" t="s">
        <v>40</v>
      </c>
      <c r="G17" s="44">
        <v>1</v>
      </c>
      <c r="H17" s="129">
        <f>IF(B$17=0,0,G17/B$17)</f>
        <v>2.2222222222222223E-2</v>
      </c>
      <c r="I17" s="90">
        <v>1</v>
      </c>
      <c r="K17" s="36">
        <v>15</v>
      </c>
      <c r="L17" s="95">
        <v>73.7</v>
      </c>
      <c r="N17" s="111" t="s">
        <v>166</v>
      </c>
      <c r="O17" s="121">
        <f t="shared" si="2"/>
        <v>5.0400000000000009</v>
      </c>
      <c r="P17" s="115">
        <v>5</v>
      </c>
      <c r="Q17" s="103">
        <v>25.200000000000003</v>
      </c>
    </row>
    <row r="18" spans="1:17" x14ac:dyDescent="0.4">
      <c r="A18" s="51" t="s">
        <v>12</v>
      </c>
      <c r="B18" s="44">
        <v>24</v>
      </c>
      <c r="C18" s="37">
        <f>IF(B$17=0,0,B18/B$17)</f>
        <v>0.53333333333333333</v>
      </c>
      <c r="E18" s="59" t="s">
        <v>87</v>
      </c>
      <c r="F18" s="56" t="s">
        <v>42</v>
      </c>
      <c r="G18" s="44">
        <v>1</v>
      </c>
      <c r="H18" s="129">
        <f>IF(B$17=0,0,G18/B$17)</f>
        <v>2.2222222222222223E-2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2"/>
        <v>2.5666666666666664</v>
      </c>
      <c r="P18" s="115">
        <v>3</v>
      </c>
      <c r="Q18" s="103">
        <v>7.6999999999999993</v>
      </c>
    </row>
    <row r="19" spans="1:17" x14ac:dyDescent="0.4">
      <c r="A19" s="51" t="s">
        <v>11</v>
      </c>
      <c r="B19" s="44">
        <v>21</v>
      </c>
      <c r="C19" s="37">
        <f>IF(B$17=0,0,B19/B$17)</f>
        <v>0.46666666666666667</v>
      </c>
      <c r="E19" s="59" t="s">
        <v>167</v>
      </c>
      <c r="F19" s="56" t="s">
        <v>168</v>
      </c>
      <c r="G19" s="44">
        <v>1</v>
      </c>
      <c r="H19" s="129">
        <f>IF(B$17=0,0,G19/B$17)</f>
        <v>2.2222222222222223E-2</v>
      </c>
      <c r="I19" s="90">
        <v>5</v>
      </c>
      <c r="N19" s="111" t="s">
        <v>179</v>
      </c>
      <c r="O19" s="121">
        <f t="shared" si="2"/>
        <v>-3.7285714285714278</v>
      </c>
      <c r="P19" s="115">
        <v>7</v>
      </c>
      <c r="Q19" s="103">
        <v>-26.099999999999994</v>
      </c>
    </row>
    <row r="20" spans="1:17" x14ac:dyDescent="0.4">
      <c r="A20" s="51" t="s">
        <v>13</v>
      </c>
      <c r="B20" s="44">
        <v>20</v>
      </c>
      <c r="C20" s="37">
        <f>IF(B$3=0,0,B20/B$3)</f>
        <v>0.12987012987012986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4</v>
      </c>
      <c r="N20" s="111" t="s">
        <v>195</v>
      </c>
      <c r="O20" s="121">
        <f t="shared" si="2"/>
        <v>-17.850000000000001</v>
      </c>
      <c r="P20" s="115">
        <v>2</v>
      </c>
      <c r="Q20" s="103">
        <v>-35.700000000000003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6</v>
      </c>
      <c r="N21" s="111" t="s">
        <v>127</v>
      </c>
      <c r="O21" s="121">
        <f t="shared" si="2"/>
        <v>-19.850000000000001</v>
      </c>
      <c r="P21" s="115">
        <v>2</v>
      </c>
      <c r="Q21" s="103">
        <v>-39.700000000000003</v>
      </c>
    </row>
    <row r="22" spans="1:17" x14ac:dyDescent="0.4">
      <c r="A22" s="51" t="s">
        <v>170</v>
      </c>
      <c r="B22" s="44">
        <v>19</v>
      </c>
      <c r="C22" s="131">
        <v>5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N22" s="111" t="s">
        <v>126</v>
      </c>
      <c r="O22" s="121">
        <f t="shared" si="2"/>
        <v>-57.4</v>
      </c>
      <c r="P22" s="115">
        <v>4</v>
      </c>
      <c r="Q22" s="103">
        <v>-229.6</v>
      </c>
    </row>
    <row r="23" spans="1:17" x14ac:dyDescent="0.4">
      <c r="A23" s="51" t="s">
        <v>5</v>
      </c>
      <c r="B23" s="48">
        <f>IF(B$17=0,0,C23/B$17)</f>
        <v>7646.666666666667</v>
      </c>
      <c r="C23" s="39">
        <v>344100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</row>
    <row r="24" spans="1:17" x14ac:dyDescent="0.4">
      <c r="A24" s="52" t="s">
        <v>216</v>
      </c>
      <c r="B24" s="136">
        <f>IF($B$17-B$16=0,0,C24/($B$17-B$16))</f>
        <v>7968.4210526315792</v>
      </c>
      <c r="C24" s="137">
        <v>302800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</row>
    <row r="25" spans="1:17" x14ac:dyDescent="0.4">
      <c r="A25" s="52" t="s">
        <v>217</v>
      </c>
      <c r="B25" s="136">
        <f>IF(B$16=0,0,C25/B$16)</f>
        <v>5900</v>
      </c>
      <c r="C25" s="137">
        <v>41300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-6845</v>
      </c>
      <c r="C26" s="137">
        <v>-136900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83</v>
      </c>
      <c r="F27" s="56" t="s">
        <v>38</v>
      </c>
      <c r="G27" s="44">
        <v>0</v>
      </c>
      <c r="H27" s="129">
        <f>IF(B$17=0,0,G27/B$17)</f>
        <v>0</v>
      </c>
      <c r="I27" s="90">
        <v>11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5A7E-A4E6-4C4A-9953-6A7A7A3E591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8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4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6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7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05C52-3EE3-49FD-86F5-8F450E38683A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9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6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7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4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8951-ECCB-4CA5-9744-13BBF88EC44F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4C037-7879-4D0A-B7EB-DB6057C63977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EE9AC-1E1A-4D90-904E-AF9E27AF6EE7}">
  <sheetPr codeName="Sheet22"/>
  <dimension ref="A1:Q1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E1EE0-6AC7-4B51-9716-FDABF97C50F8}">
  <sheetPr codeName="Sheet20"/>
  <dimension ref="A1:Q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C6794-A78C-46E7-983B-7EEAE7E3E00A}">
  <sheetPr codeName="Sheet18"/>
  <dimension ref="A1:Q7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28074-42DF-4E6D-8D33-C62B48F3A3ED}">
  <sheetPr codeName="Sheet16"/>
  <dimension ref="A1:Q5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D5BD0-EC4F-4029-B08D-32CB7FCDEF5C}">
  <sheetPr codeName="Sheet14"/>
  <dimension ref="A1:Q6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A1DE-4F14-4BC4-8B40-86C004BA5BA9}">
  <sheetPr codeName="Sheet12"/>
  <dimension ref="A1:Q8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3A15F-83E3-499E-A8C2-2E19DFB397A7}">
  <sheetPr codeName="Sheet10"/>
  <dimension ref="A1:Q9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35D12-20C0-44BC-8A8C-FDB840461A88}">
  <sheetPr codeName="Sheet8"/>
  <dimension ref="A1:Q4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6B99A-13DC-44A1-ACFB-E468DDBB39F4}">
  <sheetPr codeName="Sheet6"/>
  <dimension ref="A1:Q15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2019-10-29T00:11:44Z</dcterms:modified>
</cp:coreProperties>
</file>