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40C3116-4C69-4674-982D-8A3CD29A12B2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ただ" sheetId="5817" r:id="rId9"/>
    <sheet name="りくと" sheetId="5819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ほたに2" sheetId="5830" state="hidden" r:id="rId16"/>
    <sheet name="ぱぱ2" sheetId="5828" state="hidden" r:id="rId17"/>
    <sheet name="のり2" sheetId="5826" state="hidden" r:id="rId18"/>
    <sheet name="まっつん2" sheetId="5824" state="hidden" r:id="rId19"/>
    <sheet name="れんたろう2" sheetId="5822" state="hidden" r:id="rId20"/>
    <sheet name="りくと2" sheetId="5820" state="hidden" r:id="rId21"/>
    <sheet name="ただ2" sheetId="5818" state="hidden" r:id="rId22"/>
    <sheet name="だいち2" sheetId="5816" state="hidden" r:id="rId23"/>
    <sheet name="たかの2" sheetId="5814" state="hidden" r:id="rId24"/>
    <sheet name="全体2" sheetId="58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813" l="1"/>
  <c r="O16" i="5821"/>
  <c r="O15" i="5821" l="1"/>
  <c r="O19" i="5829"/>
  <c r="O15" i="5819" l="1"/>
  <c r="O18" i="5825"/>
  <c r="O16" i="5829" l="1"/>
  <c r="O22" i="5819"/>
  <c r="O20" i="5813" l="1"/>
  <c r="O16" i="5815"/>
  <c r="O15" i="5825"/>
  <c r="O19" i="5825"/>
  <c r="O20" i="5823" l="1"/>
  <c r="O18" i="5827"/>
  <c r="O16" i="5817" l="1"/>
  <c r="O17" i="5823"/>
  <c r="O20" i="5825"/>
  <c r="O16" i="5825"/>
  <c r="O18" i="5813" l="1"/>
  <c r="O19" i="5827"/>
  <c r="O20" i="5827"/>
  <c r="O18" i="5819"/>
  <c r="O17" i="5817" l="1"/>
  <c r="O21" i="5821"/>
  <c r="O20" i="5821" l="1"/>
  <c r="O21" i="5815"/>
  <c r="O22" i="5825"/>
  <c r="O17" i="5829"/>
  <c r="O15" i="5829"/>
  <c r="O21" i="5827"/>
  <c r="O15" i="5817" l="1"/>
  <c r="O18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19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19" i="5819"/>
  <c r="O17" i="5815" l="1"/>
  <c r="O18" i="5823"/>
  <c r="O22" i="5823"/>
  <c r="O16" i="5813"/>
  <c r="O20" i="5817"/>
  <c r="O16" i="5819"/>
  <c r="O17" i="5819"/>
  <c r="O19" i="5813"/>
  <c r="O22" i="5817"/>
  <c r="O15" i="5815"/>
  <c r="O17" i="5827"/>
  <c r="O22" i="5827"/>
  <c r="O22" i="5821" l="1"/>
  <c r="O18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7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3" i="5811"/>
  <c r="H21" i="5827" l="1"/>
  <c r="H11" i="5827"/>
  <c r="H52" i="5827"/>
  <c r="H19" i="5827"/>
  <c r="C17" i="5827"/>
  <c r="H31" i="5827"/>
  <c r="C19" i="5827"/>
  <c r="H37" i="5827"/>
  <c r="H10" i="5827"/>
  <c r="H15" i="5827"/>
  <c r="H45" i="5827"/>
  <c r="H39" i="5827"/>
  <c r="H4" i="5827"/>
  <c r="B24" i="5827"/>
  <c r="H47" i="5827"/>
  <c r="H22" i="5827"/>
  <c r="H12" i="5827"/>
  <c r="H30" i="5827"/>
  <c r="H38" i="5827"/>
  <c r="H46" i="5827"/>
  <c r="H48" i="5827"/>
  <c r="H14" i="5827"/>
  <c r="H26" i="5827"/>
  <c r="H33" i="5827"/>
  <c r="H41" i="5827"/>
  <c r="H49" i="5827"/>
  <c r="H6" i="5827"/>
  <c r="H32" i="5827"/>
  <c r="H23" i="5827"/>
  <c r="H27" i="5827"/>
  <c r="H28" i="5827"/>
  <c r="H34" i="5827"/>
  <c r="H42" i="5827"/>
  <c r="H50" i="5827"/>
  <c r="H17" i="5827"/>
  <c r="H8" i="5827"/>
  <c r="H7" i="5827"/>
  <c r="H18" i="5827"/>
  <c r="H20" i="5827"/>
  <c r="C18" i="5827"/>
  <c r="B23" i="5827"/>
  <c r="H13" i="5827"/>
  <c r="H35" i="5827"/>
  <c r="H43" i="5827"/>
  <c r="H51" i="5827"/>
  <c r="H2" i="5827"/>
  <c r="H25" i="5827"/>
  <c r="H40" i="5827"/>
  <c r="H3" i="5827"/>
  <c r="H9" i="5827"/>
  <c r="H24" i="5827"/>
  <c r="H16" i="5827"/>
  <c r="H29" i="5827"/>
  <c r="H36" i="5827"/>
  <c r="H44" i="5827"/>
  <c r="H8" i="5825"/>
  <c r="H3" i="5825"/>
  <c r="H4" i="5825"/>
  <c r="H7" i="5825"/>
  <c r="H29" i="5825"/>
  <c r="H2" i="5825"/>
  <c r="H44" i="5825"/>
  <c r="H6" i="5825"/>
  <c r="H16" i="5825"/>
  <c r="H23" i="5825"/>
  <c r="H10" i="5825"/>
  <c r="H26" i="5825"/>
  <c r="H12" i="5825"/>
  <c r="C17" i="5825"/>
  <c r="H36" i="5825"/>
  <c r="H13" i="5825"/>
  <c r="H11" i="5825"/>
  <c r="H30" i="5825"/>
  <c r="H38" i="5825"/>
  <c r="H46" i="5825"/>
  <c r="H17" i="5825"/>
  <c r="H31" i="5825"/>
  <c r="H39" i="5825"/>
  <c r="H47" i="5825"/>
  <c r="H24" i="5825"/>
  <c r="H19" i="5825"/>
  <c r="H9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5" i="5825"/>
  <c r="H5" i="5825"/>
  <c r="H18" i="5825"/>
  <c r="H20" i="5825"/>
  <c r="C18" i="5825"/>
  <c r="B23" i="5825"/>
  <c r="H14" i="5825"/>
  <c r="H35" i="5825"/>
  <c r="H43" i="5825"/>
  <c r="H51" i="5825"/>
  <c r="H21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7" i="5821"/>
  <c r="O19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20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7" i="5819"/>
  <c r="H17" i="5819"/>
  <c r="H6" i="5819"/>
  <c r="H10" i="5819"/>
  <c r="H48" i="5819"/>
  <c r="H31" i="5819"/>
  <c r="H47" i="5819"/>
  <c r="H4" i="5823"/>
  <c r="H26" i="5823"/>
  <c r="H18" i="5823"/>
  <c r="H11" i="5823"/>
  <c r="H10" i="5823"/>
  <c r="H12" i="5823"/>
  <c r="H7" i="5823"/>
  <c r="C17" i="5823"/>
  <c r="H22" i="5823"/>
  <c r="H27" i="5823"/>
  <c r="H13" i="5823"/>
  <c r="H19" i="5823"/>
  <c r="H40" i="5823"/>
  <c r="H47" i="5823"/>
  <c r="H16" i="5823"/>
  <c r="H33" i="5823"/>
  <c r="H41" i="5823"/>
  <c r="H48" i="5823"/>
  <c r="H2" i="5823"/>
  <c r="H34" i="5823"/>
  <c r="H8" i="5823"/>
  <c r="H23" i="5823"/>
  <c r="H15" i="5823"/>
  <c r="H35" i="5823"/>
  <c r="H42" i="5823"/>
  <c r="H50" i="5823"/>
  <c r="H20" i="5823"/>
  <c r="H14" i="5823"/>
  <c r="H29" i="5823"/>
  <c r="H31" i="5823"/>
  <c r="H36" i="5823"/>
  <c r="H43" i="5823"/>
  <c r="H51" i="5823"/>
  <c r="H3" i="5823"/>
  <c r="H28" i="5823"/>
  <c r="H30" i="5823"/>
  <c r="H49" i="5823"/>
  <c r="H6" i="5823"/>
  <c r="H21" i="5823"/>
  <c r="H24" i="5823"/>
  <c r="C18" i="5823"/>
  <c r="B23" i="5823"/>
  <c r="H9" i="5823"/>
  <c r="H37" i="5823"/>
  <c r="H44" i="5823"/>
  <c r="H17" i="5823"/>
  <c r="H32" i="5823"/>
  <c r="H38" i="5823"/>
  <c r="H45" i="5823"/>
  <c r="H5" i="5823"/>
  <c r="H25" i="5823"/>
  <c r="C19" i="5823"/>
  <c r="B24" i="5823"/>
  <c r="H39" i="5823"/>
  <c r="H46" i="5823"/>
  <c r="H25" i="5821"/>
  <c r="H13" i="5821"/>
  <c r="H2" i="5821"/>
  <c r="H39" i="5821"/>
  <c r="H14" i="5821"/>
  <c r="H46" i="5821"/>
  <c r="H7" i="5821"/>
  <c r="H47" i="5821"/>
  <c r="H10" i="5821"/>
  <c r="H20" i="5821"/>
  <c r="H22" i="5821"/>
  <c r="C17" i="5821"/>
  <c r="H15" i="5821"/>
  <c r="H16" i="5821"/>
  <c r="H38" i="5821"/>
  <c r="H48" i="5821"/>
  <c r="H9" i="5821"/>
  <c r="H17" i="5821"/>
  <c r="H12" i="5821"/>
  <c r="H33" i="5821"/>
  <c r="H41" i="5821"/>
  <c r="H49" i="5821"/>
  <c r="H28" i="5821"/>
  <c r="H26" i="5821"/>
  <c r="H29" i="5821"/>
  <c r="H31" i="5821"/>
  <c r="H34" i="5821"/>
  <c r="H42" i="5821"/>
  <c r="H50" i="5821"/>
  <c r="H30" i="5821"/>
  <c r="H5" i="5821"/>
  <c r="H21" i="5821"/>
  <c r="H23" i="5821"/>
  <c r="C18" i="5821"/>
  <c r="B23" i="5821"/>
  <c r="H8" i="5821"/>
  <c r="H35" i="5821"/>
  <c r="H43" i="5821"/>
  <c r="H51" i="5821"/>
  <c r="H3" i="5821"/>
  <c r="H32" i="5821"/>
  <c r="H4" i="5821"/>
  <c r="H11" i="5821"/>
  <c r="H27" i="5821"/>
  <c r="H18" i="5821"/>
  <c r="H19" i="5821"/>
  <c r="H36" i="5821"/>
  <c r="H44" i="5821"/>
  <c r="H6" i="5821"/>
  <c r="H40" i="5821"/>
  <c r="H24" i="5821"/>
  <c r="C19" i="5821"/>
  <c r="B24" i="5821"/>
  <c r="H37" i="5821"/>
  <c r="H45" i="5821"/>
  <c r="H3" i="5819"/>
  <c r="H8" i="5819"/>
  <c r="H12" i="5819"/>
  <c r="H19" i="5819"/>
  <c r="H22" i="5819"/>
  <c r="H16" i="5819"/>
  <c r="H28" i="5819"/>
  <c r="H32" i="5819"/>
  <c r="H13" i="5819"/>
  <c r="B24" i="5819"/>
  <c r="H37" i="5819"/>
  <c r="H14" i="5819"/>
  <c r="H15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8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1" i="5817" l="1"/>
  <c r="O19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1" i="5811"/>
  <c r="O22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7" i="5817" l="1"/>
  <c r="H13" i="5817"/>
  <c r="H23" i="5817"/>
  <c r="H11" i="5817"/>
  <c r="H3" i="5817"/>
  <c r="H6" i="5813"/>
  <c r="H47" i="5817"/>
  <c r="H19" i="5817"/>
  <c r="C17" i="5817"/>
  <c r="H10" i="5817"/>
  <c r="H18" i="5817"/>
  <c r="H2" i="5817"/>
  <c r="H9" i="5817"/>
  <c r="H16" i="5817"/>
  <c r="H39" i="5817"/>
  <c r="H15" i="5817"/>
  <c r="H20" i="5817"/>
  <c r="H40" i="5817"/>
  <c r="H48" i="5817"/>
  <c r="H27" i="5817"/>
  <c r="H30" i="5817"/>
  <c r="H33" i="5817"/>
  <c r="H41" i="5817"/>
  <c r="H49" i="5817"/>
  <c r="H14" i="5817"/>
  <c r="H34" i="5817"/>
  <c r="H42" i="5817"/>
  <c r="H50" i="5817"/>
  <c r="H17" i="5817"/>
  <c r="H28" i="5817"/>
  <c r="H31" i="5817"/>
  <c r="H35" i="5817"/>
  <c r="H43" i="5817"/>
  <c r="H51" i="5817"/>
  <c r="H6" i="5817"/>
  <c r="H22" i="5817"/>
  <c r="H24" i="5817"/>
  <c r="C18" i="5817"/>
  <c r="B23" i="5817"/>
  <c r="H8" i="5817"/>
  <c r="H36" i="5817"/>
  <c r="H44" i="5817"/>
  <c r="H21" i="5817"/>
  <c r="H5" i="5817"/>
  <c r="H12" i="5817"/>
  <c r="H26" i="5817"/>
  <c r="H29" i="5817"/>
  <c r="H32" i="5817"/>
  <c r="H37" i="5817"/>
  <c r="H45" i="5817"/>
  <c r="H4" i="5817"/>
  <c r="H25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1" i="5815"/>
  <c r="H5" i="5815"/>
  <c r="H10" i="5815"/>
  <c r="H7" i="5815"/>
  <c r="H12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6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7" i="5813"/>
  <c r="H11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16" i="5813"/>
  <c r="C17" i="5813"/>
  <c r="H52" i="5813"/>
  <c r="H18" i="5813"/>
  <c r="H19" i="5813"/>
  <c r="H38" i="5813"/>
  <c r="H46" i="5813"/>
  <c r="H24" i="5813"/>
  <c r="H32" i="5813"/>
  <c r="H39" i="5813"/>
  <c r="H47" i="5813"/>
  <c r="H30" i="5813"/>
  <c r="H48" i="5813"/>
  <c r="H22" i="5813"/>
  <c r="H12" i="5813"/>
  <c r="H41" i="5813"/>
  <c r="H25" i="5813"/>
  <c r="H28" i="5813"/>
  <c r="H15" i="5813"/>
  <c r="H34" i="5813"/>
  <c r="H42" i="5813"/>
  <c r="H50" i="5813"/>
  <c r="H27" i="5813"/>
  <c r="H20" i="5813"/>
  <c r="H40" i="5813"/>
  <c r="H7" i="5813"/>
  <c r="H33" i="5813"/>
  <c r="H49" i="5813"/>
  <c r="H9" i="5813"/>
  <c r="H21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3" i="5811"/>
  <c r="C19" i="5811"/>
  <c r="B24" i="5811"/>
  <c r="H10" i="5811"/>
  <c r="H7" i="5811"/>
  <c r="H12" i="5811"/>
  <c r="H22" i="5811"/>
  <c r="H16" i="5811"/>
  <c r="H14" i="5811"/>
  <c r="H19" i="5811"/>
  <c r="H40" i="5811"/>
  <c r="H47" i="5811"/>
  <c r="H35" i="5811"/>
  <c r="H28" i="5811"/>
  <c r="H29" i="5811"/>
  <c r="H31" i="5811"/>
  <c r="H49" i="5811"/>
  <c r="H3" i="5811"/>
  <c r="H8" i="5811"/>
  <c r="H21" i="5811"/>
  <c r="H13" i="5811"/>
  <c r="H36" i="5811"/>
  <c r="H42" i="5811"/>
  <c r="H50" i="5811"/>
  <c r="H17" i="5811"/>
  <c r="H51" i="5811"/>
  <c r="H26" i="5811"/>
  <c r="H25" i="5811"/>
  <c r="H30" i="5811"/>
  <c r="H43" i="5811"/>
  <c r="H6" i="5811"/>
  <c r="H32" i="5811"/>
  <c r="H33" i="5811"/>
  <c r="C18" i="5811"/>
  <c r="B23" i="5811"/>
  <c r="H9" i="5811"/>
  <c r="H37" i="5811"/>
  <c r="H44" i="5811"/>
  <c r="H18" i="5811"/>
  <c r="H34" i="5811"/>
  <c r="H24" i="5811"/>
  <c r="H27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<sst xmlns="http://schemas.openxmlformats.org/spreadsheetml/2006/main" count="2524" uniqueCount="220">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</sst>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全体!$K$2:$K$317</c:f>
              <c:numCache>
                <c:formatCode>General</c:formatCode>
                <c:ptCount val="3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</c:numCache>
            </c:numRef>
          </c:xVal>
          <c:yVal>
            <c:numRef>
              <c:f>全体!$L$2:$L$317</c:f>
              <c:numCache>
                <c:formatCode>\+0.0;\-0.0;\±0</c:formatCode>
                <c:ptCount val="31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-22.435897435897434</c:v>
                </c:pt>
                <c:pt idx="1">
                  <c:v>16.666666666666668</c:v>
                </c:pt>
                <c:pt idx="2">
                  <c:v>-34.722222222222221</c:v>
                </c:pt>
                <c:pt idx="3">
                  <c:v>29.304029304029303</c:v>
                </c:pt>
                <c:pt idx="4">
                  <c:v>11.764705882352942</c:v>
                </c:pt>
                <c:pt idx="5">
                  <c:v>4.7619047619047619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たかの!$L$2:$L$33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993.54838709677415</c:v>
                </c:pt>
                <c:pt idx="1">
                  <c:v>-930</c:v>
                </c:pt>
                <c:pt idx="2">
                  <c:v>493.10344827586209</c:v>
                </c:pt>
                <c:pt idx="3">
                  <c:v>-2486.2068965517242</c:v>
                </c:pt>
                <c:pt idx="4">
                  <c:v>-1075.8620689655172</c:v>
                </c:pt>
                <c:pt idx="5">
                  <c:v>-2480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だいち!$L$2:$L$69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131.81818181818181</c:v>
                </c:pt>
                <c:pt idx="1">
                  <c:v>458.73015873015873</c:v>
                </c:pt>
                <c:pt idx="2">
                  <c:v>-653.22580645161293</c:v>
                </c:pt>
                <c:pt idx="3">
                  <c:v>-143.85964912280701</c:v>
                </c:pt>
                <c:pt idx="4">
                  <c:v>3638.181818181818</c:v>
                </c:pt>
                <c:pt idx="5">
                  <c:v>3547.7272727272725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ただ!$L$2:$L$63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-1370</c:v>
                </c:pt>
                <c:pt idx="1">
                  <c:v>639.65517241379314</c:v>
                </c:pt>
                <c:pt idx="2">
                  <c:v>1532.7272727272727</c:v>
                </c:pt>
                <c:pt idx="3">
                  <c:v>3238.4615384615386</c:v>
                </c:pt>
                <c:pt idx="4">
                  <c:v>-897.9591836734694</c:v>
                </c:pt>
                <c:pt idx="5">
                  <c:v>1274.3589743589744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りくと!$L$2:$L$39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263.88888888888891</c:v>
                </c:pt>
                <c:pt idx="1">
                  <c:v>-1788.8888888888889</c:v>
                </c:pt>
                <c:pt idx="2">
                  <c:v>1744.1176470588234</c:v>
                </c:pt>
                <c:pt idx="3">
                  <c:v>-1481.8181818181818</c:v>
                </c:pt>
                <c:pt idx="4">
                  <c:v>-3253.125</c:v>
                </c:pt>
                <c:pt idx="5">
                  <c:v>-2124.1379310344828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れんたろう!$L$2:$L$37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2411.4285714285716</c:v>
                </c:pt>
                <c:pt idx="1">
                  <c:v>-1893.939393939394</c:v>
                </c:pt>
                <c:pt idx="2">
                  <c:v>1061.2903225806451</c:v>
                </c:pt>
                <c:pt idx="3">
                  <c:v>3631.0344827586205</c:v>
                </c:pt>
                <c:pt idx="4">
                  <c:v>-2146.1538461538462</c:v>
                </c:pt>
                <c:pt idx="5">
                  <c:v>-1580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1317.7777777777778</c:v>
                </c:pt>
                <c:pt idx="1">
                  <c:v>1583.3333333333333</c:v>
                </c:pt>
                <c:pt idx="2">
                  <c:v>-2653.8461538461538</c:v>
                </c:pt>
                <c:pt idx="3">
                  <c:v>605.55555555555554</c:v>
                </c:pt>
                <c:pt idx="4">
                  <c:v>-587.09677419354841</c:v>
                </c:pt>
                <c:pt idx="5">
                  <c:v>174.07407407407408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-3542.8571428571427</c:v>
                </c:pt>
                <c:pt idx="1">
                  <c:v>-1257.1428571428571</c:v>
                </c:pt>
                <c:pt idx="2">
                  <c:v>-1190.4761904761904</c:v>
                </c:pt>
                <c:pt idx="3">
                  <c:v>-5075</c:v>
                </c:pt>
                <c:pt idx="4">
                  <c:v>-1468.421052631579</c:v>
                </c:pt>
                <c:pt idx="5">
                  <c:v>-3656.25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のり2!$B$3:$B$24</c:f>
              <c:numCache>
                <c:formatCode>\+0.0;\-0.0;\±0</c:formatCode>
                <c:ptCount val="2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のり2!$C$3:$C$24</c:f>
              <c:numCache>
                <c:formatCode>\+0.0;\-0.0;\±0</c:formatCode>
                <c:ptCount val="22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511382449270477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のり2!$D$3:$D$24</c:f>
              <c:numCache>
                <c:formatCode>0.00\ "位"</c:formatCode>
                <c:ptCount val="2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のり2!$E$3:$E$24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のり2!$F$3:$F$24</c:f>
              <c:numCache>
                <c:formatCode>0.0%</c:formatCode>
                <c:ptCount val="2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のり2!$G$3:$G$24</c:f>
              <c:numCache>
                <c:formatCode>0.0%</c:formatCode>
                <c:ptCount val="22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04892966360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のり2!$H$3:$H$24</c:f>
              <c:numCache>
                <c:formatCode>0.0%</c:formatCode>
                <c:ptCount val="22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342507645259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のり2!$I$3:$I$24</c:f>
              <c:numCache>
                <c:formatCode>0</c:formatCode>
                <c:ptCount val="22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18.8481675392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のり2!$J$3:$J$24</c:f>
              <c:numCache>
                <c:formatCode>0</c:formatCode>
                <c:ptCount val="22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5.39503386004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のり2!$K$3:$K$24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587301587301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のり2!$L$3:$L$24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587301587301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のり2!$M$3:$M$24</c:f>
              <c:numCache>
                <c:formatCode>0.0%</c:formatCode>
                <c:ptCount val="22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41284403669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のり2!$N$3:$N$24</c:f>
              <c:numCache>
                <c:formatCode>0.0%</c:formatCode>
                <c:ptCount val="22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73700305810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のり2!$O$3:$O$24</c:f>
              <c:numCache>
                <c:formatCode>0.0%</c:formatCode>
                <c:ptCount val="22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190031152647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のり2!$P$3:$P$24</c:f>
              <c:numCache>
                <c:formatCode>0.0%</c:formatCode>
                <c:ptCount val="2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748031496062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のり2!$Q$3:$Q$24</c:f>
              <c:numCache>
                <c:formatCode>0.0%</c:formatCode>
                <c:ptCount val="22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39267015706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9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43755.031655092593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315</v>
      </c>
    </row>
    <row r="2" spans="1:2" x14ac:dyDescent="0.4">
      <c r="A2" t="s">
        <v>166</v>
      </c>
      <c r="B2">
        <v>31</v>
      </c>
    </row>
    <row r="3" spans="1:2" x14ac:dyDescent="0.4">
      <c r="A3" t="s">
        <v>126</v>
      </c>
      <c r="B3">
        <v>67</v>
      </c>
    </row>
    <row r="4" spans="1:2" x14ac:dyDescent="0.4">
      <c r="A4" t="s">
        <v>127</v>
      </c>
      <c r="B4">
        <v>61</v>
      </c>
    </row>
    <row r="5" spans="1:2" x14ac:dyDescent="0.4">
      <c r="A5" t="s">
        <v>179</v>
      </c>
      <c r="B5">
        <v>37</v>
      </c>
    </row>
    <row r="6" spans="1:2" x14ac:dyDescent="0.4">
      <c r="A6" t="s">
        <v>177</v>
      </c>
      <c r="B6">
        <v>35</v>
      </c>
    </row>
    <row r="7" spans="1:2" x14ac:dyDescent="0.4">
      <c r="A7" t="s">
        <v>178</v>
      </c>
      <c r="B7">
        <v>45</v>
      </c>
    </row>
    <row r="8" spans="1:2" x14ac:dyDescent="0.4">
      <c r="A8" t="s">
        <v>182</v>
      </c>
      <c r="B8">
        <v>21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0.9845888134806664</v>
      </c>
      <c r="G2" s="157"/>
      <c r="H2" s="156">
        <v>0.93509843479199106</v>
      </c>
      <c r="I2" s="157"/>
      <c r="J2" s="156">
        <v>0.98624673767272197</v>
      </c>
      <c r="K2" s="157"/>
      <c r="L2" s="156">
        <v>0.9266513755532455</v>
      </c>
      <c r="M2" s="157"/>
      <c r="N2" s="156">
        <v>0.77834791916069246</v>
      </c>
      <c r="O2" s="157"/>
      <c r="P2" s="156">
        <v>0.38700358192787265</v>
      </c>
      <c r="Q2" s="157"/>
      <c r="R2" s="156">
        <v>0.48834935428944348</v>
      </c>
      <c r="S2" s="157"/>
      <c r="T2" s="156">
        <v>0.5276859470131422</v>
      </c>
      <c r="U2" s="157"/>
      <c r="V2" s="156">
        <v>0.73459310645821263</v>
      </c>
      <c r="W2" s="157"/>
      <c r="X2" s="156">
        <v>0.58079377672210908</v>
      </c>
      <c r="Y2" s="157"/>
      <c r="Z2" s="156">
        <v>4.108834283588432E-2</v>
      </c>
      <c r="AA2" s="157"/>
      <c r="AB2" s="156">
        <v>0.35239095809313009</v>
      </c>
      <c r="AC2" s="157"/>
      <c r="AD2" s="156">
        <v>0.39087892909021021</v>
      </c>
      <c r="AE2" s="157"/>
      <c r="AF2" s="156">
        <v>-1.1854642525493404E-2</v>
      </c>
      <c r="AG2" s="157"/>
      <c r="AH2" s="156">
        <v>0.45410953871009069</v>
      </c>
      <c r="AI2" s="157"/>
    </row>
    <row r="3" spans="1:35" x14ac:dyDescent="0.4">
      <c r="A3" s="70">
        <v>1</v>
      </c>
      <c r="B3" s="71" t="s">
        <v>126</v>
      </c>
      <c r="C3" s="72">
        <v>503.50000000000006</v>
      </c>
      <c r="D3" s="73" t="s">
        <v>181</v>
      </c>
      <c r="E3" s="92">
        <v>11.463636363636365</v>
      </c>
      <c r="F3" s="73" t="s">
        <v>181</v>
      </c>
      <c r="G3" s="74">
        <v>1.7272727272727273</v>
      </c>
      <c r="H3" s="73" t="s">
        <v>181</v>
      </c>
      <c r="I3" s="75">
        <v>0.45454545454545453</v>
      </c>
      <c r="J3" s="73" t="s">
        <v>181</v>
      </c>
      <c r="K3" s="75">
        <v>0.18181818181818182</v>
      </c>
      <c r="L3" s="73" t="s">
        <v>126</v>
      </c>
      <c r="M3" s="76">
        <v>0.33211678832116787</v>
      </c>
      <c r="N3" s="73" t="s">
        <v>181</v>
      </c>
      <c r="O3" s="76">
        <v>0.11650485436893204</v>
      </c>
      <c r="P3" s="73" t="s">
        <v>177</v>
      </c>
      <c r="Q3" s="77">
        <v>10238.666666666666</v>
      </c>
      <c r="R3" s="73" t="s">
        <v>181</v>
      </c>
      <c r="S3" s="77">
        <v>-6041.666666666667</v>
      </c>
      <c r="T3" s="73" t="s">
        <v>166</v>
      </c>
      <c r="U3" s="75">
        <v>0</v>
      </c>
      <c r="V3" s="73" t="s">
        <v>177</v>
      </c>
      <c r="W3" s="75">
        <v>0.2</v>
      </c>
      <c r="X3" s="73" t="s">
        <v>181</v>
      </c>
      <c r="Y3" s="76">
        <v>0.29126213592233008</v>
      </c>
      <c r="Z3" s="73" t="s">
        <v>195</v>
      </c>
      <c r="AA3" s="76">
        <v>0.35483870967741937</v>
      </c>
      <c r="AB3" s="73" t="s">
        <v>181</v>
      </c>
      <c r="AC3" s="76">
        <v>0.66666666666666663</v>
      </c>
      <c r="AD3" s="73" t="s">
        <v>177</v>
      </c>
      <c r="AE3" s="76">
        <v>0.5</v>
      </c>
      <c r="AF3" s="73" t="s">
        <v>181</v>
      </c>
      <c r="AG3" s="76">
        <v>0.52941176470588236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245.89999999999986</v>
      </c>
      <c r="D4" s="81" t="s">
        <v>126</v>
      </c>
      <c r="E4" s="93">
        <v>7.5149253731343295</v>
      </c>
      <c r="F4" s="81" t="s">
        <v>126</v>
      </c>
      <c r="G4" s="82">
        <v>1.791044776119403</v>
      </c>
      <c r="H4" s="81" t="s">
        <v>126</v>
      </c>
      <c r="I4" s="83">
        <v>0.44776119402985076</v>
      </c>
      <c r="J4" s="81" t="s">
        <v>126</v>
      </c>
      <c r="K4" s="83">
        <v>0.23880597014925373</v>
      </c>
      <c r="L4" s="81" t="s">
        <v>181</v>
      </c>
      <c r="M4" s="84">
        <v>0.3300970873786408</v>
      </c>
      <c r="N4" s="81" t="s">
        <v>126</v>
      </c>
      <c r="O4" s="84">
        <v>0.14051094890510948</v>
      </c>
      <c r="P4" s="81" t="s">
        <v>127</v>
      </c>
      <c r="Q4" s="85">
        <v>8613.939393939394</v>
      </c>
      <c r="R4" s="81" t="s">
        <v>166</v>
      </c>
      <c r="S4" s="85">
        <v>-6821.739130434783</v>
      </c>
      <c r="T4" s="81" t="s">
        <v>181</v>
      </c>
      <c r="U4" s="83">
        <v>0</v>
      </c>
      <c r="V4" s="81" t="s">
        <v>181</v>
      </c>
      <c r="W4" s="83">
        <v>0.18181818181818182</v>
      </c>
      <c r="X4" s="81" t="s">
        <v>177</v>
      </c>
      <c r="Y4" s="84">
        <v>0.2857142857142857</v>
      </c>
      <c r="Z4" s="81" t="s">
        <v>127</v>
      </c>
      <c r="AA4" s="84">
        <v>0.31853281853281851</v>
      </c>
      <c r="AB4" s="81" t="s">
        <v>179</v>
      </c>
      <c r="AC4" s="84">
        <v>0.5955056179775281</v>
      </c>
      <c r="AD4" s="81" t="s">
        <v>126</v>
      </c>
      <c r="AE4" s="84">
        <v>0.48872180451127817</v>
      </c>
      <c r="AF4" s="81" t="s">
        <v>182</v>
      </c>
      <c r="AG4" s="84">
        <v>0.48571428571428571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140.50000000000006</v>
      </c>
      <c r="D5" s="81" t="s">
        <v>127</v>
      </c>
      <c r="E5" s="93">
        <v>4.0311475409836044</v>
      </c>
      <c r="F5" s="81" t="s">
        <v>177</v>
      </c>
      <c r="G5" s="82">
        <v>1.8285714285714285</v>
      </c>
      <c r="H5" s="81" t="s">
        <v>177</v>
      </c>
      <c r="I5" s="83">
        <v>0.42857142857142855</v>
      </c>
      <c r="J5" s="81" t="s">
        <v>177</v>
      </c>
      <c r="K5" s="83">
        <v>0.25714285714285712</v>
      </c>
      <c r="L5" s="81" t="s">
        <v>127</v>
      </c>
      <c r="M5" s="84">
        <v>0.31853281853281851</v>
      </c>
      <c r="N5" s="81" t="s">
        <v>178</v>
      </c>
      <c r="O5" s="84">
        <v>0.1448087431693989</v>
      </c>
      <c r="P5" s="81" t="s">
        <v>178</v>
      </c>
      <c r="Q5" s="85">
        <v>8318.2692307692305</v>
      </c>
      <c r="R5" s="81" t="s">
        <v>179</v>
      </c>
      <c r="S5" s="85">
        <v>-7063.4920634920636</v>
      </c>
      <c r="T5" s="81" t="s">
        <v>126</v>
      </c>
      <c r="U5" s="83">
        <v>4.4776119402985072E-2</v>
      </c>
      <c r="V5" s="81" t="s">
        <v>195</v>
      </c>
      <c r="W5" s="83">
        <v>0.14285714285714285</v>
      </c>
      <c r="X5" s="81" t="s">
        <v>179</v>
      </c>
      <c r="Y5" s="84">
        <v>0.28253968253968254</v>
      </c>
      <c r="Z5" s="81" t="s">
        <v>178</v>
      </c>
      <c r="AA5" s="84">
        <v>0.25683060109289618</v>
      </c>
      <c r="AB5" s="81" t="s">
        <v>126</v>
      </c>
      <c r="AC5" s="84">
        <v>0.59124087591240881</v>
      </c>
      <c r="AD5" s="81" t="s">
        <v>143</v>
      </c>
      <c r="AE5" s="84">
        <v>0.41574803149606299</v>
      </c>
      <c r="AF5" s="81" t="s">
        <v>177</v>
      </c>
      <c r="AG5" s="84">
        <v>0.46666666666666667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126.10000000000001</v>
      </c>
      <c r="D6" s="81" t="s">
        <v>177</v>
      </c>
      <c r="E6" s="93">
        <v>4.014285714285716</v>
      </c>
      <c r="F6" s="81" t="s">
        <v>127</v>
      </c>
      <c r="G6" s="82">
        <v>1.8688524590163935</v>
      </c>
      <c r="H6" s="81" t="s">
        <v>195</v>
      </c>
      <c r="I6" s="83">
        <v>0.42857142857142855</v>
      </c>
      <c r="J6" s="81" t="s">
        <v>127</v>
      </c>
      <c r="K6" s="83">
        <v>0.29508196721311475</v>
      </c>
      <c r="L6" s="81" t="s">
        <v>143</v>
      </c>
      <c r="M6" s="84">
        <v>0.29204892966360857</v>
      </c>
      <c r="N6" s="81" t="s">
        <v>177</v>
      </c>
      <c r="O6" s="84">
        <v>0.16117216117216118</v>
      </c>
      <c r="P6" s="81" t="s">
        <v>143</v>
      </c>
      <c r="Q6" s="85">
        <v>8218.8481675392668</v>
      </c>
      <c r="R6" s="81" t="s">
        <v>126</v>
      </c>
      <c r="S6" s="85">
        <v>-7175.3246753246749</v>
      </c>
      <c r="T6" s="81" t="s">
        <v>179</v>
      </c>
      <c r="U6" s="83">
        <v>5.4054054054054057E-2</v>
      </c>
      <c r="V6" s="81" t="s">
        <v>127</v>
      </c>
      <c r="W6" s="83">
        <v>0.13114754098360656</v>
      </c>
      <c r="X6" s="81" t="s">
        <v>178</v>
      </c>
      <c r="Y6" s="84">
        <v>0.25683060109289618</v>
      </c>
      <c r="Z6" s="81" t="s">
        <v>143</v>
      </c>
      <c r="AA6" s="84">
        <v>0.24273700305810397</v>
      </c>
      <c r="AB6" s="81" t="s">
        <v>178</v>
      </c>
      <c r="AC6" s="84">
        <v>0.57446808510638303</v>
      </c>
      <c r="AD6" s="81" t="s">
        <v>179</v>
      </c>
      <c r="AE6" s="84">
        <v>0.40740740740740738</v>
      </c>
      <c r="AF6" s="81" t="s">
        <v>166</v>
      </c>
      <c r="AG6" s="84">
        <v>0.43939393939393939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143</v>
      </c>
      <c r="C7" s="80">
        <v>-1.4210854715202004E-14</v>
      </c>
      <c r="D7" s="81" t="s">
        <v>143</v>
      </c>
      <c r="E7" s="93">
        <v>-4.5113824492704774E-17</v>
      </c>
      <c r="F7" s="81" t="s">
        <v>143</v>
      </c>
      <c r="G7" s="82">
        <v>2</v>
      </c>
      <c r="H7" s="81" t="s">
        <v>127</v>
      </c>
      <c r="I7" s="83">
        <v>0.42622950819672129</v>
      </c>
      <c r="J7" s="81" t="s">
        <v>178</v>
      </c>
      <c r="K7" s="83">
        <v>0.31111111111111112</v>
      </c>
      <c r="L7" s="81" t="s">
        <v>178</v>
      </c>
      <c r="M7" s="84">
        <v>0.28415300546448086</v>
      </c>
      <c r="N7" s="81" t="s">
        <v>143</v>
      </c>
      <c r="O7" s="84">
        <v>0.16934250764525993</v>
      </c>
      <c r="P7" s="81" t="s">
        <v>126</v>
      </c>
      <c r="Q7" s="85">
        <v>7902.7472527472528</v>
      </c>
      <c r="R7" s="81" t="s">
        <v>143</v>
      </c>
      <c r="S7" s="85">
        <v>-7675.3950338600453</v>
      </c>
      <c r="T7" s="81" t="s">
        <v>178</v>
      </c>
      <c r="U7" s="83">
        <v>8.8888888888888892E-2</v>
      </c>
      <c r="V7" s="81" t="s">
        <v>143</v>
      </c>
      <c r="W7" s="83">
        <v>0.10158730158730159</v>
      </c>
      <c r="X7" s="81" t="s">
        <v>126</v>
      </c>
      <c r="Y7" s="84">
        <v>0.25</v>
      </c>
      <c r="Z7" s="81" t="s">
        <v>126</v>
      </c>
      <c r="AA7" s="84">
        <v>0.24270072992700731</v>
      </c>
      <c r="AB7" s="81" t="s">
        <v>143</v>
      </c>
      <c r="AC7" s="84">
        <v>0.55919003115264798</v>
      </c>
      <c r="AD7" s="81" t="s">
        <v>127</v>
      </c>
      <c r="AE7" s="84">
        <v>0.40606060606060607</v>
      </c>
      <c r="AF7" s="81" t="s">
        <v>143</v>
      </c>
      <c r="AG7" s="84">
        <v>0.41753926701570682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178</v>
      </c>
      <c r="C8" s="80">
        <v>-23.299999999999976</v>
      </c>
      <c r="D8" s="81" t="s">
        <v>178</v>
      </c>
      <c r="E8" s="93">
        <v>-0.51777777777777723</v>
      </c>
      <c r="F8" s="81" t="s">
        <v>178</v>
      </c>
      <c r="G8" s="82">
        <v>2.1111111111111112</v>
      </c>
      <c r="H8" s="81" t="s">
        <v>143</v>
      </c>
      <c r="I8" s="83">
        <v>0.33333333333333331</v>
      </c>
      <c r="J8" s="81" t="s">
        <v>143</v>
      </c>
      <c r="K8" s="83">
        <v>0.33333333333333331</v>
      </c>
      <c r="L8" s="81" t="s">
        <v>179</v>
      </c>
      <c r="M8" s="84">
        <v>0.27936507936507937</v>
      </c>
      <c r="N8" s="81" t="s">
        <v>166</v>
      </c>
      <c r="O8" s="84">
        <v>0.17490494296577946</v>
      </c>
      <c r="P8" s="81" t="s">
        <v>181</v>
      </c>
      <c r="Q8" s="85">
        <v>7779.411764705882</v>
      </c>
      <c r="R8" s="81" t="s">
        <v>178</v>
      </c>
      <c r="S8" s="85">
        <v>-7688.6792452830186</v>
      </c>
      <c r="T8" s="81" t="s">
        <v>143</v>
      </c>
      <c r="U8" s="83">
        <v>0.10158730158730159</v>
      </c>
      <c r="V8" s="81" t="s">
        <v>126</v>
      </c>
      <c r="W8" s="83">
        <v>8.9552238805970144E-2</v>
      </c>
      <c r="X8" s="81" t="s">
        <v>143</v>
      </c>
      <c r="Y8" s="84">
        <v>0.24541284403669725</v>
      </c>
      <c r="Z8" s="81" t="s">
        <v>166</v>
      </c>
      <c r="AA8" s="84">
        <v>0.23193916349809887</v>
      </c>
      <c r="AB8" s="81" t="s">
        <v>127</v>
      </c>
      <c r="AC8" s="84">
        <v>0.55371900826446285</v>
      </c>
      <c r="AD8" s="81" t="s">
        <v>178</v>
      </c>
      <c r="AE8" s="84">
        <v>0.39361702127659576</v>
      </c>
      <c r="AF8" s="81" t="s">
        <v>178</v>
      </c>
      <c r="AG8" s="84">
        <v>0.41346153846153844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-6.554838709677421</v>
      </c>
      <c r="F9" s="81" t="s">
        <v>195</v>
      </c>
      <c r="G9" s="82">
        <v>2.1428571428571428</v>
      </c>
      <c r="H9" s="81" t="s">
        <v>166</v>
      </c>
      <c r="I9" s="83">
        <v>0.25806451612903225</v>
      </c>
      <c r="J9" s="81" t="s">
        <v>179</v>
      </c>
      <c r="K9" s="83">
        <v>0.43243243243243246</v>
      </c>
      <c r="L9" s="81" t="s">
        <v>177</v>
      </c>
      <c r="M9" s="84">
        <v>0.27472527472527475</v>
      </c>
      <c r="N9" s="81" t="s">
        <v>195</v>
      </c>
      <c r="O9" s="84">
        <v>0.19354838709677419</v>
      </c>
      <c r="P9" s="81" t="s">
        <v>182</v>
      </c>
      <c r="Q9" s="85">
        <v>7562.8571428571431</v>
      </c>
      <c r="R9" s="81" t="s">
        <v>127</v>
      </c>
      <c r="S9" s="85">
        <v>-7921.7821782178216</v>
      </c>
      <c r="T9" s="81" t="s">
        <v>177</v>
      </c>
      <c r="U9" s="83">
        <v>0.14285714285714285</v>
      </c>
      <c r="V9" s="81" t="s">
        <v>178</v>
      </c>
      <c r="W9" s="83">
        <v>8.8888888888888892E-2</v>
      </c>
      <c r="X9" s="81" t="s">
        <v>195</v>
      </c>
      <c r="Y9" s="84">
        <v>0.24193548387096775</v>
      </c>
      <c r="Z9" s="81" t="s">
        <v>182</v>
      </c>
      <c r="AA9" s="84">
        <v>0.20833333333333334</v>
      </c>
      <c r="AB9" s="81" t="s">
        <v>195</v>
      </c>
      <c r="AC9" s="84">
        <v>0.53333333333333333</v>
      </c>
      <c r="AD9" s="81" t="s">
        <v>166</v>
      </c>
      <c r="AE9" s="84">
        <v>0.36065573770491804</v>
      </c>
      <c r="AF9" s="81" t="s">
        <v>126</v>
      </c>
      <c r="AG9" s="84">
        <v>0.41208791208791207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166</v>
      </c>
      <c r="C10" s="80">
        <v>-203.20000000000005</v>
      </c>
      <c r="D10" s="81" t="s">
        <v>179</v>
      </c>
      <c r="E10" s="93">
        <v>-7.0540540540540544</v>
      </c>
      <c r="F10" s="81" t="s">
        <v>166</v>
      </c>
      <c r="G10" s="82">
        <v>2.193548387096774</v>
      </c>
      <c r="H10" s="81" t="s">
        <v>179</v>
      </c>
      <c r="I10" s="83">
        <v>0.21621621621621623</v>
      </c>
      <c r="J10" s="81" t="s">
        <v>166</v>
      </c>
      <c r="K10" s="83">
        <v>0.45161290322580644</v>
      </c>
      <c r="L10" s="81" t="s">
        <v>166</v>
      </c>
      <c r="M10" s="84">
        <v>0.2509505703422053</v>
      </c>
      <c r="N10" s="81" t="s">
        <v>127</v>
      </c>
      <c r="O10" s="84">
        <v>0.19498069498069498</v>
      </c>
      <c r="P10" s="81" t="s">
        <v>179</v>
      </c>
      <c r="Q10" s="85">
        <v>7539.772727272727</v>
      </c>
      <c r="R10" s="81" t="s">
        <v>177</v>
      </c>
      <c r="S10" s="85">
        <v>-8772.7272727272721</v>
      </c>
      <c r="T10" s="81" t="s">
        <v>127</v>
      </c>
      <c r="U10" s="83">
        <v>0.14754098360655737</v>
      </c>
      <c r="V10" s="81" t="s">
        <v>179</v>
      </c>
      <c r="W10" s="83">
        <v>5.4054054054054057E-2</v>
      </c>
      <c r="X10" s="81" t="s">
        <v>127</v>
      </c>
      <c r="Y10" s="84">
        <v>0.2335907335907336</v>
      </c>
      <c r="Z10" s="81" t="s">
        <v>177</v>
      </c>
      <c r="AA10" s="84">
        <v>0.20512820512820512</v>
      </c>
      <c r="AB10" s="81" t="s">
        <v>182</v>
      </c>
      <c r="AC10" s="84">
        <v>0.52941176470588236</v>
      </c>
      <c r="AD10" s="81" t="s">
        <v>182</v>
      </c>
      <c r="AE10" s="84">
        <v>0.34285714285714286</v>
      </c>
      <c r="AF10" s="81" t="s">
        <v>179</v>
      </c>
      <c r="AG10" s="84">
        <v>0.40909090909090912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179</v>
      </c>
      <c r="C11" s="80">
        <v>-261</v>
      </c>
      <c r="D11" s="81" t="s">
        <v>195</v>
      </c>
      <c r="E11" s="93">
        <v>-14.971428571428573</v>
      </c>
      <c r="F11" s="81" t="s">
        <v>179</v>
      </c>
      <c r="G11" s="82">
        <v>2.2162162162162162</v>
      </c>
      <c r="H11" s="81" t="s">
        <v>178</v>
      </c>
      <c r="I11" s="83">
        <v>0.2</v>
      </c>
      <c r="J11" s="81" t="s">
        <v>182</v>
      </c>
      <c r="K11" s="83">
        <v>0.5714285714285714</v>
      </c>
      <c r="L11" s="81" t="s">
        <v>195</v>
      </c>
      <c r="M11" s="84">
        <v>0.24193548387096775</v>
      </c>
      <c r="N11" s="81" t="s">
        <v>179</v>
      </c>
      <c r="O11" s="84">
        <v>0.2</v>
      </c>
      <c r="P11" s="81" t="s">
        <v>195</v>
      </c>
      <c r="Q11" s="85">
        <v>7473.333333333333</v>
      </c>
      <c r="R11" s="81" t="s">
        <v>182</v>
      </c>
      <c r="S11" s="85">
        <v>-8968.5714285714294</v>
      </c>
      <c r="T11" s="81" t="s">
        <v>182</v>
      </c>
      <c r="U11" s="83">
        <v>0.23809523809523808</v>
      </c>
      <c r="V11" s="81" t="s">
        <v>182</v>
      </c>
      <c r="W11" s="83">
        <v>4.7619047619047616E-2</v>
      </c>
      <c r="X11" s="81" t="s">
        <v>182</v>
      </c>
      <c r="Y11" s="84">
        <v>0.20238095238095238</v>
      </c>
      <c r="Z11" s="81" t="s">
        <v>179</v>
      </c>
      <c r="AA11" s="84">
        <v>0.17142857142857143</v>
      </c>
      <c r="AB11" s="81" t="s">
        <v>166</v>
      </c>
      <c r="AC11" s="84">
        <v>0.52272727272727271</v>
      </c>
      <c r="AD11" s="81" t="s">
        <v>181</v>
      </c>
      <c r="AE11" s="84">
        <v>0.33333333333333331</v>
      </c>
      <c r="AF11" s="81" t="s">
        <v>127</v>
      </c>
      <c r="AG11" s="84">
        <v>0.36969696969696969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-423.7000000000001</v>
      </c>
      <c r="D12" s="81" t="s">
        <v>182</v>
      </c>
      <c r="E12" s="93">
        <v>-20.176190476190481</v>
      </c>
      <c r="F12" s="81" t="s">
        <v>182</v>
      </c>
      <c r="G12" s="82">
        <v>2.5238095238095237</v>
      </c>
      <c r="H12" s="81" t="s">
        <v>182</v>
      </c>
      <c r="I12" s="83">
        <v>4.7619047619047616E-2</v>
      </c>
      <c r="J12" s="81" t="s">
        <v>195</v>
      </c>
      <c r="K12" s="83">
        <v>0.5714285714285714</v>
      </c>
      <c r="L12" s="81" t="s">
        <v>182</v>
      </c>
      <c r="M12" s="84">
        <v>0.20833333333333334</v>
      </c>
      <c r="N12" s="81" t="s">
        <v>182</v>
      </c>
      <c r="O12" s="84">
        <v>0.20833333333333334</v>
      </c>
      <c r="P12" s="81" t="s">
        <v>166</v>
      </c>
      <c r="Q12" s="85">
        <v>7300</v>
      </c>
      <c r="R12" s="81" t="s">
        <v>195</v>
      </c>
      <c r="S12" s="85">
        <v>-9075</v>
      </c>
      <c r="T12" s="81" t="s">
        <v>195</v>
      </c>
      <c r="U12" s="83">
        <v>0.5714285714285714</v>
      </c>
      <c r="V12" s="81" t="s">
        <v>166</v>
      </c>
      <c r="W12" s="83">
        <v>3.2258064516129031E-2</v>
      </c>
      <c r="X12" s="81" t="s">
        <v>166</v>
      </c>
      <c r="Y12" s="84">
        <v>0.16730038022813687</v>
      </c>
      <c r="Z12" s="81" t="s">
        <v>181</v>
      </c>
      <c r="AA12" s="84">
        <v>0.14563106796116504</v>
      </c>
      <c r="AB12" s="81" t="s">
        <v>177</v>
      </c>
      <c r="AC12" s="84">
        <v>0.44871794871794873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315</v>
      </c>
      <c r="C2" s="149"/>
      <c r="E2" s="58" t="s">
        <v>66</v>
      </c>
      <c r="F2" s="55" t="s">
        <v>22</v>
      </c>
      <c r="G2" s="43">
        <v>605</v>
      </c>
      <c r="H2" s="128">
        <f>IF(B$17=0,0,G2/B$17)</f>
        <v>0.79188481675392675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-22.435897435897434</v>
      </c>
      <c r="P2" s="114">
        <v>312</v>
      </c>
      <c r="Q2" s="98">
        <v>-7000</v>
      </c>
    </row>
    <row r="3" spans="1:17" x14ac:dyDescent="0.4">
      <c r="A3" s="51" t="s">
        <v>8</v>
      </c>
      <c r="B3" s="150">
        <v>2616</v>
      </c>
      <c r="C3" s="151"/>
      <c r="E3" s="59" t="s">
        <v>72</v>
      </c>
      <c r="F3" s="56" t="s">
        <v>27</v>
      </c>
      <c r="G3" s="44">
        <v>427</v>
      </c>
      <c r="H3" s="129">
        <f>IF(B$17=0,0,G3/B$17)</f>
        <v>0.55890052356020947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16.666666666666668</v>
      </c>
      <c r="P3" s="115">
        <v>300</v>
      </c>
      <c r="Q3" s="99">
        <v>5000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347</v>
      </c>
      <c r="H4" s="129">
        <f>IF(B$17=0,0,G4/B$17)</f>
        <v>0.45418848167539266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-34.722222222222221</v>
      </c>
      <c r="P4" s="115">
        <v>288</v>
      </c>
      <c r="Q4" s="99">
        <v>-10000</v>
      </c>
    </row>
    <row r="5" spans="1:17" x14ac:dyDescent="0.4">
      <c r="A5" s="51" t="s">
        <v>7</v>
      </c>
      <c r="B5" s="154">
        <f>IF(B$2=0,0,B$4/B$2)</f>
        <v>-4.5113824492704774E-17</v>
      </c>
      <c r="C5" s="155"/>
      <c r="E5" s="59" t="s">
        <v>171</v>
      </c>
      <c r="F5" s="56" t="s">
        <v>172</v>
      </c>
      <c r="G5" s="44">
        <v>285</v>
      </c>
      <c r="H5" s="129">
        <f>IF(B$17=0,0,G5/B$17)</f>
        <v>0.37303664921465968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29.304029304029303</v>
      </c>
      <c r="P5" s="115">
        <v>273</v>
      </c>
      <c r="Q5" s="99">
        <v>8000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67</v>
      </c>
      <c r="F6" s="56" t="s">
        <v>23</v>
      </c>
      <c r="G6" s="44">
        <v>226</v>
      </c>
      <c r="H6" s="129">
        <f>IF(B$17=0,0,G6/B$17)</f>
        <v>0.29581151832460734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11.764705882352942</v>
      </c>
      <c r="P6" s="115">
        <v>255</v>
      </c>
      <c r="Q6" s="99">
        <v>3000</v>
      </c>
    </row>
    <row r="7" spans="1:17" x14ac:dyDescent="0.4">
      <c r="A7" s="51" t="s">
        <v>2</v>
      </c>
      <c r="B7" s="44">
        <v>105</v>
      </c>
      <c r="C7" s="37">
        <f t="shared" ref="C7:C12" si="1">IF(B$2=0,0,B7/B$2)</f>
        <v>0.33333333333333331</v>
      </c>
      <c r="E7" s="59" t="s">
        <v>68</v>
      </c>
      <c r="F7" s="56" t="s">
        <v>12</v>
      </c>
      <c r="G7" s="44">
        <v>223</v>
      </c>
      <c r="H7" s="129">
        <f>IF(B$17=0,0,G7/B$17)</f>
        <v>0.29188481675392669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4.7619047619047619</v>
      </c>
      <c r="P7" s="116">
        <v>210</v>
      </c>
      <c r="Q7" s="100">
        <v>1000</v>
      </c>
    </row>
    <row r="8" spans="1:17" x14ac:dyDescent="0.4">
      <c r="A8" s="51" t="s">
        <v>3</v>
      </c>
      <c r="B8" s="44">
        <v>105</v>
      </c>
      <c r="C8" s="37">
        <f t="shared" si="1"/>
        <v>0.33333333333333331</v>
      </c>
      <c r="E8" s="59" t="s">
        <v>69</v>
      </c>
      <c r="F8" s="56" t="s">
        <v>24</v>
      </c>
      <c r="G8" s="44">
        <v>102</v>
      </c>
      <c r="H8" s="129">
        <f>IF(B$17=0,0,G8/B$17)</f>
        <v>0.13350785340314136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105</v>
      </c>
      <c r="C9" s="38">
        <f t="shared" si="1"/>
        <v>0.33333333333333331</v>
      </c>
      <c r="E9" s="59" t="s">
        <v>89</v>
      </c>
      <c r="F9" s="56" t="s">
        <v>44</v>
      </c>
      <c r="G9" s="44">
        <v>101</v>
      </c>
      <c r="H9" s="129">
        <f>IF(B$17=0,0,G9/B$17)</f>
        <v>0.13219895287958114</v>
      </c>
      <c r="I9" s="90">
        <v>4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32</v>
      </c>
      <c r="C10" s="38">
        <f t="shared" si="1"/>
        <v>0.10158730158730159</v>
      </c>
      <c r="E10" s="59" t="s">
        <v>65</v>
      </c>
      <c r="F10" s="56" t="s">
        <v>21</v>
      </c>
      <c r="G10" s="44">
        <v>74</v>
      </c>
      <c r="H10" s="129">
        <f>IF(B$17=0,0,G10/B$17)</f>
        <v>9.6858638743455502E-2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1.5190476190476183</v>
      </c>
      <c r="P10" s="114">
        <v>105</v>
      </c>
      <c r="Q10" s="102">
        <v>159.49999999999991</v>
      </c>
    </row>
    <row r="11" spans="1:17" x14ac:dyDescent="0.4">
      <c r="A11" s="52" t="s">
        <v>138</v>
      </c>
      <c r="B11" s="45">
        <v>32</v>
      </c>
      <c r="C11" s="38">
        <f t="shared" si="1"/>
        <v>0.10158730158730159</v>
      </c>
      <c r="E11" s="59" t="s">
        <v>70</v>
      </c>
      <c r="F11" s="56" t="s">
        <v>25</v>
      </c>
      <c r="G11" s="44">
        <v>65</v>
      </c>
      <c r="H11" s="129">
        <f>IF(B$17=0,0,G11/B$17)</f>
        <v>8.5078534031413619E-2</v>
      </c>
      <c r="I11" s="90">
        <v>4</v>
      </c>
      <c r="K11" s="36">
        <v>9</v>
      </c>
      <c r="L11" s="95">
        <v>0</v>
      </c>
      <c r="N11" s="111" t="s">
        <v>163</v>
      </c>
      <c r="O11" s="121">
        <f>IF(P11=0,0,Q11/P11)</f>
        <v>0.3028571428571431</v>
      </c>
      <c r="P11" s="115">
        <v>105</v>
      </c>
      <c r="Q11" s="103">
        <v>31.800000000000026</v>
      </c>
    </row>
    <row r="12" spans="1:17" x14ac:dyDescent="0.4">
      <c r="A12" s="53" t="s">
        <v>158</v>
      </c>
      <c r="B12" s="46">
        <v>30</v>
      </c>
      <c r="C12" s="40">
        <f t="shared" si="1"/>
        <v>9.5238095238095233E-2</v>
      </c>
      <c r="E12" s="59" t="s">
        <v>71</v>
      </c>
      <c r="F12" s="56" t="s">
        <v>26</v>
      </c>
      <c r="G12" s="44">
        <v>58</v>
      </c>
      <c r="H12" s="129">
        <f>IF(B$17=0,0,G12/B$17)</f>
        <v>7.5916230366492143E-2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-1.8219047619047624</v>
      </c>
      <c r="P12" s="116">
        <v>105</v>
      </c>
      <c r="Q12" s="104">
        <v>-191.30000000000004</v>
      </c>
    </row>
    <row r="13" spans="1:17" x14ac:dyDescent="0.4">
      <c r="A13" s="54" t="s">
        <v>121</v>
      </c>
      <c r="B13" s="47">
        <v>642</v>
      </c>
      <c r="C13" s="42">
        <f>IF(B$3=0,0,B13/B$3)</f>
        <v>0.24541284403669725</v>
      </c>
      <c r="E13" s="59" t="s">
        <v>83</v>
      </c>
      <c r="F13" s="56" t="s">
        <v>38</v>
      </c>
      <c r="G13" s="44">
        <v>45</v>
      </c>
      <c r="H13" s="129">
        <f>IF(B$17=0,0,G13/B$17)</f>
        <v>5.8900523560209424E-2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635</v>
      </c>
      <c r="C14" s="37">
        <f>IF(B$3=0,0,B14/B$3)</f>
        <v>0.24273700305810397</v>
      </c>
      <c r="E14" s="59" t="s">
        <v>86</v>
      </c>
      <c r="F14" s="56" t="s">
        <v>41</v>
      </c>
      <c r="G14" s="44">
        <v>36</v>
      </c>
      <c r="H14" s="129">
        <f>IF(B$17=0,0,G14/B$17)</f>
        <v>4.712041884816754E-2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359</v>
      </c>
      <c r="C15" s="35">
        <f>IF(B$13=0,0,B15/B$13)</f>
        <v>0.55919003115264798</v>
      </c>
      <c r="E15" s="59" t="s">
        <v>78</v>
      </c>
      <c r="F15" s="56" t="s">
        <v>33</v>
      </c>
      <c r="G15" s="44">
        <v>16</v>
      </c>
      <c r="H15" s="129">
        <f>IF(B$17=0,0,G15/B$17)</f>
        <v>2.0942408376963352E-2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30.264285714285705</v>
      </c>
      <c r="P15" s="114">
        <v>42</v>
      </c>
      <c r="Q15" s="102">
        <v>1271.0999999999997</v>
      </c>
    </row>
    <row r="16" spans="1:17" x14ac:dyDescent="0.4">
      <c r="A16" s="50" t="s">
        <v>124</v>
      </c>
      <c r="B16" s="43">
        <v>264</v>
      </c>
      <c r="C16" s="35">
        <f>IF(B$14=0,0,B16/B$14)</f>
        <v>0.41574803149606299</v>
      </c>
      <c r="E16" s="59" t="s">
        <v>81</v>
      </c>
      <c r="F16" s="56" t="s">
        <v>36</v>
      </c>
      <c r="G16" s="44">
        <v>13</v>
      </c>
      <c r="H16" s="129">
        <f>IF(B$17=0,0,G16/B$17)</f>
        <v>1.7015706806282723E-2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764</v>
      </c>
      <c r="C17" s="35">
        <f>IF(B$3=0,0,B17/B$3)</f>
        <v>0.29204892966360857</v>
      </c>
      <c r="E17" s="59" t="s">
        <v>79</v>
      </c>
      <c r="F17" s="56" t="s">
        <v>34</v>
      </c>
      <c r="G17" s="44">
        <v>11</v>
      </c>
      <c r="H17" s="129">
        <f>IF(B$17=0,0,G17/B$17)</f>
        <v>1.4397905759162303E-2</v>
      </c>
      <c r="I17" s="90">
        <v>4</v>
      </c>
      <c r="K17" s="36">
        <v>15</v>
      </c>
      <c r="L17" s="95">
        <v>0</v>
      </c>
      <c r="N17" s="111" t="s">
        <v>179</v>
      </c>
      <c r="O17" s="121">
        <f>IF(P17=0,0,Q17/P17)</f>
        <v>10.581081081081084</v>
      </c>
      <c r="P17" s="115">
        <v>74</v>
      </c>
      <c r="Q17" s="103">
        <v>783.00000000000023</v>
      </c>
    </row>
    <row r="18" spans="1:17" x14ac:dyDescent="0.4">
      <c r="A18" s="51" t="s">
        <v>12</v>
      </c>
      <c r="B18" s="44">
        <v>319</v>
      </c>
      <c r="C18" s="37">
        <f>IF(B$17=0,0,B18/B$17)</f>
        <v>0.41753926701570682</v>
      </c>
      <c r="E18" s="59" t="s">
        <v>167</v>
      </c>
      <c r="F18" s="56" t="s">
        <v>168</v>
      </c>
      <c r="G18" s="44">
        <v>11</v>
      </c>
      <c r="H18" s="129">
        <f>IF(B$17=0,0,G18/B$17)</f>
        <v>1.4397905759162303E-2</v>
      </c>
      <c r="I18" s="90">
        <v>3</v>
      </c>
      <c r="K18" s="36">
        <v>16</v>
      </c>
      <c r="L18" s="95">
        <v>-28.2</v>
      </c>
      <c r="N18" s="111" t="s">
        <v>166</v>
      </c>
      <c r="O18" s="121">
        <f>IF(P18=0,0,Q18/P18)</f>
        <v>9.8322580645161253</v>
      </c>
      <c r="P18" s="115">
        <v>62</v>
      </c>
      <c r="Q18" s="103">
        <v>609.5999999999998</v>
      </c>
    </row>
    <row r="19" spans="1:17" x14ac:dyDescent="0.4">
      <c r="A19" s="51" t="s">
        <v>11</v>
      </c>
      <c r="B19" s="44">
        <v>445</v>
      </c>
      <c r="C19" s="37">
        <f>IF(B$17=0,0,B19/B$17)</f>
        <v>0.58246073298429324</v>
      </c>
      <c r="E19" s="59" t="s">
        <v>91</v>
      </c>
      <c r="F19" s="56" t="s">
        <v>46</v>
      </c>
      <c r="G19" s="44">
        <v>10</v>
      </c>
      <c r="H19" s="129">
        <f>IF(B$17=0,0,G19/B$17)</f>
        <v>1.3089005235602094E-2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0.77666666666666573</v>
      </c>
      <c r="P19" s="115">
        <v>90</v>
      </c>
      <c r="Q19" s="103">
        <v>69.89999999999992</v>
      </c>
    </row>
    <row r="20" spans="1:17" x14ac:dyDescent="0.4">
      <c r="A20" s="51" t="s">
        <v>13</v>
      </c>
      <c r="B20" s="44">
        <v>443</v>
      </c>
      <c r="C20" s="37">
        <f>IF(B$3=0,0,B20/B$3)</f>
        <v>0.16934250764525993</v>
      </c>
      <c r="E20" s="59" t="s">
        <v>92</v>
      </c>
      <c r="F20" s="56" t="s">
        <v>47</v>
      </c>
      <c r="G20" s="44">
        <v>6</v>
      </c>
      <c r="H20" s="129">
        <f>IF(B$17=0,0,G20/B$17)</f>
        <v>7.8534031413612562E-3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-6.0214285714285714</v>
      </c>
      <c r="P20" s="115">
        <v>70</v>
      </c>
      <c r="Q20" s="103">
        <v>-421.5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5</v>
      </c>
      <c r="H21" s="129">
        <f>IF(B$17=0,0,G21/B$17)</f>
        <v>6.5445026178010471E-3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-6.046721311475415</v>
      </c>
      <c r="P21" s="115">
        <v>122</v>
      </c>
      <c r="Q21" s="103">
        <v>-737.70000000000061</v>
      </c>
    </row>
    <row r="22" spans="1:17" x14ac:dyDescent="0.4">
      <c r="A22" s="51" t="s">
        <v>170</v>
      </c>
      <c r="B22" s="44">
        <v>26</v>
      </c>
      <c r="C22" s="131">
        <v>0</v>
      </c>
      <c r="E22" s="59" t="s">
        <v>74</v>
      </c>
      <c r="F22" s="56" t="s">
        <v>29</v>
      </c>
      <c r="G22" s="44">
        <v>4</v>
      </c>
      <c r="H22" s="129">
        <f>IF(B$17=0,0,G22/B$17)</f>
        <v>5.235602094240838E-3</v>
      </c>
      <c r="I22" s="90">
        <v>5</v>
      </c>
      <c r="K22" s="36">
        <v>20</v>
      </c>
      <c r="L22" s="95">
        <v>-61.199999999999996</v>
      </c>
      <c r="N22" s="111" t="s">
        <v>126</v>
      </c>
      <c r="O22" s="121">
        <f>IF(P22=0,0,Q22/P22)</f>
        <v>-11.272388059701488</v>
      </c>
      <c r="P22" s="115">
        <v>134</v>
      </c>
      <c r="Q22" s="103">
        <v>-1510.4999999999993</v>
      </c>
    </row>
    <row r="23" spans="1:17" x14ac:dyDescent="0.4">
      <c r="A23" s="51" t="s">
        <v>5</v>
      </c>
      <c r="B23" s="48">
        <f>IF(B$17=0,0,C23/B$17)</f>
        <v>8218.8481675392668</v>
      </c>
      <c r="C23" s="39">
        <v>6279200</v>
      </c>
      <c r="E23" s="59" t="s">
        <v>77</v>
      </c>
      <c r="F23" s="56" t="s">
        <v>32</v>
      </c>
      <c r="G23" s="44">
        <v>4</v>
      </c>
      <c r="H23" s="129">
        <f>IF(B$17=0,0,G23/B$17)</f>
        <v>5.235602094240838E-3</v>
      </c>
      <c r="I23" s="90">
        <v>3</v>
      </c>
      <c r="K23" s="36">
        <v>21</v>
      </c>
      <c r="L23" s="95">
        <v>7.1054273576010019E-15</v>
      </c>
      <c r="N23" s="111" t="s">
        <v>181</v>
      </c>
      <c r="O23" s="121">
        <f>IF(P23=0,0,Q23/P23)</f>
        <v>-17.195454545454549</v>
      </c>
      <c r="P23" s="115">
        <v>22</v>
      </c>
      <c r="Q23" s="103">
        <v>-378.30000000000007</v>
      </c>
    </row>
    <row r="24" spans="1:17" x14ac:dyDescent="0.4">
      <c r="A24" s="52" t="s">
        <v>216</v>
      </c>
      <c r="B24" s="136">
        <f>IF($B$17-B$16=0,0,C24/($B$17-B$16))</f>
        <v>8794.2000000000007</v>
      </c>
      <c r="C24" s="137">
        <v>4397100</v>
      </c>
      <c r="E24" s="59" t="s">
        <v>85</v>
      </c>
      <c r="F24" s="56" t="s">
        <v>40</v>
      </c>
      <c r="G24" s="44">
        <v>4</v>
      </c>
      <c r="H24" s="129">
        <f>IF(B$17=0,0,G24/B$17)</f>
        <v>5.235602094240838E-3</v>
      </c>
      <c r="I24" s="90">
        <v>5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7129.166666666667</v>
      </c>
      <c r="C25" s="137">
        <v>1882100</v>
      </c>
      <c r="E25" s="59" t="s">
        <v>88</v>
      </c>
      <c r="F25" s="56" t="s">
        <v>43</v>
      </c>
      <c r="G25" s="44">
        <v>4</v>
      </c>
      <c r="H25" s="129">
        <f>IF(B$17=0,0,G25/B$17)</f>
        <v>5.235602094240838E-3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-7675.3950338600453</v>
      </c>
      <c r="C26" s="137">
        <v>-3400200</v>
      </c>
      <c r="E26" s="59" t="s">
        <v>84</v>
      </c>
      <c r="F26" s="56" t="s">
        <v>39</v>
      </c>
      <c r="G26" s="44">
        <v>3</v>
      </c>
      <c r="H26" s="129">
        <f>IF(B$17=0,0,G26/B$17)</f>
        <v>3.9267015706806281E-3</v>
      </c>
      <c r="I26" s="90">
        <v>2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90</v>
      </c>
      <c r="F27" s="56" t="s">
        <v>45</v>
      </c>
      <c r="G27" s="44">
        <v>2</v>
      </c>
      <c r="H27" s="129">
        <f>IF(B$17=0,0,G27/B$17)</f>
        <v>2.617801047120419E-3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87</v>
      </c>
      <c r="F28" s="56" t="s">
        <v>42</v>
      </c>
      <c r="G28" s="44">
        <v>1</v>
      </c>
      <c r="H28" s="129">
        <f>IF(B$17=0,0,G28/B$17)</f>
        <v>1.3089005235602095E-3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10</v>
      </c>
      <c r="C29" s="40">
        <f>IF(B$3=0,0,B29/B$3)</f>
        <v>3.8226299694189602E-3</v>
      </c>
      <c r="E29" s="59" t="s">
        <v>93</v>
      </c>
      <c r="F29" s="56" t="s">
        <v>48</v>
      </c>
      <c r="G29" s="44">
        <v>1</v>
      </c>
      <c r="H29" s="129">
        <f>IF(B$17=0,0,G29/B$17)</f>
        <v>1.3089005235602095E-3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95</v>
      </c>
      <c r="F30" s="56" t="s">
        <v>50</v>
      </c>
      <c r="G30" s="44">
        <v>1</v>
      </c>
      <c r="H30" s="129">
        <f>IF(B$17=0,0,G30/B$17)</f>
        <v>1.3089005235602095E-3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101</v>
      </c>
      <c r="F31" s="56" t="s">
        <v>56</v>
      </c>
      <c r="G31" s="44">
        <v>1</v>
      </c>
      <c r="H31" s="129">
        <f>IF(B$17=0,0,G31/B$17)</f>
        <v>1.3089005235602095E-3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73</v>
      </c>
      <c r="F32" s="56" t="s">
        <v>28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39</v>
      </c>
      <c r="H2" s="128">
        <f>IF(B$17=0,0,G2/B$17)</f>
        <v>0.59090909090909094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993.54838709677415</v>
      </c>
      <c r="P2" s="114">
        <v>31</v>
      </c>
      <c r="Q2" s="98">
        <v>30800</v>
      </c>
    </row>
    <row r="3" spans="1:17" x14ac:dyDescent="0.4">
      <c r="A3" s="51" t="s">
        <v>8</v>
      </c>
      <c r="B3" s="150">
        <v>263</v>
      </c>
      <c r="C3" s="151"/>
      <c r="E3" s="59" t="s">
        <v>72</v>
      </c>
      <c r="F3" s="56" t="s">
        <v>27</v>
      </c>
      <c r="G3" s="44">
        <v>36</v>
      </c>
      <c r="H3" s="129">
        <f>IF(B$17=0,0,G3/B$17)</f>
        <v>0.54545454545454541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-930</v>
      </c>
      <c r="P3" s="115">
        <v>30</v>
      </c>
      <c r="Q3" s="99">
        <v>-27900</v>
      </c>
    </row>
    <row r="4" spans="1:17" x14ac:dyDescent="0.4">
      <c r="A4" s="51" t="s">
        <v>6</v>
      </c>
      <c r="B4" s="152">
        <v>-203.20000000000005</v>
      </c>
      <c r="C4" s="153"/>
      <c r="E4" s="59" t="s">
        <v>171</v>
      </c>
      <c r="F4" s="56" t="s">
        <v>172</v>
      </c>
      <c r="G4" s="44">
        <v>23</v>
      </c>
      <c r="H4" s="129">
        <f>IF(B$17=0,0,G4/B$17)</f>
        <v>0.34848484848484851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493.10344827586209</v>
      </c>
      <c r="P4" s="115">
        <v>29</v>
      </c>
      <c r="Q4" s="99">
        <v>14300</v>
      </c>
    </row>
    <row r="5" spans="1:17" x14ac:dyDescent="0.4">
      <c r="A5" s="51" t="s">
        <v>7</v>
      </c>
      <c r="B5" s="154">
        <f>IF(B$2=0,0,B$4/B$2)</f>
        <v>-6.554838709677421</v>
      </c>
      <c r="C5" s="155"/>
      <c r="E5" s="59" t="s">
        <v>64</v>
      </c>
      <c r="F5" s="56" t="s">
        <v>20</v>
      </c>
      <c r="G5" s="44">
        <v>21</v>
      </c>
      <c r="H5" s="129">
        <f>IF(B$17=0,0,G5/B$17)</f>
        <v>0.31818181818181818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-2486.2068965517242</v>
      </c>
      <c r="P5" s="115">
        <v>29</v>
      </c>
      <c r="Q5" s="99">
        <v>-72100</v>
      </c>
    </row>
    <row r="6" spans="1:17" x14ac:dyDescent="0.4">
      <c r="A6" s="51" t="s">
        <v>1</v>
      </c>
      <c r="B6" s="144">
        <f>IF(B$2=0,0,(B$7*1+B$8*2+B$9*3)/B$2)</f>
        <v>2.193548387096774</v>
      </c>
      <c r="C6" s="145"/>
      <c r="E6" s="59" t="s">
        <v>68</v>
      </c>
      <c r="F6" s="56" t="s">
        <v>12</v>
      </c>
      <c r="G6" s="44">
        <v>19</v>
      </c>
      <c r="H6" s="129">
        <f>IF(B$17=0,0,G6/B$17)</f>
        <v>0.2878787878787879</v>
      </c>
      <c r="I6" s="90">
        <v>6</v>
      </c>
      <c r="K6" s="36">
        <v>4</v>
      </c>
      <c r="L6" s="95">
        <v>-30.7</v>
      </c>
      <c r="N6" s="111" t="s">
        <v>134</v>
      </c>
      <c r="O6" s="118">
        <f t="shared" si="0"/>
        <v>-1075.8620689655172</v>
      </c>
      <c r="P6" s="115">
        <v>29</v>
      </c>
      <c r="Q6" s="99">
        <v>-31200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0.25806451612903225</v>
      </c>
      <c r="E7" s="59" t="s">
        <v>69</v>
      </c>
      <c r="F7" s="56" t="s">
        <v>24</v>
      </c>
      <c r="G7" s="44">
        <v>16</v>
      </c>
      <c r="H7" s="129">
        <f>IF(B$17=0,0,G7/B$17)</f>
        <v>0.24242424242424243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-2480</v>
      </c>
      <c r="P7" s="116">
        <v>25</v>
      </c>
      <c r="Q7" s="100">
        <v>-62000</v>
      </c>
    </row>
    <row r="8" spans="1:17" x14ac:dyDescent="0.4">
      <c r="A8" s="51" t="s">
        <v>3</v>
      </c>
      <c r="B8" s="44">
        <v>9</v>
      </c>
      <c r="C8" s="37">
        <f t="shared" si="1"/>
        <v>0.29032258064516131</v>
      </c>
      <c r="E8" s="59" t="s">
        <v>70</v>
      </c>
      <c r="F8" s="56" t="s">
        <v>25</v>
      </c>
      <c r="G8" s="44">
        <v>11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0.45161290322580644</v>
      </c>
      <c r="E9" s="59" t="s">
        <v>67</v>
      </c>
      <c r="F9" s="56" t="s">
        <v>23</v>
      </c>
      <c r="G9" s="44">
        <v>9</v>
      </c>
      <c r="H9" s="129">
        <f>IF(B$17=0,0,G9/B$17)</f>
        <v>0.13636363636363635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0.12121212121212122</v>
      </c>
      <c r="I10" s="90">
        <v>1</v>
      </c>
      <c r="K10" s="36">
        <v>8</v>
      </c>
      <c r="L10" s="95">
        <v>-76.900000000000006</v>
      </c>
      <c r="N10" s="110" t="s">
        <v>162</v>
      </c>
      <c r="O10" s="120">
        <f>IF(P10=0,0,Q10/P10)</f>
        <v>0.49000000000000021</v>
      </c>
      <c r="P10" s="114">
        <v>10</v>
      </c>
      <c r="Q10" s="102">
        <v>4.9000000000000021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65</v>
      </c>
      <c r="F11" s="56" t="s">
        <v>21</v>
      </c>
      <c r="G11" s="44">
        <v>7</v>
      </c>
      <c r="H11" s="129">
        <f>IF(B$17=0,0,G11/B$17)</f>
        <v>0.10606060606060606</v>
      </c>
      <c r="I11" s="90">
        <v>3</v>
      </c>
      <c r="K11" s="36">
        <v>9</v>
      </c>
      <c r="L11" s="95">
        <v>-59.500000000000007</v>
      </c>
      <c r="N11" s="111" t="s">
        <v>163</v>
      </c>
      <c r="O11" s="121">
        <f>IF(P11=0,0,Q11/P11)</f>
        <v>-19.425000000000001</v>
      </c>
      <c r="P11" s="115">
        <v>8</v>
      </c>
      <c r="Q11" s="103">
        <v>-155.4</v>
      </c>
    </row>
    <row r="12" spans="1:17" x14ac:dyDescent="0.4">
      <c r="A12" s="53" t="s">
        <v>158</v>
      </c>
      <c r="B12" s="46">
        <v>4</v>
      </c>
      <c r="C12" s="40">
        <f t="shared" si="1"/>
        <v>0.12903225806451613</v>
      </c>
      <c r="E12" s="59" t="s">
        <v>83</v>
      </c>
      <c r="F12" s="56" t="s">
        <v>38</v>
      </c>
      <c r="G12" s="44">
        <v>7</v>
      </c>
      <c r="H12" s="129">
        <f>IF(B$17=0,0,G12/B$17)</f>
        <v>0.10606060606060606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-4.0538461538461537</v>
      </c>
      <c r="P12" s="116">
        <v>13</v>
      </c>
      <c r="Q12" s="104">
        <v>-52.699999999999996</v>
      </c>
    </row>
    <row r="13" spans="1:17" x14ac:dyDescent="0.4">
      <c r="A13" s="54" t="s">
        <v>121</v>
      </c>
      <c r="B13" s="47">
        <v>44</v>
      </c>
      <c r="C13" s="42">
        <f>IF(B$3=0,0,B13/B$3)</f>
        <v>0.16730038022813687</v>
      </c>
      <c r="E13" s="59" t="s">
        <v>89</v>
      </c>
      <c r="F13" s="56" t="s">
        <v>44</v>
      </c>
      <c r="G13" s="44">
        <v>5</v>
      </c>
      <c r="H13" s="129">
        <f>IF(B$17=0,0,G13/B$17)</f>
        <v>7.575757575757576E-2</v>
      </c>
      <c r="I13" s="90">
        <v>8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61</v>
      </c>
      <c r="C14" s="37">
        <f>IF(B$3=0,0,B14/B$3)</f>
        <v>0.23193916349809887</v>
      </c>
      <c r="E14" s="59" t="s">
        <v>81</v>
      </c>
      <c r="F14" s="56" t="s">
        <v>36</v>
      </c>
      <c r="G14" s="44">
        <v>3</v>
      </c>
      <c r="H14" s="129">
        <f>IF(B$17=0,0,G14/B$17)</f>
        <v>4.5454545454545456E-2</v>
      </c>
      <c r="I14" s="90">
        <v>2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23</v>
      </c>
      <c r="C15" s="35">
        <f>IF(B$13=0,0,B15/B$13)</f>
        <v>0.52272727272727271</v>
      </c>
      <c r="E15" s="59" t="s">
        <v>88</v>
      </c>
      <c r="F15" s="56" t="s">
        <v>43</v>
      </c>
      <c r="G15" s="44">
        <v>2</v>
      </c>
      <c r="H15" s="129">
        <f>IF(B$17=0,0,G15/B$17)</f>
        <v>3.0303030303030304E-2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 t="shared" ref="O15:O21" si="2"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22</v>
      </c>
      <c r="C16" s="35">
        <f>IF(B$14=0,0,B16/B$14)</f>
        <v>0.36065573770491804</v>
      </c>
      <c r="E16" s="59" t="s">
        <v>74</v>
      </c>
      <c r="F16" s="56" t="s">
        <v>29</v>
      </c>
      <c r="G16" s="44">
        <v>1</v>
      </c>
      <c r="H16" s="129">
        <f>IF(B$17=0,0,G16/B$17)</f>
        <v>1.5151515151515152E-2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-5.3124999999999991</v>
      </c>
      <c r="P16" s="115">
        <v>8</v>
      </c>
      <c r="Q16" s="103">
        <v>-42.499999999999993</v>
      </c>
    </row>
    <row r="17" spans="1:17" x14ac:dyDescent="0.4">
      <c r="A17" s="50" t="s">
        <v>10</v>
      </c>
      <c r="B17" s="43">
        <f>B19+B18</f>
        <v>66</v>
      </c>
      <c r="C17" s="35">
        <f>IF(B$3=0,0,B17/B$3)</f>
        <v>0.2509505703422053</v>
      </c>
      <c r="E17" s="59" t="s">
        <v>77</v>
      </c>
      <c r="F17" s="56" t="s">
        <v>32</v>
      </c>
      <c r="G17" s="44">
        <v>1</v>
      </c>
      <c r="H17" s="129">
        <f>IF(B$17=0,0,G17/B$17)</f>
        <v>1.5151515151515152E-2</v>
      </c>
      <c r="I17" s="90">
        <v>2</v>
      </c>
      <c r="K17" s="36">
        <v>15</v>
      </c>
      <c r="L17" s="95">
        <v>-65.2</v>
      </c>
      <c r="N17" s="111" t="s">
        <v>127</v>
      </c>
      <c r="O17" s="121">
        <f t="shared" si="2"/>
        <v>-10.114285714285716</v>
      </c>
      <c r="P17" s="115">
        <v>14</v>
      </c>
      <c r="Q17" s="103">
        <v>-141.60000000000002</v>
      </c>
    </row>
    <row r="18" spans="1:17" x14ac:dyDescent="0.4">
      <c r="A18" s="51" t="s">
        <v>12</v>
      </c>
      <c r="B18" s="44">
        <v>29</v>
      </c>
      <c r="C18" s="37">
        <f>IF(B$17=0,0,B18/B$17)</f>
        <v>0.43939393939393939</v>
      </c>
      <c r="E18" s="59" t="s">
        <v>86</v>
      </c>
      <c r="F18" s="56" t="s">
        <v>41</v>
      </c>
      <c r="G18" s="44">
        <v>1</v>
      </c>
      <c r="H18" s="129">
        <f>IF(B$17=0,0,G18/B$17)</f>
        <v>1.5151515151515152E-2</v>
      </c>
      <c r="I18" s="90">
        <v>10</v>
      </c>
      <c r="K18" s="36">
        <v>16</v>
      </c>
      <c r="L18" s="95">
        <v>-70.600000000000009</v>
      </c>
      <c r="N18" s="111" t="s">
        <v>181</v>
      </c>
      <c r="O18" s="121">
        <f t="shared" si="2"/>
        <v>-10.825000000000001</v>
      </c>
      <c r="P18" s="115">
        <v>4</v>
      </c>
      <c r="Q18" s="103">
        <v>-43.300000000000004</v>
      </c>
    </row>
    <row r="19" spans="1:17" x14ac:dyDescent="0.4">
      <c r="A19" s="51" t="s">
        <v>11</v>
      </c>
      <c r="B19" s="44">
        <v>37</v>
      </c>
      <c r="C19" s="37">
        <f>IF(B$17=0,0,B19/B$17)</f>
        <v>0.56060606060606055</v>
      </c>
      <c r="E19" s="59" t="s">
        <v>91</v>
      </c>
      <c r="F19" s="56" t="s">
        <v>46</v>
      </c>
      <c r="G19" s="44">
        <v>1</v>
      </c>
      <c r="H19" s="129">
        <f>IF(B$17=0,0,G19/B$17)</f>
        <v>1.5151515151515152E-2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 t="shared" si="2"/>
        <v>-18.450000000000003</v>
      </c>
      <c r="P19" s="115">
        <v>10</v>
      </c>
      <c r="Q19" s="103">
        <v>-184.50000000000003</v>
      </c>
    </row>
    <row r="20" spans="1:17" x14ac:dyDescent="0.4">
      <c r="A20" s="51" t="s">
        <v>13</v>
      </c>
      <c r="B20" s="44">
        <v>46</v>
      </c>
      <c r="C20" s="37">
        <f>IF(B$3=0,0,B20/B$3)</f>
        <v>0.17490494296577946</v>
      </c>
      <c r="E20" s="59" t="s">
        <v>93</v>
      </c>
      <c r="F20" s="56" t="s">
        <v>48</v>
      </c>
      <c r="G20" s="44">
        <v>1</v>
      </c>
      <c r="H20" s="129">
        <f>IF(B$17=0,0,G20/B$17)</f>
        <v>1.5151515151515152E-2</v>
      </c>
      <c r="I20" s="90">
        <v>1</v>
      </c>
      <c r="K20" s="36">
        <v>18</v>
      </c>
      <c r="L20" s="95">
        <v>-80.2</v>
      </c>
      <c r="N20" s="111" t="s">
        <v>182</v>
      </c>
      <c r="O20" s="121">
        <f t="shared" si="2"/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7300</v>
      </c>
      <c r="C23" s="39">
        <v>481800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7763.636363636364</v>
      </c>
      <c r="C24" s="137">
        <v>341600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6372.727272727273</v>
      </c>
      <c r="C25" s="137">
        <v>140200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-6821.739130434783</v>
      </c>
      <c r="C26" s="137">
        <v>-313800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7.6045627376425855E-3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67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0.69230769230769229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131.81818181818181</v>
      </c>
      <c r="P2" s="114">
        <v>66</v>
      </c>
      <c r="Q2" s="98">
        <v>8700</v>
      </c>
    </row>
    <row r="3" spans="1:17" x14ac:dyDescent="0.4">
      <c r="A3" s="51" t="s">
        <v>8</v>
      </c>
      <c r="B3" s="150">
        <v>548</v>
      </c>
      <c r="C3" s="151"/>
      <c r="E3" s="59" t="s">
        <v>72</v>
      </c>
      <c r="F3" s="56" t="s">
        <v>27</v>
      </c>
      <c r="G3" s="44">
        <v>94</v>
      </c>
      <c r="H3" s="129">
        <f>IF(B$17=0,0,G3/B$17)</f>
        <v>0.51648351648351654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0"/>
        <v>458.73015873015873</v>
      </c>
      <c r="P3" s="115">
        <v>63</v>
      </c>
      <c r="Q3" s="99">
        <v>28900</v>
      </c>
    </row>
    <row r="4" spans="1:17" x14ac:dyDescent="0.4">
      <c r="A4" s="51" t="s">
        <v>6</v>
      </c>
      <c r="B4" s="152">
        <v>503.50000000000006</v>
      </c>
      <c r="C4" s="153"/>
      <c r="E4" s="59" t="s">
        <v>64</v>
      </c>
      <c r="F4" s="56" t="s">
        <v>20</v>
      </c>
      <c r="G4" s="44">
        <v>73</v>
      </c>
      <c r="H4" s="129">
        <f>IF(B$17=0,0,G4/B$17)</f>
        <v>0.40109890109890112</v>
      </c>
      <c r="I4" s="90">
        <v>9</v>
      </c>
      <c r="K4" s="36">
        <v>2</v>
      </c>
      <c r="L4" s="95">
        <v>14.400000000000006</v>
      </c>
      <c r="N4" s="111" t="s">
        <v>132</v>
      </c>
      <c r="O4" s="118">
        <f t="shared" si="0"/>
        <v>-653.22580645161293</v>
      </c>
      <c r="P4" s="115">
        <v>62</v>
      </c>
      <c r="Q4" s="99">
        <v>-40500</v>
      </c>
    </row>
    <row r="5" spans="1:17" x14ac:dyDescent="0.4">
      <c r="A5" s="51" t="s">
        <v>7</v>
      </c>
      <c r="B5" s="154">
        <f>IF(B$2=0,0,B$4/B$2)</f>
        <v>7.5149253731343295</v>
      </c>
      <c r="C5" s="155"/>
      <c r="E5" s="59" t="s">
        <v>171</v>
      </c>
      <c r="F5" s="56" t="s">
        <v>172</v>
      </c>
      <c r="G5" s="44">
        <v>58</v>
      </c>
      <c r="H5" s="129">
        <f>IF(B$17=0,0,G5/B$17)</f>
        <v>0.31868131868131866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-143.85964912280701</v>
      </c>
      <c r="P5" s="115">
        <v>57</v>
      </c>
      <c r="Q5" s="99">
        <v>-8200</v>
      </c>
    </row>
    <row r="6" spans="1:17" x14ac:dyDescent="0.4">
      <c r="A6" s="51" t="s">
        <v>1</v>
      </c>
      <c r="B6" s="144">
        <f>IF(B$2=0,0,(B$7*1+B$8*2+B$9*3)/B$2)</f>
        <v>1.791044776119403</v>
      </c>
      <c r="C6" s="145"/>
      <c r="E6" s="59" t="s">
        <v>67</v>
      </c>
      <c r="F6" s="56" t="s">
        <v>23</v>
      </c>
      <c r="G6" s="44">
        <v>49</v>
      </c>
      <c r="H6" s="129">
        <f>IF(B$17=0,0,G6/B$17)</f>
        <v>0.26923076923076922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3638.181818181818</v>
      </c>
      <c r="P6" s="115">
        <v>55</v>
      </c>
      <c r="Q6" s="99">
        <v>200100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0.44776119402985076</v>
      </c>
      <c r="E7" s="59" t="s">
        <v>68</v>
      </c>
      <c r="F7" s="56" t="s">
        <v>12</v>
      </c>
      <c r="G7" s="44">
        <v>49</v>
      </c>
      <c r="H7" s="129">
        <f>IF(B$17=0,0,G7/B$17)</f>
        <v>0.26923076923076922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3547.7272727272725</v>
      </c>
      <c r="P7" s="116">
        <v>44</v>
      </c>
      <c r="Q7" s="100">
        <v>156100</v>
      </c>
    </row>
    <row r="8" spans="1:17" x14ac:dyDescent="0.4">
      <c r="A8" s="51" t="s">
        <v>3</v>
      </c>
      <c r="B8" s="44">
        <v>21</v>
      </c>
      <c r="C8" s="37">
        <f t="shared" si="1"/>
        <v>0.31343283582089554</v>
      </c>
      <c r="E8" s="59" t="s">
        <v>89</v>
      </c>
      <c r="F8" s="56" t="s">
        <v>44</v>
      </c>
      <c r="G8" s="44">
        <v>32</v>
      </c>
      <c r="H8" s="129">
        <f>IF(B$17=0,0,G8/B$17)</f>
        <v>0.17582417582417584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0.23880597014925373</v>
      </c>
      <c r="E9" s="59" t="s">
        <v>69</v>
      </c>
      <c r="F9" s="56" t="s">
        <v>24</v>
      </c>
      <c r="G9" s="44">
        <v>23</v>
      </c>
      <c r="H9" s="129">
        <f>IF(B$17=0,0,G9/B$17)</f>
        <v>0.12637362637362637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4.4776119402985072E-2</v>
      </c>
      <c r="E10" s="59" t="s">
        <v>65</v>
      </c>
      <c r="F10" s="56" t="s">
        <v>21</v>
      </c>
      <c r="G10" s="44">
        <v>19</v>
      </c>
      <c r="H10" s="129">
        <f>IF(B$17=0,0,G10/B$17)</f>
        <v>0.1043956043956044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13.828571428571427</v>
      </c>
      <c r="P10" s="114">
        <v>14</v>
      </c>
      <c r="Q10" s="102">
        <v>193.6</v>
      </c>
    </row>
    <row r="11" spans="1:17" x14ac:dyDescent="0.4">
      <c r="A11" s="52" t="s">
        <v>138</v>
      </c>
      <c r="B11" s="45">
        <v>6</v>
      </c>
      <c r="C11" s="38">
        <f t="shared" si="1"/>
        <v>8.9552238805970144E-2</v>
      </c>
      <c r="E11" s="59" t="s">
        <v>70</v>
      </c>
      <c r="F11" s="56" t="s">
        <v>25</v>
      </c>
      <c r="G11" s="44">
        <v>11</v>
      </c>
      <c r="H11" s="129">
        <f>IF(B$17=0,0,G11/B$17)</f>
        <v>6.043956043956044E-2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3.5935483870967748</v>
      </c>
      <c r="P11" s="115">
        <v>31</v>
      </c>
      <c r="Q11" s="103">
        <v>111.40000000000002</v>
      </c>
    </row>
    <row r="12" spans="1:17" x14ac:dyDescent="0.4">
      <c r="A12" s="53" t="s">
        <v>158</v>
      </c>
      <c r="B12" s="46">
        <v>7</v>
      </c>
      <c r="C12" s="40">
        <f t="shared" si="1"/>
        <v>0.1044776119402985</v>
      </c>
      <c r="E12" s="59" t="s">
        <v>71</v>
      </c>
      <c r="F12" s="56" t="s">
        <v>26</v>
      </c>
      <c r="G12" s="44">
        <v>11</v>
      </c>
      <c r="H12" s="129">
        <f>IF(B$17=0,0,G12/B$17)</f>
        <v>6.043956043956044E-2</v>
      </c>
      <c r="I12" s="90">
        <v>8</v>
      </c>
      <c r="K12" s="36">
        <v>10</v>
      </c>
      <c r="L12" s="95">
        <v>158.19999999999999</v>
      </c>
      <c r="N12" s="112" t="s">
        <v>164</v>
      </c>
      <c r="O12" s="122">
        <f>IF(P12=0,0,Q12/P12)</f>
        <v>9.0227272727272698</v>
      </c>
      <c r="P12" s="116">
        <v>22</v>
      </c>
      <c r="Q12" s="104">
        <v>198.49999999999994</v>
      </c>
    </row>
    <row r="13" spans="1:17" x14ac:dyDescent="0.4">
      <c r="A13" s="54" t="s">
        <v>121</v>
      </c>
      <c r="B13" s="47">
        <v>137</v>
      </c>
      <c r="C13" s="42">
        <f>IF(B$3=0,0,B13/B$3)</f>
        <v>0.25</v>
      </c>
      <c r="E13" s="59" t="s">
        <v>83</v>
      </c>
      <c r="F13" s="56" t="s">
        <v>38</v>
      </c>
      <c r="G13" s="44">
        <v>10</v>
      </c>
      <c r="H13" s="129">
        <f>IF(B$17=0,0,G13/B$17)</f>
        <v>5.4945054945054944E-2</v>
      </c>
      <c r="I13" s="90">
        <v>6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133</v>
      </c>
      <c r="C14" s="37">
        <f>IF(B$3=0,0,B14/B$3)</f>
        <v>0.24270072992700731</v>
      </c>
      <c r="E14" s="59" t="s">
        <v>86</v>
      </c>
      <c r="F14" s="56" t="s">
        <v>41</v>
      </c>
      <c r="G14" s="44">
        <v>8</v>
      </c>
      <c r="H14" s="129">
        <f>IF(B$17=0,0,G14/B$17)</f>
        <v>4.3956043956043959E-2</v>
      </c>
      <c r="I14" s="90">
        <v>7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0.59124087591240881</v>
      </c>
      <c r="E15" s="59" t="s">
        <v>167</v>
      </c>
      <c r="F15" s="56" t="s">
        <v>168</v>
      </c>
      <c r="G15" s="44">
        <v>7</v>
      </c>
      <c r="H15" s="129">
        <f>IF(B$17=0,0,G15/B$17)</f>
        <v>3.8461538461538464E-2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49.733333333333327</v>
      </c>
      <c r="P15" s="114">
        <v>3</v>
      </c>
      <c r="Q15" s="102">
        <v>149.19999999999999</v>
      </c>
    </row>
    <row r="16" spans="1:17" x14ac:dyDescent="0.4">
      <c r="A16" s="50" t="s">
        <v>124</v>
      </c>
      <c r="B16" s="43">
        <v>65</v>
      </c>
      <c r="C16" s="35">
        <f>IF(B$14=0,0,B16/B$14)</f>
        <v>0.48872180451127817</v>
      </c>
      <c r="E16" s="59" t="s">
        <v>78</v>
      </c>
      <c r="F16" s="56" t="s">
        <v>33</v>
      </c>
      <c r="G16" s="44">
        <v>5</v>
      </c>
      <c r="H16" s="129">
        <f>IF(B$17=0,0,G16/B$17)</f>
        <v>2.7472527472527472E-2</v>
      </c>
      <c r="I16" s="90">
        <v>4</v>
      </c>
      <c r="K16" s="36">
        <v>14</v>
      </c>
      <c r="L16" s="95">
        <v>240.09999999999997</v>
      </c>
      <c r="N16" s="111" t="s">
        <v>182</v>
      </c>
      <c r="O16" s="121">
        <f>IF(P16=0,0,Q16/P16)</f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182</v>
      </c>
      <c r="C17" s="35">
        <f>IF(B$3=0,0,B17/B$3)</f>
        <v>0.33211678832116787</v>
      </c>
      <c r="E17" s="59" t="s">
        <v>77</v>
      </c>
      <c r="F17" s="56" t="s">
        <v>32</v>
      </c>
      <c r="G17" s="44">
        <v>3</v>
      </c>
      <c r="H17" s="129">
        <f>IF(B$17=0,0,G17/B$17)</f>
        <v>1.6483516483516484E-2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18.016666666666676</v>
      </c>
      <c r="P17" s="115">
        <v>18</v>
      </c>
      <c r="Q17" s="103">
        <v>324.30000000000018</v>
      </c>
    </row>
    <row r="18" spans="1:17" x14ac:dyDescent="0.4">
      <c r="A18" s="51" t="s">
        <v>12</v>
      </c>
      <c r="B18" s="44">
        <v>75</v>
      </c>
      <c r="C18" s="37">
        <f>IF(B$17=0,0,B18/B$17)</f>
        <v>0.41208791208791207</v>
      </c>
      <c r="E18" s="59" t="s">
        <v>84</v>
      </c>
      <c r="F18" s="56" t="s">
        <v>39</v>
      </c>
      <c r="G18" s="44">
        <v>3</v>
      </c>
      <c r="H18" s="129">
        <f>IF(B$17=0,0,G18/B$17)</f>
        <v>1.6483516483516484E-2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16.308000000000003</v>
      </c>
      <c r="P18" s="115">
        <v>25</v>
      </c>
      <c r="Q18" s="103">
        <v>407.70000000000005</v>
      </c>
    </row>
    <row r="19" spans="1:17" x14ac:dyDescent="0.4">
      <c r="A19" s="51" t="s">
        <v>11</v>
      </c>
      <c r="B19" s="44">
        <v>107</v>
      </c>
      <c r="C19" s="37">
        <f>IF(B$17=0,0,B19/B$17)</f>
        <v>0.58791208791208793</v>
      </c>
      <c r="E19" s="59" t="s">
        <v>88</v>
      </c>
      <c r="F19" s="56" t="s">
        <v>43</v>
      </c>
      <c r="G19" s="44">
        <v>2</v>
      </c>
      <c r="H19" s="129">
        <f>IF(B$17=0,0,G19/B$17)</f>
        <v>1.098901098901099E-2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6.678260869565217</v>
      </c>
      <c r="P19" s="115">
        <v>46</v>
      </c>
      <c r="Q19" s="103">
        <v>307.2</v>
      </c>
    </row>
    <row r="20" spans="1:17" x14ac:dyDescent="0.4">
      <c r="A20" s="51" t="s">
        <v>13</v>
      </c>
      <c r="B20" s="44">
        <v>77</v>
      </c>
      <c r="C20" s="37">
        <f>IF(B$3=0,0,B20/B$3)</f>
        <v>0.14051094890510948</v>
      </c>
      <c r="E20" s="59" t="s">
        <v>92</v>
      </c>
      <c r="F20" s="56" t="s">
        <v>47</v>
      </c>
      <c r="G20" s="44">
        <v>2</v>
      </c>
      <c r="H20" s="129">
        <f>IF(B$17=0,0,G20/B$17)</f>
        <v>1.098901098901099E-2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5.4945054945054949E-3</v>
      </c>
      <c r="I21" s="90">
        <v>4</v>
      </c>
      <c r="K21" s="36">
        <v>19</v>
      </c>
      <c r="L21" s="95">
        <v>383.19999999999993</v>
      </c>
      <c r="N21" s="111" t="s">
        <v>177</v>
      </c>
      <c r="O21" s="121">
        <f>IF(P21=0,0,Q21/P21)</f>
        <v>-9.2857142857143166E-2</v>
      </c>
      <c r="P21" s="115">
        <v>14</v>
      </c>
      <c r="Q21" s="103">
        <v>-1.3000000000000043</v>
      </c>
    </row>
    <row r="22" spans="1:17" x14ac:dyDescent="0.4">
      <c r="A22" s="51" t="s">
        <v>170</v>
      </c>
      <c r="B22" s="44">
        <v>31</v>
      </c>
      <c r="C22" s="131">
        <v>2</v>
      </c>
      <c r="E22" s="59" t="s">
        <v>75</v>
      </c>
      <c r="F22" s="56" t="s">
        <v>30</v>
      </c>
      <c r="G22" s="44">
        <v>1</v>
      </c>
      <c r="H22" s="129">
        <f>IF(B$17=0,0,G22/B$17)</f>
        <v>5.4945054945054949E-3</v>
      </c>
      <c r="I22" s="90">
        <v>5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7902.7472527472528</v>
      </c>
      <c r="C23" s="39">
        <v>1438300</v>
      </c>
      <c r="E23" s="59" t="s">
        <v>79</v>
      </c>
      <c r="F23" s="56" t="s">
        <v>34</v>
      </c>
      <c r="G23" s="44">
        <v>1</v>
      </c>
      <c r="H23" s="129">
        <f>IF(B$17=0,0,G23/B$17)</f>
        <v>5.4945054945054949E-3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7801.7094017094014</v>
      </c>
      <c r="C24" s="137">
        <v>912800</v>
      </c>
      <c r="E24" s="59" t="s">
        <v>81</v>
      </c>
      <c r="F24" s="56" t="s">
        <v>36</v>
      </c>
      <c r="G24" s="44">
        <v>1</v>
      </c>
      <c r="H24" s="129">
        <f>IF(B$17=0,0,G24/B$17)</f>
        <v>5.4945054945054949E-3</v>
      </c>
      <c r="I24" s="90">
        <v>8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8084.6153846153848</v>
      </c>
      <c r="C25" s="137">
        <v>525500</v>
      </c>
      <c r="E25" s="59" t="s">
        <v>85</v>
      </c>
      <c r="F25" s="56" t="s">
        <v>40</v>
      </c>
      <c r="G25" s="44">
        <v>1</v>
      </c>
      <c r="H25" s="129">
        <f>IF(B$17=0,0,G25/B$17)</f>
        <v>5.4945054945054949E-3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-7175.3246753246749</v>
      </c>
      <c r="C26" s="137">
        <v>-552500</v>
      </c>
      <c r="E26" s="59" t="s">
        <v>90</v>
      </c>
      <c r="F26" s="56" t="s">
        <v>45</v>
      </c>
      <c r="G26" s="44">
        <v>1</v>
      </c>
      <c r="H26" s="129">
        <f>IF(B$17=0,0,G26/B$17)</f>
        <v>5.4945054945054949E-3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5.4945054945054949E-3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5.4945054945054949E-3</v>
      </c>
      <c r="I28" s="90">
        <v>1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1.8248175182481751E-3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63"/>
  <sheetViews>
    <sheetView showGridLines="0" topLeftCell="E7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154</v>
      </c>
      <c r="H2" s="128">
        <f>IF(B$17=0,0,G2/B$17)</f>
        <v>0.93333333333333335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-1370</v>
      </c>
      <c r="P2" s="114">
        <v>60</v>
      </c>
      <c r="Q2" s="98">
        <v>-82200</v>
      </c>
    </row>
    <row r="3" spans="1:17" x14ac:dyDescent="0.4">
      <c r="A3" s="51" t="s">
        <v>8</v>
      </c>
      <c r="B3" s="150">
        <v>518</v>
      </c>
      <c r="C3" s="151"/>
      <c r="E3" s="59" t="s">
        <v>72</v>
      </c>
      <c r="F3" s="56" t="s">
        <v>27</v>
      </c>
      <c r="G3" s="44">
        <v>97</v>
      </c>
      <c r="H3" s="129">
        <f>IF(B$17=0,0,G3/B$17)</f>
        <v>0.58787878787878789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639.65517241379314</v>
      </c>
      <c r="P3" s="115">
        <v>58</v>
      </c>
      <c r="Q3" s="99">
        <v>37100</v>
      </c>
    </row>
    <row r="4" spans="1:17" x14ac:dyDescent="0.4">
      <c r="A4" s="51" t="s">
        <v>6</v>
      </c>
      <c r="B4" s="152">
        <v>245.89999999999986</v>
      </c>
      <c r="C4" s="153"/>
      <c r="E4" s="59" t="s">
        <v>171</v>
      </c>
      <c r="F4" s="56" t="s">
        <v>172</v>
      </c>
      <c r="G4" s="44">
        <v>71</v>
      </c>
      <c r="H4" s="129">
        <f>IF(B$17=0,0,G4/B$17)</f>
        <v>0.4303030303030303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1532.7272727272727</v>
      </c>
      <c r="P4" s="115">
        <v>55</v>
      </c>
      <c r="Q4" s="99">
        <v>84300</v>
      </c>
    </row>
    <row r="5" spans="1:17" x14ac:dyDescent="0.4">
      <c r="A5" s="51" t="s">
        <v>7</v>
      </c>
      <c r="B5" s="154">
        <f>IF(B$2=0,0,B$4/B$2)</f>
        <v>4.0311475409836044</v>
      </c>
      <c r="C5" s="155"/>
      <c r="E5" s="59" t="s">
        <v>64</v>
      </c>
      <c r="F5" s="56" t="s">
        <v>20</v>
      </c>
      <c r="G5" s="44">
        <v>68</v>
      </c>
      <c r="H5" s="129">
        <f>IF(B$17=0,0,G5/B$17)</f>
        <v>0.41212121212121211</v>
      </c>
      <c r="I5" s="90">
        <v>8</v>
      </c>
      <c r="K5" s="36">
        <v>3</v>
      </c>
      <c r="L5" s="95">
        <v>-58.599999999999994</v>
      </c>
      <c r="N5" s="111" t="s">
        <v>133</v>
      </c>
      <c r="O5" s="118">
        <f t="shared" si="0"/>
        <v>3238.4615384615386</v>
      </c>
      <c r="P5" s="115">
        <v>52</v>
      </c>
      <c r="Q5" s="99">
        <v>168400</v>
      </c>
    </row>
    <row r="6" spans="1:17" x14ac:dyDescent="0.4">
      <c r="A6" s="51" t="s">
        <v>1</v>
      </c>
      <c r="B6" s="144">
        <f>IF(B$2=0,0,(B$7*1+B$8*2+B$9*3)/B$2)</f>
        <v>1.8688524590163935</v>
      </c>
      <c r="C6" s="145"/>
      <c r="E6" s="59" t="s">
        <v>67</v>
      </c>
      <c r="F6" s="56" t="s">
        <v>23</v>
      </c>
      <c r="G6" s="44">
        <v>44</v>
      </c>
      <c r="H6" s="129">
        <f>IF(B$17=0,0,G6/B$17)</f>
        <v>0.26666666666666666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-897.9591836734694</v>
      </c>
      <c r="P6" s="115">
        <v>49</v>
      </c>
      <c r="Q6" s="99">
        <v>-44000</v>
      </c>
    </row>
    <row r="7" spans="1:17" x14ac:dyDescent="0.4">
      <c r="A7" s="51" t="s">
        <v>2</v>
      </c>
      <c r="B7" s="44">
        <v>26</v>
      </c>
      <c r="C7" s="37">
        <f t="shared" ref="C7:C12" si="1">IF(B$2=0,0,B7/B$2)</f>
        <v>0.42622950819672129</v>
      </c>
      <c r="E7" s="59" t="s">
        <v>68</v>
      </c>
      <c r="F7" s="56" t="s">
        <v>12</v>
      </c>
      <c r="G7" s="44">
        <v>44</v>
      </c>
      <c r="H7" s="129">
        <f>IF(B$17=0,0,G7/B$17)</f>
        <v>0.26666666666666666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1274.3589743589744</v>
      </c>
      <c r="P7" s="116">
        <v>39</v>
      </c>
      <c r="Q7" s="100">
        <v>49700</v>
      </c>
    </row>
    <row r="8" spans="1:17" x14ac:dyDescent="0.4">
      <c r="A8" s="51" t="s">
        <v>3</v>
      </c>
      <c r="B8" s="44">
        <v>17</v>
      </c>
      <c r="C8" s="37">
        <f t="shared" si="1"/>
        <v>0.27868852459016391</v>
      </c>
      <c r="E8" s="59" t="s">
        <v>89</v>
      </c>
      <c r="F8" s="56" t="s">
        <v>44</v>
      </c>
      <c r="G8" s="44">
        <v>21</v>
      </c>
      <c r="H8" s="129">
        <f>IF(B$17=0,0,G8/B$17)</f>
        <v>0.12727272727272726</v>
      </c>
      <c r="I8" s="90">
        <v>5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0.29508196721311475</v>
      </c>
      <c r="E9" s="59" t="s">
        <v>69</v>
      </c>
      <c r="F9" s="56" t="s">
        <v>24</v>
      </c>
      <c r="G9" s="44">
        <v>16</v>
      </c>
      <c r="H9" s="129">
        <f>IF(B$17=0,0,G9/B$17)</f>
        <v>9.696969696969697E-2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0.14754098360655737</v>
      </c>
      <c r="E10" s="59" t="s">
        <v>71</v>
      </c>
      <c r="F10" s="56" t="s">
        <v>26</v>
      </c>
      <c r="G10" s="44">
        <v>16</v>
      </c>
      <c r="H10" s="129">
        <f>IF(B$17=0,0,G10/B$17)</f>
        <v>9.696969696969697E-2</v>
      </c>
      <c r="I10" s="90">
        <v>3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0.13114754098360656</v>
      </c>
      <c r="E11" s="59" t="s">
        <v>65</v>
      </c>
      <c r="F11" s="56" t="s">
        <v>21</v>
      </c>
      <c r="G11" s="44">
        <v>14</v>
      </c>
      <c r="H11" s="129">
        <f>IF(B$17=0,0,G11/B$17)</f>
        <v>8.4848484848484854E-2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9.793333333333333</v>
      </c>
      <c r="P11" s="115">
        <v>15</v>
      </c>
      <c r="Q11" s="103">
        <v>146.9</v>
      </c>
    </row>
    <row r="12" spans="1:17" x14ac:dyDescent="0.4">
      <c r="A12" s="53" t="s">
        <v>158</v>
      </c>
      <c r="B12" s="46">
        <v>14</v>
      </c>
      <c r="C12" s="40">
        <f t="shared" si="1"/>
        <v>0.22950819672131148</v>
      </c>
      <c r="E12" s="59" t="s">
        <v>70</v>
      </c>
      <c r="F12" s="56" t="s">
        <v>25</v>
      </c>
      <c r="G12" s="44">
        <v>10</v>
      </c>
      <c r="H12" s="129">
        <f>IF(B$17=0,0,G12/B$17)</f>
        <v>6.0606060606060608E-2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-1.0068965517241386</v>
      </c>
      <c r="P12" s="116">
        <v>29</v>
      </c>
      <c r="Q12" s="104">
        <v>-29.200000000000017</v>
      </c>
    </row>
    <row r="13" spans="1:17" x14ac:dyDescent="0.4">
      <c r="A13" s="54" t="s">
        <v>121</v>
      </c>
      <c r="B13" s="47">
        <v>121</v>
      </c>
      <c r="C13" s="42">
        <f>IF(B$3=0,0,B13/B$3)</f>
        <v>0.2335907335907336</v>
      </c>
      <c r="E13" s="59" t="s">
        <v>86</v>
      </c>
      <c r="F13" s="56" t="s">
        <v>41</v>
      </c>
      <c r="G13" s="44">
        <v>10</v>
      </c>
      <c r="H13" s="129">
        <f>IF(B$17=0,0,G13/B$17)</f>
        <v>6.0606060606060608E-2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165</v>
      </c>
      <c r="C14" s="37">
        <f>IF(B$3=0,0,B14/B$3)</f>
        <v>0.31853281853281851</v>
      </c>
      <c r="E14" s="59" t="s">
        <v>83</v>
      </c>
      <c r="F14" s="56" t="s">
        <v>38</v>
      </c>
      <c r="G14" s="44">
        <v>8</v>
      </c>
      <c r="H14" s="129">
        <f>IF(B$17=0,0,G14/B$17)</f>
        <v>4.8484848484848485E-2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67</v>
      </c>
      <c r="C15" s="35">
        <f>IF(B$13=0,0,B15/B$13)</f>
        <v>0.55371900826446285</v>
      </c>
      <c r="E15" s="59" t="s">
        <v>78</v>
      </c>
      <c r="F15" s="56" t="s">
        <v>33</v>
      </c>
      <c r="G15" s="44">
        <v>5</v>
      </c>
      <c r="H15" s="129">
        <f>IF(B$17=0,0,G15/B$17)</f>
        <v>3.0303030303030304E-2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67</v>
      </c>
      <c r="C16" s="35">
        <f>IF(B$14=0,0,B16/B$14)</f>
        <v>0.40606060606060607</v>
      </c>
      <c r="E16" s="59" t="s">
        <v>91</v>
      </c>
      <c r="F16" s="56" t="s">
        <v>46</v>
      </c>
      <c r="G16" s="44">
        <v>5</v>
      </c>
      <c r="H16" s="129">
        <f>IF(B$17=0,0,G16/B$17)</f>
        <v>3.0303030303030304E-2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165</v>
      </c>
      <c r="C17" s="35">
        <f>IF(B$3=0,0,B17/B$3)</f>
        <v>0.31853281853281851</v>
      </c>
      <c r="E17" s="59" t="s">
        <v>79</v>
      </c>
      <c r="F17" s="56" t="s">
        <v>34</v>
      </c>
      <c r="G17" s="44">
        <v>4</v>
      </c>
      <c r="H17" s="129">
        <f>IF(B$17=0,0,G17/B$17)</f>
        <v>2.4242424242424242E-2</v>
      </c>
      <c r="I17" s="90">
        <v>3</v>
      </c>
      <c r="K17" s="36">
        <v>15</v>
      </c>
      <c r="L17" s="95">
        <v>-144.30000000000001</v>
      </c>
      <c r="N17" s="111" t="s">
        <v>177</v>
      </c>
      <c r="O17" s="121">
        <f>IF(P17=0,0,Q17/P17)</f>
        <v>13.400000000000002</v>
      </c>
      <c r="P17" s="115">
        <v>16</v>
      </c>
      <c r="Q17" s="103">
        <v>214.40000000000003</v>
      </c>
    </row>
    <row r="18" spans="1:17" x14ac:dyDescent="0.4">
      <c r="A18" s="51" t="s">
        <v>12</v>
      </c>
      <c r="B18" s="44">
        <v>61</v>
      </c>
      <c r="C18" s="37">
        <f>IF(B$17=0,0,B18/B$17)</f>
        <v>0.36969696969696969</v>
      </c>
      <c r="E18" s="59" t="s">
        <v>81</v>
      </c>
      <c r="F18" s="56" t="s">
        <v>36</v>
      </c>
      <c r="G18" s="44">
        <v>2</v>
      </c>
      <c r="H18" s="129">
        <f>IF(B$17=0,0,G18/B$17)</f>
        <v>1.2121212121212121E-2</v>
      </c>
      <c r="I18" s="90">
        <v>7</v>
      </c>
      <c r="K18" s="36">
        <v>16</v>
      </c>
      <c r="L18" s="95">
        <v>-187.3</v>
      </c>
      <c r="N18" s="111" t="s">
        <v>178</v>
      </c>
      <c r="O18" s="121">
        <f>IF(P18=0,0,Q18/P18)</f>
        <v>12.188888888888894</v>
      </c>
      <c r="P18" s="115">
        <v>18</v>
      </c>
      <c r="Q18" s="103">
        <v>219.40000000000009</v>
      </c>
    </row>
    <row r="19" spans="1:17" x14ac:dyDescent="0.4">
      <c r="A19" s="51" t="s">
        <v>11</v>
      </c>
      <c r="B19" s="44">
        <v>104</v>
      </c>
      <c r="C19" s="37">
        <f>IF(B$17=0,0,B19/B$17)</f>
        <v>0.63030303030303025</v>
      </c>
      <c r="E19" s="59" t="s">
        <v>74</v>
      </c>
      <c r="F19" s="56" t="s">
        <v>29</v>
      </c>
      <c r="G19" s="44">
        <v>1</v>
      </c>
      <c r="H19" s="129">
        <f>IF(B$17=0,0,G19/B$17)</f>
        <v>6.0606060606060606E-3</v>
      </c>
      <c r="I19" s="90">
        <v>3</v>
      </c>
      <c r="K19" s="36">
        <v>17</v>
      </c>
      <c r="L19" s="95">
        <v>-179.70000000000002</v>
      </c>
      <c r="N19" s="111" t="s">
        <v>166</v>
      </c>
      <c r="O19" s="121">
        <f>IF(P19=0,0,Q19/P19)</f>
        <v>10.114285714285714</v>
      </c>
      <c r="P19" s="115">
        <v>14</v>
      </c>
      <c r="Q19" s="103">
        <v>141.6</v>
      </c>
    </row>
    <row r="20" spans="1:17" x14ac:dyDescent="0.4">
      <c r="A20" s="51" t="s">
        <v>13</v>
      </c>
      <c r="B20" s="44">
        <v>101</v>
      </c>
      <c r="C20" s="37">
        <f>IF(B$3=0,0,B20/B$3)</f>
        <v>0.19498069498069498</v>
      </c>
      <c r="E20" s="59" t="s">
        <v>92</v>
      </c>
      <c r="F20" s="56" t="s">
        <v>47</v>
      </c>
      <c r="G20" s="44">
        <v>1</v>
      </c>
      <c r="H20" s="129">
        <f>IF(B$17=0,0,G20/B$17)</f>
        <v>6.0606060606060606E-3</v>
      </c>
      <c r="I20" s="90">
        <v>4</v>
      </c>
      <c r="K20" s="36">
        <v>18</v>
      </c>
      <c r="L20" s="95">
        <v>-112.90000000000002</v>
      </c>
      <c r="N20" s="111" t="s">
        <v>179</v>
      </c>
      <c r="O20" s="121">
        <f>IF(P20=0,0,Q20/P20)</f>
        <v>4.74</v>
      </c>
      <c r="P20" s="115">
        <v>20</v>
      </c>
      <c r="Q20" s="103">
        <v>94.800000000000011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167</v>
      </c>
      <c r="F21" s="56" t="s">
        <v>168</v>
      </c>
      <c r="G21" s="44">
        <v>1</v>
      </c>
      <c r="H21" s="129">
        <f>IF(B$17=0,0,G21/B$17)</f>
        <v>6.0606060606060606E-3</v>
      </c>
      <c r="I21" s="90">
        <v>5</v>
      </c>
      <c r="K21" s="36">
        <v>19</v>
      </c>
      <c r="L21" s="95">
        <v>-162.40000000000003</v>
      </c>
      <c r="N21" s="111" t="s">
        <v>126</v>
      </c>
      <c r="O21" s="121">
        <f>IF(P21=0,0,Q21/P21)</f>
        <v>-6.6782608695652161</v>
      </c>
      <c r="P21" s="115">
        <v>46</v>
      </c>
      <c r="Q21" s="103">
        <v>-307.19999999999993</v>
      </c>
    </row>
    <row r="22" spans="1:17" x14ac:dyDescent="0.4">
      <c r="A22" s="51" t="s">
        <v>170</v>
      </c>
      <c r="B22" s="44">
        <v>23</v>
      </c>
      <c r="C22" s="131">
        <v>9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-96.000000000000028</v>
      </c>
      <c r="N22" s="111" t="s">
        <v>181</v>
      </c>
      <c r="O22" s="121">
        <f>IF(P22=0,0,Q22/P22)</f>
        <v>-22.6</v>
      </c>
      <c r="P22" s="115">
        <v>1</v>
      </c>
      <c r="Q22" s="103">
        <v>-22.6</v>
      </c>
    </row>
    <row r="23" spans="1:17" x14ac:dyDescent="0.4">
      <c r="A23" s="51" t="s">
        <v>5</v>
      </c>
      <c r="B23" s="48">
        <f>IF(B$17=0,0,C23/B$17)</f>
        <v>8613.939393939394</v>
      </c>
      <c r="C23" s="39">
        <v>1421300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9309.1836734693879</v>
      </c>
      <c r="C24" s="137">
        <v>912300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7597.0149253731342</v>
      </c>
      <c r="C25" s="137">
        <v>509000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-7921.7821782178216</v>
      </c>
      <c r="C26" s="137">
        <v>-800100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2</v>
      </c>
      <c r="C29" s="40">
        <f>IF(B$3=0,0,B29/B$3)</f>
        <v>3.8610038610038611E-3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-34.100000000000037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-16.100000000000037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37</v>
      </c>
      <c r="C2" s="149"/>
      <c r="E2" s="58" t="s">
        <v>66</v>
      </c>
      <c r="F2" s="55" t="s">
        <v>22</v>
      </c>
      <c r="G2" s="43">
        <v>64</v>
      </c>
      <c r="H2" s="128">
        <f>IF(B$17=0,0,G2/B$17)</f>
        <v>0.72727272727272729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263.88888888888891</v>
      </c>
      <c r="P2" s="114">
        <v>36</v>
      </c>
      <c r="Q2" s="98">
        <v>9500</v>
      </c>
    </row>
    <row r="3" spans="1:17" x14ac:dyDescent="0.4">
      <c r="A3" s="51" t="s">
        <v>8</v>
      </c>
      <c r="B3" s="150">
        <v>315</v>
      </c>
      <c r="C3" s="151"/>
      <c r="E3" s="59" t="s">
        <v>64</v>
      </c>
      <c r="F3" s="56" t="s">
        <v>20</v>
      </c>
      <c r="G3" s="44">
        <v>52</v>
      </c>
      <c r="H3" s="129">
        <f>IF(B$17=0,0,G3/B$17)</f>
        <v>0.59090909090909094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-1788.8888888888889</v>
      </c>
      <c r="P3" s="115">
        <v>36</v>
      </c>
      <c r="Q3" s="99">
        <v>-64400</v>
      </c>
    </row>
    <row r="4" spans="1:17" x14ac:dyDescent="0.4">
      <c r="A4" s="51" t="s">
        <v>6</v>
      </c>
      <c r="B4" s="152">
        <v>-261</v>
      </c>
      <c r="C4" s="153"/>
      <c r="E4" s="59" t="s">
        <v>72</v>
      </c>
      <c r="F4" s="56" t="s">
        <v>27</v>
      </c>
      <c r="G4" s="44">
        <v>45</v>
      </c>
      <c r="H4" s="129">
        <f>IF(B$17=0,0,G4/B$17)</f>
        <v>0.51136363636363635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1744.1176470588234</v>
      </c>
      <c r="P4" s="115">
        <v>34</v>
      </c>
      <c r="Q4" s="99">
        <v>59300</v>
      </c>
    </row>
    <row r="5" spans="1:17" x14ac:dyDescent="0.4">
      <c r="A5" s="51" t="s">
        <v>7</v>
      </c>
      <c r="B5" s="154">
        <f>IF(B$2=0,0,B$4/B$2)</f>
        <v>-7.0540540540540544</v>
      </c>
      <c r="C5" s="155"/>
      <c r="E5" s="59" t="s">
        <v>171</v>
      </c>
      <c r="F5" s="56" t="s">
        <v>172</v>
      </c>
      <c r="G5" s="44">
        <v>33</v>
      </c>
      <c r="H5" s="129">
        <f>IF(B$17=0,0,G5/B$17)</f>
        <v>0.375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-1481.8181818181818</v>
      </c>
      <c r="P5" s="115">
        <v>33</v>
      </c>
      <c r="Q5" s="99">
        <v>-48900</v>
      </c>
    </row>
    <row r="6" spans="1:17" x14ac:dyDescent="0.4">
      <c r="A6" s="51" t="s">
        <v>1</v>
      </c>
      <c r="B6" s="144">
        <f>IF(B$2=0,0,(B$7*1+B$8*2+B$9*3)/B$2)</f>
        <v>2.2162162162162162</v>
      </c>
      <c r="C6" s="145"/>
      <c r="E6" s="59" t="s">
        <v>67</v>
      </c>
      <c r="F6" s="56" t="s">
        <v>23</v>
      </c>
      <c r="G6" s="44">
        <v>27</v>
      </c>
      <c r="H6" s="129">
        <f>IF(B$17=0,0,G6/B$17)</f>
        <v>0.30681818181818182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-3253.125</v>
      </c>
      <c r="P6" s="115">
        <v>32</v>
      </c>
      <c r="Q6" s="99">
        <v>-104100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0.21621621621621623</v>
      </c>
      <c r="E7" s="59" t="s">
        <v>68</v>
      </c>
      <c r="F7" s="56" t="s">
        <v>12</v>
      </c>
      <c r="G7" s="44">
        <v>25</v>
      </c>
      <c r="H7" s="129">
        <f>IF(B$17=0,0,G7/B$17)</f>
        <v>0.28409090909090912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-2124.1379310344828</v>
      </c>
      <c r="P7" s="116">
        <v>29</v>
      </c>
      <c r="Q7" s="100">
        <v>-61600</v>
      </c>
    </row>
    <row r="8" spans="1:17" x14ac:dyDescent="0.4">
      <c r="A8" s="51" t="s">
        <v>3</v>
      </c>
      <c r="B8" s="44">
        <v>13</v>
      </c>
      <c r="C8" s="37">
        <f t="shared" si="1"/>
        <v>0.35135135135135137</v>
      </c>
      <c r="E8" s="59" t="s">
        <v>70</v>
      </c>
      <c r="F8" s="56" t="s">
        <v>25</v>
      </c>
      <c r="G8" s="44">
        <v>13</v>
      </c>
      <c r="H8" s="129">
        <f>IF(B$17=0,0,G8/B$17)</f>
        <v>0.14772727272727273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0.43243243243243246</v>
      </c>
      <c r="E9" s="59" t="s">
        <v>69</v>
      </c>
      <c r="F9" s="56" t="s">
        <v>24</v>
      </c>
      <c r="G9" s="44">
        <v>12</v>
      </c>
      <c r="H9" s="129">
        <f>IF(B$17=0,0,G9/B$17)</f>
        <v>0.13636363636363635</v>
      </c>
      <c r="I9" s="90">
        <v>4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5.4054054054054057E-2</v>
      </c>
      <c r="E10" s="59" t="s">
        <v>65</v>
      </c>
      <c r="F10" s="56" t="s">
        <v>21</v>
      </c>
      <c r="G10" s="44">
        <v>9</v>
      </c>
      <c r="H10" s="129">
        <f>IF(B$17=0,0,G10/B$17)</f>
        <v>0.10227272727272728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2.7533333333333321</v>
      </c>
      <c r="P10" s="114">
        <v>15</v>
      </c>
      <c r="Q10" s="102">
        <v>41.299999999999983</v>
      </c>
    </row>
    <row r="11" spans="1:17" x14ac:dyDescent="0.4">
      <c r="A11" s="52" t="s">
        <v>138</v>
      </c>
      <c r="B11" s="45">
        <v>2</v>
      </c>
      <c r="C11" s="38">
        <f t="shared" si="1"/>
        <v>5.4054054054054057E-2</v>
      </c>
      <c r="E11" s="59" t="s">
        <v>89</v>
      </c>
      <c r="F11" s="56" t="s">
        <v>44</v>
      </c>
      <c r="G11" s="44">
        <v>8</v>
      </c>
      <c r="H11" s="129">
        <f>IF(B$17=0,0,G11/B$17)</f>
        <v>9.0909090909090912E-2</v>
      </c>
      <c r="I11" s="90">
        <v>7</v>
      </c>
      <c r="K11" s="36">
        <v>9</v>
      </c>
      <c r="L11" s="95">
        <v>-74.199999999999989</v>
      </c>
      <c r="N11" s="111" t="s">
        <v>163</v>
      </c>
      <c r="O11" s="121">
        <f>IF(P11=0,0,Q11/P11)</f>
        <v>-13.145454545454545</v>
      </c>
      <c r="P11" s="115">
        <v>11</v>
      </c>
      <c r="Q11" s="103">
        <v>-144.6</v>
      </c>
    </row>
    <row r="12" spans="1:17" x14ac:dyDescent="0.4">
      <c r="A12" s="53" t="s">
        <v>158</v>
      </c>
      <c r="B12" s="46">
        <v>2</v>
      </c>
      <c r="C12" s="40">
        <f t="shared" si="1"/>
        <v>5.4054054054054057E-2</v>
      </c>
      <c r="E12" s="59" t="s">
        <v>83</v>
      </c>
      <c r="F12" s="56" t="s">
        <v>38</v>
      </c>
      <c r="G12" s="44">
        <v>7</v>
      </c>
      <c r="H12" s="129">
        <f>IF(B$17=0,0,G12/B$17)</f>
        <v>7.9545454545454544E-2</v>
      </c>
      <c r="I12" s="90">
        <v>3</v>
      </c>
      <c r="K12" s="36">
        <v>10</v>
      </c>
      <c r="L12" s="95">
        <v>-117.19999999999999</v>
      </c>
      <c r="N12" s="112" t="s">
        <v>164</v>
      </c>
      <c r="O12" s="122">
        <f>IF(P12=0,0,Q12/P12)</f>
        <v>-14.336363636363636</v>
      </c>
      <c r="P12" s="116">
        <v>11</v>
      </c>
      <c r="Q12" s="104">
        <v>-157.69999999999999</v>
      </c>
    </row>
    <row r="13" spans="1:17" x14ac:dyDescent="0.4">
      <c r="A13" s="54" t="s">
        <v>121</v>
      </c>
      <c r="B13" s="47">
        <v>89</v>
      </c>
      <c r="C13" s="42">
        <f>IF(B$3=0,0,B13/B$3)</f>
        <v>0.28253968253968254</v>
      </c>
      <c r="E13" s="59" t="s">
        <v>71</v>
      </c>
      <c r="F13" s="56" t="s">
        <v>26</v>
      </c>
      <c r="G13" s="44">
        <v>5</v>
      </c>
      <c r="H13" s="129">
        <f>IF(B$17=0,0,G13/B$17)</f>
        <v>5.6818181818181816E-2</v>
      </c>
      <c r="I13" s="90">
        <v>9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54</v>
      </c>
      <c r="C14" s="37">
        <f>IF(B$3=0,0,B14/B$3)</f>
        <v>0.17142857142857143</v>
      </c>
      <c r="E14" s="59" t="s">
        <v>86</v>
      </c>
      <c r="F14" s="56" t="s">
        <v>41</v>
      </c>
      <c r="G14" s="44">
        <v>3</v>
      </c>
      <c r="H14" s="129">
        <f>IF(B$17=0,0,G14/B$17)</f>
        <v>3.4090909090909088E-2</v>
      </c>
      <c r="I14" s="90">
        <v>9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53</v>
      </c>
      <c r="C15" s="35">
        <f>IF(B$13=0,0,B15/B$13)</f>
        <v>0.5955056179775281</v>
      </c>
      <c r="E15" s="59" t="s">
        <v>75</v>
      </c>
      <c r="F15" s="56" t="s">
        <v>30</v>
      </c>
      <c r="G15" s="44">
        <v>2</v>
      </c>
      <c r="H15" s="129">
        <f>IF(B$17=0,0,G15/B$17)</f>
        <v>2.2727272727272728E-2</v>
      </c>
      <c r="I15" s="90">
        <v>2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22</v>
      </c>
      <c r="C16" s="35">
        <f>IF(B$14=0,0,B16/B$14)</f>
        <v>0.40740740740740738</v>
      </c>
      <c r="E16" s="59" t="s">
        <v>78</v>
      </c>
      <c r="F16" s="56" t="s">
        <v>33</v>
      </c>
      <c r="G16" s="44">
        <v>2</v>
      </c>
      <c r="H16" s="129">
        <f>IF(B$17=0,0,G16/B$17)</f>
        <v>2.2727272727272728E-2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18.45</v>
      </c>
      <c r="P16" s="115">
        <v>10</v>
      </c>
      <c r="Q16" s="103">
        <v>184.5</v>
      </c>
    </row>
    <row r="17" spans="1:17" x14ac:dyDescent="0.4">
      <c r="A17" s="50" t="s">
        <v>10</v>
      </c>
      <c r="B17" s="43">
        <f>B19+B18</f>
        <v>88</v>
      </c>
      <c r="C17" s="35">
        <f>IF(B$3=0,0,B17/B$3)</f>
        <v>0.27936507936507937</v>
      </c>
      <c r="E17" s="59" t="s">
        <v>81</v>
      </c>
      <c r="F17" s="56" t="s">
        <v>36</v>
      </c>
      <c r="G17" s="44">
        <v>2</v>
      </c>
      <c r="H17" s="129">
        <f>IF(B$17=0,0,G17/B$17)</f>
        <v>2.2727272727272728E-2</v>
      </c>
      <c r="I17" s="90">
        <v>5</v>
      </c>
      <c r="K17" s="36">
        <v>15</v>
      </c>
      <c r="L17" s="95">
        <v>-221.5</v>
      </c>
      <c r="N17" s="111" t="s">
        <v>127</v>
      </c>
      <c r="O17" s="121">
        <f t="shared" si="2"/>
        <v>-4.7400000000000011</v>
      </c>
      <c r="P17" s="115">
        <v>20</v>
      </c>
      <c r="Q17" s="103">
        <v>-94.800000000000026</v>
      </c>
    </row>
    <row r="18" spans="1:17" x14ac:dyDescent="0.4">
      <c r="A18" s="51" t="s">
        <v>12</v>
      </c>
      <c r="B18" s="44">
        <v>36</v>
      </c>
      <c r="C18" s="37">
        <f>IF(B$17=0,0,B18/B$17)</f>
        <v>0.40909090909090912</v>
      </c>
      <c r="E18" s="59" t="s">
        <v>79</v>
      </c>
      <c r="F18" s="56" t="s">
        <v>34</v>
      </c>
      <c r="G18" s="44">
        <v>1</v>
      </c>
      <c r="H18" s="129">
        <f>IF(B$17=0,0,G18/B$17)</f>
        <v>1.1363636363636364E-2</v>
      </c>
      <c r="I18" s="90">
        <v>5</v>
      </c>
      <c r="K18" s="36">
        <v>16</v>
      </c>
      <c r="L18" s="95">
        <v>-224.3</v>
      </c>
      <c r="N18" s="111" t="s">
        <v>181</v>
      </c>
      <c r="O18" s="121">
        <f t="shared" si="2"/>
        <v>-11.459999999999997</v>
      </c>
      <c r="P18" s="115">
        <v>5</v>
      </c>
      <c r="Q18" s="103">
        <v>-57.299999999999983</v>
      </c>
    </row>
    <row r="19" spans="1:17" x14ac:dyDescent="0.4">
      <c r="A19" s="51" t="s">
        <v>11</v>
      </c>
      <c r="B19" s="44">
        <v>52</v>
      </c>
      <c r="C19" s="37">
        <f>IF(B$17=0,0,B19/B$17)</f>
        <v>0.59090909090909094</v>
      </c>
      <c r="E19" s="59" t="s">
        <v>91</v>
      </c>
      <c r="F19" s="56" t="s">
        <v>46</v>
      </c>
      <c r="G19" s="44">
        <v>1</v>
      </c>
      <c r="H19" s="129">
        <f>IF(B$17=0,0,G19/B$17)</f>
        <v>1.1363636363636364E-2</v>
      </c>
      <c r="I19" s="90">
        <v>5</v>
      </c>
      <c r="K19" s="36">
        <v>17</v>
      </c>
      <c r="L19" s="95">
        <v>-251.4</v>
      </c>
      <c r="N19" s="111" t="s">
        <v>126</v>
      </c>
      <c r="O19" s="121">
        <f t="shared" si="2"/>
        <v>-16.308000000000003</v>
      </c>
      <c r="P19" s="115">
        <v>25</v>
      </c>
      <c r="Q19" s="103">
        <v>-407.7000000000001</v>
      </c>
    </row>
    <row r="20" spans="1:17" x14ac:dyDescent="0.4">
      <c r="A20" s="51" t="s">
        <v>13</v>
      </c>
      <c r="B20" s="44">
        <v>63</v>
      </c>
      <c r="C20" s="37">
        <f>IF(B$3=0,0,B20/B$3)</f>
        <v>0.2</v>
      </c>
      <c r="E20" s="59" t="s">
        <v>167</v>
      </c>
      <c r="F20" s="56" t="s">
        <v>168</v>
      </c>
      <c r="G20" s="44">
        <v>1</v>
      </c>
      <c r="H20" s="129">
        <f>IF(B$17=0,0,G20/B$17)</f>
        <v>1.1363636363636364E-2</v>
      </c>
      <c r="I20" s="90">
        <v>4</v>
      </c>
      <c r="K20" s="36">
        <v>18</v>
      </c>
      <c r="L20" s="95">
        <v>-240</v>
      </c>
      <c r="N20" s="111" t="s">
        <v>177</v>
      </c>
      <c r="O20" s="121">
        <f t="shared" si="2"/>
        <v>-29.9</v>
      </c>
      <c r="P20" s="115">
        <v>2</v>
      </c>
      <c r="Q20" s="103">
        <v>-59.8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-218</v>
      </c>
      <c r="N21" s="111" t="s">
        <v>178</v>
      </c>
      <c r="O21" s="121">
        <f t="shared" si="2"/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7539.772727272727</v>
      </c>
      <c r="C23" s="39">
        <v>663500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7980.30303030303</v>
      </c>
      <c r="C24" s="137">
        <v>526700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6218.181818181818</v>
      </c>
      <c r="C25" s="137">
        <v>136800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-7063.4920634920636</v>
      </c>
      <c r="C26" s="137">
        <v>-445000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6.3492063492063492E-3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35</v>
      </c>
      <c r="C2" s="149"/>
      <c r="E2" s="58" t="s">
        <v>66</v>
      </c>
      <c r="F2" s="55" t="s">
        <v>22</v>
      </c>
      <c r="G2" s="43">
        <v>67</v>
      </c>
      <c r="H2" s="128">
        <f>IF(B$17=0,0,G2/B$17)</f>
        <v>0.89333333333333331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2411.4285714285716</v>
      </c>
      <c r="P2" s="114">
        <v>35</v>
      </c>
      <c r="Q2" s="98">
        <v>84400</v>
      </c>
    </row>
    <row r="3" spans="1:17" x14ac:dyDescent="0.4">
      <c r="A3" s="51" t="s">
        <v>8</v>
      </c>
      <c r="B3" s="150">
        <v>273</v>
      </c>
      <c r="C3" s="151"/>
      <c r="E3" s="59" t="s">
        <v>72</v>
      </c>
      <c r="F3" s="56" t="s">
        <v>27</v>
      </c>
      <c r="G3" s="44">
        <v>50</v>
      </c>
      <c r="H3" s="129">
        <f>IF(B$17=0,0,G3/B$17)</f>
        <v>0.66666666666666663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0"/>
        <v>-1893.939393939394</v>
      </c>
      <c r="P3" s="115">
        <v>33</v>
      </c>
      <c r="Q3" s="99">
        <v>-62500</v>
      </c>
    </row>
    <row r="4" spans="1:17" x14ac:dyDescent="0.4">
      <c r="A4" s="51" t="s">
        <v>6</v>
      </c>
      <c r="B4" s="152">
        <v>140.50000000000006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0.46666666666666667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1061.2903225806451</v>
      </c>
      <c r="P4" s="115">
        <v>31</v>
      </c>
      <c r="Q4" s="99">
        <v>32900</v>
      </c>
    </row>
    <row r="5" spans="1:17" x14ac:dyDescent="0.4">
      <c r="A5" s="51" t="s">
        <v>7</v>
      </c>
      <c r="B5" s="154">
        <f>IF(B$2=0,0,B$4/B$2)</f>
        <v>4.014285714285716</v>
      </c>
      <c r="C5" s="155"/>
      <c r="E5" s="59" t="s">
        <v>67</v>
      </c>
      <c r="F5" s="56" t="s">
        <v>23</v>
      </c>
      <c r="G5" s="44">
        <v>30</v>
      </c>
      <c r="H5" s="129">
        <f>IF(B$17=0,0,G5/B$17)</f>
        <v>0.4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3631.0344827586205</v>
      </c>
      <c r="P5" s="115">
        <v>29</v>
      </c>
      <c r="Q5" s="99">
        <v>105300</v>
      </c>
    </row>
    <row r="6" spans="1:17" x14ac:dyDescent="0.4">
      <c r="A6" s="51" t="s">
        <v>1</v>
      </c>
      <c r="B6" s="144">
        <f>IF(B$2=0,0,(B$7*1+B$8*2+B$9*3)/B$2)</f>
        <v>1.8285714285714285</v>
      </c>
      <c r="C6" s="145"/>
      <c r="E6" s="59" t="s">
        <v>171</v>
      </c>
      <c r="F6" s="56" t="s">
        <v>172</v>
      </c>
      <c r="G6" s="44">
        <v>27</v>
      </c>
      <c r="H6" s="129">
        <f>IF(B$17=0,0,G6/B$17)</f>
        <v>0.36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-2146.1538461538462</v>
      </c>
      <c r="P6" s="115">
        <v>26</v>
      </c>
      <c r="Q6" s="99">
        <v>-55800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0.42857142857142855</v>
      </c>
      <c r="E7" s="59" t="s">
        <v>68</v>
      </c>
      <c r="F7" s="56" t="s">
        <v>12</v>
      </c>
      <c r="G7" s="44">
        <v>26</v>
      </c>
      <c r="H7" s="129">
        <f>IF(B$17=0,0,G7/B$17)</f>
        <v>0.34666666666666668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-1580</v>
      </c>
      <c r="P7" s="116">
        <v>20</v>
      </c>
      <c r="Q7" s="100">
        <v>-31600</v>
      </c>
    </row>
    <row r="8" spans="1:17" x14ac:dyDescent="0.4">
      <c r="A8" s="51" t="s">
        <v>3</v>
      </c>
      <c r="B8" s="44">
        <v>11</v>
      </c>
      <c r="C8" s="37">
        <f t="shared" si="1"/>
        <v>0.31428571428571428</v>
      </c>
      <c r="E8" s="59" t="s">
        <v>89</v>
      </c>
      <c r="F8" s="56" t="s">
        <v>44</v>
      </c>
      <c r="G8" s="44">
        <v>19</v>
      </c>
      <c r="H8" s="129">
        <f>IF(B$17=0,0,G8/B$17)</f>
        <v>0.25333333333333335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0.25714285714285712</v>
      </c>
      <c r="E9" s="59" t="s">
        <v>69</v>
      </c>
      <c r="F9" s="56" t="s">
        <v>24</v>
      </c>
      <c r="G9" s="44">
        <v>15</v>
      </c>
      <c r="H9" s="129">
        <f>IF(B$17=0,0,G9/B$17)</f>
        <v>0.2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0.14285714285714285</v>
      </c>
      <c r="E10" s="59" t="s">
        <v>65</v>
      </c>
      <c r="F10" s="56" t="s">
        <v>21</v>
      </c>
      <c r="G10" s="44">
        <v>7</v>
      </c>
      <c r="H10" s="129">
        <f>IF(B$17=0,0,G10/B$17)</f>
        <v>9.3333333333333338E-2</v>
      </c>
      <c r="I10" s="90">
        <v>7</v>
      </c>
      <c r="K10" s="36">
        <v>8</v>
      </c>
      <c r="L10" s="95">
        <v>-110.19999999999999</v>
      </c>
      <c r="N10" s="110" t="s">
        <v>162</v>
      </c>
      <c r="O10" s="120">
        <f>IF(P10=0,0,Q10/P10)</f>
        <v>8.5076923076923094</v>
      </c>
      <c r="P10" s="114">
        <v>13</v>
      </c>
      <c r="Q10" s="102">
        <v>110.60000000000002</v>
      </c>
    </row>
    <row r="11" spans="1:17" x14ac:dyDescent="0.4">
      <c r="A11" s="52" t="s">
        <v>138</v>
      </c>
      <c r="B11" s="45">
        <v>7</v>
      </c>
      <c r="C11" s="38">
        <f t="shared" si="1"/>
        <v>0.2</v>
      </c>
      <c r="E11" s="59" t="s">
        <v>70</v>
      </c>
      <c r="F11" s="56" t="s">
        <v>25</v>
      </c>
      <c r="G11" s="44">
        <v>4</v>
      </c>
      <c r="H11" s="129">
        <f>IF(B$17=0,0,G11/B$17)</f>
        <v>5.3333333333333337E-2</v>
      </c>
      <c r="I11" s="90">
        <v>10</v>
      </c>
      <c r="K11" s="36">
        <v>9</v>
      </c>
      <c r="L11" s="95">
        <v>-120.99999999999999</v>
      </c>
      <c r="N11" s="111" t="s">
        <v>163</v>
      </c>
      <c r="O11" s="121">
        <f>IF(P11=0,0,Q11/P11)</f>
        <v>4.371428571428571</v>
      </c>
      <c r="P11" s="115">
        <v>14</v>
      </c>
      <c r="Q11" s="103">
        <v>61.199999999999989</v>
      </c>
    </row>
    <row r="12" spans="1:17" x14ac:dyDescent="0.4">
      <c r="A12" s="53" t="s">
        <v>158</v>
      </c>
      <c r="B12" s="46">
        <v>3</v>
      </c>
      <c r="C12" s="40">
        <f t="shared" si="1"/>
        <v>8.5714285714285715E-2</v>
      </c>
      <c r="E12" s="59" t="s">
        <v>83</v>
      </c>
      <c r="F12" s="56" t="s">
        <v>38</v>
      </c>
      <c r="G12" s="44">
        <v>4</v>
      </c>
      <c r="H12" s="129">
        <f>IF(B$17=0,0,G12/B$17)</f>
        <v>5.3333333333333337E-2</v>
      </c>
      <c r="I12" s="90">
        <v>7</v>
      </c>
      <c r="K12" s="36">
        <v>10</v>
      </c>
      <c r="L12" s="95">
        <v>-113.29999999999998</v>
      </c>
      <c r="N12" s="112" t="s">
        <v>164</v>
      </c>
      <c r="O12" s="122">
        <f>IF(P12=0,0,Q12/P12)</f>
        <v>-3.9124999999999983</v>
      </c>
      <c r="P12" s="116">
        <v>8</v>
      </c>
      <c r="Q12" s="104">
        <v>-31.299999999999986</v>
      </c>
    </row>
    <row r="13" spans="1:17" x14ac:dyDescent="0.4">
      <c r="A13" s="54" t="s">
        <v>121</v>
      </c>
      <c r="B13" s="47">
        <v>78</v>
      </c>
      <c r="C13" s="42">
        <f>IF(B$3=0,0,B13/B$3)</f>
        <v>0.2857142857142857</v>
      </c>
      <c r="E13" s="59" t="s">
        <v>71</v>
      </c>
      <c r="F13" s="56" t="s">
        <v>26</v>
      </c>
      <c r="G13" s="44">
        <v>3</v>
      </c>
      <c r="H13" s="129">
        <f>IF(B$17=0,0,G13/B$17)</f>
        <v>0.04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56</v>
      </c>
      <c r="C14" s="37">
        <f>IF(B$3=0,0,B14/B$3)</f>
        <v>0.20512820512820512</v>
      </c>
      <c r="E14" s="59" t="s">
        <v>86</v>
      </c>
      <c r="F14" s="56" t="s">
        <v>41</v>
      </c>
      <c r="G14" s="44">
        <v>3</v>
      </c>
      <c r="H14" s="129">
        <f>IF(B$17=0,0,G14/B$17)</f>
        <v>0.04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0.44871794871794873</v>
      </c>
      <c r="E15" s="59" t="s">
        <v>92</v>
      </c>
      <c r="F15" s="56" t="s">
        <v>47</v>
      </c>
      <c r="G15" s="44">
        <v>3</v>
      </c>
      <c r="H15" s="129">
        <f>IF(B$17=0,0,G15/B$17)</f>
        <v>0.04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28</v>
      </c>
      <c r="C16" s="35">
        <f>IF(B$14=0,0,B16/B$14)</f>
        <v>0.5</v>
      </c>
      <c r="E16" s="59" t="s">
        <v>81</v>
      </c>
      <c r="F16" s="56" t="s">
        <v>36</v>
      </c>
      <c r="G16" s="44">
        <v>2</v>
      </c>
      <c r="H16" s="129">
        <f>IF(B$17=0,0,G16/B$17)</f>
        <v>2.6666666666666668E-2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75</v>
      </c>
      <c r="C17" s="35">
        <f>IF(B$3=0,0,B17/B$3)</f>
        <v>0.27472527472527475</v>
      </c>
      <c r="E17" s="59" t="s">
        <v>75</v>
      </c>
      <c r="F17" s="56" t="s">
        <v>30</v>
      </c>
      <c r="G17" s="44">
        <v>1</v>
      </c>
      <c r="H17" s="129">
        <f>IF(B$17=0,0,G17/B$17)</f>
        <v>1.3333333333333334E-2</v>
      </c>
      <c r="I17" s="90">
        <v>3</v>
      </c>
      <c r="K17" s="36">
        <v>15</v>
      </c>
      <c r="L17" s="95">
        <v>-101.79999999999997</v>
      </c>
      <c r="N17" s="111" t="s">
        <v>179</v>
      </c>
      <c r="O17" s="121">
        <f>IF(P17=0,0,Q17/P17)</f>
        <v>29.9</v>
      </c>
      <c r="P17" s="115">
        <v>2</v>
      </c>
      <c r="Q17" s="103">
        <v>59.8</v>
      </c>
    </row>
    <row r="18" spans="1:17" x14ac:dyDescent="0.4">
      <c r="A18" s="51" t="s">
        <v>12</v>
      </c>
      <c r="B18" s="44">
        <v>35</v>
      </c>
      <c r="C18" s="37">
        <f>IF(B$17=0,0,B18/B$17)</f>
        <v>0.46666666666666667</v>
      </c>
      <c r="E18" s="59" t="s">
        <v>85</v>
      </c>
      <c r="F18" s="56" t="s">
        <v>40</v>
      </c>
      <c r="G18" s="44">
        <v>1</v>
      </c>
      <c r="H18" s="129">
        <f>IF(B$17=0,0,G18/B$17)</f>
        <v>1.3333333333333334E-2</v>
      </c>
      <c r="I18" s="90">
        <v>2</v>
      </c>
      <c r="K18" s="36">
        <v>16</v>
      </c>
      <c r="L18" s="95">
        <v>-63.099999999999966</v>
      </c>
      <c r="N18" s="111" t="s">
        <v>182</v>
      </c>
      <c r="O18" s="121">
        <f>IF(P18=0,0,Q18/P18)</f>
        <v>20.7</v>
      </c>
      <c r="P18" s="115">
        <v>12</v>
      </c>
      <c r="Q18" s="103">
        <v>248.39999999999998</v>
      </c>
    </row>
    <row r="19" spans="1:17" x14ac:dyDescent="0.4">
      <c r="A19" s="51" t="s">
        <v>11</v>
      </c>
      <c r="B19" s="44">
        <v>40</v>
      </c>
      <c r="C19" s="37">
        <f>IF(B$17=0,0,B19/B$17)</f>
        <v>0.53333333333333333</v>
      </c>
      <c r="E19" s="59" t="s">
        <v>90</v>
      </c>
      <c r="F19" s="56" t="s">
        <v>45</v>
      </c>
      <c r="G19" s="44">
        <v>1</v>
      </c>
      <c r="H19" s="129">
        <f>IF(B$17=0,0,G19/B$17)</f>
        <v>1.3333333333333334E-2</v>
      </c>
      <c r="I19" s="90">
        <v>1</v>
      </c>
      <c r="K19" s="36">
        <v>17</v>
      </c>
      <c r="L19" s="95">
        <v>-55.799999999999969</v>
      </c>
      <c r="N19" s="111" t="s">
        <v>178</v>
      </c>
      <c r="O19" s="121">
        <f>IF(P19=0,0,Q19/P19)</f>
        <v>15.669999999999998</v>
      </c>
      <c r="P19" s="115">
        <v>20</v>
      </c>
      <c r="Q19" s="103">
        <v>313.39999999999998</v>
      </c>
    </row>
    <row r="20" spans="1:17" x14ac:dyDescent="0.4">
      <c r="A20" s="51" t="s">
        <v>13</v>
      </c>
      <c r="B20" s="44">
        <v>44</v>
      </c>
      <c r="C20" s="37">
        <f>IF(B$3=0,0,B20/B$3)</f>
        <v>0.16117216117216118</v>
      </c>
      <c r="E20" s="59" t="s">
        <v>91</v>
      </c>
      <c r="F20" s="56" t="s">
        <v>46</v>
      </c>
      <c r="G20" s="44">
        <v>1</v>
      </c>
      <c r="H20" s="129">
        <f>IF(B$17=0,0,G20/B$17)</f>
        <v>1.3333333333333334E-2</v>
      </c>
      <c r="I20" s="90">
        <v>3</v>
      </c>
      <c r="K20" s="36">
        <v>18</v>
      </c>
      <c r="L20" s="95">
        <v>-24.999999999999968</v>
      </c>
      <c r="N20" s="111" t="s">
        <v>126</v>
      </c>
      <c r="O20" s="121">
        <f>IF(P20=0,0,Q20/P20)</f>
        <v>9.2857142857141639E-2</v>
      </c>
      <c r="P20" s="115">
        <v>14</v>
      </c>
      <c r="Q20" s="103">
        <v>1.2999999999999829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-27.799999999999969</v>
      </c>
      <c r="N21" s="111" t="s">
        <v>127</v>
      </c>
      <c r="O21" s="121">
        <f>IF(P21=0,0,Q21/P21)</f>
        <v>-13.400000000000002</v>
      </c>
      <c r="P21" s="115">
        <v>16</v>
      </c>
      <c r="Q21" s="103">
        <v>-214.40000000000003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-50.39999999999997</v>
      </c>
      <c r="N22" s="111" t="s">
        <v>181</v>
      </c>
      <c r="O22" s="121">
        <f>IF(P22=0,0,Q22/P22)</f>
        <v>-107.2</v>
      </c>
      <c r="P22" s="115">
        <v>2</v>
      </c>
      <c r="Q22" s="103">
        <v>-214.4</v>
      </c>
    </row>
    <row r="23" spans="1:17" x14ac:dyDescent="0.4">
      <c r="A23" s="51" t="s">
        <v>5</v>
      </c>
      <c r="B23" s="48">
        <f>IF(B$17=0,0,C23/B$17)</f>
        <v>10238.666666666666</v>
      </c>
      <c r="C23" s="39">
        <v>767900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12046.808510638299</v>
      </c>
      <c r="C24" s="137">
        <v>566200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7203.5714285714284</v>
      </c>
      <c r="C25" s="137">
        <v>201700</v>
      </c>
      <c r="E25" s="59" t="s">
        <v>78</v>
      </c>
      <c r="F25" s="56" t="s">
        <v>33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-8772.7272727272721</v>
      </c>
      <c r="C26" s="137">
        <v>-386000</v>
      </c>
      <c r="E26" s="59" t="s">
        <v>79</v>
      </c>
      <c r="F26" s="56" t="s">
        <v>34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-31.499999999999972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-10.999999999999972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30.900000000000027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73.900000000000034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96.100000000000037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topLeftCell="F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45</v>
      </c>
      <c r="C2" s="149"/>
      <c r="E2" s="58" t="s">
        <v>66</v>
      </c>
      <c r="F2" s="55" t="s">
        <v>22</v>
      </c>
      <c r="G2" s="43">
        <v>82</v>
      </c>
      <c r="H2" s="128">
        <f>IF(B$17=0,0,G2/B$17)</f>
        <v>0.78846153846153844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1317.7777777777778</v>
      </c>
      <c r="P2" s="114">
        <v>45</v>
      </c>
      <c r="Q2" s="98">
        <v>59300</v>
      </c>
    </row>
    <row r="3" spans="1:17" x14ac:dyDescent="0.4">
      <c r="A3" s="51" t="s">
        <v>8</v>
      </c>
      <c r="B3" s="150">
        <v>366</v>
      </c>
      <c r="C3" s="151"/>
      <c r="E3" s="59" t="s">
        <v>72</v>
      </c>
      <c r="F3" s="56" t="s">
        <v>27</v>
      </c>
      <c r="G3" s="44">
        <v>71</v>
      </c>
      <c r="H3" s="129">
        <f>IF(B$17=0,0,G3/B$17)</f>
        <v>0.68269230769230771</v>
      </c>
      <c r="I3" s="90">
        <v>1</v>
      </c>
      <c r="K3" s="36">
        <v>1</v>
      </c>
      <c r="L3" s="95">
        <v>46.9</v>
      </c>
      <c r="N3" s="111" t="s">
        <v>131</v>
      </c>
      <c r="O3" s="118">
        <f t="shared" si="0"/>
        <v>1583.3333333333333</v>
      </c>
      <c r="P3" s="115">
        <v>42</v>
      </c>
      <c r="Q3" s="99">
        <v>66500</v>
      </c>
    </row>
    <row r="4" spans="1:17" x14ac:dyDescent="0.4">
      <c r="A4" s="51" t="s">
        <v>6</v>
      </c>
      <c r="B4" s="152">
        <v>-23.299999999999976</v>
      </c>
      <c r="C4" s="153"/>
      <c r="E4" s="59" t="s">
        <v>64</v>
      </c>
      <c r="F4" s="56" t="s">
        <v>20</v>
      </c>
      <c r="G4" s="44">
        <v>51</v>
      </c>
      <c r="H4" s="129">
        <f>IF(B$17=0,0,G4/B$17)</f>
        <v>0.49038461538461536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-2653.8461538461538</v>
      </c>
      <c r="P4" s="115">
        <v>39</v>
      </c>
      <c r="Q4" s="99">
        <v>-103500</v>
      </c>
    </row>
    <row r="5" spans="1:17" x14ac:dyDescent="0.4">
      <c r="A5" s="51" t="s">
        <v>7</v>
      </c>
      <c r="B5" s="154">
        <f>IF(B$2=0,0,B$4/B$2)</f>
        <v>-0.51777777777777723</v>
      </c>
      <c r="C5" s="155"/>
      <c r="E5" s="59" t="s">
        <v>171</v>
      </c>
      <c r="F5" s="56" t="s">
        <v>172</v>
      </c>
      <c r="G5" s="44">
        <v>42</v>
      </c>
      <c r="H5" s="129">
        <f>IF(B$17=0,0,G5/B$17)</f>
        <v>0.40384615384615385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605.55555555555554</v>
      </c>
      <c r="P5" s="115">
        <v>36</v>
      </c>
      <c r="Q5" s="99">
        <v>21800</v>
      </c>
    </row>
    <row r="6" spans="1:17" x14ac:dyDescent="0.4">
      <c r="A6" s="51" t="s">
        <v>1</v>
      </c>
      <c r="B6" s="144">
        <f>IF(B$2=0,0,(B$7*1+B$8*2+B$9*3)/B$2)</f>
        <v>2.1111111111111112</v>
      </c>
      <c r="C6" s="145"/>
      <c r="E6" s="59" t="s">
        <v>67</v>
      </c>
      <c r="F6" s="56" t="s">
        <v>23</v>
      </c>
      <c r="G6" s="44">
        <v>39</v>
      </c>
      <c r="H6" s="129">
        <f>IF(B$17=0,0,G6/B$17)</f>
        <v>0.375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-587.09677419354841</v>
      </c>
      <c r="P6" s="115">
        <v>31</v>
      </c>
      <c r="Q6" s="99">
        <v>-18200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0.2</v>
      </c>
      <c r="E7" s="59" t="s">
        <v>68</v>
      </c>
      <c r="F7" s="56" t="s">
        <v>12</v>
      </c>
      <c r="G7" s="44">
        <v>32</v>
      </c>
      <c r="H7" s="129">
        <f>IF(B$17=0,0,G7/B$17)</f>
        <v>0.30769230769230771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174.07407407407408</v>
      </c>
      <c r="P7" s="116">
        <v>27</v>
      </c>
      <c r="Q7" s="100">
        <v>4700</v>
      </c>
    </row>
    <row r="8" spans="1:17" x14ac:dyDescent="0.4">
      <c r="A8" s="51" t="s">
        <v>3</v>
      </c>
      <c r="B8" s="44">
        <v>22</v>
      </c>
      <c r="C8" s="37">
        <f t="shared" si="1"/>
        <v>0.48888888888888887</v>
      </c>
      <c r="E8" s="59" t="s">
        <v>69</v>
      </c>
      <c r="F8" s="56" t="s">
        <v>24</v>
      </c>
      <c r="G8" s="44">
        <v>11</v>
      </c>
      <c r="H8" s="129">
        <f>IF(B$17=0,0,G8/B$17)</f>
        <v>0.10576923076923077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0.31111111111111112</v>
      </c>
      <c r="E9" s="59" t="s">
        <v>89</v>
      </c>
      <c r="F9" s="56" t="s">
        <v>44</v>
      </c>
      <c r="G9" s="44">
        <v>10</v>
      </c>
      <c r="H9" s="129">
        <f>IF(B$17=0,0,G9/B$17)</f>
        <v>9.6153846153846159E-2</v>
      </c>
      <c r="I9" s="90">
        <v>6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8.8888888888888892E-2</v>
      </c>
      <c r="E10" s="59" t="s">
        <v>70</v>
      </c>
      <c r="F10" s="56" t="s">
        <v>25</v>
      </c>
      <c r="G10" s="44">
        <v>8</v>
      </c>
      <c r="H10" s="129">
        <f>IF(B$17=0,0,G10/B$17)</f>
        <v>7.6923076923076927E-2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0.61111111111111116</v>
      </c>
      <c r="P10" s="114">
        <v>18</v>
      </c>
      <c r="Q10" s="102">
        <v>11</v>
      </c>
    </row>
    <row r="11" spans="1:17" x14ac:dyDescent="0.4">
      <c r="A11" s="52" t="s">
        <v>138</v>
      </c>
      <c r="B11" s="45">
        <v>4</v>
      </c>
      <c r="C11" s="38">
        <f t="shared" si="1"/>
        <v>8.8888888888888892E-2</v>
      </c>
      <c r="E11" s="59" t="s">
        <v>65</v>
      </c>
      <c r="F11" s="56" t="s">
        <v>21</v>
      </c>
      <c r="G11" s="44">
        <v>7</v>
      </c>
      <c r="H11" s="129">
        <f>IF(B$17=0,0,G11/B$17)</f>
        <v>6.7307692307692304E-2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3.3249999999999997</v>
      </c>
      <c r="P11" s="115">
        <v>12</v>
      </c>
      <c r="Q11" s="103">
        <v>39.9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7</v>
      </c>
      <c r="H12" s="129">
        <f>IF(B$17=0,0,G12/B$17)</f>
        <v>6.7307692307692304E-2</v>
      </c>
      <c r="I12" s="90">
        <v>6</v>
      </c>
      <c r="K12" s="36">
        <v>10</v>
      </c>
      <c r="L12" s="95">
        <v>-146.69999999999999</v>
      </c>
      <c r="N12" s="112" t="s">
        <v>164</v>
      </c>
      <c r="O12" s="122">
        <f>IF(P12=0,0,Q12/P12)</f>
        <v>-4.9466666666666672</v>
      </c>
      <c r="P12" s="116">
        <v>15</v>
      </c>
      <c r="Q12" s="104">
        <v>-74.2</v>
      </c>
    </row>
    <row r="13" spans="1:17" x14ac:dyDescent="0.4">
      <c r="A13" s="54" t="s">
        <v>121</v>
      </c>
      <c r="B13" s="47">
        <v>94</v>
      </c>
      <c r="C13" s="42">
        <f>IF(B$3=0,0,B13/B$3)</f>
        <v>0.25683060109289618</v>
      </c>
      <c r="E13" s="59" t="s">
        <v>86</v>
      </c>
      <c r="F13" s="56" t="s">
        <v>41</v>
      </c>
      <c r="G13" s="44">
        <v>5</v>
      </c>
      <c r="H13" s="129">
        <f>IF(B$17=0,0,G13/B$17)</f>
        <v>4.807692307692308E-2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0.25683060109289618</v>
      </c>
      <c r="E14" s="59" t="s">
        <v>79</v>
      </c>
      <c r="F14" s="56" t="s">
        <v>34</v>
      </c>
      <c r="G14" s="44">
        <v>4</v>
      </c>
      <c r="H14" s="129">
        <f>IF(B$17=0,0,G14/B$17)</f>
        <v>3.8461538461538464E-2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54</v>
      </c>
      <c r="C15" s="35">
        <f>IF(B$13=0,0,B15/B$13)</f>
        <v>0.57446808510638303</v>
      </c>
      <c r="E15" s="59" t="s">
        <v>83</v>
      </c>
      <c r="F15" s="56" t="s">
        <v>38</v>
      </c>
      <c r="G15" s="44">
        <v>4</v>
      </c>
      <c r="H15" s="129">
        <f>IF(B$17=0,0,G15/B$17)</f>
        <v>3.8461538461538464E-2</v>
      </c>
      <c r="I15" s="90">
        <v>9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37</v>
      </c>
      <c r="C16" s="35">
        <f>IF(B$14=0,0,B16/B$14)</f>
        <v>0.39361702127659576</v>
      </c>
      <c r="E16" s="59" t="s">
        <v>78</v>
      </c>
      <c r="F16" s="56" t="s">
        <v>33</v>
      </c>
      <c r="G16" s="44">
        <v>3</v>
      </c>
      <c r="H16" s="129">
        <f>IF(B$17=0,0,G16/B$17)</f>
        <v>2.8846153846153848E-2</v>
      </c>
      <c r="I16" s="90">
        <v>2</v>
      </c>
      <c r="K16" s="36">
        <v>14</v>
      </c>
      <c r="L16" s="95">
        <v>-25.79999999999999</v>
      </c>
      <c r="N16" s="111" t="s">
        <v>179</v>
      </c>
      <c r="O16" s="121">
        <f>IF(P16=0,0,Q16/P16)</f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104</v>
      </c>
      <c r="C17" s="35">
        <f>IF(B$3=0,0,B17/B$3)</f>
        <v>0.28415300546448086</v>
      </c>
      <c r="E17" s="59" t="s">
        <v>167</v>
      </c>
      <c r="F17" s="56" t="s">
        <v>168</v>
      </c>
      <c r="G17" s="44">
        <v>2</v>
      </c>
      <c r="H17" s="129">
        <f>IF(B$17=0,0,G17/B$17)</f>
        <v>1.9230769230769232E-2</v>
      </c>
      <c r="I17" s="90">
        <v>2</v>
      </c>
      <c r="K17" s="36">
        <v>15</v>
      </c>
      <c r="L17" s="95">
        <v>-35.499999999999986</v>
      </c>
      <c r="N17" s="111" t="s">
        <v>182</v>
      </c>
      <c r="O17" s="121">
        <f>IF(P17=0,0,Q17/P17)</f>
        <v>17.72</v>
      </c>
      <c r="P17" s="115">
        <v>10</v>
      </c>
      <c r="Q17" s="103">
        <v>177.2</v>
      </c>
    </row>
    <row r="18" spans="1:17" x14ac:dyDescent="0.4">
      <c r="A18" s="51" t="s">
        <v>12</v>
      </c>
      <c r="B18" s="44">
        <v>43</v>
      </c>
      <c r="C18" s="37">
        <f>IF(B$17=0,0,B18/B$17)</f>
        <v>0.41346153846153844</v>
      </c>
      <c r="E18" s="59" t="s">
        <v>85</v>
      </c>
      <c r="F18" s="56" t="s">
        <v>40</v>
      </c>
      <c r="G18" s="44">
        <v>1</v>
      </c>
      <c r="H18" s="129">
        <f>IF(B$17=0,0,G18/B$17)</f>
        <v>9.6153846153846159E-3</v>
      </c>
      <c r="I18" s="90">
        <v>3</v>
      </c>
      <c r="K18" s="36">
        <v>16</v>
      </c>
      <c r="L18" s="95">
        <v>-35.599999999999987</v>
      </c>
      <c r="N18" s="111" t="s">
        <v>166</v>
      </c>
      <c r="O18" s="121">
        <f>IF(P18=0,0,Q18/P18)</f>
        <v>5.3125</v>
      </c>
      <c r="P18" s="115">
        <v>8</v>
      </c>
      <c r="Q18" s="103">
        <v>42.5</v>
      </c>
    </row>
    <row r="19" spans="1:17" x14ac:dyDescent="0.4">
      <c r="A19" s="51" t="s">
        <v>11</v>
      </c>
      <c r="B19" s="44">
        <v>61</v>
      </c>
      <c r="C19" s="37">
        <f>IF(B$17=0,0,B19/B$17)</f>
        <v>0.58653846153846156</v>
      </c>
      <c r="E19" s="59" t="s">
        <v>91</v>
      </c>
      <c r="F19" s="56" t="s">
        <v>46</v>
      </c>
      <c r="G19" s="44">
        <v>1</v>
      </c>
      <c r="H19" s="129">
        <f>IF(B$17=0,0,G19/B$17)</f>
        <v>9.6153846153846159E-3</v>
      </c>
      <c r="I19" s="90">
        <v>6</v>
      </c>
      <c r="K19" s="36">
        <v>17</v>
      </c>
      <c r="L19" s="95">
        <v>-29.799999999999986</v>
      </c>
      <c r="N19" s="111" t="s">
        <v>127</v>
      </c>
      <c r="O19" s="121">
        <f>IF(P19=0,0,Q19/P19)</f>
        <v>-12.18888888888889</v>
      </c>
      <c r="P19" s="115">
        <v>18</v>
      </c>
      <c r="Q19" s="103">
        <v>-219.40000000000003</v>
      </c>
    </row>
    <row r="20" spans="1:17" x14ac:dyDescent="0.4">
      <c r="A20" s="51" t="s">
        <v>13</v>
      </c>
      <c r="B20" s="44">
        <v>53</v>
      </c>
      <c r="C20" s="37">
        <f>IF(B$3=0,0,B20/B$3)</f>
        <v>0.1448087431693989</v>
      </c>
      <c r="E20" s="59" t="s">
        <v>101</v>
      </c>
      <c r="F20" s="56" t="s">
        <v>56</v>
      </c>
      <c r="G20" s="44">
        <v>1</v>
      </c>
      <c r="H20" s="129">
        <f>IF(B$17=0,0,G20/B$17)</f>
        <v>9.6153846153846159E-3</v>
      </c>
      <c r="I20" s="90">
        <v>1</v>
      </c>
      <c r="K20" s="36">
        <v>18</v>
      </c>
      <c r="L20" s="95">
        <v>-62.399999999999991</v>
      </c>
      <c r="N20" s="111" t="s">
        <v>181</v>
      </c>
      <c r="O20" s="121">
        <f>IF(P20=0,0,Q20/P20)</f>
        <v>-15.5</v>
      </c>
      <c r="P20" s="115">
        <v>1</v>
      </c>
      <c r="Q20" s="103">
        <v>-15.5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-56.399999999999991</v>
      </c>
      <c r="N21" s="111" t="s">
        <v>177</v>
      </c>
      <c r="O21" s="121">
        <f>IF(P21=0,0,Q21/P21)</f>
        <v>-15.670000000000002</v>
      </c>
      <c r="P21" s="115">
        <v>20</v>
      </c>
      <c r="Q21" s="103">
        <v>-313.40000000000003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-93.199999999999989</v>
      </c>
      <c r="N22" s="111" t="s">
        <v>126</v>
      </c>
      <c r="O22" s="121">
        <f>IF(P22=0,0,Q22/P22)</f>
        <v>-18.016666666666669</v>
      </c>
      <c r="P22" s="115">
        <v>18</v>
      </c>
      <c r="Q22" s="103">
        <v>-324.30000000000007</v>
      </c>
    </row>
    <row r="23" spans="1:17" x14ac:dyDescent="0.4">
      <c r="A23" s="51" t="s">
        <v>5</v>
      </c>
      <c r="B23" s="48">
        <f>IF(B$17=0,0,C23/B$17)</f>
        <v>8318.2692307692305</v>
      </c>
      <c r="C23" s="39">
        <v>865100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9473.1343283582082</v>
      </c>
      <c r="C24" s="137">
        <v>634700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6227.0270270270266</v>
      </c>
      <c r="C25" s="137">
        <v>230400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-7688.6792452830186</v>
      </c>
      <c r="C26" s="137">
        <v>-407500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81</v>
      </c>
      <c r="F27" s="56" t="s">
        <v>36</v>
      </c>
      <c r="G27" s="44">
        <v>0</v>
      </c>
      <c r="H27" s="129">
        <f>IF(B$17=0,0,G27/B$17)</f>
        <v>0</v>
      </c>
      <c r="I27" s="90">
        <v>9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5.4644808743169399E-3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21</v>
      </c>
      <c r="C2" s="149"/>
      <c r="E2" s="58" t="s">
        <v>66</v>
      </c>
      <c r="F2" s="55" t="s">
        <v>22</v>
      </c>
      <c r="G2" s="43">
        <v>25</v>
      </c>
      <c r="H2" s="128">
        <f>IF(B$17=0,0,G2/B$17)</f>
        <v>0.7142857142857143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-3542.8571428571427</v>
      </c>
      <c r="P2" s="114">
        <v>21</v>
      </c>
      <c r="Q2" s="98">
        <v>-74400</v>
      </c>
    </row>
    <row r="3" spans="1:17" x14ac:dyDescent="0.4">
      <c r="A3" s="51" t="s">
        <v>8</v>
      </c>
      <c r="B3" s="150">
        <v>168</v>
      </c>
      <c r="C3" s="151"/>
      <c r="E3" s="59" t="s">
        <v>64</v>
      </c>
      <c r="F3" s="56" t="s">
        <v>20</v>
      </c>
      <c r="G3" s="44">
        <v>18</v>
      </c>
      <c r="H3" s="129">
        <f>IF(B$17=0,0,G3/B$17)</f>
        <v>0.51428571428571423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-1257.1428571428571</v>
      </c>
      <c r="P3" s="115">
        <v>21</v>
      </c>
      <c r="Q3" s="99">
        <v>-26400</v>
      </c>
    </row>
    <row r="4" spans="1:17" x14ac:dyDescent="0.4">
      <c r="A4" s="51" t="s">
        <v>6</v>
      </c>
      <c r="B4" s="152">
        <v>-423.7000000000001</v>
      </c>
      <c r="C4" s="153"/>
      <c r="E4" s="59" t="s">
        <v>72</v>
      </c>
      <c r="F4" s="56" t="s">
        <v>27</v>
      </c>
      <c r="G4" s="44">
        <v>17</v>
      </c>
      <c r="H4" s="129">
        <f>IF(B$17=0,0,G4/B$17)</f>
        <v>0.48571428571428571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-1190.4761904761904</v>
      </c>
      <c r="P4" s="115">
        <v>21</v>
      </c>
      <c r="Q4" s="99">
        <v>-25000</v>
      </c>
    </row>
    <row r="5" spans="1:17" x14ac:dyDescent="0.4">
      <c r="A5" s="51" t="s">
        <v>7</v>
      </c>
      <c r="B5" s="154">
        <f>IF(B$2=0,0,B$4/B$2)</f>
        <v>-20.176190476190481</v>
      </c>
      <c r="C5" s="155"/>
      <c r="E5" s="59" t="s">
        <v>67</v>
      </c>
      <c r="F5" s="56" t="s">
        <v>23</v>
      </c>
      <c r="G5" s="44">
        <v>14</v>
      </c>
      <c r="H5" s="129">
        <f>IF(B$17=0,0,G5/B$17)</f>
        <v>0.4</v>
      </c>
      <c r="I5" s="90">
        <v>2</v>
      </c>
      <c r="K5" s="36">
        <v>3</v>
      </c>
      <c r="L5" s="95">
        <v>-33.6</v>
      </c>
      <c r="N5" s="111" t="s">
        <v>133</v>
      </c>
      <c r="O5" s="118">
        <f t="shared" si="0"/>
        <v>-5075</v>
      </c>
      <c r="P5" s="115">
        <v>20</v>
      </c>
      <c r="Q5" s="99">
        <v>-101500</v>
      </c>
    </row>
    <row r="6" spans="1:17" x14ac:dyDescent="0.4">
      <c r="A6" s="51" t="s">
        <v>1</v>
      </c>
      <c r="B6" s="144">
        <f>IF(B$2=0,0,(B$7*1+B$8*2+B$9*3)/B$2)</f>
        <v>2.5238095238095237</v>
      </c>
      <c r="C6" s="145"/>
      <c r="E6" s="59" t="s">
        <v>171</v>
      </c>
      <c r="F6" s="56" t="s">
        <v>172</v>
      </c>
      <c r="G6" s="44">
        <v>12</v>
      </c>
      <c r="H6" s="129">
        <f>IF(B$17=0,0,G6/B$17)</f>
        <v>0.34285714285714286</v>
      </c>
      <c r="I6" s="90">
        <v>8</v>
      </c>
      <c r="K6" s="36">
        <v>4</v>
      </c>
      <c r="L6" s="95">
        <v>-80.5</v>
      </c>
      <c r="N6" s="111" t="s">
        <v>134</v>
      </c>
      <c r="O6" s="118">
        <f t="shared" si="0"/>
        <v>-1468.421052631579</v>
      </c>
      <c r="P6" s="115">
        <v>19</v>
      </c>
      <c r="Q6" s="99">
        <v>-27900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4.7619047619047616E-2</v>
      </c>
      <c r="E7" s="59" t="s">
        <v>68</v>
      </c>
      <c r="F7" s="56" t="s">
        <v>12</v>
      </c>
      <c r="G7" s="44">
        <v>11</v>
      </c>
      <c r="H7" s="129">
        <f>IF(B$17=0,0,G7/B$17)</f>
        <v>0.31428571428571428</v>
      </c>
      <c r="I7" s="90">
        <v>3</v>
      </c>
      <c r="K7" s="36">
        <v>5</v>
      </c>
      <c r="L7" s="95">
        <v>-124.3</v>
      </c>
      <c r="N7" s="112" t="s">
        <v>135</v>
      </c>
      <c r="O7" s="119">
        <f t="shared" si="0"/>
        <v>-3656.25</v>
      </c>
      <c r="P7" s="116">
        <v>16</v>
      </c>
      <c r="Q7" s="100">
        <v>-58500</v>
      </c>
    </row>
    <row r="8" spans="1:17" x14ac:dyDescent="0.4">
      <c r="A8" s="51" t="s">
        <v>3</v>
      </c>
      <c r="B8" s="44">
        <v>8</v>
      </c>
      <c r="C8" s="37">
        <f t="shared" si="1"/>
        <v>0.38095238095238093</v>
      </c>
      <c r="E8" s="59" t="s">
        <v>65</v>
      </c>
      <c r="F8" s="56" t="s">
        <v>21</v>
      </c>
      <c r="G8" s="44">
        <v>5</v>
      </c>
      <c r="H8" s="129">
        <f>IF(B$17=0,0,G8/B$17)</f>
        <v>0.14285714285714285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0.5714285714285714</v>
      </c>
      <c r="E9" s="59" t="s">
        <v>83</v>
      </c>
      <c r="F9" s="56" t="s">
        <v>38</v>
      </c>
      <c r="G9" s="44">
        <v>4</v>
      </c>
      <c r="H9" s="129">
        <f>IF(B$17=0,0,G9/B$17)</f>
        <v>0.11428571428571428</v>
      </c>
      <c r="I9" s="90">
        <v>1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0.23809523809523808</v>
      </c>
      <c r="E10" s="59" t="s">
        <v>71</v>
      </c>
      <c r="F10" s="56" t="s">
        <v>26</v>
      </c>
      <c r="G10" s="44">
        <v>3</v>
      </c>
      <c r="H10" s="129">
        <f>IF(B$17=0,0,G10/B$17)</f>
        <v>8.5714285714285715E-2</v>
      </c>
      <c r="I10" s="90">
        <v>4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1"/>
        <v>4.7619047619047616E-2</v>
      </c>
      <c r="E11" s="59" t="s">
        <v>86</v>
      </c>
      <c r="F11" s="56" t="s">
        <v>41</v>
      </c>
      <c r="G11" s="44">
        <v>3</v>
      </c>
      <c r="H11" s="129">
        <f>IF(B$17=0,0,G11/B$17)</f>
        <v>8.5714285714285715E-2</v>
      </c>
      <c r="I11" s="90">
        <v>1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70</v>
      </c>
      <c r="F12" s="56" t="s">
        <v>25</v>
      </c>
      <c r="G12" s="44">
        <v>2</v>
      </c>
      <c r="H12" s="129">
        <f>IF(B$17=0,0,G12/B$17)</f>
        <v>5.7142857142857141E-2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-22.666666666666668</v>
      </c>
      <c r="P12" s="116">
        <v>3</v>
      </c>
      <c r="Q12" s="104">
        <v>-68</v>
      </c>
    </row>
    <row r="13" spans="1:17" x14ac:dyDescent="0.4">
      <c r="A13" s="54" t="s">
        <v>121</v>
      </c>
      <c r="B13" s="47">
        <v>34</v>
      </c>
      <c r="C13" s="42">
        <f>IF(B$3=0,0,B13/B$3)</f>
        <v>0.20238095238095238</v>
      </c>
      <c r="E13" s="59" t="s">
        <v>81</v>
      </c>
      <c r="F13" s="56" t="s">
        <v>36</v>
      </c>
      <c r="G13" s="44">
        <v>2</v>
      </c>
      <c r="H13" s="129">
        <f>IF(B$17=0,0,G13/B$17)</f>
        <v>5.7142857142857141E-2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0.20833333333333334</v>
      </c>
      <c r="E14" s="59" t="s">
        <v>89</v>
      </c>
      <c r="F14" s="56" t="s">
        <v>44</v>
      </c>
      <c r="G14" s="44">
        <v>2</v>
      </c>
      <c r="H14" s="129">
        <f>IF(B$17=0,0,G14/B$17)</f>
        <v>5.7142857142857141E-2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18</v>
      </c>
      <c r="C15" s="35">
        <f>IF(B$13=0,0,B15/B$13)</f>
        <v>0.52941176470588236</v>
      </c>
      <c r="E15" s="59" t="s">
        <v>69</v>
      </c>
      <c r="F15" s="56" t="s">
        <v>24</v>
      </c>
      <c r="G15" s="44">
        <v>1</v>
      </c>
      <c r="H15" s="129">
        <f>IF(B$17=0,0,G15/B$17)</f>
        <v>2.8571428571428571E-2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74</v>
      </c>
      <c r="F16" s="56" t="s">
        <v>29</v>
      </c>
      <c r="G16" s="44">
        <v>1</v>
      </c>
      <c r="H16" s="129">
        <f>IF(B$17=0,0,G16/B$17)</f>
        <v>2.8571428571428571E-2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>IF(P16=0,0,Q16/P16)</f>
        <v>-17.72</v>
      </c>
      <c r="P16" s="115">
        <v>10</v>
      </c>
      <c r="Q16" s="103">
        <v>-177.2</v>
      </c>
    </row>
    <row r="17" spans="1:17" x14ac:dyDescent="0.4">
      <c r="A17" s="50" t="s">
        <v>10</v>
      </c>
      <c r="B17" s="43">
        <f>B19+B18</f>
        <v>35</v>
      </c>
      <c r="C17" s="35">
        <f>IF(B$3=0,0,B17/B$3)</f>
        <v>0.20833333333333334</v>
      </c>
      <c r="E17" s="59" t="s">
        <v>78</v>
      </c>
      <c r="F17" s="56" t="s">
        <v>33</v>
      </c>
      <c r="G17" s="44">
        <v>1</v>
      </c>
      <c r="H17" s="129">
        <f>IF(B$17=0,0,G17/B$17)</f>
        <v>2.8571428571428571E-2</v>
      </c>
      <c r="I17" s="90">
        <v>3</v>
      </c>
      <c r="K17" s="36">
        <v>15</v>
      </c>
      <c r="L17" s="95">
        <v>-272.50000000000006</v>
      </c>
      <c r="N17" s="111" t="s">
        <v>177</v>
      </c>
      <c r="O17" s="121">
        <f>IF(P17=0,0,Q17/P17)</f>
        <v>-20.7</v>
      </c>
      <c r="P17" s="115">
        <v>12</v>
      </c>
      <c r="Q17" s="103">
        <v>-248.39999999999998</v>
      </c>
    </row>
    <row r="18" spans="1:17" x14ac:dyDescent="0.4">
      <c r="A18" s="51" t="s">
        <v>12</v>
      </c>
      <c r="B18" s="44">
        <v>17</v>
      </c>
      <c r="C18" s="37">
        <f>IF(B$17=0,0,B18/B$17)</f>
        <v>0.48571428571428571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K18" s="36">
        <v>16</v>
      </c>
      <c r="L18" s="95">
        <v>-320.30000000000007</v>
      </c>
      <c r="N18" s="111" t="s">
        <v>179</v>
      </c>
      <c r="O18" s="121">
        <f>IF(P18=0,0,Q18/P18)</f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0.51428571428571423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6</v>
      </c>
      <c r="K19" s="36">
        <v>17</v>
      </c>
      <c r="L19" s="95">
        <v>-352.60000000000008</v>
      </c>
      <c r="N19" s="111" t="s">
        <v>126</v>
      </c>
      <c r="O19" s="121">
        <f>IF(P19=0,0,Q19/P19)</f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35</v>
      </c>
      <c r="C20" s="37">
        <f>IF(B$3=0,0,B20/B$3)</f>
        <v>0.20833333333333334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>IF(P20=0,0,Q20/P20)</f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5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195</v>
      </c>
      <c r="O22" s="121">
        <f>IF(P22=0,0,Q22/P22)</f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7562.8571428571431</v>
      </c>
      <c r="C23" s="39">
        <v>264700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-423.7000000000001</v>
      </c>
    </row>
    <row r="24" spans="1:17" x14ac:dyDescent="0.4">
      <c r="A24" s="52" t="s">
        <v>216</v>
      </c>
      <c r="B24" s="136">
        <f>IF($B$17-B$16=0,0,C24/($B$17-B$16))</f>
        <v>8608.6956521739139</v>
      </c>
      <c r="C24" s="137">
        <v>198000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5558.333333333333</v>
      </c>
      <c r="C25" s="137">
        <v>66700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-8968.5714285714294</v>
      </c>
      <c r="C26" s="137">
        <v>-313900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5.9523809523809521E-3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</v>
      </c>
      <c r="C2" s="149"/>
      <c r="E2" s="58" t="s">
        <v>66</v>
      </c>
      <c r="F2" s="55" t="s">
        <v>22</v>
      </c>
      <c r="G2" s="43">
        <v>37</v>
      </c>
      <c r="H2" s="128">
        <f>IF(B$17=0,0,G2/B$17)</f>
        <v>1.088235294117647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-45.454545454545453</v>
      </c>
      <c r="P2" s="114">
        <v>11</v>
      </c>
      <c r="Q2" s="98">
        <v>-500</v>
      </c>
    </row>
    <row r="3" spans="1:17" x14ac:dyDescent="0.4">
      <c r="A3" s="51" t="s">
        <v>8</v>
      </c>
      <c r="B3" s="150">
        <v>103</v>
      </c>
      <c r="C3" s="151"/>
      <c r="E3" s="59" t="s">
        <v>64</v>
      </c>
      <c r="F3" s="56" t="s">
        <v>20</v>
      </c>
      <c r="G3" s="44">
        <v>21</v>
      </c>
      <c r="H3" s="129">
        <f>IF(B$17=0,0,G3/B$17)</f>
        <v>0.61764705882352944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4790.909090909091</v>
      </c>
      <c r="P3" s="115">
        <v>11</v>
      </c>
      <c r="Q3" s="99">
        <v>52700</v>
      </c>
    </row>
    <row r="4" spans="1:17" x14ac:dyDescent="0.4">
      <c r="A4" s="51" t="s">
        <v>6</v>
      </c>
      <c r="B4" s="152">
        <v>126.10000000000001</v>
      </c>
      <c r="C4" s="153"/>
      <c r="E4" s="59" t="s">
        <v>68</v>
      </c>
      <c r="F4" s="56" t="s">
        <v>12</v>
      </c>
      <c r="G4" s="44">
        <v>14</v>
      </c>
      <c r="H4" s="129">
        <f>IF(B$17=0,0,G4/B$17)</f>
        <v>0.41176470588235292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418.18181818181819</v>
      </c>
      <c r="P4" s="115">
        <v>11</v>
      </c>
      <c r="Q4" s="99">
        <v>4600</v>
      </c>
    </row>
    <row r="5" spans="1:17" x14ac:dyDescent="0.4">
      <c r="A5" s="51" t="s">
        <v>7</v>
      </c>
      <c r="B5" s="154">
        <f>IF(B$2=0,0,B$4/B$2)</f>
        <v>11.463636363636365</v>
      </c>
      <c r="C5" s="155"/>
      <c r="E5" s="59" t="s">
        <v>171</v>
      </c>
      <c r="F5" s="56" t="s">
        <v>172</v>
      </c>
      <c r="G5" s="44">
        <v>14</v>
      </c>
      <c r="H5" s="129">
        <f>IF(B$17=0,0,G5/B$17)</f>
        <v>0.41176470588235292</v>
      </c>
      <c r="I5" s="90">
        <v>2</v>
      </c>
      <c r="K5" s="36">
        <v>3</v>
      </c>
      <c r="L5" s="95">
        <v>76</v>
      </c>
      <c r="N5" s="111" t="s">
        <v>133</v>
      </c>
      <c r="O5" s="118">
        <f t="shared" si="0"/>
        <v>-3345.4545454545455</v>
      </c>
      <c r="P5" s="115">
        <v>11</v>
      </c>
      <c r="Q5" s="99">
        <v>-36800</v>
      </c>
    </row>
    <row r="6" spans="1:17" x14ac:dyDescent="0.4">
      <c r="A6" s="51" t="s">
        <v>1</v>
      </c>
      <c r="B6" s="144">
        <f>IF(B$2=0,0,(B$7*1+B$8*2+B$9*3)/B$2)</f>
        <v>1.7272727272727273</v>
      </c>
      <c r="C6" s="145"/>
      <c r="E6" s="59" t="s">
        <v>72</v>
      </c>
      <c r="F6" s="56" t="s">
        <v>27</v>
      </c>
      <c r="G6" s="44">
        <v>10</v>
      </c>
      <c r="H6" s="129">
        <f>IF(B$17=0,0,G6/B$17)</f>
        <v>0.29411764705882354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6400</v>
      </c>
      <c r="P6" s="115">
        <v>11</v>
      </c>
      <c r="Q6" s="99">
        <v>70400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7</v>
      </c>
      <c r="H7" s="129">
        <f>IF(B$17=0,0,G7/B$17)</f>
        <v>0.20588235294117646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1837.5</v>
      </c>
      <c r="P7" s="116">
        <v>8</v>
      </c>
      <c r="Q7" s="100">
        <v>14700</v>
      </c>
    </row>
    <row r="8" spans="1:17" x14ac:dyDescent="0.4">
      <c r="A8" s="51" t="s">
        <v>3</v>
      </c>
      <c r="B8" s="44">
        <v>4</v>
      </c>
      <c r="C8" s="37">
        <f t="shared" si="1"/>
        <v>0.36363636363636365</v>
      </c>
      <c r="E8" s="59" t="s">
        <v>69</v>
      </c>
      <c r="F8" s="56" t="s">
        <v>24</v>
      </c>
      <c r="G8" s="44">
        <v>7</v>
      </c>
      <c r="H8" s="129">
        <f>IF(B$17=0,0,G8/B$17)</f>
        <v>0.20588235294117646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0.18181818181818182</v>
      </c>
      <c r="E9" s="59" t="s">
        <v>70</v>
      </c>
      <c r="F9" s="56" t="s">
        <v>25</v>
      </c>
      <c r="G9" s="44">
        <v>5</v>
      </c>
      <c r="H9" s="129">
        <f>IF(B$17=0,0,G9/B$17)</f>
        <v>0.14705882352941177</v>
      </c>
      <c r="I9" s="90">
        <v>3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4</v>
      </c>
      <c r="H10" s="129">
        <f>IF(B$17=0,0,G10/B$17)</f>
        <v>0.11764705882352941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4.4400000000000004</v>
      </c>
      <c r="P10" s="114">
        <v>5</v>
      </c>
      <c r="Q10" s="102">
        <v>22.200000000000003</v>
      </c>
    </row>
    <row r="11" spans="1:17" x14ac:dyDescent="0.4">
      <c r="A11" s="52" t="s">
        <v>138</v>
      </c>
      <c r="B11" s="45">
        <v>2</v>
      </c>
      <c r="C11" s="38">
        <f t="shared" si="1"/>
        <v>0.18181818181818182</v>
      </c>
      <c r="E11" s="59" t="s">
        <v>65</v>
      </c>
      <c r="F11" s="56" t="s">
        <v>21</v>
      </c>
      <c r="G11" s="44">
        <v>3</v>
      </c>
      <c r="H11" s="129">
        <f>IF(B$17=0,0,G11/B$17)</f>
        <v>8.8235294117647065E-2</v>
      </c>
      <c r="I11" s="90">
        <v>8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86</v>
      </c>
      <c r="F12" s="56" t="s">
        <v>41</v>
      </c>
      <c r="G12" s="44">
        <v>2</v>
      </c>
      <c r="H12" s="129">
        <f>IF(B$17=0,0,G12/B$17)</f>
        <v>5.8823529411764705E-2</v>
      </c>
      <c r="I12" s="90">
        <v>4</v>
      </c>
      <c r="K12" s="36">
        <v>10</v>
      </c>
      <c r="L12" s="95">
        <v>162.80000000000001</v>
      </c>
      <c r="N12" s="112" t="s">
        <v>164</v>
      </c>
      <c r="O12" s="122">
        <f>IF(P12=0,0,Q12/P12)</f>
        <v>22.933333333333334</v>
      </c>
      <c r="P12" s="116">
        <v>3</v>
      </c>
      <c r="Q12" s="104">
        <v>68.8</v>
      </c>
    </row>
    <row r="13" spans="1:17" x14ac:dyDescent="0.4">
      <c r="A13" s="54" t="s">
        <v>121</v>
      </c>
      <c r="B13" s="47">
        <v>30</v>
      </c>
      <c r="C13" s="42">
        <f>IF(B$3=0,0,B13/B$3)</f>
        <v>0.29126213592233008</v>
      </c>
      <c r="E13" s="59" t="s">
        <v>89</v>
      </c>
      <c r="F13" s="56" t="s">
        <v>44</v>
      </c>
      <c r="G13" s="44">
        <v>2</v>
      </c>
      <c r="H13" s="129">
        <f>IF(B$17=0,0,G13/B$17)</f>
        <v>5.8823529411764705E-2</v>
      </c>
      <c r="I13" s="90">
        <v>9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</v>
      </c>
      <c r="C14" s="37">
        <f>IF(B$3=0,0,B14/B$3)</f>
        <v>0.14563106796116504</v>
      </c>
      <c r="E14" s="59" t="s">
        <v>75</v>
      </c>
      <c r="F14" s="56" t="s">
        <v>30</v>
      </c>
      <c r="G14" s="44">
        <v>1</v>
      </c>
      <c r="H14" s="129">
        <f>IF(B$17=0,0,G14/B$17)</f>
        <v>2.9411764705882353E-2</v>
      </c>
      <c r="I14" s="90">
        <v>1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0.66666666666666663</v>
      </c>
      <c r="E15" s="59" t="s">
        <v>81</v>
      </c>
      <c r="F15" s="56" t="s">
        <v>36</v>
      </c>
      <c r="G15" s="44">
        <v>1</v>
      </c>
      <c r="H15" s="129">
        <f>IF(B$17=0,0,G15/B$17)</f>
        <v>2.9411764705882353E-2</v>
      </c>
      <c r="I15" s="90">
        <v>3</v>
      </c>
      <c r="N15" s="110" t="s">
        <v>177</v>
      </c>
      <c r="O15" s="120">
        <f t="shared" ref="O15:O22" si="2">IF(P15=0,0,Q15/P15)</f>
        <v>107.2</v>
      </c>
      <c r="P15" s="114">
        <v>2</v>
      </c>
      <c r="Q15" s="102">
        <v>214.4</v>
      </c>
    </row>
    <row r="16" spans="1:17" x14ac:dyDescent="0.4">
      <c r="A16" s="50" t="s">
        <v>124</v>
      </c>
      <c r="B16" s="43">
        <v>5</v>
      </c>
      <c r="C16" s="35">
        <f>IF(B$14=0,0,B16/B$14)</f>
        <v>0.33333333333333331</v>
      </c>
      <c r="E16" s="59" t="s">
        <v>85</v>
      </c>
      <c r="F16" s="56" t="s">
        <v>40</v>
      </c>
      <c r="G16" s="44">
        <v>1</v>
      </c>
      <c r="H16" s="129">
        <f>IF(B$17=0,0,G16/B$17)</f>
        <v>2.9411764705882353E-2</v>
      </c>
      <c r="I16" s="90">
        <v>1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34</v>
      </c>
      <c r="C17" s="35">
        <f>IF(B$3=0,0,B17/B$3)</f>
        <v>0.3300970873786408</v>
      </c>
      <c r="E17" s="59" t="s">
        <v>87</v>
      </c>
      <c r="F17" s="56" t="s">
        <v>42</v>
      </c>
      <c r="G17" s="44">
        <v>1</v>
      </c>
      <c r="H17" s="129">
        <f>IF(B$17=0,0,G17/B$17)</f>
        <v>2.9411764705882353E-2</v>
      </c>
      <c r="I17" s="90">
        <v>1</v>
      </c>
      <c r="N17" s="111" t="s">
        <v>127</v>
      </c>
      <c r="O17" s="121">
        <f t="shared" si="2"/>
        <v>22.6</v>
      </c>
      <c r="P17" s="115">
        <v>1</v>
      </c>
      <c r="Q17" s="103">
        <v>22.6</v>
      </c>
    </row>
    <row r="18" spans="1:17" x14ac:dyDescent="0.4">
      <c r="A18" s="51" t="s">
        <v>12</v>
      </c>
      <c r="B18" s="44">
        <v>18</v>
      </c>
      <c r="C18" s="37">
        <f>IF(B$17=0,0,B18/B$17)</f>
        <v>0.52941176470588236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N18" s="111" t="s">
        <v>178</v>
      </c>
      <c r="O18" s="121">
        <f t="shared" si="2"/>
        <v>15.5</v>
      </c>
      <c r="P18" s="115">
        <v>1</v>
      </c>
      <c r="Q18" s="103">
        <v>15.5</v>
      </c>
    </row>
    <row r="19" spans="1:17" x14ac:dyDescent="0.4">
      <c r="A19" s="51" t="s">
        <v>11</v>
      </c>
      <c r="B19" s="44">
        <v>16</v>
      </c>
      <c r="C19" s="37">
        <f>IF(B$17=0,0,B19/B$17)</f>
        <v>0.47058823529411764</v>
      </c>
      <c r="E19" s="59" t="s">
        <v>74</v>
      </c>
      <c r="F19" s="56" t="s">
        <v>29</v>
      </c>
      <c r="G19" s="44">
        <v>0</v>
      </c>
      <c r="H19" s="129">
        <f>IF(B$17=0,0,G19/B$17)</f>
        <v>0</v>
      </c>
      <c r="I19" s="90">
        <v>6</v>
      </c>
      <c r="N19" s="111" t="s">
        <v>179</v>
      </c>
      <c r="O19" s="121">
        <f t="shared" si="2"/>
        <v>11.46</v>
      </c>
      <c r="P19" s="115">
        <v>5</v>
      </c>
      <c r="Q19" s="103">
        <v>57.300000000000004</v>
      </c>
    </row>
    <row r="20" spans="1:17" x14ac:dyDescent="0.4">
      <c r="A20" s="51" t="s">
        <v>13</v>
      </c>
      <c r="B20" s="44">
        <v>12</v>
      </c>
      <c r="C20" s="37">
        <f>IF(B$3=0,0,B20/B$3)</f>
        <v>0.11650485436893204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N20" s="111" t="s">
        <v>166</v>
      </c>
      <c r="O20" s="121">
        <f t="shared" si="2"/>
        <v>10.825000000000001</v>
      </c>
      <c r="P20" s="115">
        <v>4</v>
      </c>
      <c r="Q20" s="103">
        <v>43.300000000000004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78</v>
      </c>
      <c r="F22" s="56" t="s">
        <v>33</v>
      </c>
      <c r="G22" s="44">
        <v>0</v>
      </c>
      <c r="H22" s="129">
        <f>IF(B$17=0,0,G22/B$17)</f>
        <v>0</v>
      </c>
      <c r="I22" s="90">
        <v>7</v>
      </c>
      <c r="N22" s="111" t="s">
        <v>126</v>
      </c>
      <c r="O22" s="121">
        <f t="shared" si="2"/>
        <v>-49.733333333333327</v>
      </c>
      <c r="P22" s="115">
        <v>3</v>
      </c>
      <c r="Q22" s="103">
        <v>-149.19999999999999</v>
      </c>
    </row>
    <row r="23" spans="1:17" x14ac:dyDescent="0.4">
      <c r="A23" s="51" t="s">
        <v>5</v>
      </c>
      <c r="B23" s="48">
        <f>IF(B$17=0,0,C23/B$17)</f>
        <v>7779.411764705882</v>
      </c>
      <c r="C23" s="39">
        <v>264500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</row>
    <row r="24" spans="1:17" x14ac:dyDescent="0.4">
      <c r="A24" s="52" t="s">
        <v>216</v>
      </c>
      <c r="B24" s="136">
        <f>IF($B$17-B$16=0,0,C24/($B$17-B$16))</f>
        <v>8072.4137931034484</v>
      </c>
      <c r="C24" s="137">
        <v>234100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6080</v>
      </c>
      <c r="C25" s="137">
        <v>30400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-6041.666666666667</v>
      </c>
      <c r="C26" s="137">
        <v>-72500</v>
      </c>
      <c r="E26" s="59" t="s">
        <v>83</v>
      </c>
      <c r="F26" s="56" t="s">
        <v>38</v>
      </c>
      <c r="G26" s="44">
        <v>0</v>
      </c>
      <c r="H26" s="129">
        <f>IF(B$17=0,0,G26/B$17)</f>
        <v>0</v>
      </c>
      <c r="I26" s="90">
        <v>10</v>
      </c>
    </row>
    <row r="27" spans="1:17" x14ac:dyDescent="0.4">
      <c r="A27" s="86" t="s">
        <v>140</v>
      </c>
      <c r="B27" s="142">
        <v>7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95200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3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6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7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1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6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7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9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4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3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2019-10-16T15:49:04Z</dcterms:modified>
</cp:coreProperties>
</file>