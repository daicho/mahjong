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7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8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9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0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1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2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4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6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8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9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FEA95F0C-75F9-4182-95BB-519870E608A4}" xr6:coauthVersionLast="41" xr6:coauthVersionMax="41" xr10:uidLastSave="{00000000-0000-0000-0000-000000000000}"/>
  <bookViews>
    <workbookView xWindow="-120" yWindow="-120" windowWidth="20730" windowHeight="1131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811" r:id="rId6"/>
    <sheet name="たかの" sheetId="5813" r:id="rId7"/>
    <sheet name="だいち" sheetId="5815" r:id="rId8"/>
    <sheet name="りくと" sheetId="5819" r:id="rId9"/>
    <sheet name="ただ" sheetId="5817" r:id="rId10"/>
    <sheet name="れんたろう" sheetId="5821" r:id="rId11"/>
    <sheet name="まっつん" sheetId="5823" r:id="rId12"/>
    <sheet name="のり" sheetId="5825" r:id="rId13"/>
    <sheet name="ぱぱ" sheetId="5827" r:id="rId14"/>
    <sheet name="ほたに" sheetId="5829" r:id="rId15"/>
    <sheet name="いっしー" sheetId="5831" r:id="rId16"/>
    <sheet name="いっしー2" sheetId="5832" state="hidden" r:id="rId17"/>
    <sheet name="ほたに2" sheetId="5830" state="hidden" r:id="rId18"/>
    <sheet name="ぱぱ2" sheetId="5828" state="hidden" r:id="rId19"/>
    <sheet name="のり2" sheetId="5826" state="hidden" r:id="rId20"/>
    <sheet name="まっつん2" sheetId="5824" state="hidden" r:id="rId21"/>
    <sheet name="れんたろう2" sheetId="5822" state="hidden" r:id="rId22"/>
    <sheet name="りくと2" sheetId="5820" state="hidden" r:id="rId23"/>
    <sheet name="ただ2" sheetId="5818" state="hidden" r:id="rId24"/>
    <sheet name="だいち2" sheetId="5816" state="hidden" r:id="rId25"/>
    <sheet name="たかの2" sheetId="5814" state="hidden" r:id="rId26"/>
    <sheet name="全体2" sheetId="5812" state="hidden" r:id="rId27"/>
    <sheet name="通算スコア" sheetId="3331" state="hidden" r:id="rId28"/>
    <sheet name="平均スコア" sheetId="3493" state="hidden" r:id="rId29"/>
    <sheet name="平均順位" sheetId="3183" state="hidden" r:id="rId30"/>
    <sheet name="トップ率" sheetId="3185" state="hidden" r:id="rId31"/>
    <sheet name="ラス率" sheetId="4886" state="hidden" r:id="rId32"/>
    <sheet name="アガリ率" sheetId="3189" state="hidden" r:id="rId33"/>
    <sheet name="放銃率" sheetId="3190" state="hidden" r:id="rId34"/>
    <sheet name="平均アガリ点" sheetId="3520" state="hidden" r:id="rId35"/>
    <sheet name="平均放銃点" sheetId="3521" state="hidden" r:id="rId36"/>
    <sheet name="ふっとび率" sheetId="3522" state="hidden" r:id="rId37"/>
    <sheet name="ふっとばし率" sheetId="3523" state="hidden" r:id="rId38"/>
    <sheet name="リーチ率" sheetId="3524" state="hidden" r:id="rId39"/>
    <sheet name="副露率" sheetId="3525" state="hidden" r:id="rId40"/>
    <sheet name="リーチ成功率" sheetId="4841" state="hidden" r:id="rId41"/>
    <sheet name="副露成功率" sheetId="3527" state="hidden" r:id="rId42"/>
    <sheet name="ツモ率" sheetId="3528" state="hidden" r:id="rId43"/>
  </sheets>
  <definedNames>
    <definedName name="アガリ数" localSheetId="15">いっしー!$B$17</definedName>
    <definedName name="アガリ数" localSheetId="7">だいち!$B$17</definedName>
    <definedName name="アガリ数" localSheetId="6">たかの!$B$17</definedName>
    <definedName name="アガリ数" localSheetId="9">ただ!$B$17</definedName>
    <definedName name="アガリ数" localSheetId="12">のり!$B$17</definedName>
    <definedName name="アガリ数" localSheetId="13">ぱぱ!$B$17</definedName>
    <definedName name="アガリ数" localSheetId="14">ほたに!$B$17</definedName>
    <definedName name="アガリ数" localSheetId="11">まっつん!$B$17</definedName>
    <definedName name="アガリ数" localSheetId="8">りくと!$B$17</definedName>
    <definedName name="アガリ数" localSheetId="10">れんたろう!$B$17</definedName>
    <definedName name="アガリ数" localSheetId="5">全体!$B$17</definedName>
    <definedName name="アガリ数">Template1!$B$17</definedName>
    <definedName name="アガリ率" localSheetId="15">いっしー!$C$17</definedName>
    <definedName name="アガリ率" localSheetId="7">だいち!$C$17</definedName>
    <definedName name="アガリ率" localSheetId="6">たかの!$C$17</definedName>
    <definedName name="アガリ率" localSheetId="9">ただ!$C$17</definedName>
    <definedName name="アガリ率" localSheetId="12">のり!$C$17</definedName>
    <definedName name="アガリ率" localSheetId="13">ぱぱ!$C$17</definedName>
    <definedName name="アガリ率" localSheetId="14">ほたに!$C$17</definedName>
    <definedName name="アガリ率" localSheetId="11">まっつん!$C$17</definedName>
    <definedName name="アガリ率" localSheetId="8">りくと!$C$17</definedName>
    <definedName name="アガリ率" localSheetId="10">れんたろう!$C$17</definedName>
    <definedName name="アガリ率" localSheetId="5">全体!$C$17</definedName>
    <definedName name="アガリ率">Template1!$C$17</definedName>
    <definedName name="チョンボ数" localSheetId="15">いっしー!$B$29</definedName>
    <definedName name="チョンボ数" localSheetId="7">だいち!$B$29</definedName>
    <definedName name="チョンボ数" localSheetId="6">たかの!$B$29</definedName>
    <definedName name="チョンボ数" localSheetId="9">ただ!$B$29</definedName>
    <definedName name="チョンボ数" localSheetId="12">のり!$B$29</definedName>
    <definedName name="チョンボ数" localSheetId="13">ぱぱ!$B$29</definedName>
    <definedName name="チョンボ数" localSheetId="14">ほたに!$B$29</definedName>
    <definedName name="チョンボ数" localSheetId="11">まっつん!$B$29</definedName>
    <definedName name="チョンボ数" localSheetId="8">りくと!$B$29</definedName>
    <definedName name="チョンボ数" localSheetId="10">れんたろう!$B$29</definedName>
    <definedName name="チョンボ数" localSheetId="5">全体!$B$29</definedName>
    <definedName name="チョンボ数">Template1!$B$29</definedName>
    <definedName name="チョンボ率" localSheetId="15">いっしー!$C$29</definedName>
    <definedName name="チョンボ率" localSheetId="7">だいち!$C$29</definedName>
    <definedName name="チョンボ率" localSheetId="6">たかの!$C$29</definedName>
    <definedName name="チョンボ率" localSheetId="9">ただ!$C$29</definedName>
    <definedName name="チョンボ率" localSheetId="12">のり!$C$29</definedName>
    <definedName name="チョンボ率" localSheetId="13">ぱぱ!$C$29</definedName>
    <definedName name="チョンボ率" localSheetId="14">ほたに!$C$29</definedName>
    <definedName name="チョンボ率" localSheetId="11">まっつん!$C$29</definedName>
    <definedName name="チョンボ率" localSheetId="8">りくと!$C$29</definedName>
    <definedName name="チョンボ率" localSheetId="10">れんたろう!$C$29</definedName>
    <definedName name="チョンボ率" localSheetId="5">全体!$C$29</definedName>
    <definedName name="チョンボ率">Template1!$C$29</definedName>
    <definedName name="ツモ数" localSheetId="15">いっしー!$B$18</definedName>
    <definedName name="ツモ数" localSheetId="7">だいち!$B$18</definedName>
    <definedName name="ツモ数" localSheetId="6">たかの!$B$18</definedName>
    <definedName name="ツモ数" localSheetId="9">ただ!$B$18</definedName>
    <definedName name="ツモ数" localSheetId="12">のり!$B$18</definedName>
    <definedName name="ツモ数" localSheetId="13">ぱぱ!$B$18</definedName>
    <definedName name="ツモ数" localSheetId="14">ほたに!$B$18</definedName>
    <definedName name="ツモ数" localSheetId="11">まっつん!$B$18</definedName>
    <definedName name="ツモ数" localSheetId="8">りくと!$B$18</definedName>
    <definedName name="ツモ数" localSheetId="10">れんたろう!$B$18</definedName>
    <definedName name="ツモ数" localSheetId="5">全体!$B$18</definedName>
    <definedName name="ツモ数">Template1!$B$18</definedName>
    <definedName name="ツモ率" localSheetId="15">いっしー!$C$18</definedName>
    <definedName name="ツモ率" localSheetId="7">だいち!$C$18</definedName>
    <definedName name="ツモ率" localSheetId="6">たかの!$C$18</definedName>
    <definedName name="ツモ率" localSheetId="9">ただ!$C$18</definedName>
    <definedName name="ツモ率" localSheetId="12">のり!$C$18</definedName>
    <definedName name="ツモ率" localSheetId="13">ぱぱ!$C$18</definedName>
    <definedName name="ツモ率" localSheetId="14">ほたに!$C$18</definedName>
    <definedName name="ツモ率" localSheetId="11">まっつん!$C$18</definedName>
    <definedName name="ツモ率" localSheetId="8">りくと!$C$18</definedName>
    <definedName name="ツモ率" localSheetId="10">れんたろう!$C$18</definedName>
    <definedName name="ツモ率" localSheetId="5">全体!$C$18</definedName>
    <definedName name="ツモ率">Template1!$C$18</definedName>
    <definedName name="トップ数" localSheetId="15">いっしー!$B$7</definedName>
    <definedName name="トップ数" localSheetId="7">だいち!$B$7</definedName>
    <definedName name="トップ数" localSheetId="6">たかの!$B$7</definedName>
    <definedName name="トップ数" localSheetId="9">ただ!$B$7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8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15">いっしー!$C$7</definedName>
    <definedName name="トップ率" localSheetId="7">だいち!$C$7</definedName>
    <definedName name="トップ率" localSheetId="6">たかの!$C$7</definedName>
    <definedName name="トップ率" localSheetId="9">ただ!$C$7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8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15">いっしー!$B$11</definedName>
    <definedName name="ふっとばし数" localSheetId="7">だいち!$B$11</definedName>
    <definedName name="ふっとばし数" localSheetId="6">たかの!$B$11</definedName>
    <definedName name="ふっとばし数" localSheetId="9">ただ!$B$11</definedName>
    <definedName name="ふっとばし数" localSheetId="12">のり!$B$11</definedName>
    <definedName name="ふっとばし数" localSheetId="13">ぱぱ!$B$11</definedName>
    <definedName name="ふっとばし数" localSheetId="14">ほたに!$B$11</definedName>
    <definedName name="ふっとばし数" localSheetId="11">まっつん!$B$11</definedName>
    <definedName name="ふっとばし数" localSheetId="8">りくと!$B$11</definedName>
    <definedName name="ふっとばし数" localSheetId="10">れんたろう!$B$11</definedName>
    <definedName name="ふっとばし数" localSheetId="5">全体!$B$11</definedName>
    <definedName name="ふっとばし数">Template1!$B$11</definedName>
    <definedName name="ふっとばし率" localSheetId="15">いっしー!$C$11</definedName>
    <definedName name="ふっとばし率" localSheetId="7">だいち!$C$11</definedName>
    <definedName name="ふっとばし率" localSheetId="6">たかの!$C$11</definedName>
    <definedName name="ふっとばし率" localSheetId="9">ただ!$C$11</definedName>
    <definedName name="ふっとばし率" localSheetId="12">のり!$C$11</definedName>
    <definedName name="ふっとばし率" localSheetId="13">ぱぱ!$C$11</definedName>
    <definedName name="ふっとばし率" localSheetId="14">ほたに!$C$11</definedName>
    <definedName name="ふっとばし率" localSheetId="11">まっつん!$C$11</definedName>
    <definedName name="ふっとばし率" localSheetId="8">りくと!$C$11</definedName>
    <definedName name="ふっとばし率" localSheetId="10">れんたろう!$C$11</definedName>
    <definedName name="ふっとばし率" localSheetId="5">全体!$C$11</definedName>
    <definedName name="ふっとばし率">Template1!$C$11</definedName>
    <definedName name="ふっとび数" localSheetId="15">いっしー!$B$10</definedName>
    <definedName name="ふっとび数" localSheetId="7">だいち!$B$10</definedName>
    <definedName name="ふっとび数" localSheetId="6">たかの!$B$10</definedName>
    <definedName name="ふっとび数" localSheetId="9">ただ!$B$10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8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15">いっしー!$C$10</definedName>
    <definedName name="ふっとび率" localSheetId="7">だいち!$C$10</definedName>
    <definedName name="ふっとび率" localSheetId="6">たかの!$C$10</definedName>
    <definedName name="ふっとび率" localSheetId="9">ただ!$C$10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8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15">いっしー!$B$9</definedName>
    <definedName name="ラス数" localSheetId="7">だいち!$B$9</definedName>
    <definedName name="ラス数" localSheetId="6">たかの!$B$9</definedName>
    <definedName name="ラス数" localSheetId="9">ただ!$B$9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8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15">いっしー!$C$9</definedName>
    <definedName name="ラス率" localSheetId="7">だいち!$C$9</definedName>
    <definedName name="ラス率" localSheetId="6">たかの!$C$9</definedName>
    <definedName name="ラス率" localSheetId="9">ただ!$C$9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8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数" localSheetId="15">いっしー!$B$13</definedName>
    <definedName name="リーチ数" localSheetId="7">だいち!$B$13</definedName>
    <definedName name="リーチ数" localSheetId="6">たかの!$B$13</definedName>
    <definedName name="リーチ数" localSheetId="9">ただ!$B$13</definedName>
    <definedName name="リーチ数" localSheetId="12">のり!$B$13</definedName>
    <definedName name="リーチ数" localSheetId="13">ぱぱ!$B$13</definedName>
    <definedName name="リーチ数" localSheetId="14">ほたに!$B$13</definedName>
    <definedName name="リーチ数" localSheetId="11">まっつん!$B$13</definedName>
    <definedName name="リーチ数" localSheetId="8">りくと!$B$13</definedName>
    <definedName name="リーチ数" localSheetId="10">れんたろう!$B$13</definedName>
    <definedName name="リーチ数" localSheetId="5">全体!$B$13</definedName>
    <definedName name="リーチ数">Template1!$B$13</definedName>
    <definedName name="リーチ成功数" localSheetId="15">いっしー!$B$15</definedName>
    <definedName name="リーチ成功数" localSheetId="7">だいち!$B$15</definedName>
    <definedName name="リーチ成功数" localSheetId="6">たかの!$B$15</definedName>
    <definedName name="リーチ成功数" localSheetId="9">ただ!$B$15</definedName>
    <definedName name="リーチ成功数" localSheetId="12">のり!$B$15</definedName>
    <definedName name="リーチ成功数" localSheetId="13">ぱぱ!$B$15</definedName>
    <definedName name="リーチ成功数" localSheetId="14">ほたに!$B$15</definedName>
    <definedName name="リーチ成功数" localSheetId="11">まっつん!$B$15</definedName>
    <definedName name="リーチ成功数" localSheetId="8">りくと!$B$15</definedName>
    <definedName name="リーチ成功数" localSheetId="10">れんたろう!$B$15</definedName>
    <definedName name="リーチ成功数" localSheetId="5">全体!$B$15</definedName>
    <definedName name="リーチ成功数">Template1!$B$15</definedName>
    <definedName name="リーチ成功率" localSheetId="15">いっしー!$C$15</definedName>
    <definedName name="リーチ成功率" localSheetId="7">だいち!$C$15</definedName>
    <definedName name="リーチ成功率" localSheetId="6">たかの!$C$15</definedName>
    <definedName name="リーチ成功率" localSheetId="9">ただ!$C$15</definedName>
    <definedName name="リーチ成功率" localSheetId="12">のり!$C$15</definedName>
    <definedName name="リーチ成功率" localSheetId="13">ぱぱ!$C$15</definedName>
    <definedName name="リーチ成功率" localSheetId="14">ほたに!$C$15</definedName>
    <definedName name="リーチ成功率" localSheetId="11">まっつん!$C$15</definedName>
    <definedName name="リーチ成功率" localSheetId="8">りくと!$C$15</definedName>
    <definedName name="リーチ成功率" localSheetId="10">れんたろう!$C$15</definedName>
    <definedName name="リーチ成功率" localSheetId="5">全体!$C$15</definedName>
    <definedName name="リーチ成功率">Template1!$C$15</definedName>
    <definedName name="リーチ率" localSheetId="15">いっしー!$C$13</definedName>
    <definedName name="リーチ率" localSheetId="7">だいち!$C$13</definedName>
    <definedName name="リーチ率" localSheetId="6">たかの!$C$13</definedName>
    <definedName name="リーチ率" localSheetId="9">ただ!$C$13</definedName>
    <definedName name="リーチ率" localSheetId="12">のり!$C$13</definedName>
    <definedName name="リーチ率" localSheetId="13">ぱぱ!$C$13</definedName>
    <definedName name="リーチ率" localSheetId="14">ほたに!$C$13</definedName>
    <definedName name="リーチ率" localSheetId="11">まっつん!$C$13</definedName>
    <definedName name="リーチ率" localSheetId="8">りくと!$C$13</definedName>
    <definedName name="リーチ率" localSheetId="10">れんたろう!$C$13</definedName>
    <definedName name="リーチ率" localSheetId="5">全体!$C$13</definedName>
    <definedName name="リーチ率">Template1!$C$13</definedName>
    <definedName name="ロン数" localSheetId="15">いっしー!$B$19</definedName>
    <definedName name="ロン数" localSheetId="7">だいち!$B$19</definedName>
    <definedName name="ロン数" localSheetId="6">たかの!$B$19</definedName>
    <definedName name="ロン数" localSheetId="9">ただ!$B$19</definedName>
    <definedName name="ロン数" localSheetId="12">のり!$B$19</definedName>
    <definedName name="ロン数" localSheetId="13">ぱぱ!$B$19</definedName>
    <definedName name="ロン数" localSheetId="14">ほたに!$B$19</definedName>
    <definedName name="ロン数" localSheetId="11">まっつん!$B$19</definedName>
    <definedName name="ロン数" localSheetId="8">りくと!$B$19</definedName>
    <definedName name="ロン数" localSheetId="10">れんたろう!$B$19</definedName>
    <definedName name="ロン数" localSheetId="5">全体!$B$19</definedName>
    <definedName name="ロン数">Template1!$B$19</definedName>
    <definedName name="ロン率" localSheetId="15">いっしー!$C$19</definedName>
    <definedName name="ロン率" localSheetId="7">だいち!$C$19</definedName>
    <definedName name="ロン率" localSheetId="6">たかの!$C$19</definedName>
    <definedName name="ロン率" localSheetId="9">ただ!$C$19</definedName>
    <definedName name="ロン率" localSheetId="12">のり!$C$19</definedName>
    <definedName name="ロン率" localSheetId="13">ぱぱ!$C$19</definedName>
    <definedName name="ロン率" localSheetId="14">ほたに!$C$19</definedName>
    <definedName name="ロン率" localSheetId="11">まっつん!$C$19</definedName>
    <definedName name="ロン率" localSheetId="8">りくと!$C$19</definedName>
    <definedName name="ロン率" localSheetId="10">れんたろう!$C$19</definedName>
    <definedName name="ロン率" localSheetId="5">全体!$C$19</definedName>
    <definedName name="ロン率">Template1!$C$19</definedName>
    <definedName name="逆転数" localSheetId="15">いっしー!$B$12</definedName>
    <definedName name="逆転数" localSheetId="7">だいち!$B$12</definedName>
    <definedName name="逆転数" localSheetId="6">たかの!$B$12</definedName>
    <definedName name="逆転数" localSheetId="9">ただ!$B$12</definedName>
    <definedName name="逆転数" localSheetId="12">のり!$B$12</definedName>
    <definedName name="逆転数" localSheetId="13">ぱぱ!$B$12</definedName>
    <definedName name="逆転数" localSheetId="14">ほたに!$B$12</definedName>
    <definedName name="逆転数" localSheetId="11">まっつん!$B$12</definedName>
    <definedName name="逆転数" localSheetId="8">りくと!$B$12</definedName>
    <definedName name="逆転数" localSheetId="10">れんたろう!$B$12</definedName>
    <definedName name="逆転数" localSheetId="5">全体!$B$12</definedName>
    <definedName name="逆転数">Template1!$B$12</definedName>
    <definedName name="逆転率" localSheetId="15">いっしー!$C$12</definedName>
    <definedName name="逆転率" localSheetId="7">だいち!$C$12</definedName>
    <definedName name="逆転率" localSheetId="6">たかの!$C$12</definedName>
    <definedName name="逆転率" localSheetId="9">ただ!$C$12</definedName>
    <definedName name="逆転率" localSheetId="12">のり!$C$12</definedName>
    <definedName name="逆転率" localSheetId="13">ぱぱ!$C$12</definedName>
    <definedName name="逆転率" localSheetId="14">ほたに!$C$12</definedName>
    <definedName name="逆転率" localSheetId="11">まっつん!$C$12</definedName>
    <definedName name="逆転率" localSheetId="8">りくと!$C$12</definedName>
    <definedName name="逆転率" localSheetId="10">れんたろう!$C$12</definedName>
    <definedName name="逆転率" localSheetId="5">全体!$C$12</definedName>
    <definedName name="逆転率">Template1!$C$12</definedName>
    <definedName name="最大ドラ数" localSheetId="15">いっしー!$B$27</definedName>
    <definedName name="最大ドラ数" localSheetId="7">だいち!$B$27</definedName>
    <definedName name="最大ドラ数" localSheetId="6">たかの!$B$27</definedName>
    <definedName name="最大ドラ数" localSheetId="9">ただ!$B$27</definedName>
    <definedName name="最大ドラ数" localSheetId="12">のり!$B$27</definedName>
    <definedName name="最大ドラ数" localSheetId="13">ぱぱ!$B$27</definedName>
    <definedName name="最大ドラ数" localSheetId="14">ほたに!$B$27</definedName>
    <definedName name="最大ドラ数" localSheetId="11">まっつん!$B$27</definedName>
    <definedName name="最大ドラ数" localSheetId="8">りくと!$B$27</definedName>
    <definedName name="最大ドラ数" localSheetId="10">れんたろう!$B$27</definedName>
    <definedName name="最大ドラ数" localSheetId="5">全体!$B$27</definedName>
    <definedName name="最大ドラ数">Template1!$B$27</definedName>
    <definedName name="最大点数" localSheetId="15">いっしー!$B$28</definedName>
    <definedName name="最大点数" localSheetId="7">だいち!$B$28</definedName>
    <definedName name="最大点数" localSheetId="6">たかの!$B$28</definedName>
    <definedName name="最大点数" localSheetId="9">ただ!$B$28</definedName>
    <definedName name="最大点数" localSheetId="12">のり!$B$28</definedName>
    <definedName name="最大点数" localSheetId="13">ぱぱ!$B$28</definedName>
    <definedName name="最大点数" localSheetId="14">ほたに!$B$28</definedName>
    <definedName name="最大点数" localSheetId="11">まっつん!$B$28</definedName>
    <definedName name="最大点数" localSheetId="8">りくと!$B$28</definedName>
    <definedName name="最大点数" localSheetId="10">れんたろう!$B$28</definedName>
    <definedName name="最大点数" localSheetId="5">全体!$B$28</definedName>
    <definedName name="最大点数">Template1!$B$28</definedName>
    <definedName name="総局数" localSheetId="15">いっしー!$B$3</definedName>
    <definedName name="総局数" localSheetId="7">だいち!$B$3</definedName>
    <definedName name="総局数" localSheetId="6">たかの!$B$3</definedName>
    <definedName name="総局数" localSheetId="9">ただ!$B$3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8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15">いっしー!$B$2</definedName>
    <definedName name="対戦数" localSheetId="7">だいち!$B$2</definedName>
    <definedName name="対戦数" localSheetId="6">たかの!$B$2</definedName>
    <definedName name="対戦数" localSheetId="9">ただ!$B$2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8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スコア" localSheetId="15">いっしー!$B$4</definedName>
    <definedName name="通算スコア" localSheetId="7">だいち!$B$4</definedName>
    <definedName name="通算スコア" localSheetId="6">たかの!$B$4</definedName>
    <definedName name="通算スコア" localSheetId="9">ただ!$B$4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8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副露数" localSheetId="15">いっしー!$B$14</definedName>
    <definedName name="副露数" localSheetId="7">だいち!$B$14</definedName>
    <definedName name="副露数" localSheetId="6">たかの!$B$14</definedName>
    <definedName name="副露数" localSheetId="9">ただ!$B$14</definedName>
    <definedName name="副露数" localSheetId="12">のり!$B$14</definedName>
    <definedName name="副露数" localSheetId="13">ぱぱ!$B$14</definedName>
    <definedName name="副露数" localSheetId="14">ほたに!$B$14</definedName>
    <definedName name="副露数" localSheetId="11">まっつん!$B$14</definedName>
    <definedName name="副露数" localSheetId="8">りくと!$B$14</definedName>
    <definedName name="副露数" localSheetId="10">れんたろう!$B$14</definedName>
    <definedName name="副露数" localSheetId="5">全体!$B$14</definedName>
    <definedName name="副露数">Template1!$B$14</definedName>
    <definedName name="副露成功数" localSheetId="15">いっしー!$B$16</definedName>
    <definedName name="副露成功数" localSheetId="7">だいち!$B$16</definedName>
    <definedName name="副露成功数" localSheetId="6">たかの!$B$16</definedName>
    <definedName name="副露成功数" localSheetId="9">ただ!$B$16</definedName>
    <definedName name="副露成功数" localSheetId="12">のり!$B$16</definedName>
    <definedName name="副露成功数" localSheetId="13">ぱぱ!$B$16</definedName>
    <definedName name="副露成功数" localSheetId="14">ほたに!$B$16</definedName>
    <definedName name="副露成功数" localSheetId="11">まっつん!$B$16</definedName>
    <definedName name="副露成功数" localSheetId="8">りくと!$B$16</definedName>
    <definedName name="副露成功数" localSheetId="10">れんたろう!$B$16</definedName>
    <definedName name="副露成功数" localSheetId="5">全体!$B$16</definedName>
    <definedName name="副露成功数">Template1!$B$16</definedName>
    <definedName name="副露成功率" localSheetId="15">いっしー!$C$16</definedName>
    <definedName name="副露成功率" localSheetId="7">だいち!$C$16</definedName>
    <definedName name="副露成功率" localSheetId="6">たかの!$C$16</definedName>
    <definedName name="副露成功率" localSheetId="9">ただ!$C$16</definedName>
    <definedName name="副露成功率" localSheetId="12">のり!$C$16</definedName>
    <definedName name="副露成功率" localSheetId="13">ぱぱ!$C$16</definedName>
    <definedName name="副露成功率" localSheetId="14">ほたに!$C$16</definedName>
    <definedName name="副露成功率" localSheetId="11">まっつん!$C$16</definedName>
    <definedName name="副露成功率" localSheetId="8">りくと!$C$16</definedName>
    <definedName name="副露成功率" localSheetId="10">れんたろう!$C$16</definedName>
    <definedName name="副露成功率" localSheetId="5">全体!$C$16</definedName>
    <definedName name="副露成功率">Template1!$C$16</definedName>
    <definedName name="副露率" localSheetId="15">いっしー!$C$14</definedName>
    <definedName name="副露率" localSheetId="7">だいち!$C$14</definedName>
    <definedName name="副露率" localSheetId="6">たかの!$C$14</definedName>
    <definedName name="副露率" localSheetId="9">ただ!$C$14</definedName>
    <definedName name="副露率" localSheetId="12">のり!$C$14</definedName>
    <definedName name="副露率" localSheetId="13">ぱぱ!$C$14</definedName>
    <definedName name="副露率" localSheetId="14">ほたに!$C$14</definedName>
    <definedName name="副露率" localSheetId="11">まっつん!$C$14</definedName>
    <definedName name="副露率" localSheetId="8">りくと!$C$14</definedName>
    <definedName name="副露率" localSheetId="10">れんたろう!$C$14</definedName>
    <definedName name="副露率" localSheetId="5">全体!$C$14</definedName>
    <definedName name="副露率">Template1!$C$14</definedName>
    <definedName name="平均アガリ点" localSheetId="15">いっしー!$B$23</definedName>
    <definedName name="平均アガリ点" localSheetId="7">だいち!$B$23</definedName>
    <definedName name="平均アガリ点" localSheetId="6">たかの!$B$23</definedName>
    <definedName name="平均アガリ点" localSheetId="9">ただ!$B$23</definedName>
    <definedName name="平均アガリ点" localSheetId="12">のり!$B$23</definedName>
    <definedName name="平均アガリ点" localSheetId="13">ぱぱ!$B$23</definedName>
    <definedName name="平均アガリ点" localSheetId="14">ほたに!$B$23</definedName>
    <definedName name="平均アガリ点" localSheetId="11">まっつん!$B$23</definedName>
    <definedName name="平均アガリ点" localSheetId="8">りくと!$B$23</definedName>
    <definedName name="平均アガリ点" localSheetId="10">れんたろう!$B$23</definedName>
    <definedName name="平均アガリ点" localSheetId="5">全体!$B$23</definedName>
    <definedName name="平均アガリ点">Template1!$B$23</definedName>
    <definedName name="平均スコア" localSheetId="15">いっしー!$B$5</definedName>
    <definedName name="平均スコア" localSheetId="7">だいち!$B$5</definedName>
    <definedName name="平均スコア" localSheetId="6">たかの!$B$5</definedName>
    <definedName name="平均スコア" localSheetId="9">ただ!$B$5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8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15">いっしー!$B$6</definedName>
    <definedName name="平均順位" localSheetId="7">だいち!$B$6</definedName>
    <definedName name="平均順位" localSheetId="6">たかの!$B$6</definedName>
    <definedName name="平均順位" localSheetId="9">ただ!$B$6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8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15">いっしー!$B$26</definedName>
    <definedName name="平均放銃点" localSheetId="7">だいち!$B$26</definedName>
    <definedName name="平均放銃点" localSheetId="6">たかの!$B$26</definedName>
    <definedName name="平均放銃点" localSheetId="9">ただ!$B$26</definedName>
    <definedName name="平均放銃点" localSheetId="12">のり!$B$26</definedName>
    <definedName name="平均放銃点" localSheetId="13">ぱぱ!$B$26</definedName>
    <definedName name="平均放銃点" localSheetId="14">ほたに!$B$26</definedName>
    <definedName name="平均放銃点" localSheetId="11">まっつん!$B$26</definedName>
    <definedName name="平均放銃点" localSheetId="8">りくと!$B$26</definedName>
    <definedName name="平均放銃点" localSheetId="10">れんたろう!$B$26</definedName>
    <definedName name="平均放銃点" localSheetId="5">全体!$B$26</definedName>
    <definedName name="平均放銃点">Template1!$B$26</definedName>
    <definedName name="放銃数" localSheetId="15">いっしー!$B$20</definedName>
    <definedName name="放銃数" localSheetId="7">だいち!$B$20</definedName>
    <definedName name="放銃数" localSheetId="6">たかの!$B$20</definedName>
    <definedName name="放銃数" localSheetId="9">ただ!$B$20</definedName>
    <definedName name="放銃数" localSheetId="12">のり!$B$20</definedName>
    <definedName name="放銃数" localSheetId="13">ぱぱ!$B$20</definedName>
    <definedName name="放銃数" localSheetId="14">ほたに!$B$20</definedName>
    <definedName name="放銃数" localSheetId="11">まっつん!$B$20</definedName>
    <definedName name="放銃数" localSheetId="8">りくと!$B$20</definedName>
    <definedName name="放銃数" localSheetId="10">れんたろう!$B$20</definedName>
    <definedName name="放銃数" localSheetId="5">全体!$B$20</definedName>
    <definedName name="放銃数">Template1!$B$20</definedName>
    <definedName name="放銃率" localSheetId="15">いっしー!$C$20</definedName>
    <definedName name="放銃率" localSheetId="7">だいち!$C$20</definedName>
    <definedName name="放銃率" localSheetId="6">たかの!$C$20</definedName>
    <definedName name="放銃率" localSheetId="9">ただ!$C$20</definedName>
    <definedName name="放銃率" localSheetId="12">のり!$C$20</definedName>
    <definedName name="放銃率" localSheetId="13">ぱぱ!$C$20</definedName>
    <definedName name="放銃率" localSheetId="14">ほたに!$C$20</definedName>
    <definedName name="放銃率" localSheetId="11">まっつん!$C$20</definedName>
    <definedName name="放銃率" localSheetId="8">りくと!$C$20</definedName>
    <definedName name="放銃率" localSheetId="10">れんたろう!$C$20</definedName>
    <definedName name="放銃率" localSheetId="5">全体!$C$20</definedName>
    <definedName name="放銃率">Template1!$C$20</definedName>
    <definedName name="連続アガリ" localSheetId="15">いっしー!$B$21</definedName>
    <definedName name="連続アガリ" localSheetId="7">だいち!$B$21</definedName>
    <definedName name="連続アガリ" localSheetId="6">たかの!$B$21</definedName>
    <definedName name="連続アガリ" localSheetId="9">ただ!$B$21</definedName>
    <definedName name="連続アガリ" localSheetId="12">のり!$B$21</definedName>
    <definedName name="連続アガリ" localSheetId="13">ぱぱ!$B$21</definedName>
    <definedName name="連続アガリ" localSheetId="14">ほたに!$B$21</definedName>
    <definedName name="連続アガリ" localSheetId="11">まっつん!$B$21</definedName>
    <definedName name="連続アガリ" localSheetId="8">りくと!$B$21</definedName>
    <definedName name="連続アガリ" localSheetId="10">れんたろう!$B$21</definedName>
    <definedName name="連続アガリ" localSheetId="5">全体!$B$21</definedName>
    <definedName name="連続アガリ">Template1!$B$21</definedName>
    <definedName name="連続無放銃" localSheetId="15">いっしー!$B$22</definedName>
    <definedName name="連続無放銃" localSheetId="7">だいち!$B$22</definedName>
    <definedName name="連続無放銃" localSheetId="6">たかの!$B$22</definedName>
    <definedName name="連続無放銃" localSheetId="9">ただ!$B$22</definedName>
    <definedName name="連続無放銃" localSheetId="12">のり!$B$22</definedName>
    <definedName name="連続無放銃" localSheetId="13">ぱぱ!$B$22</definedName>
    <definedName name="連続無放銃" localSheetId="14">ほたに!$B$22</definedName>
    <definedName name="連続無放銃" localSheetId="11">まっつん!$B$22</definedName>
    <definedName name="連続無放銃" localSheetId="8">りくと!$B$22</definedName>
    <definedName name="連続無放銃" localSheetId="10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8" i="5821" l="1"/>
  <c r="O17" i="5821"/>
  <c r="O15" i="5821"/>
  <c r="O17" i="5823" l="1"/>
  <c r="O17" i="5831"/>
  <c r="O22" i="5815" l="1"/>
  <c r="O16" i="5831"/>
  <c r="O15" i="5831"/>
  <c r="C29" i="5831"/>
  <c r="B26" i="5831"/>
  <c r="B25" i="5831"/>
  <c r="C20" i="5831"/>
  <c r="B17" i="5831"/>
  <c r="H50" i="5831" s="1"/>
  <c r="C16" i="5831"/>
  <c r="C15" i="5831"/>
  <c r="C14" i="5831"/>
  <c r="C13" i="5831"/>
  <c r="O12" i="5831"/>
  <c r="C12" i="5831"/>
  <c r="O11" i="5831"/>
  <c r="C11" i="5831"/>
  <c r="O10" i="5831"/>
  <c r="C10" i="5831"/>
  <c r="C9" i="5831"/>
  <c r="C8" i="5831"/>
  <c r="O7" i="5831"/>
  <c r="C7" i="5831"/>
  <c r="O6" i="5831"/>
  <c r="B6" i="5831"/>
  <c r="O5" i="5831"/>
  <c r="B5" i="5831"/>
  <c r="O4" i="5831"/>
  <c r="O3" i="5831"/>
  <c r="O2" i="5831"/>
  <c r="O17" i="5825"/>
  <c r="O24" i="5811"/>
  <c r="H19" i="5831" l="1"/>
  <c r="H31" i="5831"/>
  <c r="B23" i="5831"/>
  <c r="H25" i="5831"/>
  <c r="H17" i="5831"/>
  <c r="H14" i="5831"/>
  <c r="H35" i="5831"/>
  <c r="H3" i="5831"/>
  <c r="H36" i="5831"/>
  <c r="H44" i="5831"/>
  <c r="H9" i="5831"/>
  <c r="C17" i="5831"/>
  <c r="H29" i="5831"/>
  <c r="H47" i="5831"/>
  <c r="H39" i="5831"/>
  <c r="H43" i="5831"/>
  <c r="H4" i="5831"/>
  <c r="H5" i="5831"/>
  <c r="C18" i="5831"/>
  <c r="H6" i="5831"/>
  <c r="H2" i="5831"/>
  <c r="H21" i="5831"/>
  <c r="H51" i="5831"/>
  <c r="H11" i="5831"/>
  <c r="H18" i="5831"/>
  <c r="C19" i="5831"/>
  <c r="B24" i="5831"/>
  <c r="H37" i="5831"/>
  <c r="H45" i="5831"/>
  <c r="H52" i="5831"/>
  <c r="H12" i="5831"/>
  <c r="H7" i="5831"/>
  <c r="H10" i="5831"/>
  <c r="H15" i="5831"/>
  <c r="H22" i="5831"/>
  <c r="H26" i="5831"/>
  <c r="H30" i="5831"/>
  <c r="H38" i="5831"/>
  <c r="H46" i="5831"/>
  <c r="H23" i="5831"/>
  <c r="H27" i="5831"/>
  <c r="H32" i="5831"/>
  <c r="H40" i="5831"/>
  <c r="H48" i="5831"/>
  <c r="H13" i="5831"/>
  <c r="H16" i="5831"/>
  <c r="H8" i="5831"/>
  <c r="H33" i="5831"/>
  <c r="H41" i="5831"/>
  <c r="H49" i="5831"/>
  <c r="H20" i="5831"/>
  <c r="H24" i="5831"/>
  <c r="H28" i="5831"/>
  <c r="H34" i="5831"/>
  <c r="H42" i="5831"/>
  <c r="O20" i="5813" l="1"/>
  <c r="O16" i="5821"/>
  <c r="O19" i="5829" l="1"/>
  <c r="O15" i="5819" l="1"/>
  <c r="O20" i="5825"/>
  <c r="O16" i="5829" l="1"/>
  <c r="O22" i="5819"/>
  <c r="O21" i="5813" l="1"/>
  <c r="O16" i="5815"/>
  <c r="O15" i="5825"/>
  <c r="O19" i="5825"/>
  <c r="O22" i="5823" l="1"/>
  <c r="O17" i="5827"/>
  <c r="O16" i="5817" l="1"/>
  <c r="O18" i="5823"/>
  <c r="O22" i="5825"/>
  <c r="O16" i="5825"/>
  <c r="O16" i="5813" l="1"/>
  <c r="O19" i="5827"/>
  <c r="O18" i="5827"/>
  <c r="O17" i="5819"/>
  <c r="O18" i="5817" l="1"/>
  <c r="O21" i="5821"/>
  <c r="O19" i="5821" l="1"/>
  <c r="O21" i="5815"/>
  <c r="O23" i="5825"/>
  <c r="O17" i="5829"/>
  <c r="O15" i="5829"/>
  <c r="O20" i="5827"/>
  <c r="O15" i="5817" l="1"/>
  <c r="O19" i="5817"/>
  <c r="O18" i="5829"/>
  <c r="O20" i="5829"/>
  <c r="C29" i="5829"/>
  <c r="B26" i="5829"/>
  <c r="B25" i="5829"/>
  <c r="C20" i="5829"/>
  <c r="B17" i="5829"/>
  <c r="H51" i="5829" s="1"/>
  <c r="C16" i="5829"/>
  <c r="C15" i="5829"/>
  <c r="C14" i="5829"/>
  <c r="C13" i="5829"/>
  <c r="O12" i="5829"/>
  <c r="C12" i="5829"/>
  <c r="O11" i="5829"/>
  <c r="C11" i="5829"/>
  <c r="O10" i="5829"/>
  <c r="C10" i="5829"/>
  <c r="C9" i="5829"/>
  <c r="C8" i="5829"/>
  <c r="O7" i="5829"/>
  <c r="C7" i="5829"/>
  <c r="O6" i="5829"/>
  <c r="B6" i="5829"/>
  <c r="O5" i="5829"/>
  <c r="B5" i="5829"/>
  <c r="O4" i="5829"/>
  <c r="O3" i="5829"/>
  <c r="O2" i="5829"/>
  <c r="O20" i="5823"/>
  <c r="O15" i="5823"/>
  <c r="O16" i="5811"/>
  <c r="H20" i="5829" l="1"/>
  <c r="H6" i="5829"/>
  <c r="B24" i="5829"/>
  <c r="H5" i="5829"/>
  <c r="H7" i="5829"/>
  <c r="H44" i="5829"/>
  <c r="H8" i="5829"/>
  <c r="H36" i="5829"/>
  <c r="H2" i="5829"/>
  <c r="C19" i="5829"/>
  <c r="H37" i="5829"/>
  <c r="H26" i="5829"/>
  <c r="H45" i="5829"/>
  <c r="H11" i="5829"/>
  <c r="H52" i="5829"/>
  <c r="C17" i="5829"/>
  <c r="H29" i="5829"/>
  <c r="H17" i="5829"/>
  <c r="H3" i="5829"/>
  <c r="H12" i="5829"/>
  <c r="H22" i="5829"/>
  <c r="H23" i="5829"/>
  <c r="H15" i="5829"/>
  <c r="H30" i="5829"/>
  <c r="H38" i="5829"/>
  <c r="H46" i="5829"/>
  <c r="H21" i="5829"/>
  <c r="H31" i="5829"/>
  <c r="H39" i="5829"/>
  <c r="H47" i="5829"/>
  <c r="H27" i="5829"/>
  <c r="H48" i="5829"/>
  <c r="H10" i="5829"/>
  <c r="H18" i="5829"/>
  <c r="H14" i="5829"/>
  <c r="H41" i="5829"/>
  <c r="H13" i="5829"/>
  <c r="H25" i="5829"/>
  <c r="H28" i="5829"/>
  <c r="H34" i="5829"/>
  <c r="H42" i="5829"/>
  <c r="H50" i="5829"/>
  <c r="H24" i="5829"/>
  <c r="H32" i="5829"/>
  <c r="H40" i="5829"/>
  <c r="H33" i="5829"/>
  <c r="H49" i="5829"/>
  <c r="H4" i="5829"/>
  <c r="H16" i="5829"/>
  <c r="H19" i="5829"/>
  <c r="C18" i="5829"/>
  <c r="B23" i="5829"/>
  <c r="H9" i="5829"/>
  <c r="H35" i="5829"/>
  <c r="H43" i="5829"/>
  <c r="O17" i="5815" l="1"/>
  <c r="O20" i="5819"/>
  <c r="O18" i="5815" l="1"/>
  <c r="O19" i="5823"/>
  <c r="O23" i="5823"/>
  <c r="O18" i="5813"/>
  <c r="O20" i="5817"/>
  <c r="O16" i="5819"/>
  <c r="O19" i="5819"/>
  <c r="O19" i="5813"/>
  <c r="O17" i="5817"/>
  <c r="O15" i="5815"/>
  <c r="O21" i="5827"/>
  <c r="O22" i="5827"/>
  <c r="O22" i="5821" l="1"/>
  <c r="O16" i="5827"/>
  <c r="O15" i="5827"/>
  <c r="C29" i="5827"/>
  <c r="B26" i="5827"/>
  <c r="B25" i="5827"/>
  <c r="C20" i="5827"/>
  <c r="B17" i="5827"/>
  <c r="H5" i="5827" s="1"/>
  <c r="C16" i="5827"/>
  <c r="C15" i="5827"/>
  <c r="C14" i="5827"/>
  <c r="C13" i="5827"/>
  <c r="O12" i="5827"/>
  <c r="C12" i="5827"/>
  <c r="O11" i="5827"/>
  <c r="C11" i="5827"/>
  <c r="O10" i="5827"/>
  <c r="C10" i="5827"/>
  <c r="C9" i="5827"/>
  <c r="C8" i="5827"/>
  <c r="O7" i="5827"/>
  <c r="C7" i="5827"/>
  <c r="O6" i="5827"/>
  <c r="B6" i="5827"/>
  <c r="O5" i="5827"/>
  <c r="B5" i="5827"/>
  <c r="O4" i="5827"/>
  <c r="O3" i="5827"/>
  <c r="O2" i="5827"/>
  <c r="O15" i="5811"/>
  <c r="O18" i="5825"/>
  <c r="O21" i="5825"/>
  <c r="C29" i="5825"/>
  <c r="B26" i="5825"/>
  <c r="B25" i="5825"/>
  <c r="C20" i="5825"/>
  <c r="B17" i="5825"/>
  <c r="H52" i="5825" s="1"/>
  <c r="C16" i="5825"/>
  <c r="C15" i="5825"/>
  <c r="C14" i="5825"/>
  <c r="C13" i="5825"/>
  <c r="O12" i="5825"/>
  <c r="C12" i="5825"/>
  <c r="O11" i="5825"/>
  <c r="C11" i="5825"/>
  <c r="O10" i="5825"/>
  <c r="C10" i="5825"/>
  <c r="C9" i="5825"/>
  <c r="C8" i="5825"/>
  <c r="O7" i="5825"/>
  <c r="C7" i="5825"/>
  <c r="O6" i="5825"/>
  <c r="B6" i="5825"/>
  <c r="O5" i="5825"/>
  <c r="B5" i="5825"/>
  <c r="O4" i="5825"/>
  <c r="O3" i="5825"/>
  <c r="O2" i="5825"/>
  <c r="O21" i="5811"/>
  <c r="H23" i="5827" l="1"/>
  <c r="H11" i="5827"/>
  <c r="H52" i="5827"/>
  <c r="H21" i="5827"/>
  <c r="C17" i="5827"/>
  <c r="H32" i="5827"/>
  <c r="C19" i="5827"/>
  <c r="H38" i="5827"/>
  <c r="H10" i="5827"/>
  <c r="H16" i="5827"/>
  <c r="H46" i="5827"/>
  <c r="H40" i="5827"/>
  <c r="H4" i="5827"/>
  <c r="B24" i="5827"/>
  <c r="H48" i="5827"/>
  <c r="H15" i="5827"/>
  <c r="H13" i="5827"/>
  <c r="H31" i="5827"/>
  <c r="H39" i="5827"/>
  <c r="H47" i="5827"/>
  <c r="H49" i="5827"/>
  <c r="H14" i="5827"/>
  <c r="H27" i="5827"/>
  <c r="H34" i="5827"/>
  <c r="H42" i="5827"/>
  <c r="H50" i="5827"/>
  <c r="H6" i="5827"/>
  <c r="H33" i="5827"/>
  <c r="H24" i="5827"/>
  <c r="H28" i="5827"/>
  <c r="H29" i="5827"/>
  <c r="H35" i="5827"/>
  <c r="H43" i="5827"/>
  <c r="H51" i="5827"/>
  <c r="H18" i="5827"/>
  <c r="H8" i="5827"/>
  <c r="H7" i="5827"/>
  <c r="H20" i="5827"/>
  <c r="H22" i="5827"/>
  <c r="C18" i="5827"/>
  <c r="B23" i="5827"/>
  <c r="H12" i="5827"/>
  <c r="H36" i="5827"/>
  <c r="H44" i="5827"/>
  <c r="H19" i="5827"/>
  <c r="H2" i="5827"/>
  <c r="H26" i="5827"/>
  <c r="H41" i="5827"/>
  <c r="H3" i="5827"/>
  <c r="H9" i="5827"/>
  <c r="H25" i="5827"/>
  <c r="H17" i="5827"/>
  <c r="H30" i="5827"/>
  <c r="H37" i="5827"/>
  <c r="H45" i="5827"/>
  <c r="H9" i="5825"/>
  <c r="H4" i="5825"/>
  <c r="H3" i="5825"/>
  <c r="H6" i="5825"/>
  <c r="H30" i="5825"/>
  <c r="H2" i="5825"/>
  <c r="H44" i="5825"/>
  <c r="H7" i="5825"/>
  <c r="H16" i="5825"/>
  <c r="H24" i="5825"/>
  <c r="H10" i="5825"/>
  <c r="H27" i="5825"/>
  <c r="H14" i="5825"/>
  <c r="C17" i="5825"/>
  <c r="H36" i="5825"/>
  <c r="H15" i="5825"/>
  <c r="H13" i="5825"/>
  <c r="H31" i="5825"/>
  <c r="H38" i="5825"/>
  <c r="H46" i="5825"/>
  <c r="H17" i="5825"/>
  <c r="H32" i="5825"/>
  <c r="H39" i="5825"/>
  <c r="H47" i="5825"/>
  <c r="H25" i="5825"/>
  <c r="H20" i="5825"/>
  <c r="H12" i="5825"/>
  <c r="H34" i="5825"/>
  <c r="H41" i="5825"/>
  <c r="H49" i="5825"/>
  <c r="H28" i="5825"/>
  <c r="H40" i="5825"/>
  <c r="H23" i="5825"/>
  <c r="H26" i="5825"/>
  <c r="H29" i="5825"/>
  <c r="H18" i="5825"/>
  <c r="H42" i="5825"/>
  <c r="H50" i="5825"/>
  <c r="H33" i="5825"/>
  <c r="H48" i="5825"/>
  <c r="H11" i="5825"/>
  <c r="H5" i="5825"/>
  <c r="H19" i="5825"/>
  <c r="H21" i="5825"/>
  <c r="C18" i="5825"/>
  <c r="B23" i="5825"/>
  <c r="H8" i="5825"/>
  <c r="H35" i="5825"/>
  <c r="H43" i="5825"/>
  <c r="H51" i="5825"/>
  <c r="H22" i="5825"/>
  <c r="C19" i="5825"/>
  <c r="B24" i="5825"/>
  <c r="H37" i="5825"/>
  <c r="H45" i="5825"/>
  <c r="O21" i="5823" l="1"/>
  <c r="O16" i="5823"/>
  <c r="C29" i="5823"/>
  <c r="B26" i="5823"/>
  <c r="B25" i="5823"/>
  <c r="C20" i="5823"/>
  <c r="B17" i="5823"/>
  <c r="H52" i="5823" s="1"/>
  <c r="C16" i="5823"/>
  <c r="C15" i="5823"/>
  <c r="C14" i="5823"/>
  <c r="C13" i="5823"/>
  <c r="O12" i="5823"/>
  <c r="C12" i="5823"/>
  <c r="O11" i="5823"/>
  <c r="C11" i="5823"/>
  <c r="O10" i="5823"/>
  <c r="C10" i="5823"/>
  <c r="C9" i="5823"/>
  <c r="C8" i="5823"/>
  <c r="O7" i="5823"/>
  <c r="C7" i="5823"/>
  <c r="O6" i="5823"/>
  <c r="B6" i="5823"/>
  <c r="O5" i="5823"/>
  <c r="B5" i="5823"/>
  <c r="O4" i="5823"/>
  <c r="O3" i="5823"/>
  <c r="O2" i="5823"/>
  <c r="O20" i="5821"/>
  <c r="C29" i="5821"/>
  <c r="B26" i="5821"/>
  <c r="B25" i="5821"/>
  <c r="C20" i="5821"/>
  <c r="B17" i="5821"/>
  <c r="H52" i="5821" s="1"/>
  <c r="C16" i="5821"/>
  <c r="C15" i="5821"/>
  <c r="C14" i="5821"/>
  <c r="C13" i="5821"/>
  <c r="O12" i="5821"/>
  <c r="C12" i="5821"/>
  <c r="O11" i="5821"/>
  <c r="C11" i="5821"/>
  <c r="O10" i="5821"/>
  <c r="C10" i="5821"/>
  <c r="C9" i="5821"/>
  <c r="C8" i="5821"/>
  <c r="O7" i="5821"/>
  <c r="C7" i="5821"/>
  <c r="O6" i="5821"/>
  <c r="B6" i="5821"/>
  <c r="O5" i="5821"/>
  <c r="B5" i="5821"/>
  <c r="O4" i="5821"/>
  <c r="O3" i="5821"/>
  <c r="O2" i="5821"/>
  <c r="O17" i="5811"/>
  <c r="O21" i="5819"/>
  <c r="O18" i="5819"/>
  <c r="C29" i="5819"/>
  <c r="B26" i="5819"/>
  <c r="B25" i="5819"/>
  <c r="C20" i="5819"/>
  <c r="B17" i="5819"/>
  <c r="H52" i="5819" s="1"/>
  <c r="C16" i="5819"/>
  <c r="C15" i="5819"/>
  <c r="C14" i="5819"/>
  <c r="C13" i="5819"/>
  <c r="O12" i="5819"/>
  <c r="C12" i="5819"/>
  <c r="O11" i="5819"/>
  <c r="C11" i="5819"/>
  <c r="O10" i="5819"/>
  <c r="C10" i="5819"/>
  <c r="C9" i="5819"/>
  <c r="C8" i="5819"/>
  <c r="O7" i="5819"/>
  <c r="C7" i="5819"/>
  <c r="O6" i="5819"/>
  <c r="B6" i="5819"/>
  <c r="O5" i="5819"/>
  <c r="B5" i="5819"/>
  <c r="O4" i="5819"/>
  <c r="O3" i="5819"/>
  <c r="O2" i="5819"/>
  <c r="O19" i="5811"/>
  <c r="O20" i="5811"/>
  <c r="H24" i="5819" l="1"/>
  <c r="H6" i="5819"/>
  <c r="H18" i="5819"/>
  <c r="H7" i="5819"/>
  <c r="H10" i="5819"/>
  <c r="H48" i="5819"/>
  <c r="H31" i="5819"/>
  <c r="H47" i="5819"/>
  <c r="H4" i="5823"/>
  <c r="H27" i="5823"/>
  <c r="H20" i="5823"/>
  <c r="H12" i="5823"/>
  <c r="H9" i="5823"/>
  <c r="H10" i="5823"/>
  <c r="H7" i="5823"/>
  <c r="C17" i="5823"/>
  <c r="H23" i="5823"/>
  <c r="H19" i="5823"/>
  <c r="H14" i="5823"/>
  <c r="H21" i="5823"/>
  <c r="H40" i="5823"/>
  <c r="H47" i="5823"/>
  <c r="H17" i="5823"/>
  <c r="H33" i="5823"/>
  <c r="H41" i="5823"/>
  <c r="H48" i="5823"/>
  <c r="H2" i="5823"/>
  <c r="H34" i="5823"/>
  <c r="H8" i="5823"/>
  <c r="H24" i="5823"/>
  <c r="H15" i="5823"/>
  <c r="H35" i="5823"/>
  <c r="H42" i="5823"/>
  <c r="H50" i="5823"/>
  <c r="H22" i="5823"/>
  <c r="H13" i="5823"/>
  <c r="H29" i="5823"/>
  <c r="H31" i="5823"/>
  <c r="H36" i="5823"/>
  <c r="H43" i="5823"/>
  <c r="H51" i="5823"/>
  <c r="H3" i="5823"/>
  <c r="H28" i="5823"/>
  <c r="H30" i="5823"/>
  <c r="H49" i="5823"/>
  <c r="H6" i="5823"/>
  <c r="H18" i="5823"/>
  <c r="H25" i="5823"/>
  <c r="C18" i="5823"/>
  <c r="B23" i="5823"/>
  <c r="H11" i="5823"/>
  <c r="H37" i="5823"/>
  <c r="H44" i="5823"/>
  <c r="H16" i="5823"/>
  <c r="H32" i="5823"/>
  <c r="H38" i="5823"/>
  <c r="H45" i="5823"/>
  <c r="H5" i="5823"/>
  <c r="H26" i="5823"/>
  <c r="C19" i="5823"/>
  <c r="B24" i="5823"/>
  <c r="H39" i="5823"/>
  <c r="H46" i="5823"/>
  <c r="H20" i="5821"/>
  <c r="H12" i="5821"/>
  <c r="H2" i="5821"/>
  <c r="H40" i="5821"/>
  <c r="H14" i="5821"/>
  <c r="H47" i="5821"/>
  <c r="H7" i="5821"/>
  <c r="H48" i="5821"/>
  <c r="H10" i="5821"/>
  <c r="H18" i="5821"/>
  <c r="H24" i="5821"/>
  <c r="C17" i="5821"/>
  <c r="H15" i="5821"/>
  <c r="H17" i="5821"/>
  <c r="H39" i="5821"/>
  <c r="H49" i="5821"/>
  <c r="H9" i="5821"/>
  <c r="H19" i="5821"/>
  <c r="H13" i="5821"/>
  <c r="H34" i="5821"/>
  <c r="H42" i="5821"/>
  <c r="H50" i="5821"/>
  <c r="H29" i="5821"/>
  <c r="H27" i="5821"/>
  <c r="H30" i="5821"/>
  <c r="H32" i="5821"/>
  <c r="H35" i="5821"/>
  <c r="H43" i="5821"/>
  <c r="H51" i="5821"/>
  <c r="H31" i="5821"/>
  <c r="H5" i="5821"/>
  <c r="H23" i="5821"/>
  <c r="H25" i="5821"/>
  <c r="C18" i="5821"/>
  <c r="B23" i="5821"/>
  <c r="H8" i="5821"/>
  <c r="H36" i="5821"/>
  <c r="H44" i="5821"/>
  <c r="H16" i="5821"/>
  <c r="H3" i="5821"/>
  <c r="H33" i="5821"/>
  <c r="H4" i="5821"/>
  <c r="H11" i="5821"/>
  <c r="H28" i="5821"/>
  <c r="H21" i="5821"/>
  <c r="H22" i="5821"/>
  <c r="H37" i="5821"/>
  <c r="H45" i="5821"/>
  <c r="H6" i="5821"/>
  <c r="H41" i="5821"/>
  <c r="H26" i="5821"/>
  <c r="C19" i="5821"/>
  <c r="B24" i="5821"/>
  <c r="H38" i="5821"/>
  <c r="H46" i="5821"/>
  <c r="H3" i="5819"/>
  <c r="H8" i="5819"/>
  <c r="H12" i="5819"/>
  <c r="H19" i="5819"/>
  <c r="H22" i="5819"/>
  <c r="H14" i="5819"/>
  <c r="H28" i="5819"/>
  <c r="H32" i="5819"/>
  <c r="H13" i="5819"/>
  <c r="B24" i="5819"/>
  <c r="H37" i="5819"/>
  <c r="H15" i="5819"/>
  <c r="H16" i="5819"/>
  <c r="H39" i="5819"/>
  <c r="C17" i="5819"/>
  <c r="H38" i="5819"/>
  <c r="H2" i="5819"/>
  <c r="H4" i="5819"/>
  <c r="H25" i="5819"/>
  <c r="H9" i="5819"/>
  <c r="C19" i="5819"/>
  <c r="H40" i="5819"/>
  <c r="H26" i="5819"/>
  <c r="H29" i="5819"/>
  <c r="H33" i="5819"/>
  <c r="H41" i="5819"/>
  <c r="H49" i="5819"/>
  <c r="H34" i="5819"/>
  <c r="H42" i="5819"/>
  <c r="H50" i="5819"/>
  <c r="H17" i="5819"/>
  <c r="H27" i="5819"/>
  <c r="H30" i="5819"/>
  <c r="H35" i="5819"/>
  <c r="H43" i="5819"/>
  <c r="H51" i="5819"/>
  <c r="H21" i="5819"/>
  <c r="H23" i="5819"/>
  <c r="C18" i="5819"/>
  <c r="B23" i="5819"/>
  <c r="H11" i="5819"/>
  <c r="H36" i="5819"/>
  <c r="H44" i="5819"/>
  <c r="H20" i="5819"/>
  <c r="H45" i="5819"/>
  <c r="H5" i="5819"/>
  <c r="H46" i="5819"/>
  <c r="O22" i="5817" l="1"/>
  <c r="O21" i="5817"/>
  <c r="C29" i="5817"/>
  <c r="B26" i="5817"/>
  <c r="B25" i="5817"/>
  <c r="C20" i="5817"/>
  <c r="B17" i="5817"/>
  <c r="H52" i="5817" s="1"/>
  <c r="C16" i="5817"/>
  <c r="C15" i="5817"/>
  <c r="C14" i="5817"/>
  <c r="C13" i="5817"/>
  <c r="O12" i="5817"/>
  <c r="C12" i="5817"/>
  <c r="O11" i="5817"/>
  <c r="C11" i="5817"/>
  <c r="O10" i="5817"/>
  <c r="C10" i="5817"/>
  <c r="C9" i="5817"/>
  <c r="C8" i="5817"/>
  <c r="O7" i="5817"/>
  <c r="C7" i="5817"/>
  <c r="O6" i="5817"/>
  <c r="B6" i="5817"/>
  <c r="O5" i="5817"/>
  <c r="B5" i="5817"/>
  <c r="O4" i="5817"/>
  <c r="O3" i="5817"/>
  <c r="O2" i="5817"/>
  <c r="O20" i="5815"/>
  <c r="O19" i="5815"/>
  <c r="C29" i="5815"/>
  <c r="B26" i="5815"/>
  <c r="B25" i="5815"/>
  <c r="C20" i="5815"/>
  <c r="B17" i="5815"/>
  <c r="H52" i="5815" s="1"/>
  <c r="C16" i="5815"/>
  <c r="C15" i="5815"/>
  <c r="C14" i="5815"/>
  <c r="C13" i="5815"/>
  <c r="O12" i="5815"/>
  <c r="C12" i="5815"/>
  <c r="O11" i="5815"/>
  <c r="C11" i="5815"/>
  <c r="O10" i="5815"/>
  <c r="C10" i="5815"/>
  <c r="C9" i="5815"/>
  <c r="C8" i="5815"/>
  <c r="O7" i="5815"/>
  <c r="C7" i="5815"/>
  <c r="O6" i="5815"/>
  <c r="B6" i="5815"/>
  <c r="O5" i="5815"/>
  <c r="B5" i="5815"/>
  <c r="O4" i="5815"/>
  <c r="O3" i="5815"/>
  <c r="O2" i="5815"/>
  <c r="O18" i="5811"/>
  <c r="O17" i="5813"/>
  <c r="O15" i="5813"/>
  <c r="C29" i="5813"/>
  <c r="B26" i="5813"/>
  <c r="B25" i="5813"/>
  <c r="C20" i="5813"/>
  <c r="B17" i="5813"/>
  <c r="H51" i="5813" s="1"/>
  <c r="C16" i="5813"/>
  <c r="C15" i="5813"/>
  <c r="C14" i="5813"/>
  <c r="C13" i="5813"/>
  <c r="O12" i="5813"/>
  <c r="C12" i="5813"/>
  <c r="O11" i="5813"/>
  <c r="C11" i="5813"/>
  <c r="O10" i="5813"/>
  <c r="C10" i="5813"/>
  <c r="C9" i="5813"/>
  <c r="C8" i="5813"/>
  <c r="O7" i="5813"/>
  <c r="C7" i="5813"/>
  <c r="O6" i="5813"/>
  <c r="B6" i="5813"/>
  <c r="O5" i="5813"/>
  <c r="B5" i="5813"/>
  <c r="O4" i="5813"/>
  <c r="O3" i="5813"/>
  <c r="O2" i="5813"/>
  <c r="O22" i="5811"/>
  <c r="O23" i="5811"/>
  <c r="C29" i="5811"/>
  <c r="B26" i="5811"/>
  <c r="B25" i="5811"/>
  <c r="C20" i="5811"/>
  <c r="B17" i="5811"/>
  <c r="H52" i="5811" s="1"/>
  <c r="C16" i="5811"/>
  <c r="C15" i="5811"/>
  <c r="C14" i="5811"/>
  <c r="C13" i="5811"/>
  <c r="O12" i="5811"/>
  <c r="C12" i="5811"/>
  <c r="O11" i="5811"/>
  <c r="C11" i="5811"/>
  <c r="O10" i="5811"/>
  <c r="C10" i="5811"/>
  <c r="C9" i="5811"/>
  <c r="C8" i="5811"/>
  <c r="O7" i="5811"/>
  <c r="C7" i="5811"/>
  <c r="O6" i="5811"/>
  <c r="B6" i="5811"/>
  <c r="O5" i="5811"/>
  <c r="B5" i="5811"/>
  <c r="O4" i="5811"/>
  <c r="O3" i="5811"/>
  <c r="O2" i="5811"/>
  <c r="H6" i="5817" l="1"/>
  <c r="H13" i="5817"/>
  <c r="H25" i="5817"/>
  <c r="H11" i="5817"/>
  <c r="H3" i="5817"/>
  <c r="H5" i="5813"/>
  <c r="H47" i="5817"/>
  <c r="H19" i="5817"/>
  <c r="C17" i="5817"/>
  <c r="H10" i="5817"/>
  <c r="H18" i="5817"/>
  <c r="H2" i="5817"/>
  <c r="H9" i="5817"/>
  <c r="H15" i="5817"/>
  <c r="H39" i="5817"/>
  <c r="H16" i="5817"/>
  <c r="H21" i="5817"/>
  <c r="H40" i="5817"/>
  <c r="H48" i="5817"/>
  <c r="H29" i="5817"/>
  <c r="H31" i="5817"/>
  <c r="H34" i="5817"/>
  <c r="H41" i="5817"/>
  <c r="H49" i="5817"/>
  <c r="H14" i="5817"/>
  <c r="H35" i="5817"/>
  <c r="H42" i="5817"/>
  <c r="H50" i="5817"/>
  <c r="H17" i="5817"/>
  <c r="H20" i="5817"/>
  <c r="H32" i="5817"/>
  <c r="H22" i="5817"/>
  <c r="H43" i="5817"/>
  <c r="H51" i="5817"/>
  <c r="H7" i="5817"/>
  <c r="H24" i="5817"/>
  <c r="H26" i="5817"/>
  <c r="C18" i="5817"/>
  <c r="B23" i="5817"/>
  <c r="H8" i="5817"/>
  <c r="H36" i="5817"/>
  <c r="H44" i="5817"/>
  <c r="H23" i="5817"/>
  <c r="H5" i="5817"/>
  <c r="H12" i="5817"/>
  <c r="H28" i="5817"/>
  <c r="H30" i="5817"/>
  <c r="H33" i="5817"/>
  <c r="H37" i="5817"/>
  <c r="H45" i="5817"/>
  <c r="H4" i="5817"/>
  <c r="H27" i="5817"/>
  <c r="C19" i="5817"/>
  <c r="B24" i="5817"/>
  <c r="H38" i="5817"/>
  <c r="H46" i="5817"/>
  <c r="H25" i="5815"/>
  <c r="H3" i="5815"/>
  <c r="H4" i="5815"/>
  <c r="H26" i="5815"/>
  <c r="C17" i="5815"/>
  <c r="H37" i="5815"/>
  <c r="H2" i="5815"/>
  <c r="H31" i="5815"/>
  <c r="H45" i="5815"/>
  <c r="H12" i="5815"/>
  <c r="H5" i="5815"/>
  <c r="H10" i="5815"/>
  <c r="H6" i="5815"/>
  <c r="H11" i="5815"/>
  <c r="H21" i="5815"/>
  <c r="H24" i="5815"/>
  <c r="H14" i="5815"/>
  <c r="H27" i="5815"/>
  <c r="H39" i="5815"/>
  <c r="H47" i="5815"/>
  <c r="H16" i="5815"/>
  <c r="H20" i="5815"/>
  <c r="H40" i="5815"/>
  <c r="H48" i="5815"/>
  <c r="H32" i="5815"/>
  <c r="H33" i="5815"/>
  <c r="H34" i="5815"/>
  <c r="H41" i="5815"/>
  <c r="H49" i="5815"/>
  <c r="H9" i="5815"/>
  <c r="H22" i="5815"/>
  <c r="H13" i="5815"/>
  <c r="H35" i="5815"/>
  <c r="H42" i="5815"/>
  <c r="H50" i="5815"/>
  <c r="H23" i="5815"/>
  <c r="H18" i="5815"/>
  <c r="H19" i="5815"/>
  <c r="H28" i="5815"/>
  <c r="H43" i="5815"/>
  <c r="H51" i="5815"/>
  <c r="H7" i="5815"/>
  <c r="H29" i="5815"/>
  <c r="H30" i="5815"/>
  <c r="C18" i="5815"/>
  <c r="B23" i="5815"/>
  <c r="H8" i="5815"/>
  <c r="H36" i="5815"/>
  <c r="H44" i="5815"/>
  <c r="H15" i="5815"/>
  <c r="H17" i="5815"/>
  <c r="C19" i="5815"/>
  <c r="B24" i="5815"/>
  <c r="H38" i="5815"/>
  <c r="H46" i="5815"/>
  <c r="H15" i="5811"/>
  <c r="H2" i="5813"/>
  <c r="H19" i="5813"/>
  <c r="H10" i="5813"/>
  <c r="H29" i="5813"/>
  <c r="H3" i="5813"/>
  <c r="H31" i="5813"/>
  <c r="C19" i="5813"/>
  <c r="H36" i="5813"/>
  <c r="H8" i="5813"/>
  <c r="H26" i="5813"/>
  <c r="H6" i="5813"/>
  <c r="H11" i="5813"/>
  <c r="H14" i="5813"/>
  <c r="H37" i="5813"/>
  <c r="H44" i="5813"/>
  <c r="B24" i="5813"/>
  <c r="H45" i="5813"/>
  <c r="H4" i="5813"/>
  <c r="H17" i="5813"/>
  <c r="C17" i="5813"/>
  <c r="H52" i="5813"/>
  <c r="H20" i="5813"/>
  <c r="H16" i="5813"/>
  <c r="H38" i="5813"/>
  <c r="H46" i="5813"/>
  <c r="H24" i="5813"/>
  <c r="H32" i="5813"/>
  <c r="H39" i="5813"/>
  <c r="H47" i="5813"/>
  <c r="H30" i="5813"/>
  <c r="H48" i="5813"/>
  <c r="H18" i="5813"/>
  <c r="H12" i="5813"/>
  <c r="H41" i="5813"/>
  <c r="H25" i="5813"/>
  <c r="H28" i="5813"/>
  <c r="H15" i="5813"/>
  <c r="H34" i="5813"/>
  <c r="H42" i="5813"/>
  <c r="H50" i="5813"/>
  <c r="H27" i="5813"/>
  <c r="H21" i="5813"/>
  <c r="H40" i="5813"/>
  <c r="H7" i="5813"/>
  <c r="H33" i="5813"/>
  <c r="H49" i="5813"/>
  <c r="H9" i="5813"/>
  <c r="H22" i="5813"/>
  <c r="H23" i="5813"/>
  <c r="C18" i="5813"/>
  <c r="B23" i="5813"/>
  <c r="H13" i="5813"/>
  <c r="H35" i="5813"/>
  <c r="H43" i="5813"/>
  <c r="H4" i="5811"/>
  <c r="H21" i="5811"/>
  <c r="H11" i="5811"/>
  <c r="C17" i="5811"/>
  <c r="H41" i="5811"/>
  <c r="H48" i="5811"/>
  <c r="H2" i="5811"/>
  <c r="H23" i="5811"/>
  <c r="C19" i="5811"/>
  <c r="B24" i="5811"/>
  <c r="H10" i="5811"/>
  <c r="H6" i="5811"/>
  <c r="H12" i="5811"/>
  <c r="H22" i="5811"/>
  <c r="H17" i="5811"/>
  <c r="H14" i="5811"/>
  <c r="H19" i="5811"/>
  <c r="H40" i="5811"/>
  <c r="H47" i="5811"/>
  <c r="H35" i="5811"/>
  <c r="H30" i="5811"/>
  <c r="H31" i="5811"/>
  <c r="H32" i="5811"/>
  <c r="H49" i="5811"/>
  <c r="H3" i="5811"/>
  <c r="H8" i="5811"/>
  <c r="H20" i="5811"/>
  <c r="H13" i="5811"/>
  <c r="H36" i="5811"/>
  <c r="H42" i="5811"/>
  <c r="H50" i="5811"/>
  <c r="H18" i="5811"/>
  <c r="H51" i="5811"/>
  <c r="H24" i="5811"/>
  <c r="H26" i="5811"/>
  <c r="H27" i="5811"/>
  <c r="H43" i="5811"/>
  <c r="H7" i="5811"/>
  <c r="H28" i="5811"/>
  <c r="H33" i="5811"/>
  <c r="C18" i="5811"/>
  <c r="B23" i="5811"/>
  <c r="H9" i="5811"/>
  <c r="H37" i="5811"/>
  <c r="H44" i="5811"/>
  <c r="H16" i="5811"/>
  <c r="H34" i="5811"/>
  <c r="H25" i="5811"/>
  <c r="H29" i="5811"/>
  <c r="H38" i="5811"/>
  <c r="H45" i="5811"/>
  <c r="H5" i="5811"/>
  <c r="H39" i="5811"/>
  <c r="H46" i="5811"/>
  <c r="B25" i="2228" l="1"/>
  <c r="C16" i="2228"/>
  <c r="B26" i="2228"/>
  <c r="C29" i="2228" l="1"/>
  <c r="C20" i="2228"/>
  <c r="C17" i="2228"/>
  <c r="B17" i="2228"/>
  <c r="C15" i="2228"/>
  <c r="C14" i="2228"/>
  <c r="C13" i="2228"/>
  <c r="O12" i="2228"/>
  <c r="C12" i="2228"/>
  <c r="O11" i="2228"/>
  <c r="C11" i="2228"/>
  <c r="O10" i="2228"/>
  <c r="C10" i="2228"/>
  <c r="H9" i="2228"/>
  <c r="C9" i="2228"/>
  <c r="C8" i="2228"/>
  <c r="O7" i="2228"/>
  <c r="C7" i="2228"/>
  <c r="O6" i="2228"/>
  <c r="H6" i="2228"/>
  <c r="B6" i="2228"/>
  <c r="O5" i="2228"/>
  <c r="B5" i="2228"/>
  <c r="O4" i="2228"/>
  <c r="O3" i="2228"/>
  <c r="H3" i="2228"/>
  <c r="O2" i="2228"/>
  <c r="H52" i="2228" l="1"/>
  <c r="B24" i="2228"/>
  <c r="B23" i="2228"/>
  <c r="H5" i="2228"/>
  <c r="H13" i="2228"/>
  <c r="H2" i="2228"/>
  <c r="H4" i="2228"/>
  <c r="H8" i="2228"/>
  <c r="H10" i="2228"/>
  <c r="H7" i="2228"/>
  <c r="H15" i="2228"/>
  <c r="H21" i="2228"/>
  <c r="H12" i="2228"/>
  <c r="C18" i="2228"/>
  <c r="H11" i="2228"/>
  <c r="H14" i="2228"/>
  <c r="H16" i="2228"/>
  <c r="C19" i="2228"/>
  <c r="H18" i="2228"/>
  <c r="H20" i="2228"/>
  <c r="H23" i="2228"/>
  <c r="H26" i="2228"/>
  <c r="H29" i="2228"/>
  <c r="H33" i="2228"/>
  <c r="H37" i="2228"/>
  <c r="H41" i="2228"/>
  <c r="H45" i="2228"/>
  <c r="H49" i="2228"/>
  <c r="H30" i="2228"/>
  <c r="H34" i="2228"/>
  <c r="H38" i="2228"/>
  <c r="H42" i="2228"/>
  <c r="H46" i="2228"/>
  <c r="H50" i="2228"/>
  <c r="H17" i="2228"/>
  <c r="H19" i="2228"/>
  <c r="H22" i="2228"/>
  <c r="H24" i="2228"/>
  <c r="H27" i="2228"/>
  <c r="H31" i="2228"/>
  <c r="H35" i="2228"/>
  <c r="H39" i="2228"/>
  <c r="H43" i="2228"/>
  <c r="H47" i="2228"/>
  <c r="H51" i="2228"/>
  <c r="H25" i="2228"/>
  <c r="H28" i="2228"/>
  <c r="H32" i="2228"/>
  <c r="H36" i="2228"/>
  <c r="H40" i="2228"/>
  <c r="H44" i="2228"/>
  <c r="H48" i="2228"/>
</calcChain>
</file>

<file path=xl/sharedStrings.xml><?xml version="1.0" encoding="utf-8"?>
<sst xmlns="http://schemas.openxmlformats.org/spreadsheetml/2006/main" count="2771" uniqueCount="227">
  <si>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</si>
  <si>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</si>
  <si>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</si>
  <si>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</si>
  <si>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</si>
  <si>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</si>
  <si>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</si>
  <si>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</si>
  <si>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</si>
  <si>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</si>
  <si>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</si>
  <si>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</si>
  <si>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</si>
  <si>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</si>
  <si>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</si>
  <si>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</si>
  <si>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</si>
  <si>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</si>
  <si>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</si>
  <si>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</si>
  <si>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</si>
  <si>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</si>
  <si>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</si>
  <si>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</si>
  <si>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</si>
  <si>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</si>
  <si>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</si>
  <si>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</si>
  <si>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</si>
  <si>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</si>
  <si>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</si>
  <si>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</si>
  <si>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</si>
  <si>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</si>
  <si>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</si>
  <si>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</si>
  <si>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</si>
  <si>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</si>
  <si>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</si>
  <si>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</si>
  <si>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</si>
  <si>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</si>
  <si>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</si>
  <si>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</si>
  <si>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</si>
  <si>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</si>
  <si>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</si>
  <si>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</si>
  <si>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</si>
  <si>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</si>
  <si>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</si>
  <si>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</si>
  <si>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</si>
  <si>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</si>
  <si>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</si>
  <si>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</si>
  <si>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</si>
  <si>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</si>
  <si>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</si>
  <si>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</si>
  <si>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</si>
  <si>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</si>
  <si>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</si>
  <si>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</si>
  <si>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</si>
  <si>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</si>
  <si>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</si>
  <si>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</si>
  <si>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</si>
  <si>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</si>
  <si>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</si>
  <si>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</si>
  <si>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</si>
  <si>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</si>
  <si>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</si>
  <si>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</si>
  <si>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</si>
  <si>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</si>
  <si>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</si>
  <si>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</si>
  <si>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</si>
  <si>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</si>
  <si>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</si>
  <si>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</si>
  <si>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</si>
  <si>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</si>
  <si>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</si>
  <si>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</si>
  <si>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</si>
  <si>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</si>
  <si>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</si>
  <si>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</si>
  <si>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</si>
  <si>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</si>
  <si>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</si>
  <si>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</si>
  <si>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</si>
  <si>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</si>
  <si>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</si>
  <si>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</si>
  <si>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</si>
  <si>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</si>
  <si>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</si>
  <si>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</si>
  <si>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</si>
  <si>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</si>
  <si>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</si>
  <si>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</si>
  <si>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</si>
  <si>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</si>
  <si>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</si>
  <si>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</si>
  <si>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</si>
  <si>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</si>
  <si>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</si>
  <si>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</si>
  <si>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</si>
  <si>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</si>
  <si>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</si>
  <si>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</si>
  <si>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</si>
  <si>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</si>
  <si>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</si>
  <si>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</si>
  <si>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</si>
  <si>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</si>
  <si>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</si>
  <si>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</si>
  <si>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</si>
  <si>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</si>
  <si>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</si>
  <si>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</si>
  <si>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</si>
  <si>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</si>
  <si>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</si>
  <si>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</si>
  <si>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</si>
  <si>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</si>
  <si>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</si>
  <si>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</si>
  <si>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</si>
  <si>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</si>
  <si>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</si>
  <si>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</si>
  <si>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</si>
  <si>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</si>
  <si>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</si>
  <si>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</si>
  <si>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</si>
  <si>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</si>
  <si>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</si>
  <si>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</si>
  <si>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</si>
  <si>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</si>
  <si>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</si>
  <si>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</si>
  <si>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</si>
  <si>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</si>
  <si>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</si>
  <si>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</si>
  <si>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</si>
  <si>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</si>
  <si>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</si>
  <si>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</si>
  <si>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</si>
  <si>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</si>
  <si>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</si>
  <si>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</si>
  <si>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</si>
  <si>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</si>
  <si>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</si>
  <si>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</si>
  <si>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</si>
  <si>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</si>
  <si>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</si>
  <si>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2019-09-23@2.xlsm</t>
  </si>
  <si>
    <t>2019-09-25@2.xlsm</t>
  </si>
  <si>
    <t>れんたろう</t>
  </si>
  <si>
    <t>まっつん</t>
  </si>
  <si>
    <t>りくと</t>
  </si>
  <si>
    <t>2019-09-26@3.xlsm</t>
  </si>
  <si>
    <t>ぱぱ</t>
  </si>
  <si>
    <t>のり</t>
  </si>
  <si>
    <t>2019-09-27@2.xlsm</t>
  </si>
  <si>
    <t>Sheet3</t>
  </si>
  <si>
    <t>Sheet4</t>
  </si>
  <si>
    <t>Sheet5</t>
  </si>
  <si>
    <t>Sheet6</t>
  </si>
  <si>
    <t>2019-09-28@2.xlsm</t>
  </si>
  <si>
    <t>2019-09-29@AllStar.xlsm</t>
  </si>
  <si>
    <t>Sheet7</t>
  </si>
  <si>
    <t>Sheet8</t>
  </si>
  <si>
    <t>Sheet9</t>
  </si>
  <si>
    <t>Sheet10</t>
  </si>
  <si>
    <t>2019-09-30@3.xlsm</t>
  </si>
  <si>
    <t>ほたに</t>
  </si>
  <si>
    <t>2019-10-01@2.xlsm</t>
  </si>
  <si>
    <t>2019-09-30@2.xlsm</t>
  </si>
  <si>
    <t>2019-10-02@2.xlsm</t>
  </si>
  <si>
    <t>2019-10-03@2.xlsm</t>
  </si>
  <si>
    <t>2019-10-04@2.xlsm</t>
  </si>
  <si>
    <t>2019-10-03@3.xlsm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</si>
  <si>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</si>
  <si>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</si>
  <si>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</si>
  <si>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</si>
  <si>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</si>
  <si>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</si>
  <si>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</si>
  <si>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</si>
  <si>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</si>
  <si>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</si>
  <si>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</si>
  <si>
    <t>2019-10-13@2.xlsm</t>
  </si>
  <si>
    <t>2019-10-14@2.xlsm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</si>
  <si>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</si>
  <si>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</si>
  <si>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</si>
  <si>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2019-10-15@2.xlsm</t>
  </si>
  <si>
    <t>2019-10-16@2.xlsm</t>
  </si>
  <si>
    <t>2019-10-17@2.xlsm</t>
  </si>
  <si>
    <t>2019-10-18@2.xlsm</t>
  </si>
  <si>
    <t>いっしー</t>
  </si>
  <si>
    <t>2019-10-19@2.xlsm</t>
  </si>
  <si>
    <t>2019-10-20@2.xlsm</t>
  </si>
  <si>
    <t>2019-10-21@2.xlsm</t>
  </si>
  <si>
    <t>2019-10-23@2.xlsm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</si>
</sst>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4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7.xml"/><Relationship Id="rId42" Type="http://schemas.openxmlformats.org/officeDocument/2006/relationships/chartsheet" Target="chartsheets/sheet15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6.xml"/><Relationship Id="rId38" Type="http://schemas.openxmlformats.org/officeDocument/2006/relationships/chartsheet" Target="chartsheets/sheet11.xml"/><Relationship Id="rId46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2.xml"/><Relationship Id="rId41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5.xml"/><Relationship Id="rId37" Type="http://schemas.openxmlformats.org/officeDocument/2006/relationships/chartsheet" Target="chartsheets/sheet10.xml"/><Relationship Id="rId40" Type="http://schemas.openxmlformats.org/officeDocument/2006/relationships/chartsheet" Target="chartsheets/sheet13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chartsheet" Target="chartsheets/sheet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4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3.xml"/><Relationship Id="rId35" Type="http://schemas.openxmlformats.org/officeDocument/2006/relationships/chartsheet" Target="chartsheets/sheet8.xml"/><Relationship Id="rId43" Type="http://schemas.openxmlformats.org/officeDocument/2006/relationships/chartsheet" Target="chartsheets/sheet16.xml"/><Relationship Id="rId48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全体!$K$2:$K$383</c:f>
              <c:numCache>
                <c:formatCode>General</c:formatCode>
                <c:ptCount val="38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</c:numCache>
            </c:numRef>
          </c:xVal>
          <c:yVal>
            <c:numRef>
              <c:f>全体!$L$2:$L$383</c:f>
              <c:numCache>
                <c:formatCode>\+0.0;\-0.0;\±0</c:formatCode>
                <c:ptCount val="382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  <c:pt idx="199">
                  <c:v>-22.000000000000039</c:v>
                </c:pt>
                <c:pt idx="200">
                  <c:v>-20.900000000000038</c:v>
                </c:pt>
                <c:pt idx="201">
                  <c:v>-3.907985046680551E-14</c:v>
                </c:pt>
                <c:pt idx="202">
                  <c:v>-1.0000000000000391</c:v>
                </c:pt>
                <c:pt idx="203">
                  <c:v>18.399999999999959</c:v>
                </c:pt>
                <c:pt idx="204">
                  <c:v>-3.907985046680551E-14</c:v>
                </c:pt>
                <c:pt idx="205">
                  <c:v>-47.200000000000045</c:v>
                </c:pt>
                <c:pt idx="206">
                  <c:v>-56.700000000000045</c:v>
                </c:pt>
                <c:pt idx="207">
                  <c:v>-4.2632564145606011E-14</c:v>
                </c:pt>
                <c:pt idx="208">
                  <c:v>-45.500000000000043</c:v>
                </c:pt>
                <c:pt idx="209">
                  <c:v>-7.4000000000000412</c:v>
                </c:pt>
                <c:pt idx="210">
                  <c:v>-4.0856207306205761E-14</c:v>
                </c:pt>
                <c:pt idx="211">
                  <c:v>-31.80000000000004</c:v>
                </c:pt>
                <c:pt idx="212">
                  <c:v>-26.30000000000004</c:v>
                </c:pt>
                <c:pt idx="213">
                  <c:v>-3.907985046680551E-14</c:v>
                </c:pt>
                <c:pt idx="214">
                  <c:v>22.999999999999961</c:v>
                </c:pt>
                <c:pt idx="215">
                  <c:v>22.599999999999962</c:v>
                </c:pt>
                <c:pt idx="216">
                  <c:v>-3.907985046680551E-14</c:v>
                </c:pt>
                <c:pt idx="217">
                  <c:v>-18.700000000000038</c:v>
                </c:pt>
                <c:pt idx="218">
                  <c:v>31.399999999999963</c:v>
                </c:pt>
                <c:pt idx="219">
                  <c:v>-3.5527136788005009E-14</c:v>
                </c:pt>
                <c:pt idx="220">
                  <c:v>11.499999999999964</c:v>
                </c:pt>
                <c:pt idx="221">
                  <c:v>-1.3000000000000362</c:v>
                </c:pt>
                <c:pt idx="222">
                  <c:v>-3.6193270602780103E-14</c:v>
                </c:pt>
                <c:pt idx="223">
                  <c:v>-41.100000000000037</c:v>
                </c:pt>
                <c:pt idx="224">
                  <c:v>-1.0000000000000355</c:v>
                </c:pt>
                <c:pt idx="225">
                  <c:v>-3.5527136788005009E-14</c:v>
                </c:pt>
                <c:pt idx="226">
                  <c:v>61.899999999999963</c:v>
                </c:pt>
                <c:pt idx="227">
                  <c:v>16.099999999999966</c:v>
                </c:pt>
                <c:pt idx="228">
                  <c:v>-3.5527136788005009E-14</c:v>
                </c:pt>
                <c:pt idx="229">
                  <c:v>-30.700000000000035</c:v>
                </c:pt>
                <c:pt idx="230">
                  <c:v>-8.9000000000000341</c:v>
                </c:pt>
                <c:pt idx="231">
                  <c:v>-3.3750779948604759E-14</c:v>
                </c:pt>
                <c:pt idx="232">
                  <c:v>4.5999999999999659</c:v>
                </c:pt>
                <c:pt idx="233">
                  <c:v>-43.800000000000033</c:v>
                </c:pt>
                <c:pt idx="234">
                  <c:v>-3.5527136788005009E-14</c:v>
                </c:pt>
                <c:pt idx="235">
                  <c:v>2.7999999999999643</c:v>
                </c:pt>
                <c:pt idx="236">
                  <c:v>-12.900000000000034</c:v>
                </c:pt>
                <c:pt idx="237">
                  <c:v>-3.3750779948604759E-14</c:v>
                </c:pt>
                <c:pt idx="238">
                  <c:v>46.899999999999963</c:v>
                </c:pt>
                <c:pt idx="239">
                  <c:v>49.299999999999962</c:v>
                </c:pt>
                <c:pt idx="240">
                  <c:v>-3.5527136788005009E-14</c:v>
                </c:pt>
                <c:pt idx="241">
                  <c:v>10.499999999999964</c:v>
                </c:pt>
                <c:pt idx="242">
                  <c:v>36.999999999999964</c:v>
                </c:pt>
                <c:pt idx="243">
                  <c:v>-3.5527136788005009E-14</c:v>
                </c:pt>
                <c:pt idx="244">
                  <c:v>34.099999999999966</c:v>
                </c:pt>
                <c:pt idx="245">
                  <c:v>47.799999999999969</c:v>
                </c:pt>
                <c:pt idx="246">
                  <c:v>-2.8421709430404007E-14</c:v>
                </c:pt>
                <c:pt idx="247">
                  <c:v>-47.300000000000026</c:v>
                </c:pt>
                <c:pt idx="248">
                  <c:v>-42.700000000000024</c:v>
                </c:pt>
                <c:pt idx="249">
                  <c:v>-2.1316282072803006E-14</c:v>
                </c:pt>
                <c:pt idx="250">
                  <c:v>-32.300000000000018</c:v>
                </c:pt>
                <c:pt idx="251">
                  <c:v>-5.2000000000000171</c:v>
                </c:pt>
                <c:pt idx="252">
                  <c:v>-1.6875389974302379E-14</c:v>
                </c:pt>
                <c:pt idx="253">
                  <c:v>-2.9000000000000168</c:v>
                </c:pt>
                <c:pt idx="254">
                  <c:v>15.099999999999984</c:v>
                </c:pt>
                <c:pt idx="255">
                  <c:v>-1.5987211554602254E-14</c:v>
                </c:pt>
                <c:pt idx="256">
                  <c:v>-45.100000000000016</c:v>
                </c:pt>
                <c:pt idx="257">
                  <c:v>8.3999999999999844</c:v>
                </c:pt>
                <c:pt idx="258">
                  <c:v>-1.5987211554602254E-14</c:v>
                </c:pt>
                <c:pt idx="259">
                  <c:v>-27.500000000000014</c:v>
                </c:pt>
                <c:pt idx="260">
                  <c:v>-7.0000000000000142</c:v>
                </c:pt>
                <c:pt idx="261">
                  <c:v>-1.4210854715202004E-14</c:v>
                </c:pt>
                <c:pt idx="262">
                  <c:v>6.0999999999999854</c:v>
                </c:pt>
                <c:pt idx="263">
                  <c:v>-26.100000000000016</c:v>
                </c:pt>
                <c:pt idx="264">
                  <c:v>-1.4210854715202004E-14</c:v>
                </c:pt>
                <c:pt idx="265">
                  <c:v>14.099999999999985</c:v>
                </c:pt>
                <c:pt idx="266">
                  <c:v>16.499999999999986</c:v>
                </c:pt>
                <c:pt idx="267">
                  <c:v>-1.4210854715202004E-14</c:v>
                </c:pt>
                <c:pt idx="268">
                  <c:v>4.4999999999999858</c:v>
                </c:pt>
                <c:pt idx="269">
                  <c:v>-21.100000000000016</c:v>
                </c:pt>
                <c:pt idx="270">
                  <c:v>-1.4210854715202004E-14</c:v>
                </c:pt>
                <c:pt idx="271">
                  <c:v>-2.1000000000000143</c:v>
                </c:pt>
                <c:pt idx="272">
                  <c:v>-28.100000000000016</c:v>
                </c:pt>
                <c:pt idx="273">
                  <c:v>-1.4210854715202004E-14</c:v>
                </c:pt>
                <c:pt idx="274">
                  <c:v>0.79999999999998583</c:v>
                </c:pt>
                <c:pt idx="275">
                  <c:v>-26.200000000000014</c:v>
                </c:pt>
                <c:pt idx="276">
                  <c:v>-1.4210854715202004E-14</c:v>
                </c:pt>
                <c:pt idx="277">
                  <c:v>-5.5000000000000142</c:v>
                </c:pt>
                <c:pt idx="278">
                  <c:v>-22.300000000000015</c:v>
                </c:pt>
                <c:pt idx="279">
                  <c:v>-1.4210854715202004E-14</c:v>
                </c:pt>
                <c:pt idx="280">
                  <c:v>47.399999999999984</c:v>
                </c:pt>
                <c:pt idx="281">
                  <c:v>51.499999999999986</c:v>
                </c:pt>
                <c:pt idx="282">
                  <c:v>-1.4210854715202004E-14</c:v>
                </c:pt>
                <c:pt idx="283">
                  <c:v>6.7999999999999856</c:v>
                </c:pt>
                <c:pt idx="284">
                  <c:v>-24.500000000000014</c:v>
                </c:pt>
                <c:pt idx="285">
                  <c:v>-1.4210854715202004E-14</c:v>
                </c:pt>
                <c:pt idx="286">
                  <c:v>6.7999999999999856</c:v>
                </c:pt>
                <c:pt idx="287">
                  <c:v>31.599999999999987</c:v>
                </c:pt>
                <c:pt idx="288">
                  <c:v>-1.4210854715202004E-14</c:v>
                </c:pt>
                <c:pt idx="289">
                  <c:v>-16.100000000000016</c:v>
                </c:pt>
                <c:pt idx="290">
                  <c:v>26.899999999999984</c:v>
                </c:pt>
                <c:pt idx="291">
                  <c:v>-1.4210854715202004E-14</c:v>
                </c:pt>
                <c:pt idx="292">
                  <c:v>6.5999999999999854</c:v>
                </c:pt>
                <c:pt idx="293">
                  <c:v>28.799999999999983</c:v>
                </c:pt>
                <c:pt idx="294">
                  <c:v>-1.7763568394002505E-14</c:v>
                </c:pt>
                <c:pt idx="295">
                  <c:v>4.3999999999999826</c:v>
                </c:pt>
                <c:pt idx="296">
                  <c:v>20.299999999999983</c:v>
                </c:pt>
                <c:pt idx="297">
                  <c:v>-1.7763568394002505E-14</c:v>
                </c:pt>
                <c:pt idx="298">
                  <c:v>18.299999999999983</c:v>
                </c:pt>
                <c:pt idx="299">
                  <c:v>16.699999999999982</c:v>
                </c:pt>
                <c:pt idx="300">
                  <c:v>-1.7763568394002505E-14</c:v>
                </c:pt>
                <c:pt idx="301">
                  <c:v>19.199999999999982</c:v>
                </c:pt>
                <c:pt idx="302">
                  <c:v>27.799999999999983</c:v>
                </c:pt>
                <c:pt idx="303">
                  <c:v>-1.7763568394002505E-14</c:v>
                </c:pt>
                <c:pt idx="304">
                  <c:v>12.399999999999983</c:v>
                </c:pt>
                <c:pt idx="305">
                  <c:v>12.999999999999982</c:v>
                </c:pt>
                <c:pt idx="306">
                  <c:v>-1.7763568394002505E-14</c:v>
                </c:pt>
                <c:pt idx="307">
                  <c:v>61.499999999999986</c:v>
                </c:pt>
                <c:pt idx="308">
                  <c:v>8.7999999999999829</c:v>
                </c:pt>
                <c:pt idx="309">
                  <c:v>-1.7763568394002505E-14</c:v>
                </c:pt>
                <c:pt idx="310">
                  <c:v>-2.0000000000000178</c:v>
                </c:pt>
                <c:pt idx="311">
                  <c:v>35.199999999999989</c:v>
                </c:pt>
                <c:pt idx="312">
                  <c:v>-1.4210854715202004E-14</c:v>
                </c:pt>
                <c:pt idx="313">
                  <c:v>30.499999999999986</c:v>
                </c:pt>
                <c:pt idx="314">
                  <c:v>34.899999999999984</c:v>
                </c:pt>
                <c:pt idx="315">
                  <c:v>-1.4210854715202004E-14</c:v>
                </c:pt>
                <c:pt idx="316">
                  <c:v>12.199999999999985</c:v>
                </c:pt>
                <c:pt idx="317">
                  <c:v>-40.600000000000009</c:v>
                </c:pt>
                <c:pt idx="318">
                  <c:v>-7.1054273576010019E-15</c:v>
                </c:pt>
                <c:pt idx="319">
                  <c:v>32.399999999999991</c:v>
                </c:pt>
                <c:pt idx="320">
                  <c:v>47.999999999999993</c:v>
                </c:pt>
                <c:pt idx="321">
                  <c:v>-7.1054273576010019E-15</c:v>
                </c:pt>
                <c:pt idx="322">
                  <c:v>55.099999999999994</c:v>
                </c:pt>
                <c:pt idx="323">
                  <c:v>35.099999999999994</c:v>
                </c:pt>
                <c:pt idx="324">
                  <c:v>-7.1054273576010019E-15</c:v>
                </c:pt>
                <c:pt idx="325">
                  <c:v>40.899999999999991</c:v>
                </c:pt>
                <c:pt idx="326">
                  <c:v>31.699999999999992</c:v>
                </c:pt>
                <c:pt idx="327">
                  <c:v>-7.1054273576010019E-15</c:v>
                </c:pt>
                <c:pt idx="328">
                  <c:v>-1.400000000000007</c:v>
                </c:pt>
                <c:pt idx="329">
                  <c:v>-18.400000000000006</c:v>
                </c:pt>
                <c:pt idx="330">
                  <c:v>-7.1054273576010019E-15</c:v>
                </c:pt>
                <c:pt idx="331">
                  <c:v>-8.7000000000000064</c:v>
                </c:pt>
                <c:pt idx="332">
                  <c:v>-35.500000000000007</c:v>
                </c:pt>
                <c:pt idx="333">
                  <c:v>-7.1054273576010019E-15</c:v>
                </c:pt>
                <c:pt idx="334">
                  <c:v>28.799999999999994</c:v>
                </c:pt>
                <c:pt idx="335">
                  <c:v>41.399999999999991</c:v>
                </c:pt>
                <c:pt idx="336">
                  <c:v>-7.1054273576010019E-15</c:v>
                </c:pt>
                <c:pt idx="337">
                  <c:v>12.599999999999993</c:v>
                </c:pt>
                <c:pt idx="338">
                  <c:v>-28.700000000000003</c:v>
                </c:pt>
                <c:pt idx="339">
                  <c:v>-3.5527136788005009E-15</c:v>
                </c:pt>
                <c:pt idx="340">
                  <c:v>14.899999999999997</c:v>
                </c:pt>
                <c:pt idx="341">
                  <c:v>42.699999999999996</c:v>
                </c:pt>
                <c:pt idx="342">
                  <c:v>-7.1054273576010019E-15</c:v>
                </c:pt>
                <c:pt idx="343">
                  <c:v>-24.000000000000007</c:v>
                </c:pt>
                <c:pt idx="344">
                  <c:v>-25.600000000000009</c:v>
                </c:pt>
                <c:pt idx="345">
                  <c:v>-7.1054273576010019E-15</c:v>
                </c:pt>
                <c:pt idx="346">
                  <c:v>3.9999999999999929</c:v>
                </c:pt>
                <c:pt idx="347">
                  <c:v>-24.100000000000009</c:v>
                </c:pt>
                <c:pt idx="348">
                  <c:v>-7.1054273576010019E-15</c:v>
                </c:pt>
                <c:pt idx="349">
                  <c:v>-4.5000000000000071</c:v>
                </c:pt>
                <c:pt idx="350">
                  <c:v>-34.500000000000007</c:v>
                </c:pt>
                <c:pt idx="351">
                  <c:v>-7.1054273576010019E-15</c:v>
                </c:pt>
                <c:pt idx="352">
                  <c:v>-30.500000000000007</c:v>
                </c:pt>
                <c:pt idx="353">
                  <c:v>-33.800000000000004</c:v>
                </c:pt>
                <c:pt idx="354">
                  <c:v>-7.1054273576010019E-15</c:v>
                </c:pt>
                <c:pt idx="355">
                  <c:v>-31.300000000000008</c:v>
                </c:pt>
                <c:pt idx="356">
                  <c:v>-6.5000000000000071</c:v>
                </c:pt>
                <c:pt idx="357">
                  <c:v>-7.1054273576010019E-15</c:v>
                </c:pt>
                <c:pt idx="358">
                  <c:v>-22.400000000000006</c:v>
                </c:pt>
                <c:pt idx="359">
                  <c:v>3.0999999999999943</c:v>
                </c:pt>
                <c:pt idx="360">
                  <c:v>-5.773159728050814E-15</c:v>
                </c:pt>
                <c:pt idx="361">
                  <c:v>1.2999999999999943</c:v>
                </c:pt>
                <c:pt idx="362">
                  <c:v>26.099999999999994</c:v>
                </c:pt>
                <c:pt idx="363">
                  <c:v>-7.1054273576010019E-15</c:v>
                </c:pt>
                <c:pt idx="364">
                  <c:v>5.5999999999999925</c:v>
                </c:pt>
                <c:pt idx="365">
                  <c:v>-19.400000000000006</c:v>
                </c:pt>
                <c:pt idx="366">
                  <c:v>-7.1054273576010019E-15</c:v>
                </c:pt>
                <c:pt idx="367">
                  <c:v>14.799999999999994</c:v>
                </c:pt>
                <c:pt idx="368">
                  <c:v>14.199999999999994</c:v>
                </c:pt>
                <c:pt idx="369">
                  <c:v>-5.3290705182007514E-15</c:v>
                </c:pt>
                <c:pt idx="370">
                  <c:v>-42.300000000000004</c:v>
                </c:pt>
                <c:pt idx="371">
                  <c:v>-49.1</c:v>
                </c:pt>
                <c:pt idx="372">
                  <c:v>0</c:v>
                </c:pt>
                <c:pt idx="373">
                  <c:v>11.4</c:v>
                </c:pt>
                <c:pt idx="374">
                  <c:v>53.4</c:v>
                </c:pt>
                <c:pt idx="375">
                  <c:v>0</c:v>
                </c:pt>
                <c:pt idx="376">
                  <c:v>22.2</c:v>
                </c:pt>
                <c:pt idx="377">
                  <c:v>-9.4000000000000021</c:v>
                </c:pt>
                <c:pt idx="378">
                  <c:v>-1.7763568394002505E-15</c:v>
                </c:pt>
                <c:pt idx="379">
                  <c:v>9.0999999999999979</c:v>
                </c:pt>
                <c:pt idx="380">
                  <c:v>-20.400000000000002</c:v>
                </c:pt>
                <c:pt idx="381">
                  <c:v>-3.5527136788005009E-15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79-4439-8870-33D5D8ED0F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-21.164021164021165</c:v>
                </c:pt>
                <c:pt idx="1">
                  <c:v>8.1967213114754092</c:v>
                </c:pt>
                <c:pt idx="2">
                  <c:v>-22.792022792022792</c:v>
                </c:pt>
                <c:pt idx="3">
                  <c:v>21.212121212121211</c:v>
                </c:pt>
                <c:pt idx="4">
                  <c:v>16.025641025641026</c:v>
                </c:pt>
                <c:pt idx="5">
                  <c:v>3.9215686274509802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62-4B7B-A386-67229E6222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たかの!$K$2:$K$39</c:f>
              <c:numCache>
                <c:formatCode>General</c:formatCod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</c:numCache>
            </c:numRef>
          </c:xVal>
          <c:yVal>
            <c:numRef>
              <c:f>たかの!$L$2:$L$39</c:f>
              <c:numCache>
                <c:formatCode>\+0.0;\-0.0;\±0</c:formatCode>
                <c:ptCount val="38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  <c:pt idx="20">
                  <c:v>-88.8</c:v>
                </c:pt>
                <c:pt idx="21">
                  <c:v>-111.4</c:v>
                </c:pt>
                <c:pt idx="22">
                  <c:v>-142.80000000000001</c:v>
                </c:pt>
                <c:pt idx="23">
                  <c:v>-80.900000000000006</c:v>
                </c:pt>
                <c:pt idx="24">
                  <c:v>-111.60000000000001</c:v>
                </c:pt>
                <c:pt idx="25">
                  <c:v>-97.500000000000014</c:v>
                </c:pt>
                <c:pt idx="26">
                  <c:v>-123.10000000000002</c:v>
                </c:pt>
                <c:pt idx="27">
                  <c:v>-125.20000000000002</c:v>
                </c:pt>
                <c:pt idx="28">
                  <c:v>-124.40000000000002</c:v>
                </c:pt>
                <c:pt idx="29">
                  <c:v>-156.00000000000003</c:v>
                </c:pt>
                <c:pt idx="30">
                  <c:v>-182.90000000000003</c:v>
                </c:pt>
                <c:pt idx="31">
                  <c:v>-203.20000000000005</c:v>
                </c:pt>
                <c:pt idx="32">
                  <c:v>-211.90000000000003</c:v>
                </c:pt>
                <c:pt idx="33">
                  <c:v>-183.10000000000002</c:v>
                </c:pt>
                <c:pt idx="34">
                  <c:v>-168.3</c:v>
                </c:pt>
                <c:pt idx="35">
                  <c:v>-210.60000000000002</c:v>
                </c:pt>
                <c:pt idx="36">
                  <c:v>-199.20000000000002</c:v>
                </c:pt>
                <c:pt idx="37">
                  <c:v>-177.00000000000003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BC-4E6F-90EC-508BA326E0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1818.918918918919</c:v>
                </c:pt>
                <c:pt idx="1">
                  <c:v>-616.66666666666663</c:v>
                </c:pt>
                <c:pt idx="2">
                  <c:v>82.352941176470594</c:v>
                </c:pt>
                <c:pt idx="3">
                  <c:v>-2585.294117647059</c:v>
                </c:pt>
                <c:pt idx="4">
                  <c:v>-1255.8823529411766</c:v>
                </c:pt>
                <c:pt idx="5">
                  <c:v>-1937.9310344827586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8D-4375-B82B-C29F9ED98E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だいち!$K$2:$K$79</c:f>
              <c:numCache>
                <c:formatCode>General</c:formatCode>
                <c:ptCount val="7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</c:numCache>
            </c:numRef>
          </c:xVal>
          <c:yVal>
            <c:numRef>
              <c:f>だいち!$L$2:$L$79</c:f>
              <c:numCache>
                <c:formatCode>\+0.0;\-0.0;\±0</c:formatCode>
                <c:ptCount val="78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  <c:pt idx="41">
                  <c:v>399.89999999999986</c:v>
                </c:pt>
                <c:pt idx="42">
                  <c:v>419.29999999999984</c:v>
                </c:pt>
                <c:pt idx="43">
                  <c:v>424.79999999999984</c:v>
                </c:pt>
                <c:pt idx="44">
                  <c:v>424.39999999999986</c:v>
                </c:pt>
                <c:pt idx="45">
                  <c:v>425.69999999999987</c:v>
                </c:pt>
                <c:pt idx="46">
                  <c:v>465.7999999999999</c:v>
                </c:pt>
                <c:pt idx="47">
                  <c:v>419.99999999999989</c:v>
                </c:pt>
                <c:pt idx="48">
                  <c:v>424.59999999999991</c:v>
                </c:pt>
                <c:pt idx="49">
                  <c:v>427.39999999999992</c:v>
                </c:pt>
                <c:pt idx="50">
                  <c:v>474.2999999999999</c:v>
                </c:pt>
                <c:pt idx="51">
                  <c:v>500.7999999999999</c:v>
                </c:pt>
                <c:pt idx="52">
                  <c:v>534.89999999999986</c:v>
                </c:pt>
                <c:pt idx="53">
                  <c:v>539.49999999999989</c:v>
                </c:pt>
                <c:pt idx="54">
                  <c:v>566.59999999999991</c:v>
                </c:pt>
                <c:pt idx="55">
                  <c:v>584.59999999999991</c:v>
                </c:pt>
                <c:pt idx="56">
                  <c:v>590.69999999999993</c:v>
                </c:pt>
                <c:pt idx="57">
                  <c:v>593.09999999999991</c:v>
                </c:pt>
                <c:pt idx="58">
                  <c:v>597.59999999999991</c:v>
                </c:pt>
                <c:pt idx="59">
                  <c:v>571.59999999999991</c:v>
                </c:pt>
                <c:pt idx="60">
                  <c:v>544.59999999999991</c:v>
                </c:pt>
                <c:pt idx="61">
                  <c:v>527.79999999999995</c:v>
                </c:pt>
                <c:pt idx="62">
                  <c:v>531.9</c:v>
                </c:pt>
                <c:pt idx="63">
                  <c:v>500.59999999999997</c:v>
                </c:pt>
                <c:pt idx="64">
                  <c:v>518.9</c:v>
                </c:pt>
                <c:pt idx="65">
                  <c:v>538.1</c:v>
                </c:pt>
                <c:pt idx="66">
                  <c:v>538.70000000000005</c:v>
                </c:pt>
                <c:pt idx="67">
                  <c:v>503.50000000000006</c:v>
                </c:pt>
                <c:pt idx="68">
                  <c:v>544.1</c:v>
                </c:pt>
                <c:pt idx="69">
                  <c:v>576.5</c:v>
                </c:pt>
                <c:pt idx="70">
                  <c:v>544.79999999999995</c:v>
                </c:pt>
                <c:pt idx="71">
                  <c:v>502.09999999999997</c:v>
                </c:pt>
                <c:pt idx="72">
                  <c:v>526.19999999999993</c:v>
                </c:pt>
                <c:pt idx="73">
                  <c:v>550.99999999999989</c:v>
                </c:pt>
                <c:pt idx="74">
                  <c:v>576.49999999999989</c:v>
                </c:pt>
                <c:pt idx="75">
                  <c:v>601.29999999999984</c:v>
                </c:pt>
                <c:pt idx="76">
                  <c:v>576.29999999999984</c:v>
                </c:pt>
                <c:pt idx="77">
                  <c:v>546.79999999999984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AB-41B4-8A7E-9D77219EC7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740.78947368421052</c:v>
                </c:pt>
                <c:pt idx="1">
                  <c:v>-139.72602739726028</c:v>
                </c:pt>
                <c:pt idx="2">
                  <c:v>33.333333333333336</c:v>
                </c:pt>
                <c:pt idx="3">
                  <c:v>-721.53846153846155</c:v>
                </c:pt>
                <c:pt idx="4">
                  <c:v>3000</c:v>
                </c:pt>
                <c:pt idx="5">
                  <c:v>2946.1538461538462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15-4DB8-AC04-91A42DBA4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りくと!$K$2:$K$49</c:f>
              <c:numCache>
                <c:formatCode>General</c:formatCode>
                <c:ptCount val="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</c:numCache>
            </c:numRef>
          </c:xVal>
          <c:yVal>
            <c:numRef>
              <c:f>りくと!$L$2:$L$49</c:f>
              <c:numCache>
                <c:formatCode>\+0.0;\-0.0;\±0</c:formatCode>
                <c:ptCount val="48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  <c:pt idx="34">
                  <c:v>-236.8</c:v>
                </c:pt>
                <c:pt idx="35">
                  <c:v>-264.60000000000002</c:v>
                </c:pt>
                <c:pt idx="36">
                  <c:v>-252.20000000000002</c:v>
                </c:pt>
                <c:pt idx="37">
                  <c:v>-261</c:v>
                </c:pt>
                <c:pt idx="38">
                  <c:v>-245.4</c:v>
                </c:pt>
                <c:pt idx="39">
                  <c:v>-227</c:v>
                </c:pt>
                <c:pt idx="40">
                  <c:v>-268.39999999999998</c:v>
                </c:pt>
                <c:pt idx="41">
                  <c:v>-264.39999999999998</c:v>
                </c:pt>
                <c:pt idx="42">
                  <c:v>-268.89999999999998</c:v>
                </c:pt>
                <c:pt idx="43">
                  <c:v>-299.39999999999998</c:v>
                </c:pt>
                <c:pt idx="44">
                  <c:v>-330.7</c:v>
                </c:pt>
                <c:pt idx="45">
                  <c:v>-353.09999999999997</c:v>
                </c:pt>
                <c:pt idx="46">
                  <c:v>-351.79999999999995</c:v>
                </c:pt>
                <c:pt idx="47">
                  <c:v>-346.19999999999993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4A-4936-ABD6-26BA5750A3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432.60869565217394</c:v>
                </c:pt>
                <c:pt idx="1">
                  <c:v>-547.82608695652175</c:v>
                </c:pt>
                <c:pt idx="2">
                  <c:v>981.81818181818187</c:v>
                </c:pt>
                <c:pt idx="3">
                  <c:v>-1930.952380952381</c:v>
                </c:pt>
                <c:pt idx="4">
                  <c:v>-3119.5121951219512</c:v>
                </c:pt>
                <c:pt idx="5">
                  <c:v>-2638.8888888888887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F2-4780-9D73-2130D3AC6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ただ!$K$2:$K$77</c:f>
              <c:numCache>
                <c:formatCode>General</c:formatCode>
                <c:ptCount val="7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</c:numCache>
            </c:numRef>
          </c:xVal>
          <c:yVal>
            <c:numRef>
              <c:f>ただ!$L$2:$L$77</c:f>
              <c:numCache>
                <c:formatCode>\+0.0;\-0.0;\±0</c:formatCode>
                <c:ptCount val="76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  <c:pt idx="46">
                  <c:v>215.39999999999989</c:v>
                </c:pt>
                <c:pt idx="47">
                  <c:v>259.19999999999987</c:v>
                </c:pt>
                <c:pt idx="48">
                  <c:v>272.09999999999985</c:v>
                </c:pt>
                <c:pt idx="49">
                  <c:v>222.79999999999984</c:v>
                </c:pt>
                <c:pt idx="50">
                  <c:v>248.89999999999984</c:v>
                </c:pt>
                <c:pt idx="51">
                  <c:v>269.99999999999983</c:v>
                </c:pt>
                <c:pt idx="52">
                  <c:v>298.09999999999985</c:v>
                </c:pt>
                <c:pt idx="53">
                  <c:v>324.29999999999984</c:v>
                </c:pt>
                <c:pt idx="54">
                  <c:v>346.59999999999985</c:v>
                </c:pt>
                <c:pt idx="55">
                  <c:v>295.09999999999985</c:v>
                </c:pt>
                <c:pt idx="56">
                  <c:v>319.89999999999986</c:v>
                </c:pt>
                <c:pt idx="57">
                  <c:v>291.09999999999985</c:v>
                </c:pt>
                <c:pt idx="58">
                  <c:v>274.39999999999986</c:v>
                </c:pt>
                <c:pt idx="59">
                  <c:v>261.39999999999986</c:v>
                </c:pt>
                <c:pt idx="60">
                  <c:v>208.69999999999987</c:v>
                </c:pt>
                <c:pt idx="61">
                  <c:v>245.89999999999986</c:v>
                </c:pt>
                <c:pt idx="62">
                  <c:v>193.09999999999985</c:v>
                </c:pt>
                <c:pt idx="63">
                  <c:v>248.19999999999985</c:v>
                </c:pt>
                <c:pt idx="64">
                  <c:v>238.99999999999986</c:v>
                </c:pt>
                <c:pt idx="65">
                  <c:v>274.49999999999989</c:v>
                </c:pt>
                <c:pt idx="66">
                  <c:v>287.09999999999991</c:v>
                </c:pt>
                <c:pt idx="67">
                  <c:v>315.7999999999999</c:v>
                </c:pt>
                <c:pt idx="68">
                  <c:v>350.2999999999999</c:v>
                </c:pt>
                <c:pt idx="69">
                  <c:v>384.09999999999991</c:v>
                </c:pt>
                <c:pt idx="70">
                  <c:v>390.59999999999991</c:v>
                </c:pt>
                <c:pt idx="71">
                  <c:v>387.49999999999989</c:v>
                </c:pt>
                <c:pt idx="72">
                  <c:v>361.39999999999986</c:v>
                </c:pt>
                <c:pt idx="73">
                  <c:v>380.79999999999984</c:v>
                </c:pt>
                <c:pt idx="74">
                  <c:v>327.39999999999986</c:v>
                </c:pt>
                <c:pt idx="75">
                  <c:v>336.79999999999984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AA-4400-89A7-B8AD6D28A8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-1951.3513513513512</c:v>
                </c:pt>
                <c:pt idx="1">
                  <c:v>1136.1111111111111</c:v>
                </c:pt>
                <c:pt idx="2">
                  <c:v>601.47058823529414</c:v>
                </c:pt>
                <c:pt idx="3">
                  <c:v>2743.75</c:v>
                </c:pt>
                <c:pt idx="4">
                  <c:v>398.36065573770492</c:v>
                </c:pt>
                <c:pt idx="5">
                  <c:v>1680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C8-4D06-8CC0-3C80EFE299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れんたろう!$K$2:$K$45</c:f>
              <c:numCache>
                <c:formatCode>General</c:formatCode>
                <c:ptCount val="4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</c:numCache>
            </c:numRef>
          </c:xVal>
          <c:yVal>
            <c:numRef>
              <c:f>れんたろう!$L$2:$L$45</c:f>
              <c:numCache>
                <c:formatCode>\+0.0;\-0.0;\±0</c:formatCode>
                <c:ptCount val="44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  <c:pt idx="39">
                  <c:v>101.20000000000007</c:v>
                </c:pt>
                <c:pt idx="40">
                  <c:v>71.200000000000074</c:v>
                </c:pt>
                <c:pt idx="41">
                  <c:v>67.900000000000077</c:v>
                </c:pt>
                <c:pt idx="42">
                  <c:v>109.90000000000008</c:v>
                </c:pt>
                <c:pt idx="43">
                  <c:v>78.300000000000068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05-4DC1-9422-595056523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2344.1860465116279</c:v>
                </c:pt>
                <c:pt idx="1">
                  <c:v>-2836.5853658536585</c:v>
                </c:pt>
                <c:pt idx="2">
                  <c:v>1218.421052631579</c:v>
                </c:pt>
                <c:pt idx="3">
                  <c:v>3800</c:v>
                </c:pt>
                <c:pt idx="4">
                  <c:v>-3060.6060606060605</c:v>
                </c:pt>
                <c:pt idx="5">
                  <c:v>-444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A5-41FB-A751-8532F73EDE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まっつん!$K$2:$K$54</c:f>
              <c:numCache>
                <c:formatCode>General</c:formatCode>
                <c:ptCount val="5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</c:numCache>
            </c:numRef>
          </c:xVal>
          <c:yVal>
            <c:numRef>
              <c:f>まっつん!$L$2:$L$54</c:f>
              <c:numCache>
                <c:formatCode>\+0.0;\-0.0;\±0</c:formatCode>
                <c:ptCount val="53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  <c:pt idx="44">
                  <c:v>11.600000000000023</c:v>
                </c:pt>
                <c:pt idx="45">
                  <c:v>-23.299999999999976</c:v>
                </c:pt>
                <c:pt idx="46">
                  <c:v>-11.099999999999977</c:v>
                </c:pt>
                <c:pt idx="47">
                  <c:v>-31.099999999999977</c:v>
                </c:pt>
                <c:pt idx="48">
                  <c:v>-18.499999999999979</c:v>
                </c:pt>
                <c:pt idx="49">
                  <c:v>7.1000000000000227</c:v>
                </c:pt>
                <c:pt idx="50">
                  <c:v>6.5000000000000231</c:v>
                </c:pt>
                <c:pt idx="51">
                  <c:v>-0.29999999999997673</c:v>
                </c:pt>
                <c:pt idx="52">
                  <c:v>8.800000000000022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59-4AE7-AC9C-D933498EA6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817.30769230769226</c:v>
                </c:pt>
                <c:pt idx="1">
                  <c:v>1593.8775510204082</c:v>
                </c:pt>
                <c:pt idx="2">
                  <c:v>-1939.1304347826087</c:v>
                </c:pt>
                <c:pt idx="3">
                  <c:v>495.23809523809524</c:v>
                </c:pt>
                <c:pt idx="4">
                  <c:v>16.216216216216218</c:v>
                </c:pt>
                <c:pt idx="5">
                  <c:v>-503.22580645161293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7F-432F-BD9A-B08E9588AF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のり!$L$2:$L$29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  <c:pt idx="21">
                  <c:v>-423.7000000000001</c:v>
                </c:pt>
                <c:pt idx="22">
                  <c:v>-465.00000000000011</c:v>
                </c:pt>
                <c:pt idx="23">
                  <c:v>-450.10000000000014</c:v>
                </c:pt>
                <c:pt idx="24">
                  <c:v>-474.10000000000014</c:v>
                </c:pt>
                <c:pt idx="25">
                  <c:v>-488.30000000000013</c:v>
                </c:pt>
                <c:pt idx="26">
                  <c:v>-439.2000000000001</c:v>
                </c:pt>
                <c:pt idx="27">
                  <c:v>-418.80000000000013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24-4A75-AC04-6D4019E2B8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-3574.0740740740739</c:v>
                </c:pt>
                <c:pt idx="1">
                  <c:v>340.74074074074076</c:v>
                </c:pt>
                <c:pt idx="2">
                  <c:v>-607.40740740740739</c:v>
                </c:pt>
                <c:pt idx="3">
                  <c:v>-3338.4615384615386</c:v>
                </c:pt>
                <c:pt idx="4">
                  <c:v>-1752</c:v>
                </c:pt>
                <c:pt idx="5">
                  <c:v>-2975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2C-41BE-ADAB-D67A815FD7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ぱぱ!$L$2:$L$16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  <c:pt idx="12">
                  <c:v>78.100000000000009</c:v>
                </c:pt>
                <c:pt idx="13">
                  <c:v>76.7</c:v>
                </c:pt>
                <c:pt idx="14">
                  <c:v>49.900000000000006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04E-49F3-AD06-13ED6259B8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-1321.4285714285713</c:v>
                </c:pt>
                <c:pt idx="1">
                  <c:v>800</c:v>
                </c:pt>
                <c:pt idx="2">
                  <c:v>385.71428571428572</c:v>
                </c:pt>
                <c:pt idx="3">
                  <c:v>-1492.3076923076924</c:v>
                </c:pt>
                <c:pt idx="4">
                  <c:v>6215.3846153846152</c:v>
                </c:pt>
                <c:pt idx="5">
                  <c:v>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08-4A06-8ADB-F9C84B082C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41-4307-B37D-8E50C2A127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-6085.7142857142853</c:v>
                </c:pt>
                <c:pt idx="1">
                  <c:v>166.66666666666666</c:v>
                </c:pt>
                <c:pt idx="2">
                  <c:v>-6066.666666666667</c:v>
                </c:pt>
                <c:pt idx="3">
                  <c:v>-3333.3333333333335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37-4868-BB73-D277C53708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27.8</c:v>
                </c:pt>
                <c:pt idx="2">
                  <c:v>26.2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3A-4C52-B42E-15E47B1898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3600</c:v>
                </c:pt>
                <c:pt idx="1">
                  <c:v>-2200</c:v>
                </c:pt>
                <c:pt idx="2">
                  <c:v>-3500</c:v>
                </c:pt>
                <c:pt idx="3">
                  <c:v>7950</c:v>
                </c:pt>
                <c:pt idx="4">
                  <c:v>6000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8C-4B40-8AEC-110CCD27F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のり2!$B$1:$B$2</c:f>
              <c:strCache>
                <c:ptCount val="2"/>
                <c:pt idx="0">
                  <c:v>のり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のり2!$A$3:$A$30</c:f>
              <c:numCache>
                <c:formatCode>0\ "回"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のり2!$B$3:$B$30</c:f>
              <c:numCache>
                <c:formatCode>\+0.0;\-0.0;\±0</c:formatCode>
                <c:ptCount val="28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  <c:pt idx="21">
                  <c:v>-423.7000000000001</c:v>
                </c:pt>
                <c:pt idx="22">
                  <c:v>-465.00000000000011</c:v>
                </c:pt>
                <c:pt idx="23">
                  <c:v>-450.10000000000014</c:v>
                </c:pt>
                <c:pt idx="24">
                  <c:v>-474.10000000000014</c:v>
                </c:pt>
                <c:pt idx="25">
                  <c:v>-488.30000000000013</c:v>
                </c:pt>
                <c:pt idx="26">
                  <c:v>-439.2000000000001</c:v>
                </c:pt>
                <c:pt idx="27">
                  <c:v>-418.80000000000013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3.5527136788005009E-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のり2!$C$1:$C$2</c:f>
              <c:strCache>
                <c:ptCount val="2"/>
                <c:pt idx="0">
                  <c:v>のり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のり2!$A$3:$A$30</c:f>
              <c:numCache>
                <c:formatCode>0\ "回"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のり2!$C$3:$C$30</c:f>
              <c:numCache>
                <c:formatCode>\+0.0;\-0.0;\±0</c:formatCode>
                <c:ptCount val="28"/>
                <c:pt idx="1">
                  <c:v>-12</c:v>
                </c:pt>
                <c:pt idx="2">
                  <c:v>-20.3</c:v>
                </c:pt>
                <c:pt idx="3">
                  <c:v>-11.200000000000001</c:v>
                </c:pt>
                <c:pt idx="4">
                  <c:v>-20.125</c:v>
                </c:pt>
                <c:pt idx="5">
                  <c:v>-24.86</c:v>
                </c:pt>
                <c:pt idx="6">
                  <c:v>-26.599999999999998</c:v>
                </c:pt>
                <c:pt idx="7">
                  <c:v>-14.214285714285714</c:v>
                </c:pt>
                <c:pt idx="8">
                  <c:v>-19.074999999999999</c:v>
                </c:pt>
                <c:pt idx="9">
                  <c:v>-16.733333333333334</c:v>
                </c:pt>
                <c:pt idx="10">
                  <c:v>-15.11</c:v>
                </c:pt>
                <c:pt idx="11">
                  <c:v>-15.909090909090908</c:v>
                </c:pt>
                <c:pt idx="12">
                  <c:v>-14.741666666666667</c:v>
                </c:pt>
                <c:pt idx="13">
                  <c:v>-16.738461538461539</c:v>
                </c:pt>
                <c:pt idx="14">
                  <c:v>-19.064285714285717</c:v>
                </c:pt>
                <c:pt idx="15">
                  <c:v>-18.166666666666671</c:v>
                </c:pt>
                <c:pt idx="16">
                  <c:v>-20.018750000000004</c:v>
                </c:pt>
                <c:pt idx="17">
                  <c:v>-20.74117647058824</c:v>
                </c:pt>
                <c:pt idx="18">
                  <c:v>-19.750000000000004</c:v>
                </c:pt>
                <c:pt idx="19">
                  <c:v>-21.084210526315793</c:v>
                </c:pt>
                <c:pt idx="20">
                  <c:v>-21.405000000000005</c:v>
                </c:pt>
                <c:pt idx="21">
                  <c:v>-20.176190476190481</c:v>
                </c:pt>
                <c:pt idx="22">
                  <c:v>-21.13636363636364</c:v>
                </c:pt>
                <c:pt idx="23">
                  <c:v>-19.569565217391311</c:v>
                </c:pt>
                <c:pt idx="24">
                  <c:v>-19.754166666666674</c:v>
                </c:pt>
                <c:pt idx="25">
                  <c:v>-19.532000000000004</c:v>
                </c:pt>
                <c:pt idx="26">
                  <c:v>-16.892307692307696</c:v>
                </c:pt>
                <c:pt idx="27">
                  <c:v>-15.511111111111116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9.3247078183740181E-1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のり2!$D$1:$D$2</c:f>
              <c:strCache>
                <c:ptCount val="2"/>
                <c:pt idx="0">
                  <c:v>のり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のり2!$A$3:$A$30</c:f>
              <c:numCache>
                <c:formatCode>0\ "回"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のり2!$D$3:$D$30</c:f>
              <c:numCache>
                <c:formatCode>0.00\ "位"</c:formatCode>
                <c:ptCount val="28"/>
                <c:pt idx="1">
                  <c:v>2</c:v>
                </c:pt>
                <c:pt idx="2">
                  <c:v>2.5</c:v>
                </c:pt>
                <c:pt idx="3">
                  <c:v>2.3333333333333335</c:v>
                </c:pt>
                <c:pt idx="4">
                  <c:v>2.5</c:v>
                </c:pt>
                <c:pt idx="5">
                  <c:v>2.6</c:v>
                </c:pt>
                <c:pt idx="6">
                  <c:v>2.6666666666666665</c:v>
                </c:pt>
                <c:pt idx="7">
                  <c:v>2.4285714285714284</c:v>
                </c:pt>
                <c:pt idx="8">
                  <c:v>2.5</c:v>
                </c:pt>
                <c:pt idx="9">
                  <c:v>2.4444444444444446</c:v>
                </c:pt>
                <c:pt idx="10">
                  <c:v>2.4</c:v>
                </c:pt>
                <c:pt idx="11">
                  <c:v>2.4545454545454546</c:v>
                </c:pt>
                <c:pt idx="12">
                  <c:v>2.4166666666666665</c:v>
                </c:pt>
                <c:pt idx="13">
                  <c:v>2.4615384615384617</c:v>
                </c:pt>
                <c:pt idx="14">
                  <c:v>2.5</c:v>
                </c:pt>
                <c:pt idx="15">
                  <c:v>2.4666666666666668</c:v>
                </c:pt>
                <c:pt idx="16">
                  <c:v>2.5</c:v>
                </c:pt>
                <c:pt idx="17">
                  <c:v>2.5294117647058822</c:v>
                </c:pt>
                <c:pt idx="18">
                  <c:v>2.5</c:v>
                </c:pt>
                <c:pt idx="19">
                  <c:v>2.5263157894736841</c:v>
                </c:pt>
                <c:pt idx="20">
                  <c:v>2.5499999999999998</c:v>
                </c:pt>
                <c:pt idx="21">
                  <c:v>2.5238095238095237</c:v>
                </c:pt>
                <c:pt idx="22">
                  <c:v>2.5454545454545454</c:v>
                </c:pt>
                <c:pt idx="23">
                  <c:v>2.5217391304347827</c:v>
                </c:pt>
                <c:pt idx="24">
                  <c:v>2.5416666666666665</c:v>
                </c:pt>
                <c:pt idx="25">
                  <c:v>2.56</c:v>
                </c:pt>
                <c:pt idx="26">
                  <c:v>2.5</c:v>
                </c:pt>
                <c:pt idx="27">
                  <c:v>2.4444444444444446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のり2!$E$1:$E$2</c:f>
              <c:strCache>
                <c:ptCount val="2"/>
                <c:pt idx="0">
                  <c:v>のり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のり2!$A$3:$A$30</c:f>
              <c:numCache>
                <c:formatCode>0\ "回"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のり2!$E$3:$E$30</c:f>
              <c:numCache>
                <c:formatCode>0.0%</c:formatCode>
                <c:ptCount val="2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7.6923076923076927E-2</c:v>
                </c:pt>
                <c:pt idx="14">
                  <c:v>7.1428571428571425E-2</c:v>
                </c:pt>
                <c:pt idx="15">
                  <c:v>6.6666666666666666E-2</c:v>
                </c:pt>
                <c:pt idx="16">
                  <c:v>6.25E-2</c:v>
                </c:pt>
                <c:pt idx="17">
                  <c:v>5.8823529411764705E-2</c:v>
                </c:pt>
                <c:pt idx="18">
                  <c:v>5.5555555555555552E-2</c:v>
                </c:pt>
                <c:pt idx="19">
                  <c:v>5.2631578947368418E-2</c:v>
                </c:pt>
                <c:pt idx="20">
                  <c:v>0.05</c:v>
                </c:pt>
                <c:pt idx="21">
                  <c:v>4.7619047619047616E-2</c:v>
                </c:pt>
                <c:pt idx="22">
                  <c:v>4.5454545454545456E-2</c:v>
                </c:pt>
                <c:pt idx="23">
                  <c:v>4.3478260869565216E-2</c:v>
                </c:pt>
                <c:pt idx="24">
                  <c:v>4.1666666666666664E-2</c:v>
                </c:pt>
                <c:pt idx="25">
                  <c:v>0.04</c:v>
                </c:pt>
                <c:pt idx="26">
                  <c:v>7.6923076923076927E-2</c:v>
                </c:pt>
                <c:pt idx="27">
                  <c:v>0.1111111111111111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のり2!$F$1:$F$2</c:f>
              <c:strCache>
                <c:ptCount val="2"/>
                <c:pt idx="0">
                  <c:v>のり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のり2!$A$3:$A$30</c:f>
              <c:numCache>
                <c:formatCode>0\ "回"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のり2!$F$3:$F$30</c:f>
              <c:numCache>
                <c:formatCode>0.0%</c:formatCode>
                <c:ptCount val="28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0.6</c:v>
                </c:pt>
                <c:pt idx="6">
                  <c:v>0.66666666666666663</c:v>
                </c:pt>
                <c:pt idx="7">
                  <c:v>0.5714285714285714</c:v>
                </c:pt>
                <c:pt idx="8">
                  <c:v>0.625</c:v>
                </c:pt>
                <c:pt idx="9">
                  <c:v>0.55555555555555558</c:v>
                </c:pt>
                <c:pt idx="10">
                  <c:v>0.5</c:v>
                </c:pt>
                <c:pt idx="11">
                  <c:v>0.54545454545454541</c:v>
                </c:pt>
                <c:pt idx="12">
                  <c:v>0.5</c:v>
                </c:pt>
                <c:pt idx="13">
                  <c:v>0.53846153846153844</c:v>
                </c:pt>
                <c:pt idx="14">
                  <c:v>0.5714285714285714</c:v>
                </c:pt>
                <c:pt idx="15">
                  <c:v>0.53333333333333333</c:v>
                </c:pt>
                <c:pt idx="16">
                  <c:v>0.5625</c:v>
                </c:pt>
                <c:pt idx="17">
                  <c:v>0.58823529411764708</c:v>
                </c:pt>
                <c:pt idx="18">
                  <c:v>0.55555555555555558</c:v>
                </c:pt>
                <c:pt idx="19">
                  <c:v>0.57894736842105265</c:v>
                </c:pt>
                <c:pt idx="20">
                  <c:v>0.6</c:v>
                </c:pt>
                <c:pt idx="21">
                  <c:v>0.5714285714285714</c:v>
                </c:pt>
                <c:pt idx="22">
                  <c:v>0.59090909090909094</c:v>
                </c:pt>
                <c:pt idx="23">
                  <c:v>0.56521739130434778</c:v>
                </c:pt>
                <c:pt idx="24">
                  <c:v>0.58333333333333337</c:v>
                </c:pt>
                <c:pt idx="25">
                  <c:v>0.6</c:v>
                </c:pt>
                <c:pt idx="26">
                  <c:v>0.57692307692307687</c:v>
                </c:pt>
                <c:pt idx="27">
                  <c:v>0.55555555555555558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のり2!$G$1:$G$2</c:f>
              <c:strCache>
                <c:ptCount val="2"/>
                <c:pt idx="0">
                  <c:v>のり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のり2!$A$3:$A$30</c:f>
              <c:numCache>
                <c:formatCode>0\ "回"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のり2!$G$3:$G$30</c:f>
              <c:numCache>
                <c:formatCode>0.0%</c:formatCode>
                <c:ptCount val="28"/>
                <c:pt idx="1">
                  <c:v>0.33333333333333331</c:v>
                </c:pt>
                <c:pt idx="2">
                  <c:v>0.25</c:v>
                </c:pt>
                <c:pt idx="3">
                  <c:v>0.23076923076923078</c:v>
                </c:pt>
                <c:pt idx="4">
                  <c:v>0.1891891891891892</c:v>
                </c:pt>
                <c:pt idx="5">
                  <c:v>0.14893617021276595</c:v>
                </c:pt>
                <c:pt idx="6">
                  <c:v>0.12727272727272726</c:v>
                </c:pt>
                <c:pt idx="7">
                  <c:v>0.19047619047619047</c:v>
                </c:pt>
                <c:pt idx="8">
                  <c:v>0.20289855072463769</c:v>
                </c:pt>
                <c:pt idx="9">
                  <c:v>0.21333333333333335</c:v>
                </c:pt>
                <c:pt idx="10">
                  <c:v>0.2289156626506024</c:v>
                </c:pt>
                <c:pt idx="11">
                  <c:v>0.22222222222222221</c:v>
                </c:pt>
                <c:pt idx="12">
                  <c:v>0.23711340206185566</c:v>
                </c:pt>
                <c:pt idx="13">
                  <c:v>0.22857142857142856</c:v>
                </c:pt>
                <c:pt idx="14">
                  <c:v>0.22413793103448276</c:v>
                </c:pt>
                <c:pt idx="15">
                  <c:v>0.22131147540983606</c:v>
                </c:pt>
                <c:pt idx="16">
                  <c:v>0.21875</c:v>
                </c:pt>
                <c:pt idx="17">
                  <c:v>0.22058823529411764</c:v>
                </c:pt>
                <c:pt idx="18">
                  <c:v>0.22377622377622378</c:v>
                </c:pt>
                <c:pt idx="19">
                  <c:v>0.2119205298013245</c:v>
                </c:pt>
                <c:pt idx="20">
                  <c:v>0.20382165605095542</c:v>
                </c:pt>
                <c:pt idx="21">
                  <c:v>0.20833333333333334</c:v>
                </c:pt>
                <c:pt idx="22">
                  <c:v>0.20571428571428571</c:v>
                </c:pt>
                <c:pt idx="23">
                  <c:v>0.21311475409836064</c:v>
                </c:pt>
                <c:pt idx="24">
                  <c:v>0.21052631578947367</c:v>
                </c:pt>
                <c:pt idx="25">
                  <c:v>0.21717171717171718</c:v>
                </c:pt>
                <c:pt idx="26">
                  <c:v>0.23076923076923078</c:v>
                </c:pt>
                <c:pt idx="27">
                  <c:v>0.23255813953488372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35089369708372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のり2!$H$1:$H$2</c:f>
              <c:strCache>
                <c:ptCount val="2"/>
                <c:pt idx="0">
                  <c:v>のり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のり2!$A$3:$A$30</c:f>
              <c:numCache>
                <c:formatCode>0\ "回"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のり2!$H$3:$H$30</c:f>
              <c:numCache>
                <c:formatCode>0.0%</c:formatCode>
                <c:ptCount val="28"/>
                <c:pt idx="1">
                  <c:v>0.33333333333333331</c:v>
                </c:pt>
                <c:pt idx="2">
                  <c:v>0.25</c:v>
                </c:pt>
                <c:pt idx="3">
                  <c:v>0.19230769230769232</c:v>
                </c:pt>
                <c:pt idx="4">
                  <c:v>0.24324324324324326</c:v>
                </c:pt>
                <c:pt idx="5">
                  <c:v>0.23404255319148937</c:v>
                </c:pt>
                <c:pt idx="6">
                  <c:v>0.23636363636363636</c:v>
                </c:pt>
                <c:pt idx="7">
                  <c:v>0.23809523809523808</c:v>
                </c:pt>
                <c:pt idx="8">
                  <c:v>0.24637681159420291</c:v>
                </c:pt>
                <c:pt idx="9">
                  <c:v>0.25333333333333335</c:v>
                </c:pt>
                <c:pt idx="10">
                  <c:v>0.2289156626506024</c:v>
                </c:pt>
                <c:pt idx="11">
                  <c:v>0.22222222222222221</c:v>
                </c:pt>
                <c:pt idx="12">
                  <c:v>0.21649484536082475</c:v>
                </c:pt>
                <c:pt idx="13">
                  <c:v>0.21904761904761905</c:v>
                </c:pt>
                <c:pt idx="14">
                  <c:v>0.21551724137931033</c:v>
                </c:pt>
                <c:pt idx="15">
                  <c:v>0.20491803278688525</c:v>
                </c:pt>
                <c:pt idx="16">
                  <c:v>0.21875</c:v>
                </c:pt>
                <c:pt idx="17">
                  <c:v>0.22794117647058823</c:v>
                </c:pt>
                <c:pt idx="18">
                  <c:v>0.21678321678321677</c:v>
                </c:pt>
                <c:pt idx="19">
                  <c:v>0.2251655629139073</c:v>
                </c:pt>
                <c:pt idx="20">
                  <c:v>0.21656050955414013</c:v>
                </c:pt>
                <c:pt idx="21">
                  <c:v>0.20833333333333334</c:v>
                </c:pt>
                <c:pt idx="22">
                  <c:v>0.20571428571428571</c:v>
                </c:pt>
                <c:pt idx="23">
                  <c:v>0.20765027322404372</c:v>
                </c:pt>
                <c:pt idx="24">
                  <c:v>0.2</c:v>
                </c:pt>
                <c:pt idx="25">
                  <c:v>0.19696969696969696</c:v>
                </c:pt>
                <c:pt idx="26">
                  <c:v>0.1875</c:v>
                </c:pt>
                <c:pt idx="27">
                  <c:v>0.19069767441860466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55691439322671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のり2!$I$1:$I$2</c:f>
              <c:strCache>
                <c:ptCount val="2"/>
                <c:pt idx="0">
                  <c:v>のり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のり2!$A$3:$A$30</c:f>
              <c:numCache>
                <c:formatCode>0\ "回"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のり2!$I$3:$I$30</c:f>
              <c:numCache>
                <c:formatCode>0</c:formatCode>
                <c:ptCount val="28"/>
                <c:pt idx="1">
                  <c:v>8400</c:v>
                </c:pt>
                <c:pt idx="2">
                  <c:v>8300</c:v>
                </c:pt>
                <c:pt idx="3">
                  <c:v>9533.3333333333339</c:v>
                </c:pt>
                <c:pt idx="4">
                  <c:v>9028.5714285714294</c:v>
                </c:pt>
                <c:pt idx="5">
                  <c:v>9028.5714285714294</c:v>
                </c:pt>
                <c:pt idx="6">
                  <c:v>9028.5714285714294</c:v>
                </c:pt>
                <c:pt idx="7">
                  <c:v>10583.333333333334</c:v>
                </c:pt>
                <c:pt idx="8">
                  <c:v>9742.8571428571431</c:v>
                </c:pt>
                <c:pt idx="9">
                  <c:v>9350</c:v>
                </c:pt>
                <c:pt idx="10">
                  <c:v>8273.6842105263149</c:v>
                </c:pt>
                <c:pt idx="11">
                  <c:v>8760</c:v>
                </c:pt>
                <c:pt idx="12">
                  <c:v>8543.4782608695659</c:v>
                </c:pt>
                <c:pt idx="13">
                  <c:v>8354.1666666666661</c:v>
                </c:pt>
                <c:pt idx="14">
                  <c:v>8296.1538461538457</c:v>
                </c:pt>
                <c:pt idx="15">
                  <c:v>8133.333333333333</c:v>
                </c:pt>
                <c:pt idx="16">
                  <c:v>7917.8571428571431</c:v>
                </c:pt>
                <c:pt idx="17">
                  <c:v>7876.666666666667</c:v>
                </c:pt>
                <c:pt idx="18">
                  <c:v>7496.875</c:v>
                </c:pt>
                <c:pt idx="19">
                  <c:v>7496.875</c:v>
                </c:pt>
                <c:pt idx="20">
                  <c:v>7496.875</c:v>
                </c:pt>
                <c:pt idx="21">
                  <c:v>7562.8571428571431</c:v>
                </c:pt>
                <c:pt idx="22">
                  <c:v>7411.1111111111113</c:v>
                </c:pt>
                <c:pt idx="23">
                  <c:v>7551.2820512820517</c:v>
                </c:pt>
                <c:pt idx="24">
                  <c:v>7562.5</c:v>
                </c:pt>
                <c:pt idx="25">
                  <c:v>7330.2325581395353</c:v>
                </c:pt>
                <c:pt idx="26">
                  <c:v>7606.25</c:v>
                </c:pt>
                <c:pt idx="27">
                  <c:v>8022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294.978632478632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のり2!$J$1:$J$2</c:f>
              <c:strCache>
                <c:ptCount val="2"/>
                <c:pt idx="0">
                  <c:v>のり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のり2!$A$3:$A$30</c:f>
              <c:numCache>
                <c:formatCode>0\ "回"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のり2!$J$3:$J$30</c:f>
              <c:numCache>
                <c:formatCode>0</c:formatCode>
                <c:ptCount val="28"/>
                <c:pt idx="1">
                  <c:v>-9233.3333333333339</c:v>
                </c:pt>
                <c:pt idx="2">
                  <c:v>-8925</c:v>
                </c:pt>
                <c:pt idx="3">
                  <c:v>-9540</c:v>
                </c:pt>
                <c:pt idx="4">
                  <c:v>-8566.6666666666661</c:v>
                </c:pt>
                <c:pt idx="5">
                  <c:v>-8827.2727272727279</c:v>
                </c:pt>
                <c:pt idx="6">
                  <c:v>-8069.2307692307695</c:v>
                </c:pt>
                <c:pt idx="7">
                  <c:v>-8040</c:v>
                </c:pt>
                <c:pt idx="8">
                  <c:v>-10035.294117647059</c:v>
                </c:pt>
                <c:pt idx="9">
                  <c:v>-9452.6315789473683</c:v>
                </c:pt>
                <c:pt idx="10">
                  <c:v>-9452.6315789473683</c:v>
                </c:pt>
                <c:pt idx="11">
                  <c:v>-10180</c:v>
                </c:pt>
                <c:pt idx="12">
                  <c:v>-10061.904761904761</c:v>
                </c:pt>
                <c:pt idx="13">
                  <c:v>-9747.826086956522</c:v>
                </c:pt>
                <c:pt idx="14">
                  <c:v>-9804</c:v>
                </c:pt>
                <c:pt idx="15">
                  <c:v>-9804</c:v>
                </c:pt>
                <c:pt idx="16">
                  <c:v>-9821.4285714285706</c:v>
                </c:pt>
                <c:pt idx="17">
                  <c:v>-9593.5483870967746</c:v>
                </c:pt>
                <c:pt idx="18">
                  <c:v>-9593.5483870967746</c:v>
                </c:pt>
                <c:pt idx="19">
                  <c:v>-9173.5294117647063</c:v>
                </c:pt>
                <c:pt idx="20">
                  <c:v>-9173.5294117647063</c:v>
                </c:pt>
                <c:pt idx="21">
                  <c:v>-8968.5714285714294</c:v>
                </c:pt>
                <c:pt idx="22">
                  <c:v>-9052.7777777777774</c:v>
                </c:pt>
                <c:pt idx="23">
                  <c:v>-8781.5789473684217</c:v>
                </c:pt>
                <c:pt idx="24">
                  <c:v>-8781.5789473684217</c:v>
                </c:pt>
                <c:pt idx="25">
                  <c:v>-8656.4102564102559</c:v>
                </c:pt>
                <c:pt idx="26">
                  <c:v>-8656.4102564102559</c:v>
                </c:pt>
                <c:pt idx="27">
                  <c:v>-8590.2439024390242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737.31060606060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のり2!$K$1:$K$2</c:f>
              <c:strCache>
                <c:ptCount val="2"/>
                <c:pt idx="0">
                  <c:v>のり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のり2!$A$3:$A$30</c:f>
              <c:numCache>
                <c:formatCode>0\ "回"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のり2!$K$3:$K$30</c:f>
              <c:numCache>
                <c:formatCode>0.0%</c:formatCode>
                <c:ptCount val="2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0.16666666666666666</c:v>
                </c:pt>
                <c:pt idx="13">
                  <c:v>0.15384615384615385</c:v>
                </c:pt>
                <c:pt idx="14">
                  <c:v>0.21428571428571427</c:v>
                </c:pt>
                <c:pt idx="15">
                  <c:v>0.2</c:v>
                </c:pt>
                <c:pt idx="16">
                  <c:v>0.25</c:v>
                </c:pt>
                <c:pt idx="17">
                  <c:v>0.23529411764705882</c:v>
                </c:pt>
                <c:pt idx="18">
                  <c:v>0.22222222222222221</c:v>
                </c:pt>
                <c:pt idx="19">
                  <c:v>0.26315789473684209</c:v>
                </c:pt>
                <c:pt idx="20">
                  <c:v>0.25</c:v>
                </c:pt>
                <c:pt idx="21">
                  <c:v>0.23809523809523808</c:v>
                </c:pt>
                <c:pt idx="22">
                  <c:v>0.22727272727272727</c:v>
                </c:pt>
                <c:pt idx="23">
                  <c:v>0.21739130434782608</c:v>
                </c:pt>
                <c:pt idx="24">
                  <c:v>0.20833333333333334</c:v>
                </c:pt>
                <c:pt idx="25">
                  <c:v>0.2</c:v>
                </c:pt>
                <c:pt idx="26">
                  <c:v>0.19230769230769232</c:v>
                </c:pt>
                <c:pt idx="27">
                  <c:v>0.18518518518518517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1863517060367453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のり2!$L$1:$L$2</c:f>
              <c:strCache>
                <c:ptCount val="2"/>
                <c:pt idx="0">
                  <c:v>のり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のり2!$A$3:$A$30</c:f>
              <c:numCache>
                <c:formatCode>0\ "回"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のり2!$L$3:$L$30</c:f>
              <c:numCache>
                <c:formatCode>0.0%</c:formatCode>
                <c:ptCount val="2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7.6923076923076927E-2</c:v>
                </c:pt>
                <c:pt idx="14">
                  <c:v>7.1428571428571425E-2</c:v>
                </c:pt>
                <c:pt idx="15">
                  <c:v>6.6666666666666666E-2</c:v>
                </c:pt>
                <c:pt idx="16">
                  <c:v>6.25E-2</c:v>
                </c:pt>
                <c:pt idx="17">
                  <c:v>5.8823529411764705E-2</c:v>
                </c:pt>
                <c:pt idx="18">
                  <c:v>5.5555555555555552E-2</c:v>
                </c:pt>
                <c:pt idx="19">
                  <c:v>5.2631578947368418E-2</c:v>
                </c:pt>
                <c:pt idx="20">
                  <c:v>0.05</c:v>
                </c:pt>
                <c:pt idx="21">
                  <c:v>4.7619047619047616E-2</c:v>
                </c:pt>
                <c:pt idx="22">
                  <c:v>4.5454545454545456E-2</c:v>
                </c:pt>
                <c:pt idx="23">
                  <c:v>4.3478260869565216E-2</c:v>
                </c:pt>
                <c:pt idx="24">
                  <c:v>4.1666666666666664E-2</c:v>
                </c:pt>
                <c:pt idx="25">
                  <c:v>0.04</c:v>
                </c:pt>
                <c:pt idx="26">
                  <c:v>3.8461538461538464E-2</c:v>
                </c:pt>
                <c:pt idx="27">
                  <c:v>3.7037037037037035E-2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1863517060367453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のり2!$M$1:$M$2</c:f>
              <c:strCache>
                <c:ptCount val="2"/>
                <c:pt idx="0">
                  <c:v>のり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のり2!$A$3:$A$30</c:f>
              <c:numCache>
                <c:formatCode>0\ "回"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のり2!$M$3:$M$30</c:f>
              <c:numCache>
                <c:formatCode>0.0%</c:formatCode>
                <c:ptCount val="28"/>
                <c:pt idx="1">
                  <c:v>0.44444444444444442</c:v>
                </c:pt>
                <c:pt idx="2">
                  <c:v>0.3125</c:v>
                </c:pt>
                <c:pt idx="3">
                  <c:v>0.34615384615384615</c:v>
                </c:pt>
                <c:pt idx="4">
                  <c:v>0.27027027027027029</c:v>
                </c:pt>
                <c:pt idx="5">
                  <c:v>0.27659574468085107</c:v>
                </c:pt>
                <c:pt idx="6">
                  <c:v>0.25454545454545452</c:v>
                </c:pt>
                <c:pt idx="7">
                  <c:v>0.26984126984126983</c:v>
                </c:pt>
                <c:pt idx="8">
                  <c:v>0.27536231884057971</c:v>
                </c:pt>
                <c:pt idx="9">
                  <c:v>0.26666666666666666</c:v>
                </c:pt>
                <c:pt idx="10">
                  <c:v>0.25301204819277107</c:v>
                </c:pt>
                <c:pt idx="11">
                  <c:v>0.24444444444444444</c:v>
                </c:pt>
                <c:pt idx="12">
                  <c:v>0.24742268041237114</c:v>
                </c:pt>
                <c:pt idx="13">
                  <c:v>0.24761904761904763</c:v>
                </c:pt>
                <c:pt idx="14">
                  <c:v>0.26724137931034481</c:v>
                </c:pt>
                <c:pt idx="15">
                  <c:v>0.25409836065573771</c:v>
                </c:pt>
                <c:pt idx="16">
                  <c:v>0.2421875</c:v>
                </c:pt>
                <c:pt idx="17">
                  <c:v>0.23529411764705882</c:v>
                </c:pt>
                <c:pt idx="18">
                  <c:v>0.23076923076923078</c:v>
                </c:pt>
                <c:pt idx="19">
                  <c:v>0.2185430463576159</c:v>
                </c:pt>
                <c:pt idx="20">
                  <c:v>0.21019108280254778</c:v>
                </c:pt>
                <c:pt idx="21">
                  <c:v>0.20238095238095238</c:v>
                </c:pt>
                <c:pt idx="22">
                  <c:v>0.2</c:v>
                </c:pt>
                <c:pt idx="23">
                  <c:v>0.20218579234972678</c:v>
                </c:pt>
                <c:pt idx="24">
                  <c:v>0.19473684210526315</c:v>
                </c:pt>
                <c:pt idx="25">
                  <c:v>0.19696969696969696</c:v>
                </c:pt>
                <c:pt idx="26">
                  <c:v>0.20192307692307693</c:v>
                </c:pt>
                <c:pt idx="27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55315145813734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のり2!$N$1:$N$2</c:f>
              <c:strCache>
                <c:ptCount val="2"/>
                <c:pt idx="0">
                  <c:v>のり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のり2!$A$3:$A$30</c:f>
              <c:numCache>
                <c:formatCode>0\ "回"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のり2!$N$3:$N$30</c:f>
              <c:numCache>
                <c:formatCode>0.0%</c:formatCode>
                <c:ptCount val="28"/>
                <c:pt idx="1">
                  <c:v>0.22222222222222221</c:v>
                </c:pt>
                <c:pt idx="2">
                  <c:v>0.1875</c:v>
                </c:pt>
                <c:pt idx="3">
                  <c:v>0.23076923076923078</c:v>
                </c:pt>
                <c:pt idx="4">
                  <c:v>0.24324324324324326</c:v>
                </c:pt>
                <c:pt idx="5">
                  <c:v>0.23404255319148937</c:v>
                </c:pt>
                <c:pt idx="6">
                  <c:v>0.2</c:v>
                </c:pt>
                <c:pt idx="7">
                  <c:v>0.22222222222222221</c:v>
                </c:pt>
                <c:pt idx="8">
                  <c:v>0.21739130434782608</c:v>
                </c:pt>
                <c:pt idx="9">
                  <c:v>0.21333333333333335</c:v>
                </c:pt>
                <c:pt idx="10">
                  <c:v>0.2289156626506024</c:v>
                </c:pt>
                <c:pt idx="11">
                  <c:v>0.23333333333333334</c:v>
                </c:pt>
                <c:pt idx="12">
                  <c:v>0.22680412371134021</c:v>
                </c:pt>
                <c:pt idx="13">
                  <c:v>0.22857142857142856</c:v>
                </c:pt>
                <c:pt idx="14">
                  <c:v>0.21551724137931033</c:v>
                </c:pt>
                <c:pt idx="15">
                  <c:v>0.22950819672131148</c:v>
                </c:pt>
                <c:pt idx="16">
                  <c:v>0.234375</c:v>
                </c:pt>
                <c:pt idx="17">
                  <c:v>0.22794117647058823</c:v>
                </c:pt>
                <c:pt idx="18">
                  <c:v>0.23076923076923078</c:v>
                </c:pt>
                <c:pt idx="19">
                  <c:v>0.2185430463576159</c:v>
                </c:pt>
                <c:pt idx="20">
                  <c:v>0.21019108280254778</c:v>
                </c:pt>
                <c:pt idx="21">
                  <c:v>0.20833333333333334</c:v>
                </c:pt>
                <c:pt idx="22">
                  <c:v>0.20571428571428571</c:v>
                </c:pt>
                <c:pt idx="23">
                  <c:v>0.20765027322404372</c:v>
                </c:pt>
                <c:pt idx="24">
                  <c:v>0.2</c:v>
                </c:pt>
                <c:pt idx="25">
                  <c:v>0.20202020202020202</c:v>
                </c:pt>
                <c:pt idx="26">
                  <c:v>0.20192307692307693</c:v>
                </c:pt>
                <c:pt idx="27">
                  <c:v>0.20465116279069767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02006898714330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のり2!$O$1:$O$2</c:f>
              <c:strCache>
                <c:ptCount val="2"/>
                <c:pt idx="0">
                  <c:v>のり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のり2!$A$3:$A$30</c:f>
              <c:numCache>
                <c:formatCode>0\ "回"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のり2!$O$3:$O$30</c:f>
              <c:numCache>
                <c:formatCode>0.0%</c:formatCode>
                <c:ptCount val="28"/>
                <c:pt idx="1">
                  <c:v>0.5</c:v>
                </c:pt>
                <c:pt idx="2">
                  <c:v>0.6</c:v>
                </c:pt>
                <c:pt idx="3">
                  <c:v>0.55555555555555558</c:v>
                </c:pt>
                <c:pt idx="4">
                  <c:v>0.6</c:v>
                </c:pt>
                <c:pt idx="5">
                  <c:v>0.46153846153846156</c:v>
                </c:pt>
                <c:pt idx="6">
                  <c:v>0.42857142857142855</c:v>
                </c:pt>
                <c:pt idx="7">
                  <c:v>0.47058823529411764</c:v>
                </c:pt>
                <c:pt idx="8">
                  <c:v>0.47368421052631576</c:v>
                </c:pt>
                <c:pt idx="9">
                  <c:v>0.5</c:v>
                </c:pt>
                <c:pt idx="10">
                  <c:v>0.52380952380952384</c:v>
                </c:pt>
                <c:pt idx="11">
                  <c:v>0.54545454545454541</c:v>
                </c:pt>
                <c:pt idx="12">
                  <c:v>0.58333333333333337</c:v>
                </c:pt>
                <c:pt idx="13">
                  <c:v>0.57692307692307687</c:v>
                </c:pt>
                <c:pt idx="14">
                  <c:v>0.5161290322580645</c:v>
                </c:pt>
                <c:pt idx="15">
                  <c:v>0.5161290322580645</c:v>
                </c:pt>
                <c:pt idx="16">
                  <c:v>0.5161290322580645</c:v>
                </c:pt>
                <c:pt idx="17">
                  <c:v>0.53125</c:v>
                </c:pt>
                <c:pt idx="18">
                  <c:v>0.51515151515151514</c:v>
                </c:pt>
                <c:pt idx="19">
                  <c:v>0.51515151515151514</c:v>
                </c:pt>
                <c:pt idx="20">
                  <c:v>0.51515151515151514</c:v>
                </c:pt>
                <c:pt idx="21">
                  <c:v>0.52941176470588236</c:v>
                </c:pt>
                <c:pt idx="22">
                  <c:v>0.51428571428571423</c:v>
                </c:pt>
                <c:pt idx="23">
                  <c:v>0.51351351351351349</c:v>
                </c:pt>
                <c:pt idx="24">
                  <c:v>0.51351351351351349</c:v>
                </c:pt>
                <c:pt idx="25">
                  <c:v>0.53846153846153844</c:v>
                </c:pt>
                <c:pt idx="26">
                  <c:v>0.5714285714285714</c:v>
                </c:pt>
                <c:pt idx="27">
                  <c:v>0.58139534883720934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670498084291187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のり2!$P$1:$P$2</c:f>
              <c:strCache>
                <c:ptCount val="2"/>
                <c:pt idx="0">
                  <c:v>のり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のり2!$A$3:$A$30</c:f>
              <c:numCache>
                <c:formatCode>0\ "回"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のり2!$P$3:$P$30</c:f>
              <c:numCache>
                <c:formatCode>0.0%</c:formatCode>
                <c:ptCount val="28"/>
                <c:pt idx="1">
                  <c:v>0.5</c:v>
                </c:pt>
                <c:pt idx="2">
                  <c:v>0.33333333333333331</c:v>
                </c:pt>
                <c:pt idx="3">
                  <c:v>0.16666666666666666</c:v>
                </c:pt>
                <c:pt idx="4">
                  <c:v>0.1111111111111111</c:v>
                </c:pt>
                <c:pt idx="5">
                  <c:v>9.0909090909090912E-2</c:v>
                </c:pt>
                <c:pt idx="6">
                  <c:v>9.0909090909090912E-2</c:v>
                </c:pt>
                <c:pt idx="7">
                  <c:v>0.2857142857142857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0.42105263157894735</c:v>
                </c:pt>
                <c:pt idx="11">
                  <c:v>0.38095238095238093</c:v>
                </c:pt>
                <c:pt idx="12">
                  <c:v>0.36363636363636365</c:v>
                </c:pt>
                <c:pt idx="13">
                  <c:v>0.33333333333333331</c:v>
                </c:pt>
                <c:pt idx="14">
                  <c:v>0.36</c:v>
                </c:pt>
                <c:pt idx="15">
                  <c:v>0.35714285714285715</c:v>
                </c:pt>
                <c:pt idx="16">
                  <c:v>0.33333333333333331</c:v>
                </c:pt>
                <c:pt idx="17">
                  <c:v>0.32258064516129031</c:v>
                </c:pt>
                <c:pt idx="18">
                  <c:v>0.33333333333333331</c:v>
                </c:pt>
                <c:pt idx="19">
                  <c:v>0.33333333333333331</c:v>
                </c:pt>
                <c:pt idx="20">
                  <c:v>0.33333333333333331</c:v>
                </c:pt>
                <c:pt idx="21">
                  <c:v>0.34285714285714286</c:v>
                </c:pt>
                <c:pt idx="22">
                  <c:v>0.3611111111111111</c:v>
                </c:pt>
                <c:pt idx="23">
                  <c:v>0.34210526315789475</c:v>
                </c:pt>
                <c:pt idx="24">
                  <c:v>0.34210526315789475</c:v>
                </c:pt>
                <c:pt idx="25">
                  <c:v>0.35</c:v>
                </c:pt>
                <c:pt idx="26">
                  <c:v>0.35714285714285715</c:v>
                </c:pt>
                <c:pt idx="27">
                  <c:v>0.36363636363636365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060052219321148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のり2!$Q$1:$Q$2</c:f>
              <c:strCache>
                <c:ptCount val="2"/>
                <c:pt idx="0">
                  <c:v>のり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のり2!$A$3:$A$30</c:f>
              <c:numCache>
                <c:formatCode>0\ "回"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のり2!$Q$3:$Q$30</c:f>
              <c:numCache>
                <c:formatCode>0.0%</c:formatCode>
                <c:ptCount val="28"/>
                <c:pt idx="1">
                  <c:v>0.33333333333333331</c:v>
                </c:pt>
                <c:pt idx="2">
                  <c:v>0.5</c:v>
                </c:pt>
                <c:pt idx="3">
                  <c:v>0.5</c:v>
                </c:pt>
                <c:pt idx="4">
                  <c:v>0.5714285714285714</c:v>
                </c:pt>
                <c:pt idx="5">
                  <c:v>0.5714285714285714</c:v>
                </c:pt>
                <c:pt idx="6">
                  <c:v>0.5714285714285714</c:v>
                </c:pt>
                <c:pt idx="7">
                  <c:v>0.5</c:v>
                </c:pt>
                <c:pt idx="8">
                  <c:v>0.5714285714285714</c:v>
                </c:pt>
                <c:pt idx="9">
                  <c:v>0.5625</c:v>
                </c:pt>
                <c:pt idx="10">
                  <c:v>0.52631578947368418</c:v>
                </c:pt>
                <c:pt idx="11">
                  <c:v>0.5</c:v>
                </c:pt>
                <c:pt idx="12">
                  <c:v>0.47826086956521741</c:v>
                </c:pt>
                <c:pt idx="13">
                  <c:v>0.5</c:v>
                </c:pt>
                <c:pt idx="14">
                  <c:v>0.5</c:v>
                </c:pt>
                <c:pt idx="15">
                  <c:v>0.48148148148148145</c:v>
                </c:pt>
                <c:pt idx="16">
                  <c:v>0.5</c:v>
                </c:pt>
                <c:pt idx="17">
                  <c:v>0.46666666666666667</c:v>
                </c:pt>
                <c:pt idx="18">
                  <c:v>0.4375</c:v>
                </c:pt>
                <c:pt idx="19">
                  <c:v>0.4375</c:v>
                </c:pt>
                <c:pt idx="20">
                  <c:v>0.4375</c:v>
                </c:pt>
                <c:pt idx="21">
                  <c:v>0.48571428571428571</c:v>
                </c:pt>
                <c:pt idx="22">
                  <c:v>0.5</c:v>
                </c:pt>
                <c:pt idx="23">
                  <c:v>0.46153846153846156</c:v>
                </c:pt>
                <c:pt idx="24">
                  <c:v>0.45</c:v>
                </c:pt>
                <c:pt idx="25">
                  <c:v>0.44186046511627908</c:v>
                </c:pt>
                <c:pt idx="26">
                  <c:v>0.47916666666666669</c:v>
                </c:pt>
                <c:pt idx="27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294871794871794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4" bestFit="1" customWidth="1"/>
    <col min="6" max="6" width="11" style="10" bestFit="1" customWidth="1"/>
    <col min="7" max="8" width="9" style="1" customWidth="1"/>
    <col min="9" max="9" width="9" style="31" customWidth="1"/>
    <col min="10" max="10" width="3.625" style="1" customWidth="1"/>
    <col min="11" max="11" width="3.5" style="5" customWidth="1"/>
    <col min="12" max="12" width="9" style="95" customWidth="1"/>
    <col min="13" max="13" width="3.625" style="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1"/>
  </cols>
  <sheetData>
    <row r="1" spans="1:17" x14ac:dyDescent="0.4">
      <c r="A1" s="18" t="s">
        <v>0</v>
      </c>
      <c r="B1" s="148"/>
      <c r="C1" s="149"/>
      <c r="E1" s="125" t="s">
        <v>165</v>
      </c>
      <c r="F1" s="12" t="s">
        <v>115</v>
      </c>
      <c r="G1" s="24" t="s">
        <v>116</v>
      </c>
      <c r="H1" s="126" t="s">
        <v>117</v>
      </c>
      <c r="I1" s="96" t="s">
        <v>152</v>
      </c>
      <c r="K1" s="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157</v>
      </c>
    </row>
    <row r="2" spans="1:17" x14ac:dyDescent="0.4">
      <c r="A2" s="19" t="s">
        <v>9</v>
      </c>
      <c r="B2" s="150">
        <v>0</v>
      </c>
      <c r="C2" s="151"/>
      <c r="E2" s="58" t="s">
        <v>64</v>
      </c>
      <c r="F2" s="25" t="s">
        <v>20</v>
      </c>
      <c r="G2" s="13">
        <v>0</v>
      </c>
      <c r="H2" s="128">
        <f>IF(B$17=0,0,G2/B$17)</f>
        <v>0</v>
      </c>
      <c r="I2" s="89"/>
      <c r="K2" s="3">
        <v>0</v>
      </c>
      <c r="L2" s="94">
        <v>0</v>
      </c>
      <c r="N2" s="110" t="s">
        <v>130</v>
      </c>
      <c r="O2" s="117">
        <f t="shared" ref="O2:O7" si="0">IF(P2=0,0,Q2/P2)</f>
        <v>0</v>
      </c>
      <c r="P2" s="114">
        <v>0</v>
      </c>
      <c r="Q2" s="98">
        <v>0</v>
      </c>
    </row>
    <row r="3" spans="1:17" x14ac:dyDescent="0.4">
      <c r="A3" s="20" t="s">
        <v>8</v>
      </c>
      <c r="B3" s="152">
        <v>0</v>
      </c>
      <c r="C3" s="153"/>
      <c r="E3" s="59" t="s">
        <v>65</v>
      </c>
      <c r="F3" s="26" t="s">
        <v>21</v>
      </c>
      <c r="G3" s="14">
        <v>0</v>
      </c>
      <c r="H3" s="129">
        <f t="shared" ref="H3:H50" si="1">IF(B$17=0,0,G3/B$17)</f>
        <v>0</v>
      </c>
      <c r="I3" s="90"/>
      <c r="N3" s="111" t="s">
        <v>131</v>
      </c>
      <c r="O3" s="118">
        <f t="shared" si="0"/>
        <v>0</v>
      </c>
      <c r="P3" s="115">
        <v>0</v>
      </c>
      <c r="Q3" s="99">
        <v>0</v>
      </c>
    </row>
    <row r="4" spans="1:17" x14ac:dyDescent="0.4">
      <c r="A4" s="20" t="s">
        <v>6</v>
      </c>
      <c r="B4" s="154">
        <v>0</v>
      </c>
      <c r="C4" s="155"/>
      <c r="E4" s="59" t="s">
        <v>66</v>
      </c>
      <c r="F4" s="26" t="s">
        <v>22</v>
      </c>
      <c r="G4" s="14">
        <v>0</v>
      </c>
      <c r="H4" s="129">
        <f t="shared" si="1"/>
        <v>0</v>
      </c>
      <c r="I4" s="90"/>
      <c r="N4" s="111" t="s">
        <v>132</v>
      </c>
      <c r="O4" s="118">
        <f t="shared" si="0"/>
        <v>0</v>
      </c>
      <c r="P4" s="115">
        <v>0</v>
      </c>
      <c r="Q4" s="99">
        <v>0</v>
      </c>
    </row>
    <row r="5" spans="1:17" x14ac:dyDescent="0.4">
      <c r="A5" s="20" t="s">
        <v>7</v>
      </c>
      <c r="B5" s="156">
        <f>IF(B$2=0,0,B$4/B$2)</f>
        <v>0</v>
      </c>
      <c r="C5" s="157"/>
      <c r="E5" s="59" t="s">
        <v>67</v>
      </c>
      <c r="F5" s="26" t="s">
        <v>23</v>
      </c>
      <c r="G5" s="14">
        <v>0</v>
      </c>
      <c r="H5" s="129">
        <f>IF(B$17=0,0,G5/B$17)</f>
        <v>0</v>
      </c>
      <c r="I5" s="90"/>
      <c r="N5" s="111" t="s">
        <v>133</v>
      </c>
      <c r="O5" s="118">
        <f t="shared" si="0"/>
        <v>0</v>
      </c>
      <c r="P5" s="115">
        <v>0</v>
      </c>
      <c r="Q5" s="99">
        <v>0</v>
      </c>
    </row>
    <row r="6" spans="1:17" x14ac:dyDescent="0.4">
      <c r="A6" s="20" t="s">
        <v>1</v>
      </c>
      <c r="B6" s="146">
        <f>IF(B$2=0,0,(B$7*1+B$8*2+B$9*3)/B$2)</f>
        <v>0</v>
      </c>
      <c r="C6" s="147"/>
      <c r="E6" s="59" t="s">
        <v>68</v>
      </c>
      <c r="F6" s="26" t="s">
        <v>12</v>
      </c>
      <c r="G6" s="14">
        <v>0</v>
      </c>
      <c r="H6" s="129">
        <f t="shared" si="1"/>
        <v>0</v>
      </c>
      <c r="I6" s="90"/>
      <c r="N6" s="111" t="s">
        <v>134</v>
      </c>
      <c r="O6" s="118">
        <f t="shared" si="0"/>
        <v>0</v>
      </c>
      <c r="P6" s="115">
        <v>0</v>
      </c>
      <c r="Q6" s="99">
        <v>0</v>
      </c>
    </row>
    <row r="7" spans="1:17" x14ac:dyDescent="0.4">
      <c r="A7" s="20" t="s">
        <v>2</v>
      </c>
      <c r="B7" s="14">
        <v>0</v>
      </c>
      <c r="C7" s="6">
        <f t="shared" ref="C7:C12" si="2">IF(B$2=0,0,B7/B$2)</f>
        <v>0</v>
      </c>
      <c r="E7" s="59" t="s">
        <v>69</v>
      </c>
      <c r="F7" s="26" t="s">
        <v>24</v>
      </c>
      <c r="G7" s="14">
        <v>0</v>
      </c>
      <c r="H7" s="129">
        <f t="shared" si="1"/>
        <v>0</v>
      </c>
      <c r="I7" s="90"/>
      <c r="N7" s="112" t="s">
        <v>135</v>
      </c>
      <c r="O7" s="119">
        <f t="shared" si="0"/>
        <v>0</v>
      </c>
      <c r="P7" s="116">
        <v>0</v>
      </c>
      <c r="Q7" s="100">
        <v>0</v>
      </c>
    </row>
    <row r="8" spans="1:17" x14ac:dyDescent="0.4">
      <c r="A8" s="20" t="s">
        <v>3</v>
      </c>
      <c r="B8" s="14">
        <v>0</v>
      </c>
      <c r="C8" s="6">
        <f t="shared" si="2"/>
        <v>0</v>
      </c>
      <c r="E8" s="59" t="s">
        <v>70</v>
      </c>
      <c r="F8" s="26" t="s">
        <v>25</v>
      </c>
      <c r="G8" s="14">
        <v>0</v>
      </c>
      <c r="H8" s="129">
        <f t="shared" si="1"/>
        <v>0</v>
      </c>
      <c r="I8" s="90"/>
      <c r="N8" s="41"/>
      <c r="O8" s="123"/>
      <c r="P8" s="107"/>
      <c r="Q8" s="105"/>
    </row>
    <row r="9" spans="1:17" x14ac:dyDescent="0.4">
      <c r="A9" s="21" t="s">
        <v>4</v>
      </c>
      <c r="B9" s="15">
        <v>0</v>
      </c>
      <c r="C9" s="7">
        <f t="shared" si="2"/>
        <v>0</v>
      </c>
      <c r="E9" s="59" t="s">
        <v>71</v>
      </c>
      <c r="F9" s="26" t="s">
        <v>26</v>
      </c>
      <c r="G9" s="14">
        <v>0</v>
      </c>
      <c r="H9" s="129">
        <f t="shared" si="1"/>
        <v>0</v>
      </c>
      <c r="I9" s="90"/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21" t="s">
        <v>18</v>
      </c>
      <c r="B10" s="15">
        <v>0</v>
      </c>
      <c r="C10" s="7">
        <f t="shared" si="2"/>
        <v>0</v>
      </c>
      <c r="E10" s="59" t="s">
        <v>72</v>
      </c>
      <c r="F10" s="26" t="s">
        <v>27</v>
      </c>
      <c r="G10" s="14">
        <v>0</v>
      </c>
      <c r="H10" s="129">
        <f t="shared" si="1"/>
        <v>0</v>
      </c>
      <c r="I10" s="90"/>
      <c r="N10" s="110" t="s">
        <v>162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138</v>
      </c>
      <c r="B11" s="45">
        <v>0</v>
      </c>
      <c r="C11" s="38">
        <f t="shared" si="2"/>
        <v>0</v>
      </c>
      <c r="E11" s="59" t="s">
        <v>73</v>
      </c>
      <c r="F11" s="26" t="s">
        <v>28</v>
      </c>
      <c r="G11" s="14">
        <v>0</v>
      </c>
      <c r="H11" s="129">
        <f t="shared" si="1"/>
        <v>0</v>
      </c>
      <c r="I11" s="90"/>
      <c r="N11" s="111" t="s">
        <v>163</v>
      </c>
      <c r="O11" s="121">
        <f>IF(P11=0,0,Q11/P11)</f>
        <v>0</v>
      </c>
      <c r="P11" s="115">
        <v>0</v>
      </c>
      <c r="Q11" s="103">
        <v>0</v>
      </c>
    </row>
    <row r="12" spans="1:17" x14ac:dyDescent="0.4">
      <c r="A12" s="53" t="s">
        <v>158</v>
      </c>
      <c r="B12" s="46">
        <v>0</v>
      </c>
      <c r="C12" s="40">
        <f t="shared" si="2"/>
        <v>0</v>
      </c>
      <c r="E12" s="59" t="s">
        <v>74</v>
      </c>
      <c r="F12" s="26" t="s">
        <v>29</v>
      </c>
      <c r="G12" s="14">
        <v>0</v>
      </c>
      <c r="H12" s="129">
        <f t="shared" si="1"/>
        <v>0</v>
      </c>
      <c r="I12" s="90"/>
      <c r="N12" s="112" t="s">
        <v>164</v>
      </c>
      <c r="O12" s="122">
        <f>IF(P12=0,0,Q12/P12)</f>
        <v>0</v>
      </c>
      <c r="P12" s="116">
        <v>0</v>
      </c>
      <c r="Q12" s="104">
        <v>0</v>
      </c>
    </row>
    <row r="13" spans="1:17" x14ac:dyDescent="0.4">
      <c r="A13" s="23" t="s">
        <v>121</v>
      </c>
      <c r="B13" s="16">
        <v>0</v>
      </c>
      <c r="C13" s="11">
        <f>IF(B$3=0,0,B13/B$3)</f>
        <v>0</v>
      </c>
      <c r="E13" s="59" t="s">
        <v>75</v>
      </c>
      <c r="F13" s="26" t="s">
        <v>30</v>
      </c>
      <c r="G13" s="14">
        <v>0</v>
      </c>
      <c r="H13" s="129">
        <f t="shared" si="1"/>
        <v>0</v>
      </c>
      <c r="I13" s="90"/>
      <c r="N13" s="31"/>
      <c r="O13" s="106"/>
      <c r="P13" s="108"/>
      <c r="Q13" s="106"/>
    </row>
    <row r="14" spans="1:17" x14ac:dyDescent="0.4">
      <c r="A14" s="20" t="s">
        <v>118</v>
      </c>
      <c r="B14" s="14">
        <v>0</v>
      </c>
      <c r="C14" s="6">
        <f>IF(B$3=0,0,B14/B$3)</f>
        <v>0</v>
      </c>
      <c r="E14" s="59" t="s">
        <v>76</v>
      </c>
      <c r="F14" s="26" t="s">
        <v>31</v>
      </c>
      <c r="G14" s="14">
        <v>0</v>
      </c>
      <c r="H14" s="129">
        <f t="shared" si="1"/>
        <v>0</v>
      </c>
      <c r="I14" s="90"/>
      <c r="N14" s="109" t="s">
        <v>153</v>
      </c>
      <c r="O14" s="32" t="s">
        <v>154</v>
      </c>
      <c r="P14" s="113" t="s">
        <v>155</v>
      </c>
      <c r="Q14" s="101" t="s">
        <v>156</v>
      </c>
    </row>
    <row r="15" spans="1:17" x14ac:dyDescent="0.4">
      <c r="A15" s="19" t="s">
        <v>123</v>
      </c>
      <c r="B15" s="13">
        <v>0</v>
      </c>
      <c r="C15" s="4">
        <f>IF(B$13=0,0,B15/B$13)</f>
        <v>0</v>
      </c>
      <c r="E15" s="59" t="s">
        <v>77</v>
      </c>
      <c r="F15" s="26" t="s">
        <v>32</v>
      </c>
      <c r="G15" s="14">
        <v>0</v>
      </c>
      <c r="H15" s="129">
        <f t="shared" si="1"/>
        <v>0</v>
      </c>
      <c r="I15" s="90"/>
      <c r="N15" s="110"/>
      <c r="O15" s="120"/>
      <c r="P15" s="114"/>
      <c r="Q15" s="102"/>
    </row>
    <row r="16" spans="1:17" x14ac:dyDescent="0.4">
      <c r="A16" s="19" t="s">
        <v>124</v>
      </c>
      <c r="B16" s="13">
        <v>0</v>
      </c>
      <c r="C16" s="4">
        <f>IF(B$14=0,0,B16/B$14)</f>
        <v>0</v>
      </c>
      <c r="E16" s="59" t="s">
        <v>78</v>
      </c>
      <c r="F16" s="26" t="s">
        <v>33</v>
      </c>
      <c r="G16" s="14">
        <v>0</v>
      </c>
      <c r="H16" s="129">
        <f t="shared" si="1"/>
        <v>0</v>
      </c>
      <c r="I16" s="90"/>
    </row>
    <row r="17" spans="1:9" x14ac:dyDescent="0.4">
      <c r="A17" s="19" t="s">
        <v>10</v>
      </c>
      <c r="B17" s="13">
        <f>B19+B18</f>
        <v>0</v>
      </c>
      <c r="C17" s="4">
        <f>IF(B$3=0,0,B17/B$3)</f>
        <v>0</v>
      </c>
      <c r="E17" s="59" t="s">
        <v>79</v>
      </c>
      <c r="F17" s="26" t="s">
        <v>34</v>
      </c>
      <c r="G17" s="14">
        <v>0</v>
      </c>
      <c r="H17" s="129">
        <f t="shared" si="1"/>
        <v>0</v>
      </c>
      <c r="I17" s="90"/>
    </row>
    <row r="18" spans="1:9" x14ac:dyDescent="0.4">
      <c r="A18" s="20" t="s">
        <v>12</v>
      </c>
      <c r="B18" s="14">
        <v>0</v>
      </c>
      <c r="C18" s="6">
        <f>IF(B$17=0,0,B18/B$17)</f>
        <v>0</v>
      </c>
      <c r="E18" s="59" t="s">
        <v>80</v>
      </c>
      <c r="F18" s="26" t="s">
        <v>35</v>
      </c>
      <c r="G18" s="14">
        <v>0</v>
      </c>
      <c r="H18" s="129">
        <f t="shared" si="1"/>
        <v>0</v>
      </c>
      <c r="I18" s="90"/>
    </row>
    <row r="19" spans="1:9" x14ac:dyDescent="0.4">
      <c r="A19" s="20" t="s">
        <v>11</v>
      </c>
      <c r="B19" s="14">
        <v>0</v>
      </c>
      <c r="C19" s="6">
        <f>IF(B$17=0,0,B19/B$17)</f>
        <v>0</v>
      </c>
      <c r="E19" s="59" t="s">
        <v>81</v>
      </c>
      <c r="F19" s="26" t="s">
        <v>36</v>
      </c>
      <c r="G19" s="14">
        <v>0</v>
      </c>
      <c r="H19" s="129">
        <f t="shared" si="1"/>
        <v>0</v>
      </c>
      <c r="I19" s="90"/>
    </row>
    <row r="20" spans="1:9" x14ac:dyDescent="0.4">
      <c r="A20" s="51" t="s">
        <v>13</v>
      </c>
      <c r="B20" s="44">
        <v>0</v>
      </c>
      <c r="C20" s="37">
        <f>IF(B$3=0,0,B20/B$3)</f>
        <v>0</v>
      </c>
      <c r="E20" s="59" t="s">
        <v>82</v>
      </c>
      <c r="F20" s="26" t="s">
        <v>37</v>
      </c>
      <c r="G20" s="14">
        <v>0</v>
      </c>
      <c r="H20" s="129">
        <f t="shared" si="1"/>
        <v>0</v>
      </c>
      <c r="I20" s="90"/>
    </row>
    <row r="21" spans="1:9" x14ac:dyDescent="0.4">
      <c r="A21" s="51" t="s">
        <v>169</v>
      </c>
      <c r="B21" s="44">
        <v>0</v>
      </c>
      <c r="C21" s="131">
        <v>0</v>
      </c>
      <c r="E21" s="59" t="s">
        <v>83</v>
      </c>
      <c r="F21" s="26" t="s">
        <v>38</v>
      </c>
      <c r="G21" s="14">
        <v>0</v>
      </c>
      <c r="H21" s="129">
        <f t="shared" si="1"/>
        <v>0</v>
      </c>
      <c r="I21" s="90"/>
    </row>
    <row r="22" spans="1:9" x14ac:dyDescent="0.4">
      <c r="A22" s="20" t="s">
        <v>170</v>
      </c>
      <c r="B22" s="14">
        <v>0</v>
      </c>
      <c r="C22" s="131">
        <v>0</v>
      </c>
      <c r="E22" s="59" t="s">
        <v>84</v>
      </c>
      <c r="F22" s="26" t="s">
        <v>39</v>
      </c>
      <c r="G22" s="14">
        <v>0</v>
      </c>
      <c r="H22" s="129">
        <f t="shared" si="1"/>
        <v>0</v>
      </c>
      <c r="I22" s="90"/>
    </row>
    <row r="23" spans="1:9" x14ac:dyDescent="0.4">
      <c r="A23" s="20" t="s">
        <v>5</v>
      </c>
      <c r="B23" s="17">
        <f>IF(B$17=0,0,C23/B$17)</f>
        <v>0</v>
      </c>
      <c r="C23" s="8">
        <v>0</v>
      </c>
      <c r="E23" s="59" t="s">
        <v>85</v>
      </c>
      <c r="F23" s="26" t="s">
        <v>40</v>
      </c>
      <c r="G23" s="14">
        <v>0</v>
      </c>
      <c r="H23" s="129">
        <f t="shared" si="1"/>
        <v>0</v>
      </c>
      <c r="I23" s="90"/>
    </row>
    <row r="24" spans="1:9" x14ac:dyDescent="0.4">
      <c r="A24" s="52" t="s">
        <v>216</v>
      </c>
      <c r="B24" s="136">
        <f>IF($B$17-B$16=0,0,C24/($B$17-B$16))</f>
        <v>0</v>
      </c>
      <c r="C24" s="137">
        <v>0</v>
      </c>
      <c r="E24" s="59" t="s">
        <v>86</v>
      </c>
      <c r="F24" s="26" t="s">
        <v>41</v>
      </c>
      <c r="G24" s="14">
        <v>0</v>
      </c>
      <c r="H24" s="129">
        <f t="shared" si="1"/>
        <v>0</v>
      </c>
      <c r="I24" s="90"/>
    </row>
    <row r="25" spans="1:9" x14ac:dyDescent="0.4">
      <c r="A25" s="52" t="s">
        <v>217</v>
      </c>
      <c r="B25" s="136">
        <f>IF(B$16=0,0,C25/B$16)</f>
        <v>0</v>
      </c>
      <c r="C25" s="137">
        <v>0</v>
      </c>
      <c r="E25" s="59" t="s">
        <v>87</v>
      </c>
      <c r="F25" s="26" t="s">
        <v>42</v>
      </c>
      <c r="G25" s="14">
        <v>0</v>
      </c>
      <c r="H25" s="129">
        <f t="shared" si="1"/>
        <v>0</v>
      </c>
      <c r="I25" s="90"/>
    </row>
    <row r="26" spans="1:9" x14ac:dyDescent="0.4">
      <c r="A26" s="52" t="s">
        <v>215</v>
      </c>
      <c r="B26" s="136">
        <f>IF(B$20=0,0,C26/B$20)</f>
        <v>0</v>
      </c>
      <c r="C26" s="137">
        <v>0</v>
      </c>
      <c r="E26" s="59" t="s">
        <v>88</v>
      </c>
      <c r="F26" s="26" t="s">
        <v>43</v>
      </c>
      <c r="G26" s="14">
        <v>0</v>
      </c>
      <c r="H26" s="129">
        <f t="shared" si="1"/>
        <v>0</v>
      </c>
      <c r="I26" s="90"/>
    </row>
    <row r="27" spans="1:9" x14ac:dyDescent="0.4">
      <c r="A27" s="86" t="s">
        <v>140</v>
      </c>
      <c r="B27" s="144">
        <v>0</v>
      </c>
      <c r="C27" s="145"/>
      <c r="E27" s="59" t="s">
        <v>89</v>
      </c>
      <c r="F27" s="26" t="s">
        <v>44</v>
      </c>
      <c r="G27" s="14">
        <v>0</v>
      </c>
      <c r="H27" s="129">
        <f t="shared" si="1"/>
        <v>0</v>
      </c>
      <c r="I27" s="90"/>
    </row>
    <row r="28" spans="1:9" x14ac:dyDescent="0.4">
      <c r="A28" s="54" t="s">
        <v>150</v>
      </c>
      <c r="B28" s="142">
        <v>-1000000</v>
      </c>
      <c r="C28" s="143"/>
      <c r="E28" s="59" t="s">
        <v>90</v>
      </c>
      <c r="F28" s="26" t="s">
        <v>45</v>
      </c>
      <c r="G28" s="14">
        <v>0</v>
      </c>
      <c r="H28" s="129">
        <f t="shared" si="1"/>
        <v>0</v>
      </c>
      <c r="I28" s="90"/>
    </row>
    <row r="29" spans="1:9" x14ac:dyDescent="0.4">
      <c r="A29" s="22" t="s">
        <v>141</v>
      </c>
      <c r="B29" s="30">
        <v>0</v>
      </c>
      <c r="C29" s="9">
        <f>IF(B$3=0,0,B29/B$3)</f>
        <v>0</v>
      </c>
      <c r="E29" s="59" t="s">
        <v>91</v>
      </c>
      <c r="F29" s="26" t="s">
        <v>46</v>
      </c>
      <c r="G29" s="14">
        <v>0</v>
      </c>
      <c r="H29" s="129">
        <f t="shared" si="1"/>
        <v>0</v>
      </c>
      <c r="I29" s="90"/>
    </row>
    <row r="30" spans="1:9" x14ac:dyDescent="0.4">
      <c r="E30" s="59" t="s">
        <v>92</v>
      </c>
      <c r="F30" s="26" t="s">
        <v>47</v>
      </c>
      <c r="G30" s="14">
        <v>0</v>
      </c>
      <c r="H30" s="129">
        <f t="shared" si="1"/>
        <v>0</v>
      </c>
      <c r="I30" s="90"/>
    </row>
    <row r="31" spans="1:9" x14ac:dyDescent="0.4">
      <c r="E31" s="59" t="s">
        <v>93</v>
      </c>
      <c r="F31" s="26" t="s">
        <v>48</v>
      </c>
      <c r="G31" s="14">
        <v>0</v>
      </c>
      <c r="H31" s="129">
        <f t="shared" si="1"/>
        <v>0</v>
      </c>
      <c r="I31" s="90"/>
    </row>
    <row r="32" spans="1:9" x14ac:dyDescent="0.4">
      <c r="E32" s="59" t="s">
        <v>94</v>
      </c>
      <c r="F32" s="26" t="s">
        <v>49</v>
      </c>
      <c r="G32" s="14">
        <v>0</v>
      </c>
      <c r="H32" s="129">
        <f t="shared" si="1"/>
        <v>0</v>
      </c>
      <c r="I32" s="90"/>
    </row>
    <row r="33" spans="5:9" x14ac:dyDescent="0.4">
      <c r="E33" s="59" t="s">
        <v>95</v>
      </c>
      <c r="F33" s="26" t="s">
        <v>50</v>
      </c>
      <c r="G33" s="14">
        <v>0</v>
      </c>
      <c r="H33" s="129">
        <f t="shared" si="1"/>
        <v>0</v>
      </c>
      <c r="I33" s="90"/>
    </row>
    <row r="34" spans="5:9" x14ac:dyDescent="0.4">
      <c r="E34" s="59" t="s">
        <v>96</v>
      </c>
      <c r="F34" s="26" t="s">
        <v>51</v>
      </c>
      <c r="G34" s="14">
        <v>0</v>
      </c>
      <c r="H34" s="129">
        <f t="shared" si="1"/>
        <v>0</v>
      </c>
      <c r="I34" s="90"/>
    </row>
    <row r="35" spans="5:9" x14ac:dyDescent="0.4">
      <c r="E35" s="59" t="s">
        <v>97</v>
      </c>
      <c r="F35" s="26" t="s">
        <v>52</v>
      </c>
      <c r="G35" s="14">
        <v>0</v>
      </c>
      <c r="H35" s="129">
        <f t="shared" si="1"/>
        <v>0</v>
      </c>
      <c r="I35" s="90"/>
    </row>
    <row r="36" spans="5:9" x14ac:dyDescent="0.4">
      <c r="E36" s="59" t="s">
        <v>98</v>
      </c>
      <c r="F36" s="26" t="s">
        <v>53</v>
      </c>
      <c r="G36" s="14">
        <v>0</v>
      </c>
      <c r="H36" s="129">
        <f t="shared" si="1"/>
        <v>0</v>
      </c>
      <c r="I36" s="90"/>
    </row>
    <row r="37" spans="5:9" x14ac:dyDescent="0.4">
      <c r="E37" s="59" t="s">
        <v>99</v>
      </c>
      <c r="F37" s="26" t="s">
        <v>54</v>
      </c>
      <c r="G37" s="14">
        <v>0</v>
      </c>
      <c r="H37" s="129">
        <f t="shared" si="1"/>
        <v>0</v>
      </c>
      <c r="I37" s="90"/>
    </row>
    <row r="38" spans="5:9" x14ac:dyDescent="0.4">
      <c r="E38" s="59" t="s">
        <v>100</v>
      </c>
      <c r="F38" s="26" t="s">
        <v>55</v>
      </c>
      <c r="G38" s="14">
        <v>0</v>
      </c>
      <c r="H38" s="129">
        <f t="shared" si="1"/>
        <v>0</v>
      </c>
      <c r="I38" s="90"/>
    </row>
    <row r="39" spans="5:9" x14ac:dyDescent="0.4">
      <c r="E39" s="59" t="s">
        <v>101</v>
      </c>
      <c r="F39" s="26" t="s">
        <v>56</v>
      </c>
      <c r="G39" s="14">
        <v>0</v>
      </c>
      <c r="H39" s="129">
        <f t="shared" si="1"/>
        <v>0</v>
      </c>
      <c r="I39" s="90"/>
    </row>
    <row r="40" spans="5:9" x14ac:dyDescent="0.4">
      <c r="E40" s="59" t="s">
        <v>102</v>
      </c>
      <c r="F40" s="26" t="s">
        <v>57</v>
      </c>
      <c r="G40" s="14">
        <v>0</v>
      </c>
      <c r="H40" s="129">
        <f t="shared" si="1"/>
        <v>0</v>
      </c>
      <c r="I40" s="90"/>
    </row>
    <row r="41" spans="5:9" x14ac:dyDescent="0.4">
      <c r="E41" s="59" t="s">
        <v>103</v>
      </c>
      <c r="F41" s="26" t="s">
        <v>58</v>
      </c>
      <c r="G41" s="14">
        <v>0</v>
      </c>
      <c r="H41" s="129">
        <f t="shared" si="1"/>
        <v>0</v>
      </c>
      <c r="I41" s="90"/>
    </row>
    <row r="42" spans="5:9" x14ac:dyDescent="0.4">
      <c r="E42" s="59" t="s">
        <v>104</v>
      </c>
      <c r="F42" s="26" t="s">
        <v>59</v>
      </c>
      <c r="G42" s="14">
        <v>0</v>
      </c>
      <c r="H42" s="129">
        <f t="shared" si="1"/>
        <v>0</v>
      </c>
      <c r="I42" s="90"/>
    </row>
    <row r="43" spans="5:9" x14ac:dyDescent="0.4">
      <c r="E43" s="59" t="s">
        <v>105</v>
      </c>
      <c r="F43" s="26" t="s">
        <v>112</v>
      </c>
      <c r="G43" s="14">
        <v>0</v>
      </c>
      <c r="H43" s="129">
        <f t="shared" si="1"/>
        <v>0</v>
      </c>
      <c r="I43" s="90"/>
    </row>
    <row r="44" spans="5:9" x14ac:dyDescent="0.4">
      <c r="E44" s="59" t="s">
        <v>106</v>
      </c>
      <c r="F44" s="26" t="s">
        <v>113</v>
      </c>
      <c r="G44" s="14">
        <v>0</v>
      </c>
      <c r="H44" s="129">
        <f t="shared" si="1"/>
        <v>0</v>
      </c>
      <c r="I44" s="90"/>
    </row>
    <row r="45" spans="5:9" x14ac:dyDescent="0.4">
      <c r="E45" s="59" t="s">
        <v>107</v>
      </c>
      <c r="F45" s="26" t="s">
        <v>114</v>
      </c>
      <c r="G45" s="14">
        <v>0</v>
      </c>
      <c r="H45" s="129">
        <f t="shared" si="1"/>
        <v>0</v>
      </c>
      <c r="I45" s="90"/>
    </row>
    <row r="46" spans="5:9" x14ac:dyDescent="0.4">
      <c r="E46" s="59" t="s">
        <v>108</v>
      </c>
      <c r="F46" s="26" t="s">
        <v>60</v>
      </c>
      <c r="G46" s="14">
        <v>0</v>
      </c>
      <c r="H46" s="129">
        <f t="shared" si="1"/>
        <v>0</v>
      </c>
      <c r="I46" s="90"/>
    </row>
    <row r="47" spans="5:9" x14ac:dyDescent="0.4">
      <c r="E47" s="59" t="s">
        <v>109</v>
      </c>
      <c r="F47" s="26" t="s">
        <v>61</v>
      </c>
      <c r="G47" s="14">
        <v>0</v>
      </c>
      <c r="H47" s="129">
        <f t="shared" si="1"/>
        <v>0</v>
      </c>
      <c r="I47" s="90"/>
    </row>
    <row r="48" spans="5:9" x14ac:dyDescent="0.4">
      <c r="E48" s="59" t="s">
        <v>110</v>
      </c>
      <c r="F48" s="26" t="s">
        <v>62</v>
      </c>
      <c r="G48" s="14">
        <v>0</v>
      </c>
      <c r="H48" s="129">
        <f t="shared" si="1"/>
        <v>0</v>
      </c>
      <c r="I48" s="90"/>
    </row>
    <row r="49" spans="5:9" x14ac:dyDescent="0.4">
      <c r="E49" s="59" t="s">
        <v>111</v>
      </c>
      <c r="F49" s="56" t="s">
        <v>63</v>
      </c>
      <c r="G49" s="44">
        <v>0</v>
      </c>
      <c r="H49" s="129">
        <f t="shared" si="1"/>
        <v>0</v>
      </c>
      <c r="I49" s="90"/>
    </row>
    <row r="50" spans="5:9" x14ac:dyDescent="0.4">
      <c r="E50" s="59" t="s">
        <v>167</v>
      </c>
      <c r="F50" s="56" t="s">
        <v>168</v>
      </c>
      <c r="G50" s="44">
        <v>0</v>
      </c>
      <c r="H50" s="129">
        <f t="shared" si="1"/>
        <v>0</v>
      </c>
      <c r="I50" s="90"/>
    </row>
    <row r="51" spans="5:9" x14ac:dyDescent="0.4">
      <c r="E51" s="132" t="s">
        <v>171</v>
      </c>
      <c r="F51" s="133" t="s">
        <v>172</v>
      </c>
      <c r="G51" s="45">
        <v>0</v>
      </c>
      <c r="H51" s="134">
        <f>IF(B$17=0,0,G51/B$17)</f>
        <v>0</v>
      </c>
      <c r="I51" s="135"/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/>
    </row>
  </sheetData>
  <mergeCells count="8">
    <mergeCell ref="B28:C28"/>
    <mergeCell ref="B27:C27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35"/>
  <sheetViews>
    <sheetView workbookViewId="0"/>
  </sheetViews>
  <sheetFormatPr defaultColWidth="9" defaultRowHeight="18.75" x14ac:dyDescent="0.4"/>
  <cols>
    <col min="1" max="1" width="19.25" style="28" customWidth="1"/>
    <col min="2" max="2" width="19.25" style="29" customWidth="1"/>
    <col min="3" max="16384" width="9" style="28"/>
  </cols>
  <sheetData>
    <row r="1" spans="1:12" x14ac:dyDescent="0.4">
      <c r="A1" s="27">
        <v>32874</v>
      </c>
      <c r="B1" s="27">
        <v>2958465</v>
      </c>
    </row>
    <row r="2" spans="1:12" x14ac:dyDescent="0.4">
      <c r="A2" s="28" t="s">
        <v>175</v>
      </c>
      <c r="B2" s="29">
        <v>43737.532500000001</v>
      </c>
      <c r="C2" s="28" t="s">
        <v>128</v>
      </c>
      <c r="D2" s="28" t="s">
        <v>129</v>
      </c>
    </row>
    <row r="3" spans="1:12" x14ac:dyDescent="0.4">
      <c r="A3" s="28" t="s">
        <v>176</v>
      </c>
      <c r="B3" s="29">
        <v>43737.532500000001</v>
      </c>
      <c r="C3" s="28" t="s">
        <v>128</v>
      </c>
    </row>
    <row r="4" spans="1:12" x14ac:dyDescent="0.4">
      <c r="A4" s="28" t="s">
        <v>180</v>
      </c>
      <c r="B4" s="29">
        <v>43737.532500000001</v>
      </c>
      <c r="C4" s="28" t="s">
        <v>128</v>
      </c>
    </row>
    <row r="5" spans="1:12" x14ac:dyDescent="0.4">
      <c r="A5" s="28" t="s">
        <v>183</v>
      </c>
      <c r="B5" s="29">
        <v>43737.532500000001</v>
      </c>
      <c r="C5" s="28" t="s">
        <v>128</v>
      </c>
      <c r="D5" s="28" t="s">
        <v>129</v>
      </c>
      <c r="E5" s="28" t="s">
        <v>184</v>
      </c>
      <c r="F5" s="28" t="s">
        <v>185</v>
      </c>
      <c r="G5" s="28" t="s">
        <v>186</v>
      </c>
      <c r="H5" s="28" t="s">
        <v>187</v>
      </c>
    </row>
    <row r="6" spans="1:12" x14ac:dyDescent="0.4">
      <c r="A6" s="28" t="s">
        <v>188</v>
      </c>
      <c r="B6" s="29">
        <v>43737.532500000001</v>
      </c>
      <c r="C6" s="28" t="s">
        <v>128</v>
      </c>
      <c r="D6" s="28" t="s">
        <v>129</v>
      </c>
      <c r="E6" s="28" t="s">
        <v>184</v>
      </c>
    </row>
    <row r="7" spans="1:12" x14ac:dyDescent="0.4">
      <c r="A7" s="28" t="s">
        <v>189</v>
      </c>
      <c r="B7" s="29">
        <v>43738.564340277779</v>
      </c>
      <c r="C7" s="28" t="s">
        <v>128</v>
      </c>
      <c r="D7" s="28" t="s">
        <v>129</v>
      </c>
      <c r="E7" s="28" t="s">
        <v>184</v>
      </c>
      <c r="F7" s="28" t="s">
        <v>185</v>
      </c>
      <c r="G7" s="28" t="s">
        <v>186</v>
      </c>
      <c r="H7" s="28" t="s">
        <v>187</v>
      </c>
      <c r="I7" s="28" t="s">
        <v>190</v>
      </c>
      <c r="J7" s="28" t="s">
        <v>191</v>
      </c>
      <c r="K7" s="28" t="s">
        <v>192</v>
      </c>
      <c r="L7" s="28" t="s">
        <v>193</v>
      </c>
    </row>
    <row r="8" spans="1:12" x14ac:dyDescent="0.4">
      <c r="A8" s="28" t="s">
        <v>197</v>
      </c>
      <c r="B8" s="29">
        <v>43740.96733796296</v>
      </c>
      <c r="C8" s="28" t="s">
        <v>128</v>
      </c>
    </row>
    <row r="9" spans="1:12" x14ac:dyDescent="0.4">
      <c r="A9" s="28" t="s">
        <v>194</v>
      </c>
      <c r="B9" s="29">
        <v>43739.43246527778</v>
      </c>
      <c r="C9" s="28" t="s">
        <v>129</v>
      </c>
      <c r="D9" s="28" t="s">
        <v>184</v>
      </c>
      <c r="E9" s="28" t="s">
        <v>128</v>
      </c>
    </row>
    <row r="10" spans="1:12" x14ac:dyDescent="0.4">
      <c r="A10" s="28" t="s">
        <v>196</v>
      </c>
      <c r="B10" s="29">
        <v>43742.036736111113</v>
      </c>
      <c r="C10" s="28" t="s">
        <v>128</v>
      </c>
      <c r="D10" s="28" t="s">
        <v>129</v>
      </c>
      <c r="E10" s="28" t="s">
        <v>184</v>
      </c>
      <c r="F10" s="28" t="s">
        <v>185</v>
      </c>
      <c r="G10" s="28" t="s">
        <v>186</v>
      </c>
      <c r="H10" s="28" t="s">
        <v>187</v>
      </c>
    </row>
    <row r="11" spans="1:12" x14ac:dyDescent="0.4">
      <c r="A11" s="28" t="s">
        <v>198</v>
      </c>
      <c r="B11" s="29">
        <v>43741.028969907406</v>
      </c>
      <c r="C11" s="28" t="s">
        <v>128</v>
      </c>
    </row>
    <row r="12" spans="1:12" x14ac:dyDescent="0.4">
      <c r="A12" s="28" t="s">
        <v>199</v>
      </c>
      <c r="B12" s="29">
        <v>43742.037129629629</v>
      </c>
      <c r="C12" s="28" t="s">
        <v>128</v>
      </c>
      <c r="D12" s="28" t="s">
        <v>129</v>
      </c>
      <c r="E12" s="28" t="s">
        <v>184</v>
      </c>
    </row>
    <row r="13" spans="1:12" x14ac:dyDescent="0.4">
      <c r="A13" s="28" t="s">
        <v>201</v>
      </c>
      <c r="B13" s="29">
        <v>43742.036944444444</v>
      </c>
      <c r="C13" s="28" t="s">
        <v>128</v>
      </c>
      <c r="D13" s="28" t="s">
        <v>129</v>
      </c>
    </row>
    <row r="14" spans="1:12" x14ac:dyDescent="0.4">
      <c r="A14" s="28" t="s">
        <v>200</v>
      </c>
      <c r="B14" s="29">
        <v>43745.536574074074</v>
      </c>
      <c r="C14" s="28" t="s">
        <v>128</v>
      </c>
      <c r="D14" s="28" t="s">
        <v>129</v>
      </c>
      <c r="E14" s="28" t="s">
        <v>184</v>
      </c>
      <c r="F14" s="28" t="s">
        <v>185</v>
      </c>
    </row>
    <row r="15" spans="1:12" x14ac:dyDescent="0.4">
      <c r="A15" s="28" t="s">
        <v>202</v>
      </c>
      <c r="B15" s="29">
        <v>43745.374525462961</v>
      </c>
      <c r="C15" s="28" t="s">
        <v>128</v>
      </c>
      <c r="D15" s="28" t="s">
        <v>129</v>
      </c>
    </row>
    <row r="16" spans="1:12" x14ac:dyDescent="0.4">
      <c r="A16" s="28" t="s">
        <v>203</v>
      </c>
      <c r="B16" s="29">
        <v>43745.536574074074</v>
      </c>
      <c r="C16" s="28" t="s">
        <v>128</v>
      </c>
      <c r="D16" s="28" t="s">
        <v>129</v>
      </c>
      <c r="E16" s="28" t="s">
        <v>184</v>
      </c>
      <c r="F16" s="28" t="s">
        <v>185</v>
      </c>
    </row>
    <row r="17" spans="1:12" x14ac:dyDescent="0.4">
      <c r="A17" s="28" t="s">
        <v>204</v>
      </c>
      <c r="B17" s="29">
        <v>43745.536574074074</v>
      </c>
      <c r="C17" s="28" t="s">
        <v>128</v>
      </c>
      <c r="D17" s="28" t="s">
        <v>129</v>
      </c>
    </row>
    <row r="18" spans="1:12" x14ac:dyDescent="0.4">
      <c r="A18" s="28" t="s">
        <v>205</v>
      </c>
      <c r="B18" s="29">
        <v>43745.374525462961</v>
      </c>
      <c r="C18" s="28" t="s">
        <v>128</v>
      </c>
    </row>
    <row r="19" spans="1:12" x14ac:dyDescent="0.4">
      <c r="A19" s="28" t="s">
        <v>206</v>
      </c>
      <c r="B19" s="29">
        <v>43750.963090277779</v>
      </c>
      <c r="C19" s="28" t="s">
        <v>128</v>
      </c>
    </row>
    <row r="20" spans="1:12" x14ac:dyDescent="0.4">
      <c r="A20" s="28" t="s">
        <v>207</v>
      </c>
      <c r="B20" s="29">
        <v>43750.963090277779</v>
      </c>
      <c r="C20" s="28" t="s">
        <v>128</v>
      </c>
      <c r="D20" s="28" t="s">
        <v>129</v>
      </c>
    </row>
    <row r="21" spans="1:12" x14ac:dyDescent="0.4">
      <c r="A21" s="28" t="s">
        <v>208</v>
      </c>
      <c r="B21" s="29">
        <v>43750.963090277779</v>
      </c>
      <c r="C21" s="28" t="s">
        <v>128</v>
      </c>
    </row>
    <row r="22" spans="1:12" x14ac:dyDescent="0.4">
      <c r="A22" s="28" t="s">
        <v>209</v>
      </c>
      <c r="B22" s="29">
        <v>43750.963090277779</v>
      </c>
      <c r="C22" s="28" t="s">
        <v>128</v>
      </c>
      <c r="D22" s="28" t="s">
        <v>129</v>
      </c>
      <c r="E22" s="28" t="s">
        <v>184</v>
      </c>
    </row>
    <row r="23" spans="1:12" x14ac:dyDescent="0.4">
      <c r="A23" s="28" t="s">
        <v>210</v>
      </c>
      <c r="B23" s="29">
        <v>43750.963090277779</v>
      </c>
      <c r="C23" s="28" t="s">
        <v>128</v>
      </c>
    </row>
    <row r="24" spans="1:12" x14ac:dyDescent="0.4">
      <c r="A24" s="28" t="s">
        <v>211</v>
      </c>
      <c r="B24" s="29">
        <v>43750.963993055557</v>
      </c>
      <c r="C24" s="28" t="s">
        <v>128</v>
      </c>
      <c r="D24" s="28" t="s">
        <v>129</v>
      </c>
      <c r="E24" s="28" t="s">
        <v>184</v>
      </c>
      <c r="F24" s="28" t="s">
        <v>185</v>
      </c>
      <c r="G24" s="28" t="s">
        <v>186</v>
      </c>
    </row>
    <row r="25" spans="1:12" x14ac:dyDescent="0.4">
      <c r="A25" s="28" t="s">
        <v>212</v>
      </c>
      <c r="B25" s="29">
        <v>43751.106828703705</v>
      </c>
      <c r="C25" s="28" t="s">
        <v>128</v>
      </c>
      <c r="D25" s="28" t="s">
        <v>129</v>
      </c>
      <c r="E25" s="28" t="s">
        <v>184</v>
      </c>
      <c r="F25" s="28" t="s">
        <v>185</v>
      </c>
      <c r="G25" s="28" t="s">
        <v>186</v>
      </c>
      <c r="H25" s="28" t="s">
        <v>187</v>
      </c>
      <c r="I25" s="28" t="s">
        <v>190</v>
      </c>
      <c r="J25" s="28" t="s">
        <v>191</v>
      </c>
      <c r="K25" s="28" t="s">
        <v>192</v>
      </c>
      <c r="L25" s="28" t="s">
        <v>193</v>
      </c>
    </row>
    <row r="26" spans="1:12" x14ac:dyDescent="0.4">
      <c r="A26" s="28" t="s">
        <v>213</v>
      </c>
      <c r="B26" s="29">
        <v>43752.102708333332</v>
      </c>
      <c r="C26" s="28" t="s">
        <v>128</v>
      </c>
      <c r="D26" s="28" t="s">
        <v>129</v>
      </c>
      <c r="E26" s="28" t="s">
        <v>184</v>
      </c>
      <c r="F26" s="28" t="s">
        <v>185</v>
      </c>
      <c r="G26" s="28" t="s">
        <v>186</v>
      </c>
      <c r="H26" s="28" t="s">
        <v>187</v>
      </c>
    </row>
    <row r="27" spans="1:12" x14ac:dyDescent="0.4">
      <c r="A27" s="28" t="s">
        <v>214</v>
      </c>
      <c r="B27" s="29">
        <v>43753.073148148149</v>
      </c>
      <c r="C27" s="28" t="s">
        <v>128</v>
      </c>
      <c r="D27" s="28" t="s">
        <v>129</v>
      </c>
      <c r="E27" s="28" t="s">
        <v>184</v>
      </c>
      <c r="F27" s="28" t="s">
        <v>185</v>
      </c>
      <c r="G27" s="28" t="s">
        <v>186</v>
      </c>
      <c r="H27" s="28" t="s">
        <v>187</v>
      </c>
      <c r="I27" s="28" t="s">
        <v>190</v>
      </c>
      <c r="J27" s="28" t="s">
        <v>191</v>
      </c>
      <c r="K27" s="28" t="s">
        <v>192</v>
      </c>
    </row>
    <row r="28" spans="1:12" x14ac:dyDescent="0.4">
      <c r="A28" s="28" t="s">
        <v>218</v>
      </c>
      <c r="B28" s="29">
        <v>43754.690115740741</v>
      </c>
      <c r="C28" s="28" t="s">
        <v>128</v>
      </c>
      <c r="D28" s="28" t="s">
        <v>129</v>
      </c>
      <c r="E28" s="28" t="s">
        <v>184</v>
      </c>
      <c r="F28" s="28" t="s">
        <v>185</v>
      </c>
      <c r="G28" s="28" t="s">
        <v>186</v>
      </c>
      <c r="H28" s="28" t="s">
        <v>190</v>
      </c>
      <c r="I28" s="28" t="s">
        <v>191</v>
      </c>
      <c r="J28" s="28" t="s">
        <v>192</v>
      </c>
      <c r="K28" s="28" t="s">
        <v>193</v>
      </c>
    </row>
    <row r="29" spans="1:12" x14ac:dyDescent="0.4">
      <c r="A29" s="28" t="s">
        <v>219</v>
      </c>
      <c r="B29" s="29">
        <v>43755.034178240741</v>
      </c>
      <c r="C29" s="28" t="s">
        <v>128</v>
      </c>
      <c r="D29" s="28" t="s">
        <v>129</v>
      </c>
      <c r="E29" s="28" t="s">
        <v>184</v>
      </c>
      <c r="F29" s="28" t="s">
        <v>185</v>
      </c>
      <c r="G29" s="28" t="s">
        <v>186</v>
      </c>
      <c r="H29" s="28" t="s">
        <v>187</v>
      </c>
    </row>
    <row r="30" spans="1:12" x14ac:dyDescent="0.4">
      <c r="A30" s="28" t="s">
        <v>220</v>
      </c>
      <c r="B30" s="29">
        <v>43756.099849537037</v>
      </c>
      <c r="C30" s="28" t="s">
        <v>128</v>
      </c>
      <c r="D30" s="28" t="s">
        <v>129</v>
      </c>
      <c r="E30" s="28" t="s">
        <v>184</v>
      </c>
      <c r="F30" s="28" t="s">
        <v>185</v>
      </c>
      <c r="G30" s="28" t="s">
        <v>186</v>
      </c>
      <c r="H30" s="28" t="s">
        <v>187</v>
      </c>
      <c r="I30" s="28" t="s">
        <v>190</v>
      </c>
    </row>
    <row r="31" spans="1:12" x14ac:dyDescent="0.4">
      <c r="A31" s="28" t="s">
        <v>221</v>
      </c>
      <c r="B31" s="29">
        <v>43757.072893518518</v>
      </c>
      <c r="C31" s="28" t="s">
        <v>128</v>
      </c>
      <c r="D31" s="28" t="s">
        <v>129</v>
      </c>
      <c r="E31" s="28" t="s">
        <v>184</v>
      </c>
    </row>
    <row r="32" spans="1:12" x14ac:dyDescent="0.4">
      <c r="A32" s="28" t="s">
        <v>223</v>
      </c>
      <c r="B32" s="29">
        <v>43758.041724537034</v>
      </c>
      <c r="C32" s="28" t="s">
        <v>128</v>
      </c>
      <c r="D32" s="28" t="s">
        <v>129</v>
      </c>
      <c r="E32" s="28" t="s">
        <v>184</v>
      </c>
    </row>
    <row r="33" spans="1:5" x14ac:dyDescent="0.4">
      <c r="A33" s="28" t="s">
        <v>224</v>
      </c>
      <c r="B33" s="29">
        <v>43758.856203703705</v>
      </c>
      <c r="C33" s="28" t="s">
        <v>128</v>
      </c>
      <c r="D33" s="28" t="s">
        <v>129</v>
      </c>
      <c r="E33" s="28" t="s">
        <v>184</v>
      </c>
    </row>
    <row r="34" spans="1:5" x14ac:dyDescent="0.4">
      <c r="A34" s="28" t="s">
        <v>225</v>
      </c>
      <c r="B34" s="29">
        <v>43760.041956018518</v>
      </c>
      <c r="C34" s="28" t="s">
        <v>128</v>
      </c>
      <c r="D34" s="28" t="s">
        <v>129</v>
      </c>
      <c r="E34" s="28" t="s">
        <v>184</v>
      </c>
    </row>
    <row r="35" spans="1:5" x14ac:dyDescent="0.4">
      <c r="A35" s="28" t="s">
        <v>226</v>
      </c>
      <c r="B35" s="29">
        <v>43761.976099537038</v>
      </c>
      <c r="C35" s="28" t="s">
        <v>128</v>
      </c>
      <c r="D35" s="28" t="s">
        <v>129</v>
      </c>
      <c r="E35" s="28" t="s">
        <v>184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/>
      <c r="B1" s="66"/>
      <c r="C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1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143</v>
      </c>
      <c r="B1">
        <v>381</v>
      </c>
    </row>
    <row r="2" spans="1:2" x14ac:dyDescent="0.4">
      <c r="A2" t="s">
        <v>166</v>
      </c>
      <c r="B2">
        <v>37</v>
      </c>
    </row>
    <row r="3" spans="1:2" x14ac:dyDescent="0.4">
      <c r="A3" t="s">
        <v>126</v>
      </c>
      <c r="B3">
        <v>77</v>
      </c>
    </row>
    <row r="4" spans="1:2" x14ac:dyDescent="0.4">
      <c r="A4" t="s">
        <v>127</v>
      </c>
      <c r="B4">
        <v>75</v>
      </c>
    </row>
    <row r="5" spans="1:2" x14ac:dyDescent="0.4">
      <c r="A5" t="s">
        <v>179</v>
      </c>
      <c r="B5">
        <v>47</v>
      </c>
    </row>
    <row r="6" spans="1:2" x14ac:dyDescent="0.4">
      <c r="A6" t="s">
        <v>177</v>
      </c>
      <c r="B6">
        <v>43</v>
      </c>
    </row>
    <row r="7" spans="1:2" x14ac:dyDescent="0.4">
      <c r="A7" t="s">
        <v>178</v>
      </c>
      <c r="B7">
        <v>52</v>
      </c>
    </row>
    <row r="8" spans="1:2" x14ac:dyDescent="0.4">
      <c r="A8" t="s">
        <v>182</v>
      </c>
      <c r="B8">
        <v>27</v>
      </c>
    </row>
    <row r="9" spans="1:2" x14ac:dyDescent="0.4">
      <c r="A9" t="s">
        <v>181</v>
      </c>
      <c r="B9">
        <v>14</v>
      </c>
    </row>
    <row r="10" spans="1:2" x14ac:dyDescent="0.4">
      <c r="A10" t="s">
        <v>195</v>
      </c>
      <c r="B10">
        <v>7</v>
      </c>
    </row>
    <row r="11" spans="1:2" x14ac:dyDescent="0.4">
      <c r="A11" t="s">
        <v>222</v>
      </c>
      <c r="B11">
        <v>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3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78" customWidth="1"/>
    <col min="2" max="2" width="10.75" style="79" customWidth="1"/>
    <col min="3" max="3" width="10.75" style="80" customWidth="1"/>
    <col min="4" max="4" width="10.75" style="81" customWidth="1"/>
    <col min="5" max="5" width="10.75" style="93" customWidth="1"/>
    <col min="6" max="6" width="10.75" style="81" customWidth="1"/>
    <col min="7" max="7" width="10.75" style="82" customWidth="1"/>
    <col min="8" max="8" width="10.75" style="81" customWidth="1"/>
    <col min="9" max="9" width="10.75" style="83" customWidth="1"/>
    <col min="10" max="10" width="10.75" style="81" customWidth="1"/>
    <col min="11" max="11" width="10.75" style="83" customWidth="1"/>
    <col min="12" max="12" width="10.75" style="81" customWidth="1"/>
    <col min="13" max="13" width="10.75" style="84" customWidth="1"/>
    <col min="14" max="14" width="10.75" style="81" customWidth="1"/>
    <col min="15" max="15" width="10.75" style="84" customWidth="1"/>
    <col min="16" max="16" width="10.75" style="81" customWidth="1"/>
    <col min="17" max="17" width="10.75" style="85" customWidth="1"/>
    <col min="18" max="18" width="10.75" style="81" customWidth="1"/>
    <col min="19" max="19" width="10.75" style="85" customWidth="1"/>
    <col min="20" max="20" width="10.75" style="81" customWidth="1"/>
    <col min="21" max="21" width="10.75" style="83" customWidth="1"/>
    <col min="22" max="22" width="10.75" style="81" customWidth="1"/>
    <col min="23" max="23" width="10.75" style="83" customWidth="1"/>
    <col min="24" max="24" width="10.75" style="81" customWidth="1"/>
    <col min="25" max="25" width="10.75" style="84" customWidth="1"/>
    <col min="26" max="26" width="10.75" style="81" customWidth="1"/>
    <col min="27" max="27" width="10.75" style="84" customWidth="1"/>
    <col min="28" max="28" width="10.75" style="81" customWidth="1"/>
    <col min="29" max="29" width="10.75" style="84" customWidth="1"/>
    <col min="30" max="30" width="10.75" style="81" customWidth="1"/>
    <col min="31" max="31" width="10.75" style="84" customWidth="1"/>
    <col min="32" max="32" width="10.75" style="81" customWidth="1"/>
    <col min="33" max="33" width="10.75" style="84" customWidth="1"/>
    <col min="34" max="34" width="10.75" style="81" customWidth="1"/>
    <col min="35" max="35" width="10.75" style="88" customWidth="1"/>
    <col min="36" max="16384" width="9" style="69"/>
  </cols>
  <sheetData>
    <row r="1" spans="1:35" x14ac:dyDescent="0.4">
      <c r="A1" s="68"/>
      <c r="B1" s="160" t="s">
        <v>6</v>
      </c>
      <c r="C1" s="161"/>
      <c r="D1" s="160" t="s">
        <v>7</v>
      </c>
      <c r="E1" s="161"/>
      <c r="F1" s="160" t="s">
        <v>15</v>
      </c>
      <c r="G1" s="161"/>
      <c r="H1" s="160" t="s">
        <v>14</v>
      </c>
      <c r="I1" s="161"/>
      <c r="J1" s="160" t="s">
        <v>160</v>
      </c>
      <c r="K1" s="161"/>
      <c r="L1" s="160" t="s">
        <v>147</v>
      </c>
      <c r="M1" s="161"/>
      <c r="N1" s="160" t="s">
        <v>148</v>
      </c>
      <c r="O1" s="161"/>
      <c r="P1" s="160" t="s">
        <v>5</v>
      </c>
      <c r="Q1" s="161"/>
      <c r="R1" s="160" t="s">
        <v>16</v>
      </c>
      <c r="S1" s="161"/>
      <c r="T1" s="160" t="s">
        <v>17</v>
      </c>
      <c r="U1" s="161"/>
      <c r="V1" s="160" t="s">
        <v>139</v>
      </c>
      <c r="W1" s="161"/>
      <c r="X1" s="160" t="s">
        <v>122</v>
      </c>
      <c r="Y1" s="161"/>
      <c r="Z1" s="160" t="s">
        <v>119</v>
      </c>
      <c r="AA1" s="161"/>
      <c r="AB1" s="160" t="s">
        <v>125</v>
      </c>
      <c r="AC1" s="161"/>
      <c r="AD1" s="160" t="s">
        <v>149</v>
      </c>
      <c r="AE1" s="161"/>
      <c r="AF1" s="160" t="s">
        <v>142</v>
      </c>
      <c r="AG1" s="161"/>
      <c r="AH1" s="160" t="s">
        <v>151</v>
      </c>
      <c r="AI1" s="161"/>
    </row>
    <row r="2" spans="1:35" x14ac:dyDescent="0.4">
      <c r="A2" s="68" t="s">
        <v>159</v>
      </c>
      <c r="B2" s="162"/>
      <c r="C2" s="163"/>
      <c r="D2" s="162"/>
      <c r="E2" s="163"/>
      <c r="F2" s="158">
        <v>0.98603037482485423</v>
      </c>
      <c r="G2" s="159"/>
      <c r="H2" s="158">
        <v>0.88067685158564868</v>
      </c>
      <c r="I2" s="159"/>
      <c r="J2" s="158">
        <v>0.96675656077557426</v>
      </c>
      <c r="K2" s="159"/>
      <c r="L2" s="158">
        <v>0.86965264063042858</v>
      </c>
      <c r="M2" s="159"/>
      <c r="N2" s="158">
        <v>0.56141962123229472</v>
      </c>
      <c r="O2" s="159"/>
      <c r="P2" s="158">
        <v>0.28791566297373206</v>
      </c>
      <c r="Q2" s="159"/>
      <c r="R2" s="158">
        <v>0.27360671807793491</v>
      </c>
      <c r="S2" s="159"/>
      <c r="T2" s="158">
        <v>0.27506753413882296</v>
      </c>
      <c r="U2" s="159"/>
      <c r="V2" s="158">
        <v>0.69100782963676721</v>
      </c>
      <c r="W2" s="159"/>
      <c r="X2" s="158">
        <v>0.40810963638480685</v>
      </c>
      <c r="Y2" s="159"/>
      <c r="Z2" s="158">
        <v>0.28098845013385576</v>
      </c>
      <c r="AA2" s="159"/>
      <c r="AB2" s="158">
        <v>4.5614049584531404E-3</v>
      </c>
      <c r="AC2" s="159"/>
      <c r="AD2" s="158">
        <v>0.36815872478867201</v>
      </c>
      <c r="AE2" s="159"/>
      <c r="AF2" s="158">
        <v>-0.27989333967483032</v>
      </c>
      <c r="AG2" s="159"/>
      <c r="AH2" s="158">
        <v>0.45772935059021191</v>
      </c>
      <c r="AI2" s="159"/>
    </row>
    <row r="3" spans="1:35" x14ac:dyDescent="0.4">
      <c r="A3" s="70">
        <v>1</v>
      </c>
      <c r="B3" s="71" t="s">
        <v>126</v>
      </c>
      <c r="C3" s="72">
        <v>546.79999999999984</v>
      </c>
      <c r="D3" s="73" t="s">
        <v>222</v>
      </c>
      <c r="E3" s="92">
        <v>13.1</v>
      </c>
      <c r="F3" s="73" t="s">
        <v>222</v>
      </c>
      <c r="G3" s="74">
        <v>1.5</v>
      </c>
      <c r="H3" s="73" t="s">
        <v>222</v>
      </c>
      <c r="I3" s="75">
        <v>0.5</v>
      </c>
      <c r="J3" s="73" t="s">
        <v>222</v>
      </c>
      <c r="K3" s="75">
        <v>0</v>
      </c>
      <c r="L3" s="73" t="s">
        <v>222</v>
      </c>
      <c r="M3" s="76">
        <v>0.46666666666666667</v>
      </c>
      <c r="N3" s="73" t="s">
        <v>222</v>
      </c>
      <c r="O3" s="76">
        <v>6.6666666666666666E-2</v>
      </c>
      <c r="P3" s="73" t="s">
        <v>177</v>
      </c>
      <c r="Q3" s="77">
        <v>10142.708333333334</v>
      </c>
      <c r="R3" s="73" t="s">
        <v>166</v>
      </c>
      <c r="S3" s="77">
        <v>-6742</v>
      </c>
      <c r="T3" s="73" t="s">
        <v>166</v>
      </c>
      <c r="U3" s="75">
        <v>0</v>
      </c>
      <c r="V3" s="73" t="s">
        <v>177</v>
      </c>
      <c r="W3" s="75">
        <v>0.18604651162790697</v>
      </c>
      <c r="X3" s="73" t="s">
        <v>177</v>
      </c>
      <c r="Y3" s="76">
        <v>0.30144927536231886</v>
      </c>
      <c r="Z3" s="73" t="s">
        <v>195</v>
      </c>
      <c r="AA3" s="76">
        <v>0.35483870967741937</v>
      </c>
      <c r="AB3" s="73" t="s">
        <v>181</v>
      </c>
      <c r="AC3" s="76">
        <v>0.625</v>
      </c>
      <c r="AD3" s="73" t="s">
        <v>222</v>
      </c>
      <c r="AE3" s="76">
        <v>1</v>
      </c>
      <c r="AF3" s="73" t="s">
        <v>181</v>
      </c>
      <c r="AG3" s="76">
        <v>0.53658536585365857</v>
      </c>
      <c r="AH3" s="73" t="s">
        <v>181</v>
      </c>
      <c r="AI3" s="87">
        <v>95200</v>
      </c>
    </row>
    <row r="4" spans="1:35" x14ac:dyDescent="0.4">
      <c r="A4" s="78">
        <v>2</v>
      </c>
      <c r="B4" s="79" t="s">
        <v>127</v>
      </c>
      <c r="C4" s="80">
        <v>336.79999999999984</v>
      </c>
      <c r="D4" s="81" t="s">
        <v>126</v>
      </c>
      <c r="E4" s="93">
        <v>7.101298701298699</v>
      </c>
      <c r="F4" s="81" t="s">
        <v>126</v>
      </c>
      <c r="G4" s="82">
        <v>1.7922077922077921</v>
      </c>
      <c r="H4" s="81" t="s">
        <v>126</v>
      </c>
      <c r="I4" s="83">
        <v>0.46753246753246752</v>
      </c>
      <c r="J4" s="81" t="s">
        <v>126</v>
      </c>
      <c r="K4" s="83">
        <v>0.25974025974025972</v>
      </c>
      <c r="L4" s="81" t="s">
        <v>126</v>
      </c>
      <c r="M4" s="84">
        <v>0.33601286173633438</v>
      </c>
      <c r="N4" s="81" t="s">
        <v>181</v>
      </c>
      <c r="O4" s="84">
        <v>0.13380281690140844</v>
      </c>
      <c r="P4" s="81" t="s">
        <v>127</v>
      </c>
      <c r="Q4" s="85">
        <v>8712.3152709359601</v>
      </c>
      <c r="R4" s="81" t="s">
        <v>181</v>
      </c>
      <c r="S4" s="85">
        <v>-6800</v>
      </c>
      <c r="T4" s="81" t="s">
        <v>222</v>
      </c>
      <c r="U4" s="83">
        <v>0</v>
      </c>
      <c r="V4" s="81" t="s">
        <v>181</v>
      </c>
      <c r="W4" s="83">
        <v>0.14285714285714285</v>
      </c>
      <c r="X4" s="81" t="s">
        <v>179</v>
      </c>
      <c r="Y4" s="84">
        <v>0.28678304239401498</v>
      </c>
      <c r="Z4" s="81" t="s">
        <v>222</v>
      </c>
      <c r="AA4" s="84">
        <v>0.33333333333333331</v>
      </c>
      <c r="AB4" s="81" t="s">
        <v>126</v>
      </c>
      <c r="AC4" s="84">
        <v>0.61146496815286622</v>
      </c>
      <c r="AD4" s="81" t="s">
        <v>126</v>
      </c>
      <c r="AE4" s="84">
        <v>0.46621621621621623</v>
      </c>
      <c r="AF4" s="81" t="s">
        <v>182</v>
      </c>
      <c r="AG4" s="84">
        <v>0.5</v>
      </c>
      <c r="AH4" s="81" t="s">
        <v>143</v>
      </c>
      <c r="AI4" s="88">
        <v>95200</v>
      </c>
    </row>
    <row r="5" spans="1:35" x14ac:dyDescent="0.4">
      <c r="A5" s="78">
        <v>3</v>
      </c>
      <c r="B5" s="79" t="s">
        <v>177</v>
      </c>
      <c r="C5" s="80">
        <v>78.300000000000068</v>
      </c>
      <c r="D5" s="81" t="s">
        <v>127</v>
      </c>
      <c r="E5" s="93">
        <v>4.4906666666666641</v>
      </c>
      <c r="F5" s="81" t="s">
        <v>127</v>
      </c>
      <c r="G5" s="82">
        <v>1.8533333333333333</v>
      </c>
      <c r="H5" s="81" t="s">
        <v>195</v>
      </c>
      <c r="I5" s="83">
        <v>0.42857142857142855</v>
      </c>
      <c r="J5" s="81" t="s">
        <v>178</v>
      </c>
      <c r="K5" s="83">
        <v>0.26923076923076922</v>
      </c>
      <c r="L5" s="81" t="s">
        <v>127</v>
      </c>
      <c r="M5" s="84">
        <v>0.31818181818181818</v>
      </c>
      <c r="N5" s="81" t="s">
        <v>178</v>
      </c>
      <c r="O5" s="84">
        <v>0.13411764705882354</v>
      </c>
      <c r="P5" s="81" t="s">
        <v>178</v>
      </c>
      <c r="Q5" s="85">
        <v>8626.8907563025205</v>
      </c>
      <c r="R5" s="81" t="s">
        <v>179</v>
      </c>
      <c r="S5" s="85">
        <v>-7435.3658536585363</v>
      </c>
      <c r="T5" s="81" t="s">
        <v>126</v>
      </c>
      <c r="U5" s="83">
        <v>3.896103896103896E-2</v>
      </c>
      <c r="V5" s="81" t="s">
        <v>195</v>
      </c>
      <c r="W5" s="83">
        <v>0.14285714285714285</v>
      </c>
      <c r="X5" s="81" t="s">
        <v>181</v>
      </c>
      <c r="Y5" s="84">
        <v>0.28169014084507044</v>
      </c>
      <c r="Z5" s="81" t="s">
        <v>127</v>
      </c>
      <c r="AA5" s="84">
        <v>0.30877742946708464</v>
      </c>
      <c r="AB5" s="81" t="s">
        <v>179</v>
      </c>
      <c r="AC5" s="84">
        <v>0.6</v>
      </c>
      <c r="AD5" s="81" t="s">
        <v>177</v>
      </c>
      <c r="AE5" s="84">
        <v>0.46376811594202899</v>
      </c>
      <c r="AF5" s="81" t="s">
        <v>177</v>
      </c>
      <c r="AG5" s="84">
        <v>0.46875</v>
      </c>
      <c r="AH5" s="81" t="s">
        <v>127</v>
      </c>
      <c r="AI5" s="88">
        <v>91800</v>
      </c>
    </row>
    <row r="6" spans="1:35" x14ac:dyDescent="0.4">
      <c r="A6" s="78">
        <v>4</v>
      </c>
      <c r="B6" s="79" t="s">
        <v>181</v>
      </c>
      <c r="C6" s="80">
        <v>49.900000000000006</v>
      </c>
      <c r="D6" s="81" t="s">
        <v>181</v>
      </c>
      <c r="E6" s="93">
        <v>3.5642857142857145</v>
      </c>
      <c r="F6" s="81" t="s">
        <v>181</v>
      </c>
      <c r="G6" s="82">
        <v>1.9285714285714286</v>
      </c>
      <c r="H6" s="81" t="s">
        <v>127</v>
      </c>
      <c r="I6" s="83">
        <v>0.42666666666666669</v>
      </c>
      <c r="J6" s="81" t="s">
        <v>127</v>
      </c>
      <c r="K6" s="83">
        <v>0.28000000000000003</v>
      </c>
      <c r="L6" s="81" t="s">
        <v>143</v>
      </c>
      <c r="M6" s="84">
        <v>0.29350893697083724</v>
      </c>
      <c r="N6" s="81" t="s">
        <v>126</v>
      </c>
      <c r="O6" s="84">
        <v>0.13987138263665594</v>
      </c>
      <c r="P6" s="81" t="s">
        <v>143</v>
      </c>
      <c r="Q6" s="85">
        <v>8294.9786324786328</v>
      </c>
      <c r="R6" s="81" t="s">
        <v>126</v>
      </c>
      <c r="S6" s="85">
        <v>-7580.4597701149423</v>
      </c>
      <c r="T6" s="81" t="s">
        <v>179</v>
      </c>
      <c r="U6" s="83">
        <v>4.2553191489361701E-2</v>
      </c>
      <c r="V6" s="81" t="s">
        <v>127</v>
      </c>
      <c r="W6" s="83">
        <v>0.10666666666666667</v>
      </c>
      <c r="X6" s="81" t="s">
        <v>222</v>
      </c>
      <c r="Y6" s="84">
        <v>0.26666666666666666</v>
      </c>
      <c r="Z6" s="81" t="s">
        <v>178</v>
      </c>
      <c r="AA6" s="84">
        <v>0.25176470588235295</v>
      </c>
      <c r="AB6" s="81" t="s">
        <v>178</v>
      </c>
      <c r="AC6" s="84">
        <v>0.59259259259259256</v>
      </c>
      <c r="AD6" s="81" t="s">
        <v>143</v>
      </c>
      <c r="AE6" s="84">
        <v>0.40600522193211486</v>
      </c>
      <c r="AF6" s="81" t="s">
        <v>166</v>
      </c>
      <c r="AG6" s="84">
        <v>0.44578313253012047</v>
      </c>
      <c r="AH6" s="81" t="s">
        <v>166</v>
      </c>
      <c r="AI6" s="88">
        <v>86900</v>
      </c>
    </row>
    <row r="7" spans="1:35" x14ac:dyDescent="0.4">
      <c r="A7" s="78">
        <v>5</v>
      </c>
      <c r="B7" s="79" t="s">
        <v>222</v>
      </c>
      <c r="C7" s="80">
        <v>26.2</v>
      </c>
      <c r="D7" s="81" t="s">
        <v>177</v>
      </c>
      <c r="E7" s="93">
        <v>1.8209302325581411</v>
      </c>
      <c r="F7" s="81" t="s">
        <v>177</v>
      </c>
      <c r="G7" s="82">
        <v>1.930232558139535</v>
      </c>
      <c r="H7" s="81" t="s">
        <v>177</v>
      </c>
      <c r="I7" s="83">
        <v>0.39534883720930231</v>
      </c>
      <c r="J7" s="81" t="s">
        <v>181</v>
      </c>
      <c r="K7" s="83">
        <v>0.2857142857142857</v>
      </c>
      <c r="L7" s="81" t="s">
        <v>181</v>
      </c>
      <c r="M7" s="84">
        <v>0.28873239436619719</v>
      </c>
      <c r="N7" s="81" t="s">
        <v>166</v>
      </c>
      <c r="O7" s="84">
        <v>0.15432098765432098</v>
      </c>
      <c r="P7" s="81" t="s">
        <v>182</v>
      </c>
      <c r="Q7" s="85">
        <v>8022</v>
      </c>
      <c r="R7" s="81" t="s">
        <v>178</v>
      </c>
      <c r="S7" s="85">
        <v>-7705.2631578947367</v>
      </c>
      <c r="T7" s="81" t="s">
        <v>181</v>
      </c>
      <c r="U7" s="83">
        <v>7.1428571428571425E-2</v>
      </c>
      <c r="V7" s="81" t="s">
        <v>126</v>
      </c>
      <c r="W7" s="83">
        <v>0.1038961038961039</v>
      </c>
      <c r="X7" s="81" t="s">
        <v>178</v>
      </c>
      <c r="Y7" s="84">
        <v>0.2541176470588235</v>
      </c>
      <c r="Z7" s="81" t="s">
        <v>143</v>
      </c>
      <c r="AA7" s="84">
        <v>0.24020068987143306</v>
      </c>
      <c r="AB7" s="81" t="s">
        <v>182</v>
      </c>
      <c r="AC7" s="84">
        <v>0.58139534883720934</v>
      </c>
      <c r="AD7" s="81" t="s">
        <v>179</v>
      </c>
      <c r="AE7" s="84">
        <v>0.4</v>
      </c>
      <c r="AF7" s="81" t="s">
        <v>178</v>
      </c>
      <c r="AG7" s="84">
        <v>0.43697478991596639</v>
      </c>
      <c r="AH7" s="81" t="s">
        <v>178</v>
      </c>
      <c r="AI7" s="88">
        <v>86500</v>
      </c>
    </row>
    <row r="8" spans="1:35" x14ac:dyDescent="0.4">
      <c r="A8" s="78">
        <v>6</v>
      </c>
      <c r="B8" s="79" t="s">
        <v>178</v>
      </c>
      <c r="C8" s="80">
        <v>8.800000000000022</v>
      </c>
      <c r="D8" s="81" t="s">
        <v>178</v>
      </c>
      <c r="E8" s="93">
        <v>0.16923076923076966</v>
      </c>
      <c r="F8" s="81" t="s">
        <v>143</v>
      </c>
      <c r="G8" s="82">
        <v>2</v>
      </c>
      <c r="H8" s="81" t="s">
        <v>181</v>
      </c>
      <c r="I8" s="83">
        <v>0.35714285714285715</v>
      </c>
      <c r="J8" s="81" t="s">
        <v>177</v>
      </c>
      <c r="K8" s="83">
        <v>0.32558139534883723</v>
      </c>
      <c r="L8" s="81" t="s">
        <v>179</v>
      </c>
      <c r="M8" s="84">
        <v>0.28179551122194513</v>
      </c>
      <c r="N8" s="81" t="s">
        <v>143</v>
      </c>
      <c r="O8" s="84">
        <v>0.16556914393226718</v>
      </c>
      <c r="P8" s="81" t="s">
        <v>126</v>
      </c>
      <c r="Q8" s="85">
        <v>7844.4976076555022</v>
      </c>
      <c r="R8" s="81" t="s">
        <v>143</v>
      </c>
      <c r="S8" s="85">
        <v>-7737.310606060606</v>
      </c>
      <c r="T8" s="81" t="s">
        <v>178</v>
      </c>
      <c r="U8" s="83">
        <v>7.6923076923076927E-2</v>
      </c>
      <c r="V8" s="81" t="s">
        <v>143</v>
      </c>
      <c r="W8" s="83">
        <v>9.1863517060367453E-2</v>
      </c>
      <c r="X8" s="81" t="s">
        <v>126</v>
      </c>
      <c r="Y8" s="84">
        <v>0.25241157556270094</v>
      </c>
      <c r="Z8" s="81" t="s">
        <v>126</v>
      </c>
      <c r="AA8" s="84">
        <v>0.23794212218649519</v>
      </c>
      <c r="AB8" s="81" t="s">
        <v>143</v>
      </c>
      <c r="AC8" s="84">
        <v>0.56704980842911878</v>
      </c>
      <c r="AD8" s="81" t="s">
        <v>127</v>
      </c>
      <c r="AE8" s="84">
        <v>0.39593908629441626</v>
      </c>
      <c r="AF8" s="81" t="s">
        <v>143</v>
      </c>
      <c r="AG8" s="84">
        <v>0.42948717948717946</v>
      </c>
      <c r="AH8" s="81" t="s">
        <v>126</v>
      </c>
      <c r="AI8" s="88">
        <v>86200</v>
      </c>
    </row>
    <row r="9" spans="1:35" x14ac:dyDescent="0.4">
      <c r="A9" s="78">
        <v>7</v>
      </c>
      <c r="B9" s="79" t="s">
        <v>143</v>
      </c>
      <c r="C9" s="80">
        <v>-3.5527136788005009E-15</v>
      </c>
      <c r="D9" s="81" t="s">
        <v>143</v>
      </c>
      <c r="E9" s="93">
        <v>-9.3247078183740181E-18</v>
      </c>
      <c r="F9" s="81" t="s">
        <v>178</v>
      </c>
      <c r="G9" s="82">
        <v>2.0769230769230771</v>
      </c>
      <c r="H9" s="81" t="s">
        <v>143</v>
      </c>
      <c r="I9" s="83">
        <v>0.33333333333333331</v>
      </c>
      <c r="J9" s="81" t="s">
        <v>143</v>
      </c>
      <c r="K9" s="83">
        <v>0.33333333333333331</v>
      </c>
      <c r="L9" s="81" t="s">
        <v>178</v>
      </c>
      <c r="M9" s="84">
        <v>0.28000000000000003</v>
      </c>
      <c r="N9" s="81" t="s">
        <v>177</v>
      </c>
      <c r="O9" s="84">
        <v>0.1681159420289855</v>
      </c>
      <c r="P9" s="81" t="s">
        <v>181</v>
      </c>
      <c r="Q9" s="85">
        <v>7782.9268292682927</v>
      </c>
      <c r="R9" s="81" t="s">
        <v>127</v>
      </c>
      <c r="S9" s="85">
        <v>-7829.7520661157023</v>
      </c>
      <c r="T9" s="81" t="s">
        <v>143</v>
      </c>
      <c r="U9" s="83">
        <v>9.1863517060367453E-2</v>
      </c>
      <c r="V9" s="81" t="s">
        <v>178</v>
      </c>
      <c r="W9" s="83">
        <v>7.6923076923076927E-2</v>
      </c>
      <c r="X9" s="81" t="s">
        <v>143</v>
      </c>
      <c r="Y9" s="84">
        <v>0.24553151458137348</v>
      </c>
      <c r="Z9" s="81" t="s">
        <v>166</v>
      </c>
      <c r="AA9" s="84">
        <v>0.23765432098765432</v>
      </c>
      <c r="AB9" s="81" t="s">
        <v>127</v>
      </c>
      <c r="AC9" s="84">
        <v>0.5374149659863946</v>
      </c>
      <c r="AD9" s="81" t="s">
        <v>178</v>
      </c>
      <c r="AE9" s="84">
        <v>0.38317757009345793</v>
      </c>
      <c r="AF9" s="81" t="s">
        <v>179</v>
      </c>
      <c r="AG9" s="84">
        <v>0.4247787610619469</v>
      </c>
      <c r="AH9" s="81" t="s">
        <v>182</v>
      </c>
      <c r="AI9" s="88">
        <v>85100</v>
      </c>
    </row>
    <row r="10" spans="1:35" x14ac:dyDescent="0.4">
      <c r="A10" s="78">
        <v>8</v>
      </c>
      <c r="B10" s="79" t="s">
        <v>195</v>
      </c>
      <c r="C10" s="80">
        <v>-104.80000000000001</v>
      </c>
      <c r="D10" s="81" t="s">
        <v>166</v>
      </c>
      <c r="E10" s="93">
        <v>-4.7837837837837842</v>
      </c>
      <c r="F10" s="81" t="s">
        <v>166</v>
      </c>
      <c r="G10" s="82">
        <v>2.1081081081081079</v>
      </c>
      <c r="H10" s="81" t="s">
        <v>166</v>
      </c>
      <c r="I10" s="83">
        <v>0.29729729729729731</v>
      </c>
      <c r="J10" s="81" t="s">
        <v>166</v>
      </c>
      <c r="K10" s="83">
        <v>0.40540540540540543</v>
      </c>
      <c r="L10" s="81" t="s">
        <v>177</v>
      </c>
      <c r="M10" s="84">
        <v>0.27826086956521739</v>
      </c>
      <c r="N10" s="81" t="s">
        <v>127</v>
      </c>
      <c r="O10" s="84">
        <v>0.18965517241379309</v>
      </c>
      <c r="P10" s="81" t="s">
        <v>179</v>
      </c>
      <c r="Q10" s="85">
        <v>7690.2654867256633</v>
      </c>
      <c r="R10" s="81" t="s">
        <v>222</v>
      </c>
      <c r="S10" s="85">
        <v>-8000</v>
      </c>
      <c r="T10" s="81" t="s">
        <v>177</v>
      </c>
      <c r="U10" s="83">
        <v>0.11627906976744186</v>
      </c>
      <c r="V10" s="81" t="s">
        <v>179</v>
      </c>
      <c r="W10" s="83">
        <v>4.2553191489361701E-2</v>
      </c>
      <c r="X10" s="81" t="s">
        <v>195</v>
      </c>
      <c r="Y10" s="84">
        <v>0.24193548387096775</v>
      </c>
      <c r="Z10" s="81" t="s">
        <v>182</v>
      </c>
      <c r="AA10" s="84">
        <v>0.20465116279069767</v>
      </c>
      <c r="AB10" s="81" t="s">
        <v>195</v>
      </c>
      <c r="AC10" s="84">
        <v>0.53333333333333333</v>
      </c>
      <c r="AD10" s="81" t="s">
        <v>182</v>
      </c>
      <c r="AE10" s="84">
        <v>0.36363636363636365</v>
      </c>
      <c r="AF10" s="81" t="s">
        <v>126</v>
      </c>
      <c r="AG10" s="84">
        <v>0.42105263157894735</v>
      </c>
      <c r="AH10" s="81" t="s">
        <v>177</v>
      </c>
      <c r="AI10" s="88">
        <v>83000</v>
      </c>
    </row>
    <row r="11" spans="1:35" x14ac:dyDescent="0.4">
      <c r="A11" s="78">
        <v>9</v>
      </c>
      <c r="B11" s="79" t="s">
        <v>166</v>
      </c>
      <c r="C11" s="80">
        <v>-177.00000000000003</v>
      </c>
      <c r="D11" s="81" t="s">
        <v>179</v>
      </c>
      <c r="E11" s="93">
        <v>-7.3659574468085092</v>
      </c>
      <c r="F11" s="81" t="s">
        <v>195</v>
      </c>
      <c r="G11" s="82">
        <v>2.1428571428571428</v>
      </c>
      <c r="H11" s="81" t="s">
        <v>178</v>
      </c>
      <c r="I11" s="83">
        <v>0.19230769230769232</v>
      </c>
      <c r="J11" s="81" t="s">
        <v>179</v>
      </c>
      <c r="K11" s="83">
        <v>0.42553191489361702</v>
      </c>
      <c r="L11" s="81" t="s">
        <v>166</v>
      </c>
      <c r="M11" s="84">
        <v>0.25617283950617287</v>
      </c>
      <c r="N11" s="81" t="s">
        <v>182</v>
      </c>
      <c r="O11" s="84">
        <v>0.19069767441860466</v>
      </c>
      <c r="P11" s="81" t="s">
        <v>195</v>
      </c>
      <c r="Q11" s="85">
        <v>7473.333333333333</v>
      </c>
      <c r="R11" s="81" t="s">
        <v>177</v>
      </c>
      <c r="S11" s="85">
        <v>-8518.9655172413786</v>
      </c>
      <c r="T11" s="81" t="s">
        <v>127</v>
      </c>
      <c r="U11" s="83">
        <v>0.14666666666666667</v>
      </c>
      <c r="V11" s="81" t="s">
        <v>182</v>
      </c>
      <c r="W11" s="83">
        <v>3.7037037037037035E-2</v>
      </c>
      <c r="X11" s="81" t="s">
        <v>127</v>
      </c>
      <c r="Y11" s="84">
        <v>0.2304075235109718</v>
      </c>
      <c r="Z11" s="81" t="s">
        <v>177</v>
      </c>
      <c r="AA11" s="84">
        <v>0.2</v>
      </c>
      <c r="AB11" s="81" t="s">
        <v>166</v>
      </c>
      <c r="AC11" s="84">
        <v>0.52</v>
      </c>
      <c r="AD11" s="81" t="s">
        <v>166</v>
      </c>
      <c r="AE11" s="84">
        <v>0.35064935064935066</v>
      </c>
      <c r="AF11" s="81" t="s">
        <v>127</v>
      </c>
      <c r="AG11" s="84">
        <v>0.38423645320197042</v>
      </c>
      <c r="AH11" s="81" t="s">
        <v>179</v>
      </c>
      <c r="AI11" s="88">
        <v>69300</v>
      </c>
    </row>
    <row r="12" spans="1:35" x14ac:dyDescent="0.4">
      <c r="A12" s="78">
        <v>10</v>
      </c>
      <c r="B12" s="79" t="s">
        <v>179</v>
      </c>
      <c r="C12" s="80">
        <v>-346.19999999999993</v>
      </c>
      <c r="D12" s="81" t="s">
        <v>195</v>
      </c>
      <c r="E12" s="93">
        <v>-14.971428571428573</v>
      </c>
      <c r="F12" s="81" t="s">
        <v>179</v>
      </c>
      <c r="G12" s="82">
        <v>2.2340425531914891</v>
      </c>
      <c r="H12" s="81" t="s">
        <v>179</v>
      </c>
      <c r="I12" s="83">
        <v>0.19148936170212766</v>
      </c>
      <c r="J12" s="81" t="s">
        <v>182</v>
      </c>
      <c r="K12" s="83">
        <v>0.55555555555555558</v>
      </c>
      <c r="L12" s="81" t="s">
        <v>195</v>
      </c>
      <c r="M12" s="84">
        <v>0.24193548387096775</v>
      </c>
      <c r="N12" s="81" t="s">
        <v>195</v>
      </c>
      <c r="O12" s="84">
        <v>0.19354838709677419</v>
      </c>
      <c r="P12" s="81" t="s">
        <v>222</v>
      </c>
      <c r="Q12" s="85">
        <v>7385.7142857142853</v>
      </c>
      <c r="R12" s="81" t="s">
        <v>182</v>
      </c>
      <c r="S12" s="85">
        <v>-8590.2439024390242</v>
      </c>
      <c r="T12" s="81" t="s">
        <v>182</v>
      </c>
      <c r="U12" s="83">
        <v>0.18518518518518517</v>
      </c>
      <c r="V12" s="81" t="s">
        <v>166</v>
      </c>
      <c r="W12" s="83">
        <v>2.7027027027027029E-2</v>
      </c>
      <c r="X12" s="81" t="s">
        <v>182</v>
      </c>
      <c r="Y12" s="84">
        <v>0.2</v>
      </c>
      <c r="Z12" s="81" t="s">
        <v>179</v>
      </c>
      <c r="AA12" s="84">
        <v>0.18703241895261846</v>
      </c>
      <c r="AB12" s="81" t="s">
        <v>222</v>
      </c>
      <c r="AC12" s="84">
        <v>0.5</v>
      </c>
      <c r="AD12" s="81" t="s">
        <v>181</v>
      </c>
      <c r="AE12" s="84">
        <v>0.31818181818181818</v>
      </c>
      <c r="AF12" s="81" t="s">
        <v>195</v>
      </c>
      <c r="AG12" s="84">
        <v>0.33333333333333331</v>
      </c>
      <c r="AH12" s="81" t="s">
        <v>195</v>
      </c>
      <c r="AI12" s="88">
        <v>59500</v>
      </c>
    </row>
    <row r="13" spans="1:35" x14ac:dyDescent="0.4">
      <c r="A13" s="78">
        <v>11</v>
      </c>
      <c r="B13" s="79" t="s">
        <v>182</v>
      </c>
      <c r="C13" s="80">
        <v>-418.80000000000013</v>
      </c>
      <c r="D13" s="81" t="s">
        <v>182</v>
      </c>
      <c r="E13" s="93">
        <v>-15.511111111111116</v>
      </c>
      <c r="F13" s="81" t="s">
        <v>182</v>
      </c>
      <c r="G13" s="82">
        <v>2.4444444444444446</v>
      </c>
      <c r="H13" s="81" t="s">
        <v>182</v>
      </c>
      <c r="I13" s="83">
        <v>0.1111111111111111</v>
      </c>
      <c r="J13" s="81" t="s">
        <v>195</v>
      </c>
      <c r="K13" s="83">
        <v>0.5714285714285714</v>
      </c>
      <c r="L13" s="81" t="s">
        <v>182</v>
      </c>
      <c r="M13" s="84">
        <v>0.23255813953488372</v>
      </c>
      <c r="N13" s="81" t="s">
        <v>179</v>
      </c>
      <c r="O13" s="84">
        <v>0.20448877805486285</v>
      </c>
      <c r="P13" s="81" t="s">
        <v>166</v>
      </c>
      <c r="Q13" s="85">
        <v>7261.4457831325299</v>
      </c>
      <c r="R13" s="81" t="s">
        <v>195</v>
      </c>
      <c r="S13" s="85">
        <v>-9075</v>
      </c>
      <c r="T13" s="81" t="s">
        <v>195</v>
      </c>
      <c r="U13" s="83">
        <v>0.5714285714285714</v>
      </c>
      <c r="V13" s="81" t="s">
        <v>222</v>
      </c>
      <c r="W13" s="83">
        <v>0</v>
      </c>
      <c r="X13" s="81" t="s">
        <v>166</v>
      </c>
      <c r="Y13" s="84">
        <v>0.15432098765432098</v>
      </c>
      <c r="Z13" s="81" t="s">
        <v>181</v>
      </c>
      <c r="AA13" s="84">
        <v>0.15492957746478872</v>
      </c>
      <c r="AB13" s="81" t="s">
        <v>177</v>
      </c>
      <c r="AC13" s="84">
        <v>0.48076923076923078</v>
      </c>
      <c r="AD13" s="81" t="s">
        <v>195</v>
      </c>
      <c r="AE13" s="84">
        <v>0.27272727272727271</v>
      </c>
      <c r="AF13" s="81" t="s">
        <v>222</v>
      </c>
      <c r="AG13" s="84">
        <v>0.2857142857142857</v>
      </c>
      <c r="AH13" s="81" t="s">
        <v>222</v>
      </c>
      <c r="AI13" s="88">
        <v>52800</v>
      </c>
    </row>
  </sheetData>
  <sortState xmlns:xlrd2="http://schemas.microsoft.com/office/spreadsheetml/2017/richdata2" ref="AH3:AI41">
    <sortCondition descending="1" ref="AI1"/>
  </sortState>
  <mergeCells count="34">
    <mergeCell ref="AF1:AG1"/>
    <mergeCell ref="V1:W1"/>
    <mergeCell ref="X1:Y1"/>
    <mergeCell ref="Z1:AA1"/>
    <mergeCell ref="AB1:AC1"/>
    <mergeCell ref="AD1:AE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173FFE-34BE-41FE-825D-20D545555E94}">
  <sheetPr codeName="Sheet4"/>
  <dimension ref="A1:Q383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8" t="s">
        <v>143</v>
      </c>
      <c r="C1" s="149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50">
        <v>381</v>
      </c>
      <c r="C2" s="151"/>
      <c r="E2" s="58" t="s">
        <v>66</v>
      </c>
      <c r="F2" s="55" t="s">
        <v>22</v>
      </c>
      <c r="G2" s="43">
        <v>727</v>
      </c>
      <c r="H2" s="128">
        <f>IF(B$17=0,0,G2/B$17)</f>
        <v>0.77670940170940173</v>
      </c>
      <c r="I2" s="89">
        <v>5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-21.164021164021165</v>
      </c>
      <c r="P2" s="114">
        <v>378</v>
      </c>
      <c r="Q2" s="98">
        <v>-8000</v>
      </c>
    </row>
    <row r="3" spans="1:17" x14ac:dyDescent="0.4">
      <c r="A3" s="51" t="s">
        <v>8</v>
      </c>
      <c r="B3" s="152">
        <v>3189</v>
      </c>
      <c r="C3" s="153"/>
      <c r="E3" s="59" t="s">
        <v>72</v>
      </c>
      <c r="F3" s="56" t="s">
        <v>27</v>
      </c>
      <c r="G3" s="44">
        <v>507</v>
      </c>
      <c r="H3" s="129">
        <f>IF(B$17=0,0,G3/B$17)</f>
        <v>0.54166666666666663</v>
      </c>
      <c r="I3" s="90">
        <v>5</v>
      </c>
      <c r="K3" s="36">
        <v>1</v>
      </c>
      <c r="L3" s="95">
        <v>-4.5999999999999996</v>
      </c>
      <c r="N3" s="111" t="s">
        <v>131</v>
      </c>
      <c r="O3" s="118">
        <f t="shared" si="0"/>
        <v>8.1967213114754092</v>
      </c>
      <c r="P3" s="115">
        <v>366</v>
      </c>
      <c r="Q3" s="99">
        <v>3000</v>
      </c>
    </row>
    <row r="4" spans="1:17" x14ac:dyDescent="0.4">
      <c r="A4" s="51" t="s">
        <v>6</v>
      </c>
      <c r="B4" s="154">
        <v>-3.5527136788005009E-15</v>
      </c>
      <c r="C4" s="155"/>
      <c r="E4" s="59" t="s">
        <v>64</v>
      </c>
      <c r="F4" s="56" t="s">
        <v>20</v>
      </c>
      <c r="G4" s="44">
        <v>428</v>
      </c>
      <c r="H4" s="129">
        <f>IF(B$17=0,0,G4/B$17)</f>
        <v>0.45726495726495725</v>
      </c>
      <c r="I4" s="90">
        <v>7</v>
      </c>
      <c r="K4" s="36">
        <v>2</v>
      </c>
      <c r="L4" s="95">
        <v>45.6</v>
      </c>
      <c r="N4" s="111" t="s">
        <v>132</v>
      </c>
      <c r="O4" s="118">
        <f t="shared" si="0"/>
        <v>-22.792022792022792</v>
      </c>
      <c r="P4" s="115">
        <v>351</v>
      </c>
      <c r="Q4" s="99">
        <v>-8000</v>
      </c>
    </row>
    <row r="5" spans="1:17" x14ac:dyDescent="0.4">
      <c r="A5" s="51" t="s">
        <v>7</v>
      </c>
      <c r="B5" s="156">
        <f>IF(B$2=0,0,B$4/B$2)</f>
        <v>-9.3247078183740181E-18</v>
      </c>
      <c r="C5" s="157"/>
      <c r="E5" s="59" t="s">
        <v>171</v>
      </c>
      <c r="F5" s="56" t="s">
        <v>172</v>
      </c>
      <c r="G5" s="44">
        <v>364</v>
      </c>
      <c r="H5" s="129">
        <f>IF(B$17=0,0,G5/B$17)</f>
        <v>0.3888888888888889</v>
      </c>
      <c r="I5" s="90">
        <v>5</v>
      </c>
      <c r="K5" s="36">
        <v>3</v>
      </c>
      <c r="L5" s="95">
        <v>0</v>
      </c>
      <c r="N5" s="111" t="s">
        <v>133</v>
      </c>
      <c r="O5" s="118">
        <f t="shared" si="0"/>
        <v>21.212121212121211</v>
      </c>
      <c r="P5" s="115">
        <v>330</v>
      </c>
      <c r="Q5" s="99">
        <v>7000</v>
      </c>
    </row>
    <row r="6" spans="1:17" x14ac:dyDescent="0.4">
      <c r="A6" s="51" t="s">
        <v>1</v>
      </c>
      <c r="B6" s="146">
        <f>IF(B$2=0,0,(B$7*1+B$8*2+B$9*3)/B$2)</f>
        <v>2</v>
      </c>
      <c r="C6" s="147"/>
      <c r="E6" s="59" t="s">
        <v>68</v>
      </c>
      <c r="F6" s="56" t="s">
        <v>12</v>
      </c>
      <c r="G6" s="44">
        <v>290</v>
      </c>
      <c r="H6" s="129">
        <f>IF(B$17=0,0,G6/B$17)</f>
        <v>0.30982905982905984</v>
      </c>
      <c r="I6" s="90">
        <v>7</v>
      </c>
      <c r="K6" s="36">
        <v>4</v>
      </c>
      <c r="L6" s="95">
        <v>24.5</v>
      </c>
      <c r="N6" s="111" t="s">
        <v>134</v>
      </c>
      <c r="O6" s="118">
        <f t="shared" si="0"/>
        <v>16.025641025641026</v>
      </c>
      <c r="P6" s="115">
        <v>312</v>
      </c>
      <c r="Q6" s="99">
        <v>5000</v>
      </c>
    </row>
    <row r="7" spans="1:17" x14ac:dyDescent="0.4">
      <c r="A7" s="51" t="s">
        <v>2</v>
      </c>
      <c r="B7" s="44">
        <v>127</v>
      </c>
      <c r="C7" s="37">
        <f t="shared" ref="C7:C12" si="1">IF(B$2=0,0,B7/B$2)</f>
        <v>0.33333333333333331</v>
      </c>
      <c r="E7" s="59" t="s">
        <v>67</v>
      </c>
      <c r="F7" s="56" t="s">
        <v>23</v>
      </c>
      <c r="G7" s="44">
        <v>278</v>
      </c>
      <c r="H7" s="129">
        <f>IF(B$17=0,0,G7/B$17)</f>
        <v>0.29700854700854701</v>
      </c>
      <c r="I7" s="90">
        <v>7</v>
      </c>
      <c r="K7" s="36">
        <v>5</v>
      </c>
      <c r="L7" s="95">
        <v>-11.299999999999997</v>
      </c>
      <c r="N7" s="112" t="s">
        <v>135</v>
      </c>
      <c r="O7" s="119">
        <f t="shared" si="0"/>
        <v>3.9215686274509802</v>
      </c>
      <c r="P7" s="116">
        <v>255</v>
      </c>
      <c r="Q7" s="100">
        <v>1000</v>
      </c>
    </row>
    <row r="8" spans="1:17" x14ac:dyDescent="0.4">
      <c r="A8" s="51" t="s">
        <v>3</v>
      </c>
      <c r="B8" s="44">
        <v>127</v>
      </c>
      <c r="C8" s="37">
        <f t="shared" si="1"/>
        <v>0.33333333333333331</v>
      </c>
      <c r="E8" s="59" t="s">
        <v>69</v>
      </c>
      <c r="F8" s="56" t="s">
        <v>24</v>
      </c>
      <c r="G8" s="44">
        <v>136</v>
      </c>
      <c r="H8" s="129">
        <f>IF(B$17=0,0,G8/B$17)</f>
        <v>0.14529914529914531</v>
      </c>
      <c r="I8" s="90">
        <v>4</v>
      </c>
      <c r="K8" s="36">
        <v>6</v>
      </c>
      <c r="L8" s="95">
        <v>3.5527136788005009E-15</v>
      </c>
      <c r="N8" s="41"/>
      <c r="O8" s="123"/>
      <c r="P8" s="107"/>
      <c r="Q8" s="105"/>
    </row>
    <row r="9" spans="1:17" x14ac:dyDescent="0.4">
      <c r="A9" s="52" t="s">
        <v>4</v>
      </c>
      <c r="B9" s="45">
        <v>127</v>
      </c>
      <c r="C9" s="38">
        <f t="shared" si="1"/>
        <v>0.33333333333333331</v>
      </c>
      <c r="E9" s="59" t="s">
        <v>89</v>
      </c>
      <c r="F9" s="56" t="s">
        <v>44</v>
      </c>
      <c r="G9" s="44">
        <v>125</v>
      </c>
      <c r="H9" s="129">
        <f>IF(B$17=0,0,G9/B$17)</f>
        <v>0.13354700854700854</v>
      </c>
      <c r="I9" s="90">
        <v>5</v>
      </c>
      <c r="K9" s="36">
        <v>7</v>
      </c>
      <c r="L9" s="95">
        <v>-37.799999999999997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35</v>
      </c>
      <c r="C10" s="38">
        <f t="shared" si="1"/>
        <v>9.1863517060367453E-2</v>
      </c>
      <c r="E10" s="59" t="s">
        <v>65</v>
      </c>
      <c r="F10" s="56" t="s">
        <v>21</v>
      </c>
      <c r="G10" s="44">
        <v>88</v>
      </c>
      <c r="H10" s="129">
        <f>IF(B$17=0,0,G10/B$17)</f>
        <v>9.4017094017094016E-2</v>
      </c>
      <c r="I10" s="90">
        <v>7</v>
      </c>
      <c r="K10" s="36">
        <v>8</v>
      </c>
      <c r="L10" s="95">
        <v>-46.9</v>
      </c>
      <c r="N10" s="110" t="s">
        <v>162</v>
      </c>
      <c r="O10" s="120">
        <f>IF(P10=0,0,Q10/P10)</f>
        <v>1.1448818897637789</v>
      </c>
      <c r="P10" s="114">
        <v>127</v>
      </c>
      <c r="Q10" s="102">
        <v>145.39999999999992</v>
      </c>
    </row>
    <row r="11" spans="1:17" x14ac:dyDescent="0.4">
      <c r="A11" s="52" t="s">
        <v>138</v>
      </c>
      <c r="B11" s="45">
        <v>35</v>
      </c>
      <c r="C11" s="38">
        <f t="shared" si="1"/>
        <v>9.1863517060367453E-2</v>
      </c>
      <c r="E11" s="59" t="s">
        <v>70</v>
      </c>
      <c r="F11" s="56" t="s">
        <v>25</v>
      </c>
      <c r="G11" s="44">
        <v>87</v>
      </c>
      <c r="H11" s="129">
        <f>IF(B$17=0,0,G11/B$17)</f>
        <v>9.2948717948717952E-2</v>
      </c>
      <c r="I11" s="90">
        <v>5</v>
      </c>
      <c r="K11" s="36">
        <v>9</v>
      </c>
      <c r="L11" s="95">
        <v>0</v>
      </c>
      <c r="N11" s="111" t="s">
        <v>163</v>
      </c>
      <c r="O11" s="121">
        <f>IF(P11=0,0,Q11/P11)</f>
        <v>0.42125984251968535</v>
      </c>
      <c r="P11" s="115">
        <v>127</v>
      </c>
      <c r="Q11" s="103">
        <v>53.500000000000036</v>
      </c>
    </row>
    <row r="12" spans="1:17" x14ac:dyDescent="0.4">
      <c r="A12" s="53" t="s">
        <v>158</v>
      </c>
      <c r="B12" s="46">
        <v>38</v>
      </c>
      <c r="C12" s="40">
        <f t="shared" si="1"/>
        <v>9.9737532808398949E-2</v>
      </c>
      <c r="E12" s="59" t="s">
        <v>71</v>
      </c>
      <c r="F12" s="56" t="s">
        <v>26</v>
      </c>
      <c r="G12" s="44">
        <v>73</v>
      </c>
      <c r="H12" s="129">
        <f>IF(B$17=0,0,G12/B$17)</f>
        <v>7.7991452991452992E-2</v>
      </c>
      <c r="I12" s="90">
        <v>7</v>
      </c>
      <c r="K12" s="36">
        <v>10</v>
      </c>
      <c r="L12" s="95">
        <v>-12</v>
      </c>
      <c r="N12" s="112" t="s">
        <v>164</v>
      </c>
      <c r="O12" s="122">
        <f>IF(P12=0,0,Q12/P12)</f>
        <v>-1.5661417322834645</v>
      </c>
      <c r="P12" s="116">
        <v>127</v>
      </c>
      <c r="Q12" s="104">
        <v>-198.9</v>
      </c>
    </row>
    <row r="13" spans="1:17" x14ac:dyDescent="0.4">
      <c r="A13" s="54" t="s">
        <v>121</v>
      </c>
      <c r="B13" s="47">
        <v>783</v>
      </c>
      <c r="C13" s="42">
        <f>IF(B$3=0,0,B13/B$3)</f>
        <v>0.24553151458137348</v>
      </c>
      <c r="E13" s="59" t="s">
        <v>83</v>
      </c>
      <c r="F13" s="56" t="s">
        <v>38</v>
      </c>
      <c r="G13" s="44">
        <v>53</v>
      </c>
      <c r="H13" s="129">
        <f>IF(B$17=0,0,G13/B$17)</f>
        <v>5.6623931623931624E-2</v>
      </c>
      <c r="I13" s="90">
        <v>7</v>
      </c>
      <c r="K13" s="36">
        <v>11</v>
      </c>
      <c r="L13" s="95">
        <v>58.2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766</v>
      </c>
      <c r="C14" s="37">
        <f>IF(B$3=0,0,B14/B$3)</f>
        <v>0.24020068987143306</v>
      </c>
      <c r="E14" s="59" t="s">
        <v>86</v>
      </c>
      <c r="F14" s="56" t="s">
        <v>41</v>
      </c>
      <c r="G14" s="44">
        <v>43</v>
      </c>
      <c r="H14" s="129">
        <f>IF(B$17=0,0,G14/B$17)</f>
        <v>4.5940170940170943E-2</v>
      </c>
      <c r="I14" s="90">
        <v>5</v>
      </c>
      <c r="K14" s="36">
        <v>12</v>
      </c>
      <c r="L14" s="95">
        <v>0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444</v>
      </c>
      <c r="C15" s="35">
        <f>IF(B$13=0,0,B15/B$13)</f>
        <v>0.56704980842911878</v>
      </c>
      <c r="E15" s="59" t="s">
        <v>78</v>
      </c>
      <c r="F15" s="56" t="s">
        <v>33</v>
      </c>
      <c r="G15" s="44">
        <v>22</v>
      </c>
      <c r="H15" s="129">
        <f>IF(B$17=0,0,G15/B$17)</f>
        <v>2.3504273504273504E-2</v>
      </c>
      <c r="I15" s="90">
        <v>6</v>
      </c>
      <c r="K15" s="36">
        <v>13</v>
      </c>
      <c r="L15" s="95">
        <v>-1.7</v>
      </c>
      <c r="N15" s="110" t="s">
        <v>182</v>
      </c>
      <c r="O15" s="120">
        <f>IF(P15=0,0,Q15/P15)</f>
        <v>23.266666666666655</v>
      </c>
      <c r="P15" s="114">
        <v>54</v>
      </c>
      <c r="Q15" s="102">
        <v>1256.3999999999994</v>
      </c>
    </row>
    <row r="16" spans="1:17" x14ac:dyDescent="0.4">
      <c r="A16" s="50" t="s">
        <v>124</v>
      </c>
      <c r="B16" s="43">
        <v>311</v>
      </c>
      <c r="C16" s="35">
        <f>IF(B$14=0,0,B16/B$14)</f>
        <v>0.40600522193211486</v>
      </c>
      <c r="E16" s="59" t="s">
        <v>167</v>
      </c>
      <c r="F16" s="56" t="s">
        <v>168</v>
      </c>
      <c r="G16" s="44">
        <v>18</v>
      </c>
      <c r="H16" s="129">
        <f>IF(B$17=0,0,G16/B$17)</f>
        <v>1.9230769230769232E-2</v>
      </c>
      <c r="I16" s="90">
        <v>5</v>
      </c>
      <c r="K16" s="36">
        <v>14</v>
      </c>
      <c r="L16" s="95">
        <v>24.3</v>
      </c>
      <c r="N16" s="111" t="s">
        <v>195</v>
      </c>
      <c r="O16" s="121">
        <f>IF(P16=0,0,Q16/P16)</f>
        <v>22.457142857142856</v>
      </c>
      <c r="P16" s="115">
        <v>14</v>
      </c>
      <c r="Q16" s="103">
        <v>314.39999999999998</v>
      </c>
    </row>
    <row r="17" spans="1:17" x14ac:dyDescent="0.4">
      <c r="A17" s="50" t="s">
        <v>10</v>
      </c>
      <c r="B17" s="43">
        <f>B19+B18</f>
        <v>936</v>
      </c>
      <c r="C17" s="35">
        <f>IF(B$3=0,0,B17/B$3)</f>
        <v>0.29350893697083724</v>
      </c>
      <c r="E17" s="59" t="s">
        <v>81</v>
      </c>
      <c r="F17" s="56" t="s">
        <v>36</v>
      </c>
      <c r="G17" s="44">
        <v>16</v>
      </c>
      <c r="H17" s="129">
        <f>IF(B$17=0,0,G17/B$17)</f>
        <v>1.7094017094017096E-2</v>
      </c>
      <c r="I17" s="90">
        <v>6</v>
      </c>
      <c r="K17" s="36">
        <v>15</v>
      </c>
      <c r="L17" s="95">
        <v>0</v>
      </c>
      <c r="N17" s="111" t="s">
        <v>179</v>
      </c>
      <c r="O17" s="121">
        <f>IF(P17=0,0,Q17/P17)</f>
        <v>11.048936170212773</v>
      </c>
      <c r="P17" s="115">
        <v>94</v>
      </c>
      <c r="Q17" s="103">
        <v>1038.6000000000006</v>
      </c>
    </row>
    <row r="18" spans="1:17" x14ac:dyDescent="0.4">
      <c r="A18" s="51" t="s">
        <v>12</v>
      </c>
      <c r="B18" s="44">
        <v>402</v>
      </c>
      <c r="C18" s="37">
        <f>IF(B$17=0,0,B18/B$17)</f>
        <v>0.42948717948717946</v>
      </c>
      <c r="E18" s="59" t="s">
        <v>79</v>
      </c>
      <c r="F18" s="56" t="s">
        <v>34</v>
      </c>
      <c r="G18" s="44">
        <v>14</v>
      </c>
      <c r="H18" s="129">
        <f>IF(B$17=0,0,G18/B$17)</f>
        <v>1.4957264957264958E-2</v>
      </c>
      <c r="I18" s="90">
        <v>5</v>
      </c>
      <c r="K18" s="36">
        <v>16</v>
      </c>
      <c r="L18" s="95">
        <v>-28.2</v>
      </c>
      <c r="N18" s="111" t="s">
        <v>166</v>
      </c>
      <c r="O18" s="121">
        <f>IF(P18=0,0,Q18/P18)</f>
        <v>7.1756756756756745</v>
      </c>
      <c r="P18" s="115">
        <v>74</v>
      </c>
      <c r="Q18" s="103">
        <v>530.99999999999989</v>
      </c>
    </row>
    <row r="19" spans="1:17" x14ac:dyDescent="0.4">
      <c r="A19" s="51" t="s">
        <v>11</v>
      </c>
      <c r="B19" s="44">
        <v>534</v>
      </c>
      <c r="C19" s="37">
        <f>IF(B$17=0,0,B19/B$17)</f>
        <v>0.57051282051282048</v>
      </c>
      <c r="E19" s="59" t="s">
        <v>91</v>
      </c>
      <c r="F19" s="56" t="s">
        <v>46</v>
      </c>
      <c r="G19" s="44">
        <v>14</v>
      </c>
      <c r="H19" s="129">
        <f>IF(B$17=0,0,G19/B$17)</f>
        <v>1.4957264957264958E-2</v>
      </c>
      <c r="I19" s="90">
        <v>4</v>
      </c>
      <c r="K19" s="36">
        <v>17</v>
      </c>
      <c r="L19" s="95">
        <v>-20.5</v>
      </c>
      <c r="N19" s="111" t="s">
        <v>178</v>
      </c>
      <c r="O19" s="121">
        <f>IF(P19=0,0,Q19/P19)</f>
        <v>-0.25384615384615461</v>
      </c>
      <c r="P19" s="115">
        <v>104</v>
      </c>
      <c r="Q19" s="103">
        <v>-26.400000000000077</v>
      </c>
    </row>
    <row r="20" spans="1:17" x14ac:dyDescent="0.4">
      <c r="A20" s="51" t="s">
        <v>13</v>
      </c>
      <c r="B20" s="44">
        <v>528</v>
      </c>
      <c r="C20" s="37">
        <f>IF(B$3=0,0,B20/B$3)</f>
        <v>0.16556914393226718</v>
      </c>
      <c r="E20" s="59" t="s">
        <v>75</v>
      </c>
      <c r="F20" s="56" t="s">
        <v>30</v>
      </c>
      <c r="G20" s="44">
        <v>6</v>
      </c>
      <c r="H20" s="129">
        <f>IF(B$17=0,0,G20/B$17)</f>
        <v>6.41025641025641E-3</v>
      </c>
      <c r="I20" s="90">
        <v>5</v>
      </c>
      <c r="K20" s="36">
        <v>18</v>
      </c>
      <c r="L20" s="95">
        <v>0</v>
      </c>
      <c r="N20" s="111" t="s">
        <v>177</v>
      </c>
      <c r="O20" s="121">
        <f>IF(P20=0,0,Q20/P20)</f>
        <v>-2.7313953488372067</v>
      </c>
      <c r="P20" s="115">
        <v>86</v>
      </c>
      <c r="Q20" s="103">
        <v>-234.89999999999978</v>
      </c>
    </row>
    <row r="21" spans="1:17" x14ac:dyDescent="0.4">
      <c r="A21" s="51" t="s">
        <v>169</v>
      </c>
      <c r="B21" s="44">
        <v>7</v>
      </c>
      <c r="C21" s="131">
        <v>1</v>
      </c>
      <c r="E21" s="59" t="s">
        <v>92</v>
      </c>
      <c r="F21" s="56" t="s">
        <v>47</v>
      </c>
      <c r="G21" s="44">
        <v>6</v>
      </c>
      <c r="H21" s="129">
        <f>IF(B$17=0,0,G21/B$17)</f>
        <v>6.41025641025641E-3</v>
      </c>
      <c r="I21" s="90">
        <v>3</v>
      </c>
      <c r="K21" s="36">
        <v>19</v>
      </c>
      <c r="L21" s="95">
        <v>-22.4</v>
      </c>
      <c r="N21" s="111" t="s">
        <v>181</v>
      </c>
      <c r="O21" s="121">
        <f>IF(P21=0,0,Q21/P21)</f>
        <v>-5.3464285714285724</v>
      </c>
      <c r="P21" s="115">
        <v>28</v>
      </c>
      <c r="Q21" s="103">
        <v>-149.70000000000002</v>
      </c>
    </row>
    <row r="22" spans="1:17" x14ac:dyDescent="0.4">
      <c r="A22" s="51" t="s">
        <v>170</v>
      </c>
      <c r="B22" s="44">
        <v>31</v>
      </c>
      <c r="C22" s="131">
        <v>1</v>
      </c>
      <c r="E22" s="59" t="s">
        <v>74</v>
      </c>
      <c r="F22" s="56" t="s">
        <v>29</v>
      </c>
      <c r="G22" s="44">
        <v>5</v>
      </c>
      <c r="H22" s="129">
        <f>IF(B$17=0,0,G22/B$17)</f>
        <v>5.341880341880342E-3</v>
      </c>
      <c r="I22" s="90">
        <v>4</v>
      </c>
      <c r="K22" s="36">
        <v>20</v>
      </c>
      <c r="L22" s="95">
        <v>-61.199999999999996</v>
      </c>
      <c r="N22" s="111" t="s">
        <v>127</v>
      </c>
      <c r="O22" s="121">
        <f>IF(P22=0,0,Q22/P22)</f>
        <v>-6.7360000000000078</v>
      </c>
      <c r="P22" s="115">
        <v>150</v>
      </c>
      <c r="Q22" s="103">
        <v>-1010.4000000000012</v>
      </c>
    </row>
    <row r="23" spans="1:17" x14ac:dyDescent="0.4">
      <c r="A23" s="51" t="s">
        <v>5</v>
      </c>
      <c r="B23" s="48">
        <f>IF(B$17=0,0,C23/B$17)</f>
        <v>8294.9786324786328</v>
      </c>
      <c r="C23" s="39">
        <v>7764100</v>
      </c>
      <c r="E23" s="59" t="s">
        <v>77</v>
      </c>
      <c r="F23" s="56" t="s">
        <v>32</v>
      </c>
      <c r="G23" s="44">
        <v>4</v>
      </c>
      <c r="H23" s="129">
        <f>IF(B$17=0,0,G23/B$17)</f>
        <v>4.2735042735042739E-3</v>
      </c>
      <c r="I23" s="90">
        <v>3</v>
      </c>
      <c r="K23" s="36">
        <v>21</v>
      </c>
      <c r="L23" s="95">
        <v>7.1054273576010019E-15</v>
      </c>
      <c r="N23" s="111" t="s">
        <v>126</v>
      </c>
      <c r="O23" s="121">
        <f>IF(P23=0,0,Q23/P23)</f>
        <v>-10.651948051948041</v>
      </c>
      <c r="P23" s="115">
        <v>154</v>
      </c>
      <c r="Q23" s="103">
        <v>-1640.3999999999985</v>
      </c>
    </row>
    <row r="24" spans="1:17" x14ac:dyDescent="0.4">
      <c r="A24" s="52" t="s">
        <v>216</v>
      </c>
      <c r="B24" s="136">
        <f>IF($B$17-B$16=0,0,C24/($B$17-B$16))</f>
        <v>8747.0400000000009</v>
      </c>
      <c r="C24" s="137">
        <v>5466900</v>
      </c>
      <c r="E24" s="59" t="s">
        <v>84</v>
      </c>
      <c r="F24" s="56" t="s">
        <v>39</v>
      </c>
      <c r="G24" s="44">
        <v>4</v>
      </c>
      <c r="H24" s="129">
        <f>IF(B$17=0,0,G24/B$17)</f>
        <v>4.2735042735042739E-3</v>
      </c>
      <c r="I24" s="90">
        <v>3</v>
      </c>
      <c r="K24" s="36">
        <v>22</v>
      </c>
      <c r="L24" s="95">
        <v>-25.099999999999994</v>
      </c>
      <c r="N24" s="111" t="s">
        <v>222</v>
      </c>
      <c r="O24" s="121">
        <f>IF(P24=0,0,Q24/P24)</f>
        <v>-19.650000000000006</v>
      </c>
      <c r="P24" s="115">
        <v>4</v>
      </c>
      <c r="Q24" s="103">
        <v>-78.600000000000023</v>
      </c>
    </row>
    <row r="25" spans="1:17" x14ac:dyDescent="0.4">
      <c r="A25" s="52" t="s">
        <v>217</v>
      </c>
      <c r="B25" s="136">
        <f>IF(B$16=0,0,C25/B$16)</f>
        <v>7386.4951768488745</v>
      </c>
      <c r="C25" s="137">
        <v>2297200</v>
      </c>
      <c r="E25" s="59" t="s">
        <v>85</v>
      </c>
      <c r="F25" s="56" t="s">
        <v>40</v>
      </c>
      <c r="G25" s="44">
        <v>4</v>
      </c>
      <c r="H25" s="129">
        <f>IF(B$17=0,0,G25/B$17)</f>
        <v>4.2735042735042739E-3</v>
      </c>
      <c r="I25" s="90">
        <v>5</v>
      </c>
      <c r="K25" s="36">
        <v>23</v>
      </c>
      <c r="L25" s="95">
        <v>-26.799999999999994</v>
      </c>
    </row>
    <row r="26" spans="1:17" x14ac:dyDescent="0.4">
      <c r="A26" s="52" t="s">
        <v>215</v>
      </c>
      <c r="B26" s="136">
        <f>IF(B$20=0,0,C26/B$20)</f>
        <v>-7737.310606060606</v>
      </c>
      <c r="C26" s="137">
        <v>-4085300</v>
      </c>
      <c r="E26" s="59" t="s">
        <v>88</v>
      </c>
      <c r="F26" s="56" t="s">
        <v>43</v>
      </c>
      <c r="G26" s="44">
        <v>4</v>
      </c>
      <c r="H26" s="129">
        <f>IF(B$17=0,0,G26/B$17)</f>
        <v>4.2735042735042739E-3</v>
      </c>
      <c r="I26" s="90">
        <v>3</v>
      </c>
      <c r="K26" s="36">
        <v>24</v>
      </c>
      <c r="L26" s="95">
        <v>7.1054273576010019E-15</v>
      </c>
    </row>
    <row r="27" spans="1:17" x14ac:dyDescent="0.4">
      <c r="A27" s="86" t="s">
        <v>140</v>
      </c>
      <c r="B27" s="144">
        <v>8</v>
      </c>
      <c r="C27" s="145"/>
      <c r="E27" s="59" t="s">
        <v>95</v>
      </c>
      <c r="F27" s="56" t="s">
        <v>50</v>
      </c>
      <c r="G27" s="44">
        <v>3</v>
      </c>
      <c r="H27" s="129">
        <f>IF(B$17=0,0,G27/B$17)</f>
        <v>3.205128205128205E-3</v>
      </c>
      <c r="I27" s="90">
        <v>4</v>
      </c>
      <c r="K27" s="36">
        <v>25</v>
      </c>
      <c r="L27" s="95">
        <v>15.000000000000007</v>
      </c>
    </row>
    <row r="28" spans="1:17" x14ac:dyDescent="0.4">
      <c r="A28" s="54" t="s">
        <v>150</v>
      </c>
      <c r="B28" s="142">
        <v>95200</v>
      </c>
      <c r="C28" s="143"/>
      <c r="E28" s="59" t="s">
        <v>73</v>
      </c>
      <c r="F28" s="56" t="s">
        <v>28</v>
      </c>
      <c r="G28" s="44">
        <v>2</v>
      </c>
      <c r="H28" s="129">
        <f>IF(B$17=0,0,G28/B$17)</f>
        <v>2.136752136752137E-3</v>
      </c>
      <c r="I28" s="90">
        <v>2</v>
      </c>
      <c r="K28" s="36">
        <v>26</v>
      </c>
      <c r="L28" s="95">
        <v>0.60000000000000675</v>
      </c>
    </row>
    <row r="29" spans="1:17" x14ac:dyDescent="0.4">
      <c r="A29" s="53" t="s">
        <v>141</v>
      </c>
      <c r="B29" s="61">
        <v>12</v>
      </c>
      <c r="C29" s="40">
        <f>IF(B$3=0,0,B29/B$3)</f>
        <v>3.7629350893697085E-3</v>
      </c>
      <c r="E29" s="59" t="s">
        <v>90</v>
      </c>
      <c r="F29" s="56" t="s">
        <v>45</v>
      </c>
      <c r="G29" s="44">
        <v>2</v>
      </c>
      <c r="H29" s="129">
        <f>IF(B$17=0,0,G29/B$17)</f>
        <v>2.136752136752137E-3</v>
      </c>
      <c r="I29" s="90">
        <v>3</v>
      </c>
      <c r="K29" s="36">
        <v>27</v>
      </c>
      <c r="L29" s="95">
        <v>6.7723604502134549E-15</v>
      </c>
    </row>
    <row r="30" spans="1:17" x14ac:dyDescent="0.4">
      <c r="E30" s="59" t="s">
        <v>87</v>
      </c>
      <c r="F30" s="56" t="s">
        <v>42</v>
      </c>
      <c r="G30" s="44">
        <v>1</v>
      </c>
      <c r="H30" s="129">
        <f>IF(B$17=0,0,G30/B$17)</f>
        <v>1.0683760683760685E-3</v>
      </c>
      <c r="I30" s="90">
        <v>2</v>
      </c>
      <c r="K30" s="36">
        <v>28</v>
      </c>
      <c r="L30" s="95">
        <v>-30.199999999999992</v>
      </c>
    </row>
    <row r="31" spans="1:17" x14ac:dyDescent="0.4">
      <c r="E31" s="59" t="s">
        <v>93</v>
      </c>
      <c r="F31" s="56" t="s">
        <v>48</v>
      </c>
      <c r="G31" s="44">
        <v>1</v>
      </c>
      <c r="H31" s="129">
        <f>IF(B$17=0,0,G31/B$17)</f>
        <v>1.0683760683760685E-3</v>
      </c>
      <c r="I31" s="90">
        <v>2</v>
      </c>
      <c r="K31" s="36">
        <v>29</v>
      </c>
      <c r="L31" s="95">
        <v>-2.3999999999999915</v>
      </c>
    </row>
    <row r="32" spans="1:17" x14ac:dyDescent="0.4">
      <c r="E32" s="59" t="s">
        <v>101</v>
      </c>
      <c r="F32" s="56" t="s">
        <v>56</v>
      </c>
      <c r="G32" s="44">
        <v>1</v>
      </c>
      <c r="H32" s="129">
        <f>IF(B$17=0,0,G32/B$17)</f>
        <v>1.0683760683760685E-3</v>
      </c>
      <c r="I32" s="90">
        <v>2</v>
      </c>
      <c r="K32" s="36">
        <v>30</v>
      </c>
      <c r="L32" s="95">
        <v>8.4376949871511897E-15</v>
      </c>
    </row>
    <row r="33" spans="5:12" x14ac:dyDescent="0.4">
      <c r="E33" s="59" t="s">
        <v>76</v>
      </c>
      <c r="F33" s="56" t="s">
        <v>31</v>
      </c>
      <c r="G33" s="44">
        <v>0</v>
      </c>
      <c r="H33" s="129">
        <f>IF(B$17=0,0,G33/B$17)</f>
        <v>0</v>
      </c>
      <c r="I33" s="90">
        <v>1</v>
      </c>
      <c r="K33" s="36">
        <v>31</v>
      </c>
      <c r="L33" s="95">
        <v>12.500000000000009</v>
      </c>
    </row>
    <row r="34" spans="5:12" x14ac:dyDescent="0.4">
      <c r="E34" s="59" t="s">
        <v>80</v>
      </c>
      <c r="F34" s="56" t="s">
        <v>35</v>
      </c>
      <c r="G34" s="44">
        <v>0</v>
      </c>
      <c r="H34" s="129">
        <f>IF(B$17=0,0,G34/B$17)</f>
        <v>0</v>
      </c>
      <c r="I34" s="90">
        <v>1</v>
      </c>
      <c r="K34" s="36">
        <v>32</v>
      </c>
      <c r="L34" s="95">
        <v>47.300000000000004</v>
      </c>
    </row>
    <row r="35" spans="5:12" x14ac:dyDescent="0.4">
      <c r="E35" s="59" t="s">
        <v>82</v>
      </c>
      <c r="F35" s="56" t="s">
        <v>37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7.1054273576010019E-15</v>
      </c>
    </row>
    <row r="36" spans="5:12" x14ac:dyDescent="0.4">
      <c r="E36" s="59" t="s">
        <v>94</v>
      </c>
      <c r="F36" s="56" t="s">
        <v>49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-5.8999999999999932</v>
      </c>
    </row>
    <row r="37" spans="5:12" x14ac:dyDescent="0.4">
      <c r="E37" s="59" t="s">
        <v>96</v>
      </c>
      <c r="F37" s="56" t="s">
        <v>51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26.900000000000006</v>
      </c>
    </row>
    <row r="38" spans="5:12" x14ac:dyDescent="0.4">
      <c r="E38" s="59" t="s">
        <v>97</v>
      </c>
      <c r="F38" s="56" t="s">
        <v>52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7.1054273576010019E-15</v>
      </c>
    </row>
    <row r="39" spans="5:12" x14ac:dyDescent="0.4">
      <c r="E39" s="59" t="s">
        <v>98</v>
      </c>
      <c r="F39" s="56" t="s">
        <v>53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17.400000000000006</v>
      </c>
    </row>
    <row r="40" spans="5:12" x14ac:dyDescent="0.4">
      <c r="E40" s="59" t="s">
        <v>99</v>
      </c>
      <c r="F40" s="56" t="s">
        <v>54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-5.2999999999999936</v>
      </c>
    </row>
    <row r="41" spans="5:12" x14ac:dyDescent="0.4">
      <c r="E41" s="59" t="s">
        <v>100</v>
      </c>
      <c r="F41" s="56" t="s">
        <v>55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6.2172489379008766E-15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10.300000000000008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-26.999999999999989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1.0658141036401503E-14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-20.899999999999988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0.30000000000001137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1.1379786002407855E-14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2.2000000000000117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-21.499999999999986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1.4210854715202004E-14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-51.599999999999987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-33.699999999999989</v>
      </c>
    </row>
    <row r="53" spans="5:12" x14ac:dyDescent="0.4">
      <c r="K53" s="36">
        <v>51</v>
      </c>
      <c r="L53" s="95">
        <v>1.4210854715202004E-14</v>
      </c>
    </row>
    <row r="54" spans="5:12" x14ac:dyDescent="0.4">
      <c r="K54" s="36">
        <v>52</v>
      </c>
      <c r="L54" s="95">
        <v>-5.8999999999999861</v>
      </c>
    </row>
    <row r="55" spans="5:12" x14ac:dyDescent="0.4">
      <c r="K55" s="36">
        <v>53</v>
      </c>
      <c r="L55" s="95">
        <v>-29.399999999999984</v>
      </c>
    </row>
    <row r="56" spans="5:12" x14ac:dyDescent="0.4">
      <c r="K56" s="36">
        <v>54</v>
      </c>
      <c r="L56" s="95">
        <v>1.4210854715202004E-14</v>
      </c>
    </row>
    <row r="57" spans="5:12" x14ac:dyDescent="0.4">
      <c r="K57" s="36">
        <v>55</v>
      </c>
      <c r="L57" s="95">
        <v>-42.999999999999986</v>
      </c>
    </row>
    <row r="58" spans="5:12" x14ac:dyDescent="0.4">
      <c r="K58" s="36">
        <v>56</v>
      </c>
      <c r="L58" s="95">
        <v>-54.199999999999989</v>
      </c>
    </row>
    <row r="59" spans="5:12" x14ac:dyDescent="0.4">
      <c r="K59" s="36">
        <v>57</v>
      </c>
      <c r="L59" s="95">
        <v>1.4210854715202004E-14</v>
      </c>
    </row>
    <row r="60" spans="5:12" x14ac:dyDescent="0.4">
      <c r="K60" s="36">
        <v>58</v>
      </c>
      <c r="L60" s="95">
        <v>7.6000000000000139</v>
      </c>
    </row>
    <row r="61" spans="5:12" x14ac:dyDescent="0.4">
      <c r="K61" s="36">
        <v>59</v>
      </c>
      <c r="L61" s="95">
        <v>-35.399999999999984</v>
      </c>
    </row>
    <row r="62" spans="5:12" x14ac:dyDescent="0.4">
      <c r="K62" s="36">
        <v>60</v>
      </c>
      <c r="L62" s="95">
        <v>1.4210854715202004E-14</v>
      </c>
    </row>
    <row r="63" spans="5:12" x14ac:dyDescent="0.4">
      <c r="K63" s="36">
        <v>61</v>
      </c>
      <c r="L63" s="95">
        <v>66.800000000000011</v>
      </c>
    </row>
    <row r="64" spans="5:12" x14ac:dyDescent="0.4">
      <c r="K64" s="36">
        <v>62</v>
      </c>
      <c r="L64" s="95">
        <v>6.7000000000000099</v>
      </c>
    </row>
    <row r="65" spans="11:12" x14ac:dyDescent="0.4">
      <c r="K65" s="36">
        <v>63</v>
      </c>
      <c r="L65" s="95">
        <v>9.7699626167013776E-15</v>
      </c>
    </row>
    <row r="66" spans="11:12" x14ac:dyDescent="0.4">
      <c r="K66" s="36">
        <v>64</v>
      </c>
      <c r="L66" s="95">
        <v>-49.499999999999993</v>
      </c>
    </row>
    <row r="67" spans="11:12" x14ac:dyDescent="0.4">
      <c r="K67" s="36">
        <v>65</v>
      </c>
      <c r="L67" s="95">
        <v>-30.799999999999994</v>
      </c>
    </row>
    <row r="68" spans="11:12" x14ac:dyDescent="0.4">
      <c r="K68" s="36">
        <v>66</v>
      </c>
      <c r="L68" s="95">
        <v>7.1054273576010019E-15</v>
      </c>
    </row>
    <row r="69" spans="11:12" x14ac:dyDescent="0.4">
      <c r="K69" s="36">
        <v>67</v>
      </c>
      <c r="L69" s="95">
        <v>66.400000000000006</v>
      </c>
    </row>
    <row r="70" spans="11:12" x14ac:dyDescent="0.4">
      <c r="K70" s="36">
        <v>68</v>
      </c>
      <c r="L70" s="95">
        <v>17.700000000000003</v>
      </c>
    </row>
    <row r="71" spans="11:12" x14ac:dyDescent="0.4">
      <c r="K71" s="36">
        <v>69</v>
      </c>
      <c r="L71" s="95">
        <v>3.5527136788005009E-15</v>
      </c>
    </row>
    <row r="72" spans="11:12" x14ac:dyDescent="0.4">
      <c r="K72" s="36">
        <v>70</v>
      </c>
      <c r="L72" s="95">
        <v>17.700000000000003</v>
      </c>
    </row>
    <row r="73" spans="11:12" x14ac:dyDescent="0.4">
      <c r="K73" s="36">
        <v>71</v>
      </c>
      <c r="L73" s="95">
        <v>-28.799999999999997</v>
      </c>
    </row>
    <row r="74" spans="11:12" x14ac:dyDescent="0.4">
      <c r="K74" s="36">
        <v>72</v>
      </c>
      <c r="L74" s="95">
        <v>3.5527136788005009E-15</v>
      </c>
    </row>
    <row r="75" spans="11:12" x14ac:dyDescent="0.4">
      <c r="K75" s="36">
        <v>73</v>
      </c>
      <c r="L75" s="95">
        <v>7.5000000000000036</v>
      </c>
    </row>
    <row r="76" spans="11:12" x14ac:dyDescent="0.4">
      <c r="K76" s="36">
        <v>74</v>
      </c>
      <c r="L76" s="95">
        <v>28.600000000000005</v>
      </c>
    </row>
    <row r="77" spans="11:12" x14ac:dyDescent="0.4">
      <c r="K77" s="36">
        <v>75</v>
      </c>
      <c r="L77" s="95">
        <v>3.5527136788005009E-15</v>
      </c>
    </row>
    <row r="78" spans="11:12" x14ac:dyDescent="0.4">
      <c r="K78" s="36">
        <v>76</v>
      </c>
      <c r="L78" s="95">
        <v>39.5</v>
      </c>
    </row>
    <row r="79" spans="11:12" x14ac:dyDescent="0.4">
      <c r="K79" s="36">
        <v>77</v>
      </c>
      <c r="L79" s="95">
        <v>-7</v>
      </c>
    </row>
    <row r="80" spans="11:12" x14ac:dyDescent="0.4">
      <c r="K80" s="36">
        <v>78</v>
      </c>
      <c r="L80" s="95">
        <v>0</v>
      </c>
    </row>
    <row r="81" spans="11:12" x14ac:dyDescent="0.4">
      <c r="K81" s="36">
        <v>79</v>
      </c>
      <c r="L81" s="95">
        <v>-45.1</v>
      </c>
    </row>
    <row r="82" spans="11:12" x14ac:dyDescent="0.4">
      <c r="K82" s="36">
        <v>80</v>
      </c>
      <c r="L82" s="95">
        <v>-39.200000000000003</v>
      </c>
    </row>
    <row r="83" spans="11:12" x14ac:dyDescent="0.4">
      <c r="K83" s="36">
        <v>81</v>
      </c>
      <c r="L83" s="95">
        <v>0</v>
      </c>
    </row>
    <row r="84" spans="11:12" x14ac:dyDescent="0.4">
      <c r="K84" s="36">
        <v>82</v>
      </c>
      <c r="L84" s="95">
        <v>17.7</v>
      </c>
    </row>
    <row r="85" spans="11:12" x14ac:dyDescent="0.4">
      <c r="K85" s="36">
        <v>83</v>
      </c>
      <c r="L85" s="95">
        <v>-28.8</v>
      </c>
    </row>
    <row r="86" spans="11:12" x14ac:dyDescent="0.4">
      <c r="K86" s="36">
        <v>84</v>
      </c>
      <c r="L86" s="95">
        <v>0</v>
      </c>
    </row>
    <row r="87" spans="11:12" x14ac:dyDescent="0.4">
      <c r="K87" s="36">
        <v>85</v>
      </c>
      <c r="L87" s="95">
        <v>42.9</v>
      </c>
    </row>
    <row r="88" spans="11:12" x14ac:dyDescent="0.4">
      <c r="K88" s="36">
        <v>86</v>
      </c>
      <c r="L88" s="95">
        <v>-0.80000000000000426</v>
      </c>
    </row>
    <row r="89" spans="11:12" x14ac:dyDescent="0.4">
      <c r="K89" s="36">
        <v>87</v>
      </c>
      <c r="L89" s="95">
        <v>-4.2188474935755949E-15</v>
      </c>
    </row>
    <row r="90" spans="11:12" x14ac:dyDescent="0.4">
      <c r="K90" s="36">
        <v>88</v>
      </c>
      <c r="L90" s="95">
        <v>-58.000000000000007</v>
      </c>
    </row>
    <row r="91" spans="11:12" x14ac:dyDescent="0.4">
      <c r="K91" s="36">
        <v>89</v>
      </c>
      <c r="L91" s="95">
        <v>-7.1054273576010019E-15</v>
      </c>
    </row>
    <row r="92" spans="11:12" x14ac:dyDescent="0.4">
      <c r="K92" s="36">
        <v>90</v>
      </c>
      <c r="L92" s="95">
        <v>-7.1054273576010019E-15</v>
      </c>
    </row>
    <row r="93" spans="11:12" x14ac:dyDescent="0.4">
      <c r="K93" s="36">
        <v>91</v>
      </c>
      <c r="L93" s="95">
        <v>-26.400000000000006</v>
      </c>
    </row>
    <row r="94" spans="11:12" x14ac:dyDescent="0.4">
      <c r="K94" s="36">
        <v>92</v>
      </c>
      <c r="L94" s="95">
        <v>-26.900000000000006</v>
      </c>
    </row>
    <row r="95" spans="11:12" x14ac:dyDescent="0.4">
      <c r="K95" s="36">
        <v>93</v>
      </c>
      <c r="L95" s="95">
        <v>-7.1054273576010019E-15</v>
      </c>
    </row>
    <row r="96" spans="11:12" x14ac:dyDescent="0.4">
      <c r="K96" s="36">
        <v>94</v>
      </c>
      <c r="L96" s="95">
        <v>-34.900000000000006</v>
      </c>
    </row>
    <row r="97" spans="11:12" x14ac:dyDescent="0.4">
      <c r="K97" s="36">
        <v>95</v>
      </c>
      <c r="L97" s="95">
        <v>-8.100000000000005</v>
      </c>
    </row>
    <row r="98" spans="11:12" x14ac:dyDescent="0.4">
      <c r="K98" s="36">
        <v>96</v>
      </c>
      <c r="L98" s="95">
        <v>-5.3290705182007514E-15</v>
      </c>
    </row>
    <row r="99" spans="11:12" x14ac:dyDescent="0.4">
      <c r="K99" s="36">
        <v>97</v>
      </c>
      <c r="L99" s="95">
        <v>34.29999999999999</v>
      </c>
    </row>
    <row r="100" spans="11:12" x14ac:dyDescent="0.4">
      <c r="K100" s="36">
        <v>98</v>
      </c>
      <c r="L100" s="95">
        <v>31.499999999999989</v>
      </c>
    </row>
    <row r="101" spans="11:12" x14ac:dyDescent="0.4">
      <c r="K101" s="36">
        <v>99</v>
      </c>
      <c r="L101" s="95">
        <v>-1.0658141036401503E-14</v>
      </c>
    </row>
    <row r="102" spans="11:12" x14ac:dyDescent="0.4">
      <c r="K102" s="36">
        <v>100</v>
      </c>
      <c r="L102" s="95">
        <v>34.499999999999986</v>
      </c>
    </row>
    <row r="103" spans="11:12" x14ac:dyDescent="0.4">
      <c r="K103" s="36">
        <v>101</v>
      </c>
      <c r="L103" s="95">
        <v>46.899999999999984</v>
      </c>
    </row>
    <row r="104" spans="11:12" x14ac:dyDescent="0.4">
      <c r="K104" s="36">
        <v>102</v>
      </c>
      <c r="L104" s="95">
        <v>-1.4210854715202004E-14</v>
      </c>
    </row>
    <row r="105" spans="11:12" x14ac:dyDescent="0.4">
      <c r="K105" s="36">
        <v>103</v>
      </c>
      <c r="L105" s="95">
        <v>-49.400000000000013</v>
      </c>
    </row>
    <row r="106" spans="11:12" x14ac:dyDescent="0.4">
      <c r="K106" s="36">
        <v>104</v>
      </c>
      <c r="L106" s="95">
        <v>-18.000000000000014</v>
      </c>
    </row>
    <row r="107" spans="11:12" x14ac:dyDescent="0.4">
      <c r="K107" s="36">
        <v>105</v>
      </c>
      <c r="L107" s="95">
        <v>-1.4210854715202004E-14</v>
      </c>
    </row>
    <row r="108" spans="11:12" x14ac:dyDescent="0.4">
      <c r="K108" s="36">
        <v>106</v>
      </c>
      <c r="L108" s="95">
        <v>-10.800000000000015</v>
      </c>
    </row>
    <row r="109" spans="11:12" x14ac:dyDescent="0.4">
      <c r="K109" s="36">
        <v>107</v>
      </c>
      <c r="L109" s="95">
        <v>-56.90000000000002</v>
      </c>
    </row>
    <row r="110" spans="11:12" x14ac:dyDescent="0.4">
      <c r="K110" s="36">
        <v>108</v>
      </c>
      <c r="L110" s="95">
        <v>-2.1316282072803006E-14</v>
      </c>
    </row>
    <row r="111" spans="11:12" x14ac:dyDescent="0.4">
      <c r="K111" s="36">
        <v>109</v>
      </c>
      <c r="L111" s="95">
        <v>7.6999999999999789</v>
      </c>
    </row>
    <row r="112" spans="11:12" x14ac:dyDescent="0.4">
      <c r="K112" s="36">
        <v>110</v>
      </c>
      <c r="L112" s="95">
        <v>-22.700000000000021</v>
      </c>
    </row>
    <row r="113" spans="11:12" x14ac:dyDescent="0.4">
      <c r="K113" s="36">
        <v>111</v>
      </c>
      <c r="L113" s="95">
        <v>-2.1316282072803006E-14</v>
      </c>
    </row>
    <row r="114" spans="11:12" x14ac:dyDescent="0.4">
      <c r="K114" s="36">
        <v>112</v>
      </c>
      <c r="L114" s="95">
        <v>2.4999999999999787</v>
      </c>
    </row>
    <row r="115" spans="11:12" x14ac:dyDescent="0.4">
      <c r="K115" s="36">
        <v>113</v>
      </c>
      <c r="L115" s="95">
        <v>23.999999999999979</v>
      </c>
    </row>
    <row r="116" spans="11:12" x14ac:dyDescent="0.4">
      <c r="K116" s="36">
        <v>114</v>
      </c>
      <c r="L116" s="95">
        <v>-2.1316282072803006E-14</v>
      </c>
    </row>
    <row r="117" spans="11:12" x14ac:dyDescent="0.4">
      <c r="K117" s="36">
        <v>115</v>
      </c>
      <c r="L117" s="95">
        <v>33.09999999999998</v>
      </c>
    </row>
    <row r="118" spans="11:12" x14ac:dyDescent="0.4">
      <c r="K118" s="36">
        <v>116</v>
      </c>
      <c r="L118" s="95">
        <v>6.6999999999999815</v>
      </c>
    </row>
    <row r="119" spans="11:12" x14ac:dyDescent="0.4">
      <c r="K119" s="36">
        <v>117</v>
      </c>
      <c r="L119" s="95">
        <v>-1.865174681370263E-14</v>
      </c>
    </row>
    <row r="120" spans="11:12" x14ac:dyDescent="0.4">
      <c r="K120" s="36">
        <v>118</v>
      </c>
      <c r="L120" s="95">
        <v>-44.200000000000024</v>
      </c>
    </row>
    <row r="121" spans="11:12" x14ac:dyDescent="0.4">
      <c r="K121" s="36">
        <v>119</v>
      </c>
      <c r="L121" s="95">
        <v>-30.800000000000026</v>
      </c>
    </row>
    <row r="122" spans="11:12" x14ac:dyDescent="0.4">
      <c r="K122" s="36">
        <v>120</v>
      </c>
      <c r="L122" s="95">
        <v>-2.4868995751603507E-14</v>
      </c>
    </row>
    <row r="123" spans="11:12" x14ac:dyDescent="0.4">
      <c r="K123" s="36">
        <v>121</v>
      </c>
      <c r="L123" s="95">
        <v>-55.800000000000026</v>
      </c>
    </row>
    <row r="124" spans="11:12" x14ac:dyDescent="0.4">
      <c r="K124" s="36">
        <v>122</v>
      </c>
      <c r="L124" s="95">
        <v>-50.500000000000028</v>
      </c>
    </row>
    <row r="125" spans="11:12" x14ac:dyDescent="0.4">
      <c r="K125" s="36">
        <v>123</v>
      </c>
      <c r="L125" s="95">
        <v>-2.8421709430404007E-14</v>
      </c>
    </row>
    <row r="126" spans="11:12" x14ac:dyDescent="0.4">
      <c r="K126" s="36">
        <v>124</v>
      </c>
      <c r="L126" s="95">
        <v>31.699999999999971</v>
      </c>
    </row>
    <row r="127" spans="11:12" x14ac:dyDescent="0.4">
      <c r="K127" s="36">
        <v>125</v>
      </c>
      <c r="L127" s="95">
        <v>-8.6000000000000263</v>
      </c>
    </row>
    <row r="128" spans="11:12" x14ac:dyDescent="0.4">
      <c r="K128" s="36">
        <v>126</v>
      </c>
      <c r="L128" s="95">
        <v>-2.6645352591003757E-14</v>
      </c>
    </row>
    <row r="129" spans="11:12" x14ac:dyDescent="0.4">
      <c r="K129" s="36">
        <v>127</v>
      </c>
      <c r="L129" s="95">
        <v>-3.4000000000000266</v>
      </c>
    </row>
    <row r="130" spans="11:12" x14ac:dyDescent="0.4">
      <c r="K130" s="36">
        <v>128</v>
      </c>
      <c r="L130" s="95">
        <v>-24.700000000000028</v>
      </c>
    </row>
    <row r="131" spans="11:12" x14ac:dyDescent="0.4">
      <c r="K131" s="36">
        <v>129</v>
      </c>
      <c r="L131" s="95">
        <v>-2.8421709430404007E-14</v>
      </c>
    </row>
    <row r="132" spans="11:12" x14ac:dyDescent="0.4">
      <c r="K132" s="36">
        <v>130</v>
      </c>
      <c r="L132" s="95">
        <v>-16.700000000000028</v>
      </c>
    </row>
    <row r="133" spans="11:12" x14ac:dyDescent="0.4">
      <c r="K133" s="36">
        <v>131</v>
      </c>
      <c r="L133" s="95">
        <v>-15.100000000000028</v>
      </c>
    </row>
    <row r="134" spans="11:12" x14ac:dyDescent="0.4">
      <c r="K134" s="36">
        <v>132</v>
      </c>
      <c r="L134" s="95">
        <v>-2.8421709430404007E-14</v>
      </c>
    </row>
    <row r="135" spans="11:12" x14ac:dyDescent="0.4">
      <c r="K135" s="36">
        <v>133</v>
      </c>
      <c r="L135" s="95">
        <v>-2.8000000000000282</v>
      </c>
    </row>
    <row r="136" spans="11:12" x14ac:dyDescent="0.4">
      <c r="K136" s="36">
        <v>134</v>
      </c>
      <c r="L136" s="95">
        <v>14.099999999999969</v>
      </c>
    </row>
    <row r="137" spans="11:12" x14ac:dyDescent="0.4">
      <c r="K137" s="36">
        <v>135</v>
      </c>
      <c r="L137" s="95">
        <v>-3.0198066269804258E-14</v>
      </c>
    </row>
    <row r="138" spans="11:12" x14ac:dyDescent="0.4">
      <c r="K138" s="36">
        <v>136</v>
      </c>
      <c r="L138" s="95">
        <v>-43.800000000000026</v>
      </c>
    </row>
    <row r="139" spans="11:12" x14ac:dyDescent="0.4">
      <c r="K139" s="36">
        <v>137</v>
      </c>
      <c r="L139" s="95">
        <v>6.1999999999999744</v>
      </c>
    </row>
    <row r="140" spans="11:12" x14ac:dyDescent="0.4">
      <c r="K140" s="36">
        <v>138</v>
      </c>
      <c r="L140" s="95">
        <v>-2.5757174171303632E-14</v>
      </c>
    </row>
    <row r="141" spans="11:12" x14ac:dyDescent="0.4">
      <c r="K141" s="36">
        <v>139</v>
      </c>
      <c r="L141" s="95">
        <v>-35.300000000000026</v>
      </c>
    </row>
    <row r="142" spans="11:12" x14ac:dyDescent="0.4">
      <c r="K142" s="36">
        <v>140</v>
      </c>
      <c r="L142" s="95">
        <v>7.2999999999999758</v>
      </c>
    </row>
    <row r="143" spans="11:12" x14ac:dyDescent="0.4">
      <c r="K143" s="36">
        <v>141</v>
      </c>
      <c r="L143" s="95">
        <v>-2.3980817331903381E-14</v>
      </c>
    </row>
    <row r="144" spans="11:12" x14ac:dyDescent="0.4">
      <c r="K144" s="36">
        <v>142</v>
      </c>
      <c r="L144" s="95">
        <v>60.09999999999998</v>
      </c>
    </row>
    <row r="145" spans="11:12" x14ac:dyDescent="0.4">
      <c r="K145" s="36">
        <v>143</v>
      </c>
      <c r="L145" s="95">
        <v>50.399999999999977</v>
      </c>
    </row>
    <row r="146" spans="11:12" x14ac:dyDescent="0.4">
      <c r="K146" s="36">
        <v>144</v>
      </c>
      <c r="L146" s="95">
        <v>-2.1316282072803006E-14</v>
      </c>
    </row>
    <row r="147" spans="11:12" x14ac:dyDescent="0.4">
      <c r="K147" s="36">
        <v>145</v>
      </c>
      <c r="L147" s="95">
        <v>-53.100000000000023</v>
      </c>
    </row>
    <row r="148" spans="11:12" x14ac:dyDescent="0.4">
      <c r="K148" s="36">
        <v>146</v>
      </c>
      <c r="L148" s="95">
        <v>-53.200000000000024</v>
      </c>
    </row>
    <row r="149" spans="11:12" x14ac:dyDescent="0.4">
      <c r="K149" s="36">
        <v>147</v>
      </c>
      <c r="L149" s="95">
        <v>-2.1316282072803006E-14</v>
      </c>
    </row>
    <row r="150" spans="11:12" x14ac:dyDescent="0.4">
      <c r="K150" s="36">
        <v>148</v>
      </c>
      <c r="L150" s="95">
        <v>-21.90000000000002</v>
      </c>
    </row>
    <row r="151" spans="11:12" x14ac:dyDescent="0.4">
      <c r="K151" s="36">
        <v>149</v>
      </c>
      <c r="L151" s="95">
        <v>7.9999999999999787</v>
      </c>
    </row>
    <row r="152" spans="11:12" x14ac:dyDescent="0.4">
      <c r="K152" s="36">
        <v>150</v>
      </c>
      <c r="L152" s="95">
        <v>-2.1316282072803006E-14</v>
      </c>
    </row>
    <row r="153" spans="11:12" x14ac:dyDescent="0.4">
      <c r="K153" s="36">
        <v>151</v>
      </c>
      <c r="L153" s="95">
        <v>45.899999999999977</v>
      </c>
    </row>
    <row r="154" spans="11:12" x14ac:dyDescent="0.4">
      <c r="K154" s="36">
        <v>152</v>
      </c>
      <c r="L154" s="95">
        <v>45.699999999999974</v>
      </c>
    </row>
    <row r="155" spans="11:12" x14ac:dyDescent="0.4">
      <c r="K155" s="36">
        <v>153</v>
      </c>
      <c r="L155" s="95">
        <v>-2.8421709430404007E-14</v>
      </c>
    </row>
    <row r="156" spans="11:12" x14ac:dyDescent="0.4">
      <c r="K156" s="36">
        <v>154</v>
      </c>
      <c r="L156" s="95">
        <v>-27.10000000000003</v>
      </c>
    </row>
    <row r="157" spans="11:12" x14ac:dyDescent="0.4">
      <c r="K157" s="36">
        <v>155</v>
      </c>
      <c r="L157" s="95">
        <v>-5.8000000000000291</v>
      </c>
    </row>
    <row r="158" spans="11:12" x14ac:dyDescent="0.4">
      <c r="K158" s="36">
        <v>156</v>
      </c>
      <c r="L158" s="95">
        <v>-2.9309887850104133E-14</v>
      </c>
    </row>
    <row r="159" spans="11:12" x14ac:dyDescent="0.4">
      <c r="K159" s="36">
        <v>157</v>
      </c>
      <c r="L159" s="95">
        <v>11.39999999999997</v>
      </c>
    </row>
    <row r="160" spans="11:12" x14ac:dyDescent="0.4">
      <c r="K160" s="36">
        <v>158</v>
      </c>
      <c r="L160" s="95">
        <v>-25.300000000000033</v>
      </c>
    </row>
    <row r="161" spans="11:12" x14ac:dyDescent="0.4">
      <c r="K161" s="36">
        <v>159</v>
      </c>
      <c r="L161" s="95">
        <v>-3.1974423109204508E-14</v>
      </c>
    </row>
    <row r="162" spans="11:12" x14ac:dyDescent="0.4">
      <c r="K162" s="36">
        <v>160</v>
      </c>
      <c r="L162" s="95">
        <v>21.999999999999968</v>
      </c>
    </row>
    <row r="163" spans="11:12" x14ac:dyDescent="0.4">
      <c r="K163" s="36">
        <v>161</v>
      </c>
      <c r="L163" s="95">
        <v>16.599999999999966</v>
      </c>
    </row>
    <row r="164" spans="11:12" x14ac:dyDescent="0.4">
      <c r="K164" s="36">
        <v>162</v>
      </c>
      <c r="L164" s="95">
        <v>-3.5527136788005009E-14</v>
      </c>
    </row>
    <row r="165" spans="11:12" x14ac:dyDescent="0.4">
      <c r="K165" s="36">
        <v>163</v>
      </c>
      <c r="L165" s="95">
        <v>40.399999999999963</v>
      </c>
    </row>
    <row r="166" spans="11:12" x14ac:dyDescent="0.4">
      <c r="K166" s="36">
        <v>164</v>
      </c>
      <c r="L166" s="95">
        <v>45.799999999999962</v>
      </c>
    </row>
    <row r="167" spans="11:12" x14ac:dyDescent="0.4">
      <c r="K167" s="36">
        <v>165</v>
      </c>
      <c r="L167" s="95">
        <v>-3.5527136788005009E-14</v>
      </c>
    </row>
    <row r="168" spans="11:12" x14ac:dyDescent="0.4">
      <c r="K168" s="36">
        <v>166</v>
      </c>
      <c r="L168" s="95">
        <v>-32.600000000000037</v>
      </c>
    </row>
    <row r="169" spans="11:12" x14ac:dyDescent="0.4">
      <c r="K169" s="36">
        <v>167</v>
      </c>
      <c r="L169" s="95">
        <v>-47.900000000000034</v>
      </c>
    </row>
    <row r="170" spans="11:12" x14ac:dyDescent="0.4">
      <c r="K170" s="36">
        <v>168</v>
      </c>
      <c r="L170" s="95">
        <v>-3.5527136788005009E-14</v>
      </c>
    </row>
    <row r="171" spans="11:12" x14ac:dyDescent="0.4">
      <c r="K171" s="36">
        <v>169</v>
      </c>
      <c r="L171" s="95">
        <v>1.9999999999999645</v>
      </c>
    </row>
    <row r="172" spans="11:12" x14ac:dyDescent="0.4">
      <c r="K172" s="36">
        <v>170</v>
      </c>
      <c r="L172" s="95">
        <v>14.999999999999964</v>
      </c>
    </row>
    <row r="173" spans="11:12" x14ac:dyDescent="0.4">
      <c r="K173" s="36">
        <v>171</v>
      </c>
      <c r="L173" s="95">
        <v>-3.5527136788005009E-14</v>
      </c>
    </row>
    <row r="174" spans="11:12" x14ac:dyDescent="0.4">
      <c r="K174" s="36">
        <v>172</v>
      </c>
      <c r="L174" s="95">
        <v>-0.50000000000003553</v>
      </c>
    </row>
    <row r="175" spans="11:12" x14ac:dyDescent="0.4">
      <c r="K175" s="36">
        <v>173</v>
      </c>
      <c r="L175" s="95">
        <v>34.899999999999963</v>
      </c>
    </row>
    <row r="176" spans="11:12" x14ac:dyDescent="0.4">
      <c r="K176" s="36">
        <v>174</v>
      </c>
      <c r="L176" s="95">
        <v>-3.5527136788005009E-14</v>
      </c>
    </row>
    <row r="177" spans="11:12" x14ac:dyDescent="0.4">
      <c r="K177" s="36">
        <v>175</v>
      </c>
      <c r="L177" s="95">
        <v>4.8999999999999648</v>
      </c>
    </row>
    <row r="178" spans="11:12" x14ac:dyDescent="0.4">
      <c r="K178" s="36">
        <v>176</v>
      </c>
      <c r="L178" s="95">
        <v>49.19999999999996</v>
      </c>
    </row>
    <row r="179" spans="11:12" x14ac:dyDescent="0.4">
      <c r="K179" s="36">
        <v>177</v>
      </c>
      <c r="L179" s="95">
        <v>-4.2632564145606011E-14</v>
      </c>
    </row>
    <row r="180" spans="11:12" x14ac:dyDescent="0.4">
      <c r="K180" s="36">
        <v>178</v>
      </c>
      <c r="L180" s="95">
        <v>-31.300000000000043</v>
      </c>
    </row>
    <row r="181" spans="11:12" x14ac:dyDescent="0.4">
      <c r="K181" s="36">
        <v>179</v>
      </c>
      <c r="L181" s="95">
        <v>-25.300000000000043</v>
      </c>
    </row>
    <row r="182" spans="11:12" x14ac:dyDescent="0.4">
      <c r="K182" s="36">
        <v>180</v>
      </c>
      <c r="L182" s="95">
        <v>-4.2632564145606011E-14</v>
      </c>
    </row>
    <row r="183" spans="11:12" x14ac:dyDescent="0.4">
      <c r="K183" s="36">
        <v>181</v>
      </c>
      <c r="L183" s="95">
        <v>-23.900000000000041</v>
      </c>
    </row>
    <row r="184" spans="11:12" x14ac:dyDescent="0.4">
      <c r="K184" s="36">
        <v>182</v>
      </c>
      <c r="L184" s="95">
        <v>-22.000000000000043</v>
      </c>
    </row>
    <row r="185" spans="11:12" x14ac:dyDescent="0.4">
      <c r="K185" s="36">
        <v>183</v>
      </c>
      <c r="L185" s="95">
        <v>-4.2632564145606011E-14</v>
      </c>
    </row>
    <row r="186" spans="11:12" x14ac:dyDescent="0.4">
      <c r="K186" s="36">
        <v>184</v>
      </c>
      <c r="L186" s="95">
        <v>-1.9000000000000425</v>
      </c>
    </row>
    <row r="187" spans="11:12" x14ac:dyDescent="0.4">
      <c r="K187" s="36">
        <v>185</v>
      </c>
      <c r="L187" s="95">
        <v>36.799999999999962</v>
      </c>
    </row>
    <row r="188" spans="11:12" x14ac:dyDescent="0.4">
      <c r="K188" s="36">
        <v>186</v>
      </c>
      <c r="L188" s="95">
        <v>-3.5527136788005009E-14</v>
      </c>
    </row>
    <row r="189" spans="11:12" x14ac:dyDescent="0.4">
      <c r="K189" s="36">
        <v>187</v>
      </c>
      <c r="L189" s="95">
        <v>-40.700000000000038</v>
      </c>
    </row>
    <row r="190" spans="11:12" x14ac:dyDescent="0.4">
      <c r="K190" s="36">
        <v>188</v>
      </c>
      <c r="L190" s="95">
        <v>-33.400000000000041</v>
      </c>
    </row>
    <row r="191" spans="11:12" x14ac:dyDescent="0.4">
      <c r="K191" s="36">
        <v>189</v>
      </c>
      <c r="L191" s="95">
        <v>-4.2632564145606011E-14</v>
      </c>
    </row>
    <row r="192" spans="11:12" x14ac:dyDescent="0.4">
      <c r="K192" s="36">
        <v>190</v>
      </c>
      <c r="L192" s="95">
        <v>-30.500000000000043</v>
      </c>
    </row>
    <row r="193" spans="11:12" x14ac:dyDescent="0.4">
      <c r="K193" s="36">
        <v>191</v>
      </c>
      <c r="L193" s="95">
        <v>0.29999999999995808</v>
      </c>
    </row>
    <row r="194" spans="11:12" x14ac:dyDescent="0.4">
      <c r="K194" s="36">
        <v>192</v>
      </c>
      <c r="L194" s="95">
        <v>-4.1910919179599659E-14</v>
      </c>
    </row>
    <row r="195" spans="11:12" x14ac:dyDescent="0.4">
      <c r="K195" s="36">
        <v>193</v>
      </c>
      <c r="L195" s="95">
        <v>52.099999999999959</v>
      </c>
    </row>
    <row r="196" spans="11:12" x14ac:dyDescent="0.4">
      <c r="K196" s="36">
        <v>194</v>
      </c>
      <c r="L196" s="95">
        <v>49.299999999999962</v>
      </c>
    </row>
    <row r="197" spans="11:12" x14ac:dyDescent="0.4">
      <c r="K197" s="36">
        <v>195</v>
      </c>
      <c r="L197" s="95">
        <v>-3.5527136788005009E-14</v>
      </c>
    </row>
    <row r="198" spans="11:12" x14ac:dyDescent="0.4">
      <c r="K198" s="36">
        <v>196</v>
      </c>
      <c r="L198" s="95">
        <v>-5.6000000000000352</v>
      </c>
    </row>
    <row r="199" spans="11:12" x14ac:dyDescent="0.4">
      <c r="K199" s="36">
        <v>197</v>
      </c>
      <c r="L199" s="95">
        <v>-28.200000000000038</v>
      </c>
    </row>
    <row r="200" spans="11:12" x14ac:dyDescent="0.4">
      <c r="K200" s="36">
        <v>198</v>
      </c>
      <c r="L200" s="95">
        <v>-3.907985046680551E-14</v>
      </c>
    </row>
    <row r="201" spans="11:12" x14ac:dyDescent="0.4">
      <c r="K201" s="36">
        <v>199</v>
      </c>
      <c r="L201" s="95">
        <v>-22.000000000000039</v>
      </c>
    </row>
    <row r="202" spans="11:12" x14ac:dyDescent="0.4">
      <c r="K202" s="36">
        <v>200</v>
      </c>
      <c r="L202" s="95">
        <v>-20.900000000000038</v>
      </c>
    </row>
    <row r="203" spans="11:12" x14ac:dyDescent="0.4">
      <c r="K203" s="36">
        <v>201</v>
      </c>
      <c r="L203" s="95">
        <v>-3.907985046680551E-14</v>
      </c>
    </row>
    <row r="204" spans="11:12" x14ac:dyDescent="0.4">
      <c r="K204" s="36">
        <v>202</v>
      </c>
      <c r="L204" s="95">
        <v>-1.0000000000000391</v>
      </c>
    </row>
    <row r="205" spans="11:12" x14ac:dyDescent="0.4">
      <c r="K205" s="36">
        <v>203</v>
      </c>
      <c r="L205" s="95">
        <v>18.399999999999959</v>
      </c>
    </row>
    <row r="206" spans="11:12" x14ac:dyDescent="0.4">
      <c r="K206" s="36">
        <v>204</v>
      </c>
      <c r="L206" s="95">
        <v>-3.907985046680551E-14</v>
      </c>
    </row>
    <row r="207" spans="11:12" x14ac:dyDescent="0.4">
      <c r="K207" s="36">
        <v>205</v>
      </c>
      <c r="L207" s="95">
        <v>-47.200000000000045</v>
      </c>
    </row>
    <row r="208" spans="11:12" x14ac:dyDescent="0.4">
      <c r="K208" s="36">
        <v>206</v>
      </c>
      <c r="L208" s="95">
        <v>-56.700000000000045</v>
      </c>
    </row>
    <row r="209" spans="11:12" x14ac:dyDescent="0.4">
      <c r="K209" s="36">
        <v>207</v>
      </c>
      <c r="L209" s="95">
        <v>-4.2632564145606011E-14</v>
      </c>
    </row>
    <row r="210" spans="11:12" x14ac:dyDescent="0.4">
      <c r="K210" s="36">
        <v>208</v>
      </c>
      <c r="L210" s="95">
        <v>-45.500000000000043</v>
      </c>
    </row>
    <row r="211" spans="11:12" x14ac:dyDescent="0.4">
      <c r="K211" s="36">
        <v>209</v>
      </c>
      <c r="L211" s="95">
        <v>-7.4000000000000412</v>
      </c>
    </row>
    <row r="212" spans="11:12" x14ac:dyDescent="0.4">
      <c r="K212" s="36">
        <v>210</v>
      </c>
      <c r="L212" s="95">
        <v>-4.0856207306205761E-14</v>
      </c>
    </row>
    <row r="213" spans="11:12" x14ac:dyDescent="0.4">
      <c r="K213" s="36">
        <v>211</v>
      </c>
      <c r="L213" s="95">
        <v>-31.80000000000004</v>
      </c>
    </row>
    <row r="214" spans="11:12" x14ac:dyDescent="0.4">
      <c r="K214" s="36">
        <v>212</v>
      </c>
      <c r="L214" s="95">
        <v>-26.30000000000004</v>
      </c>
    </row>
    <row r="215" spans="11:12" x14ac:dyDescent="0.4">
      <c r="K215" s="36">
        <v>213</v>
      </c>
      <c r="L215" s="95">
        <v>-3.907985046680551E-14</v>
      </c>
    </row>
    <row r="216" spans="11:12" x14ac:dyDescent="0.4">
      <c r="K216" s="36">
        <v>214</v>
      </c>
      <c r="L216" s="95">
        <v>22.999999999999961</v>
      </c>
    </row>
    <row r="217" spans="11:12" x14ac:dyDescent="0.4">
      <c r="K217" s="36">
        <v>215</v>
      </c>
      <c r="L217" s="95">
        <v>22.599999999999962</v>
      </c>
    </row>
    <row r="218" spans="11:12" x14ac:dyDescent="0.4">
      <c r="K218" s="36">
        <v>216</v>
      </c>
      <c r="L218" s="95">
        <v>-3.907985046680551E-14</v>
      </c>
    </row>
    <row r="219" spans="11:12" x14ac:dyDescent="0.4">
      <c r="K219" s="36">
        <v>217</v>
      </c>
      <c r="L219" s="95">
        <v>-18.700000000000038</v>
      </c>
    </row>
    <row r="220" spans="11:12" x14ac:dyDescent="0.4">
      <c r="K220" s="36">
        <v>218</v>
      </c>
      <c r="L220" s="95">
        <v>31.399999999999963</v>
      </c>
    </row>
    <row r="221" spans="11:12" x14ac:dyDescent="0.4">
      <c r="K221" s="36">
        <v>219</v>
      </c>
      <c r="L221" s="95">
        <v>-3.5527136788005009E-14</v>
      </c>
    </row>
    <row r="222" spans="11:12" x14ac:dyDescent="0.4">
      <c r="K222" s="36">
        <v>220</v>
      </c>
      <c r="L222" s="95">
        <v>11.499999999999964</v>
      </c>
    </row>
    <row r="223" spans="11:12" x14ac:dyDescent="0.4">
      <c r="K223" s="36">
        <v>221</v>
      </c>
      <c r="L223" s="95">
        <v>-1.3000000000000362</v>
      </c>
    </row>
    <row r="224" spans="11:12" x14ac:dyDescent="0.4">
      <c r="K224" s="36">
        <v>222</v>
      </c>
      <c r="L224" s="95">
        <v>-3.6193270602780103E-14</v>
      </c>
    </row>
    <row r="225" spans="11:12" x14ac:dyDescent="0.4">
      <c r="K225" s="36">
        <v>223</v>
      </c>
      <c r="L225" s="95">
        <v>-41.100000000000037</v>
      </c>
    </row>
    <row r="226" spans="11:12" x14ac:dyDescent="0.4">
      <c r="K226" s="36">
        <v>224</v>
      </c>
      <c r="L226" s="95">
        <v>-1.0000000000000355</v>
      </c>
    </row>
    <row r="227" spans="11:12" x14ac:dyDescent="0.4">
      <c r="K227" s="36">
        <v>225</v>
      </c>
      <c r="L227" s="95">
        <v>-3.5527136788005009E-14</v>
      </c>
    </row>
    <row r="228" spans="11:12" x14ac:dyDescent="0.4">
      <c r="K228" s="36">
        <v>226</v>
      </c>
      <c r="L228" s="95">
        <v>61.899999999999963</v>
      </c>
    </row>
    <row r="229" spans="11:12" x14ac:dyDescent="0.4">
      <c r="K229" s="36">
        <v>227</v>
      </c>
      <c r="L229" s="95">
        <v>16.099999999999966</v>
      </c>
    </row>
    <row r="230" spans="11:12" x14ac:dyDescent="0.4">
      <c r="K230" s="36">
        <v>228</v>
      </c>
      <c r="L230" s="95">
        <v>-3.5527136788005009E-14</v>
      </c>
    </row>
    <row r="231" spans="11:12" x14ac:dyDescent="0.4">
      <c r="K231" s="36">
        <v>229</v>
      </c>
      <c r="L231" s="95">
        <v>-30.700000000000035</v>
      </c>
    </row>
    <row r="232" spans="11:12" x14ac:dyDescent="0.4">
      <c r="K232" s="36">
        <v>230</v>
      </c>
      <c r="L232" s="95">
        <v>-8.9000000000000341</v>
      </c>
    </row>
    <row r="233" spans="11:12" x14ac:dyDescent="0.4">
      <c r="K233" s="36">
        <v>231</v>
      </c>
      <c r="L233" s="95">
        <v>-3.3750779948604759E-14</v>
      </c>
    </row>
    <row r="234" spans="11:12" x14ac:dyDescent="0.4">
      <c r="K234" s="36">
        <v>232</v>
      </c>
      <c r="L234" s="95">
        <v>4.5999999999999659</v>
      </c>
    </row>
    <row r="235" spans="11:12" x14ac:dyDescent="0.4">
      <c r="K235" s="36">
        <v>233</v>
      </c>
      <c r="L235" s="95">
        <v>-43.800000000000033</v>
      </c>
    </row>
    <row r="236" spans="11:12" x14ac:dyDescent="0.4">
      <c r="K236" s="36">
        <v>234</v>
      </c>
      <c r="L236" s="95">
        <v>-3.5527136788005009E-14</v>
      </c>
    </row>
    <row r="237" spans="11:12" x14ac:dyDescent="0.4">
      <c r="K237" s="36">
        <v>235</v>
      </c>
      <c r="L237" s="95">
        <v>2.7999999999999643</v>
      </c>
    </row>
    <row r="238" spans="11:12" x14ac:dyDescent="0.4">
      <c r="K238" s="36">
        <v>236</v>
      </c>
      <c r="L238" s="95">
        <v>-12.900000000000034</v>
      </c>
    </row>
    <row r="239" spans="11:12" x14ac:dyDescent="0.4">
      <c r="K239" s="36">
        <v>237</v>
      </c>
      <c r="L239" s="95">
        <v>-3.3750779948604759E-14</v>
      </c>
    </row>
    <row r="240" spans="11:12" x14ac:dyDescent="0.4">
      <c r="K240" s="36">
        <v>238</v>
      </c>
      <c r="L240" s="95">
        <v>46.899999999999963</v>
      </c>
    </row>
    <row r="241" spans="11:12" x14ac:dyDescent="0.4">
      <c r="K241" s="36">
        <v>239</v>
      </c>
      <c r="L241" s="95">
        <v>49.299999999999962</v>
      </c>
    </row>
    <row r="242" spans="11:12" x14ac:dyDescent="0.4">
      <c r="K242" s="36">
        <v>240</v>
      </c>
      <c r="L242" s="95">
        <v>-3.5527136788005009E-14</v>
      </c>
    </row>
    <row r="243" spans="11:12" x14ac:dyDescent="0.4">
      <c r="K243" s="36">
        <v>241</v>
      </c>
      <c r="L243" s="95">
        <v>10.499999999999964</v>
      </c>
    </row>
    <row r="244" spans="11:12" x14ac:dyDescent="0.4">
      <c r="K244" s="36">
        <v>242</v>
      </c>
      <c r="L244" s="95">
        <v>36.999999999999964</v>
      </c>
    </row>
    <row r="245" spans="11:12" x14ac:dyDescent="0.4">
      <c r="K245" s="36">
        <v>243</v>
      </c>
      <c r="L245" s="95">
        <v>-3.5527136788005009E-14</v>
      </c>
    </row>
    <row r="246" spans="11:12" x14ac:dyDescent="0.4">
      <c r="K246" s="36">
        <v>244</v>
      </c>
      <c r="L246" s="95">
        <v>34.099999999999966</v>
      </c>
    </row>
    <row r="247" spans="11:12" x14ac:dyDescent="0.4">
      <c r="K247" s="36">
        <v>245</v>
      </c>
      <c r="L247" s="95">
        <v>47.799999999999969</v>
      </c>
    </row>
    <row r="248" spans="11:12" x14ac:dyDescent="0.4">
      <c r="K248" s="36">
        <v>246</v>
      </c>
      <c r="L248" s="95">
        <v>-2.8421709430404007E-14</v>
      </c>
    </row>
    <row r="249" spans="11:12" x14ac:dyDescent="0.4">
      <c r="K249" s="36">
        <v>247</v>
      </c>
      <c r="L249" s="95">
        <v>-47.300000000000026</v>
      </c>
    </row>
    <row r="250" spans="11:12" x14ac:dyDescent="0.4">
      <c r="K250" s="36">
        <v>248</v>
      </c>
      <c r="L250" s="95">
        <v>-42.700000000000024</v>
      </c>
    </row>
    <row r="251" spans="11:12" x14ac:dyDescent="0.4">
      <c r="K251" s="36">
        <v>249</v>
      </c>
      <c r="L251" s="95">
        <v>-2.1316282072803006E-14</v>
      </c>
    </row>
    <row r="252" spans="11:12" x14ac:dyDescent="0.4">
      <c r="K252" s="36">
        <v>250</v>
      </c>
      <c r="L252" s="95">
        <v>-32.300000000000018</v>
      </c>
    </row>
    <row r="253" spans="11:12" x14ac:dyDescent="0.4">
      <c r="K253" s="36">
        <v>251</v>
      </c>
      <c r="L253" s="95">
        <v>-5.2000000000000171</v>
      </c>
    </row>
    <row r="254" spans="11:12" x14ac:dyDescent="0.4">
      <c r="K254" s="36">
        <v>252</v>
      </c>
      <c r="L254" s="95">
        <v>-1.6875389974302379E-14</v>
      </c>
    </row>
    <row r="255" spans="11:12" x14ac:dyDescent="0.4">
      <c r="K255" s="36">
        <v>253</v>
      </c>
      <c r="L255" s="95">
        <v>-2.9000000000000168</v>
      </c>
    </row>
    <row r="256" spans="11:12" x14ac:dyDescent="0.4">
      <c r="K256" s="36">
        <v>254</v>
      </c>
      <c r="L256" s="95">
        <v>15.099999999999984</v>
      </c>
    </row>
    <row r="257" spans="11:12" x14ac:dyDescent="0.4">
      <c r="K257" s="36">
        <v>255</v>
      </c>
      <c r="L257" s="95">
        <v>-1.5987211554602254E-14</v>
      </c>
    </row>
    <row r="258" spans="11:12" x14ac:dyDescent="0.4">
      <c r="K258" s="36">
        <v>256</v>
      </c>
      <c r="L258" s="95">
        <v>-45.100000000000016</v>
      </c>
    </row>
    <row r="259" spans="11:12" x14ac:dyDescent="0.4">
      <c r="K259" s="36">
        <v>257</v>
      </c>
      <c r="L259" s="95">
        <v>8.3999999999999844</v>
      </c>
    </row>
    <row r="260" spans="11:12" x14ac:dyDescent="0.4">
      <c r="K260" s="36">
        <v>258</v>
      </c>
      <c r="L260" s="95">
        <v>-1.5987211554602254E-14</v>
      </c>
    </row>
    <row r="261" spans="11:12" x14ac:dyDescent="0.4">
      <c r="K261" s="36">
        <v>259</v>
      </c>
      <c r="L261" s="95">
        <v>-27.500000000000014</v>
      </c>
    </row>
    <row r="262" spans="11:12" x14ac:dyDescent="0.4">
      <c r="K262" s="36">
        <v>260</v>
      </c>
      <c r="L262" s="95">
        <v>-7.0000000000000142</v>
      </c>
    </row>
    <row r="263" spans="11:12" x14ac:dyDescent="0.4">
      <c r="K263" s="36">
        <v>261</v>
      </c>
      <c r="L263" s="95">
        <v>-1.4210854715202004E-14</v>
      </c>
    </row>
    <row r="264" spans="11:12" x14ac:dyDescent="0.4">
      <c r="K264" s="36">
        <v>262</v>
      </c>
      <c r="L264" s="95">
        <v>6.0999999999999854</v>
      </c>
    </row>
    <row r="265" spans="11:12" x14ac:dyDescent="0.4">
      <c r="K265" s="36">
        <v>263</v>
      </c>
      <c r="L265" s="95">
        <v>-26.100000000000016</v>
      </c>
    </row>
    <row r="266" spans="11:12" x14ac:dyDescent="0.4">
      <c r="K266" s="36">
        <v>264</v>
      </c>
      <c r="L266" s="95">
        <v>-1.4210854715202004E-14</v>
      </c>
    </row>
    <row r="267" spans="11:12" x14ac:dyDescent="0.4">
      <c r="K267" s="36">
        <v>265</v>
      </c>
      <c r="L267" s="95">
        <v>14.099999999999985</v>
      </c>
    </row>
    <row r="268" spans="11:12" x14ac:dyDescent="0.4">
      <c r="K268" s="36">
        <v>266</v>
      </c>
      <c r="L268" s="95">
        <v>16.499999999999986</v>
      </c>
    </row>
    <row r="269" spans="11:12" x14ac:dyDescent="0.4">
      <c r="K269" s="36">
        <v>267</v>
      </c>
      <c r="L269" s="95">
        <v>-1.4210854715202004E-14</v>
      </c>
    </row>
    <row r="270" spans="11:12" x14ac:dyDescent="0.4">
      <c r="K270" s="36">
        <v>268</v>
      </c>
      <c r="L270" s="95">
        <v>4.4999999999999858</v>
      </c>
    </row>
    <row r="271" spans="11:12" x14ac:dyDescent="0.4">
      <c r="K271" s="36">
        <v>269</v>
      </c>
      <c r="L271" s="95">
        <v>-21.100000000000016</v>
      </c>
    </row>
    <row r="272" spans="11:12" x14ac:dyDescent="0.4">
      <c r="K272" s="36">
        <v>270</v>
      </c>
      <c r="L272" s="95">
        <v>-1.4210854715202004E-14</v>
      </c>
    </row>
    <row r="273" spans="11:12" x14ac:dyDescent="0.4">
      <c r="K273" s="36">
        <v>271</v>
      </c>
      <c r="L273" s="95">
        <v>-2.1000000000000143</v>
      </c>
    </row>
    <row r="274" spans="11:12" x14ac:dyDescent="0.4">
      <c r="K274" s="36">
        <v>272</v>
      </c>
      <c r="L274" s="95">
        <v>-28.100000000000016</v>
      </c>
    </row>
    <row r="275" spans="11:12" x14ac:dyDescent="0.4">
      <c r="K275" s="36">
        <v>273</v>
      </c>
      <c r="L275" s="95">
        <v>-1.4210854715202004E-14</v>
      </c>
    </row>
    <row r="276" spans="11:12" x14ac:dyDescent="0.4">
      <c r="K276" s="36">
        <v>274</v>
      </c>
      <c r="L276" s="95">
        <v>0.79999999999998583</v>
      </c>
    </row>
    <row r="277" spans="11:12" x14ac:dyDescent="0.4">
      <c r="K277" s="36">
        <v>275</v>
      </c>
      <c r="L277" s="95">
        <v>-26.200000000000014</v>
      </c>
    </row>
    <row r="278" spans="11:12" x14ac:dyDescent="0.4">
      <c r="K278" s="36">
        <v>276</v>
      </c>
      <c r="L278" s="95">
        <v>-1.4210854715202004E-14</v>
      </c>
    </row>
    <row r="279" spans="11:12" x14ac:dyDescent="0.4">
      <c r="K279" s="36">
        <v>277</v>
      </c>
      <c r="L279" s="95">
        <v>-5.5000000000000142</v>
      </c>
    </row>
    <row r="280" spans="11:12" x14ac:dyDescent="0.4">
      <c r="K280" s="36">
        <v>278</v>
      </c>
      <c r="L280" s="95">
        <v>-22.300000000000015</v>
      </c>
    </row>
    <row r="281" spans="11:12" x14ac:dyDescent="0.4">
      <c r="K281" s="36">
        <v>279</v>
      </c>
      <c r="L281" s="95">
        <v>-1.4210854715202004E-14</v>
      </c>
    </row>
    <row r="282" spans="11:12" x14ac:dyDescent="0.4">
      <c r="K282" s="36">
        <v>280</v>
      </c>
      <c r="L282" s="95">
        <v>47.399999999999984</v>
      </c>
    </row>
    <row r="283" spans="11:12" x14ac:dyDescent="0.4">
      <c r="K283" s="36">
        <v>281</v>
      </c>
      <c r="L283" s="95">
        <v>51.499999999999986</v>
      </c>
    </row>
    <row r="284" spans="11:12" x14ac:dyDescent="0.4">
      <c r="K284" s="36">
        <v>282</v>
      </c>
      <c r="L284" s="95">
        <v>-1.4210854715202004E-14</v>
      </c>
    </row>
    <row r="285" spans="11:12" x14ac:dyDescent="0.4">
      <c r="K285" s="36">
        <v>283</v>
      </c>
      <c r="L285" s="95">
        <v>6.7999999999999856</v>
      </c>
    </row>
    <row r="286" spans="11:12" x14ac:dyDescent="0.4">
      <c r="K286" s="36">
        <v>284</v>
      </c>
      <c r="L286" s="95">
        <v>-24.500000000000014</v>
      </c>
    </row>
    <row r="287" spans="11:12" x14ac:dyDescent="0.4">
      <c r="K287" s="36">
        <v>285</v>
      </c>
      <c r="L287" s="95">
        <v>-1.4210854715202004E-14</v>
      </c>
    </row>
    <row r="288" spans="11:12" x14ac:dyDescent="0.4">
      <c r="K288" s="36">
        <v>286</v>
      </c>
      <c r="L288" s="95">
        <v>6.7999999999999856</v>
      </c>
    </row>
    <row r="289" spans="11:12" x14ac:dyDescent="0.4">
      <c r="K289" s="36">
        <v>287</v>
      </c>
      <c r="L289" s="95">
        <v>31.599999999999987</v>
      </c>
    </row>
    <row r="290" spans="11:12" x14ac:dyDescent="0.4">
      <c r="K290" s="36">
        <v>288</v>
      </c>
      <c r="L290" s="95">
        <v>-1.4210854715202004E-14</v>
      </c>
    </row>
    <row r="291" spans="11:12" x14ac:dyDescent="0.4">
      <c r="K291" s="36">
        <v>289</v>
      </c>
      <c r="L291" s="95">
        <v>-16.100000000000016</v>
      </c>
    </row>
    <row r="292" spans="11:12" x14ac:dyDescent="0.4">
      <c r="K292" s="36">
        <v>290</v>
      </c>
      <c r="L292" s="95">
        <v>26.899999999999984</v>
      </c>
    </row>
    <row r="293" spans="11:12" x14ac:dyDescent="0.4">
      <c r="K293" s="36">
        <v>291</v>
      </c>
      <c r="L293" s="95">
        <v>-1.4210854715202004E-14</v>
      </c>
    </row>
    <row r="294" spans="11:12" x14ac:dyDescent="0.4">
      <c r="K294" s="36">
        <v>292</v>
      </c>
      <c r="L294" s="95">
        <v>6.5999999999999854</v>
      </c>
    </row>
    <row r="295" spans="11:12" x14ac:dyDescent="0.4">
      <c r="K295" s="36">
        <v>293</v>
      </c>
      <c r="L295" s="95">
        <v>28.799999999999983</v>
      </c>
    </row>
    <row r="296" spans="11:12" x14ac:dyDescent="0.4">
      <c r="K296" s="36">
        <v>294</v>
      </c>
      <c r="L296" s="95">
        <v>-1.7763568394002505E-14</v>
      </c>
    </row>
    <row r="297" spans="11:12" x14ac:dyDescent="0.4">
      <c r="K297" s="36">
        <v>295</v>
      </c>
      <c r="L297" s="95">
        <v>4.3999999999999826</v>
      </c>
    </row>
    <row r="298" spans="11:12" x14ac:dyDescent="0.4">
      <c r="K298" s="36">
        <v>296</v>
      </c>
      <c r="L298" s="95">
        <v>20.299999999999983</v>
      </c>
    </row>
    <row r="299" spans="11:12" x14ac:dyDescent="0.4">
      <c r="K299" s="36">
        <v>297</v>
      </c>
      <c r="L299" s="95">
        <v>-1.7763568394002505E-14</v>
      </c>
    </row>
    <row r="300" spans="11:12" x14ac:dyDescent="0.4">
      <c r="K300" s="36">
        <v>298</v>
      </c>
      <c r="L300" s="95">
        <v>18.299999999999983</v>
      </c>
    </row>
    <row r="301" spans="11:12" x14ac:dyDescent="0.4">
      <c r="K301" s="36">
        <v>299</v>
      </c>
      <c r="L301" s="95">
        <v>16.699999999999982</v>
      </c>
    </row>
    <row r="302" spans="11:12" x14ac:dyDescent="0.4">
      <c r="K302" s="36">
        <v>300</v>
      </c>
      <c r="L302" s="95">
        <v>-1.7763568394002505E-14</v>
      </c>
    </row>
    <row r="303" spans="11:12" x14ac:dyDescent="0.4">
      <c r="K303" s="36">
        <v>301</v>
      </c>
      <c r="L303" s="95">
        <v>19.199999999999982</v>
      </c>
    </row>
    <row r="304" spans="11:12" x14ac:dyDescent="0.4">
      <c r="K304" s="36">
        <v>302</v>
      </c>
      <c r="L304" s="95">
        <v>27.799999999999983</v>
      </c>
    </row>
    <row r="305" spans="11:12" x14ac:dyDescent="0.4">
      <c r="K305" s="36">
        <v>303</v>
      </c>
      <c r="L305" s="95">
        <v>-1.7763568394002505E-14</v>
      </c>
    </row>
    <row r="306" spans="11:12" x14ac:dyDescent="0.4">
      <c r="K306" s="36">
        <v>304</v>
      </c>
      <c r="L306" s="95">
        <v>12.399999999999983</v>
      </c>
    </row>
    <row r="307" spans="11:12" x14ac:dyDescent="0.4">
      <c r="K307" s="36">
        <v>305</v>
      </c>
      <c r="L307" s="95">
        <v>12.999999999999982</v>
      </c>
    </row>
    <row r="308" spans="11:12" x14ac:dyDescent="0.4">
      <c r="K308" s="36">
        <v>306</v>
      </c>
      <c r="L308" s="95">
        <v>-1.7763568394002505E-14</v>
      </c>
    </row>
    <row r="309" spans="11:12" x14ac:dyDescent="0.4">
      <c r="K309" s="36">
        <v>307</v>
      </c>
      <c r="L309" s="95">
        <v>61.499999999999986</v>
      </c>
    </row>
    <row r="310" spans="11:12" x14ac:dyDescent="0.4">
      <c r="K310" s="36">
        <v>308</v>
      </c>
      <c r="L310" s="95">
        <v>8.7999999999999829</v>
      </c>
    </row>
    <row r="311" spans="11:12" x14ac:dyDescent="0.4">
      <c r="K311" s="36">
        <v>309</v>
      </c>
      <c r="L311" s="95">
        <v>-1.7763568394002505E-14</v>
      </c>
    </row>
    <row r="312" spans="11:12" x14ac:dyDescent="0.4">
      <c r="K312" s="36">
        <v>310</v>
      </c>
      <c r="L312" s="95">
        <v>-2.0000000000000178</v>
      </c>
    </row>
    <row r="313" spans="11:12" x14ac:dyDescent="0.4">
      <c r="K313" s="36">
        <v>311</v>
      </c>
      <c r="L313" s="95">
        <v>35.199999999999989</v>
      </c>
    </row>
    <row r="314" spans="11:12" x14ac:dyDescent="0.4">
      <c r="K314" s="36">
        <v>312</v>
      </c>
      <c r="L314" s="95">
        <v>-1.4210854715202004E-14</v>
      </c>
    </row>
    <row r="315" spans="11:12" x14ac:dyDescent="0.4">
      <c r="K315" s="36">
        <v>313</v>
      </c>
      <c r="L315" s="95">
        <v>30.499999999999986</v>
      </c>
    </row>
    <row r="316" spans="11:12" x14ac:dyDescent="0.4">
      <c r="K316" s="36">
        <v>314</v>
      </c>
      <c r="L316" s="95">
        <v>34.899999999999984</v>
      </c>
    </row>
    <row r="317" spans="11:12" x14ac:dyDescent="0.4">
      <c r="K317" s="36">
        <v>315</v>
      </c>
      <c r="L317" s="95">
        <v>-1.4210854715202004E-14</v>
      </c>
    </row>
    <row r="318" spans="11:12" x14ac:dyDescent="0.4">
      <c r="K318" s="36">
        <v>316</v>
      </c>
      <c r="L318" s="95">
        <v>12.199999999999985</v>
      </c>
    </row>
    <row r="319" spans="11:12" x14ac:dyDescent="0.4">
      <c r="K319" s="36">
        <v>317</v>
      </c>
      <c r="L319" s="95">
        <v>-40.600000000000009</v>
      </c>
    </row>
    <row r="320" spans="11:12" x14ac:dyDescent="0.4">
      <c r="K320" s="36">
        <v>318</v>
      </c>
      <c r="L320" s="95">
        <v>-7.1054273576010019E-15</v>
      </c>
    </row>
    <row r="321" spans="11:12" x14ac:dyDescent="0.4">
      <c r="K321" s="36">
        <v>319</v>
      </c>
      <c r="L321" s="95">
        <v>32.399999999999991</v>
      </c>
    </row>
    <row r="322" spans="11:12" x14ac:dyDescent="0.4">
      <c r="K322" s="36">
        <v>320</v>
      </c>
      <c r="L322" s="95">
        <v>47.999999999999993</v>
      </c>
    </row>
    <row r="323" spans="11:12" x14ac:dyDescent="0.4">
      <c r="K323" s="36">
        <v>321</v>
      </c>
      <c r="L323" s="95">
        <v>-7.1054273576010019E-15</v>
      </c>
    </row>
    <row r="324" spans="11:12" x14ac:dyDescent="0.4">
      <c r="K324" s="36">
        <v>322</v>
      </c>
      <c r="L324" s="95">
        <v>55.099999999999994</v>
      </c>
    </row>
    <row r="325" spans="11:12" x14ac:dyDescent="0.4">
      <c r="K325" s="36">
        <v>323</v>
      </c>
      <c r="L325" s="95">
        <v>35.099999999999994</v>
      </c>
    </row>
    <row r="326" spans="11:12" x14ac:dyDescent="0.4">
      <c r="K326" s="36">
        <v>324</v>
      </c>
      <c r="L326" s="95">
        <v>-7.1054273576010019E-15</v>
      </c>
    </row>
    <row r="327" spans="11:12" x14ac:dyDescent="0.4">
      <c r="K327" s="36">
        <v>325</v>
      </c>
      <c r="L327" s="95">
        <v>40.899999999999991</v>
      </c>
    </row>
    <row r="328" spans="11:12" x14ac:dyDescent="0.4">
      <c r="K328" s="36">
        <v>326</v>
      </c>
      <c r="L328" s="95">
        <v>31.699999999999992</v>
      </c>
    </row>
    <row r="329" spans="11:12" x14ac:dyDescent="0.4">
      <c r="K329" s="36">
        <v>327</v>
      </c>
      <c r="L329" s="95">
        <v>-7.1054273576010019E-15</v>
      </c>
    </row>
    <row r="330" spans="11:12" x14ac:dyDescent="0.4">
      <c r="K330" s="36">
        <v>328</v>
      </c>
      <c r="L330" s="95">
        <v>-1.400000000000007</v>
      </c>
    </row>
    <row r="331" spans="11:12" x14ac:dyDescent="0.4">
      <c r="K331" s="36">
        <v>329</v>
      </c>
      <c r="L331" s="95">
        <v>-18.400000000000006</v>
      </c>
    </row>
    <row r="332" spans="11:12" x14ac:dyDescent="0.4">
      <c r="K332" s="36">
        <v>330</v>
      </c>
      <c r="L332" s="95">
        <v>-7.1054273576010019E-15</v>
      </c>
    </row>
    <row r="333" spans="11:12" x14ac:dyDescent="0.4">
      <c r="K333" s="36">
        <v>331</v>
      </c>
      <c r="L333" s="95">
        <v>-8.7000000000000064</v>
      </c>
    </row>
    <row r="334" spans="11:12" x14ac:dyDescent="0.4">
      <c r="K334" s="36">
        <v>332</v>
      </c>
      <c r="L334" s="95">
        <v>-35.500000000000007</v>
      </c>
    </row>
    <row r="335" spans="11:12" x14ac:dyDescent="0.4">
      <c r="K335" s="36">
        <v>333</v>
      </c>
      <c r="L335" s="95">
        <v>-7.1054273576010019E-15</v>
      </c>
    </row>
    <row r="336" spans="11:12" x14ac:dyDescent="0.4">
      <c r="K336" s="36">
        <v>334</v>
      </c>
      <c r="L336" s="95">
        <v>28.799999999999994</v>
      </c>
    </row>
    <row r="337" spans="11:12" x14ac:dyDescent="0.4">
      <c r="K337" s="36">
        <v>335</v>
      </c>
      <c r="L337" s="95">
        <v>41.399999999999991</v>
      </c>
    </row>
    <row r="338" spans="11:12" x14ac:dyDescent="0.4">
      <c r="K338" s="36">
        <v>336</v>
      </c>
      <c r="L338" s="95">
        <v>-7.1054273576010019E-15</v>
      </c>
    </row>
    <row r="339" spans="11:12" x14ac:dyDescent="0.4">
      <c r="K339" s="36">
        <v>337</v>
      </c>
      <c r="L339" s="95">
        <v>12.599999999999993</v>
      </c>
    </row>
    <row r="340" spans="11:12" x14ac:dyDescent="0.4">
      <c r="K340" s="36">
        <v>338</v>
      </c>
      <c r="L340" s="95">
        <v>-28.700000000000003</v>
      </c>
    </row>
    <row r="341" spans="11:12" x14ac:dyDescent="0.4">
      <c r="K341" s="36">
        <v>339</v>
      </c>
      <c r="L341" s="95">
        <v>-3.5527136788005009E-15</v>
      </c>
    </row>
    <row r="342" spans="11:12" x14ac:dyDescent="0.4">
      <c r="K342" s="36">
        <v>340</v>
      </c>
      <c r="L342" s="95">
        <v>14.899999999999997</v>
      </c>
    </row>
    <row r="343" spans="11:12" x14ac:dyDescent="0.4">
      <c r="K343" s="36">
        <v>341</v>
      </c>
      <c r="L343" s="95">
        <v>42.699999999999996</v>
      </c>
    </row>
    <row r="344" spans="11:12" x14ac:dyDescent="0.4">
      <c r="K344" s="36">
        <v>342</v>
      </c>
      <c r="L344" s="95">
        <v>-7.1054273576010019E-15</v>
      </c>
    </row>
    <row r="345" spans="11:12" x14ac:dyDescent="0.4">
      <c r="K345" s="36">
        <v>343</v>
      </c>
      <c r="L345" s="95">
        <v>-24.000000000000007</v>
      </c>
    </row>
    <row r="346" spans="11:12" x14ac:dyDescent="0.4">
      <c r="K346" s="36">
        <v>344</v>
      </c>
      <c r="L346" s="95">
        <v>-25.600000000000009</v>
      </c>
    </row>
    <row r="347" spans="11:12" x14ac:dyDescent="0.4">
      <c r="K347" s="36">
        <v>345</v>
      </c>
      <c r="L347" s="95">
        <v>-7.1054273576010019E-15</v>
      </c>
    </row>
    <row r="348" spans="11:12" x14ac:dyDescent="0.4">
      <c r="K348" s="36">
        <v>346</v>
      </c>
      <c r="L348" s="95">
        <v>3.9999999999999929</v>
      </c>
    </row>
    <row r="349" spans="11:12" x14ac:dyDescent="0.4">
      <c r="K349" s="36">
        <v>347</v>
      </c>
      <c r="L349" s="95">
        <v>-24.100000000000009</v>
      </c>
    </row>
    <row r="350" spans="11:12" x14ac:dyDescent="0.4">
      <c r="K350" s="36">
        <v>348</v>
      </c>
      <c r="L350" s="95">
        <v>-7.1054273576010019E-15</v>
      </c>
    </row>
    <row r="351" spans="11:12" x14ac:dyDescent="0.4">
      <c r="K351" s="36">
        <v>349</v>
      </c>
      <c r="L351" s="95">
        <v>-4.5000000000000071</v>
      </c>
    </row>
    <row r="352" spans="11:12" x14ac:dyDescent="0.4">
      <c r="K352" s="36">
        <v>350</v>
      </c>
      <c r="L352" s="95">
        <v>-34.500000000000007</v>
      </c>
    </row>
    <row r="353" spans="11:12" x14ac:dyDescent="0.4">
      <c r="K353" s="36">
        <v>351</v>
      </c>
      <c r="L353" s="95">
        <v>-7.1054273576010019E-15</v>
      </c>
    </row>
    <row r="354" spans="11:12" x14ac:dyDescent="0.4">
      <c r="K354" s="36">
        <v>352</v>
      </c>
      <c r="L354" s="95">
        <v>-30.500000000000007</v>
      </c>
    </row>
    <row r="355" spans="11:12" x14ac:dyDescent="0.4">
      <c r="K355" s="36">
        <v>353</v>
      </c>
      <c r="L355" s="95">
        <v>-33.800000000000004</v>
      </c>
    </row>
    <row r="356" spans="11:12" x14ac:dyDescent="0.4">
      <c r="K356" s="36">
        <v>354</v>
      </c>
      <c r="L356" s="95">
        <v>-7.1054273576010019E-15</v>
      </c>
    </row>
    <row r="357" spans="11:12" x14ac:dyDescent="0.4">
      <c r="K357" s="36">
        <v>355</v>
      </c>
      <c r="L357" s="95">
        <v>-31.300000000000008</v>
      </c>
    </row>
    <row r="358" spans="11:12" x14ac:dyDescent="0.4">
      <c r="K358" s="36">
        <v>356</v>
      </c>
      <c r="L358" s="95">
        <v>-6.5000000000000071</v>
      </c>
    </row>
    <row r="359" spans="11:12" x14ac:dyDescent="0.4">
      <c r="K359" s="36">
        <v>357</v>
      </c>
      <c r="L359" s="95">
        <v>-7.1054273576010019E-15</v>
      </c>
    </row>
    <row r="360" spans="11:12" x14ac:dyDescent="0.4">
      <c r="K360" s="36">
        <v>358</v>
      </c>
      <c r="L360" s="95">
        <v>-22.400000000000006</v>
      </c>
    </row>
    <row r="361" spans="11:12" x14ac:dyDescent="0.4">
      <c r="K361" s="36">
        <v>359</v>
      </c>
      <c r="L361" s="95">
        <v>3.0999999999999943</v>
      </c>
    </row>
    <row r="362" spans="11:12" x14ac:dyDescent="0.4">
      <c r="K362" s="36">
        <v>360</v>
      </c>
      <c r="L362" s="95">
        <v>-5.773159728050814E-15</v>
      </c>
    </row>
    <row r="363" spans="11:12" x14ac:dyDescent="0.4">
      <c r="K363" s="36">
        <v>361</v>
      </c>
      <c r="L363" s="95">
        <v>1.2999999999999943</v>
      </c>
    </row>
    <row r="364" spans="11:12" x14ac:dyDescent="0.4">
      <c r="K364" s="36">
        <v>362</v>
      </c>
      <c r="L364" s="95">
        <v>26.099999999999994</v>
      </c>
    </row>
    <row r="365" spans="11:12" x14ac:dyDescent="0.4">
      <c r="K365" s="36">
        <v>363</v>
      </c>
      <c r="L365" s="95">
        <v>-7.1054273576010019E-15</v>
      </c>
    </row>
    <row r="366" spans="11:12" x14ac:dyDescent="0.4">
      <c r="K366" s="36">
        <v>364</v>
      </c>
      <c r="L366" s="95">
        <v>5.5999999999999925</v>
      </c>
    </row>
    <row r="367" spans="11:12" x14ac:dyDescent="0.4">
      <c r="K367" s="36">
        <v>365</v>
      </c>
      <c r="L367" s="95">
        <v>-19.400000000000006</v>
      </c>
    </row>
    <row r="368" spans="11:12" x14ac:dyDescent="0.4">
      <c r="K368" s="36">
        <v>366</v>
      </c>
      <c r="L368" s="95">
        <v>-7.1054273576010019E-15</v>
      </c>
    </row>
    <row r="369" spans="11:12" x14ac:dyDescent="0.4">
      <c r="K369" s="36">
        <v>367</v>
      </c>
      <c r="L369" s="95">
        <v>14.799999999999994</v>
      </c>
    </row>
    <row r="370" spans="11:12" x14ac:dyDescent="0.4">
      <c r="K370" s="36">
        <v>368</v>
      </c>
      <c r="L370" s="95">
        <v>14.199999999999994</v>
      </c>
    </row>
    <row r="371" spans="11:12" x14ac:dyDescent="0.4">
      <c r="K371" s="36">
        <v>369</v>
      </c>
      <c r="L371" s="95">
        <v>-5.3290705182007514E-15</v>
      </c>
    </row>
    <row r="372" spans="11:12" x14ac:dyDescent="0.4">
      <c r="K372" s="36">
        <v>370</v>
      </c>
      <c r="L372" s="95">
        <v>-42.300000000000004</v>
      </c>
    </row>
    <row r="373" spans="11:12" x14ac:dyDescent="0.4">
      <c r="K373" s="36">
        <v>371</v>
      </c>
      <c r="L373" s="95">
        <v>-49.1</v>
      </c>
    </row>
    <row r="374" spans="11:12" x14ac:dyDescent="0.4">
      <c r="K374" s="36">
        <v>372</v>
      </c>
      <c r="L374" s="95">
        <v>0</v>
      </c>
    </row>
    <row r="375" spans="11:12" x14ac:dyDescent="0.4">
      <c r="K375" s="36">
        <v>373</v>
      </c>
      <c r="L375" s="95">
        <v>11.4</v>
      </c>
    </row>
    <row r="376" spans="11:12" x14ac:dyDescent="0.4">
      <c r="K376" s="36">
        <v>374</v>
      </c>
      <c r="L376" s="95">
        <v>53.4</v>
      </c>
    </row>
    <row r="377" spans="11:12" x14ac:dyDescent="0.4">
      <c r="K377" s="36">
        <v>375</v>
      </c>
      <c r="L377" s="95">
        <v>0</v>
      </c>
    </row>
    <row r="378" spans="11:12" x14ac:dyDescent="0.4">
      <c r="K378" s="36">
        <v>376</v>
      </c>
      <c r="L378" s="95">
        <v>22.2</v>
      </c>
    </row>
    <row r="379" spans="11:12" x14ac:dyDescent="0.4">
      <c r="K379" s="36">
        <v>377</v>
      </c>
      <c r="L379" s="95">
        <v>-9.4000000000000021</v>
      </c>
    </row>
    <row r="380" spans="11:12" x14ac:dyDescent="0.4">
      <c r="K380" s="36">
        <v>378</v>
      </c>
      <c r="L380" s="95">
        <v>-1.7763568394002505E-15</v>
      </c>
    </row>
    <row r="381" spans="11:12" x14ac:dyDescent="0.4">
      <c r="K381" s="36">
        <v>379</v>
      </c>
      <c r="L381" s="95">
        <v>9.0999999999999979</v>
      </c>
    </row>
    <row r="382" spans="11:12" x14ac:dyDescent="0.4">
      <c r="K382" s="36">
        <v>380</v>
      </c>
      <c r="L382" s="95">
        <v>-20.400000000000002</v>
      </c>
    </row>
    <row r="383" spans="11:12" x14ac:dyDescent="0.4">
      <c r="K383" s="36">
        <v>381</v>
      </c>
      <c r="L383" s="95">
        <v>-3.5527136788005009E-15</v>
      </c>
    </row>
  </sheetData>
  <sortState xmlns:xlrd2="http://schemas.microsoft.com/office/spreadsheetml/2017/richdata2" ref="N15:Q24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876CA9-F46F-4E29-B03C-6214AF9B1FE5}">
  <sheetPr codeName="Sheet7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8" t="s">
        <v>166</v>
      </c>
      <c r="C1" s="149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50">
        <v>37</v>
      </c>
      <c r="C2" s="151"/>
      <c r="E2" s="58" t="s">
        <v>66</v>
      </c>
      <c r="F2" s="55" t="s">
        <v>22</v>
      </c>
      <c r="G2" s="43">
        <v>54</v>
      </c>
      <c r="H2" s="128">
        <f>IF(B$17=0,0,G2/B$17)</f>
        <v>0.6506024096385542</v>
      </c>
      <c r="I2" s="89">
        <v>10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1818.918918918919</v>
      </c>
      <c r="P2" s="114">
        <v>37</v>
      </c>
      <c r="Q2" s="98">
        <v>67300</v>
      </c>
    </row>
    <row r="3" spans="1:17" x14ac:dyDescent="0.4">
      <c r="A3" s="51" t="s">
        <v>8</v>
      </c>
      <c r="B3" s="152">
        <v>324</v>
      </c>
      <c r="C3" s="153"/>
      <c r="E3" s="59" t="s">
        <v>72</v>
      </c>
      <c r="F3" s="56" t="s">
        <v>27</v>
      </c>
      <c r="G3" s="44">
        <v>42</v>
      </c>
      <c r="H3" s="129">
        <f>IF(B$17=0,0,G3/B$17)</f>
        <v>0.50602409638554213</v>
      </c>
      <c r="I3" s="90">
        <v>7</v>
      </c>
      <c r="K3" s="36">
        <v>1</v>
      </c>
      <c r="L3" s="95">
        <v>-4.5999999999999996</v>
      </c>
      <c r="N3" s="111" t="s">
        <v>131</v>
      </c>
      <c r="O3" s="118">
        <f t="shared" si="0"/>
        <v>-616.66666666666663</v>
      </c>
      <c r="P3" s="115">
        <v>36</v>
      </c>
      <c r="Q3" s="99">
        <v>-22200</v>
      </c>
    </row>
    <row r="4" spans="1:17" x14ac:dyDescent="0.4">
      <c r="A4" s="51" t="s">
        <v>6</v>
      </c>
      <c r="B4" s="154">
        <v>-177.00000000000003</v>
      </c>
      <c r="C4" s="155"/>
      <c r="E4" s="59" t="s">
        <v>171</v>
      </c>
      <c r="F4" s="56" t="s">
        <v>172</v>
      </c>
      <c r="G4" s="44">
        <v>35</v>
      </c>
      <c r="H4" s="129">
        <f>IF(B$17=0,0,G4/B$17)</f>
        <v>0.42168674698795183</v>
      </c>
      <c r="I4" s="90">
        <v>3</v>
      </c>
      <c r="K4" s="36">
        <v>2</v>
      </c>
      <c r="L4" s="95">
        <v>19.899999999999999</v>
      </c>
      <c r="N4" s="111" t="s">
        <v>132</v>
      </c>
      <c r="O4" s="118">
        <f t="shared" si="0"/>
        <v>82.352941176470594</v>
      </c>
      <c r="P4" s="115">
        <v>34</v>
      </c>
      <c r="Q4" s="99">
        <v>2800</v>
      </c>
    </row>
    <row r="5" spans="1:17" x14ac:dyDescent="0.4">
      <c r="A5" s="51" t="s">
        <v>7</v>
      </c>
      <c r="B5" s="156">
        <f>IF(B$2=0,0,B$4/B$2)</f>
        <v>-4.7837837837837842</v>
      </c>
      <c r="C5" s="157"/>
      <c r="E5" s="59" t="s">
        <v>68</v>
      </c>
      <c r="F5" s="56" t="s">
        <v>12</v>
      </c>
      <c r="G5" s="44">
        <v>26</v>
      </c>
      <c r="H5" s="129">
        <f>IF(B$17=0,0,G5/B$17)</f>
        <v>0.31325301204819278</v>
      </c>
      <c r="I5" s="90">
        <v>6</v>
      </c>
      <c r="K5" s="36">
        <v>3</v>
      </c>
      <c r="L5" s="95">
        <v>-8.3000000000000007</v>
      </c>
      <c r="N5" s="111" t="s">
        <v>133</v>
      </c>
      <c r="O5" s="118">
        <f t="shared" si="0"/>
        <v>-2585.294117647059</v>
      </c>
      <c r="P5" s="115">
        <v>34</v>
      </c>
      <c r="Q5" s="99">
        <v>-87900</v>
      </c>
    </row>
    <row r="6" spans="1:17" x14ac:dyDescent="0.4">
      <c r="A6" s="51" t="s">
        <v>1</v>
      </c>
      <c r="B6" s="146">
        <f>IF(B$2=0,0,(B$7*1+B$8*2+B$9*3)/B$2)</f>
        <v>2.1081081081081079</v>
      </c>
      <c r="C6" s="147"/>
      <c r="E6" s="59" t="s">
        <v>64</v>
      </c>
      <c r="F6" s="56" t="s">
        <v>20</v>
      </c>
      <c r="G6" s="44">
        <v>24</v>
      </c>
      <c r="H6" s="129">
        <f>IF(B$17=0,0,G6/B$17)</f>
        <v>0.28915662650602408</v>
      </c>
      <c r="I6" s="90">
        <v>10</v>
      </c>
      <c r="K6" s="36">
        <v>4</v>
      </c>
      <c r="L6" s="95">
        <v>-30.7</v>
      </c>
      <c r="N6" s="111" t="s">
        <v>134</v>
      </c>
      <c r="O6" s="118">
        <f t="shared" si="0"/>
        <v>-1255.8823529411766</v>
      </c>
      <c r="P6" s="115">
        <v>34</v>
      </c>
      <c r="Q6" s="99">
        <v>-42700</v>
      </c>
    </row>
    <row r="7" spans="1:17" x14ac:dyDescent="0.4">
      <c r="A7" s="51" t="s">
        <v>2</v>
      </c>
      <c r="B7" s="44">
        <v>11</v>
      </c>
      <c r="C7" s="37">
        <f t="shared" ref="C7:C12" si="1">IF(B$2=0,0,B7/B$2)</f>
        <v>0.29729729729729731</v>
      </c>
      <c r="E7" s="59" t="s">
        <v>69</v>
      </c>
      <c r="F7" s="56" t="s">
        <v>24</v>
      </c>
      <c r="G7" s="44">
        <v>20</v>
      </c>
      <c r="H7" s="129">
        <f>IF(B$17=0,0,G7/B$17)</f>
        <v>0.24096385542168675</v>
      </c>
      <c r="I7" s="90">
        <v>1</v>
      </c>
      <c r="K7" s="36">
        <v>5</v>
      </c>
      <c r="L7" s="95">
        <v>-55.8</v>
      </c>
      <c r="N7" s="112" t="s">
        <v>135</v>
      </c>
      <c r="O7" s="119">
        <f t="shared" si="0"/>
        <v>-1937.9310344827586</v>
      </c>
      <c r="P7" s="116">
        <v>29</v>
      </c>
      <c r="Q7" s="100">
        <v>-56200</v>
      </c>
    </row>
    <row r="8" spans="1:17" x14ac:dyDescent="0.4">
      <c r="A8" s="51" t="s">
        <v>3</v>
      </c>
      <c r="B8" s="44">
        <v>11</v>
      </c>
      <c r="C8" s="37">
        <f t="shared" si="1"/>
        <v>0.29729729729729731</v>
      </c>
      <c r="E8" s="59" t="s">
        <v>70</v>
      </c>
      <c r="F8" s="56" t="s">
        <v>25</v>
      </c>
      <c r="G8" s="44">
        <v>14</v>
      </c>
      <c r="H8" s="129">
        <f>IF(B$17=0,0,G8/B$17)</f>
        <v>0.16867469879518071</v>
      </c>
      <c r="I8" s="90">
        <v>1</v>
      </c>
      <c r="K8" s="36">
        <v>6</v>
      </c>
      <c r="L8" s="95">
        <v>-40.799999999999997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15</v>
      </c>
      <c r="C9" s="38">
        <f t="shared" si="1"/>
        <v>0.40540540540540543</v>
      </c>
      <c r="E9" s="59" t="s">
        <v>67</v>
      </c>
      <c r="F9" s="56" t="s">
        <v>23</v>
      </c>
      <c r="G9" s="44">
        <v>10</v>
      </c>
      <c r="H9" s="129">
        <f>IF(B$17=0,0,G9/B$17)</f>
        <v>0.12048192771084337</v>
      </c>
      <c r="I9" s="90">
        <v>11</v>
      </c>
      <c r="K9" s="36">
        <v>7</v>
      </c>
      <c r="L9" s="95">
        <v>-71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0</v>
      </c>
      <c r="C10" s="38">
        <f t="shared" si="1"/>
        <v>0</v>
      </c>
      <c r="E10" s="59" t="s">
        <v>65</v>
      </c>
      <c r="F10" s="56" t="s">
        <v>21</v>
      </c>
      <c r="G10" s="44">
        <v>8</v>
      </c>
      <c r="H10" s="129">
        <f>IF(B$17=0,0,G10/B$17)</f>
        <v>9.6385542168674704E-2</v>
      </c>
      <c r="I10" s="90">
        <v>6</v>
      </c>
      <c r="K10" s="36">
        <v>8</v>
      </c>
      <c r="L10" s="95">
        <v>-76.900000000000006</v>
      </c>
      <c r="N10" s="110" t="s">
        <v>162</v>
      </c>
      <c r="O10" s="120">
        <f>IF(P10=0,0,Q10/P10)</f>
        <v>-0.71666666666666623</v>
      </c>
      <c r="P10" s="114">
        <v>12</v>
      </c>
      <c r="Q10" s="102">
        <v>-8.5999999999999943</v>
      </c>
    </row>
    <row r="11" spans="1:17" x14ac:dyDescent="0.4">
      <c r="A11" s="52" t="s">
        <v>138</v>
      </c>
      <c r="B11" s="45">
        <v>1</v>
      </c>
      <c r="C11" s="38">
        <f t="shared" si="1"/>
        <v>2.7027027027027029E-2</v>
      </c>
      <c r="E11" s="59" t="s">
        <v>71</v>
      </c>
      <c r="F11" s="56" t="s">
        <v>26</v>
      </c>
      <c r="G11" s="44">
        <v>8</v>
      </c>
      <c r="H11" s="129">
        <f>IF(B$17=0,0,G11/B$17)</f>
        <v>9.6385542168674704E-2</v>
      </c>
      <c r="I11" s="90">
        <v>4</v>
      </c>
      <c r="K11" s="36">
        <v>9</v>
      </c>
      <c r="L11" s="95">
        <v>-59.500000000000007</v>
      </c>
      <c r="N11" s="111" t="s">
        <v>163</v>
      </c>
      <c r="O11" s="121">
        <f>IF(P11=0,0,Q11/P11)</f>
        <v>-11.84</v>
      </c>
      <c r="P11" s="115">
        <v>10</v>
      </c>
      <c r="Q11" s="103">
        <v>-118.39999999999999</v>
      </c>
    </row>
    <row r="12" spans="1:17" x14ac:dyDescent="0.4">
      <c r="A12" s="53" t="s">
        <v>158</v>
      </c>
      <c r="B12" s="46">
        <v>5</v>
      </c>
      <c r="C12" s="40">
        <f t="shared" si="1"/>
        <v>0.13513513513513514</v>
      </c>
      <c r="E12" s="59" t="s">
        <v>83</v>
      </c>
      <c r="F12" s="56" t="s">
        <v>38</v>
      </c>
      <c r="G12" s="44">
        <v>8</v>
      </c>
      <c r="H12" s="129">
        <f>IF(B$17=0,0,G12/B$17)</f>
        <v>9.6385542168674704E-2</v>
      </c>
      <c r="I12" s="90">
        <v>2</v>
      </c>
      <c r="K12" s="36">
        <v>10</v>
      </c>
      <c r="L12" s="95">
        <v>-32.700000000000003</v>
      </c>
      <c r="N12" s="112" t="s">
        <v>164</v>
      </c>
      <c r="O12" s="122">
        <f>IF(P12=0,0,Q12/P12)</f>
        <v>-3.333333333333333</v>
      </c>
      <c r="P12" s="116">
        <v>15</v>
      </c>
      <c r="Q12" s="104">
        <v>-49.999999999999993</v>
      </c>
    </row>
    <row r="13" spans="1:17" x14ac:dyDescent="0.4">
      <c r="A13" s="54" t="s">
        <v>121</v>
      </c>
      <c r="B13" s="47">
        <v>50</v>
      </c>
      <c r="C13" s="42">
        <f>IF(B$3=0,0,B13/B$3)</f>
        <v>0.15432098765432098</v>
      </c>
      <c r="E13" s="59" t="s">
        <v>89</v>
      </c>
      <c r="F13" s="56" t="s">
        <v>44</v>
      </c>
      <c r="G13" s="44">
        <v>6</v>
      </c>
      <c r="H13" s="129">
        <f>IF(B$17=0,0,G13/B$17)</f>
        <v>7.2289156626506021E-2</v>
      </c>
      <c r="I13" s="90">
        <v>11</v>
      </c>
      <c r="K13" s="36">
        <v>11</v>
      </c>
      <c r="L13" s="95">
        <v>-35.5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77</v>
      </c>
      <c r="C14" s="37">
        <f>IF(B$3=0,0,B14/B$3)</f>
        <v>0.23765432098765432</v>
      </c>
      <c r="E14" s="59" t="s">
        <v>81</v>
      </c>
      <c r="F14" s="56" t="s">
        <v>36</v>
      </c>
      <c r="G14" s="44">
        <v>4</v>
      </c>
      <c r="H14" s="129">
        <f>IF(B$17=0,0,G14/B$17)</f>
        <v>4.8192771084337352E-2</v>
      </c>
      <c r="I14" s="90">
        <v>1</v>
      </c>
      <c r="K14" s="36">
        <v>12</v>
      </c>
      <c r="L14" s="95">
        <v>-59.5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26</v>
      </c>
      <c r="C15" s="35">
        <f>IF(B$13=0,0,B15/B$13)</f>
        <v>0.52</v>
      </c>
      <c r="E15" s="59" t="s">
        <v>88</v>
      </c>
      <c r="F15" s="56" t="s">
        <v>43</v>
      </c>
      <c r="G15" s="44">
        <v>2</v>
      </c>
      <c r="H15" s="129">
        <f>IF(B$17=0,0,G15/B$17)</f>
        <v>2.4096385542168676E-2</v>
      </c>
      <c r="I15" s="90">
        <v>1</v>
      </c>
      <c r="K15" s="36">
        <v>13</v>
      </c>
      <c r="L15" s="95">
        <v>-66.2</v>
      </c>
      <c r="N15" s="110" t="s">
        <v>126</v>
      </c>
      <c r="O15" s="120">
        <f t="shared" ref="O15:O21" si="2">IF(P15=0,0,Q15/P15)</f>
        <v>-1.8272727272727274</v>
      </c>
      <c r="P15" s="114">
        <v>22</v>
      </c>
      <c r="Q15" s="102">
        <v>-40.200000000000003</v>
      </c>
    </row>
    <row r="16" spans="1:17" x14ac:dyDescent="0.4">
      <c r="A16" s="50" t="s">
        <v>124</v>
      </c>
      <c r="B16" s="43">
        <v>27</v>
      </c>
      <c r="C16" s="35">
        <f>IF(B$14=0,0,B16/B$14)</f>
        <v>0.35064935064935066</v>
      </c>
      <c r="E16" s="59" t="s">
        <v>91</v>
      </c>
      <c r="F16" s="56" t="s">
        <v>46</v>
      </c>
      <c r="G16" s="44">
        <v>2</v>
      </c>
      <c r="H16" s="129">
        <f>IF(B$17=0,0,G16/B$17)</f>
        <v>2.4096385542168676E-2</v>
      </c>
      <c r="I16" s="90">
        <v>2</v>
      </c>
      <c r="K16" s="36">
        <v>14</v>
      </c>
      <c r="L16" s="95">
        <v>-51.1</v>
      </c>
      <c r="N16" s="111" t="s">
        <v>181</v>
      </c>
      <c r="O16" s="121">
        <f t="shared" si="2"/>
        <v>-5.04</v>
      </c>
      <c r="P16" s="115">
        <v>5</v>
      </c>
      <c r="Q16" s="103">
        <v>-25.2</v>
      </c>
    </row>
    <row r="17" spans="1:17" x14ac:dyDescent="0.4">
      <c r="A17" s="50" t="s">
        <v>10</v>
      </c>
      <c r="B17" s="43">
        <f>B19+B18</f>
        <v>83</v>
      </c>
      <c r="C17" s="35">
        <f>IF(B$3=0,0,B17/B$3)</f>
        <v>0.25617283950617287</v>
      </c>
      <c r="E17" s="59" t="s">
        <v>74</v>
      </c>
      <c r="F17" s="56" t="s">
        <v>29</v>
      </c>
      <c r="G17" s="44">
        <v>1</v>
      </c>
      <c r="H17" s="129">
        <f>IF(B$17=0,0,G17/B$17)</f>
        <v>1.2048192771084338E-2</v>
      </c>
      <c r="I17" s="90">
        <v>2</v>
      </c>
      <c r="K17" s="36">
        <v>15</v>
      </c>
      <c r="L17" s="95">
        <v>-65.2</v>
      </c>
      <c r="N17" s="111" t="s">
        <v>127</v>
      </c>
      <c r="O17" s="121">
        <f t="shared" si="2"/>
        <v>-5.1111111111111107</v>
      </c>
      <c r="P17" s="115">
        <v>18</v>
      </c>
      <c r="Q17" s="103">
        <v>-91.999999999999986</v>
      </c>
    </row>
    <row r="18" spans="1:17" x14ac:dyDescent="0.4">
      <c r="A18" s="51" t="s">
        <v>12</v>
      </c>
      <c r="B18" s="44">
        <v>37</v>
      </c>
      <c r="C18" s="37">
        <f>IF(B$17=0,0,B18/B$17)</f>
        <v>0.44578313253012047</v>
      </c>
      <c r="E18" s="59" t="s">
        <v>75</v>
      </c>
      <c r="F18" s="56" t="s">
        <v>30</v>
      </c>
      <c r="G18" s="44">
        <v>1</v>
      </c>
      <c r="H18" s="129">
        <f>IF(B$17=0,0,G18/B$17)</f>
        <v>1.2048192771084338E-2</v>
      </c>
      <c r="I18" s="90">
        <v>3</v>
      </c>
      <c r="K18" s="36">
        <v>16</v>
      </c>
      <c r="L18" s="95">
        <v>-70.600000000000009</v>
      </c>
      <c r="N18" s="111" t="s">
        <v>178</v>
      </c>
      <c r="O18" s="121">
        <f t="shared" si="2"/>
        <v>-6.26</v>
      </c>
      <c r="P18" s="115">
        <v>10</v>
      </c>
      <c r="Q18" s="103">
        <v>-62.599999999999994</v>
      </c>
    </row>
    <row r="19" spans="1:17" x14ac:dyDescent="0.4">
      <c r="A19" s="51" t="s">
        <v>11</v>
      </c>
      <c r="B19" s="44">
        <v>46</v>
      </c>
      <c r="C19" s="37">
        <f>IF(B$17=0,0,B19/B$17)</f>
        <v>0.55421686746987953</v>
      </c>
      <c r="E19" s="59" t="s">
        <v>77</v>
      </c>
      <c r="F19" s="56" t="s">
        <v>32</v>
      </c>
      <c r="G19" s="44">
        <v>1</v>
      </c>
      <c r="H19" s="129">
        <f>IF(B$17=0,0,G19/B$17)</f>
        <v>1.2048192771084338E-2</v>
      </c>
      <c r="I19" s="90">
        <v>2</v>
      </c>
      <c r="K19" s="36">
        <v>17</v>
      </c>
      <c r="L19" s="95">
        <v>-65.2</v>
      </c>
      <c r="N19" s="111" t="s">
        <v>179</v>
      </c>
      <c r="O19" s="121">
        <f t="shared" si="2"/>
        <v>-10.390909090909092</v>
      </c>
      <c r="P19" s="115">
        <v>11</v>
      </c>
      <c r="Q19" s="103">
        <v>-114.30000000000001</v>
      </c>
    </row>
    <row r="20" spans="1:17" x14ac:dyDescent="0.4">
      <c r="A20" s="51" t="s">
        <v>13</v>
      </c>
      <c r="B20" s="44">
        <v>50</v>
      </c>
      <c r="C20" s="37">
        <f>IF(B$3=0,0,B20/B$3)</f>
        <v>0.15432098765432098</v>
      </c>
      <c r="E20" s="59" t="s">
        <v>86</v>
      </c>
      <c r="F20" s="56" t="s">
        <v>41</v>
      </c>
      <c r="G20" s="44">
        <v>1</v>
      </c>
      <c r="H20" s="129">
        <f>IF(B$17=0,0,G20/B$17)</f>
        <v>1.2048192771084338E-2</v>
      </c>
      <c r="I20" s="90">
        <v>10</v>
      </c>
      <c r="K20" s="36">
        <v>18</v>
      </c>
      <c r="L20" s="95">
        <v>-80.2</v>
      </c>
      <c r="N20" s="111" t="s">
        <v>177</v>
      </c>
      <c r="O20" s="121">
        <f t="shared" si="2"/>
        <v>-20.724999999999994</v>
      </c>
      <c r="P20" s="115">
        <v>4</v>
      </c>
      <c r="Q20" s="103">
        <v>-82.899999999999977</v>
      </c>
    </row>
    <row r="21" spans="1:17" x14ac:dyDescent="0.4">
      <c r="A21" s="51" t="s">
        <v>169</v>
      </c>
      <c r="B21" s="44">
        <v>4</v>
      </c>
      <c r="C21" s="131">
        <v>1</v>
      </c>
      <c r="E21" s="59" t="s">
        <v>93</v>
      </c>
      <c r="F21" s="56" t="s">
        <v>48</v>
      </c>
      <c r="G21" s="44">
        <v>1</v>
      </c>
      <c r="H21" s="129">
        <f>IF(B$17=0,0,G21/B$17)</f>
        <v>1.2048192771084338E-2</v>
      </c>
      <c r="I21" s="90">
        <v>1</v>
      </c>
      <c r="K21" s="36">
        <v>19</v>
      </c>
      <c r="L21" s="95">
        <v>-115.1</v>
      </c>
      <c r="N21" s="111" t="s">
        <v>182</v>
      </c>
      <c r="O21" s="121">
        <f t="shared" si="2"/>
        <v>-28.449999999999996</v>
      </c>
      <c r="P21" s="115">
        <v>4</v>
      </c>
      <c r="Q21" s="103">
        <v>-113.79999999999998</v>
      </c>
    </row>
    <row r="22" spans="1:17" x14ac:dyDescent="0.4">
      <c r="A22" s="51" t="s">
        <v>170</v>
      </c>
      <c r="B22" s="44">
        <v>23</v>
      </c>
      <c r="C22" s="131">
        <v>18</v>
      </c>
      <c r="E22" s="59" t="s">
        <v>73</v>
      </c>
      <c r="F22" s="56" t="s">
        <v>28</v>
      </c>
      <c r="G22" s="44">
        <v>0</v>
      </c>
      <c r="H22" s="129">
        <f>IF(B$17=0,0,G22/B$17)</f>
        <v>0</v>
      </c>
      <c r="I22" s="90">
        <v>3</v>
      </c>
      <c r="K22" s="36">
        <v>20</v>
      </c>
      <c r="L22" s="95">
        <v>-88.8</v>
      </c>
    </row>
    <row r="23" spans="1:17" x14ac:dyDescent="0.4">
      <c r="A23" s="51" t="s">
        <v>5</v>
      </c>
      <c r="B23" s="48">
        <f>IF(B$17=0,0,C23/B$17)</f>
        <v>7261.4457831325299</v>
      </c>
      <c r="C23" s="39">
        <v>602700</v>
      </c>
      <c r="E23" s="59" t="s">
        <v>76</v>
      </c>
      <c r="F23" s="56" t="s">
        <v>31</v>
      </c>
      <c r="G23" s="44">
        <v>0</v>
      </c>
      <c r="H23" s="129">
        <f>IF(B$17=0,0,G23/B$17)</f>
        <v>0</v>
      </c>
      <c r="I23" s="90">
        <v>1</v>
      </c>
      <c r="K23" s="36">
        <v>21</v>
      </c>
      <c r="L23" s="95">
        <v>-111.4</v>
      </c>
    </row>
    <row r="24" spans="1:17" x14ac:dyDescent="0.4">
      <c r="A24" s="52" t="s">
        <v>216</v>
      </c>
      <c r="B24" s="136">
        <f>IF($B$17-B$16=0,0,C24/($B$17-B$16))</f>
        <v>7930.3571428571431</v>
      </c>
      <c r="C24" s="137">
        <v>444100</v>
      </c>
      <c r="E24" s="59" t="s">
        <v>78</v>
      </c>
      <c r="F24" s="56" t="s">
        <v>33</v>
      </c>
      <c r="G24" s="44">
        <v>0</v>
      </c>
      <c r="H24" s="129">
        <f>IF(B$17=0,0,G24/B$17)</f>
        <v>0</v>
      </c>
      <c r="I24" s="90">
        <v>9</v>
      </c>
      <c r="K24" s="36">
        <v>22</v>
      </c>
      <c r="L24" s="95">
        <v>-142.80000000000001</v>
      </c>
    </row>
    <row r="25" spans="1:17" x14ac:dyDescent="0.4">
      <c r="A25" s="52" t="s">
        <v>217</v>
      </c>
      <c r="B25" s="136">
        <f>IF(B$16=0,0,C25/B$16)</f>
        <v>5874.0740740740739</v>
      </c>
      <c r="C25" s="137">
        <v>158600</v>
      </c>
      <c r="E25" s="59" t="s">
        <v>79</v>
      </c>
      <c r="F25" s="56" t="s">
        <v>34</v>
      </c>
      <c r="G25" s="44">
        <v>0</v>
      </c>
      <c r="H25" s="129">
        <f>IF(B$17=0,0,G25/B$17)</f>
        <v>0</v>
      </c>
      <c r="I25" s="90">
        <v>7</v>
      </c>
      <c r="K25" s="36">
        <v>23</v>
      </c>
      <c r="L25" s="95">
        <v>-80.900000000000006</v>
      </c>
    </row>
    <row r="26" spans="1:17" x14ac:dyDescent="0.4">
      <c r="A26" s="52" t="s">
        <v>215</v>
      </c>
      <c r="B26" s="136">
        <f>IF(B$20=0,0,C26/B$20)</f>
        <v>-6742</v>
      </c>
      <c r="C26" s="137">
        <v>-337100</v>
      </c>
      <c r="E26" s="59" t="s">
        <v>80</v>
      </c>
      <c r="F26" s="56" t="s">
        <v>35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-111.60000000000001</v>
      </c>
    </row>
    <row r="27" spans="1:17" x14ac:dyDescent="0.4">
      <c r="A27" s="86" t="s">
        <v>140</v>
      </c>
      <c r="B27" s="144">
        <v>6</v>
      </c>
      <c r="C27" s="145"/>
      <c r="E27" s="59" t="s">
        <v>82</v>
      </c>
      <c r="F27" s="56" t="s">
        <v>37</v>
      </c>
      <c r="G27" s="44">
        <v>0</v>
      </c>
      <c r="H27" s="129">
        <f>IF(B$17=0,0,G27/B$17)</f>
        <v>0</v>
      </c>
      <c r="I27" s="90">
        <v>1</v>
      </c>
      <c r="K27" s="36">
        <v>25</v>
      </c>
      <c r="L27" s="95">
        <v>-97.500000000000014</v>
      </c>
    </row>
    <row r="28" spans="1:17" x14ac:dyDescent="0.4">
      <c r="A28" s="54" t="s">
        <v>150</v>
      </c>
      <c r="B28" s="142">
        <v>86900</v>
      </c>
      <c r="C28" s="143"/>
      <c r="E28" s="59" t="s">
        <v>84</v>
      </c>
      <c r="F28" s="56" t="s">
        <v>39</v>
      </c>
      <c r="G28" s="44">
        <v>0</v>
      </c>
      <c r="H28" s="129">
        <f>IF(B$17=0,0,G28/B$17)</f>
        <v>0</v>
      </c>
      <c r="I28" s="90">
        <v>4</v>
      </c>
      <c r="K28" s="36">
        <v>26</v>
      </c>
      <c r="L28" s="95">
        <v>-123.10000000000002</v>
      </c>
    </row>
    <row r="29" spans="1:17" x14ac:dyDescent="0.4">
      <c r="A29" s="53" t="s">
        <v>141</v>
      </c>
      <c r="B29" s="61">
        <v>2</v>
      </c>
      <c r="C29" s="40">
        <f>IF(B$3=0,0,B29/B$3)</f>
        <v>6.1728395061728392E-3</v>
      </c>
      <c r="E29" s="59" t="s">
        <v>85</v>
      </c>
      <c r="F29" s="56" t="s">
        <v>40</v>
      </c>
      <c r="G29" s="44">
        <v>0</v>
      </c>
      <c r="H29" s="129">
        <f>IF(B$17=0,0,G29/B$17)</f>
        <v>0</v>
      </c>
      <c r="I29" s="90">
        <v>6</v>
      </c>
      <c r="K29" s="36">
        <v>27</v>
      </c>
      <c r="L29" s="95">
        <v>-125.20000000000002</v>
      </c>
    </row>
    <row r="30" spans="1:17" x14ac:dyDescent="0.4">
      <c r="E30" s="59" t="s">
        <v>87</v>
      </c>
      <c r="F30" s="56" t="s">
        <v>42</v>
      </c>
      <c r="G30" s="44">
        <v>0</v>
      </c>
      <c r="H30" s="129">
        <f>IF(B$17=0,0,G30/B$17)</f>
        <v>0</v>
      </c>
      <c r="I30" s="90">
        <v>3</v>
      </c>
      <c r="K30" s="36">
        <v>28</v>
      </c>
      <c r="L30" s="95">
        <v>-124.40000000000002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-156.00000000000003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-182.90000000000003</v>
      </c>
    </row>
    <row r="33" spans="5:12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  <c r="K33" s="36">
        <v>31</v>
      </c>
      <c r="L33" s="95">
        <v>-203.20000000000005</v>
      </c>
    </row>
    <row r="34" spans="5:12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5</v>
      </c>
      <c r="K34" s="36">
        <v>32</v>
      </c>
      <c r="L34" s="95">
        <v>-211.90000000000003</v>
      </c>
    </row>
    <row r="35" spans="5:12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-183.10000000000002</v>
      </c>
    </row>
    <row r="36" spans="5:12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-168.3</v>
      </c>
    </row>
    <row r="37" spans="5:12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-210.60000000000002</v>
      </c>
    </row>
    <row r="38" spans="5:12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-199.20000000000002</v>
      </c>
    </row>
    <row r="39" spans="5:12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-177.00000000000003</v>
      </c>
    </row>
    <row r="40" spans="5:12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12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12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12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12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12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1</v>
      </c>
    </row>
    <row r="46" spans="5:12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12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12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75D87E-AC65-4D36-BDD0-EE37AAB91B0B}">
  <sheetPr codeName="Sheet9"/>
  <dimension ref="A1:Q79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8" t="s">
        <v>126</v>
      </c>
      <c r="C1" s="149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50">
        <v>77</v>
      </c>
      <c r="C2" s="151"/>
      <c r="E2" s="58" t="s">
        <v>66</v>
      </c>
      <c r="F2" s="55" t="s">
        <v>22</v>
      </c>
      <c r="G2" s="43">
        <v>138</v>
      </c>
      <c r="H2" s="128">
        <f>IF(B$17=0,0,G2/B$17)</f>
        <v>0.66028708133971292</v>
      </c>
      <c r="I2" s="89">
        <v>8</v>
      </c>
      <c r="K2" s="34">
        <v>0</v>
      </c>
      <c r="L2" s="94">
        <v>0</v>
      </c>
      <c r="N2" s="110" t="s">
        <v>130</v>
      </c>
      <c r="O2" s="117">
        <f t="shared" ref="O2:O7" si="0">IF(P2=0,0,Q2/P2)</f>
        <v>740.78947368421052</v>
      </c>
      <c r="P2" s="114">
        <v>76</v>
      </c>
      <c r="Q2" s="98">
        <v>56300</v>
      </c>
    </row>
    <row r="3" spans="1:17" x14ac:dyDescent="0.4">
      <c r="A3" s="51" t="s">
        <v>8</v>
      </c>
      <c r="B3" s="152">
        <v>622</v>
      </c>
      <c r="C3" s="153"/>
      <c r="E3" s="59" t="s">
        <v>72</v>
      </c>
      <c r="F3" s="56" t="s">
        <v>27</v>
      </c>
      <c r="G3" s="44">
        <v>105</v>
      </c>
      <c r="H3" s="129">
        <f>IF(B$17=0,0,G3/B$17)</f>
        <v>0.50239234449760761</v>
      </c>
      <c r="I3" s="90">
        <v>8</v>
      </c>
      <c r="K3" s="36">
        <v>1</v>
      </c>
      <c r="L3" s="95">
        <v>50.2</v>
      </c>
      <c r="N3" s="111" t="s">
        <v>131</v>
      </c>
      <c r="O3" s="118">
        <f t="shared" si="0"/>
        <v>-139.72602739726028</v>
      </c>
      <c r="P3" s="115">
        <v>73</v>
      </c>
      <c r="Q3" s="99">
        <v>-10200</v>
      </c>
    </row>
    <row r="4" spans="1:17" x14ac:dyDescent="0.4">
      <c r="A4" s="51" t="s">
        <v>6</v>
      </c>
      <c r="B4" s="154">
        <v>546.79999999999984</v>
      </c>
      <c r="C4" s="155"/>
      <c r="E4" s="59" t="s">
        <v>64</v>
      </c>
      <c r="F4" s="56" t="s">
        <v>20</v>
      </c>
      <c r="G4" s="44">
        <v>89</v>
      </c>
      <c r="H4" s="129">
        <f>IF(B$17=0,0,G4/B$17)</f>
        <v>0.42583732057416268</v>
      </c>
      <c r="I4" s="90">
        <v>8</v>
      </c>
      <c r="K4" s="36">
        <v>2</v>
      </c>
      <c r="L4" s="95">
        <v>14.400000000000006</v>
      </c>
      <c r="N4" s="111" t="s">
        <v>132</v>
      </c>
      <c r="O4" s="118">
        <f t="shared" si="0"/>
        <v>33.333333333333336</v>
      </c>
      <c r="P4" s="115">
        <v>72</v>
      </c>
      <c r="Q4" s="99">
        <v>2400</v>
      </c>
    </row>
    <row r="5" spans="1:17" x14ac:dyDescent="0.4">
      <c r="A5" s="51" t="s">
        <v>7</v>
      </c>
      <c r="B5" s="156">
        <f>IF(B$2=0,0,B$4/B$2)</f>
        <v>7.101298701298699</v>
      </c>
      <c r="C5" s="157"/>
      <c r="E5" s="59" t="s">
        <v>171</v>
      </c>
      <c r="F5" s="56" t="s">
        <v>172</v>
      </c>
      <c r="G5" s="44">
        <v>72</v>
      </c>
      <c r="H5" s="129">
        <f>IF(B$17=0,0,G5/B$17)</f>
        <v>0.34449760765550241</v>
      </c>
      <c r="I5" s="90">
        <v>8</v>
      </c>
      <c r="K5" s="36">
        <v>3</v>
      </c>
      <c r="L5" s="95">
        <v>40.400000000000006</v>
      </c>
      <c r="N5" s="111" t="s">
        <v>133</v>
      </c>
      <c r="O5" s="118">
        <f t="shared" si="0"/>
        <v>-721.53846153846155</v>
      </c>
      <c r="P5" s="115">
        <v>65</v>
      </c>
      <c r="Q5" s="99">
        <v>-46900</v>
      </c>
    </row>
    <row r="6" spans="1:17" x14ac:dyDescent="0.4">
      <c r="A6" s="51" t="s">
        <v>1</v>
      </c>
      <c r="B6" s="146">
        <f>IF(B$2=0,0,(B$7*1+B$8*2+B$9*3)/B$2)</f>
        <v>1.7922077922077921</v>
      </c>
      <c r="C6" s="147"/>
      <c r="E6" s="59" t="s">
        <v>68</v>
      </c>
      <c r="F6" s="56" t="s">
        <v>12</v>
      </c>
      <c r="G6" s="44">
        <v>60</v>
      </c>
      <c r="H6" s="129">
        <f>IF(B$17=0,0,G6/B$17)</f>
        <v>0.28708133971291866</v>
      </c>
      <c r="I6" s="90">
        <v>8</v>
      </c>
      <c r="K6" s="36">
        <v>4</v>
      </c>
      <c r="L6" s="95">
        <v>101.60000000000001</v>
      </c>
      <c r="N6" s="111" t="s">
        <v>134</v>
      </c>
      <c r="O6" s="118">
        <f t="shared" si="0"/>
        <v>3000</v>
      </c>
      <c r="P6" s="115">
        <v>63</v>
      </c>
      <c r="Q6" s="99">
        <v>189000</v>
      </c>
    </row>
    <row r="7" spans="1:17" x14ac:dyDescent="0.4">
      <c r="A7" s="51" t="s">
        <v>2</v>
      </c>
      <c r="B7" s="44">
        <v>36</v>
      </c>
      <c r="C7" s="37">
        <f t="shared" ref="C7:C12" si="1">IF(B$2=0,0,B7/B$2)</f>
        <v>0.46753246753246752</v>
      </c>
      <c r="E7" s="59" t="s">
        <v>67</v>
      </c>
      <c r="F7" s="56" t="s">
        <v>23</v>
      </c>
      <c r="G7" s="44">
        <v>55</v>
      </c>
      <c r="H7" s="129">
        <f>IF(B$17=0,0,G7/B$17)</f>
        <v>0.26315789473684209</v>
      </c>
      <c r="I7" s="90">
        <v>8</v>
      </c>
      <c r="K7" s="36">
        <v>5</v>
      </c>
      <c r="L7" s="95">
        <v>99.9</v>
      </c>
      <c r="N7" s="112" t="s">
        <v>135</v>
      </c>
      <c r="O7" s="119">
        <f t="shared" si="0"/>
        <v>2946.1538461538462</v>
      </c>
      <c r="P7" s="116">
        <v>52</v>
      </c>
      <c r="Q7" s="100">
        <v>153200</v>
      </c>
    </row>
    <row r="8" spans="1:17" x14ac:dyDescent="0.4">
      <c r="A8" s="51" t="s">
        <v>3</v>
      </c>
      <c r="B8" s="44">
        <v>21</v>
      </c>
      <c r="C8" s="37">
        <f t="shared" si="1"/>
        <v>0.27272727272727271</v>
      </c>
      <c r="E8" s="59" t="s">
        <v>89</v>
      </c>
      <c r="F8" s="56" t="s">
        <v>44</v>
      </c>
      <c r="G8" s="44">
        <v>37</v>
      </c>
      <c r="H8" s="129">
        <f>IF(B$17=0,0,G8/B$17)</f>
        <v>0.17703349282296652</v>
      </c>
      <c r="I8" s="90">
        <v>3</v>
      </c>
      <c r="K8" s="36">
        <v>6</v>
      </c>
      <c r="L8" s="95">
        <v>85.5</v>
      </c>
      <c r="N8" s="41"/>
      <c r="O8" s="123"/>
      <c r="P8" s="107"/>
      <c r="Q8" s="105"/>
    </row>
    <row r="9" spans="1:17" x14ac:dyDescent="0.4">
      <c r="A9" s="52" t="s">
        <v>4</v>
      </c>
      <c r="B9" s="45">
        <v>20</v>
      </c>
      <c r="C9" s="38">
        <f t="shared" si="1"/>
        <v>0.25974025974025972</v>
      </c>
      <c r="E9" s="59" t="s">
        <v>69</v>
      </c>
      <c r="F9" s="56" t="s">
        <v>24</v>
      </c>
      <c r="G9" s="44">
        <v>30</v>
      </c>
      <c r="H9" s="129">
        <f>IF(B$17=0,0,G9/B$17)</f>
        <v>0.14354066985645933</v>
      </c>
      <c r="I9" s="90">
        <v>5</v>
      </c>
      <c r="K9" s="36">
        <v>7</v>
      </c>
      <c r="L9" s="95">
        <v>113.3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3</v>
      </c>
      <c r="C10" s="38">
        <f t="shared" si="1"/>
        <v>3.896103896103896E-2</v>
      </c>
      <c r="E10" s="59" t="s">
        <v>65</v>
      </c>
      <c r="F10" s="56" t="s">
        <v>21</v>
      </c>
      <c r="G10" s="44">
        <v>22</v>
      </c>
      <c r="H10" s="129">
        <f>IF(B$17=0,0,G10/B$17)</f>
        <v>0.10526315789473684</v>
      </c>
      <c r="I10" s="90">
        <v>4</v>
      </c>
      <c r="K10" s="36">
        <v>8</v>
      </c>
      <c r="L10" s="95">
        <v>148.1</v>
      </c>
      <c r="N10" s="110" t="s">
        <v>162</v>
      </c>
      <c r="O10" s="120">
        <f>IF(P10=0,0,Q10/P10)</f>
        <v>11.3</v>
      </c>
      <c r="P10" s="114">
        <v>20</v>
      </c>
      <c r="Q10" s="102">
        <v>226.00000000000003</v>
      </c>
    </row>
    <row r="11" spans="1:17" x14ac:dyDescent="0.4">
      <c r="A11" s="52" t="s">
        <v>138</v>
      </c>
      <c r="B11" s="45">
        <v>8</v>
      </c>
      <c r="C11" s="38">
        <f t="shared" si="1"/>
        <v>0.1038961038961039</v>
      </c>
      <c r="E11" s="59" t="s">
        <v>71</v>
      </c>
      <c r="F11" s="56" t="s">
        <v>26</v>
      </c>
      <c r="G11" s="44">
        <v>14</v>
      </c>
      <c r="H11" s="129">
        <f>IF(B$17=0,0,G11/B$17)</f>
        <v>6.6985645933014357E-2</v>
      </c>
      <c r="I11" s="90">
        <v>8</v>
      </c>
      <c r="K11" s="36">
        <v>9</v>
      </c>
      <c r="L11" s="95">
        <v>180.89999999999998</v>
      </c>
      <c r="N11" s="111" t="s">
        <v>163</v>
      </c>
      <c r="O11" s="121">
        <f>IF(P11=0,0,Q11/P11)</f>
        <v>3.3696969696969701</v>
      </c>
      <c r="P11" s="115">
        <v>33</v>
      </c>
      <c r="Q11" s="103">
        <v>111.20000000000002</v>
      </c>
    </row>
    <row r="12" spans="1:17" x14ac:dyDescent="0.4">
      <c r="A12" s="53" t="s">
        <v>158</v>
      </c>
      <c r="B12" s="46">
        <v>9</v>
      </c>
      <c r="C12" s="40">
        <f t="shared" si="1"/>
        <v>0.11688311688311688</v>
      </c>
      <c r="E12" s="59" t="s">
        <v>70</v>
      </c>
      <c r="F12" s="56" t="s">
        <v>25</v>
      </c>
      <c r="G12" s="44">
        <v>12</v>
      </c>
      <c r="H12" s="129">
        <f>IF(B$17=0,0,G12/B$17)</f>
        <v>5.7416267942583733E-2</v>
      </c>
      <c r="I12" s="90">
        <v>11</v>
      </c>
      <c r="K12" s="36">
        <v>10</v>
      </c>
      <c r="L12" s="95">
        <v>158.19999999999999</v>
      </c>
      <c r="N12" s="112" t="s">
        <v>164</v>
      </c>
      <c r="O12" s="122">
        <f>IF(P12=0,0,Q12/P12)</f>
        <v>8.7333333333333307</v>
      </c>
      <c r="P12" s="116">
        <v>24</v>
      </c>
      <c r="Q12" s="104">
        <v>209.59999999999994</v>
      </c>
    </row>
    <row r="13" spans="1:17" x14ac:dyDescent="0.4">
      <c r="A13" s="54" t="s">
        <v>121</v>
      </c>
      <c r="B13" s="47">
        <v>157</v>
      </c>
      <c r="C13" s="42">
        <f>IF(B$3=0,0,B13/B$3)</f>
        <v>0.25241157556270094</v>
      </c>
      <c r="E13" s="59" t="s">
        <v>83</v>
      </c>
      <c r="F13" s="56" t="s">
        <v>38</v>
      </c>
      <c r="G13" s="44">
        <v>10</v>
      </c>
      <c r="H13" s="129">
        <f>IF(B$17=0,0,G13/B$17)</f>
        <v>4.784688995215311E-2</v>
      </c>
      <c r="I13" s="90">
        <v>9</v>
      </c>
      <c r="K13" s="36">
        <v>11</v>
      </c>
      <c r="L13" s="95">
        <v>185.2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148</v>
      </c>
      <c r="C14" s="37">
        <f>IF(B$3=0,0,B14/B$3)</f>
        <v>0.23794212218649519</v>
      </c>
      <c r="E14" s="59" t="s">
        <v>86</v>
      </c>
      <c r="F14" s="56" t="s">
        <v>41</v>
      </c>
      <c r="G14" s="44">
        <v>9</v>
      </c>
      <c r="H14" s="129">
        <f>IF(B$17=0,0,G14/B$17)</f>
        <v>4.3062200956937802E-2</v>
      </c>
      <c r="I14" s="90">
        <v>6</v>
      </c>
      <c r="K14" s="36">
        <v>12</v>
      </c>
      <c r="L14" s="95">
        <v>184.89999999999998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96</v>
      </c>
      <c r="C15" s="35">
        <f>IF(B$13=0,0,B15/B$13)</f>
        <v>0.61146496815286622</v>
      </c>
      <c r="E15" s="59" t="s">
        <v>167</v>
      </c>
      <c r="F15" s="56" t="s">
        <v>168</v>
      </c>
      <c r="G15" s="44">
        <v>8</v>
      </c>
      <c r="H15" s="129">
        <f>IF(B$17=0,0,G15/B$17)</f>
        <v>3.8277511961722487E-2</v>
      </c>
      <c r="I15" s="90">
        <v>1</v>
      </c>
      <c r="K15" s="36">
        <v>13</v>
      </c>
      <c r="L15" s="95">
        <v>206.39999999999998</v>
      </c>
      <c r="N15" s="110" t="s">
        <v>181</v>
      </c>
      <c r="O15" s="120">
        <f>IF(P15=0,0,Q15/P15)</f>
        <v>57.4</v>
      </c>
      <c r="P15" s="114">
        <v>4</v>
      </c>
      <c r="Q15" s="102">
        <v>229.6</v>
      </c>
    </row>
    <row r="16" spans="1:17" x14ac:dyDescent="0.4">
      <c r="A16" s="50" t="s">
        <v>124</v>
      </c>
      <c r="B16" s="43">
        <v>69</v>
      </c>
      <c r="C16" s="35">
        <f>IF(B$14=0,0,B16/B$14)</f>
        <v>0.46621621621621623</v>
      </c>
      <c r="E16" s="59" t="s">
        <v>78</v>
      </c>
      <c r="F16" s="56" t="s">
        <v>33</v>
      </c>
      <c r="G16" s="44">
        <v>7</v>
      </c>
      <c r="H16" s="129">
        <f>IF(B$17=0,0,G16/B$17)</f>
        <v>3.3492822966507178E-2</v>
      </c>
      <c r="I16" s="90">
        <v>2</v>
      </c>
      <c r="K16" s="36">
        <v>14</v>
      </c>
      <c r="L16" s="95">
        <v>240.09999999999997</v>
      </c>
      <c r="N16" s="111" t="s">
        <v>182</v>
      </c>
      <c r="O16" s="121">
        <f>IF(P16=0,0,Q16/P16)</f>
        <v>21.962499999999991</v>
      </c>
      <c r="P16" s="115">
        <v>8</v>
      </c>
      <c r="Q16" s="103">
        <v>175.69999999999993</v>
      </c>
    </row>
    <row r="17" spans="1:17" x14ac:dyDescent="0.4">
      <c r="A17" s="50" t="s">
        <v>10</v>
      </c>
      <c r="B17" s="43">
        <f>B19+B18</f>
        <v>209</v>
      </c>
      <c r="C17" s="35">
        <f>IF(B$3=0,0,B17/B$3)</f>
        <v>0.33601286173633438</v>
      </c>
      <c r="E17" s="59" t="s">
        <v>77</v>
      </c>
      <c r="F17" s="56" t="s">
        <v>32</v>
      </c>
      <c r="G17" s="44">
        <v>3</v>
      </c>
      <c r="H17" s="129">
        <f>IF(B$17=0,0,G17/B$17)</f>
        <v>1.4354066985645933E-2</v>
      </c>
      <c r="I17" s="90">
        <v>1</v>
      </c>
      <c r="K17" s="36">
        <v>15</v>
      </c>
      <c r="L17" s="95">
        <v>269.49999999999994</v>
      </c>
      <c r="N17" s="111" t="s">
        <v>179</v>
      </c>
      <c r="O17" s="121">
        <f>IF(P17=0,0,Q17/P17)</f>
        <v>17.467741935483872</v>
      </c>
      <c r="P17" s="115">
        <v>31</v>
      </c>
      <c r="Q17" s="103">
        <v>541.5</v>
      </c>
    </row>
    <row r="18" spans="1:17" x14ac:dyDescent="0.4">
      <c r="A18" s="51" t="s">
        <v>12</v>
      </c>
      <c r="B18" s="44">
        <v>88</v>
      </c>
      <c r="C18" s="37">
        <f>IF(B$17=0,0,B18/B$17)</f>
        <v>0.42105263157894735</v>
      </c>
      <c r="E18" s="59" t="s">
        <v>84</v>
      </c>
      <c r="F18" s="56" t="s">
        <v>39</v>
      </c>
      <c r="G18" s="44">
        <v>3</v>
      </c>
      <c r="H18" s="129">
        <f>IF(B$17=0,0,G18/B$17)</f>
        <v>1.4354066985645933E-2</v>
      </c>
      <c r="I18" s="90">
        <v>1</v>
      </c>
      <c r="K18" s="36">
        <v>16</v>
      </c>
      <c r="L18" s="95">
        <v>323.69999999999993</v>
      </c>
      <c r="N18" s="111" t="s">
        <v>178</v>
      </c>
      <c r="O18" s="121">
        <f>IF(P18=0,0,Q18/P18)</f>
        <v>15.705000000000009</v>
      </c>
      <c r="P18" s="115">
        <v>20</v>
      </c>
      <c r="Q18" s="103">
        <v>314.10000000000019</v>
      </c>
    </row>
    <row r="19" spans="1:17" x14ac:dyDescent="0.4">
      <c r="A19" s="51" t="s">
        <v>11</v>
      </c>
      <c r="B19" s="44">
        <v>121</v>
      </c>
      <c r="C19" s="37">
        <f>IF(B$17=0,0,B19/B$17)</f>
        <v>0.57894736842105265</v>
      </c>
      <c r="E19" s="59" t="s">
        <v>88</v>
      </c>
      <c r="F19" s="56" t="s">
        <v>43</v>
      </c>
      <c r="G19" s="44">
        <v>2</v>
      </c>
      <c r="H19" s="129">
        <f>IF(B$17=0,0,G19/B$17)</f>
        <v>9.5693779904306216E-3</v>
      </c>
      <c r="I19" s="90">
        <v>2</v>
      </c>
      <c r="K19" s="36">
        <v>17</v>
      </c>
      <c r="L19" s="95">
        <v>359.09999999999991</v>
      </c>
      <c r="N19" s="111" t="s">
        <v>127</v>
      </c>
      <c r="O19" s="121">
        <f>IF(P19=0,0,Q19/P19)</f>
        <v>8.2980769230769251</v>
      </c>
      <c r="P19" s="115">
        <v>52</v>
      </c>
      <c r="Q19" s="103">
        <v>431.50000000000011</v>
      </c>
    </row>
    <row r="20" spans="1:17" x14ac:dyDescent="0.4">
      <c r="A20" s="51" t="s">
        <v>13</v>
      </c>
      <c r="B20" s="44">
        <v>87</v>
      </c>
      <c r="C20" s="37">
        <f>IF(B$3=0,0,B20/B$3)</f>
        <v>0.13987138263665594</v>
      </c>
      <c r="E20" s="59" t="s">
        <v>92</v>
      </c>
      <c r="F20" s="56" t="s">
        <v>47</v>
      </c>
      <c r="G20" s="44">
        <v>2</v>
      </c>
      <c r="H20" s="129">
        <f>IF(B$17=0,0,G20/B$17)</f>
        <v>9.5693779904306216E-3</v>
      </c>
      <c r="I20" s="90">
        <v>2</v>
      </c>
      <c r="K20" s="36">
        <v>18</v>
      </c>
      <c r="L20" s="95">
        <v>352.39999999999992</v>
      </c>
      <c r="N20" s="111" t="s">
        <v>166</v>
      </c>
      <c r="O20" s="121">
        <f>IF(P20=0,0,Q20/P20)</f>
        <v>1.827272727272726</v>
      </c>
      <c r="P20" s="115">
        <v>22</v>
      </c>
      <c r="Q20" s="103">
        <v>40.199999999999974</v>
      </c>
    </row>
    <row r="21" spans="1:17" x14ac:dyDescent="0.4">
      <c r="A21" s="51" t="s">
        <v>169</v>
      </c>
      <c r="B21" s="44">
        <v>5</v>
      </c>
      <c r="C21" s="131">
        <v>0</v>
      </c>
      <c r="E21" s="59" t="s">
        <v>74</v>
      </c>
      <c r="F21" s="56" t="s">
        <v>29</v>
      </c>
      <c r="G21" s="44">
        <v>1</v>
      </c>
      <c r="H21" s="129">
        <f>IF(B$17=0,0,G21/B$17)</f>
        <v>4.7846889952153108E-3</v>
      </c>
      <c r="I21" s="90">
        <v>5</v>
      </c>
      <c r="K21" s="36">
        <v>19</v>
      </c>
      <c r="L21" s="95">
        <v>383.19999999999993</v>
      </c>
      <c r="N21" s="111" t="s">
        <v>177</v>
      </c>
      <c r="O21" s="121">
        <f>IF(P21=0,0,Q21/P21)</f>
        <v>-1.3562500000000002</v>
      </c>
      <c r="P21" s="115">
        <v>16</v>
      </c>
      <c r="Q21" s="103">
        <v>-21.700000000000003</v>
      </c>
    </row>
    <row r="22" spans="1:17" x14ac:dyDescent="0.4">
      <c r="A22" s="51" t="s">
        <v>170</v>
      </c>
      <c r="B22" s="44">
        <v>31</v>
      </c>
      <c r="C22" s="131">
        <v>5</v>
      </c>
      <c r="E22" s="59" t="s">
        <v>75</v>
      </c>
      <c r="F22" s="56" t="s">
        <v>30</v>
      </c>
      <c r="G22" s="44">
        <v>1</v>
      </c>
      <c r="H22" s="129">
        <f>IF(B$17=0,0,G22/B$17)</f>
        <v>4.7846889952153108E-3</v>
      </c>
      <c r="I22" s="90">
        <v>6</v>
      </c>
      <c r="K22" s="36">
        <v>20</v>
      </c>
      <c r="L22" s="95">
        <v>365.49999999999994</v>
      </c>
      <c r="N22" s="111" t="s">
        <v>222</v>
      </c>
      <c r="O22" s="121">
        <f>IF(P22=0,0,Q22/P22)</f>
        <v>-70.5</v>
      </c>
      <c r="P22" s="115">
        <v>1</v>
      </c>
      <c r="Q22" s="103">
        <v>-70.5</v>
      </c>
    </row>
    <row r="23" spans="1:17" x14ac:dyDescent="0.4">
      <c r="A23" s="51" t="s">
        <v>5</v>
      </c>
      <c r="B23" s="48">
        <f>IF(B$17=0,0,C23/B$17)</f>
        <v>7844.4976076555022</v>
      </c>
      <c r="C23" s="39">
        <v>1639500</v>
      </c>
      <c r="E23" s="59" t="s">
        <v>79</v>
      </c>
      <c r="F23" s="56" t="s">
        <v>34</v>
      </c>
      <c r="G23" s="44">
        <v>1</v>
      </c>
      <c r="H23" s="129">
        <f>IF(B$17=0,0,G23/B$17)</f>
        <v>4.7846889952153108E-3</v>
      </c>
      <c r="I23" s="90">
        <v>6</v>
      </c>
      <c r="K23" s="36">
        <v>21</v>
      </c>
      <c r="L23" s="95">
        <v>371.39999999999992</v>
      </c>
    </row>
    <row r="24" spans="1:17" x14ac:dyDescent="0.4">
      <c r="A24" s="52" t="s">
        <v>216</v>
      </c>
      <c r="B24" s="136">
        <f>IF($B$17-B$16=0,0,C24/($B$17-B$16))</f>
        <v>7743.5714285714284</v>
      </c>
      <c r="C24" s="137">
        <v>1084100</v>
      </c>
      <c r="E24" s="59" t="s">
        <v>81</v>
      </c>
      <c r="F24" s="56" t="s">
        <v>36</v>
      </c>
      <c r="G24" s="44">
        <v>1</v>
      </c>
      <c r="H24" s="129">
        <f>IF(B$17=0,0,G24/B$17)</f>
        <v>4.7846889952153108E-3</v>
      </c>
      <c r="I24" s="90">
        <v>9</v>
      </c>
      <c r="K24" s="36">
        <v>22</v>
      </c>
      <c r="L24" s="95">
        <v>414.2999999999999</v>
      </c>
    </row>
    <row r="25" spans="1:17" x14ac:dyDescent="0.4">
      <c r="A25" s="52" t="s">
        <v>217</v>
      </c>
      <c r="B25" s="136">
        <f>IF(B$16=0,0,C25/B$16)</f>
        <v>8049.275362318841</v>
      </c>
      <c r="C25" s="137">
        <v>555400</v>
      </c>
      <c r="E25" s="59" t="s">
        <v>85</v>
      </c>
      <c r="F25" s="56" t="s">
        <v>40</v>
      </c>
      <c r="G25" s="44">
        <v>1</v>
      </c>
      <c r="H25" s="129">
        <f>IF(B$17=0,0,G25/B$17)</f>
        <v>4.7846889952153108E-3</v>
      </c>
      <c r="I25" s="90">
        <v>4</v>
      </c>
      <c r="K25" s="36">
        <v>23</v>
      </c>
      <c r="L25" s="95">
        <v>356.2999999999999</v>
      </c>
    </row>
    <row r="26" spans="1:17" x14ac:dyDescent="0.4">
      <c r="A26" s="52" t="s">
        <v>215</v>
      </c>
      <c r="B26" s="136">
        <f>IF(B$20=0,0,C26/B$20)</f>
        <v>-7580.4597701149423</v>
      </c>
      <c r="C26" s="137">
        <v>-659500</v>
      </c>
      <c r="E26" s="59" t="s">
        <v>90</v>
      </c>
      <c r="F26" s="56" t="s">
        <v>45</v>
      </c>
      <c r="G26" s="44">
        <v>1</v>
      </c>
      <c r="H26" s="129">
        <f>IF(B$17=0,0,G26/B$17)</f>
        <v>4.7846889952153108E-3</v>
      </c>
      <c r="I26" s="90">
        <v>2</v>
      </c>
      <c r="K26" s="36">
        <v>24</v>
      </c>
      <c r="L26" s="95">
        <v>329.89999999999992</v>
      </c>
    </row>
    <row r="27" spans="1:17" x14ac:dyDescent="0.4">
      <c r="A27" s="86" t="s">
        <v>140</v>
      </c>
      <c r="B27" s="144">
        <v>7</v>
      </c>
      <c r="C27" s="145"/>
      <c r="E27" s="59" t="s">
        <v>91</v>
      </c>
      <c r="F27" s="56" t="s">
        <v>46</v>
      </c>
      <c r="G27" s="44">
        <v>1</v>
      </c>
      <c r="H27" s="129">
        <f>IF(B$17=0,0,G27/B$17)</f>
        <v>4.7846889952153108E-3</v>
      </c>
      <c r="I27" s="90">
        <v>7</v>
      </c>
      <c r="K27" s="36">
        <v>25</v>
      </c>
      <c r="L27" s="95">
        <v>294.99999999999994</v>
      </c>
    </row>
    <row r="28" spans="1:17" x14ac:dyDescent="0.4">
      <c r="A28" s="54" t="s">
        <v>150</v>
      </c>
      <c r="B28" s="142">
        <v>86200</v>
      </c>
      <c r="C28" s="143"/>
      <c r="E28" s="59" t="s">
        <v>95</v>
      </c>
      <c r="F28" s="56" t="s">
        <v>50</v>
      </c>
      <c r="G28" s="44">
        <v>1</v>
      </c>
      <c r="H28" s="129">
        <f>IF(B$17=0,0,G28/B$17)</f>
        <v>4.7846889952153108E-3</v>
      </c>
      <c r="I28" s="90">
        <v>3</v>
      </c>
      <c r="K28" s="36">
        <v>26</v>
      </c>
      <c r="L28" s="95">
        <v>329.29999999999995</v>
      </c>
    </row>
    <row r="29" spans="1:17" x14ac:dyDescent="0.4">
      <c r="A29" s="53" t="s">
        <v>141</v>
      </c>
      <c r="B29" s="61">
        <v>1</v>
      </c>
      <c r="C29" s="40">
        <f>IF(B$3=0,0,B29/B$3)</f>
        <v>1.6077170418006431E-3</v>
      </c>
      <c r="E29" s="59" t="s">
        <v>73</v>
      </c>
      <c r="F29" s="56" t="s">
        <v>28</v>
      </c>
      <c r="G29" s="44">
        <v>0</v>
      </c>
      <c r="H29" s="129">
        <f>IF(B$17=0,0,G29/B$17)</f>
        <v>0</v>
      </c>
      <c r="I29" s="90">
        <v>3</v>
      </c>
      <c r="K29" s="36">
        <v>27</v>
      </c>
      <c r="L29" s="95">
        <v>362.4</v>
      </c>
    </row>
    <row r="30" spans="1:17" x14ac:dyDescent="0.4">
      <c r="E30" s="59" t="s">
        <v>76</v>
      </c>
      <c r="F30" s="56" t="s">
        <v>31</v>
      </c>
      <c r="G30" s="44">
        <v>0</v>
      </c>
      <c r="H30" s="129">
        <f>IF(B$17=0,0,G30/B$17)</f>
        <v>0</v>
      </c>
      <c r="I30" s="90">
        <v>1</v>
      </c>
      <c r="K30" s="36">
        <v>28</v>
      </c>
      <c r="L30" s="95">
        <v>375.79999999999995</v>
      </c>
    </row>
    <row r="31" spans="1:17" x14ac:dyDescent="0.4">
      <c r="E31" s="59" t="s">
        <v>80</v>
      </c>
      <c r="F31" s="56" t="s">
        <v>35</v>
      </c>
      <c r="G31" s="44">
        <v>0</v>
      </c>
      <c r="H31" s="129">
        <f>IF(B$17=0,0,G31/B$17)</f>
        <v>0</v>
      </c>
      <c r="I31" s="90">
        <v>1</v>
      </c>
      <c r="K31" s="36">
        <v>29</v>
      </c>
      <c r="L31" s="95">
        <v>381.09999999999997</v>
      </c>
    </row>
    <row r="32" spans="1:17" x14ac:dyDescent="0.4">
      <c r="E32" s="59" t="s">
        <v>82</v>
      </c>
      <c r="F32" s="56" t="s">
        <v>37</v>
      </c>
      <c r="G32" s="44">
        <v>0</v>
      </c>
      <c r="H32" s="129">
        <f>IF(B$17=0,0,G32/B$17)</f>
        <v>0</v>
      </c>
      <c r="I32" s="90">
        <v>1</v>
      </c>
      <c r="K32" s="36">
        <v>30</v>
      </c>
      <c r="L32" s="95">
        <v>340.79999999999995</v>
      </c>
    </row>
    <row r="33" spans="5:12" x14ac:dyDescent="0.4">
      <c r="E33" s="59" t="s">
        <v>87</v>
      </c>
      <c r="F33" s="56" t="s">
        <v>42</v>
      </c>
      <c r="G33" s="44">
        <v>0</v>
      </c>
      <c r="H33" s="129">
        <f>IF(B$17=0,0,G33/B$17)</f>
        <v>0</v>
      </c>
      <c r="I33" s="90">
        <v>3</v>
      </c>
      <c r="K33" s="36">
        <v>31</v>
      </c>
      <c r="L33" s="95">
        <v>319.49999999999994</v>
      </c>
    </row>
    <row r="34" spans="5:12" x14ac:dyDescent="0.4">
      <c r="E34" s="59" t="s">
        <v>93</v>
      </c>
      <c r="F34" s="56" t="s">
        <v>48</v>
      </c>
      <c r="G34" s="44">
        <v>0</v>
      </c>
      <c r="H34" s="129">
        <f>IF(B$17=0,0,G34/B$17)</f>
        <v>0</v>
      </c>
      <c r="I34" s="90">
        <v>3</v>
      </c>
      <c r="K34" s="36">
        <v>32</v>
      </c>
      <c r="L34" s="95">
        <v>349.39999999999992</v>
      </c>
    </row>
    <row r="35" spans="5:12" x14ac:dyDescent="0.4">
      <c r="E35" s="59" t="s">
        <v>94</v>
      </c>
      <c r="F35" s="56" t="s">
        <v>49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349.19999999999993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374.49999999999994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357.89999999999992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312.09999999999991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325.09999999999991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360.49999999999989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365.39999999999986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398.79999999999984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399.89999999999986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419.29999999999984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424.79999999999984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424.39999999999986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425.69999999999987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465.7999999999999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419.99999999999989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424.59999999999991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427.39999999999992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474.2999999999999</v>
      </c>
    </row>
    <row r="53" spans="5:12" x14ac:dyDescent="0.4">
      <c r="K53" s="36">
        <v>51</v>
      </c>
      <c r="L53" s="95">
        <v>500.7999999999999</v>
      </c>
    </row>
    <row r="54" spans="5:12" x14ac:dyDescent="0.4">
      <c r="K54" s="36">
        <v>52</v>
      </c>
      <c r="L54" s="95">
        <v>534.89999999999986</v>
      </c>
    </row>
    <row r="55" spans="5:12" x14ac:dyDescent="0.4">
      <c r="K55" s="36">
        <v>53</v>
      </c>
      <c r="L55" s="95">
        <v>539.49999999999989</v>
      </c>
    </row>
    <row r="56" spans="5:12" x14ac:dyDescent="0.4">
      <c r="K56" s="36">
        <v>54</v>
      </c>
      <c r="L56" s="95">
        <v>566.59999999999991</v>
      </c>
    </row>
    <row r="57" spans="5:12" x14ac:dyDescent="0.4">
      <c r="K57" s="36">
        <v>55</v>
      </c>
      <c r="L57" s="95">
        <v>584.59999999999991</v>
      </c>
    </row>
    <row r="58" spans="5:12" x14ac:dyDescent="0.4">
      <c r="K58" s="36">
        <v>56</v>
      </c>
      <c r="L58" s="95">
        <v>590.69999999999993</v>
      </c>
    </row>
    <row r="59" spans="5:12" x14ac:dyDescent="0.4">
      <c r="K59" s="36">
        <v>57</v>
      </c>
      <c r="L59" s="95">
        <v>593.09999999999991</v>
      </c>
    </row>
    <row r="60" spans="5:12" x14ac:dyDescent="0.4">
      <c r="K60" s="36">
        <v>58</v>
      </c>
      <c r="L60" s="95">
        <v>597.59999999999991</v>
      </c>
    </row>
    <row r="61" spans="5:12" x14ac:dyDescent="0.4">
      <c r="K61" s="36">
        <v>59</v>
      </c>
      <c r="L61" s="95">
        <v>571.59999999999991</v>
      </c>
    </row>
    <row r="62" spans="5:12" x14ac:dyDescent="0.4">
      <c r="K62" s="36">
        <v>60</v>
      </c>
      <c r="L62" s="95">
        <v>544.59999999999991</v>
      </c>
    </row>
    <row r="63" spans="5:12" x14ac:dyDescent="0.4">
      <c r="K63" s="36">
        <v>61</v>
      </c>
      <c r="L63" s="95">
        <v>527.79999999999995</v>
      </c>
    </row>
    <row r="64" spans="5:12" x14ac:dyDescent="0.4">
      <c r="K64" s="36">
        <v>62</v>
      </c>
      <c r="L64" s="95">
        <v>531.9</v>
      </c>
    </row>
    <row r="65" spans="11:12" x14ac:dyDescent="0.4">
      <c r="K65" s="36">
        <v>63</v>
      </c>
      <c r="L65" s="95">
        <v>500.59999999999997</v>
      </c>
    </row>
    <row r="66" spans="11:12" x14ac:dyDescent="0.4">
      <c r="K66" s="36">
        <v>64</v>
      </c>
      <c r="L66" s="95">
        <v>518.9</v>
      </c>
    </row>
    <row r="67" spans="11:12" x14ac:dyDescent="0.4">
      <c r="K67" s="36">
        <v>65</v>
      </c>
      <c r="L67" s="95">
        <v>538.1</v>
      </c>
    </row>
    <row r="68" spans="11:12" x14ac:dyDescent="0.4">
      <c r="K68" s="36">
        <v>66</v>
      </c>
      <c r="L68" s="95">
        <v>538.70000000000005</v>
      </c>
    </row>
    <row r="69" spans="11:12" x14ac:dyDescent="0.4">
      <c r="K69" s="36">
        <v>67</v>
      </c>
      <c r="L69" s="95">
        <v>503.50000000000006</v>
      </c>
    </row>
    <row r="70" spans="11:12" x14ac:dyDescent="0.4">
      <c r="K70" s="36">
        <v>68</v>
      </c>
      <c r="L70" s="95">
        <v>544.1</v>
      </c>
    </row>
    <row r="71" spans="11:12" x14ac:dyDescent="0.4">
      <c r="K71" s="36">
        <v>69</v>
      </c>
      <c r="L71" s="95">
        <v>576.5</v>
      </c>
    </row>
    <row r="72" spans="11:12" x14ac:dyDescent="0.4">
      <c r="K72" s="36">
        <v>70</v>
      </c>
      <c r="L72" s="95">
        <v>544.79999999999995</v>
      </c>
    </row>
    <row r="73" spans="11:12" x14ac:dyDescent="0.4">
      <c r="K73" s="36">
        <v>71</v>
      </c>
      <c r="L73" s="95">
        <v>502.09999999999997</v>
      </c>
    </row>
    <row r="74" spans="11:12" x14ac:dyDescent="0.4">
      <c r="K74" s="36">
        <v>72</v>
      </c>
      <c r="L74" s="95">
        <v>526.19999999999993</v>
      </c>
    </row>
    <row r="75" spans="11:12" x14ac:dyDescent="0.4">
      <c r="K75" s="36">
        <v>73</v>
      </c>
      <c r="L75" s="95">
        <v>550.99999999999989</v>
      </c>
    </row>
    <row r="76" spans="11:12" x14ac:dyDescent="0.4">
      <c r="K76" s="36">
        <v>74</v>
      </c>
      <c r="L76" s="95">
        <v>576.49999999999989</v>
      </c>
    </row>
    <row r="77" spans="11:12" x14ac:dyDescent="0.4">
      <c r="K77" s="36">
        <v>75</v>
      </c>
      <c r="L77" s="95">
        <v>601.29999999999984</v>
      </c>
    </row>
    <row r="78" spans="11:12" x14ac:dyDescent="0.4">
      <c r="K78" s="36">
        <v>76</v>
      </c>
      <c r="L78" s="95">
        <v>576.29999999999984</v>
      </c>
    </row>
    <row r="79" spans="11:12" x14ac:dyDescent="0.4">
      <c r="K79" s="36">
        <v>77</v>
      </c>
      <c r="L79" s="95">
        <v>546.79999999999984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DB13E-5C74-457A-A9D6-76D1440681DB}">
  <sheetPr codeName="Sheet13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8" t="s">
        <v>179</v>
      </c>
      <c r="C1" s="149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50">
        <v>47</v>
      </c>
      <c r="C2" s="151"/>
      <c r="E2" s="58" t="s">
        <v>66</v>
      </c>
      <c r="F2" s="55" t="s">
        <v>22</v>
      </c>
      <c r="G2" s="43">
        <v>83</v>
      </c>
      <c r="H2" s="128">
        <f>IF(B$17=0,0,G2/B$17)</f>
        <v>0.73451327433628322</v>
      </c>
      <c r="I2" s="89">
        <v>6</v>
      </c>
      <c r="K2" s="34">
        <v>0</v>
      </c>
      <c r="L2" s="94">
        <v>0</v>
      </c>
      <c r="N2" s="110" t="s">
        <v>130</v>
      </c>
      <c r="O2" s="117">
        <f t="shared" ref="O2:O7" si="0">IF(P2=0,0,Q2/P2)</f>
        <v>432.60869565217394</v>
      </c>
      <c r="P2" s="114">
        <v>46</v>
      </c>
      <c r="Q2" s="98">
        <v>19900</v>
      </c>
    </row>
    <row r="3" spans="1:17" x14ac:dyDescent="0.4">
      <c r="A3" s="51" t="s">
        <v>8</v>
      </c>
      <c r="B3" s="152">
        <v>401</v>
      </c>
      <c r="C3" s="153"/>
      <c r="E3" s="59" t="s">
        <v>64</v>
      </c>
      <c r="F3" s="56" t="s">
        <v>20</v>
      </c>
      <c r="G3" s="44">
        <v>68</v>
      </c>
      <c r="H3" s="129">
        <f>IF(B$17=0,0,G3/B$17)</f>
        <v>0.60176991150442483</v>
      </c>
      <c r="I3" s="90">
        <v>2</v>
      </c>
      <c r="K3" s="36">
        <v>1</v>
      </c>
      <c r="L3" s="95">
        <v>-37.799999999999997</v>
      </c>
      <c r="N3" s="111" t="s">
        <v>131</v>
      </c>
      <c r="O3" s="118">
        <f t="shared" si="0"/>
        <v>-547.82608695652175</v>
      </c>
      <c r="P3" s="115">
        <v>46</v>
      </c>
      <c r="Q3" s="99">
        <v>-25200</v>
      </c>
    </row>
    <row r="4" spans="1:17" x14ac:dyDescent="0.4">
      <c r="A4" s="51" t="s">
        <v>6</v>
      </c>
      <c r="B4" s="154">
        <v>-346.19999999999993</v>
      </c>
      <c r="C4" s="155"/>
      <c r="E4" s="59" t="s">
        <v>72</v>
      </c>
      <c r="F4" s="56" t="s">
        <v>27</v>
      </c>
      <c r="G4" s="44">
        <v>59</v>
      </c>
      <c r="H4" s="129">
        <f>IF(B$17=0,0,G4/B$17)</f>
        <v>0.52212389380530977</v>
      </c>
      <c r="I4" s="90">
        <v>6</v>
      </c>
      <c r="K4" s="36">
        <v>2</v>
      </c>
      <c r="L4" s="95">
        <v>-30.099999999999998</v>
      </c>
      <c r="N4" s="111" t="s">
        <v>132</v>
      </c>
      <c r="O4" s="118">
        <f t="shared" si="0"/>
        <v>981.81818181818187</v>
      </c>
      <c r="P4" s="115">
        <v>44</v>
      </c>
      <c r="Q4" s="99">
        <v>43200</v>
      </c>
    </row>
    <row r="5" spans="1:17" x14ac:dyDescent="0.4">
      <c r="A5" s="51" t="s">
        <v>7</v>
      </c>
      <c r="B5" s="156">
        <f>IF(B$2=0,0,B$4/B$2)</f>
        <v>-7.3659574468085092</v>
      </c>
      <c r="C5" s="157"/>
      <c r="E5" s="59" t="s">
        <v>171</v>
      </c>
      <c r="F5" s="56" t="s">
        <v>172</v>
      </c>
      <c r="G5" s="44">
        <v>44</v>
      </c>
      <c r="H5" s="129">
        <f>IF(B$17=0,0,G5/B$17)</f>
        <v>0.38938053097345132</v>
      </c>
      <c r="I5" s="90">
        <v>4</v>
      </c>
      <c r="K5" s="36">
        <v>3</v>
      </c>
      <c r="L5" s="95">
        <v>-17.599999999999998</v>
      </c>
      <c r="N5" s="111" t="s">
        <v>133</v>
      </c>
      <c r="O5" s="118">
        <f t="shared" si="0"/>
        <v>-1930.952380952381</v>
      </c>
      <c r="P5" s="115">
        <v>42</v>
      </c>
      <c r="Q5" s="99">
        <v>-81100</v>
      </c>
    </row>
    <row r="6" spans="1:17" x14ac:dyDescent="0.4">
      <c r="A6" s="51" t="s">
        <v>1</v>
      </c>
      <c r="B6" s="146">
        <f>IF(B$2=0,0,(B$7*1+B$8*2+B$9*3)/B$2)</f>
        <v>2.2340425531914891</v>
      </c>
      <c r="C6" s="147"/>
      <c r="E6" s="59" t="s">
        <v>68</v>
      </c>
      <c r="F6" s="56" t="s">
        <v>12</v>
      </c>
      <c r="G6" s="44">
        <v>36</v>
      </c>
      <c r="H6" s="129">
        <f>IF(B$17=0,0,G6/B$17)</f>
        <v>0.31858407079646017</v>
      </c>
      <c r="I6" s="90">
        <v>5</v>
      </c>
      <c r="K6" s="36">
        <v>4</v>
      </c>
      <c r="L6" s="95">
        <v>-54.899999999999991</v>
      </c>
      <c r="N6" s="111" t="s">
        <v>134</v>
      </c>
      <c r="O6" s="118">
        <f t="shared" si="0"/>
        <v>-3119.5121951219512</v>
      </c>
      <c r="P6" s="115">
        <v>41</v>
      </c>
      <c r="Q6" s="99">
        <v>-127900</v>
      </c>
    </row>
    <row r="7" spans="1:17" x14ac:dyDescent="0.4">
      <c r="A7" s="51" t="s">
        <v>2</v>
      </c>
      <c r="B7" s="44">
        <v>9</v>
      </c>
      <c r="C7" s="37">
        <f t="shared" ref="C7:C12" si="1">IF(B$2=0,0,B7/B$2)</f>
        <v>0.19148936170212766</v>
      </c>
      <c r="E7" s="59" t="s">
        <v>67</v>
      </c>
      <c r="F7" s="56" t="s">
        <v>23</v>
      </c>
      <c r="G7" s="44">
        <v>34</v>
      </c>
      <c r="H7" s="129">
        <f>IF(B$17=0,0,G7/B$17)</f>
        <v>0.30088495575221241</v>
      </c>
      <c r="I7" s="90">
        <v>6</v>
      </c>
      <c r="K7" s="36">
        <v>5</v>
      </c>
      <c r="L7" s="95">
        <v>-33.699999999999989</v>
      </c>
      <c r="N7" s="112" t="s">
        <v>135</v>
      </c>
      <c r="O7" s="119">
        <f t="shared" si="0"/>
        <v>-2638.8888888888887</v>
      </c>
      <c r="P7" s="116">
        <v>36</v>
      </c>
      <c r="Q7" s="100">
        <v>-95000</v>
      </c>
    </row>
    <row r="8" spans="1:17" x14ac:dyDescent="0.4">
      <c r="A8" s="51" t="s">
        <v>3</v>
      </c>
      <c r="B8" s="44">
        <v>18</v>
      </c>
      <c r="C8" s="37">
        <f t="shared" si="1"/>
        <v>0.38297872340425532</v>
      </c>
      <c r="E8" s="59" t="s">
        <v>70</v>
      </c>
      <c r="F8" s="56" t="s">
        <v>25</v>
      </c>
      <c r="G8" s="44">
        <v>18</v>
      </c>
      <c r="H8" s="129">
        <f>IF(B$17=0,0,G8/B$17)</f>
        <v>0.15929203539823009</v>
      </c>
      <c r="I8" s="90">
        <v>2</v>
      </c>
      <c r="K8" s="36">
        <v>6</v>
      </c>
      <c r="L8" s="95">
        <v>-57.399999999999991</v>
      </c>
      <c r="N8" s="41"/>
      <c r="O8" s="123"/>
      <c r="P8" s="107"/>
      <c r="Q8" s="105"/>
    </row>
    <row r="9" spans="1:17" x14ac:dyDescent="0.4">
      <c r="A9" s="52" t="s">
        <v>4</v>
      </c>
      <c r="B9" s="45">
        <v>20</v>
      </c>
      <c r="C9" s="38">
        <f t="shared" si="1"/>
        <v>0.42553191489361702</v>
      </c>
      <c r="E9" s="59" t="s">
        <v>69</v>
      </c>
      <c r="F9" s="56" t="s">
        <v>24</v>
      </c>
      <c r="G9" s="44">
        <v>16</v>
      </c>
      <c r="H9" s="129">
        <f>IF(B$17=0,0,G9/B$17)</f>
        <v>0.1415929203539823</v>
      </c>
      <c r="I9" s="90">
        <v>6</v>
      </c>
      <c r="K9" s="36">
        <v>7</v>
      </c>
      <c r="L9" s="95">
        <v>-39.499999999999993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2</v>
      </c>
      <c r="C10" s="38">
        <f t="shared" si="1"/>
        <v>4.2553191489361701E-2</v>
      </c>
      <c r="E10" s="59" t="s">
        <v>65</v>
      </c>
      <c r="F10" s="56" t="s">
        <v>21</v>
      </c>
      <c r="G10" s="44">
        <v>12</v>
      </c>
      <c r="H10" s="129">
        <f>IF(B$17=0,0,G10/B$17)</f>
        <v>0.10619469026548672</v>
      </c>
      <c r="I10" s="90">
        <v>3</v>
      </c>
      <c r="K10" s="36">
        <v>8</v>
      </c>
      <c r="L10" s="95">
        <v>-62.999999999999993</v>
      </c>
      <c r="N10" s="110" t="s">
        <v>162</v>
      </c>
      <c r="O10" s="120">
        <f>IF(P10=0,0,Q10/P10)</f>
        <v>0.69473684210526221</v>
      </c>
      <c r="P10" s="114">
        <v>19</v>
      </c>
      <c r="Q10" s="102">
        <v>13.199999999999982</v>
      </c>
    </row>
    <row r="11" spans="1:17" x14ac:dyDescent="0.4">
      <c r="A11" s="52" t="s">
        <v>138</v>
      </c>
      <c r="B11" s="45">
        <v>2</v>
      </c>
      <c r="C11" s="38">
        <f t="shared" si="1"/>
        <v>4.2553191489361701E-2</v>
      </c>
      <c r="E11" s="59" t="s">
        <v>89</v>
      </c>
      <c r="F11" s="56" t="s">
        <v>44</v>
      </c>
      <c r="G11" s="44">
        <v>10</v>
      </c>
      <c r="H11" s="129">
        <f>IF(B$17=0,0,G11/B$17)</f>
        <v>8.8495575221238937E-2</v>
      </c>
      <c r="I11" s="90">
        <v>8</v>
      </c>
      <c r="K11" s="36">
        <v>9</v>
      </c>
      <c r="L11" s="95">
        <v>-74.199999999999989</v>
      </c>
      <c r="N11" s="111" t="s">
        <v>163</v>
      </c>
      <c r="O11" s="121">
        <f>IF(P11=0,0,Q11/P11)</f>
        <v>-9.615384615384615</v>
      </c>
      <c r="P11" s="115">
        <v>13</v>
      </c>
      <c r="Q11" s="103">
        <v>-125</v>
      </c>
    </row>
    <row r="12" spans="1:17" x14ac:dyDescent="0.4">
      <c r="A12" s="53" t="s">
        <v>158</v>
      </c>
      <c r="B12" s="46">
        <v>3</v>
      </c>
      <c r="C12" s="40">
        <f t="shared" si="1"/>
        <v>6.3829787234042548E-2</v>
      </c>
      <c r="E12" s="59" t="s">
        <v>83</v>
      </c>
      <c r="F12" s="56" t="s">
        <v>38</v>
      </c>
      <c r="G12" s="44">
        <v>8</v>
      </c>
      <c r="H12" s="129">
        <f>IF(B$17=0,0,G12/B$17)</f>
        <v>7.0796460176991149E-2</v>
      </c>
      <c r="I12" s="90">
        <v>4</v>
      </c>
      <c r="K12" s="36">
        <v>10</v>
      </c>
      <c r="L12" s="95">
        <v>-117.19999999999999</v>
      </c>
      <c r="N12" s="112" t="s">
        <v>164</v>
      </c>
      <c r="O12" s="122">
        <f>IF(P12=0,0,Q12/P12)</f>
        <v>-15.626666666666667</v>
      </c>
      <c r="P12" s="116">
        <v>15</v>
      </c>
      <c r="Q12" s="104">
        <v>-234.4</v>
      </c>
    </row>
    <row r="13" spans="1:17" x14ac:dyDescent="0.4">
      <c r="A13" s="54" t="s">
        <v>121</v>
      </c>
      <c r="B13" s="47">
        <v>115</v>
      </c>
      <c r="C13" s="42">
        <f>IF(B$3=0,0,B13/B$3)</f>
        <v>0.28678304239401498</v>
      </c>
      <c r="E13" s="59" t="s">
        <v>71</v>
      </c>
      <c r="F13" s="56" t="s">
        <v>26</v>
      </c>
      <c r="G13" s="44">
        <v>5</v>
      </c>
      <c r="H13" s="129">
        <f>IF(B$17=0,0,G13/B$17)</f>
        <v>4.4247787610619468E-2</v>
      </c>
      <c r="I13" s="90">
        <v>11</v>
      </c>
      <c r="K13" s="36">
        <v>11</v>
      </c>
      <c r="L13" s="95">
        <v>-177.29999999999998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75</v>
      </c>
      <c r="C14" s="37">
        <f>IF(B$3=0,0,B14/B$3)</f>
        <v>0.18703241895261846</v>
      </c>
      <c r="E14" s="59" t="s">
        <v>78</v>
      </c>
      <c r="F14" s="56" t="s">
        <v>33</v>
      </c>
      <c r="G14" s="44">
        <v>4</v>
      </c>
      <c r="H14" s="129">
        <f>IF(B$17=0,0,G14/B$17)</f>
        <v>3.5398230088495575E-2</v>
      </c>
      <c r="I14" s="90">
        <v>1</v>
      </c>
      <c r="K14" s="36">
        <v>12</v>
      </c>
      <c r="L14" s="95">
        <v>-158.6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69</v>
      </c>
      <c r="C15" s="35">
        <f>IF(B$13=0,0,B15/B$13)</f>
        <v>0.6</v>
      </c>
      <c r="E15" s="59" t="s">
        <v>86</v>
      </c>
      <c r="F15" s="56" t="s">
        <v>41</v>
      </c>
      <c r="G15" s="44">
        <v>3</v>
      </c>
      <c r="H15" s="129">
        <f>IF(B$17=0,0,G15/B$17)</f>
        <v>2.6548672566371681E-2</v>
      </c>
      <c r="I15" s="90">
        <v>9</v>
      </c>
      <c r="K15" s="36">
        <v>13</v>
      </c>
      <c r="L15" s="95">
        <v>-207.3</v>
      </c>
      <c r="N15" s="110" t="s">
        <v>182</v>
      </c>
      <c r="O15" s="120">
        <f t="shared" ref="O15:O22" si="2">IF(P15=0,0,Q15/P15)</f>
        <v>25.799999999999997</v>
      </c>
      <c r="P15" s="114">
        <v>1</v>
      </c>
      <c r="Q15" s="102">
        <v>25.799999999999997</v>
      </c>
    </row>
    <row r="16" spans="1:17" x14ac:dyDescent="0.4">
      <c r="A16" s="50" t="s">
        <v>124</v>
      </c>
      <c r="B16" s="43">
        <v>30</v>
      </c>
      <c r="C16" s="35">
        <f>IF(B$14=0,0,B16/B$14)</f>
        <v>0.4</v>
      </c>
      <c r="E16" s="59" t="s">
        <v>75</v>
      </c>
      <c r="F16" s="56" t="s">
        <v>30</v>
      </c>
      <c r="G16" s="44">
        <v>2</v>
      </c>
      <c r="H16" s="129">
        <f>IF(B$17=0,0,G16/B$17)</f>
        <v>1.7699115044247787E-2</v>
      </c>
      <c r="I16" s="90">
        <v>2</v>
      </c>
      <c r="K16" s="36">
        <v>14</v>
      </c>
      <c r="L16" s="95">
        <v>-204.8</v>
      </c>
      <c r="N16" s="111" t="s">
        <v>166</v>
      </c>
      <c r="O16" s="121">
        <f t="shared" si="2"/>
        <v>10.390909090909091</v>
      </c>
      <c r="P16" s="115">
        <v>11</v>
      </c>
      <c r="Q16" s="103">
        <v>114.3</v>
      </c>
    </row>
    <row r="17" spans="1:17" x14ac:dyDescent="0.4">
      <c r="A17" s="50" t="s">
        <v>10</v>
      </c>
      <c r="B17" s="43">
        <f>B19+B18</f>
        <v>113</v>
      </c>
      <c r="C17" s="35">
        <f>IF(B$3=0,0,B17/B$3)</f>
        <v>0.28179551122194513</v>
      </c>
      <c r="E17" s="59" t="s">
        <v>79</v>
      </c>
      <c r="F17" s="56" t="s">
        <v>34</v>
      </c>
      <c r="G17" s="44">
        <v>2</v>
      </c>
      <c r="H17" s="129">
        <f>IF(B$17=0,0,G17/B$17)</f>
        <v>1.7699115044247787E-2</v>
      </c>
      <c r="I17" s="90">
        <v>4</v>
      </c>
      <c r="K17" s="36">
        <v>15</v>
      </c>
      <c r="L17" s="95">
        <v>-221.5</v>
      </c>
      <c r="N17" s="111" t="s">
        <v>181</v>
      </c>
      <c r="O17" s="121">
        <f t="shared" si="2"/>
        <v>3.7285714285714309</v>
      </c>
      <c r="P17" s="115">
        <v>7</v>
      </c>
      <c r="Q17" s="103">
        <v>26.100000000000016</v>
      </c>
    </row>
    <row r="18" spans="1:17" x14ac:dyDescent="0.4">
      <c r="A18" s="51" t="s">
        <v>12</v>
      </c>
      <c r="B18" s="44">
        <v>48</v>
      </c>
      <c r="C18" s="37">
        <f>IF(B$17=0,0,B18/B$17)</f>
        <v>0.4247787610619469</v>
      </c>
      <c r="E18" s="59" t="s">
        <v>81</v>
      </c>
      <c r="F18" s="56" t="s">
        <v>36</v>
      </c>
      <c r="G18" s="44">
        <v>2</v>
      </c>
      <c r="H18" s="129">
        <f>IF(B$17=0,0,G18/B$17)</f>
        <v>1.7699115044247787E-2</v>
      </c>
      <c r="I18" s="90">
        <v>5</v>
      </c>
      <c r="K18" s="36">
        <v>16</v>
      </c>
      <c r="L18" s="95">
        <v>-224.3</v>
      </c>
      <c r="N18" s="111" t="s">
        <v>177</v>
      </c>
      <c r="O18" s="121">
        <f t="shared" si="2"/>
        <v>1.0000000000000004</v>
      </c>
      <c r="P18" s="115">
        <v>6</v>
      </c>
      <c r="Q18" s="103">
        <v>6.0000000000000027</v>
      </c>
    </row>
    <row r="19" spans="1:17" x14ac:dyDescent="0.4">
      <c r="A19" s="51" t="s">
        <v>11</v>
      </c>
      <c r="B19" s="44">
        <v>65</v>
      </c>
      <c r="C19" s="37">
        <f>IF(B$17=0,0,B19/B$17)</f>
        <v>0.5752212389380531</v>
      </c>
      <c r="E19" s="59" t="s">
        <v>91</v>
      </c>
      <c r="F19" s="56" t="s">
        <v>46</v>
      </c>
      <c r="G19" s="44">
        <v>1</v>
      </c>
      <c r="H19" s="129">
        <f>IF(B$17=0,0,G19/B$17)</f>
        <v>8.8495575221238937E-3</v>
      </c>
      <c r="I19" s="90">
        <v>5</v>
      </c>
      <c r="K19" s="36">
        <v>17</v>
      </c>
      <c r="L19" s="95">
        <v>-251.4</v>
      </c>
      <c r="N19" s="111" t="s">
        <v>127</v>
      </c>
      <c r="O19" s="121">
        <f t="shared" si="2"/>
        <v>-10.948148148148144</v>
      </c>
      <c r="P19" s="115">
        <v>27</v>
      </c>
      <c r="Q19" s="103">
        <v>-295.59999999999991</v>
      </c>
    </row>
    <row r="20" spans="1:17" x14ac:dyDescent="0.4">
      <c r="A20" s="51" t="s">
        <v>13</v>
      </c>
      <c r="B20" s="44">
        <v>82</v>
      </c>
      <c r="C20" s="37">
        <f>IF(B$3=0,0,B20/B$3)</f>
        <v>0.20448877805486285</v>
      </c>
      <c r="E20" s="59" t="s">
        <v>167</v>
      </c>
      <c r="F20" s="56" t="s">
        <v>168</v>
      </c>
      <c r="G20" s="44">
        <v>1</v>
      </c>
      <c r="H20" s="129">
        <f>IF(B$17=0,0,G20/B$17)</f>
        <v>8.8495575221238937E-3</v>
      </c>
      <c r="I20" s="90">
        <v>6</v>
      </c>
      <c r="K20" s="36">
        <v>18</v>
      </c>
      <c r="L20" s="95">
        <v>-240</v>
      </c>
      <c r="N20" s="111" t="s">
        <v>126</v>
      </c>
      <c r="O20" s="121">
        <f t="shared" si="2"/>
        <v>-17.467741935483875</v>
      </c>
      <c r="P20" s="115">
        <v>31</v>
      </c>
      <c r="Q20" s="103">
        <v>-541.50000000000011</v>
      </c>
    </row>
    <row r="21" spans="1:17" x14ac:dyDescent="0.4">
      <c r="A21" s="51" t="s">
        <v>169</v>
      </c>
      <c r="B21" s="44">
        <v>4</v>
      </c>
      <c r="C21" s="131">
        <v>0</v>
      </c>
      <c r="E21" s="59" t="s">
        <v>73</v>
      </c>
      <c r="F21" s="56" t="s">
        <v>28</v>
      </c>
      <c r="G21" s="44">
        <v>0</v>
      </c>
      <c r="H21" s="129">
        <f>IF(B$17=0,0,G21/B$17)</f>
        <v>0</v>
      </c>
      <c r="I21" s="90">
        <v>3</v>
      </c>
      <c r="K21" s="36">
        <v>19</v>
      </c>
      <c r="L21" s="95">
        <v>-218</v>
      </c>
      <c r="N21" s="111" t="s">
        <v>178</v>
      </c>
      <c r="O21" s="121">
        <f t="shared" si="2"/>
        <v>-31.71</v>
      </c>
      <c r="P21" s="115">
        <v>10</v>
      </c>
      <c r="Q21" s="103">
        <v>-317.10000000000002</v>
      </c>
    </row>
    <row r="22" spans="1:17" x14ac:dyDescent="0.4">
      <c r="A22" s="51" t="s">
        <v>170</v>
      </c>
      <c r="B22" s="44">
        <v>21</v>
      </c>
      <c r="C22" s="131">
        <v>0</v>
      </c>
      <c r="E22" s="59" t="s">
        <v>74</v>
      </c>
      <c r="F22" s="56" t="s">
        <v>29</v>
      </c>
      <c r="G22" s="44">
        <v>0</v>
      </c>
      <c r="H22" s="129">
        <f>IF(B$17=0,0,G22/B$17)</f>
        <v>0</v>
      </c>
      <c r="I22" s="90">
        <v>6</v>
      </c>
      <c r="K22" s="36">
        <v>20</v>
      </c>
      <c r="L22" s="95">
        <v>-177.6</v>
      </c>
      <c r="N22" s="111" t="s">
        <v>195</v>
      </c>
      <c r="O22" s="121">
        <f t="shared" si="2"/>
        <v>-56.6</v>
      </c>
      <c r="P22" s="115">
        <v>1</v>
      </c>
      <c r="Q22" s="103">
        <v>-56.6</v>
      </c>
    </row>
    <row r="23" spans="1:17" x14ac:dyDescent="0.4">
      <c r="A23" s="51" t="s">
        <v>5</v>
      </c>
      <c r="B23" s="48">
        <f>IF(B$17=0,0,C23/B$17)</f>
        <v>7690.2654867256633</v>
      </c>
      <c r="C23" s="39">
        <v>869000</v>
      </c>
      <c r="E23" s="59" t="s">
        <v>76</v>
      </c>
      <c r="F23" s="56" t="s">
        <v>31</v>
      </c>
      <c r="G23" s="44">
        <v>0</v>
      </c>
      <c r="H23" s="129">
        <f>IF(B$17=0,0,G23/B$17)</f>
        <v>0</v>
      </c>
      <c r="I23" s="90">
        <v>1</v>
      </c>
      <c r="K23" s="36">
        <v>21</v>
      </c>
      <c r="L23" s="95">
        <v>-133.30000000000001</v>
      </c>
    </row>
    <row r="24" spans="1:17" x14ac:dyDescent="0.4">
      <c r="A24" s="52" t="s">
        <v>216</v>
      </c>
      <c r="B24" s="136">
        <f>IF($B$17-B$16=0,0,C24/($B$17-B$16))</f>
        <v>8161.4457831325299</v>
      </c>
      <c r="C24" s="137">
        <v>677400</v>
      </c>
      <c r="E24" s="59" t="s">
        <v>77</v>
      </c>
      <c r="F24" s="56" t="s">
        <v>32</v>
      </c>
      <c r="G24" s="44">
        <v>0</v>
      </c>
      <c r="H24" s="129">
        <f>IF(B$17=0,0,G24/B$17)</f>
        <v>0</v>
      </c>
      <c r="I24" s="90">
        <v>4</v>
      </c>
      <c r="K24" s="36">
        <v>22</v>
      </c>
      <c r="L24" s="95">
        <v>-164.60000000000002</v>
      </c>
    </row>
    <row r="25" spans="1:17" x14ac:dyDescent="0.4">
      <c r="A25" s="52" t="s">
        <v>217</v>
      </c>
      <c r="B25" s="136">
        <f>IF(B$16=0,0,C25/B$16)</f>
        <v>6386.666666666667</v>
      </c>
      <c r="C25" s="137">
        <v>191600</v>
      </c>
      <c r="E25" s="59" t="s">
        <v>80</v>
      </c>
      <c r="F25" s="56" t="s">
        <v>35</v>
      </c>
      <c r="G25" s="44">
        <v>0</v>
      </c>
      <c r="H25" s="129">
        <f>IF(B$17=0,0,G25/B$17)</f>
        <v>0</v>
      </c>
      <c r="I25" s="90">
        <v>1</v>
      </c>
      <c r="K25" s="36">
        <v>23</v>
      </c>
      <c r="L25" s="95">
        <v>-162.70000000000002</v>
      </c>
    </row>
    <row r="26" spans="1:17" x14ac:dyDescent="0.4">
      <c r="A26" s="52" t="s">
        <v>215</v>
      </c>
      <c r="B26" s="136">
        <f>IF(B$20=0,0,C26/B$20)</f>
        <v>-7435.3658536585363</v>
      </c>
      <c r="C26" s="137">
        <v>-609700</v>
      </c>
      <c r="E26" s="59" t="s">
        <v>82</v>
      </c>
      <c r="F26" s="56" t="s">
        <v>37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-163.00000000000003</v>
      </c>
    </row>
    <row r="27" spans="1:17" x14ac:dyDescent="0.4">
      <c r="A27" s="86" t="s">
        <v>140</v>
      </c>
      <c r="B27" s="144">
        <v>8</v>
      </c>
      <c r="C27" s="145"/>
      <c r="E27" s="59" t="s">
        <v>84</v>
      </c>
      <c r="F27" s="56" t="s">
        <v>39</v>
      </c>
      <c r="G27" s="44">
        <v>0</v>
      </c>
      <c r="H27" s="129">
        <f>IF(B$17=0,0,G27/B$17)</f>
        <v>0</v>
      </c>
      <c r="I27" s="90">
        <v>4</v>
      </c>
      <c r="K27" s="36">
        <v>25</v>
      </c>
      <c r="L27" s="95">
        <v>-185.00000000000003</v>
      </c>
    </row>
    <row r="28" spans="1:17" x14ac:dyDescent="0.4">
      <c r="A28" s="54" t="s">
        <v>150</v>
      </c>
      <c r="B28" s="142">
        <v>69300</v>
      </c>
      <c r="C28" s="143"/>
      <c r="E28" s="59" t="s">
        <v>85</v>
      </c>
      <c r="F28" s="56" t="s">
        <v>40</v>
      </c>
      <c r="G28" s="44">
        <v>0</v>
      </c>
      <c r="H28" s="129">
        <f>IF(B$17=0,0,G28/B$17)</f>
        <v>0</v>
      </c>
      <c r="I28" s="90">
        <v>6</v>
      </c>
      <c r="K28" s="36">
        <v>26</v>
      </c>
      <c r="L28" s="95">
        <v>-186.00000000000003</v>
      </c>
    </row>
    <row r="29" spans="1:17" x14ac:dyDescent="0.4">
      <c r="A29" s="53" t="s">
        <v>141</v>
      </c>
      <c r="B29" s="61">
        <v>2</v>
      </c>
      <c r="C29" s="40">
        <f>IF(B$3=0,0,B29/B$3)</f>
        <v>4.9875311720698253E-3</v>
      </c>
      <c r="E29" s="59" t="s">
        <v>87</v>
      </c>
      <c r="F29" s="56" t="s">
        <v>42</v>
      </c>
      <c r="G29" s="44">
        <v>0</v>
      </c>
      <c r="H29" s="129">
        <f>IF(B$17=0,0,G29/B$17)</f>
        <v>0</v>
      </c>
      <c r="I29" s="90">
        <v>3</v>
      </c>
      <c r="K29" s="36">
        <v>27</v>
      </c>
      <c r="L29" s="95">
        <v>-163.00000000000003</v>
      </c>
    </row>
    <row r="30" spans="1:17" x14ac:dyDescent="0.4">
      <c r="E30" s="59" t="s">
        <v>88</v>
      </c>
      <c r="F30" s="56" t="s">
        <v>43</v>
      </c>
      <c r="G30" s="44">
        <v>0</v>
      </c>
      <c r="H30" s="129">
        <f>IF(B$17=0,0,G30/B$17)</f>
        <v>0</v>
      </c>
      <c r="I30" s="90">
        <v>4</v>
      </c>
      <c r="K30" s="36">
        <v>28</v>
      </c>
      <c r="L30" s="95">
        <v>-181.70000000000002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-159.9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-175.6</v>
      </c>
    </row>
    <row r="33" spans="5:12" x14ac:dyDescent="0.4"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3</v>
      </c>
      <c r="K33" s="36">
        <v>31</v>
      </c>
      <c r="L33" s="95">
        <v>-212.6</v>
      </c>
    </row>
    <row r="34" spans="5:12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  <c r="K34" s="36">
        <v>32</v>
      </c>
      <c r="L34" s="95">
        <v>-244.8</v>
      </c>
    </row>
    <row r="35" spans="5:12" x14ac:dyDescent="0.4">
      <c r="E35" s="59" t="s">
        <v>95</v>
      </c>
      <c r="F35" s="56" t="s">
        <v>50</v>
      </c>
      <c r="G35" s="44">
        <v>0</v>
      </c>
      <c r="H35" s="129">
        <f>IF(B$17=0,0,G35/B$17)</f>
        <v>0</v>
      </c>
      <c r="I35" s="90">
        <v>5</v>
      </c>
      <c r="K35" s="36">
        <v>33</v>
      </c>
      <c r="L35" s="95">
        <v>-261.3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-236.8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-264.60000000000002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-252.20000000000002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-261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-245.4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-227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-268.39999999999998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-264.39999999999998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-268.89999999999998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-299.39999999999998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-330.7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-353.09999999999997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-351.79999999999995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-346.19999999999993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061ACC-A491-4DED-A65D-7D71CE77A3E8}">
  <sheetPr codeName="Sheet11"/>
  <dimension ref="A1:Q77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8" t="s">
        <v>127</v>
      </c>
      <c r="C1" s="149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50">
        <v>75</v>
      </c>
      <c r="C2" s="151"/>
      <c r="E2" s="58" t="s">
        <v>66</v>
      </c>
      <c r="F2" s="55" t="s">
        <v>22</v>
      </c>
      <c r="G2" s="43">
        <v>189</v>
      </c>
      <c r="H2" s="128">
        <f>IF(B$17=0,0,G2/B$17)</f>
        <v>0.93103448275862066</v>
      </c>
      <c r="I2" s="89">
        <v>2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-1951.3513513513512</v>
      </c>
      <c r="P2" s="114">
        <v>74</v>
      </c>
      <c r="Q2" s="98">
        <v>-144400</v>
      </c>
    </row>
    <row r="3" spans="1:17" x14ac:dyDescent="0.4">
      <c r="A3" s="51" t="s">
        <v>8</v>
      </c>
      <c r="B3" s="152">
        <v>638</v>
      </c>
      <c r="C3" s="153"/>
      <c r="E3" s="59" t="s">
        <v>72</v>
      </c>
      <c r="F3" s="56" t="s">
        <v>27</v>
      </c>
      <c r="G3" s="44">
        <v>114</v>
      </c>
      <c r="H3" s="129">
        <f>IF(B$17=0,0,G3/B$17)</f>
        <v>0.56157635467980294</v>
      </c>
      <c r="I3" s="90">
        <v>4</v>
      </c>
      <c r="K3" s="36">
        <v>1</v>
      </c>
      <c r="L3" s="95">
        <v>-45.6</v>
      </c>
      <c r="N3" s="111" t="s">
        <v>131</v>
      </c>
      <c r="O3" s="118">
        <f t="shared" si="0"/>
        <v>1136.1111111111111</v>
      </c>
      <c r="P3" s="115">
        <v>72</v>
      </c>
      <c r="Q3" s="99">
        <v>81800</v>
      </c>
    </row>
    <row r="4" spans="1:17" x14ac:dyDescent="0.4">
      <c r="A4" s="51" t="s">
        <v>6</v>
      </c>
      <c r="B4" s="154">
        <v>336.79999999999984</v>
      </c>
      <c r="C4" s="155"/>
      <c r="E4" s="59" t="s">
        <v>171</v>
      </c>
      <c r="F4" s="56" t="s">
        <v>172</v>
      </c>
      <c r="G4" s="44">
        <v>89</v>
      </c>
      <c r="H4" s="129">
        <f>IF(B$17=0,0,G4/B$17)</f>
        <v>0.43842364532019706</v>
      </c>
      <c r="I4" s="90">
        <v>1</v>
      </c>
      <c r="K4" s="36">
        <v>2</v>
      </c>
      <c r="L4" s="95">
        <v>-34.299999999999997</v>
      </c>
      <c r="N4" s="111" t="s">
        <v>132</v>
      </c>
      <c r="O4" s="118">
        <f t="shared" si="0"/>
        <v>601.47058823529414</v>
      </c>
      <c r="P4" s="115">
        <v>68</v>
      </c>
      <c r="Q4" s="99">
        <v>40900</v>
      </c>
    </row>
    <row r="5" spans="1:17" x14ac:dyDescent="0.4">
      <c r="A5" s="51" t="s">
        <v>7</v>
      </c>
      <c r="B5" s="156">
        <f>IF(B$2=0,0,B$4/B$2)</f>
        <v>4.4906666666666641</v>
      </c>
      <c r="C5" s="157"/>
      <c r="E5" s="59" t="s">
        <v>64</v>
      </c>
      <c r="F5" s="56" t="s">
        <v>20</v>
      </c>
      <c r="G5" s="44">
        <v>82</v>
      </c>
      <c r="H5" s="129">
        <f>IF(B$17=0,0,G5/B$17)</f>
        <v>0.4039408866995074</v>
      </c>
      <c r="I5" s="90">
        <v>9</v>
      </c>
      <c r="K5" s="36">
        <v>3</v>
      </c>
      <c r="L5" s="95">
        <v>-58.599999999999994</v>
      </c>
      <c r="N5" s="111" t="s">
        <v>133</v>
      </c>
      <c r="O5" s="118">
        <f t="shared" si="0"/>
        <v>2743.75</v>
      </c>
      <c r="P5" s="115">
        <v>64</v>
      </c>
      <c r="Q5" s="99">
        <v>175600</v>
      </c>
    </row>
    <row r="6" spans="1:17" x14ac:dyDescent="0.4">
      <c r="A6" s="51" t="s">
        <v>1</v>
      </c>
      <c r="B6" s="146">
        <f>IF(B$2=0,0,(B$7*1+B$8*2+B$9*3)/B$2)</f>
        <v>1.8533333333333333</v>
      </c>
      <c r="C6" s="147"/>
      <c r="E6" s="59" t="s">
        <v>68</v>
      </c>
      <c r="F6" s="56" t="s">
        <v>12</v>
      </c>
      <c r="G6" s="44">
        <v>55</v>
      </c>
      <c r="H6" s="129">
        <f>IF(B$17=0,0,G6/B$17)</f>
        <v>0.27093596059113301</v>
      </c>
      <c r="I6" s="90">
        <v>10</v>
      </c>
      <c r="K6" s="36">
        <v>4</v>
      </c>
      <c r="L6" s="95">
        <v>-38.099999999999994</v>
      </c>
      <c r="N6" s="111" t="s">
        <v>134</v>
      </c>
      <c r="O6" s="118">
        <f t="shared" si="0"/>
        <v>398.36065573770492</v>
      </c>
      <c r="P6" s="115">
        <v>61</v>
      </c>
      <c r="Q6" s="99">
        <v>24300</v>
      </c>
    </row>
    <row r="7" spans="1:17" x14ac:dyDescent="0.4">
      <c r="A7" s="51" t="s">
        <v>2</v>
      </c>
      <c r="B7" s="44">
        <v>32</v>
      </c>
      <c r="C7" s="37">
        <f t="shared" ref="C7:C12" si="1">IF(B$2=0,0,B7/B$2)</f>
        <v>0.42666666666666669</v>
      </c>
      <c r="E7" s="59" t="s">
        <v>67</v>
      </c>
      <c r="F7" s="56" t="s">
        <v>23</v>
      </c>
      <c r="G7" s="44">
        <v>50</v>
      </c>
      <c r="H7" s="129">
        <f>IF(B$17=0,0,G7/B$17)</f>
        <v>0.24630541871921183</v>
      </c>
      <c r="I7" s="90">
        <v>9</v>
      </c>
      <c r="K7" s="36">
        <v>5</v>
      </c>
      <c r="L7" s="95">
        <v>-11.299999999999994</v>
      </c>
      <c r="N7" s="112" t="s">
        <v>135</v>
      </c>
      <c r="O7" s="119">
        <f t="shared" si="0"/>
        <v>1680</v>
      </c>
      <c r="P7" s="116">
        <v>50</v>
      </c>
      <c r="Q7" s="100">
        <v>84000</v>
      </c>
    </row>
    <row r="8" spans="1:17" x14ac:dyDescent="0.4">
      <c r="A8" s="51" t="s">
        <v>3</v>
      </c>
      <c r="B8" s="44">
        <v>22</v>
      </c>
      <c r="C8" s="37">
        <f t="shared" si="1"/>
        <v>0.29333333333333333</v>
      </c>
      <c r="E8" s="59" t="s">
        <v>89</v>
      </c>
      <c r="F8" s="56" t="s">
        <v>44</v>
      </c>
      <c r="G8" s="44">
        <v>24</v>
      </c>
      <c r="H8" s="129">
        <f>IF(B$17=0,0,G8/B$17)</f>
        <v>0.11822660098522167</v>
      </c>
      <c r="I8" s="90">
        <v>7</v>
      </c>
      <c r="K8" s="36">
        <v>6</v>
      </c>
      <c r="L8" s="95">
        <v>-11.899999999999993</v>
      </c>
      <c r="N8" s="41"/>
      <c r="O8" s="123"/>
      <c r="P8" s="107"/>
      <c r="Q8" s="105"/>
    </row>
    <row r="9" spans="1:17" x14ac:dyDescent="0.4">
      <c r="A9" s="52" t="s">
        <v>4</v>
      </c>
      <c r="B9" s="45">
        <v>21</v>
      </c>
      <c r="C9" s="38">
        <f t="shared" si="1"/>
        <v>0.28000000000000003</v>
      </c>
      <c r="E9" s="59" t="s">
        <v>69</v>
      </c>
      <c r="F9" s="56" t="s">
        <v>24</v>
      </c>
      <c r="G9" s="44">
        <v>22</v>
      </c>
      <c r="H9" s="129">
        <f>IF(B$17=0,0,G9/B$17)</f>
        <v>0.10837438423645321</v>
      </c>
      <c r="I9" s="90">
        <v>8</v>
      </c>
      <c r="K9" s="36">
        <v>7</v>
      </c>
      <c r="L9" s="95">
        <v>-9.4999999999999929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11</v>
      </c>
      <c r="C10" s="38">
        <f t="shared" si="1"/>
        <v>0.14666666666666667</v>
      </c>
      <c r="E10" s="59" t="s">
        <v>71</v>
      </c>
      <c r="F10" s="56" t="s">
        <v>26</v>
      </c>
      <c r="G10" s="44">
        <v>18</v>
      </c>
      <c r="H10" s="129">
        <f>IF(B$17=0,0,G10/B$17)</f>
        <v>8.8669950738916259E-2</v>
      </c>
      <c r="I10" s="90">
        <v>5</v>
      </c>
      <c r="K10" s="36">
        <v>8</v>
      </c>
      <c r="L10" s="95">
        <v>-56.79999999999999</v>
      </c>
      <c r="N10" s="110" t="s">
        <v>162</v>
      </c>
      <c r="O10" s="120">
        <f>IF(P10=0,0,Q10/P10)</f>
        <v>7.6444444444444457</v>
      </c>
      <c r="P10" s="114">
        <v>18</v>
      </c>
      <c r="Q10" s="102">
        <v>137.60000000000002</v>
      </c>
    </row>
    <row r="11" spans="1:17" x14ac:dyDescent="0.4">
      <c r="A11" s="52" t="s">
        <v>138</v>
      </c>
      <c r="B11" s="45">
        <v>8</v>
      </c>
      <c r="C11" s="38">
        <f t="shared" si="1"/>
        <v>0.10666666666666667</v>
      </c>
      <c r="E11" s="59" t="s">
        <v>65</v>
      </c>
      <c r="F11" s="56" t="s">
        <v>21</v>
      </c>
      <c r="G11" s="44">
        <v>16</v>
      </c>
      <c r="H11" s="129">
        <f>IF(B$17=0,0,G11/B$17)</f>
        <v>7.8817733990147784E-2</v>
      </c>
      <c r="I11" s="90">
        <v>9</v>
      </c>
      <c r="K11" s="36">
        <v>9</v>
      </c>
      <c r="L11" s="95">
        <v>-83.699999999999989</v>
      </c>
      <c r="N11" s="111" t="s">
        <v>163</v>
      </c>
      <c r="O11" s="121">
        <f>IF(P11=0,0,Q11/P11)</f>
        <v>6.6954545454545462</v>
      </c>
      <c r="P11" s="115">
        <v>22</v>
      </c>
      <c r="Q11" s="103">
        <v>147.30000000000001</v>
      </c>
    </row>
    <row r="12" spans="1:17" x14ac:dyDescent="0.4">
      <c r="A12" s="53" t="s">
        <v>158</v>
      </c>
      <c r="B12" s="46">
        <v>16</v>
      </c>
      <c r="C12" s="40">
        <f t="shared" si="1"/>
        <v>0.21333333333333335</v>
      </c>
      <c r="E12" s="59" t="s">
        <v>70</v>
      </c>
      <c r="F12" s="56" t="s">
        <v>25</v>
      </c>
      <c r="G12" s="44">
        <v>16</v>
      </c>
      <c r="H12" s="129">
        <f>IF(B$17=0,0,G12/B$17)</f>
        <v>7.8817733990147784E-2</v>
      </c>
      <c r="I12" s="90">
        <v>7</v>
      </c>
      <c r="K12" s="36">
        <v>10</v>
      </c>
      <c r="L12" s="95">
        <v>-78.399999999999991</v>
      </c>
      <c r="N12" s="112" t="s">
        <v>164</v>
      </c>
      <c r="O12" s="122">
        <f>IF(P12=0,0,Q12/P12)</f>
        <v>1.4828571428571422</v>
      </c>
      <c r="P12" s="116">
        <v>35</v>
      </c>
      <c r="Q12" s="104">
        <v>51.899999999999977</v>
      </c>
    </row>
    <row r="13" spans="1:17" x14ac:dyDescent="0.4">
      <c r="A13" s="54" t="s">
        <v>121</v>
      </c>
      <c r="B13" s="47">
        <v>147</v>
      </c>
      <c r="C13" s="42">
        <f>IF(B$3=0,0,B13/B$3)</f>
        <v>0.2304075235109718</v>
      </c>
      <c r="E13" s="59" t="s">
        <v>86</v>
      </c>
      <c r="F13" s="56" t="s">
        <v>41</v>
      </c>
      <c r="G13" s="44">
        <v>15</v>
      </c>
      <c r="H13" s="129">
        <f>IF(B$17=0,0,G13/B$17)</f>
        <v>7.3891625615763554E-2</v>
      </c>
      <c r="I13" s="90">
        <v>2</v>
      </c>
      <c r="K13" s="36">
        <v>11</v>
      </c>
      <c r="L13" s="95">
        <v>-68.099999999999994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197</v>
      </c>
      <c r="C14" s="37">
        <f>IF(B$3=0,0,B14/B$3)</f>
        <v>0.30877742946708464</v>
      </c>
      <c r="E14" s="59" t="s">
        <v>83</v>
      </c>
      <c r="F14" s="56" t="s">
        <v>38</v>
      </c>
      <c r="G14" s="44">
        <v>10</v>
      </c>
      <c r="H14" s="129">
        <f>IF(B$17=0,0,G14/B$17)</f>
        <v>4.9261083743842367E-2</v>
      </c>
      <c r="I14" s="90">
        <v>8</v>
      </c>
      <c r="K14" s="36">
        <v>12</v>
      </c>
      <c r="L14" s="95">
        <v>-89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79</v>
      </c>
      <c r="C15" s="35">
        <f>IF(B$13=0,0,B15/B$13)</f>
        <v>0.5374149659863946</v>
      </c>
      <c r="E15" s="59" t="s">
        <v>91</v>
      </c>
      <c r="F15" s="56" t="s">
        <v>46</v>
      </c>
      <c r="G15" s="44">
        <v>7</v>
      </c>
      <c r="H15" s="129">
        <f>IF(B$17=0,0,G15/B$17)</f>
        <v>3.4482758620689655E-2</v>
      </c>
      <c r="I15" s="90">
        <v>1</v>
      </c>
      <c r="K15" s="36">
        <v>13</v>
      </c>
      <c r="L15" s="95">
        <v>-86.8</v>
      </c>
      <c r="N15" s="110" t="s">
        <v>195</v>
      </c>
      <c r="O15" s="120">
        <f t="shared" ref="O15:O22" si="2">IF(P15=0,0,Q15/P15)</f>
        <v>75.3</v>
      </c>
      <c r="P15" s="114">
        <v>2</v>
      </c>
      <c r="Q15" s="102">
        <v>150.6</v>
      </c>
    </row>
    <row r="16" spans="1:17" x14ac:dyDescent="0.4">
      <c r="A16" s="50" t="s">
        <v>124</v>
      </c>
      <c r="B16" s="43">
        <v>78</v>
      </c>
      <c r="C16" s="35">
        <f>IF(B$14=0,0,B16/B$14)</f>
        <v>0.39593908629441626</v>
      </c>
      <c r="E16" s="59" t="s">
        <v>78</v>
      </c>
      <c r="F16" s="56" t="s">
        <v>33</v>
      </c>
      <c r="G16" s="44">
        <v>5</v>
      </c>
      <c r="H16" s="129">
        <f>IF(B$17=0,0,G16/B$17)</f>
        <v>2.4630541871921183E-2</v>
      </c>
      <c r="I16" s="90">
        <v>4</v>
      </c>
      <c r="K16" s="36">
        <v>14</v>
      </c>
      <c r="L16" s="95">
        <v>-138.4</v>
      </c>
      <c r="N16" s="111" t="s">
        <v>182</v>
      </c>
      <c r="O16" s="121">
        <f t="shared" si="2"/>
        <v>52.783333333333331</v>
      </c>
      <c r="P16" s="115">
        <v>6</v>
      </c>
      <c r="Q16" s="103">
        <v>316.7</v>
      </c>
    </row>
    <row r="17" spans="1:17" x14ac:dyDescent="0.4">
      <c r="A17" s="50" t="s">
        <v>10</v>
      </c>
      <c r="B17" s="43">
        <f>B19+B18</f>
        <v>203</v>
      </c>
      <c r="C17" s="35">
        <f>IF(B$3=0,0,B17/B$3)</f>
        <v>0.31818181818181818</v>
      </c>
      <c r="E17" s="59" t="s">
        <v>79</v>
      </c>
      <c r="F17" s="56" t="s">
        <v>34</v>
      </c>
      <c r="G17" s="44">
        <v>5</v>
      </c>
      <c r="H17" s="129">
        <f>IF(B$17=0,0,G17/B$17)</f>
        <v>2.4630541871921183E-2</v>
      </c>
      <c r="I17" s="90">
        <v>3</v>
      </c>
      <c r="K17" s="36">
        <v>15</v>
      </c>
      <c r="L17" s="95">
        <v>-144.30000000000001</v>
      </c>
      <c r="N17" s="111" t="s">
        <v>181</v>
      </c>
      <c r="O17" s="121">
        <f t="shared" si="2"/>
        <v>19.850000000000001</v>
      </c>
      <c r="P17" s="115">
        <v>2</v>
      </c>
      <c r="Q17" s="103">
        <v>39.700000000000003</v>
      </c>
    </row>
    <row r="18" spans="1:17" x14ac:dyDescent="0.4">
      <c r="A18" s="51" t="s">
        <v>12</v>
      </c>
      <c r="B18" s="44">
        <v>78</v>
      </c>
      <c r="C18" s="37">
        <f>IF(B$17=0,0,B18/B$17)</f>
        <v>0.38423645320197042</v>
      </c>
      <c r="E18" s="59" t="s">
        <v>81</v>
      </c>
      <c r="F18" s="56" t="s">
        <v>36</v>
      </c>
      <c r="G18" s="44">
        <v>3</v>
      </c>
      <c r="H18" s="129">
        <f>IF(B$17=0,0,G18/B$17)</f>
        <v>1.4778325123152709E-2</v>
      </c>
      <c r="I18" s="90">
        <v>7</v>
      </c>
      <c r="K18" s="36">
        <v>16</v>
      </c>
      <c r="L18" s="95">
        <v>-187.3</v>
      </c>
      <c r="N18" s="111" t="s">
        <v>177</v>
      </c>
      <c r="O18" s="121">
        <f t="shared" si="2"/>
        <v>13.71363636363637</v>
      </c>
      <c r="P18" s="115">
        <v>22</v>
      </c>
      <c r="Q18" s="103">
        <v>301.70000000000016</v>
      </c>
    </row>
    <row r="19" spans="1:17" x14ac:dyDescent="0.4">
      <c r="A19" s="51" t="s">
        <v>11</v>
      </c>
      <c r="B19" s="44">
        <v>125</v>
      </c>
      <c r="C19" s="37">
        <f>IF(B$17=0,0,B19/B$17)</f>
        <v>0.61576354679802958</v>
      </c>
      <c r="E19" s="59" t="s">
        <v>74</v>
      </c>
      <c r="F19" s="56" t="s">
        <v>29</v>
      </c>
      <c r="G19" s="44">
        <v>2</v>
      </c>
      <c r="H19" s="129">
        <f>IF(B$17=0,0,G19/B$17)</f>
        <v>9.852216748768473E-3</v>
      </c>
      <c r="I19" s="90">
        <v>3</v>
      </c>
      <c r="K19" s="36">
        <v>17</v>
      </c>
      <c r="L19" s="95">
        <v>-179.70000000000002</v>
      </c>
      <c r="N19" s="111" t="s">
        <v>178</v>
      </c>
      <c r="O19" s="121">
        <f t="shared" si="2"/>
        <v>11.6952380952381</v>
      </c>
      <c r="P19" s="115">
        <v>21</v>
      </c>
      <c r="Q19" s="103">
        <v>245.60000000000011</v>
      </c>
    </row>
    <row r="20" spans="1:17" x14ac:dyDescent="0.4">
      <c r="A20" s="51" t="s">
        <v>13</v>
      </c>
      <c r="B20" s="44">
        <v>121</v>
      </c>
      <c r="C20" s="37">
        <f>IF(B$3=0,0,B20/B$3)</f>
        <v>0.18965517241379309</v>
      </c>
      <c r="E20" s="59" t="s">
        <v>84</v>
      </c>
      <c r="F20" s="56" t="s">
        <v>39</v>
      </c>
      <c r="G20" s="44">
        <v>1</v>
      </c>
      <c r="H20" s="129">
        <f>IF(B$17=0,0,G20/B$17)</f>
        <v>4.9261083743842365E-3</v>
      </c>
      <c r="I20" s="90">
        <v>2</v>
      </c>
      <c r="K20" s="36">
        <v>18</v>
      </c>
      <c r="L20" s="95">
        <v>-112.90000000000002</v>
      </c>
      <c r="N20" s="111" t="s">
        <v>179</v>
      </c>
      <c r="O20" s="121">
        <f t="shared" si="2"/>
        <v>10.948148148148144</v>
      </c>
      <c r="P20" s="115">
        <v>27</v>
      </c>
      <c r="Q20" s="103">
        <v>295.59999999999991</v>
      </c>
    </row>
    <row r="21" spans="1:17" x14ac:dyDescent="0.4">
      <c r="A21" s="51" t="s">
        <v>169</v>
      </c>
      <c r="B21" s="44">
        <v>7</v>
      </c>
      <c r="C21" s="131">
        <v>0</v>
      </c>
      <c r="E21" s="59" t="s">
        <v>92</v>
      </c>
      <c r="F21" s="56" t="s">
        <v>47</v>
      </c>
      <c r="G21" s="44">
        <v>1</v>
      </c>
      <c r="H21" s="129">
        <f>IF(B$17=0,0,G21/B$17)</f>
        <v>4.9261083743842365E-3</v>
      </c>
      <c r="I21" s="90">
        <v>4</v>
      </c>
      <c r="K21" s="36">
        <v>19</v>
      </c>
      <c r="L21" s="95">
        <v>-162.40000000000003</v>
      </c>
      <c r="N21" s="111" t="s">
        <v>166</v>
      </c>
      <c r="O21" s="121">
        <f t="shared" si="2"/>
        <v>5.1111111111111089</v>
      </c>
      <c r="P21" s="115">
        <v>18</v>
      </c>
      <c r="Q21" s="103">
        <v>91.999999999999957</v>
      </c>
    </row>
    <row r="22" spans="1:17" x14ac:dyDescent="0.4">
      <c r="A22" s="51" t="s">
        <v>170</v>
      </c>
      <c r="B22" s="44">
        <v>23</v>
      </c>
      <c r="C22" s="131">
        <v>0</v>
      </c>
      <c r="E22" s="59" t="s">
        <v>95</v>
      </c>
      <c r="F22" s="56" t="s">
        <v>50</v>
      </c>
      <c r="G22" s="44">
        <v>1</v>
      </c>
      <c r="H22" s="129">
        <f>IF(B$17=0,0,G22/B$17)</f>
        <v>4.9261083743842365E-3</v>
      </c>
      <c r="I22" s="90">
        <v>2</v>
      </c>
      <c r="K22" s="36">
        <v>20</v>
      </c>
      <c r="L22" s="95">
        <v>-96.000000000000028</v>
      </c>
      <c r="N22" s="111" t="s">
        <v>126</v>
      </c>
      <c r="O22" s="121">
        <f t="shared" si="2"/>
        <v>-8.2980769230769234</v>
      </c>
      <c r="P22" s="115">
        <v>52</v>
      </c>
      <c r="Q22" s="103">
        <v>-431.50000000000006</v>
      </c>
    </row>
    <row r="23" spans="1:17" x14ac:dyDescent="0.4">
      <c r="A23" s="51" t="s">
        <v>5</v>
      </c>
      <c r="B23" s="48">
        <f>IF(B$17=0,0,C23/B$17)</f>
        <v>8712.3152709359601</v>
      </c>
      <c r="C23" s="39">
        <v>1768600</v>
      </c>
      <c r="E23" s="59" t="s">
        <v>167</v>
      </c>
      <c r="F23" s="56" t="s">
        <v>168</v>
      </c>
      <c r="G23" s="44">
        <v>1</v>
      </c>
      <c r="H23" s="129">
        <f>IF(B$17=0,0,G23/B$17)</f>
        <v>4.9261083743842365E-3</v>
      </c>
      <c r="I23" s="90">
        <v>7</v>
      </c>
      <c r="K23" s="36">
        <v>21</v>
      </c>
      <c r="L23" s="95">
        <v>-67.200000000000031</v>
      </c>
    </row>
    <row r="24" spans="1:17" x14ac:dyDescent="0.4">
      <c r="A24" s="52" t="s">
        <v>216</v>
      </c>
      <c r="B24" s="136">
        <f>IF($B$17-B$16=0,0,C24/($B$17-B$16))</f>
        <v>9000</v>
      </c>
      <c r="C24" s="137">
        <v>1125000</v>
      </c>
      <c r="E24" s="59" t="s">
        <v>73</v>
      </c>
      <c r="F24" s="56" t="s">
        <v>28</v>
      </c>
      <c r="G24" s="44">
        <v>0</v>
      </c>
      <c r="H24" s="129">
        <f>IF(B$17=0,0,G24/B$17)</f>
        <v>0</v>
      </c>
      <c r="I24" s="90">
        <v>3</v>
      </c>
      <c r="K24" s="36">
        <v>22</v>
      </c>
      <c r="L24" s="95">
        <v>-38.400000000000034</v>
      </c>
    </row>
    <row r="25" spans="1:17" x14ac:dyDescent="0.4">
      <c r="A25" s="52" t="s">
        <v>217</v>
      </c>
      <c r="B25" s="136">
        <f>IF(B$16=0,0,C25/B$16)</f>
        <v>8251.2820512820508</v>
      </c>
      <c r="C25" s="137">
        <v>643600</v>
      </c>
      <c r="E25" s="59" t="s">
        <v>75</v>
      </c>
      <c r="F25" s="56" t="s">
        <v>30</v>
      </c>
      <c r="G25" s="44">
        <v>0</v>
      </c>
      <c r="H25" s="129">
        <f>IF(B$17=0,0,G25/B$17)</f>
        <v>0</v>
      </c>
      <c r="I25" s="90">
        <v>7</v>
      </c>
      <c r="K25" s="36">
        <v>23</v>
      </c>
      <c r="L25" s="95">
        <v>-37.600000000000037</v>
      </c>
    </row>
    <row r="26" spans="1:17" x14ac:dyDescent="0.4">
      <c r="A26" s="52" t="s">
        <v>215</v>
      </c>
      <c r="B26" s="136">
        <f>IF(B$20=0,0,C26/B$20)</f>
        <v>-7829.7520661157023</v>
      </c>
      <c r="C26" s="137">
        <v>-947400</v>
      </c>
      <c r="E26" s="59" t="s">
        <v>76</v>
      </c>
      <c r="F26" s="56" t="s">
        <v>31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-37.600000000000037</v>
      </c>
    </row>
    <row r="27" spans="1:17" x14ac:dyDescent="0.4">
      <c r="A27" s="86" t="s">
        <v>140</v>
      </c>
      <c r="B27" s="144">
        <v>8</v>
      </c>
      <c r="C27" s="145"/>
      <c r="E27" s="59" t="s">
        <v>77</v>
      </c>
      <c r="F27" s="56" t="s">
        <v>32</v>
      </c>
      <c r="G27" s="44">
        <v>0</v>
      </c>
      <c r="H27" s="129">
        <f>IF(B$17=0,0,G27/B$17)</f>
        <v>0</v>
      </c>
      <c r="I27" s="90">
        <v>4</v>
      </c>
      <c r="K27" s="36">
        <v>25</v>
      </c>
      <c r="L27" s="95">
        <v>-10.700000000000038</v>
      </c>
    </row>
    <row r="28" spans="1:17" x14ac:dyDescent="0.4">
      <c r="A28" s="54" t="s">
        <v>150</v>
      </c>
      <c r="B28" s="142">
        <v>91800</v>
      </c>
      <c r="C28" s="143"/>
      <c r="E28" s="59" t="s">
        <v>80</v>
      </c>
      <c r="F28" s="56" t="s">
        <v>35</v>
      </c>
      <c r="G28" s="44">
        <v>0</v>
      </c>
      <c r="H28" s="129">
        <f>IF(B$17=0,0,G28/B$17)</f>
        <v>0</v>
      </c>
      <c r="I28" s="90">
        <v>1</v>
      </c>
      <c r="K28" s="36">
        <v>26</v>
      </c>
      <c r="L28" s="95">
        <v>-2.6000000000000387</v>
      </c>
    </row>
    <row r="29" spans="1:17" x14ac:dyDescent="0.4">
      <c r="A29" s="53" t="s">
        <v>141</v>
      </c>
      <c r="B29" s="61">
        <v>3</v>
      </c>
      <c r="C29" s="40">
        <f>IF(B$3=0,0,B29/B$3)</f>
        <v>4.7021943573667714E-3</v>
      </c>
      <c r="E29" s="59" t="s">
        <v>82</v>
      </c>
      <c r="F29" s="56" t="s">
        <v>37</v>
      </c>
      <c r="G29" s="44">
        <v>0</v>
      </c>
      <c r="H29" s="129">
        <f>IF(B$17=0,0,G29/B$17)</f>
        <v>0</v>
      </c>
      <c r="I29" s="90">
        <v>1</v>
      </c>
      <c r="K29" s="36">
        <v>27</v>
      </c>
      <c r="L29" s="95">
        <v>-34.100000000000037</v>
      </c>
    </row>
    <row r="30" spans="1:17" x14ac:dyDescent="0.4">
      <c r="E30" s="59" t="s">
        <v>85</v>
      </c>
      <c r="F30" s="56" t="s">
        <v>40</v>
      </c>
      <c r="G30" s="44">
        <v>0</v>
      </c>
      <c r="H30" s="129">
        <f>IF(B$17=0,0,G30/B$17)</f>
        <v>0</v>
      </c>
      <c r="I30" s="90">
        <v>6</v>
      </c>
      <c r="K30" s="36">
        <v>28</v>
      </c>
      <c r="L30" s="95">
        <v>-16.100000000000037</v>
      </c>
    </row>
    <row r="31" spans="1:17" x14ac:dyDescent="0.4">
      <c r="E31" s="59" t="s">
        <v>87</v>
      </c>
      <c r="F31" s="56" t="s">
        <v>42</v>
      </c>
      <c r="G31" s="44">
        <v>0</v>
      </c>
      <c r="H31" s="129">
        <f>IF(B$17=0,0,G31/B$17)</f>
        <v>0</v>
      </c>
      <c r="I31" s="90">
        <v>3</v>
      </c>
      <c r="K31" s="36">
        <v>29</v>
      </c>
      <c r="L31" s="95">
        <v>40.799999999999962</v>
      </c>
    </row>
    <row r="32" spans="1:17" x14ac:dyDescent="0.4">
      <c r="E32" s="59" t="s">
        <v>88</v>
      </c>
      <c r="F32" s="56" t="s">
        <v>43</v>
      </c>
      <c r="G32" s="44">
        <v>0</v>
      </c>
      <c r="H32" s="129">
        <f>IF(B$17=0,0,G32/B$17)</f>
        <v>0</v>
      </c>
      <c r="I32" s="90">
        <v>4</v>
      </c>
      <c r="K32" s="36">
        <v>30</v>
      </c>
      <c r="L32" s="95">
        <v>63.499999999999957</v>
      </c>
    </row>
    <row r="33" spans="5:12" x14ac:dyDescent="0.4">
      <c r="E33" s="59" t="s">
        <v>90</v>
      </c>
      <c r="F33" s="56" t="s">
        <v>45</v>
      </c>
      <c r="G33" s="44">
        <v>0</v>
      </c>
      <c r="H33" s="129">
        <f>IF(B$17=0,0,G33/B$17)</f>
        <v>0</v>
      </c>
      <c r="I33" s="90">
        <v>4</v>
      </c>
      <c r="K33" s="36">
        <v>31</v>
      </c>
      <c r="L33" s="95">
        <v>94.299999999999955</v>
      </c>
    </row>
    <row r="34" spans="5:12" x14ac:dyDescent="0.4">
      <c r="E34" s="59" t="s">
        <v>93</v>
      </c>
      <c r="F34" s="56" t="s">
        <v>48</v>
      </c>
      <c r="G34" s="44">
        <v>0</v>
      </c>
      <c r="H34" s="129">
        <f>IF(B$17=0,0,G34/B$17)</f>
        <v>0</v>
      </c>
      <c r="I34" s="90">
        <v>3</v>
      </c>
      <c r="K34" s="36">
        <v>32</v>
      </c>
      <c r="L34" s="95">
        <v>144.79999999999995</v>
      </c>
    </row>
    <row r="35" spans="5:12" x14ac:dyDescent="0.4">
      <c r="E35" s="59" t="s">
        <v>94</v>
      </c>
      <c r="F35" s="56" t="s">
        <v>49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153.39999999999995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178.09999999999994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171.89999999999995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164.59999999999994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156.59999999999994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110.89999999999993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158.79999999999993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109.59999999999992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131.59999999999991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183.6999999999999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211.89999999999989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232.7999999999999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214.39999999999989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215.39999999999989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259.19999999999987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272.09999999999985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222.79999999999984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248.89999999999984</v>
      </c>
    </row>
    <row r="53" spans="5:12" x14ac:dyDescent="0.4">
      <c r="K53" s="36">
        <v>51</v>
      </c>
      <c r="L53" s="95">
        <v>269.99999999999983</v>
      </c>
    </row>
    <row r="54" spans="5:12" x14ac:dyDescent="0.4">
      <c r="K54" s="36">
        <v>52</v>
      </c>
      <c r="L54" s="95">
        <v>298.09999999999985</v>
      </c>
    </row>
    <row r="55" spans="5:12" x14ac:dyDescent="0.4">
      <c r="K55" s="36">
        <v>53</v>
      </c>
      <c r="L55" s="95">
        <v>324.29999999999984</v>
      </c>
    </row>
    <row r="56" spans="5:12" x14ac:dyDescent="0.4">
      <c r="K56" s="36">
        <v>54</v>
      </c>
      <c r="L56" s="95">
        <v>346.59999999999985</v>
      </c>
    </row>
    <row r="57" spans="5:12" x14ac:dyDescent="0.4">
      <c r="K57" s="36">
        <v>55</v>
      </c>
      <c r="L57" s="95">
        <v>295.09999999999985</v>
      </c>
    </row>
    <row r="58" spans="5:12" x14ac:dyDescent="0.4">
      <c r="K58" s="36">
        <v>56</v>
      </c>
      <c r="L58" s="95">
        <v>319.89999999999986</v>
      </c>
    </row>
    <row r="59" spans="5:12" x14ac:dyDescent="0.4">
      <c r="K59" s="36">
        <v>57</v>
      </c>
      <c r="L59" s="95">
        <v>291.09999999999985</v>
      </c>
    </row>
    <row r="60" spans="5:12" x14ac:dyDescent="0.4">
      <c r="K60" s="36">
        <v>58</v>
      </c>
      <c r="L60" s="95">
        <v>274.39999999999986</v>
      </c>
    </row>
    <row r="61" spans="5:12" x14ac:dyDescent="0.4">
      <c r="K61" s="36">
        <v>59</v>
      </c>
      <c r="L61" s="95">
        <v>261.39999999999986</v>
      </c>
    </row>
    <row r="62" spans="5:12" x14ac:dyDescent="0.4">
      <c r="K62" s="36">
        <v>60</v>
      </c>
      <c r="L62" s="95">
        <v>208.69999999999987</v>
      </c>
    </row>
    <row r="63" spans="5:12" x14ac:dyDescent="0.4">
      <c r="K63" s="36">
        <v>61</v>
      </c>
      <c r="L63" s="95">
        <v>245.89999999999986</v>
      </c>
    </row>
    <row r="64" spans="5:12" x14ac:dyDescent="0.4">
      <c r="K64" s="36">
        <v>62</v>
      </c>
      <c r="L64" s="95">
        <v>193.09999999999985</v>
      </c>
    </row>
    <row r="65" spans="11:12" x14ac:dyDescent="0.4">
      <c r="K65" s="36">
        <v>63</v>
      </c>
      <c r="L65" s="95">
        <v>248.19999999999985</v>
      </c>
    </row>
    <row r="66" spans="11:12" x14ac:dyDescent="0.4">
      <c r="K66" s="36">
        <v>64</v>
      </c>
      <c r="L66" s="95">
        <v>238.99999999999986</v>
      </c>
    </row>
    <row r="67" spans="11:12" x14ac:dyDescent="0.4">
      <c r="K67" s="36">
        <v>65</v>
      </c>
      <c r="L67" s="95">
        <v>274.49999999999989</v>
      </c>
    </row>
    <row r="68" spans="11:12" x14ac:dyDescent="0.4">
      <c r="K68" s="36">
        <v>66</v>
      </c>
      <c r="L68" s="95">
        <v>287.09999999999991</v>
      </c>
    </row>
    <row r="69" spans="11:12" x14ac:dyDescent="0.4">
      <c r="K69" s="36">
        <v>67</v>
      </c>
      <c r="L69" s="95">
        <v>315.7999999999999</v>
      </c>
    </row>
    <row r="70" spans="11:12" x14ac:dyDescent="0.4">
      <c r="K70" s="36">
        <v>68</v>
      </c>
      <c r="L70" s="95">
        <v>350.2999999999999</v>
      </c>
    </row>
    <row r="71" spans="11:12" x14ac:dyDescent="0.4">
      <c r="K71" s="36">
        <v>69</v>
      </c>
      <c r="L71" s="95">
        <v>384.09999999999991</v>
      </c>
    </row>
    <row r="72" spans="11:12" x14ac:dyDescent="0.4">
      <c r="K72" s="36">
        <v>70</v>
      </c>
      <c r="L72" s="95">
        <v>390.59999999999991</v>
      </c>
    </row>
    <row r="73" spans="11:12" x14ac:dyDescent="0.4">
      <c r="K73" s="36">
        <v>71</v>
      </c>
      <c r="L73" s="95">
        <v>387.49999999999989</v>
      </c>
    </row>
    <row r="74" spans="11:12" x14ac:dyDescent="0.4">
      <c r="K74" s="36">
        <v>72</v>
      </c>
      <c r="L74" s="95">
        <v>361.39999999999986</v>
      </c>
    </row>
    <row r="75" spans="11:12" x14ac:dyDescent="0.4">
      <c r="K75" s="36">
        <v>73</v>
      </c>
      <c r="L75" s="95">
        <v>380.79999999999984</v>
      </c>
    </row>
    <row r="76" spans="11:12" x14ac:dyDescent="0.4">
      <c r="K76" s="36">
        <v>74</v>
      </c>
      <c r="L76" s="95">
        <v>327.39999999999986</v>
      </c>
    </row>
    <row r="77" spans="11:12" x14ac:dyDescent="0.4">
      <c r="K77" s="36">
        <v>75</v>
      </c>
      <c r="L77" s="95">
        <v>336.79999999999984</v>
      </c>
    </row>
  </sheetData>
  <sortState xmlns:xlrd2="http://schemas.microsoft.com/office/spreadsheetml/2017/richdata2" ref="E2:I78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B8DE24-429C-4E87-9B00-317105A869DD}">
  <sheetPr codeName="Sheet15"/>
  <dimension ref="A1:Q52"/>
  <sheetViews>
    <sheetView showGridLines="0" topLeftCell="C1" zoomScaleNormal="100" workbookViewId="0">
      <selection activeCell="R26" sqref="R26"/>
    </sheetView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8" t="s">
        <v>177</v>
      </c>
      <c r="C1" s="149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50">
        <v>43</v>
      </c>
      <c r="C2" s="151"/>
      <c r="E2" s="58" t="s">
        <v>66</v>
      </c>
      <c r="F2" s="55" t="s">
        <v>22</v>
      </c>
      <c r="G2" s="43">
        <v>82</v>
      </c>
      <c r="H2" s="128">
        <f>IF(B$17=0,0,G2/B$17)</f>
        <v>0.85416666666666663</v>
      </c>
      <c r="I2" s="89">
        <v>3</v>
      </c>
      <c r="K2" s="34">
        <v>0</v>
      </c>
      <c r="L2" s="94">
        <v>0</v>
      </c>
      <c r="N2" s="110" t="s">
        <v>130</v>
      </c>
      <c r="O2" s="117">
        <f t="shared" ref="O2:O7" si="0">IF(P2=0,0,Q2/P2)</f>
        <v>2344.1860465116279</v>
      </c>
      <c r="P2" s="114">
        <v>43</v>
      </c>
      <c r="Q2" s="98">
        <v>100800</v>
      </c>
    </row>
    <row r="3" spans="1:17" x14ac:dyDescent="0.4">
      <c r="A3" s="51" t="s">
        <v>8</v>
      </c>
      <c r="B3" s="152">
        <v>345</v>
      </c>
      <c r="C3" s="153"/>
      <c r="E3" s="59" t="s">
        <v>72</v>
      </c>
      <c r="F3" s="56" t="s">
        <v>27</v>
      </c>
      <c r="G3" s="44">
        <v>58</v>
      </c>
      <c r="H3" s="129">
        <f>IF(B$17=0,0,G3/B$17)</f>
        <v>0.60416666666666663</v>
      </c>
      <c r="I3" s="90">
        <v>3</v>
      </c>
      <c r="K3" s="36">
        <v>1</v>
      </c>
      <c r="L3" s="95">
        <v>-9.1</v>
      </c>
      <c r="N3" s="111" t="s">
        <v>131</v>
      </c>
      <c r="O3" s="118">
        <f t="shared" si="0"/>
        <v>-2836.5853658536585</v>
      </c>
      <c r="P3" s="115">
        <v>41</v>
      </c>
      <c r="Q3" s="99">
        <v>-116300</v>
      </c>
    </row>
    <row r="4" spans="1:17" x14ac:dyDescent="0.4">
      <c r="A4" s="51" t="s">
        <v>6</v>
      </c>
      <c r="B4" s="154">
        <v>78.300000000000068</v>
      </c>
      <c r="C4" s="155"/>
      <c r="E4" s="59" t="s">
        <v>64</v>
      </c>
      <c r="F4" s="56" t="s">
        <v>20</v>
      </c>
      <c r="G4" s="44">
        <v>47</v>
      </c>
      <c r="H4" s="129">
        <f>IF(B$17=0,0,G4/B$17)</f>
        <v>0.48958333333333331</v>
      </c>
      <c r="I4" s="90">
        <v>5</v>
      </c>
      <c r="K4" s="36">
        <v>2</v>
      </c>
      <c r="L4" s="95">
        <v>-67.3</v>
      </c>
      <c r="N4" s="111" t="s">
        <v>132</v>
      </c>
      <c r="O4" s="118">
        <f t="shared" si="0"/>
        <v>1218.421052631579</v>
      </c>
      <c r="P4" s="115">
        <v>38</v>
      </c>
      <c r="Q4" s="99">
        <v>46300</v>
      </c>
    </row>
    <row r="5" spans="1:17" x14ac:dyDescent="0.4">
      <c r="A5" s="51" t="s">
        <v>7</v>
      </c>
      <c r="B5" s="156">
        <f>IF(B$2=0,0,B$4/B$2)</f>
        <v>1.8209302325581411</v>
      </c>
      <c r="C5" s="157"/>
      <c r="E5" s="59" t="s">
        <v>67</v>
      </c>
      <c r="F5" s="56" t="s">
        <v>23</v>
      </c>
      <c r="G5" s="44">
        <v>42</v>
      </c>
      <c r="H5" s="129">
        <f>IF(B$17=0,0,G5/B$17)</f>
        <v>0.4375</v>
      </c>
      <c r="I5" s="90">
        <v>2</v>
      </c>
      <c r="K5" s="36">
        <v>3</v>
      </c>
      <c r="L5" s="95">
        <v>-113.8</v>
      </c>
      <c r="N5" s="111" t="s">
        <v>133</v>
      </c>
      <c r="O5" s="118">
        <f t="shared" si="0"/>
        <v>3800</v>
      </c>
      <c r="P5" s="115">
        <v>36</v>
      </c>
      <c r="Q5" s="99">
        <v>136800</v>
      </c>
    </row>
    <row r="6" spans="1:17" x14ac:dyDescent="0.4">
      <c r="A6" s="51" t="s">
        <v>1</v>
      </c>
      <c r="B6" s="146">
        <f>IF(B$2=0,0,(B$7*1+B$8*2+B$9*3)/B$2)</f>
        <v>1.930232558139535</v>
      </c>
      <c r="C6" s="147"/>
      <c r="E6" s="59" t="s">
        <v>171</v>
      </c>
      <c r="F6" s="56" t="s">
        <v>172</v>
      </c>
      <c r="G6" s="44">
        <v>36</v>
      </c>
      <c r="H6" s="129">
        <f>IF(B$17=0,0,G6/B$17)</f>
        <v>0.375</v>
      </c>
      <c r="I6" s="90">
        <v>6</v>
      </c>
      <c r="K6" s="36">
        <v>4</v>
      </c>
      <c r="L6" s="95">
        <v>-74.599999999999994</v>
      </c>
      <c r="N6" s="111" t="s">
        <v>134</v>
      </c>
      <c r="O6" s="118">
        <f t="shared" si="0"/>
        <v>-3060.6060606060605</v>
      </c>
      <c r="P6" s="115">
        <v>33</v>
      </c>
      <c r="Q6" s="99">
        <v>-101000</v>
      </c>
    </row>
    <row r="7" spans="1:17" x14ac:dyDescent="0.4">
      <c r="A7" s="51" t="s">
        <v>2</v>
      </c>
      <c r="B7" s="44">
        <v>17</v>
      </c>
      <c r="C7" s="37">
        <f t="shared" ref="C7:C12" si="1">IF(B$2=0,0,B7/B$2)</f>
        <v>0.39534883720930231</v>
      </c>
      <c r="E7" s="59" t="s">
        <v>68</v>
      </c>
      <c r="F7" s="56" t="s">
        <v>12</v>
      </c>
      <c r="G7" s="44">
        <v>35</v>
      </c>
      <c r="H7" s="129">
        <f>IF(B$17=0,0,G7/B$17)</f>
        <v>0.36458333333333331</v>
      </c>
      <c r="I7" s="90">
        <v>2</v>
      </c>
      <c r="K7" s="36">
        <v>5</v>
      </c>
      <c r="L7" s="95">
        <v>-118.3</v>
      </c>
      <c r="N7" s="112" t="s">
        <v>135</v>
      </c>
      <c r="O7" s="119">
        <f t="shared" si="0"/>
        <v>-444</v>
      </c>
      <c r="P7" s="116">
        <v>25</v>
      </c>
      <c r="Q7" s="100">
        <v>-11100</v>
      </c>
    </row>
    <row r="8" spans="1:17" x14ac:dyDescent="0.4">
      <c r="A8" s="51" t="s">
        <v>3</v>
      </c>
      <c r="B8" s="44">
        <v>12</v>
      </c>
      <c r="C8" s="37">
        <f t="shared" si="1"/>
        <v>0.27906976744186046</v>
      </c>
      <c r="E8" s="59" t="s">
        <v>89</v>
      </c>
      <c r="F8" s="56" t="s">
        <v>44</v>
      </c>
      <c r="G8" s="44">
        <v>23</v>
      </c>
      <c r="H8" s="129">
        <f>IF(B$17=0,0,G8/B$17)</f>
        <v>0.23958333333333334</v>
      </c>
      <c r="I8" s="90">
        <v>2</v>
      </c>
      <c r="K8" s="36">
        <v>6</v>
      </c>
      <c r="L8" s="95">
        <v>-60.3</v>
      </c>
      <c r="N8" s="41"/>
      <c r="O8" s="123"/>
      <c r="P8" s="107"/>
      <c r="Q8" s="105"/>
    </row>
    <row r="9" spans="1:17" x14ac:dyDescent="0.4">
      <c r="A9" s="52" t="s">
        <v>4</v>
      </c>
      <c r="B9" s="45">
        <v>14</v>
      </c>
      <c r="C9" s="38">
        <f t="shared" si="1"/>
        <v>0.32558139534883723</v>
      </c>
      <c r="E9" s="59" t="s">
        <v>69</v>
      </c>
      <c r="F9" s="56" t="s">
        <v>24</v>
      </c>
      <c r="G9" s="44">
        <v>19</v>
      </c>
      <c r="H9" s="129">
        <f>IF(B$17=0,0,G9/B$17)</f>
        <v>0.19791666666666666</v>
      </c>
      <c r="I9" s="90">
        <v>2</v>
      </c>
      <c r="K9" s="36">
        <v>7</v>
      </c>
      <c r="L9" s="95">
        <v>-60.8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5</v>
      </c>
      <c r="C10" s="38">
        <f t="shared" si="1"/>
        <v>0.11627906976744186</v>
      </c>
      <c r="E10" s="59" t="s">
        <v>65</v>
      </c>
      <c r="F10" s="56" t="s">
        <v>21</v>
      </c>
      <c r="G10" s="44">
        <v>8</v>
      </c>
      <c r="H10" s="129">
        <f>IF(B$17=0,0,G10/B$17)</f>
        <v>8.3333333333333329E-2</v>
      </c>
      <c r="I10" s="90">
        <v>8</v>
      </c>
      <c r="K10" s="36">
        <v>8</v>
      </c>
      <c r="L10" s="95">
        <v>-110.19999999999999</v>
      </c>
      <c r="N10" s="110" t="s">
        <v>162</v>
      </c>
      <c r="O10" s="120">
        <f>IF(P10=0,0,Q10/P10)</f>
        <v>7.8333333333333348</v>
      </c>
      <c r="P10" s="114">
        <v>15</v>
      </c>
      <c r="Q10" s="102">
        <v>117.50000000000003</v>
      </c>
    </row>
    <row r="11" spans="1:17" x14ac:dyDescent="0.4">
      <c r="A11" s="52" t="s">
        <v>138</v>
      </c>
      <c r="B11" s="45">
        <v>8</v>
      </c>
      <c r="C11" s="38">
        <f t="shared" si="1"/>
        <v>0.18604651162790697</v>
      </c>
      <c r="E11" s="59" t="s">
        <v>70</v>
      </c>
      <c r="F11" s="56" t="s">
        <v>25</v>
      </c>
      <c r="G11" s="44">
        <v>7</v>
      </c>
      <c r="H11" s="129">
        <f>IF(B$17=0,0,G11/B$17)</f>
        <v>7.2916666666666671E-2</v>
      </c>
      <c r="I11" s="90">
        <v>8</v>
      </c>
      <c r="K11" s="36">
        <v>9</v>
      </c>
      <c r="L11" s="95">
        <v>-120.99999999999999</v>
      </c>
      <c r="N11" s="111" t="s">
        <v>163</v>
      </c>
      <c r="O11" s="121">
        <f>IF(P11=0,0,Q11/P11)</f>
        <v>2.8777777777777778</v>
      </c>
      <c r="P11" s="115">
        <v>18</v>
      </c>
      <c r="Q11" s="103">
        <v>51.8</v>
      </c>
    </row>
    <row r="12" spans="1:17" x14ac:dyDescent="0.4">
      <c r="A12" s="53" t="s">
        <v>158</v>
      </c>
      <c r="B12" s="46">
        <v>3</v>
      </c>
      <c r="C12" s="40">
        <f t="shared" si="1"/>
        <v>6.9767441860465115E-2</v>
      </c>
      <c r="E12" s="59" t="s">
        <v>71</v>
      </c>
      <c r="F12" s="56" t="s">
        <v>26</v>
      </c>
      <c r="G12" s="44">
        <v>6</v>
      </c>
      <c r="H12" s="129">
        <f>IF(B$17=0,0,G12/B$17)</f>
        <v>6.25E-2</v>
      </c>
      <c r="I12" s="90">
        <v>10</v>
      </c>
      <c r="K12" s="36">
        <v>10</v>
      </c>
      <c r="L12" s="95">
        <v>-113.29999999999998</v>
      </c>
      <c r="N12" s="112" t="s">
        <v>164</v>
      </c>
      <c r="O12" s="122">
        <f>IF(P12=0,0,Q12/P12)</f>
        <v>-9.1</v>
      </c>
      <c r="P12" s="116">
        <v>10</v>
      </c>
      <c r="Q12" s="104">
        <v>-91</v>
      </c>
    </row>
    <row r="13" spans="1:17" x14ac:dyDescent="0.4">
      <c r="A13" s="54" t="s">
        <v>121</v>
      </c>
      <c r="B13" s="47">
        <v>104</v>
      </c>
      <c r="C13" s="42">
        <f>IF(B$3=0,0,B13/B$3)</f>
        <v>0.30144927536231886</v>
      </c>
      <c r="E13" s="59" t="s">
        <v>83</v>
      </c>
      <c r="F13" s="56" t="s">
        <v>38</v>
      </c>
      <c r="G13" s="44">
        <v>6</v>
      </c>
      <c r="H13" s="129">
        <f>IF(B$17=0,0,G13/B$17)</f>
        <v>6.25E-2</v>
      </c>
      <c r="I13" s="90">
        <v>6</v>
      </c>
      <c r="K13" s="36">
        <v>11</v>
      </c>
      <c r="L13" s="95">
        <v>-163.69999999999999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69</v>
      </c>
      <c r="C14" s="37">
        <f>IF(B$3=0,0,B14/B$3)</f>
        <v>0.2</v>
      </c>
      <c r="E14" s="59" t="s">
        <v>86</v>
      </c>
      <c r="F14" s="56" t="s">
        <v>41</v>
      </c>
      <c r="G14" s="44">
        <v>3</v>
      </c>
      <c r="H14" s="129">
        <f>IF(B$17=0,0,G14/B$17)</f>
        <v>3.125E-2</v>
      </c>
      <c r="I14" s="90">
        <v>8</v>
      </c>
      <c r="K14" s="36">
        <v>12</v>
      </c>
      <c r="L14" s="95">
        <v>-110.49999999999999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50</v>
      </c>
      <c r="C15" s="35">
        <f>IF(B$13=0,0,B15/B$13)</f>
        <v>0.48076923076923078</v>
      </c>
      <c r="E15" s="59" t="s">
        <v>92</v>
      </c>
      <c r="F15" s="56" t="s">
        <v>47</v>
      </c>
      <c r="G15" s="44">
        <v>3</v>
      </c>
      <c r="H15" s="129">
        <f>IF(B$17=0,0,G15/B$17)</f>
        <v>3.125E-2</v>
      </c>
      <c r="I15" s="90">
        <v>1</v>
      </c>
      <c r="K15" s="36">
        <v>13</v>
      </c>
      <c r="L15" s="95">
        <v>-132.39999999999998</v>
      </c>
      <c r="N15" s="110" t="s">
        <v>195</v>
      </c>
      <c r="O15" s="120">
        <f t="shared" ref="O15:O22" si="2">IF(P15=0,0,Q15/P15)</f>
        <v>60.650000000000006</v>
      </c>
      <c r="P15" s="114">
        <v>2</v>
      </c>
      <c r="Q15" s="102">
        <v>121.30000000000001</v>
      </c>
    </row>
    <row r="16" spans="1:17" x14ac:dyDescent="0.4">
      <c r="A16" s="50" t="s">
        <v>124</v>
      </c>
      <c r="B16" s="43">
        <v>32</v>
      </c>
      <c r="C16" s="35">
        <f>IF(B$14=0,0,B16/B$14)</f>
        <v>0.46376811594202899</v>
      </c>
      <c r="E16" s="59" t="s">
        <v>167</v>
      </c>
      <c r="F16" s="56" t="s">
        <v>168</v>
      </c>
      <c r="G16" s="44">
        <v>3</v>
      </c>
      <c r="H16" s="129">
        <f>IF(B$17=0,0,G16/B$17)</f>
        <v>3.125E-2</v>
      </c>
      <c r="I16" s="90">
        <v>3</v>
      </c>
      <c r="K16" s="36">
        <v>14</v>
      </c>
      <c r="L16" s="95">
        <v>-86.499999999999972</v>
      </c>
      <c r="N16" s="111" t="s">
        <v>166</v>
      </c>
      <c r="O16" s="121">
        <f t="shared" si="2"/>
        <v>20.725000000000005</v>
      </c>
      <c r="P16" s="115">
        <v>4</v>
      </c>
      <c r="Q16" s="103">
        <v>82.90000000000002</v>
      </c>
    </row>
    <row r="17" spans="1:17" x14ac:dyDescent="0.4">
      <c r="A17" s="50" t="s">
        <v>10</v>
      </c>
      <c r="B17" s="43">
        <f>B19+B18</f>
        <v>96</v>
      </c>
      <c r="C17" s="35">
        <f>IF(B$3=0,0,B17/B$3)</f>
        <v>0.27826086956521739</v>
      </c>
      <c r="E17" s="59" t="s">
        <v>81</v>
      </c>
      <c r="F17" s="56" t="s">
        <v>36</v>
      </c>
      <c r="G17" s="44">
        <v>2</v>
      </c>
      <c r="H17" s="129">
        <f>IF(B$17=0,0,G17/B$17)</f>
        <v>2.0833333333333332E-2</v>
      </c>
      <c r="I17" s="90">
        <v>4</v>
      </c>
      <c r="K17" s="36">
        <v>15</v>
      </c>
      <c r="L17" s="95">
        <v>-101.79999999999997</v>
      </c>
      <c r="N17" s="111" t="s">
        <v>182</v>
      </c>
      <c r="O17" s="121">
        <f t="shared" si="2"/>
        <v>20.7</v>
      </c>
      <c r="P17" s="115">
        <v>12</v>
      </c>
      <c r="Q17" s="103">
        <v>248.4</v>
      </c>
    </row>
    <row r="18" spans="1:17" x14ac:dyDescent="0.4">
      <c r="A18" s="51" t="s">
        <v>12</v>
      </c>
      <c r="B18" s="44">
        <v>45</v>
      </c>
      <c r="C18" s="37">
        <f>IF(B$17=0,0,B18/B$17)</f>
        <v>0.46875</v>
      </c>
      <c r="E18" s="59" t="s">
        <v>91</v>
      </c>
      <c r="F18" s="56" t="s">
        <v>46</v>
      </c>
      <c r="G18" s="44">
        <v>2</v>
      </c>
      <c r="H18" s="129">
        <f>IF(B$17=0,0,G18/B$17)</f>
        <v>2.0833333333333332E-2</v>
      </c>
      <c r="I18" s="90">
        <v>3</v>
      </c>
      <c r="K18" s="36">
        <v>16</v>
      </c>
      <c r="L18" s="95">
        <v>-63.099999999999966</v>
      </c>
      <c r="N18" s="111" t="s">
        <v>178</v>
      </c>
      <c r="O18" s="121">
        <f t="shared" si="2"/>
        <v>14.204761904761906</v>
      </c>
      <c r="P18" s="115">
        <v>21</v>
      </c>
      <c r="Q18" s="103">
        <v>298.3</v>
      </c>
    </row>
    <row r="19" spans="1:17" x14ac:dyDescent="0.4">
      <c r="A19" s="51" t="s">
        <v>11</v>
      </c>
      <c r="B19" s="44">
        <v>51</v>
      </c>
      <c r="C19" s="37">
        <f>IF(B$17=0,0,B19/B$17)</f>
        <v>0.53125</v>
      </c>
      <c r="E19" s="59" t="s">
        <v>75</v>
      </c>
      <c r="F19" s="56" t="s">
        <v>30</v>
      </c>
      <c r="G19" s="44">
        <v>1</v>
      </c>
      <c r="H19" s="129">
        <f>IF(B$17=0,0,G19/B$17)</f>
        <v>1.0416666666666666E-2</v>
      </c>
      <c r="I19" s="90">
        <v>4</v>
      </c>
      <c r="K19" s="36">
        <v>17</v>
      </c>
      <c r="L19" s="95">
        <v>-55.799999999999969</v>
      </c>
      <c r="N19" s="111" t="s">
        <v>126</v>
      </c>
      <c r="O19" s="121">
        <f t="shared" si="2"/>
        <v>1.3562499999999984</v>
      </c>
      <c r="P19" s="115">
        <v>16</v>
      </c>
      <c r="Q19" s="103">
        <v>21.699999999999974</v>
      </c>
    </row>
    <row r="20" spans="1:17" x14ac:dyDescent="0.4">
      <c r="A20" s="51" t="s">
        <v>13</v>
      </c>
      <c r="B20" s="44">
        <v>58</v>
      </c>
      <c r="C20" s="37">
        <f>IF(B$3=0,0,B20/B$3)</f>
        <v>0.1681159420289855</v>
      </c>
      <c r="E20" s="59" t="s">
        <v>78</v>
      </c>
      <c r="F20" s="56" t="s">
        <v>33</v>
      </c>
      <c r="G20" s="44">
        <v>1</v>
      </c>
      <c r="H20" s="129">
        <f>IF(B$17=0,0,G20/B$17)</f>
        <v>1.0416666666666666E-2</v>
      </c>
      <c r="I20" s="90">
        <v>8</v>
      </c>
      <c r="K20" s="36">
        <v>18</v>
      </c>
      <c r="L20" s="95">
        <v>-24.999999999999968</v>
      </c>
      <c r="N20" s="111" t="s">
        <v>179</v>
      </c>
      <c r="O20" s="121">
        <f t="shared" si="2"/>
        <v>-1</v>
      </c>
      <c r="P20" s="115">
        <v>6</v>
      </c>
      <c r="Q20" s="103">
        <v>-6</v>
      </c>
    </row>
    <row r="21" spans="1:17" x14ac:dyDescent="0.4">
      <c r="A21" s="51" t="s">
        <v>169</v>
      </c>
      <c r="B21" s="44">
        <v>3</v>
      </c>
      <c r="C21" s="131">
        <v>0</v>
      </c>
      <c r="E21" s="59" t="s">
        <v>85</v>
      </c>
      <c r="F21" s="56" t="s">
        <v>40</v>
      </c>
      <c r="G21" s="44">
        <v>1</v>
      </c>
      <c r="H21" s="129">
        <f>IF(B$17=0,0,G21/B$17)</f>
        <v>1.0416666666666666E-2</v>
      </c>
      <c r="I21" s="90">
        <v>2</v>
      </c>
      <c r="K21" s="36">
        <v>19</v>
      </c>
      <c r="L21" s="95">
        <v>-27.799999999999969</v>
      </c>
      <c r="N21" s="111" t="s">
        <v>127</v>
      </c>
      <c r="O21" s="121">
        <f t="shared" si="2"/>
        <v>-13.713636363636368</v>
      </c>
      <c r="P21" s="115">
        <v>22</v>
      </c>
      <c r="Q21" s="103">
        <v>-301.7000000000001</v>
      </c>
    </row>
    <row r="22" spans="1:17" x14ac:dyDescent="0.4">
      <c r="A22" s="51" t="s">
        <v>170</v>
      </c>
      <c r="B22" s="44">
        <v>25</v>
      </c>
      <c r="C22" s="131">
        <v>3</v>
      </c>
      <c r="E22" s="59" t="s">
        <v>90</v>
      </c>
      <c r="F22" s="56" t="s">
        <v>45</v>
      </c>
      <c r="G22" s="44">
        <v>1</v>
      </c>
      <c r="H22" s="129">
        <f>IF(B$17=0,0,G22/B$17)</f>
        <v>1.0416666666666666E-2</v>
      </c>
      <c r="I22" s="90">
        <v>1</v>
      </c>
      <c r="K22" s="36">
        <v>20</v>
      </c>
      <c r="L22" s="95">
        <v>-50.39999999999997</v>
      </c>
      <c r="N22" s="111" t="s">
        <v>181</v>
      </c>
      <c r="O22" s="121">
        <f t="shared" si="2"/>
        <v>-76.666666666666671</v>
      </c>
      <c r="P22" s="115">
        <v>3</v>
      </c>
      <c r="Q22" s="103">
        <v>-230</v>
      </c>
    </row>
    <row r="23" spans="1:17" x14ac:dyDescent="0.4">
      <c r="A23" s="51" t="s">
        <v>5</v>
      </c>
      <c r="B23" s="48">
        <f>IF(B$17=0,0,C23/B$17)</f>
        <v>10142.708333333334</v>
      </c>
      <c r="C23" s="39">
        <v>973700</v>
      </c>
      <c r="E23" s="59" t="s">
        <v>73</v>
      </c>
      <c r="F23" s="56" t="s">
        <v>28</v>
      </c>
      <c r="G23" s="44">
        <v>0</v>
      </c>
      <c r="H23" s="129">
        <f>IF(B$17=0,0,G23/B$17)</f>
        <v>0</v>
      </c>
      <c r="I23" s="90">
        <v>3</v>
      </c>
      <c r="K23" s="36">
        <v>21</v>
      </c>
      <c r="L23" s="95">
        <v>-59.89999999999997</v>
      </c>
    </row>
    <row r="24" spans="1:17" x14ac:dyDescent="0.4">
      <c r="A24" s="52" t="s">
        <v>216</v>
      </c>
      <c r="B24" s="136">
        <f>IF($B$17-B$16=0,0,C24/($B$17-B$16))</f>
        <v>11437.5</v>
      </c>
      <c r="C24" s="137">
        <v>732000</v>
      </c>
      <c r="E24" s="59" t="s">
        <v>74</v>
      </c>
      <c r="F24" s="56" t="s">
        <v>29</v>
      </c>
      <c r="G24" s="44">
        <v>0</v>
      </c>
      <c r="H24" s="129">
        <f>IF(B$17=0,0,G24/B$17)</f>
        <v>0</v>
      </c>
      <c r="I24" s="90">
        <v>6</v>
      </c>
      <c r="K24" s="36">
        <v>22</v>
      </c>
      <c r="L24" s="95">
        <v>-21.799999999999969</v>
      </c>
    </row>
    <row r="25" spans="1:17" x14ac:dyDescent="0.4">
      <c r="A25" s="52" t="s">
        <v>217</v>
      </c>
      <c r="B25" s="136">
        <f>IF(B$16=0,0,C25/B$16)</f>
        <v>7553.125</v>
      </c>
      <c r="C25" s="137">
        <v>241700</v>
      </c>
      <c r="E25" s="59" t="s">
        <v>76</v>
      </c>
      <c r="F25" s="56" t="s">
        <v>31</v>
      </c>
      <c r="G25" s="44">
        <v>0</v>
      </c>
      <c r="H25" s="129">
        <f>IF(B$17=0,0,G25/B$17)</f>
        <v>0</v>
      </c>
      <c r="I25" s="90">
        <v>1</v>
      </c>
      <c r="K25" s="36">
        <v>23</v>
      </c>
      <c r="L25" s="95">
        <v>-10.299999999999969</v>
      </c>
    </row>
    <row r="26" spans="1:17" x14ac:dyDescent="0.4">
      <c r="A26" s="52" t="s">
        <v>215</v>
      </c>
      <c r="B26" s="136">
        <f>IF(B$20=0,0,C26/B$20)</f>
        <v>-8518.9655172413786</v>
      </c>
      <c r="C26" s="137">
        <v>-494100</v>
      </c>
      <c r="E26" s="59" t="s">
        <v>77</v>
      </c>
      <c r="F26" s="56" t="s">
        <v>32</v>
      </c>
      <c r="G26" s="44">
        <v>0</v>
      </c>
      <c r="H26" s="129">
        <f>IF(B$17=0,0,G26/B$17)</f>
        <v>0</v>
      </c>
      <c r="I26" s="90">
        <v>4</v>
      </c>
      <c r="K26" s="36">
        <v>24</v>
      </c>
      <c r="L26" s="95">
        <v>-51.39999999999997</v>
      </c>
    </row>
    <row r="27" spans="1:17" x14ac:dyDescent="0.4">
      <c r="A27" s="86" t="s">
        <v>140</v>
      </c>
      <c r="B27" s="144">
        <v>8</v>
      </c>
      <c r="C27" s="145"/>
      <c r="E27" s="59" t="s">
        <v>79</v>
      </c>
      <c r="F27" s="56" t="s">
        <v>34</v>
      </c>
      <c r="G27" s="44">
        <v>0</v>
      </c>
      <c r="H27" s="129">
        <f>IF(B$17=0,0,G27/B$17)</f>
        <v>0</v>
      </c>
      <c r="I27" s="90">
        <v>7</v>
      </c>
      <c r="K27" s="36">
        <v>25</v>
      </c>
      <c r="L27" s="95">
        <v>-37.699999999999974</v>
      </c>
    </row>
    <row r="28" spans="1:17" x14ac:dyDescent="0.4">
      <c r="A28" s="54" t="s">
        <v>150</v>
      </c>
      <c r="B28" s="142">
        <v>83000</v>
      </c>
      <c r="C28" s="143"/>
      <c r="E28" s="59" t="s">
        <v>80</v>
      </c>
      <c r="F28" s="56" t="s">
        <v>35</v>
      </c>
      <c r="G28" s="44">
        <v>0</v>
      </c>
      <c r="H28" s="129">
        <f>IF(B$17=0,0,G28/B$17)</f>
        <v>0</v>
      </c>
      <c r="I28" s="90">
        <v>1</v>
      </c>
      <c r="K28" s="36">
        <v>26</v>
      </c>
      <c r="L28" s="95">
        <v>-84.999999999999972</v>
      </c>
    </row>
    <row r="29" spans="1:17" x14ac:dyDescent="0.4">
      <c r="A29" s="53" t="s">
        <v>141</v>
      </c>
      <c r="B29" s="61">
        <v>0</v>
      </c>
      <c r="C29" s="40">
        <f>IF(B$3=0,0,B29/B$3)</f>
        <v>0</v>
      </c>
      <c r="E29" s="59" t="s">
        <v>82</v>
      </c>
      <c r="F29" s="56" t="s">
        <v>37</v>
      </c>
      <c r="G29" s="44">
        <v>0</v>
      </c>
      <c r="H29" s="129">
        <f>IF(B$17=0,0,G29/B$17)</f>
        <v>0</v>
      </c>
      <c r="I29" s="90">
        <v>1</v>
      </c>
      <c r="K29" s="36">
        <v>27</v>
      </c>
      <c r="L29" s="95">
        <v>-31.499999999999972</v>
      </c>
    </row>
    <row r="30" spans="1:17" x14ac:dyDescent="0.4">
      <c r="E30" s="59" t="s">
        <v>84</v>
      </c>
      <c r="F30" s="56" t="s">
        <v>39</v>
      </c>
      <c r="G30" s="44">
        <v>0</v>
      </c>
      <c r="H30" s="129">
        <f>IF(B$17=0,0,G30/B$17)</f>
        <v>0</v>
      </c>
      <c r="I30" s="90">
        <v>4</v>
      </c>
      <c r="K30" s="36">
        <v>28</v>
      </c>
      <c r="L30" s="95">
        <v>-10.999999999999972</v>
      </c>
    </row>
    <row r="31" spans="1:17" x14ac:dyDescent="0.4">
      <c r="E31" s="59" t="s">
        <v>87</v>
      </c>
      <c r="F31" s="56" t="s">
        <v>42</v>
      </c>
      <c r="G31" s="44">
        <v>0</v>
      </c>
      <c r="H31" s="129">
        <f>IF(B$17=0,0,G31/B$17)</f>
        <v>0</v>
      </c>
      <c r="I31" s="90">
        <v>3</v>
      </c>
      <c r="K31" s="36">
        <v>29</v>
      </c>
      <c r="L31" s="95">
        <v>-16.499999999999972</v>
      </c>
    </row>
    <row r="32" spans="1:17" x14ac:dyDescent="0.4">
      <c r="E32" s="59" t="s">
        <v>88</v>
      </c>
      <c r="F32" s="56" t="s">
        <v>43</v>
      </c>
      <c r="G32" s="44">
        <v>0</v>
      </c>
      <c r="H32" s="129">
        <f>IF(B$17=0,0,G32/B$17)</f>
        <v>0</v>
      </c>
      <c r="I32" s="90">
        <v>4</v>
      </c>
      <c r="K32" s="36">
        <v>30</v>
      </c>
      <c r="L32" s="95">
        <v>30.900000000000027</v>
      </c>
    </row>
    <row r="33" spans="5:12" x14ac:dyDescent="0.4"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3</v>
      </c>
      <c r="K33" s="36">
        <v>31</v>
      </c>
      <c r="L33" s="95">
        <v>73.900000000000034</v>
      </c>
    </row>
    <row r="34" spans="5:12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  <c r="K34" s="36">
        <v>32</v>
      </c>
      <c r="L34" s="95">
        <v>96.100000000000037</v>
      </c>
    </row>
    <row r="35" spans="5:12" x14ac:dyDescent="0.4">
      <c r="E35" s="59" t="s">
        <v>95</v>
      </c>
      <c r="F35" s="56" t="s">
        <v>50</v>
      </c>
      <c r="G35" s="44">
        <v>0</v>
      </c>
      <c r="H35" s="129">
        <f>IF(B$17=0,0,G35/B$17)</f>
        <v>0</v>
      </c>
      <c r="I35" s="90">
        <v>5</v>
      </c>
      <c r="K35" s="36">
        <v>33</v>
      </c>
      <c r="L35" s="95">
        <v>112.00000000000004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110.00000000000004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140.50000000000006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105.40000000000006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146.30000000000007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129.30000000000007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101.20000000000007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71.200000000000074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67.900000000000077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109.90000000000008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78.300000000000068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3B3EA-4ECE-4268-AE67-E9D72DB6C43B}">
  <sheetPr codeName="Sheet17"/>
  <dimension ref="A1:Q54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8" t="s">
        <v>178</v>
      </c>
      <c r="C1" s="149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50">
        <v>52</v>
      </c>
      <c r="C2" s="151"/>
      <c r="E2" s="58" t="s">
        <v>66</v>
      </c>
      <c r="F2" s="55" t="s">
        <v>22</v>
      </c>
      <c r="G2" s="43">
        <v>94</v>
      </c>
      <c r="H2" s="128">
        <f>IF(B$17=0,0,G2/B$17)</f>
        <v>0.78991596638655459</v>
      </c>
      <c r="I2" s="89">
        <v>4</v>
      </c>
      <c r="K2" s="34">
        <v>0</v>
      </c>
      <c r="L2" s="94">
        <v>0</v>
      </c>
      <c r="N2" s="110" t="s">
        <v>130</v>
      </c>
      <c r="O2" s="117">
        <f t="shared" ref="O2:O7" si="0">IF(P2=0,0,Q2/P2)</f>
        <v>817.30769230769226</v>
      </c>
      <c r="P2" s="114">
        <v>52</v>
      </c>
      <c r="Q2" s="98">
        <v>42500</v>
      </c>
    </row>
    <row r="3" spans="1:17" x14ac:dyDescent="0.4">
      <c r="A3" s="51" t="s">
        <v>8</v>
      </c>
      <c r="B3" s="152">
        <v>425</v>
      </c>
      <c r="C3" s="153"/>
      <c r="E3" s="59" t="s">
        <v>72</v>
      </c>
      <c r="F3" s="56" t="s">
        <v>27</v>
      </c>
      <c r="G3" s="44">
        <v>78</v>
      </c>
      <c r="H3" s="129">
        <f>IF(B$17=0,0,G3/B$17)</f>
        <v>0.65546218487394958</v>
      </c>
      <c r="I3" s="90">
        <v>2</v>
      </c>
      <c r="K3" s="36">
        <v>1</v>
      </c>
      <c r="L3" s="95">
        <v>46.9</v>
      </c>
      <c r="N3" s="111" t="s">
        <v>131</v>
      </c>
      <c r="O3" s="118">
        <f t="shared" si="0"/>
        <v>1593.8775510204082</v>
      </c>
      <c r="P3" s="115">
        <v>49</v>
      </c>
      <c r="Q3" s="99">
        <v>78100</v>
      </c>
    </row>
    <row r="4" spans="1:17" x14ac:dyDescent="0.4">
      <c r="A4" s="51" t="s">
        <v>6</v>
      </c>
      <c r="B4" s="154">
        <v>8.800000000000022</v>
      </c>
      <c r="C4" s="155"/>
      <c r="E4" s="59" t="s">
        <v>64</v>
      </c>
      <c r="F4" s="56" t="s">
        <v>20</v>
      </c>
      <c r="G4" s="44">
        <v>60</v>
      </c>
      <c r="H4" s="129">
        <f>IF(B$17=0,0,G4/B$17)</f>
        <v>0.50420168067226889</v>
      </c>
      <c r="I4" s="90">
        <v>4</v>
      </c>
      <c r="K4" s="36">
        <v>2</v>
      </c>
      <c r="L4" s="95">
        <v>8.1000000000000014</v>
      </c>
      <c r="N4" s="111" t="s">
        <v>132</v>
      </c>
      <c r="O4" s="118">
        <f t="shared" si="0"/>
        <v>-1939.1304347826087</v>
      </c>
      <c r="P4" s="115">
        <v>46</v>
      </c>
      <c r="Q4" s="99">
        <v>-89200</v>
      </c>
    </row>
    <row r="5" spans="1:17" x14ac:dyDescent="0.4">
      <c r="A5" s="51" t="s">
        <v>7</v>
      </c>
      <c r="B5" s="156">
        <f>IF(B$2=0,0,B$4/B$2)</f>
        <v>0.16923076923076966</v>
      </c>
      <c r="C5" s="157"/>
      <c r="E5" s="59" t="s">
        <v>171</v>
      </c>
      <c r="F5" s="56" t="s">
        <v>172</v>
      </c>
      <c r="G5" s="44">
        <v>51</v>
      </c>
      <c r="H5" s="129">
        <f>IF(B$17=0,0,G5/B$17)</f>
        <v>0.42857142857142855</v>
      </c>
      <c r="I5" s="90">
        <v>2</v>
      </c>
      <c r="K5" s="36">
        <v>3</v>
      </c>
      <c r="L5" s="95">
        <v>25.8</v>
      </c>
      <c r="N5" s="111" t="s">
        <v>133</v>
      </c>
      <c r="O5" s="118">
        <f t="shared" si="0"/>
        <v>495.23809523809524</v>
      </c>
      <c r="P5" s="115">
        <v>42</v>
      </c>
      <c r="Q5" s="99">
        <v>20800</v>
      </c>
    </row>
    <row r="6" spans="1:17" x14ac:dyDescent="0.4">
      <c r="A6" s="51" t="s">
        <v>1</v>
      </c>
      <c r="B6" s="146">
        <f>IF(B$2=0,0,(B$7*1+B$8*2+B$9*3)/B$2)</f>
        <v>2.0769230769230771</v>
      </c>
      <c r="C6" s="147"/>
      <c r="E6" s="59" t="s">
        <v>67</v>
      </c>
      <c r="F6" s="56" t="s">
        <v>23</v>
      </c>
      <c r="G6" s="44">
        <v>50</v>
      </c>
      <c r="H6" s="129">
        <f>IF(B$17=0,0,G6/B$17)</f>
        <v>0.42016806722689076</v>
      </c>
      <c r="I6" s="90">
        <v>4</v>
      </c>
      <c r="K6" s="36">
        <v>4</v>
      </c>
      <c r="L6" s="95">
        <v>-19.3</v>
      </c>
      <c r="N6" s="111" t="s">
        <v>134</v>
      </c>
      <c r="O6" s="118">
        <f t="shared" si="0"/>
        <v>16.216216216216218</v>
      </c>
      <c r="P6" s="115">
        <v>37</v>
      </c>
      <c r="Q6" s="99">
        <v>600</v>
      </c>
    </row>
    <row r="7" spans="1:17" x14ac:dyDescent="0.4">
      <c r="A7" s="51" t="s">
        <v>2</v>
      </c>
      <c r="B7" s="44">
        <v>10</v>
      </c>
      <c r="C7" s="37">
        <f t="shared" ref="C7:C12" si="1">IF(B$2=0,0,B7/B$2)</f>
        <v>0.19230769230769232</v>
      </c>
      <c r="E7" s="59" t="s">
        <v>68</v>
      </c>
      <c r="F7" s="56" t="s">
        <v>12</v>
      </c>
      <c r="G7" s="44">
        <v>39</v>
      </c>
      <c r="H7" s="129">
        <f>IF(B$17=0,0,G7/B$17)</f>
        <v>0.32773109243697479</v>
      </c>
      <c r="I7" s="90">
        <v>4</v>
      </c>
      <c r="K7" s="36">
        <v>5</v>
      </c>
      <c r="L7" s="95">
        <v>-1.6000000000000014</v>
      </c>
      <c r="N7" s="112" t="s">
        <v>135</v>
      </c>
      <c r="O7" s="119">
        <f t="shared" si="0"/>
        <v>-503.22580645161293</v>
      </c>
      <c r="P7" s="116">
        <v>31</v>
      </c>
      <c r="Q7" s="100">
        <v>-15600</v>
      </c>
    </row>
    <row r="8" spans="1:17" x14ac:dyDescent="0.4">
      <c r="A8" s="51" t="s">
        <v>3</v>
      </c>
      <c r="B8" s="44">
        <v>28</v>
      </c>
      <c r="C8" s="37">
        <f t="shared" si="1"/>
        <v>0.53846153846153844</v>
      </c>
      <c r="E8" s="59" t="s">
        <v>69</v>
      </c>
      <c r="F8" s="56" t="s">
        <v>24</v>
      </c>
      <c r="G8" s="44">
        <v>16</v>
      </c>
      <c r="H8" s="129">
        <f>IF(B$17=0,0,G8/B$17)</f>
        <v>0.13445378151260504</v>
      </c>
      <c r="I8" s="90">
        <v>7</v>
      </c>
      <c r="K8" s="36">
        <v>6</v>
      </c>
      <c r="L8" s="95">
        <v>29.799999999999997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14</v>
      </c>
      <c r="C9" s="38">
        <f t="shared" si="1"/>
        <v>0.26923076923076922</v>
      </c>
      <c r="E9" s="59" t="s">
        <v>70</v>
      </c>
      <c r="F9" s="56" t="s">
        <v>25</v>
      </c>
      <c r="G9" s="44">
        <v>10</v>
      </c>
      <c r="H9" s="129">
        <f>IF(B$17=0,0,G9/B$17)</f>
        <v>8.4033613445378158E-2</v>
      </c>
      <c r="I9" s="90">
        <v>6</v>
      </c>
      <c r="K9" s="36">
        <v>7</v>
      </c>
      <c r="L9" s="95">
        <v>-16.300000000000004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4</v>
      </c>
      <c r="C10" s="38">
        <f t="shared" si="1"/>
        <v>7.6923076923076927E-2</v>
      </c>
      <c r="E10" s="59" t="s">
        <v>71</v>
      </c>
      <c r="F10" s="56" t="s">
        <v>26</v>
      </c>
      <c r="G10" s="44">
        <v>10</v>
      </c>
      <c r="H10" s="129">
        <f>IF(B$17=0,0,G10/B$17)</f>
        <v>8.4033613445378158E-2</v>
      </c>
      <c r="I10" s="90">
        <v>6</v>
      </c>
      <c r="K10" s="36">
        <v>8</v>
      </c>
      <c r="L10" s="95">
        <v>-46.7</v>
      </c>
      <c r="N10" s="110" t="s">
        <v>162</v>
      </c>
      <c r="O10" s="120">
        <f>IF(P10=0,0,Q10/P10)</f>
        <v>1.7899999999999998</v>
      </c>
      <c r="P10" s="114">
        <v>20</v>
      </c>
      <c r="Q10" s="102">
        <v>35.799999999999997</v>
      </c>
    </row>
    <row r="11" spans="1:17" x14ac:dyDescent="0.4">
      <c r="A11" s="52" t="s">
        <v>138</v>
      </c>
      <c r="B11" s="45">
        <v>4</v>
      </c>
      <c r="C11" s="38">
        <f t="shared" si="1"/>
        <v>7.6923076923076927E-2</v>
      </c>
      <c r="E11" s="59" t="s">
        <v>89</v>
      </c>
      <c r="F11" s="56" t="s">
        <v>44</v>
      </c>
      <c r="G11" s="44">
        <v>10</v>
      </c>
      <c r="H11" s="129">
        <f>IF(B$17=0,0,G11/B$17)</f>
        <v>8.4033613445378158E-2</v>
      </c>
      <c r="I11" s="90">
        <v>9</v>
      </c>
      <c r="K11" s="36">
        <v>9</v>
      </c>
      <c r="L11" s="95">
        <v>-90.9</v>
      </c>
      <c r="N11" s="111" t="s">
        <v>163</v>
      </c>
      <c r="O11" s="121">
        <f>IF(P11=0,0,Q11/P11)</f>
        <v>3.0142857142857147</v>
      </c>
      <c r="P11" s="115">
        <v>14</v>
      </c>
      <c r="Q11" s="103">
        <v>42.2</v>
      </c>
    </row>
    <row r="12" spans="1:17" x14ac:dyDescent="0.4">
      <c r="A12" s="53" t="s">
        <v>158</v>
      </c>
      <c r="B12" s="46">
        <v>1</v>
      </c>
      <c r="C12" s="40">
        <f t="shared" si="1"/>
        <v>1.9230769230769232E-2</v>
      </c>
      <c r="E12" s="59" t="s">
        <v>65</v>
      </c>
      <c r="F12" s="56" t="s">
        <v>21</v>
      </c>
      <c r="G12" s="44">
        <v>9</v>
      </c>
      <c r="H12" s="129">
        <f>IF(B$17=0,0,G12/B$17)</f>
        <v>7.5630252100840331E-2</v>
      </c>
      <c r="I12" s="90">
        <v>10</v>
      </c>
      <c r="K12" s="36">
        <v>10</v>
      </c>
      <c r="L12" s="95">
        <v>-146.69999999999999</v>
      </c>
      <c r="N12" s="112" t="s">
        <v>164</v>
      </c>
      <c r="O12" s="122">
        <f>IF(P12=0,0,Q12/P12)</f>
        <v>-3.8444444444444437</v>
      </c>
      <c r="P12" s="116">
        <v>18</v>
      </c>
      <c r="Q12" s="104">
        <v>-69.199999999999989</v>
      </c>
    </row>
    <row r="13" spans="1:17" x14ac:dyDescent="0.4">
      <c r="A13" s="54" t="s">
        <v>121</v>
      </c>
      <c r="B13" s="47">
        <v>108</v>
      </c>
      <c r="C13" s="42">
        <f>IF(B$3=0,0,B13/B$3)</f>
        <v>0.2541176470588235</v>
      </c>
      <c r="E13" s="59" t="s">
        <v>79</v>
      </c>
      <c r="F13" s="56" t="s">
        <v>34</v>
      </c>
      <c r="G13" s="44">
        <v>5</v>
      </c>
      <c r="H13" s="129">
        <f>IF(B$17=0,0,G13/B$17)</f>
        <v>4.2016806722689079E-2</v>
      </c>
      <c r="I13" s="90">
        <v>2</v>
      </c>
      <c r="K13" s="36">
        <v>11</v>
      </c>
      <c r="L13" s="95">
        <v>-114.99999999999999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107</v>
      </c>
      <c r="C14" s="37">
        <f>IF(B$3=0,0,B14/B$3)</f>
        <v>0.25176470588235295</v>
      </c>
      <c r="E14" s="59" t="s">
        <v>86</v>
      </c>
      <c r="F14" s="56" t="s">
        <v>41</v>
      </c>
      <c r="G14" s="44">
        <v>5</v>
      </c>
      <c r="H14" s="129">
        <f>IF(B$17=0,0,G14/B$17)</f>
        <v>4.2016806722689079E-2</v>
      </c>
      <c r="I14" s="90">
        <v>7</v>
      </c>
      <c r="K14" s="36">
        <v>12</v>
      </c>
      <c r="L14" s="95">
        <v>-118.39999999999999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64</v>
      </c>
      <c r="C15" s="35">
        <f>IF(B$13=0,0,B15/B$13)</f>
        <v>0.59259259259259256</v>
      </c>
      <c r="E15" s="59" t="s">
        <v>83</v>
      </c>
      <c r="F15" s="56" t="s">
        <v>38</v>
      </c>
      <c r="G15" s="44">
        <v>4</v>
      </c>
      <c r="H15" s="129">
        <f>IF(B$17=0,0,G15/B$17)</f>
        <v>3.3613445378151259E-2</v>
      </c>
      <c r="I15" s="90">
        <v>10</v>
      </c>
      <c r="K15" s="36">
        <v>13</v>
      </c>
      <c r="L15" s="95">
        <v>-68.399999999999991</v>
      </c>
      <c r="N15" s="110" t="s">
        <v>195</v>
      </c>
      <c r="O15" s="120">
        <f>IF(P15=0,0,Q15/P15)</f>
        <v>53.179999999999993</v>
      </c>
      <c r="P15" s="114">
        <v>5</v>
      </c>
      <c r="Q15" s="102">
        <v>265.89999999999998</v>
      </c>
    </row>
    <row r="16" spans="1:17" x14ac:dyDescent="0.4">
      <c r="A16" s="50" t="s">
        <v>124</v>
      </c>
      <c r="B16" s="43">
        <v>41</v>
      </c>
      <c r="C16" s="35">
        <f>IF(B$14=0,0,B16/B$14)</f>
        <v>0.38317757009345793</v>
      </c>
      <c r="E16" s="59" t="s">
        <v>167</v>
      </c>
      <c r="F16" s="56" t="s">
        <v>168</v>
      </c>
      <c r="G16" s="44">
        <v>4</v>
      </c>
      <c r="H16" s="129">
        <f>IF(B$17=0,0,G16/B$17)</f>
        <v>3.3613445378151259E-2</v>
      </c>
      <c r="I16" s="90">
        <v>2</v>
      </c>
      <c r="K16" s="36">
        <v>14</v>
      </c>
      <c r="L16" s="95">
        <v>-25.79999999999999</v>
      </c>
      <c r="N16" s="111" t="s">
        <v>179</v>
      </c>
      <c r="O16" s="121">
        <f>IF(P16=0,0,Q16/P16)</f>
        <v>31.71</v>
      </c>
      <c r="P16" s="115">
        <v>10</v>
      </c>
      <c r="Q16" s="103">
        <v>317.10000000000002</v>
      </c>
    </row>
    <row r="17" spans="1:17" x14ac:dyDescent="0.4">
      <c r="A17" s="50" t="s">
        <v>10</v>
      </c>
      <c r="B17" s="43">
        <f>B19+B18</f>
        <v>119</v>
      </c>
      <c r="C17" s="35">
        <f>IF(B$3=0,0,B17/B$3)</f>
        <v>0.28000000000000003</v>
      </c>
      <c r="E17" s="59" t="s">
        <v>78</v>
      </c>
      <c r="F17" s="56" t="s">
        <v>33</v>
      </c>
      <c r="G17" s="44">
        <v>3</v>
      </c>
      <c r="H17" s="129">
        <f>IF(B$17=0,0,G17/B$17)</f>
        <v>2.5210084033613446E-2</v>
      </c>
      <c r="I17" s="90">
        <v>3</v>
      </c>
      <c r="K17" s="36">
        <v>15</v>
      </c>
      <c r="L17" s="95">
        <v>-35.499999999999986</v>
      </c>
      <c r="N17" s="111" t="s">
        <v>222</v>
      </c>
      <c r="O17" s="121">
        <f>IF(P17=0,0,Q17/P17)</f>
        <v>27.200000000000003</v>
      </c>
      <c r="P17" s="115">
        <v>1</v>
      </c>
      <c r="Q17" s="103">
        <v>27.200000000000003</v>
      </c>
    </row>
    <row r="18" spans="1:17" x14ac:dyDescent="0.4">
      <c r="A18" s="51" t="s">
        <v>12</v>
      </c>
      <c r="B18" s="44">
        <v>52</v>
      </c>
      <c r="C18" s="37">
        <f>IF(B$17=0,0,B18/B$17)</f>
        <v>0.43697478991596639</v>
      </c>
      <c r="E18" s="59" t="s">
        <v>73</v>
      </c>
      <c r="F18" s="56" t="s">
        <v>28</v>
      </c>
      <c r="G18" s="44">
        <v>2</v>
      </c>
      <c r="H18" s="129">
        <f>IF(B$17=0,0,G18/B$17)</f>
        <v>1.680672268907563E-2</v>
      </c>
      <c r="I18" s="90">
        <v>1</v>
      </c>
      <c r="K18" s="36">
        <v>16</v>
      </c>
      <c r="L18" s="95">
        <v>-35.599999999999987</v>
      </c>
      <c r="N18" s="111" t="s">
        <v>182</v>
      </c>
      <c r="O18" s="121">
        <f>IF(P18=0,0,Q18/P18)</f>
        <v>15.139999999999995</v>
      </c>
      <c r="P18" s="115">
        <v>15</v>
      </c>
      <c r="Q18" s="103">
        <v>227.09999999999994</v>
      </c>
    </row>
    <row r="19" spans="1:17" x14ac:dyDescent="0.4">
      <c r="A19" s="51" t="s">
        <v>11</v>
      </c>
      <c r="B19" s="44">
        <v>67</v>
      </c>
      <c r="C19" s="37">
        <f>IF(B$17=0,0,B19/B$17)</f>
        <v>0.56302521008403361</v>
      </c>
      <c r="E19" s="59" t="s">
        <v>81</v>
      </c>
      <c r="F19" s="56" t="s">
        <v>36</v>
      </c>
      <c r="G19" s="44">
        <v>1</v>
      </c>
      <c r="H19" s="129">
        <f>IF(B$17=0,0,G19/B$17)</f>
        <v>8.4033613445378148E-3</v>
      </c>
      <c r="I19" s="90">
        <v>8</v>
      </c>
      <c r="K19" s="36">
        <v>17</v>
      </c>
      <c r="L19" s="95">
        <v>-29.799999999999986</v>
      </c>
      <c r="N19" s="111" t="s">
        <v>166</v>
      </c>
      <c r="O19" s="121">
        <f>IF(P19=0,0,Q19/P19)</f>
        <v>6.26</v>
      </c>
      <c r="P19" s="115">
        <v>10</v>
      </c>
      <c r="Q19" s="103">
        <v>62.599999999999994</v>
      </c>
    </row>
    <row r="20" spans="1:17" x14ac:dyDescent="0.4">
      <c r="A20" s="51" t="s">
        <v>13</v>
      </c>
      <c r="B20" s="44">
        <v>57</v>
      </c>
      <c r="C20" s="37">
        <f>IF(B$3=0,0,B20/B$3)</f>
        <v>0.13411764705882354</v>
      </c>
      <c r="E20" s="59" t="s">
        <v>85</v>
      </c>
      <c r="F20" s="56" t="s">
        <v>40</v>
      </c>
      <c r="G20" s="44">
        <v>1</v>
      </c>
      <c r="H20" s="129">
        <f>IF(B$17=0,0,G20/B$17)</f>
        <v>8.4033613445378148E-3</v>
      </c>
      <c r="I20" s="90">
        <v>3</v>
      </c>
      <c r="K20" s="36">
        <v>18</v>
      </c>
      <c r="L20" s="95">
        <v>-62.399999999999991</v>
      </c>
      <c r="N20" s="111" t="s">
        <v>127</v>
      </c>
      <c r="O20" s="121">
        <f>IF(P20=0,0,Q20/P20)</f>
        <v>-11.695238095238096</v>
      </c>
      <c r="P20" s="115">
        <v>21</v>
      </c>
      <c r="Q20" s="103">
        <v>-245.60000000000002</v>
      </c>
    </row>
    <row r="21" spans="1:17" x14ac:dyDescent="0.4">
      <c r="A21" s="51" t="s">
        <v>169</v>
      </c>
      <c r="B21" s="44">
        <v>5</v>
      </c>
      <c r="C21" s="131">
        <v>0</v>
      </c>
      <c r="E21" s="59" t="s">
        <v>91</v>
      </c>
      <c r="F21" s="56" t="s">
        <v>46</v>
      </c>
      <c r="G21" s="44">
        <v>1</v>
      </c>
      <c r="H21" s="129">
        <f>IF(B$17=0,0,G21/B$17)</f>
        <v>8.4033613445378148E-3</v>
      </c>
      <c r="I21" s="90">
        <v>6</v>
      </c>
      <c r="K21" s="36">
        <v>19</v>
      </c>
      <c r="L21" s="95">
        <v>-56.399999999999991</v>
      </c>
      <c r="N21" s="111" t="s">
        <v>177</v>
      </c>
      <c r="O21" s="121">
        <f>IF(P21=0,0,Q21/P21)</f>
        <v>-14.204761904761906</v>
      </c>
      <c r="P21" s="115">
        <v>21</v>
      </c>
      <c r="Q21" s="103">
        <v>-298.3</v>
      </c>
    </row>
    <row r="22" spans="1:17" x14ac:dyDescent="0.4">
      <c r="A22" s="51" t="s">
        <v>170</v>
      </c>
      <c r="B22" s="44">
        <v>44</v>
      </c>
      <c r="C22" s="131">
        <v>20</v>
      </c>
      <c r="E22" s="59" t="s">
        <v>101</v>
      </c>
      <c r="F22" s="56" t="s">
        <v>56</v>
      </c>
      <c r="G22" s="44">
        <v>1</v>
      </c>
      <c r="H22" s="129">
        <f>IF(B$17=0,0,G22/B$17)</f>
        <v>8.4033613445378148E-3</v>
      </c>
      <c r="I22" s="90">
        <v>1</v>
      </c>
      <c r="K22" s="36">
        <v>20</v>
      </c>
      <c r="L22" s="95">
        <v>-93.199999999999989</v>
      </c>
      <c r="N22" s="111" t="s">
        <v>181</v>
      </c>
      <c r="O22" s="121">
        <f>IF(P22=0,0,Q22/P22)</f>
        <v>-15.5</v>
      </c>
      <c r="P22" s="115">
        <v>1</v>
      </c>
      <c r="Q22" s="103">
        <v>-15.5</v>
      </c>
    </row>
    <row r="23" spans="1:17" x14ac:dyDescent="0.4">
      <c r="A23" s="51" t="s">
        <v>5</v>
      </c>
      <c r="B23" s="48">
        <f>IF(B$17=0,0,C23/B$17)</f>
        <v>8626.8907563025205</v>
      </c>
      <c r="C23" s="39">
        <v>1026600</v>
      </c>
      <c r="E23" s="59" t="s">
        <v>74</v>
      </c>
      <c r="F23" s="56" t="s">
        <v>29</v>
      </c>
      <c r="G23" s="44">
        <v>0</v>
      </c>
      <c r="H23" s="129">
        <f>IF(B$17=0,0,G23/B$17)</f>
        <v>0</v>
      </c>
      <c r="I23" s="90">
        <v>6</v>
      </c>
      <c r="K23" s="36">
        <v>21</v>
      </c>
      <c r="L23" s="95">
        <v>-123.69999999999999</v>
      </c>
      <c r="N23" s="111" t="s">
        <v>126</v>
      </c>
      <c r="O23" s="121">
        <f>IF(P23=0,0,Q23/P23)</f>
        <v>-15.705000000000004</v>
      </c>
      <c r="P23" s="115">
        <v>20</v>
      </c>
      <c r="Q23" s="103">
        <v>-314.10000000000008</v>
      </c>
    </row>
    <row r="24" spans="1:17" x14ac:dyDescent="0.4">
      <c r="A24" s="52" t="s">
        <v>216</v>
      </c>
      <c r="B24" s="136">
        <f>IF($B$17-B$16=0,0,C24/($B$17-B$16))</f>
        <v>9785.8974358974356</v>
      </c>
      <c r="C24" s="137">
        <v>763300</v>
      </c>
      <c r="E24" s="59" t="s">
        <v>75</v>
      </c>
      <c r="F24" s="56" t="s">
        <v>30</v>
      </c>
      <c r="G24" s="44">
        <v>0</v>
      </c>
      <c r="H24" s="129">
        <f>IF(B$17=0,0,G24/B$17)</f>
        <v>0</v>
      </c>
      <c r="I24" s="90">
        <v>7</v>
      </c>
      <c r="K24" s="36">
        <v>22</v>
      </c>
      <c r="L24" s="95">
        <v>-66.999999999999986</v>
      </c>
    </row>
    <row r="25" spans="1:17" x14ac:dyDescent="0.4">
      <c r="A25" s="52" t="s">
        <v>217</v>
      </c>
      <c r="B25" s="136">
        <f>IF(B$16=0,0,C25/B$16)</f>
        <v>6421.9512195121952</v>
      </c>
      <c r="C25" s="137">
        <v>263300</v>
      </c>
      <c r="E25" s="59" t="s">
        <v>76</v>
      </c>
      <c r="F25" s="56" t="s">
        <v>31</v>
      </c>
      <c r="G25" s="44">
        <v>0</v>
      </c>
      <c r="H25" s="129">
        <f>IF(B$17=0,0,G25/B$17)</f>
        <v>0</v>
      </c>
      <c r="I25" s="90">
        <v>1</v>
      </c>
      <c r="K25" s="36">
        <v>23</v>
      </c>
      <c r="L25" s="95">
        <v>-59.599999999999987</v>
      </c>
    </row>
    <row r="26" spans="1:17" x14ac:dyDescent="0.4">
      <c r="A26" s="52" t="s">
        <v>215</v>
      </c>
      <c r="B26" s="136">
        <f>IF(B$20=0,0,C26/B$20)</f>
        <v>-7705.2631578947367</v>
      </c>
      <c r="C26" s="137">
        <v>-439200</v>
      </c>
      <c r="E26" s="59" t="s">
        <v>77</v>
      </c>
      <c r="F26" s="56" t="s">
        <v>32</v>
      </c>
      <c r="G26" s="44">
        <v>0</v>
      </c>
      <c r="H26" s="129">
        <f>IF(B$17=0,0,G26/B$17)</f>
        <v>0</v>
      </c>
      <c r="I26" s="90">
        <v>4</v>
      </c>
      <c r="K26" s="36">
        <v>24</v>
      </c>
      <c r="L26" s="95">
        <v>-91.399999999999991</v>
      </c>
    </row>
    <row r="27" spans="1:17" x14ac:dyDescent="0.4">
      <c r="A27" s="86" t="s">
        <v>140</v>
      </c>
      <c r="B27" s="144">
        <v>6</v>
      </c>
      <c r="C27" s="145"/>
      <c r="E27" s="59" t="s">
        <v>80</v>
      </c>
      <c r="F27" s="56" t="s">
        <v>35</v>
      </c>
      <c r="G27" s="44">
        <v>0</v>
      </c>
      <c r="H27" s="129">
        <f>IF(B$17=0,0,G27/B$17)</f>
        <v>0</v>
      </c>
      <c r="I27" s="90">
        <v>1</v>
      </c>
      <c r="K27" s="36">
        <v>25</v>
      </c>
      <c r="L27" s="95">
        <v>-41.29999999999999</v>
      </c>
    </row>
    <row r="28" spans="1:17" x14ac:dyDescent="0.4">
      <c r="A28" s="54" t="s">
        <v>150</v>
      </c>
      <c r="B28" s="142">
        <v>86500</v>
      </c>
      <c r="C28" s="143"/>
      <c r="E28" s="59" t="s">
        <v>82</v>
      </c>
      <c r="F28" s="56" t="s">
        <v>37</v>
      </c>
      <c r="G28" s="44">
        <v>0</v>
      </c>
      <c r="H28" s="129">
        <f>IF(B$17=0,0,G28/B$17)</f>
        <v>0</v>
      </c>
      <c r="I28" s="90">
        <v>1</v>
      </c>
      <c r="K28" s="36">
        <v>26</v>
      </c>
      <c r="L28" s="95">
        <v>-54.099999999999994</v>
      </c>
    </row>
    <row r="29" spans="1:17" x14ac:dyDescent="0.4">
      <c r="A29" s="53" t="s">
        <v>141</v>
      </c>
      <c r="B29" s="61">
        <v>2</v>
      </c>
      <c r="C29" s="40">
        <f>IF(B$3=0,0,B29/B$3)</f>
        <v>4.7058823529411761E-3</v>
      </c>
      <c r="E29" s="59" t="s">
        <v>84</v>
      </c>
      <c r="F29" s="56" t="s">
        <v>39</v>
      </c>
      <c r="G29" s="44">
        <v>0</v>
      </c>
      <c r="H29" s="129">
        <f>IF(B$17=0,0,G29/B$17)</f>
        <v>0</v>
      </c>
      <c r="I29" s="90">
        <v>4</v>
      </c>
      <c r="K29" s="36">
        <v>27</v>
      </c>
      <c r="L29" s="95">
        <v>-70.199999999999989</v>
      </c>
    </row>
    <row r="30" spans="1:17" x14ac:dyDescent="0.4">
      <c r="E30" s="59" t="s">
        <v>87</v>
      </c>
      <c r="F30" s="56" t="s">
        <v>42</v>
      </c>
      <c r="G30" s="44">
        <v>0</v>
      </c>
      <c r="H30" s="129">
        <f>IF(B$17=0,0,G30/B$17)</f>
        <v>0</v>
      </c>
      <c r="I30" s="90">
        <v>3</v>
      </c>
      <c r="K30" s="36">
        <v>28</v>
      </c>
      <c r="L30" s="95">
        <v>-61.29999999999999</v>
      </c>
    </row>
    <row r="31" spans="1:17" x14ac:dyDescent="0.4">
      <c r="E31" s="59" t="s">
        <v>88</v>
      </c>
      <c r="F31" s="56" t="s">
        <v>43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-109.69999999999999</v>
      </c>
    </row>
    <row r="32" spans="1:17" x14ac:dyDescent="0.4">
      <c r="E32" s="59" t="s">
        <v>90</v>
      </c>
      <c r="F32" s="56" t="s">
        <v>45</v>
      </c>
      <c r="G32" s="44">
        <v>0</v>
      </c>
      <c r="H32" s="129">
        <f>IF(B$17=0,0,G32/B$17)</f>
        <v>0</v>
      </c>
      <c r="I32" s="90">
        <v>4</v>
      </c>
      <c r="K32" s="36">
        <v>30</v>
      </c>
      <c r="L32" s="95">
        <v>-107.29999999999998</v>
      </c>
    </row>
    <row r="33" spans="5:12" x14ac:dyDescent="0.4">
      <c r="E33" s="59" t="s">
        <v>92</v>
      </c>
      <c r="F33" s="56" t="s">
        <v>47</v>
      </c>
      <c r="G33" s="44">
        <v>0</v>
      </c>
      <c r="H33" s="129">
        <f>IF(B$17=0,0,G33/B$17)</f>
        <v>0</v>
      </c>
      <c r="I33" s="90">
        <v>5</v>
      </c>
      <c r="K33" s="36">
        <v>31</v>
      </c>
      <c r="L33" s="95">
        <v>-96.799999999999983</v>
      </c>
    </row>
    <row r="34" spans="5:12" x14ac:dyDescent="0.4">
      <c r="E34" s="59" t="s">
        <v>93</v>
      </c>
      <c r="F34" s="56" t="s">
        <v>48</v>
      </c>
      <c r="G34" s="44">
        <v>0</v>
      </c>
      <c r="H34" s="129">
        <f>IF(B$17=0,0,G34/B$17)</f>
        <v>0</v>
      </c>
      <c r="I34" s="90">
        <v>3</v>
      </c>
      <c r="K34" s="36">
        <v>32</v>
      </c>
      <c r="L34" s="95">
        <v>-54.09999999999998</v>
      </c>
    </row>
    <row r="35" spans="5:12" x14ac:dyDescent="0.4">
      <c r="E35" s="59" t="s">
        <v>94</v>
      </c>
      <c r="F35" s="56" t="s">
        <v>49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-48.899999999999977</v>
      </c>
    </row>
    <row r="36" spans="5:12" x14ac:dyDescent="0.4">
      <c r="E36" s="59" t="s">
        <v>95</v>
      </c>
      <c r="F36" s="56" t="s">
        <v>50</v>
      </c>
      <c r="G36" s="44">
        <v>0</v>
      </c>
      <c r="H36" s="129">
        <f>IF(B$17=0,0,G36/B$17)</f>
        <v>0</v>
      </c>
      <c r="I36" s="90">
        <v>5</v>
      </c>
      <c r="K36" s="36">
        <v>34</v>
      </c>
      <c r="L36" s="95">
        <v>-63.999999999999979</v>
      </c>
    </row>
    <row r="37" spans="5:12" x14ac:dyDescent="0.4">
      <c r="E37" s="59" t="s">
        <v>96</v>
      </c>
      <c r="F37" s="56" t="s">
        <v>51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-72.399999999999977</v>
      </c>
    </row>
    <row r="38" spans="5:12" x14ac:dyDescent="0.4">
      <c r="E38" s="59" t="s">
        <v>97</v>
      </c>
      <c r="F38" s="56" t="s">
        <v>52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-65.399999999999977</v>
      </c>
    </row>
    <row r="39" spans="5:12" x14ac:dyDescent="0.4">
      <c r="E39" s="59" t="s">
        <v>98</v>
      </c>
      <c r="F39" s="56" t="s">
        <v>53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-58.59999999999998</v>
      </c>
    </row>
    <row r="40" spans="5:12" x14ac:dyDescent="0.4">
      <c r="E40" s="59" t="s">
        <v>99</v>
      </c>
      <c r="F40" s="56" t="s">
        <v>54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-51.799999999999983</v>
      </c>
    </row>
    <row r="41" spans="5:12" x14ac:dyDescent="0.4">
      <c r="E41" s="59" t="s">
        <v>100</v>
      </c>
      <c r="F41" s="56" t="s">
        <v>55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-67.899999999999977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-61.299999999999976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-56.899999999999977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-58.499999999999979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-49.899999999999977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11.600000000000023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-23.299999999999976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-11.099999999999977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-31.099999999999977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-18.499999999999979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7.1000000000000227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6.5000000000000231</v>
      </c>
    </row>
    <row r="53" spans="5:12" x14ac:dyDescent="0.4">
      <c r="K53" s="36">
        <v>51</v>
      </c>
      <c r="L53" s="95">
        <v>-0.29999999999997673</v>
      </c>
    </row>
    <row r="54" spans="5:12" x14ac:dyDescent="0.4">
      <c r="K54" s="36">
        <v>52</v>
      </c>
      <c r="L54" s="95">
        <v>8.800000000000022</v>
      </c>
    </row>
  </sheetData>
  <sortState xmlns:xlrd2="http://schemas.microsoft.com/office/spreadsheetml/2017/richdata2" ref="N15:Q23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A1A444-B1B5-4625-8856-A805D895EE8B}">
  <sheetPr codeName="Sheet19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8" t="s">
        <v>182</v>
      </c>
      <c r="C1" s="149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50">
        <v>27</v>
      </c>
      <c r="C2" s="151"/>
      <c r="E2" s="58" t="s">
        <v>66</v>
      </c>
      <c r="F2" s="55" t="s">
        <v>22</v>
      </c>
      <c r="G2" s="43">
        <v>33</v>
      </c>
      <c r="H2" s="128">
        <f>IF(B$17=0,0,G2/B$17)</f>
        <v>0.66</v>
      </c>
      <c r="I2" s="89">
        <v>9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-3574.0740740740739</v>
      </c>
      <c r="P2" s="114">
        <v>27</v>
      </c>
      <c r="Q2" s="98">
        <v>-96500</v>
      </c>
    </row>
    <row r="3" spans="1:17" x14ac:dyDescent="0.4">
      <c r="A3" s="51" t="s">
        <v>8</v>
      </c>
      <c r="B3" s="152">
        <v>215</v>
      </c>
      <c r="C3" s="153"/>
      <c r="E3" s="59" t="s">
        <v>72</v>
      </c>
      <c r="F3" s="56" t="s">
        <v>27</v>
      </c>
      <c r="G3" s="44">
        <v>24</v>
      </c>
      <c r="H3" s="129">
        <f>IF(B$17=0,0,G3/B$17)</f>
        <v>0.48</v>
      </c>
      <c r="I3" s="90">
        <v>9</v>
      </c>
      <c r="K3" s="36">
        <v>1</v>
      </c>
      <c r="L3" s="95">
        <v>-12</v>
      </c>
      <c r="N3" s="111" t="s">
        <v>131</v>
      </c>
      <c r="O3" s="118">
        <f t="shared" si="0"/>
        <v>340.74074074074076</v>
      </c>
      <c r="P3" s="115">
        <v>27</v>
      </c>
      <c r="Q3" s="99">
        <v>9200</v>
      </c>
    </row>
    <row r="4" spans="1:17" x14ac:dyDescent="0.4">
      <c r="A4" s="51" t="s">
        <v>6</v>
      </c>
      <c r="B4" s="154">
        <v>-418.80000000000013</v>
      </c>
      <c r="C4" s="155"/>
      <c r="E4" s="59" t="s">
        <v>64</v>
      </c>
      <c r="F4" s="56" t="s">
        <v>20</v>
      </c>
      <c r="G4" s="44">
        <v>23</v>
      </c>
      <c r="H4" s="129">
        <f>IF(B$17=0,0,G4/B$17)</f>
        <v>0.46</v>
      </c>
      <c r="I4" s="90">
        <v>6</v>
      </c>
      <c r="K4" s="36">
        <v>2</v>
      </c>
      <c r="L4" s="95">
        <v>-40.6</v>
      </c>
      <c r="N4" s="111" t="s">
        <v>132</v>
      </c>
      <c r="O4" s="118">
        <f t="shared" si="0"/>
        <v>-607.40740740740739</v>
      </c>
      <c r="P4" s="115">
        <v>27</v>
      </c>
      <c r="Q4" s="99">
        <v>-16400</v>
      </c>
    </row>
    <row r="5" spans="1:17" x14ac:dyDescent="0.4">
      <c r="A5" s="51" t="s">
        <v>7</v>
      </c>
      <c r="B5" s="156">
        <f>IF(B$2=0,0,B$4/B$2)</f>
        <v>-15.511111111111116</v>
      </c>
      <c r="C5" s="157"/>
      <c r="E5" s="59" t="s">
        <v>67</v>
      </c>
      <c r="F5" s="56" t="s">
        <v>23</v>
      </c>
      <c r="G5" s="44">
        <v>17</v>
      </c>
      <c r="H5" s="129">
        <f>IF(B$17=0,0,G5/B$17)</f>
        <v>0.34</v>
      </c>
      <c r="I5" s="90">
        <v>5</v>
      </c>
      <c r="K5" s="36">
        <v>3</v>
      </c>
      <c r="L5" s="95">
        <v>-33.6</v>
      </c>
      <c r="N5" s="111" t="s">
        <v>133</v>
      </c>
      <c r="O5" s="118">
        <f t="shared" si="0"/>
        <v>-3338.4615384615386</v>
      </c>
      <c r="P5" s="115">
        <v>26</v>
      </c>
      <c r="Q5" s="99">
        <v>-86800</v>
      </c>
    </row>
    <row r="6" spans="1:17" x14ac:dyDescent="0.4">
      <c r="A6" s="51" t="s">
        <v>1</v>
      </c>
      <c r="B6" s="146">
        <f>IF(B$2=0,0,(B$7*1+B$8*2+B$9*3)/B$2)</f>
        <v>2.4444444444444446</v>
      </c>
      <c r="C6" s="147"/>
      <c r="E6" s="59" t="s">
        <v>68</v>
      </c>
      <c r="F6" s="56" t="s">
        <v>12</v>
      </c>
      <c r="G6" s="44">
        <v>17</v>
      </c>
      <c r="H6" s="129">
        <f>IF(B$17=0,0,G6/B$17)</f>
        <v>0.34</v>
      </c>
      <c r="I6" s="90">
        <v>3</v>
      </c>
      <c r="K6" s="36">
        <v>4</v>
      </c>
      <c r="L6" s="95">
        <v>-80.5</v>
      </c>
      <c r="N6" s="111" t="s">
        <v>134</v>
      </c>
      <c r="O6" s="118">
        <f t="shared" si="0"/>
        <v>-1752</v>
      </c>
      <c r="P6" s="115">
        <v>25</v>
      </c>
      <c r="Q6" s="99">
        <v>-43800</v>
      </c>
    </row>
    <row r="7" spans="1:17" x14ac:dyDescent="0.4">
      <c r="A7" s="51" t="s">
        <v>2</v>
      </c>
      <c r="B7" s="44">
        <v>3</v>
      </c>
      <c r="C7" s="37">
        <f t="shared" ref="C7:C12" si="1">IF(B$2=0,0,B7/B$2)</f>
        <v>0.1111111111111111</v>
      </c>
      <c r="E7" s="59" t="s">
        <v>171</v>
      </c>
      <c r="F7" s="56" t="s">
        <v>172</v>
      </c>
      <c r="G7" s="44">
        <v>16</v>
      </c>
      <c r="H7" s="129">
        <f>IF(B$17=0,0,G7/B$17)</f>
        <v>0.32</v>
      </c>
      <c r="I7" s="90">
        <v>10</v>
      </c>
      <c r="K7" s="36">
        <v>5</v>
      </c>
      <c r="L7" s="95">
        <v>-124.3</v>
      </c>
      <c r="N7" s="112" t="s">
        <v>135</v>
      </c>
      <c r="O7" s="119">
        <f t="shared" si="0"/>
        <v>-2975</v>
      </c>
      <c r="P7" s="116">
        <v>20</v>
      </c>
      <c r="Q7" s="100">
        <v>-59500</v>
      </c>
    </row>
    <row r="8" spans="1:17" x14ac:dyDescent="0.4">
      <c r="A8" s="51" t="s">
        <v>3</v>
      </c>
      <c r="B8" s="44">
        <v>9</v>
      </c>
      <c r="C8" s="37">
        <f t="shared" si="1"/>
        <v>0.33333333333333331</v>
      </c>
      <c r="E8" s="59" t="s">
        <v>89</v>
      </c>
      <c r="F8" s="56" t="s">
        <v>44</v>
      </c>
      <c r="G8" s="44">
        <v>7</v>
      </c>
      <c r="H8" s="129">
        <f>IF(B$17=0,0,G8/B$17)</f>
        <v>0.14000000000000001</v>
      </c>
      <c r="I8" s="90">
        <v>4</v>
      </c>
      <c r="K8" s="36">
        <v>6</v>
      </c>
      <c r="L8" s="95">
        <v>-159.6</v>
      </c>
      <c r="N8" s="41"/>
      <c r="O8" s="123"/>
      <c r="P8" s="107"/>
      <c r="Q8" s="105"/>
    </row>
    <row r="9" spans="1:17" x14ac:dyDescent="0.4">
      <c r="A9" s="52" t="s">
        <v>4</v>
      </c>
      <c r="B9" s="45">
        <v>15</v>
      </c>
      <c r="C9" s="38">
        <f t="shared" si="1"/>
        <v>0.55555555555555558</v>
      </c>
      <c r="E9" s="59" t="s">
        <v>65</v>
      </c>
      <c r="F9" s="56" t="s">
        <v>21</v>
      </c>
      <c r="G9" s="44">
        <v>6</v>
      </c>
      <c r="H9" s="129">
        <f>IF(B$17=0,0,G9/B$17)</f>
        <v>0.12</v>
      </c>
      <c r="I9" s="90">
        <v>2</v>
      </c>
      <c r="K9" s="36">
        <v>7</v>
      </c>
      <c r="L9" s="95">
        <v>-99.5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5</v>
      </c>
      <c r="C10" s="38">
        <f t="shared" si="1"/>
        <v>0.18518518518518517</v>
      </c>
      <c r="E10" s="59" t="s">
        <v>71</v>
      </c>
      <c r="F10" s="56" t="s">
        <v>26</v>
      </c>
      <c r="G10" s="44">
        <v>5</v>
      </c>
      <c r="H10" s="129">
        <f>IF(B$17=0,0,G10/B$17)</f>
        <v>0.1</v>
      </c>
      <c r="I10" s="90">
        <v>3</v>
      </c>
      <c r="K10" s="36">
        <v>8</v>
      </c>
      <c r="L10" s="95">
        <v>-152.6</v>
      </c>
      <c r="N10" s="110" t="s">
        <v>162</v>
      </c>
      <c r="O10" s="120">
        <f>IF(P10=0,0,Q10/P10)</f>
        <v>-23.131250000000001</v>
      </c>
      <c r="P10" s="114">
        <v>16</v>
      </c>
      <c r="Q10" s="102">
        <v>-370.1</v>
      </c>
    </row>
    <row r="11" spans="1:17" x14ac:dyDescent="0.4">
      <c r="A11" s="52" t="s">
        <v>138</v>
      </c>
      <c r="B11" s="45">
        <v>1</v>
      </c>
      <c r="C11" s="38">
        <f t="shared" si="1"/>
        <v>3.7037037037037035E-2</v>
      </c>
      <c r="E11" s="59" t="s">
        <v>69</v>
      </c>
      <c r="F11" s="56" t="s">
        <v>24</v>
      </c>
      <c r="G11" s="44">
        <v>4</v>
      </c>
      <c r="H11" s="129">
        <f>IF(B$17=0,0,G11/B$17)</f>
        <v>0.08</v>
      </c>
      <c r="I11" s="90">
        <v>9</v>
      </c>
      <c r="K11" s="36">
        <v>9</v>
      </c>
      <c r="L11" s="95">
        <v>-150.6</v>
      </c>
      <c r="N11" s="111" t="s">
        <v>163</v>
      </c>
      <c r="O11" s="121">
        <f>IF(P11=0,0,Q11/P11)</f>
        <v>-4.2571428571428553</v>
      </c>
      <c r="P11" s="115">
        <v>7</v>
      </c>
      <c r="Q11" s="103">
        <v>-29.79999999999999</v>
      </c>
    </row>
    <row r="12" spans="1:17" x14ac:dyDescent="0.4">
      <c r="A12" s="53" t="s">
        <v>158</v>
      </c>
      <c r="B12" s="46">
        <v>1</v>
      </c>
      <c r="C12" s="40">
        <f t="shared" si="1"/>
        <v>3.7037037037037035E-2</v>
      </c>
      <c r="E12" s="59" t="s">
        <v>83</v>
      </c>
      <c r="F12" s="56" t="s">
        <v>38</v>
      </c>
      <c r="G12" s="44">
        <v>4</v>
      </c>
      <c r="H12" s="129">
        <f>IF(B$17=0,0,G12/B$17)</f>
        <v>0.08</v>
      </c>
      <c r="I12" s="90">
        <v>3</v>
      </c>
      <c r="K12" s="36">
        <v>10</v>
      </c>
      <c r="L12" s="95">
        <v>-151.1</v>
      </c>
      <c r="N12" s="112" t="s">
        <v>164</v>
      </c>
      <c r="O12" s="122">
        <f>IF(P12=0,0,Q12/P12)</f>
        <v>-4.7249999999999996</v>
      </c>
      <c r="P12" s="116">
        <v>4</v>
      </c>
      <c r="Q12" s="104">
        <v>-18.899999999999999</v>
      </c>
    </row>
    <row r="13" spans="1:17" x14ac:dyDescent="0.4">
      <c r="A13" s="54" t="s">
        <v>121</v>
      </c>
      <c r="B13" s="47">
        <v>43</v>
      </c>
      <c r="C13" s="42">
        <f>IF(B$3=0,0,B13/B$3)</f>
        <v>0.2</v>
      </c>
      <c r="E13" s="59" t="s">
        <v>86</v>
      </c>
      <c r="F13" s="56" t="s">
        <v>41</v>
      </c>
      <c r="G13" s="44">
        <v>4</v>
      </c>
      <c r="H13" s="129">
        <f>IF(B$17=0,0,G13/B$17)</f>
        <v>0.08</v>
      </c>
      <c r="I13" s="90">
        <v>1</v>
      </c>
      <c r="K13" s="36">
        <v>11</v>
      </c>
      <c r="L13" s="95">
        <v>-175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44</v>
      </c>
      <c r="C14" s="37">
        <f>IF(B$3=0,0,B14/B$3)</f>
        <v>0.20465116279069767</v>
      </c>
      <c r="E14" s="59" t="s">
        <v>70</v>
      </c>
      <c r="F14" s="56" t="s">
        <v>25</v>
      </c>
      <c r="G14" s="44">
        <v>3</v>
      </c>
      <c r="H14" s="129">
        <f>IF(B$17=0,0,G14/B$17)</f>
        <v>0.06</v>
      </c>
      <c r="I14" s="90">
        <v>10</v>
      </c>
      <c r="K14" s="36">
        <v>12</v>
      </c>
      <c r="L14" s="95">
        <v>-176.9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25</v>
      </c>
      <c r="C15" s="35">
        <f>IF(B$13=0,0,B15/B$13)</f>
        <v>0.58139534883720934</v>
      </c>
      <c r="E15" s="59" t="s">
        <v>81</v>
      </c>
      <c r="F15" s="56" t="s">
        <v>36</v>
      </c>
      <c r="G15" s="44">
        <v>2</v>
      </c>
      <c r="H15" s="129">
        <f>IF(B$17=0,0,G15/B$17)</f>
        <v>0.04</v>
      </c>
      <c r="I15" s="90">
        <v>2</v>
      </c>
      <c r="K15" s="36">
        <v>13</v>
      </c>
      <c r="L15" s="95">
        <v>-217.60000000000002</v>
      </c>
      <c r="N15" s="110" t="s">
        <v>166</v>
      </c>
      <c r="O15" s="120">
        <f>IF(P15=0,0,Q15/P15)</f>
        <v>28.45</v>
      </c>
      <c r="P15" s="114">
        <v>4</v>
      </c>
      <c r="Q15" s="102">
        <v>113.8</v>
      </c>
    </row>
    <row r="16" spans="1:17" x14ac:dyDescent="0.4">
      <c r="A16" s="50" t="s">
        <v>124</v>
      </c>
      <c r="B16" s="43">
        <v>16</v>
      </c>
      <c r="C16" s="35">
        <f>IF(B$14=0,0,B16/B$14)</f>
        <v>0.36363636363636365</v>
      </c>
      <c r="E16" s="59" t="s">
        <v>74</v>
      </c>
      <c r="F16" s="56" t="s">
        <v>29</v>
      </c>
      <c r="G16" s="44">
        <v>1</v>
      </c>
      <c r="H16" s="129">
        <f>IF(B$17=0,0,G16/B$17)</f>
        <v>0.02</v>
      </c>
      <c r="I16" s="90">
        <v>1</v>
      </c>
      <c r="K16" s="36">
        <v>14</v>
      </c>
      <c r="L16" s="95">
        <v>-266.90000000000003</v>
      </c>
      <c r="N16" s="111" t="s">
        <v>178</v>
      </c>
      <c r="O16" s="121">
        <f>IF(P16=0,0,Q16/P16)</f>
        <v>-15.139999999999995</v>
      </c>
      <c r="P16" s="115">
        <v>15</v>
      </c>
      <c r="Q16" s="103">
        <v>-227.09999999999994</v>
      </c>
    </row>
    <row r="17" spans="1:17" x14ac:dyDescent="0.4">
      <c r="A17" s="50" t="s">
        <v>10</v>
      </c>
      <c r="B17" s="43">
        <f>B19+B18</f>
        <v>50</v>
      </c>
      <c r="C17" s="35">
        <f>IF(B$3=0,0,B17/B$3)</f>
        <v>0.23255813953488372</v>
      </c>
      <c r="E17" s="59" t="s">
        <v>78</v>
      </c>
      <c r="F17" s="56" t="s">
        <v>33</v>
      </c>
      <c r="G17" s="44">
        <v>1</v>
      </c>
      <c r="H17" s="129">
        <f>IF(B$17=0,0,G17/B$17)</f>
        <v>0.02</v>
      </c>
      <c r="I17" s="90">
        <v>7</v>
      </c>
      <c r="K17" s="36">
        <v>15</v>
      </c>
      <c r="L17" s="95">
        <v>-272.50000000000006</v>
      </c>
      <c r="N17" s="111" t="s">
        <v>222</v>
      </c>
      <c r="O17" s="121">
        <f>IF(P17=0,0,Q17/P17)</f>
        <v>-17.649999999999999</v>
      </c>
      <c r="P17" s="115">
        <v>2</v>
      </c>
      <c r="Q17" s="103">
        <v>-35.299999999999997</v>
      </c>
    </row>
    <row r="18" spans="1:17" x14ac:dyDescent="0.4">
      <c r="A18" s="51" t="s">
        <v>12</v>
      </c>
      <c r="B18" s="44">
        <v>25</v>
      </c>
      <c r="C18" s="37">
        <f>IF(B$17=0,0,B18/B$17)</f>
        <v>0.5</v>
      </c>
      <c r="E18" s="59" t="s">
        <v>95</v>
      </c>
      <c r="F18" s="56" t="s">
        <v>50</v>
      </c>
      <c r="G18" s="44">
        <v>1</v>
      </c>
      <c r="H18" s="129">
        <f>IF(B$17=0,0,G18/B$17)</f>
        <v>0.02</v>
      </c>
      <c r="I18" s="90">
        <v>1</v>
      </c>
      <c r="K18" s="36">
        <v>16</v>
      </c>
      <c r="L18" s="95">
        <v>-320.30000000000007</v>
      </c>
      <c r="N18" s="111" t="s">
        <v>177</v>
      </c>
      <c r="O18" s="121">
        <f>IF(P18=0,0,Q18/P18)</f>
        <v>-20.7</v>
      </c>
      <c r="P18" s="115">
        <v>12</v>
      </c>
      <c r="Q18" s="103">
        <v>-248.39999999999998</v>
      </c>
    </row>
    <row r="19" spans="1:17" x14ac:dyDescent="0.4">
      <c r="A19" s="51" t="s">
        <v>11</v>
      </c>
      <c r="B19" s="44">
        <v>25</v>
      </c>
      <c r="C19" s="37">
        <f>IF(B$17=0,0,B19/B$17)</f>
        <v>0.5</v>
      </c>
      <c r="E19" s="59" t="s">
        <v>73</v>
      </c>
      <c r="F19" s="56" t="s">
        <v>28</v>
      </c>
      <c r="G19" s="44">
        <v>0</v>
      </c>
      <c r="H19" s="129">
        <f>IF(B$17=0,0,G19/B$17)</f>
        <v>0</v>
      </c>
      <c r="I19" s="90">
        <v>3</v>
      </c>
      <c r="K19" s="36">
        <v>17</v>
      </c>
      <c r="L19" s="95">
        <v>-352.60000000000008</v>
      </c>
      <c r="N19" s="111" t="s">
        <v>126</v>
      </c>
      <c r="O19" s="121">
        <f>IF(P19=0,0,Q19/P19)</f>
        <v>-21.962500000000002</v>
      </c>
      <c r="P19" s="115">
        <v>8</v>
      </c>
      <c r="Q19" s="103">
        <v>-175.70000000000002</v>
      </c>
    </row>
    <row r="20" spans="1:17" x14ac:dyDescent="0.4">
      <c r="A20" s="51" t="s">
        <v>13</v>
      </c>
      <c r="B20" s="44">
        <v>41</v>
      </c>
      <c r="C20" s="37">
        <f>IF(B$3=0,0,B20/B$3)</f>
        <v>0.19069767441860466</v>
      </c>
      <c r="E20" s="59" t="s">
        <v>75</v>
      </c>
      <c r="F20" s="56" t="s">
        <v>30</v>
      </c>
      <c r="G20" s="44">
        <v>0</v>
      </c>
      <c r="H20" s="129">
        <f>IF(B$17=0,0,G20/B$17)</f>
        <v>0</v>
      </c>
      <c r="I20" s="90">
        <v>7</v>
      </c>
      <c r="K20" s="36">
        <v>18</v>
      </c>
      <c r="L20" s="95">
        <v>-355.50000000000006</v>
      </c>
      <c r="N20" s="111" t="s">
        <v>179</v>
      </c>
      <c r="O20" s="121">
        <f>IF(P20=0,0,Q20/P20)</f>
        <v>-25.799999999999997</v>
      </c>
      <c r="P20" s="115">
        <v>1</v>
      </c>
      <c r="Q20" s="103">
        <v>-25.799999999999997</v>
      </c>
    </row>
    <row r="21" spans="1:17" x14ac:dyDescent="0.4">
      <c r="A21" s="51" t="s">
        <v>169</v>
      </c>
      <c r="B21" s="44">
        <v>4</v>
      </c>
      <c r="C21" s="131">
        <v>1</v>
      </c>
      <c r="E21" s="59" t="s">
        <v>76</v>
      </c>
      <c r="F21" s="56" t="s">
        <v>31</v>
      </c>
      <c r="G21" s="44">
        <v>0</v>
      </c>
      <c r="H21" s="129">
        <f>IF(B$17=0,0,G21/B$17)</f>
        <v>0</v>
      </c>
      <c r="I21" s="90">
        <v>1</v>
      </c>
      <c r="K21" s="36">
        <v>19</v>
      </c>
      <c r="L21" s="95">
        <v>-400.60000000000008</v>
      </c>
      <c r="N21" s="111" t="s">
        <v>181</v>
      </c>
      <c r="O21" s="121">
        <f>IF(P21=0,0,Q21/P21)</f>
        <v>-52.525000000000006</v>
      </c>
      <c r="P21" s="115">
        <v>4</v>
      </c>
      <c r="Q21" s="103">
        <v>-210.10000000000002</v>
      </c>
    </row>
    <row r="22" spans="1:17" x14ac:dyDescent="0.4">
      <c r="A22" s="51" t="s">
        <v>170</v>
      </c>
      <c r="B22" s="44">
        <v>16</v>
      </c>
      <c r="C22" s="131">
        <v>1</v>
      </c>
      <c r="E22" s="59" t="s">
        <v>77</v>
      </c>
      <c r="F22" s="56" t="s">
        <v>32</v>
      </c>
      <c r="G22" s="44">
        <v>0</v>
      </c>
      <c r="H22" s="129">
        <f>IF(B$17=0,0,G22/B$17)</f>
        <v>0</v>
      </c>
      <c r="I22" s="90">
        <v>4</v>
      </c>
      <c r="K22" s="36">
        <v>20</v>
      </c>
      <c r="L22" s="95">
        <v>-428.10000000000008</v>
      </c>
      <c r="N22" s="111" t="s">
        <v>127</v>
      </c>
      <c r="O22" s="121">
        <f>IF(P22=0,0,Q22/P22)</f>
        <v>-52.783333333333331</v>
      </c>
      <c r="P22" s="115">
        <v>6</v>
      </c>
      <c r="Q22" s="103">
        <v>-316.7</v>
      </c>
    </row>
    <row r="23" spans="1:17" x14ac:dyDescent="0.4">
      <c r="A23" s="51" t="s">
        <v>5</v>
      </c>
      <c r="B23" s="48">
        <f>IF(B$17=0,0,C23/B$17)</f>
        <v>8022</v>
      </c>
      <c r="C23" s="39">
        <v>401100</v>
      </c>
      <c r="E23" s="59" t="s">
        <v>79</v>
      </c>
      <c r="F23" s="56" t="s">
        <v>34</v>
      </c>
      <c r="G23" s="44">
        <v>0</v>
      </c>
      <c r="H23" s="129">
        <f>IF(B$17=0,0,G23/B$17)</f>
        <v>0</v>
      </c>
      <c r="I23" s="90">
        <v>7</v>
      </c>
      <c r="K23" s="36">
        <v>21</v>
      </c>
      <c r="L23" s="95">
        <v>-423.7000000000001</v>
      </c>
      <c r="N23" s="111" t="s">
        <v>195</v>
      </c>
      <c r="O23" s="121">
        <f>IF(P23=0,0,Q23/P23)</f>
        <v>-65.55</v>
      </c>
      <c r="P23" s="115">
        <v>2</v>
      </c>
      <c r="Q23" s="103">
        <v>-131.1</v>
      </c>
    </row>
    <row r="24" spans="1:17" x14ac:dyDescent="0.4">
      <c r="A24" s="52" t="s">
        <v>216</v>
      </c>
      <c r="B24" s="136">
        <f>IF($B$17-B$16=0,0,C24/($B$17-B$16))</f>
        <v>8132.3529411764703</v>
      </c>
      <c r="C24" s="137">
        <v>276500</v>
      </c>
      <c r="E24" s="59" t="s">
        <v>80</v>
      </c>
      <c r="F24" s="56" t="s">
        <v>35</v>
      </c>
      <c r="G24" s="44">
        <v>0</v>
      </c>
      <c r="H24" s="129">
        <f>IF(B$17=0,0,G24/B$17)</f>
        <v>0</v>
      </c>
      <c r="I24" s="90">
        <v>1</v>
      </c>
      <c r="K24" s="36">
        <v>22</v>
      </c>
      <c r="L24" s="95">
        <v>-465.00000000000011</v>
      </c>
    </row>
    <row r="25" spans="1:17" x14ac:dyDescent="0.4">
      <c r="A25" s="52" t="s">
        <v>217</v>
      </c>
      <c r="B25" s="136">
        <f>IF(B$16=0,0,C25/B$16)</f>
        <v>7787.5</v>
      </c>
      <c r="C25" s="137">
        <v>124600</v>
      </c>
      <c r="E25" s="59" t="s">
        <v>82</v>
      </c>
      <c r="F25" s="56" t="s">
        <v>37</v>
      </c>
      <c r="G25" s="44">
        <v>0</v>
      </c>
      <c r="H25" s="129">
        <f>IF(B$17=0,0,G25/B$17)</f>
        <v>0</v>
      </c>
      <c r="I25" s="90">
        <v>1</v>
      </c>
      <c r="K25" s="36">
        <v>23</v>
      </c>
      <c r="L25" s="95">
        <v>-450.10000000000014</v>
      </c>
    </row>
    <row r="26" spans="1:17" x14ac:dyDescent="0.4">
      <c r="A26" s="52" t="s">
        <v>215</v>
      </c>
      <c r="B26" s="136">
        <f>IF(B$20=0,0,C26/B$20)</f>
        <v>-8590.2439024390242</v>
      </c>
      <c r="C26" s="137">
        <v>-352200</v>
      </c>
      <c r="E26" s="59" t="s">
        <v>84</v>
      </c>
      <c r="F26" s="56" t="s">
        <v>39</v>
      </c>
      <c r="G26" s="44">
        <v>0</v>
      </c>
      <c r="H26" s="129">
        <f>IF(B$17=0,0,G26/B$17)</f>
        <v>0</v>
      </c>
      <c r="I26" s="90">
        <v>4</v>
      </c>
      <c r="K26" s="36">
        <v>24</v>
      </c>
      <c r="L26" s="95">
        <v>-474.10000000000014</v>
      </c>
    </row>
    <row r="27" spans="1:17" x14ac:dyDescent="0.4">
      <c r="A27" s="86" t="s">
        <v>140</v>
      </c>
      <c r="B27" s="144">
        <v>6</v>
      </c>
      <c r="C27" s="145"/>
      <c r="E27" s="59" t="s">
        <v>85</v>
      </c>
      <c r="F27" s="56" t="s">
        <v>40</v>
      </c>
      <c r="G27" s="44">
        <v>0</v>
      </c>
      <c r="H27" s="129">
        <f>IF(B$17=0,0,G27/B$17)</f>
        <v>0</v>
      </c>
      <c r="I27" s="90">
        <v>6</v>
      </c>
      <c r="K27" s="36">
        <v>25</v>
      </c>
      <c r="L27" s="95">
        <v>-488.30000000000013</v>
      </c>
    </row>
    <row r="28" spans="1:17" x14ac:dyDescent="0.4">
      <c r="A28" s="54" t="s">
        <v>150</v>
      </c>
      <c r="B28" s="142">
        <v>85100</v>
      </c>
      <c r="C28" s="143"/>
      <c r="E28" s="59" t="s">
        <v>87</v>
      </c>
      <c r="F28" s="56" t="s">
        <v>42</v>
      </c>
      <c r="G28" s="44">
        <v>0</v>
      </c>
      <c r="H28" s="129">
        <f>IF(B$17=0,0,G28/B$17)</f>
        <v>0</v>
      </c>
      <c r="I28" s="90">
        <v>3</v>
      </c>
      <c r="K28" s="36">
        <v>26</v>
      </c>
      <c r="L28" s="95">
        <v>-439.2000000000001</v>
      </c>
    </row>
    <row r="29" spans="1:17" x14ac:dyDescent="0.4">
      <c r="A29" s="53" t="s">
        <v>141</v>
      </c>
      <c r="B29" s="61">
        <v>1</v>
      </c>
      <c r="C29" s="40">
        <f>IF(B$3=0,0,B29/B$3)</f>
        <v>4.6511627906976744E-3</v>
      </c>
      <c r="E29" s="59" t="s">
        <v>88</v>
      </c>
      <c r="F29" s="56" t="s">
        <v>43</v>
      </c>
      <c r="G29" s="44">
        <v>0</v>
      </c>
      <c r="H29" s="129">
        <f>IF(B$17=0,0,G29/B$17)</f>
        <v>0</v>
      </c>
      <c r="I29" s="90">
        <v>4</v>
      </c>
      <c r="K29" s="36">
        <v>27</v>
      </c>
      <c r="L29" s="95">
        <v>-418.80000000000013</v>
      </c>
    </row>
    <row r="30" spans="1:17" x14ac:dyDescent="0.4">
      <c r="E30" s="59" t="s">
        <v>90</v>
      </c>
      <c r="F30" s="56" t="s">
        <v>45</v>
      </c>
      <c r="G30" s="44">
        <v>0</v>
      </c>
      <c r="H30" s="129">
        <f>IF(B$17=0,0,G30/B$17)</f>
        <v>0</v>
      </c>
      <c r="I30" s="90">
        <v>4</v>
      </c>
    </row>
    <row r="31" spans="1:17" x14ac:dyDescent="0.4">
      <c r="E31" s="59" t="s">
        <v>91</v>
      </c>
      <c r="F31" s="56" t="s">
        <v>46</v>
      </c>
      <c r="G31" s="44">
        <v>0</v>
      </c>
      <c r="H31" s="129">
        <f>IF(B$17=0,0,G31/B$17)</f>
        <v>0</v>
      </c>
      <c r="I31" s="90">
        <v>8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</row>
    <row r="33" spans="5:9" x14ac:dyDescent="0.4"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3</v>
      </c>
    </row>
    <row r="34" spans="5:9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</row>
    <row r="35" spans="5:9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</row>
    <row r="36" spans="5:9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1</v>
      </c>
    </row>
    <row r="37" spans="5:9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</row>
    <row r="38" spans="5:9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9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9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1</v>
      </c>
    </row>
    <row r="46" spans="5:9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9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N15:Q23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B8C71-0BB4-4819-9EBC-CCA2E9D90660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8" t="s">
        <v>181</v>
      </c>
      <c r="C1" s="149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50">
        <v>14</v>
      </c>
      <c r="C2" s="151"/>
      <c r="E2" s="58" t="s">
        <v>66</v>
      </c>
      <c r="F2" s="55" t="s">
        <v>22</v>
      </c>
      <c r="G2" s="43">
        <v>40</v>
      </c>
      <c r="H2" s="128">
        <f>IF(B$17=0,0,G2/B$17)</f>
        <v>0.97560975609756095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-1321.4285714285713</v>
      </c>
      <c r="P2" s="114">
        <v>14</v>
      </c>
      <c r="Q2" s="98">
        <v>-18500</v>
      </c>
    </row>
    <row r="3" spans="1:17" x14ac:dyDescent="0.4">
      <c r="A3" s="51" t="s">
        <v>8</v>
      </c>
      <c r="B3" s="152">
        <v>142</v>
      </c>
      <c r="C3" s="153"/>
      <c r="E3" s="59" t="s">
        <v>64</v>
      </c>
      <c r="F3" s="56" t="s">
        <v>20</v>
      </c>
      <c r="G3" s="44">
        <v>25</v>
      </c>
      <c r="H3" s="129">
        <f>IF(B$17=0,0,G3/B$17)</f>
        <v>0.6097560975609756</v>
      </c>
      <c r="I3" s="90">
        <v>1</v>
      </c>
      <c r="K3" s="36">
        <v>1</v>
      </c>
      <c r="L3" s="95">
        <v>70.2</v>
      </c>
      <c r="N3" s="111" t="s">
        <v>131</v>
      </c>
      <c r="O3" s="118">
        <f t="shared" si="0"/>
        <v>800</v>
      </c>
      <c r="P3" s="115">
        <v>14</v>
      </c>
      <c r="Q3" s="99">
        <v>11200</v>
      </c>
    </row>
    <row r="4" spans="1:17" x14ac:dyDescent="0.4">
      <c r="A4" s="51" t="s">
        <v>6</v>
      </c>
      <c r="B4" s="154">
        <v>49.900000000000006</v>
      </c>
      <c r="C4" s="155"/>
      <c r="E4" s="59" t="s">
        <v>68</v>
      </c>
      <c r="F4" s="56" t="s">
        <v>12</v>
      </c>
      <c r="G4" s="44">
        <v>17</v>
      </c>
      <c r="H4" s="129">
        <f>IF(B$17=0,0,G4/B$17)</f>
        <v>0.41463414634146339</v>
      </c>
      <c r="I4" s="90">
        <v>1</v>
      </c>
      <c r="K4" s="36">
        <v>2</v>
      </c>
      <c r="L4" s="95">
        <v>68.5</v>
      </c>
      <c r="N4" s="111" t="s">
        <v>132</v>
      </c>
      <c r="O4" s="118">
        <f t="shared" si="0"/>
        <v>385.71428571428572</v>
      </c>
      <c r="P4" s="115">
        <v>14</v>
      </c>
      <c r="Q4" s="99">
        <v>5400</v>
      </c>
    </row>
    <row r="5" spans="1:17" x14ac:dyDescent="0.4">
      <c r="A5" s="51" t="s">
        <v>7</v>
      </c>
      <c r="B5" s="156">
        <f>IF(B$2=0,0,B$4/B$2)</f>
        <v>3.5642857142857145</v>
      </c>
      <c r="C5" s="157"/>
      <c r="E5" s="59" t="s">
        <v>171</v>
      </c>
      <c r="F5" s="56" t="s">
        <v>172</v>
      </c>
      <c r="G5" s="44">
        <v>15</v>
      </c>
      <c r="H5" s="129">
        <f>IF(B$17=0,0,G5/B$17)</f>
        <v>0.36585365853658536</v>
      </c>
      <c r="I5" s="90">
        <v>7</v>
      </c>
      <c r="K5" s="36">
        <v>3</v>
      </c>
      <c r="L5" s="95">
        <v>76</v>
      </c>
      <c r="N5" s="111" t="s">
        <v>133</v>
      </c>
      <c r="O5" s="118">
        <f t="shared" si="0"/>
        <v>-1492.3076923076924</v>
      </c>
      <c r="P5" s="115">
        <v>13</v>
      </c>
      <c r="Q5" s="99">
        <v>-19400</v>
      </c>
    </row>
    <row r="6" spans="1:17" x14ac:dyDescent="0.4">
      <c r="A6" s="51" t="s">
        <v>1</v>
      </c>
      <c r="B6" s="146">
        <f>IF(B$2=0,0,(B$7*1+B$8*2+B$9*3)/B$2)</f>
        <v>1.9285714285714286</v>
      </c>
      <c r="C6" s="147"/>
      <c r="E6" s="59" t="s">
        <v>72</v>
      </c>
      <c r="F6" s="56" t="s">
        <v>27</v>
      </c>
      <c r="G6" s="44">
        <v>13</v>
      </c>
      <c r="H6" s="129">
        <f>IF(B$17=0,0,G6/B$17)</f>
        <v>0.31707317073170732</v>
      </c>
      <c r="I6" s="90">
        <v>11</v>
      </c>
      <c r="K6" s="36">
        <v>4</v>
      </c>
      <c r="L6" s="95">
        <v>115.5</v>
      </c>
      <c r="N6" s="111" t="s">
        <v>134</v>
      </c>
      <c r="O6" s="118">
        <f t="shared" si="0"/>
        <v>6215.3846153846152</v>
      </c>
      <c r="P6" s="115">
        <v>13</v>
      </c>
      <c r="Q6" s="99">
        <v>80800</v>
      </c>
    </row>
    <row r="7" spans="1:17" x14ac:dyDescent="0.4">
      <c r="A7" s="51" t="s">
        <v>2</v>
      </c>
      <c r="B7" s="44">
        <v>5</v>
      </c>
      <c r="C7" s="37">
        <f t="shared" ref="C7:C12" si="1">IF(B$2=0,0,B7/B$2)</f>
        <v>0.35714285714285715</v>
      </c>
      <c r="E7" s="59" t="s">
        <v>67</v>
      </c>
      <c r="F7" s="56" t="s">
        <v>23</v>
      </c>
      <c r="G7" s="44">
        <v>10</v>
      </c>
      <c r="H7" s="129">
        <f>IF(B$17=0,0,G7/B$17)</f>
        <v>0.24390243902439024</v>
      </c>
      <c r="I7" s="90">
        <v>10</v>
      </c>
      <c r="K7" s="36">
        <v>5</v>
      </c>
      <c r="L7" s="95">
        <v>127.9</v>
      </c>
      <c r="N7" s="112" t="s">
        <v>135</v>
      </c>
      <c r="O7" s="119">
        <f t="shared" si="0"/>
        <v>1300</v>
      </c>
      <c r="P7" s="116">
        <v>9</v>
      </c>
      <c r="Q7" s="100">
        <v>11700</v>
      </c>
    </row>
    <row r="8" spans="1:17" x14ac:dyDescent="0.4">
      <c r="A8" s="51" t="s">
        <v>3</v>
      </c>
      <c r="B8" s="44">
        <v>5</v>
      </c>
      <c r="C8" s="37">
        <f t="shared" si="1"/>
        <v>0.35714285714285715</v>
      </c>
      <c r="E8" s="59" t="s">
        <v>69</v>
      </c>
      <c r="F8" s="56" t="s">
        <v>24</v>
      </c>
      <c r="G8" s="44">
        <v>8</v>
      </c>
      <c r="H8" s="129">
        <f>IF(B$17=0,0,G8/B$17)</f>
        <v>0.1951219512195122</v>
      </c>
      <c r="I8" s="90">
        <v>3</v>
      </c>
      <c r="K8" s="36">
        <v>6</v>
      </c>
      <c r="L8" s="95">
        <v>149.4</v>
      </c>
      <c r="N8" s="41"/>
      <c r="O8" s="123"/>
      <c r="P8" s="107"/>
      <c r="Q8" s="105"/>
    </row>
    <row r="9" spans="1:17" x14ac:dyDescent="0.4">
      <c r="A9" s="52" t="s">
        <v>4</v>
      </c>
      <c r="B9" s="45">
        <v>4</v>
      </c>
      <c r="C9" s="38">
        <f t="shared" si="1"/>
        <v>0.2857142857142857</v>
      </c>
      <c r="E9" s="59" t="s">
        <v>70</v>
      </c>
      <c r="F9" s="56" t="s">
        <v>25</v>
      </c>
      <c r="G9" s="44">
        <v>5</v>
      </c>
      <c r="H9" s="129">
        <f>IF(B$17=0,0,G9/B$17)</f>
        <v>0.12195121951219512</v>
      </c>
      <c r="I9" s="90">
        <v>4</v>
      </c>
      <c r="K9" s="36">
        <v>7</v>
      </c>
      <c r="L9" s="95">
        <v>123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1</v>
      </c>
      <c r="C10" s="38">
        <f t="shared" si="1"/>
        <v>7.1428571428571425E-2</v>
      </c>
      <c r="E10" s="59" t="s">
        <v>71</v>
      </c>
      <c r="F10" s="56" t="s">
        <v>26</v>
      </c>
      <c r="G10" s="44">
        <v>5</v>
      </c>
      <c r="H10" s="129">
        <f>IF(B$17=0,0,G10/B$17)</f>
        <v>0.12195121951219512</v>
      </c>
      <c r="I10" s="90">
        <v>2</v>
      </c>
      <c r="K10" s="36">
        <v>8</v>
      </c>
      <c r="L10" s="95">
        <v>124.6</v>
      </c>
      <c r="N10" s="110" t="s">
        <v>162</v>
      </c>
      <c r="O10" s="120">
        <f>IF(P10=0,0,Q10/P10)</f>
        <v>-0.85714285714285665</v>
      </c>
      <c r="P10" s="114">
        <v>7</v>
      </c>
      <c r="Q10" s="102">
        <v>-5.9999999999999964</v>
      </c>
    </row>
    <row r="11" spans="1:17" x14ac:dyDescent="0.4">
      <c r="A11" s="52" t="s">
        <v>138</v>
      </c>
      <c r="B11" s="45">
        <v>2</v>
      </c>
      <c r="C11" s="38">
        <f t="shared" si="1"/>
        <v>0.14285714285714285</v>
      </c>
      <c r="E11" s="59" t="s">
        <v>65</v>
      </c>
      <c r="F11" s="56" t="s">
        <v>21</v>
      </c>
      <c r="G11" s="44">
        <v>4</v>
      </c>
      <c r="H11" s="129">
        <f>IF(B$17=0,0,G11/B$17)</f>
        <v>9.7560975609756101E-2</v>
      </c>
      <c r="I11" s="90">
        <v>5</v>
      </c>
      <c r="K11" s="36">
        <v>9</v>
      </c>
      <c r="L11" s="95">
        <v>141.5</v>
      </c>
      <c r="N11" s="111" t="s">
        <v>163</v>
      </c>
      <c r="O11" s="121">
        <f>IF(P11=0,0,Q11/P11)</f>
        <v>11.699999999999998</v>
      </c>
      <c r="P11" s="115">
        <v>3</v>
      </c>
      <c r="Q11" s="103">
        <v>35.099999999999994</v>
      </c>
    </row>
    <row r="12" spans="1:17" x14ac:dyDescent="0.4">
      <c r="A12" s="53" t="s">
        <v>158</v>
      </c>
      <c r="B12" s="46">
        <v>0</v>
      </c>
      <c r="C12" s="40">
        <f t="shared" si="1"/>
        <v>0</v>
      </c>
      <c r="E12" s="59" t="s">
        <v>89</v>
      </c>
      <c r="F12" s="56" t="s">
        <v>44</v>
      </c>
      <c r="G12" s="44">
        <v>3</v>
      </c>
      <c r="H12" s="129">
        <f>IF(B$17=0,0,G12/B$17)</f>
        <v>7.3170731707317069E-2</v>
      </c>
      <c r="I12" s="90">
        <v>10</v>
      </c>
      <c r="K12" s="36">
        <v>10</v>
      </c>
      <c r="L12" s="95">
        <v>162.80000000000001</v>
      </c>
      <c r="N12" s="112" t="s">
        <v>164</v>
      </c>
      <c r="O12" s="122">
        <f>IF(P12=0,0,Q12/P12)</f>
        <v>5.1999999999999993</v>
      </c>
      <c r="P12" s="116">
        <v>4</v>
      </c>
      <c r="Q12" s="104">
        <v>20.799999999999997</v>
      </c>
    </row>
    <row r="13" spans="1:17" x14ac:dyDescent="0.4">
      <c r="A13" s="54" t="s">
        <v>121</v>
      </c>
      <c r="B13" s="47">
        <v>40</v>
      </c>
      <c r="C13" s="42">
        <f>IF(B$3=0,0,B13/B$3)</f>
        <v>0.28169014084507044</v>
      </c>
      <c r="E13" s="59" t="s">
        <v>86</v>
      </c>
      <c r="F13" s="56" t="s">
        <v>41</v>
      </c>
      <c r="G13" s="44">
        <v>2</v>
      </c>
      <c r="H13" s="129">
        <f>IF(B$17=0,0,G13/B$17)</f>
        <v>4.878048780487805E-2</v>
      </c>
      <c r="I13" s="90">
        <v>4</v>
      </c>
      <c r="K13" s="36">
        <v>11</v>
      </c>
      <c r="L13" s="95">
        <v>126.10000000000001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22</v>
      </c>
      <c r="C14" s="37">
        <f>IF(B$3=0,0,B14/B$3)</f>
        <v>0.15492957746478872</v>
      </c>
      <c r="E14" s="59" t="s">
        <v>75</v>
      </c>
      <c r="F14" s="56" t="s">
        <v>30</v>
      </c>
      <c r="G14" s="44">
        <v>1</v>
      </c>
      <c r="H14" s="129">
        <f>IF(B$17=0,0,G14/B$17)</f>
        <v>2.4390243902439025E-2</v>
      </c>
      <c r="I14" s="90">
        <v>1</v>
      </c>
      <c r="K14" s="36">
        <v>12</v>
      </c>
      <c r="L14" s="95">
        <v>78.100000000000009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25</v>
      </c>
      <c r="C15" s="35">
        <f>IF(B$13=0,0,B15/B$13)</f>
        <v>0.625</v>
      </c>
      <c r="E15" s="59" t="s">
        <v>78</v>
      </c>
      <c r="F15" s="56" t="s">
        <v>33</v>
      </c>
      <c r="G15" s="44">
        <v>1</v>
      </c>
      <c r="H15" s="129">
        <f>IF(B$17=0,0,G15/B$17)</f>
        <v>2.4390243902439025E-2</v>
      </c>
      <c r="I15" s="90">
        <v>5</v>
      </c>
      <c r="K15" s="36">
        <v>13</v>
      </c>
      <c r="L15" s="95">
        <v>76.7</v>
      </c>
      <c r="N15" s="110" t="s">
        <v>177</v>
      </c>
      <c r="O15" s="120">
        <f t="shared" ref="O15:O22" si="2">IF(P15=0,0,Q15/P15)</f>
        <v>76.666666666666671</v>
      </c>
      <c r="P15" s="114">
        <v>3</v>
      </c>
      <c r="Q15" s="102">
        <v>230</v>
      </c>
    </row>
    <row r="16" spans="1:17" x14ac:dyDescent="0.4">
      <c r="A16" s="50" t="s">
        <v>124</v>
      </c>
      <c r="B16" s="43">
        <v>7</v>
      </c>
      <c r="C16" s="35">
        <f>IF(B$14=0,0,B16/B$14)</f>
        <v>0.31818181818181818</v>
      </c>
      <c r="E16" s="59" t="s">
        <v>81</v>
      </c>
      <c r="F16" s="56" t="s">
        <v>36</v>
      </c>
      <c r="G16" s="44">
        <v>1</v>
      </c>
      <c r="H16" s="129">
        <f>IF(B$17=0,0,G16/B$17)</f>
        <v>2.4390243902439025E-2</v>
      </c>
      <c r="I16" s="90">
        <v>3</v>
      </c>
      <c r="K16" s="36">
        <v>14</v>
      </c>
      <c r="L16" s="95">
        <v>49.900000000000006</v>
      </c>
      <c r="N16" s="111" t="s">
        <v>182</v>
      </c>
      <c r="O16" s="121">
        <f t="shared" si="2"/>
        <v>52.525000000000006</v>
      </c>
      <c r="P16" s="115">
        <v>4</v>
      </c>
      <c r="Q16" s="103">
        <v>210.10000000000002</v>
      </c>
    </row>
    <row r="17" spans="1:17" x14ac:dyDescent="0.4">
      <c r="A17" s="50" t="s">
        <v>10</v>
      </c>
      <c r="B17" s="43">
        <f>B19+B18</f>
        <v>41</v>
      </c>
      <c r="C17" s="35">
        <f>IF(B$3=0,0,B17/B$3)</f>
        <v>0.28873239436619719</v>
      </c>
      <c r="E17" s="59" t="s">
        <v>85</v>
      </c>
      <c r="F17" s="56" t="s">
        <v>40</v>
      </c>
      <c r="G17" s="44">
        <v>1</v>
      </c>
      <c r="H17" s="129">
        <f>IF(B$17=0,0,G17/B$17)</f>
        <v>2.4390243902439025E-2</v>
      </c>
      <c r="I17" s="90">
        <v>1</v>
      </c>
      <c r="N17" s="111" t="s">
        <v>178</v>
      </c>
      <c r="O17" s="121">
        <f t="shared" si="2"/>
        <v>15.5</v>
      </c>
      <c r="P17" s="115">
        <v>1</v>
      </c>
      <c r="Q17" s="103">
        <v>15.5</v>
      </c>
    </row>
    <row r="18" spans="1:17" x14ac:dyDescent="0.4">
      <c r="A18" s="51" t="s">
        <v>12</v>
      </c>
      <c r="B18" s="44">
        <v>22</v>
      </c>
      <c r="C18" s="37">
        <f>IF(B$17=0,0,B18/B$17)</f>
        <v>0.53658536585365857</v>
      </c>
      <c r="E18" s="59" t="s">
        <v>87</v>
      </c>
      <c r="F18" s="56" t="s">
        <v>42</v>
      </c>
      <c r="G18" s="44">
        <v>1</v>
      </c>
      <c r="H18" s="129">
        <f>IF(B$17=0,0,G18/B$17)</f>
        <v>2.4390243902439025E-2</v>
      </c>
      <c r="I18" s="90">
        <v>1</v>
      </c>
      <c r="N18" s="111" t="s">
        <v>166</v>
      </c>
      <c r="O18" s="121">
        <f t="shared" si="2"/>
        <v>5.0400000000000009</v>
      </c>
      <c r="P18" s="115">
        <v>5</v>
      </c>
      <c r="Q18" s="103">
        <v>25.200000000000003</v>
      </c>
    </row>
    <row r="19" spans="1:17" x14ac:dyDescent="0.4">
      <c r="A19" s="51" t="s">
        <v>11</v>
      </c>
      <c r="B19" s="44">
        <v>19</v>
      </c>
      <c r="C19" s="37">
        <f>IF(B$17=0,0,B19/B$17)</f>
        <v>0.46341463414634149</v>
      </c>
      <c r="E19" s="59" t="s">
        <v>167</v>
      </c>
      <c r="F19" s="56" t="s">
        <v>168</v>
      </c>
      <c r="G19" s="44">
        <v>1</v>
      </c>
      <c r="H19" s="129">
        <f>IF(B$17=0,0,G19/B$17)</f>
        <v>2.4390243902439025E-2</v>
      </c>
      <c r="I19" s="90">
        <v>4</v>
      </c>
      <c r="N19" s="111" t="s">
        <v>179</v>
      </c>
      <c r="O19" s="121">
        <f t="shared" si="2"/>
        <v>-3.7285714285714278</v>
      </c>
      <c r="P19" s="115">
        <v>7</v>
      </c>
      <c r="Q19" s="103">
        <v>-26.099999999999994</v>
      </c>
    </row>
    <row r="20" spans="1:17" x14ac:dyDescent="0.4">
      <c r="A20" s="51" t="s">
        <v>13</v>
      </c>
      <c r="B20" s="44">
        <v>19</v>
      </c>
      <c r="C20" s="37">
        <f>IF(B$3=0,0,B20/B$3)</f>
        <v>0.13380281690140844</v>
      </c>
      <c r="E20" s="59" t="s">
        <v>73</v>
      </c>
      <c r="F20" s="56" t="s">
        <v>28</v>
      </c>
      <c r="G20" s="44">
        <v>0</v>
      </c>
      <c r="H20" s="129">
        <f>IF(B$17=0,0,G20/B$17)</f>
        <v>0</v>
      </c>
      <c r="I20" s="90">
        <v>3</v>
      </c>
      <c r="N20" s="111" t="s">
        <v>195</v>
      </c>
      <c r="O20" s="121">
        <f t="shared" si="2"/>
        <v>-17.850000000000001</v>
      </c>
      <c r="P20" s="115">
        <v>2</v>
      </c>
      <c r="Q20" s="103">
        <v>-35.700000000000003</v>
      </c>
    </row>
    <row r="21" spans="1:17" x14ac:dyDescent="0.4">
      <c r="A21" s="51" t="s">
        <v>169</v>
      </c>
      <c r="B21" s="44">
        <v>3</v>
      </c>
      <c r="C21" s="131">
        <v>0</v>
      </c>
      <c r="E21" s="59" t="s">
        <v>74</v>
      </c>
      <c r="F21" s="56" t="s">
        <v>29</v>
      </c>
      <c r="G21" s="44">
        <v>0</v>
      </c>
      <c r="H21" s="129">
        <f>IF(B$17=0,0,G21/B$17)</f>
        <v>0</v>
      </c>
      <c r="I21" s="90">
        <v>6</v>
      </c>
      <c r="N21" s="111" t="s">
        <v>127</v>
      </c>
      <c r="O21" s="121">
        <f t="shared" si="2"/>
        <v>-19.850000000000001</v>
      </c>
      <c r="P21" s="115">
        <v>2</v>
      </c>
      <c r="Q21" s="103">
        <v>-39.700000000000003</v>
      </c>
    </row>
    <row r="22" spans="1:17" x14ac:dyDescent="0.4">
      <c r="A22" s="51" t="s">
        <v>170</v>
      </c>
      <c r="B22" s="44">
        <v>19</v>
      </c>
      <c r="C22" s="131">
        <v>2</v>
      </c>
      <c r="E22" s="59" t="s">
        <v>76</v>
      </c>
      <c r="F22" s="56" t="s">
        <v>31</v>
      </c>
      <c r="G22" s="44">
        <v>0</v>
      </c>
      <c r="H22" s="129">
        <f>IF(B$17=0,0,G22/B$17)</f>
        <v>0</v>
      </c>
      <c r="I22" s="90">
        <v>1</v>
      </c>
      <c r="N22" s="111" t="s">
        <v>126</v>
      </c>
      <c r="O22" s="121">
        <f t="shared" si="2"/>
        <v>-57.4</v>
      </c>
      <c r="P22" s="115">
        <v>4</v>
      </c>
      <c r="Q22" s="103">
        <v>-229.6</v>
      </c>
    </row>
    <row r="23" spans="1:17" x14ac:dyDescent="0.4">
      <c r="A23" s="51" t="s">
        <v>5</v>
      </c>
      <c r="B23" s="48">
        <f>IF(B$17=0,0,C23/B$17)</f>
        <v>7782.9268292682927</v>
      </c>
      <c r="C23" s="39">
        <v>319100</v>
      </c>
      <c r="E23" s="59" t="s">
        <v>77</v>
      </c>
      <c r="F23" s="56" t="s">
        <v>32</v>
      </c>
      <c r="G23" s="44">
        <v>0</v>
      </c>
      <c r="H23" s="129">
        <f>IF(B$17=0,0,G23/B$17)</f>
        <v>0</v>
      </c>
      <c r="I23" s="90">
        <v>4</v>
      </c>
    </row>
    <row r="24" spans="1:17" x14ac:dyDescent="0.4">
      <c r="A24" s="52" t="s">
        <v>216</v>
      </c>
      <c r="B24" s="136">
        <f>IF($B$17-B$16=0,0,C24/($B$17-B$16))</f>
        <v>8170.588235294118</v>
      </c>
      <c r="C24" s="137">
        <v>277800</v>
      </c>
      <c r="E24" s="59" t="s">
        <v>79</v>
      </c>
      <c r="F24" s="56" t="s">
        <v>34</v>
      </c>
      <c r="G24" s="44">
        <v>0</v>
      </c>
      <c r="H24" s="129">
        <f>IF(B$17=0,0,G24/B$17)</f>
        <v>0</v>
      </c>
      <c r="I24" s="90">
        <v>7</v>
      </c>
    </row>
    <row r="25" spans="1:17" x14ac:dyDescent="0.4">
      <c r="A25" s="52" t="s">
        <v>217</v>
      </c>
      <c r="B25" s="136">
        <f>IF(B$16=0,0,C25/B$16)</f>
        <v>5900</v>
      </c>
      <c r="C25" s="137">
        <v>41300</v>
      </c>
      <c r="E25" s="59" t="s">
        <v>80</v>
      </c>
      <c r="F25" s="56" t="s">
        <v>35</v>
      </c>
      <c r="G25" s="44">
        <v>0</v>
      </c>
      <c r="H25" s="129">
        <f>IF(B$17=0,0,G25/B$17)</f>
        <v>0</v>
      </c>
      <c r="I25" s="90">
        <v>1</v>
      </c>
    </row>
    <row r="26" spans="1:17" x14ac:dyDescent="0.4">
      <c r="A26" s="52" t="s">
        <v>215</v>
      </c>
      <c r="B26" s="136">
        <f>IF(B$20=0,0,C26/B$20)</f>
        <v>-6800</v>
      </c>
      <c r="C26" s="137">
        <v>-129200</v>
      </c>
      <c r="E26" s="59" t="s">
        <v>82</v>
      </c>
      <c r="F26" s="56" t="s">
        <v>37</v>
      </c>
      <c r="G26" s="44">
        <v>0</v>
      </c>
      <c r="H26" s="129">
        <f>IF(B$17=0,0,G26/B$17)</f>
        <v>0</v>
      </c>
      <c r="I26" s="90">
        <v>1</v>
      </c>
    </row>
    <row r="27" spans="1:17" x14ac:dyDescent="0.4">
      <c r="A27" s="86" t="s">
        <v>140</v>
      </c>
      <c r="B27" s="144">
        <v>7</v>
      </c>
      <c r="C27" s="145"/>
      <c r="E27" s="59" t="s">
        <v>83</v>
      </c>
      <c r="F27" s="56" t="s">
        <v>38</v>
      </c>
      <c r="G27" s="44">
        <v>0</v>
      </c>
      <c r="H27" s="129">
        <f>IF(B$17=0,0,G27/B$17)</f>
        <v>0</v>
      </c>
      <c r="I27" s="90">
        <v>11</v>
      </c>
    </row>
    <row r="28" spans="1:17" x14ac:dyDescent="0.4">
      <c r="A28" s="54" t="s">
        <v>150</v>
      </c>
      <c r="B28" s="142">
        <v>95200</v>
      </c>
      <c r="C28" s="143"/>
      <c r="E28" s="59" t="s">
        <v>84</v>
      </c>
      <c r="F28" s="56" t="s">
        <v>39</v>
      </c>
      <c r="G28" s="44">
        <v>0</v>
      </c>
      <c r="H28" s="129">
        <f>IF(B$17=0,0,G28/B$17)</f>
        <v>0</v>
      </c>
      <c r="I28" s="90">
        <v>4</v>
      </c>
    </row>
    <row r="29" spans="1:17" x14ac:dyDescent="0.4">
      <c r="A29" s="53" t="s">
        <v>141</v>
      </c>
      <c r="B29" s="61">
        <v>0</v>
      </c>
      <c r="C29" s="40">
        <f>IF(B$3=0,0,B29/B$3)</f>
        <v>0</v>
      </c>
      <c r="E29" s="59" t="s">
        <v>88</v>
      </c>
      <c r="F29" s="56" t="s">
        <v>43</v>
      </c>
      <c r="G29" s="44">
        <v>0</v>
      </c>
      <c r="H29" s="129">
        <f>IF(B$17=0,0,G29/B$17)</f>
        <v>0</v>
      </c>
      <c r="I29" s="90">
        <v>4</v>
      </c>
    </row>
    <row r="30" spans="1:17" x14ac:dyDescent="0.4">
      <c r="E30" s="59" t="s">
        <v>90</v>
      </c>
      <c r="F30" s="56" t="s">
        <v>45</v>
      </c>
      <c r="G30" s="44">
        <v>0</v>
      </c>
      <c r="H30" s="129">
        <f>IF(B$17=0,0,G30/B$17)</f>
        <v>0</v>
      </c>
      <c r="I30" s="90">
        <v>4</v>
      </c>
    </row>
    <row r="31" spans="1:17" x14ac:dyDescent="0.4">
      <c r="E31" s="59" t="s">
        <v>91</v>
      </c>
      <c r="F31" s="56" t="s">
        <v>46</v>
      </c>
      <c r="G31" s="44">
        <v>0</v>
      </c>
      <c r="H31" s="129">
        <f>IF(B$17=0,0,G31/B$17)</f>
        <v>0</v>
      </c>
      <c r="I31" s="90">
        <v>8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</row>
    <row r="33" spans="5:9" x14ac:dyDescent="0.4"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3</v>
      </c>
    </row>
    <row r="34" spans="5:9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</row>
    <row r="35" spans="5:9" x14ac:dyDescent="0.4">
      <c r="E35" s="59" t="s">
        <v>95</v>
      </c>
      <c r="F35" s="56" t="s">
        <v>50</v>
      </c>
      <c r="G35" s="44">
        <v>0</v>
      </c>
      <c r="H35" s="129">
        <f>IF(B$17=0,0,G35/B$17)</f>
        <v>0</v>
      </c>
      <c r="I35" s="90">
        <v>5</v>
      </c>
    </row>
    <row r="36" spans="5:9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</row>
    <row r="37" spans="5:9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1</v>
      </c>
    </row>
    <row r="38" spans="5:9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</row>
    <row r="41" spans="5:9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</row>
    <row r="42" spans="5:9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</row>
    <row r="46" spans="5:9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</row>
    <row r="47" spans="5:9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E8EFA-5FBE-4AA0-B217-74A1D86EA060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8" t="s">
        <v>195</v>
      </c>
      <c r="C1" s="149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50">
        <v>7</v>
      </c>
      <c r="C2" s="151"/>
      <c r="E2" s="58" t="s">
        <v>66</v>
      </c>
      <c r="F2" s="55" t="s">
        <v>22</v>
      </c>
      <c r="G2" s="43">
        <v>11</v>
      </c>
      <c r="H2" s="128">
        <f>IF(B$17=0,0,G2/B$17)</f>
        <v>0.73333333333333328</v>
      </c>
      <c r="I2" s="89">
        <v>7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-6085.7142857142853</v>
      </c>
      <c r="P2" s="114">
        <v>7</v>
      </c>
      <c r="Q2" s="98">
        <v>-42600</v>
      </c>
    </row>
    <row r="3" spans="1:17" x14ac:dyDescent="0.4">
      <c r="A3" s="51" t="s">
        <v>8</v>
      </c>
      <c r="B3" s="152">
        <v>62</v>
      </c>
      <c r="C3" s="153"/>
      <c r="E3" s="59" t="s">
        <v>64</v>
      </c>
      <c r="F3" s="56" t="s">
        <v>20</v>
      </c>
      <c r="G3" s="44">
        <v>8</v>
      </c>
      <c r="H3" s="129">
        <f>IF(B$17=0,0,G3/B$17)</f>
        <v>0.53333333333333333</v>
      </c>
      <c r="I3" s="90">
        <v>3</v>
      </c>
      <c r="K3" s="36">
        <v>1</v>
      </c>
      <c r="L3" s="95">
        <v>-46.5</v>
      </c>
      <c r="N3" s="111" t="s">
        <v>131</v>
      </c>
      <c r="O3" s="118">
        <f t="shared" si="0"/>
        <v>166.66666666666666</v>
      </c>
      <c r="P3" s="115">
        <v>6</v>
      </c>
      <c r="Q3" s="99">
        <v>1000</v>
      </c>
    </row>
    <row r="4" spans="1:17" x14ac:dyDescent="0.4">
      <c r="A4" s="51" t="s">
        <v>6</v>
      </c>
      <c r="B4" s="154">
        <v>-104.80000000000001</v>
      </c>
      <c r="C4" s="155"/>
      <c r="E4" s="59" t="s">
        <v>67</v>
      </c>
      <c r="F4" s="56" t="s">
        <v>23</v>
      </c>
      <c r="G4" s="44">
        <v>7</v>
      </c>
      <c r="H4" s="129">
        <f>IF(B$17=0,0,G4/B$17)</f>
        <v>0.46666666666666667</v>
      </c>
      <c r="I4" s="90">
        <v>1</v>
      </c>
      <c r="K4" s="36">
        <v>2</v>
      </c>
      <c r="L4" s="95">
        <v>-25.4</v>
      </c>
      <c r="N4" s="111" t="s">
        <v>132</v>
      </c>
      <c r="O4" s="118">
        <f t="shared" si="0"/>
        <v>-6066.666666666667</v>
      </c>
      <c r="P4" s="115">
        <v>6</v>
      </c>
      <c r="Q4" s="99">
        <v>-36400</v>
      </c>
    </row>
    <row r="5" spans="1:17" x14ac:dyDescent="0.4">
      <c r="A5" s="51" t="s">
        <v>7</v>
      </c>
      <c r="B5" s="156">
        <f>IF(B$2=0,0,B$4/B$2)</f>
        <v>-14.971428571428573</v>
      </c>
      <c r="C5" s="157"/>
      <c r="E5" s="59" t="s">
        <v>72</v>
      </c>
      <c r="F5" s="56" t="s">
        <v>27</v>
      </c>
      <c r="G5" s="44">
        <v>7</v>
      </c>
      <c r="H5" s="129">
        <f>IF(B$17=0,0,G5/B$17)</f>
        <v>0.46666666666666667</v>
      </c>
      <c r="I5" s="90">
        <v>10</v>
      </c>
      <c r="K5" s="36">
        <v>3</v>
      </c>
      <c r="L5" s="95">
        <v>-71.900000000000006</v>
      </c>
      <c r="N5" s="111" t="s">
        <v>133</v>
      </c>
      <c r="O5" s="118">
        <f t="shared" si="0"/>
        <v>-3333.3333333333335</v>
      </c>
      <c r="P5" s="115">
        <v>6</v>
      </c>
      <c r="Q5" s="99">
        <v>-20000</v>
      </c>
    </row>
    <row r="6" spans="1:17" x14ac:dyDescent="0.4">
      <c r="A6" s="51" t="s">
        <v>1</v>
      </c>
      <c r="B6" s="146">
        <f>IF(B$2=0,0,(B$7*1+B$8*2+B$9*3)/B$2)</f>
        <v>2.1428571428571428</v>
      </c>
      <c r="C6" s="147"/>
      <c r="E6" s="59" t="s">
        <v>171</v>
      </c>
      <c r="F6" s="56" t="s">
        <v>172</v>
      </c>
      <c r="G6" s="44">
        <v>5</v>
      </c>
      <c r="H6" s="129">
        <f>IF(B$17=0,0,G6/B$17)</f>
        <v>0.33333333333333331</v>
      </c>
      <c r="I6" s="90">
        <v>9</v>
      </c>
      <c r="K6" s="36">
        <v>4</v>
      </c>
      <c r="L6" s="95">
        <v>-37.400000000000006</v>
      </c>
      <c r="N6" s="111" t="s">
        <v>134</v>
      </c>
      <c r="O6" s="118">
        <f t="shared" si="0"/>
        <v>4566.666666666667</v>
      </c>
      <c r="P6" s="115">
        <v>3</v>
      </c>
      <c r="Q6" s="99">
        <v>13700</v>
      </c>
    </row>
    <row r="7" spans="1:17" x14ac:dyDescent="0.4">
      <c r="A7" s="51" t="s">
        <v>2</v>
      </c>
      <c r="B7" s="44">
        <v>3</v>
      </c>
      <c r="C7" s="37">
        <f t="shared" ref="C7:C12" si="1">IF(B$2=0,0,B7/B$2)</f>
        <v>0.42857142857142855</v>
      </c>
      <c r="E7" s="59" t="s">
        <v>65</v>
      </c>
      <c r="F7" s="56" t="s">
        <v>21</v>
      </c>
      <c r="G7" s="44">
        <v>3</v>
      </c>
      <c r="H7" s="129">
        <f>IF(B$17=0,0,G7/B$17)</f>
        <v>0.2</v>
      </c>
      <c r="I7" s="90">
        <v>1</v>
      </c>
      <c r="K7" s="36">
        <v>5</v>
      </c>
      <c r="L7" s="95">
        <v>-12.100000000000005</v>
      </c>
      <c r="N7" s="112" t="s">
        <v>135</v>
      </c>
      <c r="O7" s="119">
        <f t="shared" si="0"/>
        <v>-5250</v>
      </c>
      <c r="P7" s="116">
        <v>2</v>
      </c>
      <c r="Q7" s="100">
        <v>-10500</v>
      </c>
    </row>
    <row r="8" spans="1:17" x14ac:dyDescent="0.4">
      <c r="A8" s="51" t="s">
        <v>3</v>
      </c>
      <c r="B8" s="44">
        <v>0</v>
      </c>
      <c r="C8" s="37">
        <f t="shared" si="1"/>
        <v>0</v>
      </c>
      <c r="E8" s="59" t="s">
        <v>68</v>
      </c>
      <c r="F8" s="56" t="s">
        <v>12</v>
      </c>
      <c r="G8" s="44">
        <v>3</v>
      </c>
      <c r="H8" s="129">
        <f>IF(B$17=0,0,G8/B$17)</f>
        <v>0.2</v>
      </c>
      <c r="I8" s="90">
        <v>11</v>
      </c>
      <c r="K8" s="36">
        <v>6</v>
      </c>
      <c r="L8" s="95">
        <v>-59.300000000000011</v>
      </c>
      <c r="N8" s="41"/>
      <c r="O8" s="123"/>
      <c r="P8" s="107"/>
      <c r="Q8" s="105"/>
    </row>
    <row r="9" spans="1:17" x14ac:dyDescent="0.4">
      <c r="A9" s="52" t="s">
        <v>4</v>
      </c>
      <c r="B9" s="45">
        <v>4</v>
      </c>
      <c r="C9" s="38">
        <f t="shared" si="1"/>
        <v>0.5714285714285714</v>
      </c>
      <c r="E9" s="59" t="s">
        <v>89</v>
      </c>
      <c r="F9" s="56" t="s">
        <v>44</v>
      </c>
      <c r="G9" s="44">
        <v>2</v>
      </c>
      <c r="H9" s="129">
        <f>IF(B$17=0,0,G9/B$17)</f>
        <v>0.13333333333333333</v>
      </c>
      <c r="I9" s="90">
        <v>6</v>
      </c>
      <c r="K9" s="36">
        <v>7</v>
      </c>
      <c r="L9" s="95">
        <v>-104.80000000000001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4</v>
      </c>
      <c r="C10" s="38">
        <f t="shared" si="1"/>
        <v>0.5714285714285714</v>
      </c>
      <c r="E10" s="59" t="s">
        <v>69</v>
      </c>
      <c r="F10" s="56" t="s">
        <v>24</v>
      </c>
      <c r="G10" s="44">
        <v>1</v>
      </c>
      <c r="H10" s="129">
        <f>IF(B$17=0,0,G10/B$17)</f>
        <v>6.6666666666666666E-2</v>
      </c>
      <c r="I10" s="90">
        <v>10</v>
      </c>
      <c r="N10" s="110" t="s">
        <v>162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138</v>
      </c>
      <c r="B11" s="45">
        <v>1</v>
      </c>
      <c r="C11" s="38">
        <f t="shared" si="1"/>
        <v>0.14285714285714285</v>
      </c>
      <c r="E11" s="59" t="s">
        <v>70</v>
      </c>
      <c r="F11" s="56" t="s">
        <v>25</v>
      </c>
      <c r="G11" s="44">
        <v>1</v>
      </c>
      <c r="H11" s="129">
        <f>IF(B$17=0,0,G11/B$17)</f>
        <v>6.6666666666666666E-2</v>
      </c>
      <c r="I11" s="90">
        <v>9</v>
      </c>
      <c r="N11" s="111" t="s">
        <v>163</v>
      </c>
      <c r="O11" s="121">
        <f>IF(P11=0,0,Q11/P11)</f>
        <v>-9.8833333333333346</v>
      </c>
      <c r="P11" s="115">
        <v>6</v>
      </c>
      <c r="Q11" s="103">
        <v>-59.300000000000011</v>
      </c>
    </row>
    <row r="12" spans="1:17" x14ac:dyDescent="0.4">
      <c r="A12" s="53" t="s">
        <v>158</v>
      </c>
      <c r="B12" s="46">
        <v>0</v>
      </c>
      <c r="C12" s="40">
        <f t="shared" si="1"/>
        <v>0</v>
      </c>
      <c r="E12" s="59" t="s">
        <v>71</v>
      </c>
      <c r="F12" s="56" t="s">
        <v>26</v>
      </c>
      <c r="G12" s="44">
        <v>1</v>
      </c>
      <c r="H12" s="129">
        <f>IF(B$17=0,0,G12/B$17)</f>
        <v>6.6666666666666666E-2</v>
      </c>
      <c r="I12" s="90">
        <v>9</v>
      </c>
      <c r="N12" s="112" t="s">
        <v>164</v>
      </c>
      <c r="O12" s="122">
        <f>IF(P12=0,0,Q12/P12)</f>
        <v>-45.5</v>
      </c>
      <c r="P12" s="116">
        <v>1</v>
      </c>
      <c r="Q12" s="104">
        <v>-45.5</v>
      </c>
    </row>
    <row r="13" spans="1:17" x14ac:dyDescent="0.4">
      <c r="A13" s="54" t="s">
        <v>121</v>
      </c>
      <c r="B13" s="47">
        <v>15</v>
      </c>
      <c r="C13" s="42">
        <f>IF(B$3=0,0,B13/B$3)</f>
        <v>0.24193548387096775</v>
      </c>
      <c r="E13" s="59" t="s">
        <v>79</v>
      </c>
      <c r="F13" s="56" t="s">
        <v>34</v>
      </c>
      <c r="G13" s="44">
        <v>1</v>
      </c>
      <c r="H13" s="129">
        <f>IF(B$17=0,0,G13/B$17)</f>
        <v>6.6666666666666666E-2</v>
      </c>
      <c r="I13" s="90">
        <v>1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22</v>
      </c>
      <c r="C14" s="37">
        <f>IF(B$3=0,0,B14/B$3)</f>
        <v>0.35483870967741937</v>
      </c>
      <c r="E14" s="59" t="s">
        <v>83</v>
      </c>
      <c r="F14" s="56" t="s">
        <v>38</v>
      </c>
      <c r="G14" s="44">
        <v>1</v>
      </c>
      <c r="H14" s="129">
        <f>IF(B$17=0,0,G14/B$17)</f>
        <v>6.6666666666666666E-2</v>
      </c>
      <c r="I14" s="90">
        <v>5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8</v>
      </c>
      <c r="C15" s="35">
        <f>IF(B$13=0,0,B15/B$13)</f>
        <v>0.53333333333333333</v>
      </c>
      <c r="E15" s="59" t="s">
        <v>86</v>
      </c>
      <c r="F15" s="56" t="s">
        <v>41</v>
      </c>
      <c r="G15" s="44">
        <v>1</v>
      </c>
      <c r="H15" s="129">
        <f>IF(B$17=0,0,G15/B$17)</f>
        <v>6.6666666666666666E-2</v>
      </c>
      <c r="I15" s="90">
        <v>3</v>
      </c>
      <c r="N15" s="110" t="s">
        <v>182</v>
      </c>
      <c r="O15" s="120">
        <f t="shared" ref="O15:O20" si="2">IF(P15=0,0,Q15/P15)</f>
        <v>65.55</v>
      </c>
      <c r="P15" s="114">
        <v>2</v>
      </c>
      <c r="Q15" s="102">
        <v>131.1</v>
      </c>
    </row>
    <row r="16" spans="1:17" x14ac:dyDescent="0.4">
      <c r="A16" s="50" t="s">
        <v>124</v>
      </c>
      <c r="B16" s="43">
        <v>6</v>
      </c>
      <c r="C16" s="35">
        <f>IF(B$14=0,0,B16/B$14)</f>
        <v>0.27272727272727271</v>
      </c>
      <c r="E16" s="59" t="s">
        <v>73</v>
      </c>
      <c r="F16" s="56" t="s">
        <v>28</v>
      </c>
      <c r="G16" s="44">
        <v>0</v>
      </c>
      <c r="H16" s="129">
        <f>IF(B$17=0,0,G16/B$17)</f>
        <v>0</v>
      </c>
      <c r="I16" s="90">
        <v>3</v>
      </c>
      <c r="N16" s="111" t="s">
        <v>179</v>
      </c>
      <c r="O16" s="121">
        <f t="shared" si="2"/>
        <v>56.6</v>
      </c>
      <c r="P16" s="115">
        <v>1</v>
      </c>
      <c r="Q16" s="103">
        <v>56.6</v>
      </c>
    </row>
    <row r="17" spans="1:17" x14ac:dyDescent="0.4">
      <c r="A17" s="50" t="s">
        <v>10</v>
      </c>
      <c r="B17" s="43">
        <f>B19+B18</f>
        <v>15</v>
      </c>
      <c r="C17" s="35">
        <f>IF(B$3=0,0,B17/B$3)</f>
        <v>0.24193548387096775</v>
      </c>
      <c r="E17" s="59" t="s">
        <v>74</v>
      </c>
      <c r="F17" s="56" t="s">
        <v>29</v>
      </c>
      <c r="G17" s="44">
        <v>0</v>
      </c>
      <c r="H17" s="129">
        <f>IF(B$17=0,0,G17/B$17)</f>
        <v>0</v>
      </c>
      <c r="I17" s="90">
        <v>6</v>
      </c>
      <c r="N17" s="111" t="s">
        <v>181</v>
      </c>
      <c r="O17" s="121">
        <f t="shared" si="2"/>
        <v>17.850000000000001</v>
      </c>
      <c r="P17" s="115">
        <v>2</v>
      </c>
      <c r="Q17" s="103">
        <v>35.700000000000003</v>
      </c>
    </row>
    <row r="18" spans="1:17" x14ac:dyDescent="0.4">
      <c r="A18" s="51" t="s">
        <v>12</v>
      </c>
      <c r="B18" s="44">
        <v>5</v>
      </c>
      <c r="C18" s="37">
        <f>IF(B$17=0,0,B18/B$17)</f>
        <v>0.33333333333333331</v>
      </c>
      <c r="E18" s="59" t="s">
        <v>75</v>
      </c>
      <c r="F18" s="56" t="s">
        <v>30</v>
      </c>
      <c r="G18" s="44">
        <v>0</v>
      </c>
      <c r="H18" s="129">
        <f>IF(B$17=0,0,G18/B$17)</f>
        <v>0</v>
      </c>
      <c r="I18" s="90">
        <v>7</v>
      </c>
      <c r="N18" s="111" t="s">
        <v>178</v>
      </c>
      <c r="O18" s="121">
        <f t="shared" si="2"/>
        <v>-53.179999999999993</v>
      </c>
      <c r="P18" s="115">
        <v>5</v>
      </c>
      <c r="Q18" s="103">
        <v>-265.89999999999998</v>
      </c>
    </row>
    <row r="19" spans="1:17" x14ac:dyDescent="0.4">
      <c r="A19" s="51" t="s">
        <v>11</v>
      </c>
      <c r="B19" s="44">
        <v>10</v>
      </c>
      <c r="C19" s="37">
        <f>IF(B$17=0,0,B19/B$17)</f>
        <v>0.66666666666666663</v>
      </c>
      <c r="E19" s="59" t="s">
        <v>76</v>
      </c>
      <c r="F19" s="56" t="s">
        <v>31</v>
      </c>
      <c r="G19" s="44">
        <v>0</v>
      </c>
      <c r="H19" s="129">
        <f>IF(B$17=0,0,G19/B$17)</f>
        <v>0</v>
      </c>
      <c r="I19" s="90">
        <v>1</v>
      </c>
      <c r="N19" s="111" t="s">
        <v>177</v>
      </c>
      <c r="O19" s="121">
        <f t="shared" si="2"/>
        <v>-60.650000000000006</v>
      </c>
      <c r="P19" s="115">
        <v>2</v>
      </c>
      <c r="Q19" s="103">
        <v>-121.30000000000001</v>
      </c>
    </row>
    <row r="20" spans="1:17" x14ac:dyDescent="0.4">
      <c r="A20" s="51" t="s">
        <v>13</v>
      </c>
      <c r="B20" s="44">
        <v>12</v>
      </c>
      <c r="C20" s="37">
        <f>IF(B$3=0,0,B20/B$3)</f>
        <v>0.19354838709677419</v>
      </c>
      <c r="E20" s="59" t="s">
        <v>77</v>
      </c>
      <c r="F20" s="56" t="s">
        <v>32</v>
      </c>
      <c r="G20" s="44">
        <v>0</v>
      </c>
      <c r="H20" s="129">
        <f>IF(B$17=0,0,G20/B$17)</f>
        <v>0</v>
      </c>
      <c r="I20" s="90">
        <v>4</v>
      </c>
      <c r="N20" s="111" t="s">
        <v>127</v>
      </c>
      <c r="O20" s="121">
        <f t="shared" si="2"/>
        <v>-75.3</v>
      </c>
      <c r="P20" s="115">
        <v>2</v>
      </c>
      <c r="Q20" s="103">
        <v>-150.6</v>
      </c>
    </row>
    <row r="21" spans="1:17" x14ac:dyDescent="0.4">
      <c r="A21" s="51" t="s">
        <v>169</v>
      </c>
      <c r="B21" s="44">
        <v>2</v>
      </c>
      <c r="C21" s="131">
        <v>0</v>
      </c>
      <c r="E21" s="59" t="s">
        <v>78</v>
      </c>
      <c r="F21" s="56" t="s">
        <v>33</v>
      </c>
      <c r="G21" s="44">
        <v>0</v>
      </c>
      <c r="H21" s="129">
        <f>IF(B$17=0,0,G21/B$17)</f>
        <v>0</v>
      </c>
      <c r="I21" s="90">
        <v>9</v>
      </c>
    </row>
    <row r="22" spans="1:17" x14ac:dyDescent="0.4">
      <c r="A22" s="51" t="s">
        <v>170</v>
      </c>
      <c r="B22" s="44">
        <v>13</v>
      </c>
      <c r="C22" s="131">
        <v>0</v>
      </c>
      <c r="E22" s="59" t="s">
        <v>80</v>
      </c>
      <c r="F22" s="56" t="s">
        <v>35</v>
      </c>
      <c r="G22" s="44">
        <v>0</v>
      </c>
      <c r="H22" s="129">
        <f>IF(B$17=0,0,G22/B$17)</f>
        <v>0</v>
      </c>
      <c r="I22" s="90">
        <v>1</v>
      </c>
    </row>
    <row r="23" spans="1:17" x14ac:dyDescent="0.4">
      <c r="A23" s="51" t="s">
        <v>5</v>
      </c>
      <c r="B23" s="48">
        <f>IF(B$17=0,0,C23/B$17)</f>
        <v>7473.333333333333</v>
      </c>
      <c r="C23" s="39">
        <v>112100</v>
      </c>
      <c r="E23" s="59" t="s">
        <v>81</v>
      </c>
      <c r="F23" s="56" t="s">
        <v>36</v>
      </c>
      <c r="G23" s="44">
        <v>0</v>
      </c>
      <c r="H23" s="129">
        <f>IF(B$17=0,0,G23/B$17)</f>
        <v>0</v>
      </c>
      <c r="I23" s="90">
        <v>10</v>
      </c>
    </row>
    <row r="24" spans="1:17" x14ac:dyDescent="0.4">
      <c r="A24" s="52" t="s">
        <v>216</v>
      </c>
      <c r="B24" s="136">
        <f>IF($B$17-B$16=0,0,C24/($B$17-B$16))</f>
        <v>7855.5555555555557</v>
      </c>
      <c r="C24" s="137">
        <v>70700</v>
      </c>
      <c r="E24" s="59" t="s">
        <v>82</v>
      </c>
      <c r="F24" s="56" t="s">
        <v>37</v>
      </c>
      <c r="G24" s="44">
        <v>0</v>
      </c>
      <c r="H24" s="129">
        <f>IF(B$17=0,0,G24/B$17)</f>
        <v>0</v>
      </c>
      <c r="I24" s="90">
        <v>1</v>
      </c>
    </row>
    <row r="25" spans="1:17" x14ac:dyDescent="0.4">
      <c r="A25" s="52" t="s">
        <v>217</v>
      </c>
      <c r="B25" s="136">
        <f>IF(B$16=0,0,C25/B$16)</f>
        <v>6900</v>
      </c>
      <c r="C25" s="137">
        <v>41400</v>
      </c>
      <c r="E25" s="59" t="s">
        <v>84</v>
      </c>
      <c r="F25" s="56" t="s">
        <v>39</v>
      </c>
      <c r="G25" s="44">
        <v>0</v>
      </c>
      <c r="H25" s="129">
        <f>IF(B$17=0,0,G25/B$17)</f>
        <v>0</v>
      </c>
      <c r="I25" s="90">
        <v>4</v>
      </c>
    </row>
    <row r="26" spans="1:17" x14ac:dyDescent="0.4">
      <c r="A26" s="52" t="s">
        <v>215</v>
      </c>
      <c r="B26" s="136">
        <f>IF(B$20=0,0,C26/B$20)</f>
        <v>-9075</v>
      </c>
      <c r="C26" s="137">
        <v>-108900</v>
      </c>
      <c r="E26" s="59" t="s">
        <v>85</v>
      </c>
      <c r="F26" s="56" t="s">
        <v>40</v>
      </c>
      <c r="G26" s="44">
        <v>0</v>
      </c>
      <c r="H26" s="129">
        <f>IF(B$17=0,0,G26/B$17)</f>
        <v>0</v>
      </c>
      <c r="I26" s="90">
        <v>6</v>
      </c>
    </row>
    <row r="27" spans="1:17" x14ac:dyDescent="0.4">
      <c r="A27" s="86" t="s">
        <v>140</v>
      </c>
      <c r="B27" s="144">
        <v>4</v>
      </c>
      <c r="C27" s="145"/>
      <c r="E27" s="59" t="s">
        <v>87</v>
      </c>
      <c r="F27" s="56" t="s">
        <v>42</v>
      </c>
      <c r="G27" s="44">
        <v>0</v>
      </c>
      <c r="H27" s="129">
        <f>IF(B$17=0,0,G27/B$17)</f>
        <v>0</v>
      </c>
      <c r="I27" s="90">
        <v>3</v>
      </c>
    </row>
    <row r="28" spans="1:17" x14ac:dyDescent="0.4">
      <c r="A28" s="54" t="s">
        <v>150</v>
      </c>
      <c r="B28" s="142">
        <v>59500</v>
      </c>
      <c r="C28" s="143"/>
      <c r="E28" s="59" t="s">
        <v>88</v>
      </c>
      <c r="F28" s="56" t="s">
        <v>43</v>
      </c>
      <c r="G28" s="44">
        <v>0</v>
      </c>
      <c r="H28" s="129">
        <f>IF(B$17=0,0,G28/B$17)</f>
        <v>0</v>
      </c>
      <c r="I28" s="90">
        <v>4</v>
      </c>
    </row>
    <row r="29" spans="1:17" x14ac:dyDescent="0.4">
      <c r="A29" s="53" t="s">
        <v>141</v>
      </c>
      <c r="B29" s="61">
        <v>0</v>
      </c>
      <c r="C29" s="40">
        <f>IF(B$3=0,0,B29/B$3)</f>
        <v>0</v>
      </c>
      <c r="E29" s="59" t="s">
        <v>90</v>
      </c>
      <c r="F29" s="56" t="s">
        <v>45</v>
      </c>
      <c r="G29" s="44">
        <v>0</v>
      </c>
      <c r="H29" s="129">
        <f>IF(B$17=0,0,G29/B$17)</f>
        <v>0</v>
      </c>
      <c r="I29" s="90">
        <v>4</v>
      </c>
    </row>
    <row r="30" spans="1:17" x14ac:dyDescent="0.4">
      <c r="E30" s="59" t="s">
        <v>91</v>
      </c>
      <c r="F30" s="56" t="s">
        <v>46</v>
      </c>
      <c r="G30" s="44">
        <v>0</v>
      </c>
      <c r="H30" s="129">
        <f>IF(B$17=0,0,G30/B$17)</f>
        <v>0</v>
      </c>
      <c r="I30" s="90">
        <v>8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IF(B$17=0,0,G31/B$17)</f>
        <v>0</v>
      </c>
      <c r="I31" s="90">
        <v>5</v>
      </c>
    </row>
    <row r="32" spans="1:17" x14ac:dyDescent="0.4">
      <c r="E32" s="59" t="s">
        <v>93</v>
      </c>
      <c r="F32" s="56" t="s">
        <v>48</v>
      </c>
      <c r="G32" s="44">
        <v>0</v>
      </c>
      <c r="H32" s="129">
        <f>IF(B$17=0,0,G32/B$17)</f>
        <v>0</v>
      </c>
      <c r="I32" s="90">
        <v>3</v>
      </c>
    </row>
    <row r="33" spans="5:9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</row>
    <row r="34" spans="5:9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5</v>
      </c>
    </row>
    <row r="35" spans="5:9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</row>
    <row r="36" spans="5:9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1</v>
      </c>
    </row>
    <row r="37" spans="5:9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</row>
    <row r="38" spans="5:9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9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9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1</v>
      </c>
    </row>
    <row r="46" spans="5:9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9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10F58B-23C7-4D1F-A96B-F1A8166E7CCD}">
  <sheetPr codeName="Sheet25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8" t="s">
        <v>222</v>
      </c>
      <c r="C1" s="149"/>
      <c r="E1" s="125" t="s">
        <v>165</v>
      </c>
      <c r="F1" s="141" t="s">
        <v>115</v>
      </c>
      <c r="G1" s="140" t="s">
        <v>116</v>
      </c>
      <c r="H1" s="126" t="s">
        <v>117</v>
      </c>
      <c r="I1" s="141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50">
        <v>2</v>
      </c>
      <c r="C2" s="151"/>
      <c r="E2" s="58" t="s">
        <v>72</v>
      </c>
      <c r="F2" s="55" t="s">
        <v>27</v>
      </c>
      <c r="G2" s="43">
        <v>7</v>
      </c>
      <c r="H2" s="128">
        <f>IF(B$17=0,0,G2/B$17)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3600</v>
      </c>
      <c r="P2" s="114">
        <v>2</v>
      </c>
      <c r="Q2" s="98">
        <v>7200</v>
      </c>
    </row>
    <row r="3" spans="1:17" x14ac:dyDescent="0.4">
      <c r="A3" s="51" t="s">
        <v>8</v>
      </c>
      <c r="B3" s="152">
        <v>15</v>
      </c>
      <c r="C3" s="153"/>
      <c r="E3" s="59" t="s">
        <v>66</v>
      </c>
      <c r="F3" s="56" t="s">
        <v>22</v>
      </c>
      <c r="G3" s="44">
        <v>3</v>
      </c>
      <c r="H3" s="129">
        <f>IF(B$17=0,0,G3/B$17)</f>
        <v>0.42857142857142855</v>
      </c>
      <c r="I3" s="90">
        <v>11</v>
      </c>
      <c r="K3" s="36">
        <v>1</v>
      </c>
      <c r="L3" s="95">
        <v>27.8</v>
      </c>
      <c r="N3" s="111" t="s">
        <v>131</v>
      </c>
      <c r="O3" s="118">
        <f t="shared" si="0"/>
        <v>-2200</v>
      </c>
      <c r="P3" s="115">
        <v>2</v>
      </c>
      <c r="Q3" s="99">
        <v>-4400</v>
      </c>
    </row>
    <row r="4" spans="1:17" x14ac:dyDescent="0.4">
      <c r="A4" s="51" t="s">
        <v>6</v>
      </c>
      <c r="B4" s="154">
        <v>26.2</v>
      </c>
      <c r="C4" s="155"/>
      <c r="E4" s="59" t="s">
        <v>67</v>
      </c>
      <c r="F4" s="56" t="s">
        <v>23</v>
      </c>
      <c r="G4" s="44">
        <v>3</v>
      </c>
      <c r="H4" s="129">
        <f>IF(B$17=0,0,G4/B$17)</f>
        <v>0.42857142857142855</v>
      </c>
      <c r="I4" s="90">
        <v>3</v>
      </c>
      <c r="K4" s="36">
        <v>2</v>
      </c>
      <c r="L4" s="95">
        <v>26.2</v>
      </c>
      <c r="N4" s="111" t="s">
        <v>132</v>
      </c>
      <c r="O4" s="118">
        <f t="shared" si="0"/>
        <v>-3500</v>
      </c>
      <c r="P4" s="115">
        <v>2</v>
      </c>
      <c r="Q4" s="99">
        <v>-7000</v>
      </c>
    </row>
    <row r="5" spans="1:17" x14ac:dyDescent="0.4">
      <c r="A5" s="51" t="s">
        <v>7</v>
      </c>
      <c r="B5" s="156">
        <f>IF(B$2=0,0,B$4/B$2)</f>
        <v>13.1</v>
      </c>
      <c r="C5" s="157"/>
      <c r="E5" s="59" t="s">
        <v>89</v>
      </c>
      <c r="F5" s="56" t="s">
        <v>44</v>
      </c>
      <c r="G5" s="44">
        <v>3</v>
      </c>
      <c r="H5" s="129">
        <f>IF(B$17=0,0,G5/B$17)</f>
        <v>0.42857142857142855</v>
      </c>
      <c r="I5" s="90">
        <v>1</v>
      </c>
      <c r="N5" s="111" t="s">
        <v>133</v>
      </c>
      <c r="O5" s="118">
        <f t="shared" si="0"/>
        <v>7950</v>
      </c>
      <c r="P5" s="115">
        <v>2</v>
      </c>
      <c r="Q5" s="99">
        <v>15900</v>
      </c>
    </row>
    <row r="6" spans="1:17" x14ac:dyDescent="0.4">
      <c r="A6" s="51" t="s">
        <v>1</v>
      </c>
      <c r="B6" s="146">
        <f>IF(B$2=0,0,(B$7*1+B$8*2+B$9*3)/B$2)</f>
        <v>1.5</v>
      </c>
      <c r="C6" s="147"/>
      <c r="E6" s="59" t="s">
        <v>64</v>
      </c>
      <c r="F6" s="56" t="s">
        <v>20</v>
      </c>
      <c r="G6" s="44">
        <v>2</v>
      </c>
      <c r="H6" s="129">
        <f>IF(B$17=0,0,G6/B$17)</f>
        <v>0.2857142857142857</v>
      </c>
      <c r="I6" s="90">
        <v>11</v>
      </c>
      <c r="N6" s="111" t="s">
        <v>134</v>
      </c>
      <c r="O6" s="118">
        <f t="shared" si="0"/>
        <v>6000</v>
      </c>
      <c r="P6" s="115">
        <v>2</v>
      </c>
      <c r="Q6" s="99">
        <v>12000</v>
      </c>
    </row>
    <row r="7" spans="1:17" x14ac:dyDescent="0.4">
      <c r="A7" s="51" t="s">
        <v>2</v>
      </c>
      <c r="B7" s="44">
        <v>1</v>
      </c>
      <c r="C7" s="37">
        <f t="shared" ref="C7:C12" si="1">IF(B$2=0,0,B7/B$2)</f>
        <v>0.5</v>
      </c>
      <c r="E7" s="59" t="s">
        <v>68</v>
      </c>
      <c r="F7" s="56" t="s">
        <v>12</v>
      </c>
      <c r="G7" s="44">
        <v>2</v>
      </c>
      <c r="H7" s="129">
        <f>IF(B$17=0,0,G7/B$17)</f>
        <v>0.2857142857142857</v>
      </c>
      <c r="I7" s="90">
        <v>9</v>
      </c>
      <c r="N7" s="112" t="s">
        <v>135</v>
      </c>
      <c r="O7" s="119">
        <f t="shared" si="0"/>
        <v>0</v>
      </c>
      <c r="P7" s="116">
        <v>1</v>
      </c>
      <c r="Q7" s="100">
        <v>0</v>
      </c>
    </row>
    <row r="8" spans="1:17" x14ac:dyDescent="0.4">
      <c r="A8" s="51" t="s">
        <v>3</v>
      </c>
      <c r="B8" s="44">
        <v>1</v>
      </c>
      <c r="C8" s="37">
        <f t="shared" si="1"/>
        <v>0.5</v>
      </c>
      <c r="E8" s="59" t="s">
        <v>83</v>
      </c>
      <c r="F8" s="56" t="s">
        <v>38</v>
      </c>
      <c r="G8" s="44">
        <v>2</v>
      </c>
      <c r="H8" s="129">
        <f>IF(B$17=0,0,G8/B$17)</f>
        <v>0.2857142857142857</v>
      </c>
      <c r="I8" s="90">
        <v>1</v>
      </c>
      <c r="N8" s="41"/>
      <c r="O8" s="123"/>
      <c r="P8" s="107"/>
      <c r="Q8" s="105"/>
    </row>
    <row r="9" spans="1:17" x14ac:dyDescent="0.4">
      <c r="A9" s="52" t="s">
        <v>4</v>
      </c>
      <c r="B9" s="45">
        <v>0</v>
      </c>
      <c r="C9" s="38">
        <f t="shared" si="1"/>
        <v>0</v>
      </c>
      <c r="E9" s="59" t="s">
        <v>70</v>
      </c>
      <c r="F9" s="56" t="s">
        <v>25</v>
      </c>
      <c r="G9" s="44">
        <v>1</v>
      </c>
      <c r="H9" s="129">
        <f>IF(B$17=0,0,G9/B$17)</f>
        <v>0.14285714285714285</v>
      </c>
      <c r="I9" s="90">
        <v>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0</v>
      </c>
      <c r="C10" s="38">
        <f t="shared" si="1"/>
        <v>0</v>
      </c>
      <c r="E10" s="59" t="s">
        <v>71</v>
      </c>
      <c r="F10" s="56" t="s">
        <v>26</v>
      </c>
      <c r="G10" s="44">
        <v>1</v>
      </c>
      <c r="H10" s="129">
        <f>IF(B$17=0,0,G10/B$17)</f>
        <v>0.14285714285714285</v>
      </c>
      <c r="I10" s="90">
        <v>1</v>
      </c>
      <c r="N10" s="110" t="s">
        <v>162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138</v>
      </c>
      <c r="B11" s="45">
        <v>0</v>
      </c>
      <c r="C11" s="38">
        <f t="shared" si="1"/>
        <v>0</v>
      </c>
      <c r="E11" s="59" t="s">
        <v>171</v>
      </c>
      <c r="F11" s="56" t="s">
        <v>172</v>
      </c>
      <c r="G11" s="44">
        <v>1</v>
      </c>
      <c r="H11" s="129">
        <f>IF(B$17=0,0,G11/B$17)</f>
        <v>0.14285714285714285</v>
      </c>
      <c r="I11" s="90">
        <v>11</v>
      </c>
      <c r="N11" s="111" t="s">
        <v>163</v>
      </c>
      <c r="O11" s="121">
        <f>IF(P11=0,0,Q11/P11)</f>
        <v>-1.6</v>
      </c>
      <c r="P11" s="115">
        <v>1</v>
      </c>
      <c r="Q11" s="103">
        <v>-1.6</v>
      </c>
    </row>
    <row r="12" spans="1:17" x14ac:dyDescent="0.4">
      <c r="A12" s="53" t="s">
        <v>158</v>
      </c>
      <c r="B12" s="46">
        <v>0</v>
      </c>
      <c r="C12" s="40">
        <f t="shared" si="1"/>
        <v>0</v>
      </c>
      <c r="E12" s="59" t="s">
        <v>65</v>
      </c>
      <c r="F12" s="56" t="s">
        <v>21</v>
      </c>
      <c r="G12" s="44">
        <v>0</v>
      </c>
      <c r="H12" s="129">
        <f>IF(B$17=0,0,G12/B$17)</f>
        <v>0</v>
      </c>
      <c r="I12" s="90">
        <v>11</v>
      </c>
      <c r="N12" s="112" t="s">
        <v>164</v>
      </c>
      <c r="O12" s="122">
        <f>IF(P12=0,0,Q12/P12)</f>
        <v>27.8</v>
      </c>
      <c r="P12" s="116">
        <v>1</v>
      </c>
      <c r="Q12" s="104">
        <v>27.8</v>
      </c>
    </row>
    <row r="13" spans="1:17" x14ac:dyDescent="0.4">
      <c r="A13" s="54" t="s">
        <v>121</v>
      </c>
      <c r="B13" s="47">
        <v>4</v>
      </c>
      <c r="C13" s="42">
        <f>IF(B$3=0,0,B13/B$3)</f>
        <v>0.26666666666666666</v>
      </c>
      <c r="E13" s="59" t="s">
        <v>69</v>
      </c>
      <c r="F13" s="56" t="s">
        <v>24</v>
      </c>
      <c r="G13" s="44">
        <v>0</v>
      </c>
      <c r="H13" s="129">
        <f>IF(B$17=0,0,G13/B$17)</f>
        <v>0</v>
      </c>
      <c r="I13" s="90">
        <v>11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5</v>
      </c>
      <c r="C14" s="37">
        <f>IF(B$3=0,0,B14/B$3)</f>
        <v>0.33333333333333331</v>
      </c>
      <c r="E14" s="59" t="s">
        <v>73</v>
      </c>
      <c r="F14" s="56" t="s">
        <v>28</v>
      </c>
      <c r="G14" s="44">
        <v>0</v>
      </c>
      <c r="H14" s="129">
        <f>IF(B$17=0,0,G14/B$17)</f>
        <v>0</v>
      </c>
      <c r="I14" s="90">
        <v>3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2</v>
      </c>
      <c r="C15" s="35">
        <f>IF(B$13=0,0,B15/B$13)</f>
        <v>0.5</v>
      </c>
      <c r="E15" s="59" t="s">
        <v>74</v>
      </c>
      <c r="F15" s="56" t="s">
        <v>29</v>
      </c>
      <c r="G15" s="44">
        <v>0</v>
      </c>
      <c r="H15" s="129">
        <f>IF(B$17=0,0,G15/B$17)</f>
        <v>0</v>
      </c>
      <c r="I15" s="90">
        <v>6</v>
      </c>
      <c r="N15" s="110" t="s">
        <v>126</v>
      </c>
      <c r="O15" s="120">
        <f>IF(P15=0,0,Q15/P15)</f>
        <v>70.5</v>
      </c>
      <c r="P15" s="114">
        <v>1</v>
      </c>
      <c r="Q15" s="102">
        <v>70.5</v>
      </c>
    </row>
    <row r="16" spans="1:17" x14ac:dyDescent="0.4">
      <c r="A16" s="50" t="s">
        <v>124</v>
      </c>
      <c r="B16" s="43">
        <v>5</v>
      </c>
      <c r="C16" s="35">
        <f>IF(B$14=0,0,B16/B$14)</f>
        <v>1</v>
      </c>
      <c r="E16" s="59" t="s">
        <v>75</v>
      </c>
      <c r="F16" s="56" t="s">
        <v>30</v>
      </c>
      <c r="G16" s="44">
        <v>0</v>
      </c>
      <c r="H16" s="129">
        <f>IF(B$17=0,0,G16/B$17)</f>
        <v>0</v>
      </c>
      <c r="I16" s="90">
        <v>7</v>
      </c>
      <c r="N16" s="111" t="s">
        <v>182</v>
      </c>
      <c r="O16" s="121">
        <f>IF(P16=0,0,Q16/P16)</f>
        <v>17.649999999999999</v>
      </c>
      <c r="P16" s="115">
        <v>2</v>
      </c>
      <c r="Q16" s="103">
        <v>35.299999999999997</v>
      </c>
    </row>
    <row r="17" spans="1:17" x14ac:dyDescent="0.4">
      <c r="A17" s="50" t="s">
        <v>10</v>
      </c>
      <c r="B17" s="43">
        <f>B19+B18</f>
        <v>7</v>
      </c>
      <c r="C17" s="35">
        <f>IF(B$3=0,0,B17/B$3)</f>
        <v>0.46666666666666667</v>
      </c>
      <c r="E17" s="59" t="s">
        <v>76</v>
      </c>
      <c r="F17" s="56" t="s">
        <v>31</v>
      </c>
      <c r="G17" s="44">
        <v>0</v>
      </c>
      <c r="H17" s="129">
        <f>IF(B$17=0,0,G17/B$17)</f>
        <v>0</v>
      </c>
      <c r="I17" s="90">
        <v>1</v>
      </c>
      <c r="N17" s="111" t="s">
        <v>178</v>
      </c>
      <c r="O17" s="121">
        <f>IF(P17=0,0,Q17/P17)</f>
        <v>-27.200000000000003</v>
      </c>
      <c r="P17" s="115">
        <v>1</v>
      </c>
      <c r="Q17" s="103">
        <v>-27.200000000000003</v>
      </c>
    </row>
    <row r="18" spans="1:17" x14ac:dyDescent="0.4">
      <c r="A18" s="51" t="s">
        <v>12</v>
      </c>
      <c r="B18" s="44">
        <v>2</v>
      </c>
      <c r="C18" s="37">
        <f>IF(B$17=0,0,B18/B$17)</f>
        <v>0.2857142857142857</v>
      </c>
      <c r="E18" s="59" t="s">
        <v>77</v>
      </c>
      <c r="F18" s="56" t="s">
        <v>32</v>
      </c>
      <c r="G18" s="44">
        <v>0</v>
      </c>
      <c r="H18" s="129">
        <f>IF(B$17=0,0,G18/B$17)</f>
        <v>0</v>
      </c>
      <c r="I18" s="90">
        <v>4</v>
      </c>
    </row>
    <row r="19" spans="1:17" x14ac:dyDescent="0.4">
      <c r="A19" s="51" t="s">
        <v>11</v>
      </c>
      <c r="B19" s="44">
        <v>5</v>
      </c>
      <c r="C19" s="37">
        <f>IF(B$17=0,0,B19/B$17)</f>
        <v>0.7142857142857143</v>
      </c>
      <c r="E19" s="59" t="s">
        <v>78</v>
      </c>
      <c r="F19" s="56" t="s">
        <v>33</v>
      </c>
      <c r="G19" s="44">
        <v>0</v>
      </c>
      <c r="H19" s="129">
        <f>IF(B$17=0,0,G19/B$17)</f>
        <v>0</v>
      </c>
      <c r="I19" s="90">
        <v>9</v>
      </c>
    </row>
    <row r="20" spans="1:17" x14ac:dyDescent="0.4">
      <c r="A20" s="51" t="s">
        <v>13</v>
      </c>
      <c r="B20" s="44">
        <v>1</v>
      </c>
      <c r="C20" s="37">
        <f>IF(B$3=0,0,B20/B$3)</f>
        <v>6.6666666666666666E-2</v>
      </c>
      <c r="E20" s="59" t="s">
        <v>79</v>
      </c>
      <c r="F20" s="56" t="s">
        <v>34</v>
      </c>
      <c r="G20" s="44">
        <v>0</v>
      </c>
      <c r="H20" s="129">
        <f>IF(B$17=0,0,G20/B$17)</f>
        <v>0</v>
      </c>
      <c r="I20" s="90">
        <v>7</v>
      </c>
    </row>
    <row r="21" spans="1:17" x14ac:dyDescent="0.4">
      <c r="A21" s="51" t="s">
        <v>169</v>
      </c>
      <c r="B21" s="44">
        <v>2</v>
      </c>
      <c r="C21" s="131">
        <v>0</v>
      </c>
      <c r="E21" s="59" t="s">
        <v>80</v>
      </c>
      <c r="F21" s="56" t="s">
        <v>35</v>
      </c>
      <c r="G21" s="44">
        <v>0</v>
      </c>
      <c r="H21" s="129">
        <f>IF(B$17=0,0,G21/B$17)</f>
        <v>0</v>
      </c>
      <c r="I21" s="90">
        <v>1</v>
      </c>
    </row>
    <row r="22" spans="1:17" x14ac:dyDescent="0.4">
      <c r="A22" s="51" t="s">
        <v>170</v>
      </c>
      <c r="B22" s="44">
        <v>9</v>
      </c>
      <c r="C22" s="131">
        <v>5</v>
      </c>
      <c r="E22" s="59" t="s">
        <v>81</v>
      </c>
      <c r="F22" s="56" t="s">
        <v>36</v>
      </c>
      <c r="G22" s="44">
        <v>0</v>
      </c>
      <c r="H22" s="129">
        <f>IF(B$17=0,0,G22/B$17)</f>
        <v>0</v>
      </c>
      <c r="I22" s="90">
        <v>10</v>
      </c>
    </row>
    <row r="23" spans="1:17" x14ac:dyDescent="0.4">
      <c r="A23" s="51" t="s">
        <v>5</v>
      </c>
      <c r="B23" s="48">
        <f>IF(B$17=0,0,C23/B$17)</f>
        <v>7385.7142857142853</v>
      </c>
      <c r="C23" s="39">
        <v>51700</v>
      </c>
      <c r="E23" s="59" t="s">
        <v>82</v>
      </c>
      <c r="F23" s="56" t="s">
        <v>37</v>
      </c>
      <c r="G23" s="44">
        <v>0</v>
      </c>
      <c r="H23" s="129">
        <f>IF(B$17=0,0,G23/B$17)</f>
        <v>0</v>
      </c>
      <c r="I23" s="90">
        <v>1</v>
      </c>
    </row>
    <row r="24" spans="1:17" x14ac:dyDescent="0.4">
      <c r="A24" s="52" t="s">
        <v>216</v>
      </c>
      <c r="B24" s="136">
        <f>IF($B$17-B$16=0,0,C24/($B$17-B$16))</f>
        <v>8000</v>
      </c>
      <c r="C24" s="137">
        <v>16000</v>
      </c>
      <c r="E24" s="59" t="s">
        <v>84</v>
      </c>
      <c r="F24" s="56" t="s">
        <v>39</v>
      </c>
      <c r="G24" s="44">
        <v>0</v>
      </c>
      <c r="H24" s="129">
        <f>IF(B$17=0,0,G24/B$17)</f>
        <v>0</v>
      </c>
      <c r="I24" s="90">
        <v>4</v>
      </c>
    </row>
    <row r="25" spans="1:17" x14ac:dyDescent="0.4">
      <c r="A25" s="52" t="s">
        <v>217</v>
      </c>
      <c r="B25" s="136">
        <f>IF(B$16=0,0,C25/B$16)</f>
        <v>7140</v>
      </c>
      <c r="C25" s="137">
        <v>35700</v>
      </c>
      <c r="E25" s="59" t="s">
        <v>85</v>
      </c>
      <c r="F25" s="56" t="s">
        <v>40</v>
      </c>
      <c r="G25" s="44">
        <v>0</v>
      </c>
      <c r="H25" s="129">
        <f>IF(B$17=0,0,G25/B$17)</f>
        <v>0</v>
      </c>
      <c r="I25" s="90">
        <v>6</v>
      </c>
    </row>
    <row r="26" spans="1:17" x14ac:dyDescent="0.4">
      <c r="A26" s="52" t="s">
        <v>215</v>
      </c>
      <c r="B26" s="136">
        <f>IF(B$20=0,0,C26/B$20)</f>
        <v>-8000</v>
      </c>
      <c r="C26" s="137">
        <v>-8000</v>
      </c>
      <c r="E26" s="59" t="s">
        <v>86</v>
      </c>
      <c r="F26" s="56" t="s">
        <v>41</v>
      </c>
      <c r="G26" s="44">
        <v>0</v>
      </c>
      <c r="H26" s="129">
        <f>IF(B$17=0,0,G26/B$17)</f>
        <v>0</v>
      </c>
      <c r="I26" s="90">
        <v>11</v>
      </c>
    </row>
    <row r="27" spans="1:17" x14ac:dyDescent="0.4">
      <c r="A27" s="86" t="s">
        <v>140</v>
      </c>
      <c r="B27" s="144">
        <v>4</v>
      </c>
      <c r="C27" s="145"/>
      <c r="E27" s="59" t="s">
        <v>87</v>
      </c>
      <c r="F27" s="56" t="s">
        <v>42</v>
      </c>
      <c r="G27" s="44">
        <v>0</v>
      </c>
      <c r="H27" s="129">
        <f>IF(B$17=0,0,G27/B$17)</f>
        <v>0</v>
      </c>
      <c r="I27" s="90">
        <v>3</v>
      </c>
    </row>
    <row r="28" spans="1:17" x14ac:dyDescent="0.4">
      <c r="A28" s="54" t="s">
        <v>150</v>
      </c>
      <c r="B28" s="142">
        <v>52800</v>
      </c>
      <c r="C28" s="143"/>
      <c r="E28" s="59" t="s">
        <v>88</v>
      </c>
      <c r="F28" s="56" t="s">
        <v>43</v>
      </c>
      <c r="G28" s="44">
        <v>0</v>
      </c>
      <c r="H28" s="129">
        <f>IF(B$17=0,0,G28/B$17)</f>
        <v>0</v>
      </c>
      <c r="I28" s="90">
        <v>4</v>
      </c>
    </row>
    <row r="29" spans="1:17" x14ac:dyDescent="0.4">
      <c r="A29" s="53" t="s">
        <v>141</v>
      </c>
      <c r="B29" s="61">
        <v>1</v>
      </c>
      <c r="C29" s="40">
        <f>IF(B$3=0,0,B29/B$3)</f>
        <v>6.6666666666666666E-2</v>
      </c>
      <c r="E29" s="59" t="s">
        <v>90</v>
      </c>
      <c r="F29" s="56" t="s">
        <v>45</v>
      </c>
      <c r="G29" s="44">
        <v>0</v>
      </c>
      <c r="H29" s="129">
        <f>IF(B$17=0,0,G29/B$17)</f>
        <v>0</v>
      </c>
      <c r="I29" s="90">
        <v>4</v>
      </c>
    </row>
    <row r="30" spans="1:17" x14ac:dyDescent="0.4">
      <c r="E30" s="59" t="s">
        <v>91</v>
      </c>
      <c r="F30" s="56" t="s">
        <v>46</v>
      </c>
      <c r="G30" s="44">
        <v>0</v>
      </c>
      <c r="H30" s="129">
        <f>IF(B$17=0,0,G30/B$17)</f>
        <v>0</v>
      </c>
      <c r="I30" s="90">
        <v>8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IF(B$17=0,0,G31/B$17)</f>
        <v>0</v>
      </c>
      <c r="I31" s="90">
        <v>5</v>
      </c>
    </row>
    <row r="32" spans="1:17" x14ac:dyDescent="0.4">
      <c r="E32" s="59" t="s">
        <v>93</v>
      </c>
      <c r="F32" s="56" t="s">
        <v>48</v>
      </c>
      <c r="G32" s="44">
        <v>0</v>
      </c>
      <c r="H32" s="129">
        <f>IF(B$17=0,0,G32/B$17)</f>
        <v>0</v>
      </c>
      <c r="I32" s="90">
        <v>3</v>
      </c>
    </row>
    <row r="33" spans="5:9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</row>
    <row r="34" spans="5:9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5</v>
      </c>
    </row>
    <row r="35" spans="5:9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</row>
    <row r="36" spans="5:9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1</v>
      </c>
    </row>
    <row r="37" spans="5:9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</row>
    <row r="38" spans="5:9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9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9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1</v>
      </c>
    </row>
    <row r="46" spans="5:9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9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2E266-DC58-4F11-894D-64199DBCB0D1}">
  <sheetPr codeName="Sheet26"/>
  <dimension ref="A1:Q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222</v>
      </c>
      <c r="B1" s="66" t="s">
        <v>222</v>
      </c>
      <c r="C1" s="66" t="s">
        <v>222</v>
      </c>
      <c r="D1" s="67" t="s">
        <v>222</v>
      </c>
      <c r="E1" s="66" t="s">
        <v>222</v>
      </c>
      <c r="F1" s="66" t="s">
        <v>222</v>
      </c>
      <c r="G1" s="66" t="s">
        <v>222</v>
      </c>
      <c r="H1" s="66" t="s">
        <v>222</v>
      </c>
      <c r="I1" s="66" t="s">
        <v>222</v>
      </c>
      <c r="J1" s="66" t="s">
        <v>222</v>
      </c>
      <c r="K1" s="66" t="s">
        <v>222</v>
      </c>
      <c r="L1" s="66" t="s">
        <v>222</v>
      </c>
      <c r="M1" s="66" t="s">
        <v>222</v>
      </c>
      <c r="N1" s="66" t="s">
        <v>222</v>
      </c>
      <c r="O1" s="66" t="s">
        <v>222</v>
      </c>
      <c r="P1" s="66" t="s">
        <v>222</v>
      </c>
      <c r="Q1" s="66" t="s">
        <v>222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27.8</v>
      </c>
      <c r="C4" s="62">
        <v>27.8</v>
      </c>
      <c r="D4" s="67">
        <v>1</v>
      </c>
      <c r="E4" s="63">
        <v>1</v>
      </c>
      <c r="F4" s="63">
        <v>0</v>
      </c>
      <c r="G4" s="63">
        <v>0.5</v>
      </c>
      <c r="H4" s="63">
        <v>0</v>
      </c>
      <c r="I4" s="64">
        <v>7950</v>
      </c>
      <c r="J4" s="64">
        <v>0</v>
      </c>
      <c r="K4" s="63">
        <v>0</v>
      </c>
      <c r="L4" s="63">
        <v>0</v>
      </c>
      <c r="M4" s="63">
        <v>0</v>
      </c>
      <c r="N4" s="63">
        <v>0.5</v>
      </c>
      <c r="O4" s="63">
        <v>0</v>
      </c>
      <c r="P4" s="63">
        <v>1</v>
      </c>
      <c r="Q4" s="63">
        <v>0</v>
      </c>
    </row>
    <row r="5" spans="1:17" x14ac:dyDescent="0.4">
      <c r="A5" s="65">
        <v>2</v>
      </c>
      <c r="B5" s="62">
        <v>26.2</v>
      </c>
      <c r="C5" s="62">
        <v>13.1</v>
      </c>
      <c r="D5" s="67">
        <v>1.5</v>
      </c>
      <c r="E5" s="63">
        <v>0.5</v>
      </c>
      <c r="F5" s="63">
        <v>0</v>
      </c>
      <c r="G5" s="63">
        <v>0.46666666666666667</v>
      </c>
      <c r="H5" s="63">
        <v>6.6666666666666666E-2</v>
      </c>
      <c r="I5" s="64">
        <v>7385.7142857142853</v>
      </c>
      <c r="J5" s="64">
        <v>-8000</v>
      </c>
      <c r="K5" s="63">
        <v>0</v>
      </c>
      <c r="L5" s="63">
        <v>0</v>
      </c>
      <c r="M5" s="63">
        <v>0.26666666666666666</v>
      </c>
      <c r="N5" s="63">
        <v>0.33333333333333331</v>
      </c>
      <c r="O5" s="63">
        <v>0.5</v>
      </c>
      <c r="P5" s="63">
        <v>1</v>
      </c>
      <c r="Q5" s="63">
        <v>0.2857142857142857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5B797-182E-40D3-B7D0-3B48FF81C949}">
  <sheetPr codeName="Sheet24"/>
  <dimension ref="A1:Q10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195</v>
      </c>
      <c r="B1" s="66" t="s">
        <v>195</v>
      </c>
      <c r="C1" s="66" t="s">
        <v>195</v>
      </c>
      <c r="D1" s="67" t="s">
        <v>195</v>
      </c>
      <c r="E1" s="66" t="s">
        <v>195</v>
      </c>
      <c r="F1" s="66" t="s">
        <v>195</v>
      </c>
      <c r="G1" s="66" t="s">
        <v>195</v>
      </c>
      <c r="H1" s="66" t="s">
        <v>195</v>
      </c>
      <c r="I1" s="66" t="s">
        <v>195</v>
      </c>
      <c r="J1" s="66" t="s">
        <v>195</v>
      </c>
      <c r="K1" s="66" t="s">
        <v>195</v>
      </c>
      <c r="L1" s="66" t="s">
        <v>195</v>
      </c>
      <c r="M1" s="66" t="s">
        <v>195</v>
      </c>
      <c r="N1" s="66" t="s">
        <v>195</v>
      </c>
      <c r="O1" s="66" t="s">
        <v>195</v>
      </c>
      <c r="P1" s="66" t="s">
        <v>195</v>
      </c>
      <c r="Q1" s="66" t="s">
        <v>195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-46.5</v>
      </c>
      <c r="C4" s="62">
        <v>-46.5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0.27272727272727271</v>
      </c>
      <c r="I4" s="64">
        <v>12000</v>
      </c>
      <c r="J4" s="64">
        <v>-9333.3333333333339</v>
      </c>
      <c r="K4" s="63">
        <v>1</v>
      </c>
      <c r="L4" s="63">
        <v>0</v>
      </c>
      <c r="M4" s="63">
        <v>0.27272727272727271</v>
      </c>
      <c r="N4" s="63">
        <v>0.36363636363636365</v>
      </c>
      <c r="O4" s="63">
        <v>0.33333333333333331</v>
      </c>
      <c r="P4" s="63">
        <v>0</v>
      </c>
      <c r="Q4" s="63">
        <v>1</v>
      </c>
    </row>
    <row r="5" spans="1:17" x14ac:dyDescent="0.4">
      <c r="A5" s="65">
        <v>2</v>
      </c>
      <c r="B5" s="62">
        <v>-25.4</v>
      </c>
      <c r="C5" s="62">
        <v>-12.7</v>
      </c>
      <c r="D5" s="67">
        <v>2</v>
      </c>
      <c r="E5" s="63">
        <v>0.5</v>
      </c>
      <c r="F5" s="63">
        <v>0.5</v>
      </c>
      <c r="G5" s="63">
        <v>0.22222222222222221</v>
      </c>
      <c r="H5" s="63">
        <v>0.16666666666666666</v>
      </c>
      <c r="I5" s="64">
        <v>9450</v>
      </c>
      <c r="J5" s="64">
        <v>-9333.3333333333339</v>
      </c>
      <c r="K5" s="63">
        <v>0.5</v>
      </c>
      <c r="L5" s="63">
        <v>0</v>
      </c>
      <c r="M5" s="63">
        <v>0.27777777777777779</v>
      </c>
      <c r="N5" s="63">
        <v>0.33333333333333331</v>
      </c>
      <c r="O5" s="63">
        <v>0.4</v>
      </c>
      <c r="P5" s="63">
        <v>0.33333333333333331</v>
      </c>
      <c r="Q5" s="63">
        <v>0.5</v>
      </c>
    </row>
    <row r="6" spans="1:17" x14ac:dyDescent="0.4">
      <c r="A6" s="65">
        <v>3</v>
      </c>
      <c r="B6" s="62">
        <v>-71.900000000000006</v>
      </c>
      <c r="C6" s="62">
        <v>-23.966666666666669</v>
      </c>
      <c r="D6" s="67">
        <v>2.3333333333333335</v>
      </c>
      <c r="E6" s="63">
        <v>0.33333333333333331</v>
      </c>
      <c r="F6" s="63">
        <v>0.66666666666666663</v>
      </c>
      <c r="G6" s="63">
        <v>0.17241379310344829</v>
      </c>
      <c r="H6" s="63">
        <v>0.20689655172413793</v>
      </c>
      <c r="I6" s="64">
        <v>9960</v>
      </c>
      <c r="J6" s="64">
        <v>-9333.3333333333339</v>
      </c>
      <c r="K6" s="63">
        <v>0.66666666666666663</v>
      </c>
      <c r="L6" s="63">
        <v>0</v>
      </c>
      <c r="M6" s="63">
        <v>0.27586206896551724</v>
      </c>
      <c r="N6" s="63">
        <v>0.34482758620689657</v>
      </c>
      <c r="O6" s="63">
        <v>0.375</v>
      </c>
      <c r="P6" s="63">
        <v>0.2</v>
      </c>
      <c r="Q6" s="63">
        <v>0.6</v>
      </c>
    </row>
    <row r="7" spans="1:17" x14ac:dyDescent="0.4">
      <c r="A7" s="65">
        <v>4</v>
      </c>
      <c r="B7" s="62">
        <v>-37.400000000000006</v>
      </c>
      <c r="C7" s="62">
        <v>-9.3500000000000014</v>
      </c>
      <c r="D7" s="67">
        <v>2</v>
      </c>
      <c r="E7" s="63">
        <v>0.5</v>
      </c>
      <c r="F7" s="63">
        <v>0.5</v>
      </c>
      <c r="G7" s="63">
        <v>0.25</v>
      </c>
      <c r="H7" s="63">
        <v>0.17499999999999999</v>
      </c>
      <c r="I7" s="64">
        <v>7780</v>
      </c>
      <c r="J7" s="64">
        <v>-9142.8571428571431</v>
      </c>
      <c r="K7" s="63">
        <v>0.5</v>
      </c>
      <c r="L7" s="63">
        <v>0.25</v>
      </c>
      <c r="M7" s="63">
        <v>0.27500000000000002</v>
      </c>
      <c r="N7" s="63">
        <v>0.35</v>
      </c>
      <c r="O7" s="63">
        <v>0.45454545454545453</v>
      </c>
      <c r="P7" s="63">
        <v>0.2857142857142857</v>
      </c>
      <c r="Q7" s="63">
        <v>0.4</v>
      </c>
    </row>
    <row r="8" spans="1:17" x14ac:dyDescent="0.4">
      <c r="A8" s="65">
        <v>5</v>
      </c>
      <c r="B8" s="62">
        <v>-12.100000000000005</v>
      </c>
      <c r="C8" s="62">
        <v>-2.4200000000000008</v>
      </c>
      <c r="D8" s="67">
        <v>1.8</v>
      </c>
      <c r="E8" s="63">
        <v>0.6</v>
      </c>
      <c r="F8" s="63">
        <v>0.4</v>
      </c>
      <c r="G8" s="63">
        <v>0.29166666666666669</v>
      </c>
      <c r="H8" s="63">
        <v>0.16666666666666666</v>
      </c>
      <c r="I8" s="64">
        <v>7914.2857142857147</v>
      </c>
      <c r="J8" s="64">
        <v>-8962.5</v>
      </c>
      <c r="K8" s="63">
        <v>0.4</v>
      </c>
      <c r="L8" s="63">
        <v>0.2</v>
      </c>
      <c r="M8" s="63">
        <v>0.27083333333333331</v>
      </c>
      <c r="N8" s="63">
        <v>0.375</v>
      </c>
      <c r="O8" s="63">
        <v>0.53846153846153844</v>
      </c>
      <c r="P8" s="63">
        <v>0.33333333333333331</v>
      </c>
      <c r="Q8" s="63">
        <v>0.35714285714285715</v>
      </c>
    </row>
    <row r="9" spans="1:17" x14ac:dyDescent="0.4">
      <c r="A9" s="65">
        <v>6</v>
      </c>
      <c r="B9" s="62">
        <v>-59.300000000000011</v>
      </c>
      <c r="C9" s="62">
        <v>-9.8833333333333346</v>
      </c>
      <c r="D9" s="67">
        <v>2</v>
      </c>
      <c r="E9" s="63">
        <v>0.5</v>
      </c>
      <c r="F9" s="63">
        <v>0.5</v>
      </c>
      <c r="G9" s="63">
        <v>0.25454545454545452</v>
      </c>
      <c r="H9" s="63">
        <v>0.18181818181818182</v>
      </c>
      <c r="I9" s="64">
        <v>7914.2857142857147</v>
      </c>
      <c r="J9" s="64">
        <v>-8140</v>
      </c>
      <c r="K9" s="63">
        <v>0.5</v>
      </c>
      <c r="L9" s="63">
        <v>0.16666666666666666</v>
      </c>
      <c r="M9" s="63">
        <v>0.23636363636363636</v>
      </c>
      <c r="N9" s="63">
        <v>0.38181818181818183</v>
      </c>
      <c r="O9" s="63">
        <v>0.53846153846153844</v>
      </c>
      <c r="P9" s="63">
        <v>0.2857142857142857</v>
      </c>
      <c r="Q9" s="63">
        <v>0.35714285714285715</v>
      </c>
    </row>
    <row r="10" spans="1:17" x14ac:dyDescent="0.4">
      <c r="A10" s="65">
        <v>7</v>
      </c>
      <c r="B10" s="62">
        <v>-104.80000000000001</v>
      </c>
      <c r="C10" s="62">
        <v>-14.971428571428573</v>
      </c>
      <c r="D10" s="67">
        <v>2.1428571428571428</v>
      </c>
      <c r="E10" s="63">
        <v>0.42857142857142855</v>
      </c>
      <c r="F10" s="63">
        <v>0.5714285714285714</v>
      </c>
      <c r="G10" s="63">
        <v>0.24193548387096775</v>
      </c>
      <c r="H10" s="63">
        <v>0.19354838709677419</v>
      </c>
      <c r="I10" s="64">
        <v>7473.333333333333</v>
      </c>
      <c r="J10" s="64">
        <v>-9075</v>
      </c>
      <c r="K10" s="63">
        <v>0.5714285714285714</v>
      </c>
      <c r="L10" s="63">
        <v>0.14285714285714285</v>
      </c>
      <c r="M10" s="63">
        <v>0.24193548387096775</v>
      </c>
      <c r="N10" s="63">
        <v>0.35483870967741937</v>
      </c>
      <c r="O10" s="63">
        <v>0.53333333333333333</v>
      </c>
      <c r="P10" s="63">
        <v>0.27272727272727271</v>
      </c>
      <c r="Q10" s="63">
        <v>0.33333333333333331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C8623-AEA0-4824-A49A-696ED658C8EE}">
  <sheetPr codeName="Sheet22"/>
  <dimension ref="A1:Q17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181</v>
      </c>
      <c r="B1" s="66" t="s">
        <v>181</v>
      </c>
      <c r="C1" s="66" t="s">
        <v>181</v>
      </c>
      <c r="D1" s="67" t="s">
        <v>181</v>
      </c>
      <c r="E1" s="66" t="s">
        <v>181</v>
      </c>
      <c r="F1" s="66" t="s">
        <v>181</v>
      </c>
      <c r="G1" s="66" t="s">
        <v>181</v>
      </c>
      <c r="H1" s="66" t="s">
        <v>181</v>
      </c>
      <c r="I1" s="66" t="s">
        <v>181</v>
      </c>
      <c r="J1" s="66" t="s">
        <v>181</v>
      </c>
      <c r="K1" s="66" t="s">
        <v>181</v>
      </c>
      <c r="L1" s="66" t="s">
        <v>181</v>
      </c>
      <c r="M1" s="66" t="s">
        <v>181</v>
      </c>
      <c r="N1" s="66" t="s">
        <v>181</v>
      </c>
      <c r="O1" s="66" t="s">
        <v>181</v>
      </c>
      <c r="P1" s="66" t="s">
        <v>181</v>
      </c>
      <c r="Q1" s="66" t="s">
        <v>181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70.2</v>
      </c>
      <c r="C4" s="62">
        <v>70.2</v>
      </c>
      <c r="D4" s="67">
        <v>1</v>
      </c>
      <c r="E4" s="63">
        <v>1</v>
      </c>
      <c r="F4" s="63">
        <v>0</v>
      </c>
      <c r="G4" s="63">
        <v>0.55555555555555558</v>
      </c>
      <c r="H4" s="63">
        <v>0.1111111111111111</v>
      </c>
      <c r="I4" s="64">
        <v>13940</v>
      </c>
      <c r="J4" s="64">
        <v>-12000</v>
      </c>
      <c r="K4" s="63">
        <v>0</v>
      </c>
      <c r="L4" s="63">
        <v>1</v>
      </c>
      <c r="M4" s="63">
        <v>0.44444444444444442</v>
      </c>
      <c r="N4" s="63">
        <v>0</v>
      </c>
      <c r="O4" s="63">
        <v>0.75</v>
      </c>
      <c r="P4" s="63">
        <v>0</v>
      </c>
      <c r="Q4" s="63">
        <v>0.2</v>
      </c>
    </row>
    <row r="5" spans="1:17" x14ac:dyDescent="0.4">
      <c r="A5" s="65">
        <v>2</v>
      </c>
      <c r="B5" s="62">
        <v>68.5</v>
      </c>
      <c r="C5" s="62">
        <v>34.25</v>
      </c>
      <c r="D5" s="67">
        <v>1.5</v>
      </c>
      <c r="E5" s="63">
        <v>0.5</v>
      </c>
      <c r="F5" s="63">
        <v>0</v>
      </c>
      <c r="G5" s="63">
        <v>0.5</v>
      </c>
      <c r="H5" s="63">
        <v>6.25E-2</v>
      </c>
      <c r="I5" s="64">
        <v>9800</v>
      </c>
      <c r="J5" s="64">
        <v>-12000</v>
      </c>
      <c r="K5" s="63">
        <v>0</v>
      </c>
      <c r="L5" s="63">
        <v>0.5</v>
      </c>
      <c r="M5" s="63">
        <v>0.375</v>
      </c>
      <c r="N5" s="63">
        <v>0</v>
      </c>
      <c r="O5" s="63">
        <v>0.83333333333333337</v>
      </c>
      <c r="P5" s="63">
        <v>0</v>
      </c>
      <c r="Q5" s="63">
        <v>0.375</v>
      </c>
    </row>
    <row r="6" spans="1:17" x14ac:dyDescent="0.4">
      <c r="A6" s="65">
        <v>3</v>
      </c>
      <c r="B6" s="62">
        <v>76</v>
      </c>
      <c r="C6" s="62">
        <v>25.333333333333332</v>
      </c>
      <c r="D6" s="67">
        <v>1.6666666666666667</v>
      </c>
      <c r="E6" s="63">
        <v>0.33333333333333331</v>
      </c>
      <c r="F6" s="63">
        <v>0</v>
      </c>
      <c r="G6" s="63">
        <v>0.47826086956521741</v>
      </c>
      <c r="H6" s="63">
        <v>8.6956521739130432E-2</v>
      </c>
      <c r="I6" s="64">
        <v>9200</v>
      </c>
      <c r="J6" s="64">
        <v>-8900</v>
      </c>
      <c r="K6" s="63">
        <v>0</v>
      </c>
      <c r="L6" s="63">
        <v>0.33333333333333331</v>
      </c>
      <c r="M6" s="63">
        <v>0.39130434782608697</v>
      </c>
      <c r="N6" s="63">
        <v>4.3478260869565216E-2</v>
      </c>
      <c r="O6" s="63">
        <v>0.77777777777777779</v>
      </c>
      <c r="P6" s="63">
        <v>0</v>
      </c>
      <c r="Q6" s="63">
        <v>0.54545454545454541</v>
      </c>
    </row>
    <row r="7" spans="1:17" x14ac:dyDescent="0.4">
      <c r="A7" s="65">
        <v>4</v>
      </c>
      <c r="B7" s="62">
        <v>115.5</v>
      </c>
      <c r="C7" s="62">
        <v>28.875</v>
      </c>
      <c r="D7" s="67">
        <v>1.5</v>
      </c>
      <c r="E7" s="63">
        <v>0.5</v>
      </c>
      <c r="F7" s="63">
        <v>0</v>
      </c>
      <c r="G7" s="63">
        <v>0.45454545454545453</v>
      </c>
      <c r="H7" s="63">
        <v>6.0606060606060608E-2</v>
      </c>
      <c r="I7" s="64">
        <v>8746.6666666666661</v>
      </c>
      <c r="J7" s="64">
        <v>-8900</v>
      </c>
      <c r="K7" s="63">
        <v>0</v>
      </c>
      <c r="L7" s="63">
        <v>0.5</v>
      </c>
      <c r="M7" s="63">
        <v>0.36363636363636365</v>
      </c>
      <c r="N7" s="63">
        <v>6.0606060606060608E-2</v>
      </c>
      <c r="O7" s="63">
        <v>0.83333333333333337</v>
      </c>
      <c r="P7" s="63">
        <v>0.5</v>
      </c>
      <c r="Q7" s="63">
        <v>0.46666666666666667</v>
      </c>
    </row>
    <row r="8" spans="1:17" x14ac:dyDescent="0.4">
      <c r="A8" s="65">
        <v>5</v>
      </c>
      <c r="B8" s="62">
        <v>127.9</v>
      </c>
      <c r="C8" s="62">
        <v>25.580000000000002</v>
      </c>
      <c r="D8" s="67">
        <v>1.6</v>
      </c>
      <c r="E8" s="63">
        <v>0.4</v>
      </c>
      <c r="F8" s="63">
        <v>0</v>
      </c>
      <c r="G8" s="63">
        <v>0.38636363636363635</v>
      </c>
      <c r="H8" s="63">
        <v>6.8181818181818177E-2</v>
      </c>
      <c r="I8" s="64">
        <v>8894.1176470588234</v>
      </c>
      <c r="J8" s="64">
        <v>-6800</v>
      </c>
      <c r="K8" s="63">
        <v>0</v>
      </c>
      <c r="L8" s="63">
        <v>0.4</v>
      </c>
      <c r="M8" s="63">
        <v>0.36363636363636365</v>
      </c>
      <c r="N8" s="63">
        <v>9.0909090909090912E-2</v>
      </c>
      <c r="O8" s="63">
        <v>0.6875</v>
      </c>
      <c r="P8" s="63">
        <v>0.25</v>
      </c>
      <c r="Q8" s="63">
        <v>0.41176470588235292</v>
      </c>
    </row>
    <row r="9" spans="1:17" x14ac:dyDescent="0.4">
      <c r="A9" s="65">
        <v>6</v>
      </c>
      <c r="B9" s="62">
        <v>149.4</v>
      </c>
      <c r="C9" s="62">
        <v>24.900000000000002</v>
      </c>
      <c r="D9" s="67">
        <v>1.5</v>
      </c>
      <c r="E9" s="63">
        <v>0.5</v>
      </c>
      <c r="F9" s="63">
        <v>0</v>
      </c>
      <c r="G9" s="63">
        <v>0.39622641509433965</v>
      </c>
      <c r="H9" s="63">
        <v>5.6603773584905662E-2</v>
      </c>
      <c r="I9" s="64">
        <v>8461.9047619047615</v>
      </c>
      <c r="J9" s="64">
        <v>-6800</v>
      </c>
      <c r="K9" s="63">
        <v>0</v>
      </c>
      <c r="L9" s="63">
        <v>0.33333333333333331</v>
      </c>
      <c r="M9" s="63">
        <v>0.37735849056603776</v>
      </c>
      <c r="N9" s="63">
        <v>0.11320754716981132</v>
      </c>
      <c r="O9" s="63">
        <v>0.75</v>
      </c>
      <c r="P9" s="63">
        <v>0.16666666666666666</v>
      </c>
      <c r="Q9" s="63">
        <v>0.42857142857142855</v>
      </c>
    </row>
    <row r="10" spans="1:17" x14ac:dyDescent="0.4">
      <c r="A10" s="65">
        <v>7</v>
      </c>
      <c r="B10" s="62">
        <v>123</v>
      </c>
      <c r="C10" s="62">
        <v>17.571428571428573</v>
      </c>
      <c r="D10" s="67">
        <v>1.7142857142857142</v>
      </c>
      <c r="E10" s="63">
        <v>0.42857142857142855</v>
      </c>
      <c r="F10" s="63">
        <v>0.14285714285714285</v>
      </c>
      <c r="G10" s="63">
        <v>0.34375</v>
      </c>
      <c r="H10" s="63">
        <v>9.375E-2</v>
      </c>
      <c r="I10" s="64">
        <v>8622.7272727272721</v>
      </c>
      <c r="J10" s="64">
        <v>-5550</v>
      </c>
      <c r="K10" s="63">
        <v>0</v>
      </c>
      <c r="L10" s="63">
        <v>0.2857142857142857</v>
      </c>
      <c r="M10" s="63">
        <v>0.359375</v>
      </c>
      <c r="N10" s="63">
        <v>0.109375</v>
      </c>
      <c r="O10" s="63">
        <v>0.65217391304347827</v>
      </c>
      <c r="P10" s="63">
        <v>0.2857142857142857</v>
      </c>
      <c r="Q10" s="63">
        <v>0.45454545454545453</v>
      </c>
    </row>
    <row r="11" spans="1:17" x14ac:dyDescent="0.4">
      <c r="A11" s="65">
        <v>8</v>
      </c>
      <c r="B11" s="62">
        <v>124.6</v>
      </c>
      <c r="C11" s="62">
        <v>15.574999999999999</v>
      </c>
      <c r="D11" s="67">
        <v>1.75</v>
      </c>
      <c r="E11" s="63">
        <v>0.375</v>
      </c>
      <c r="F11" s="63">
        <v>0.125</v>
      </c>
      <c r="G11" s="63">
        <v>0.33783783783783783</v>
      </c>
      <c r="H11" s="63">
        <v>9.45945945945946E-2</v>
      </c>
      <c r="I11" s="64">
        <v>8352</v>
      </c>
      <c r="J11" s="64">
        <v>-5128.5714285714284</v>
      </c>
      <c r="K11" s="63">
        <v>0</v>
      </c>
      <c r="L11" s="63">
        <v>0.25</v>
      </c>
      <c r="M11" s="63">
        <v>0.32432432432432434</v>
      </c>
      <c r="N11" s="63">
        <v>0.13513513513513514</v>
      </c>
      <c r="O11" s="63">
        <v>0.66666666666666663</v>
      </c>
      <c r="P11" s="63">
        <v>0.3</v>
      </c>
      <c r="Q11" s="63">
        <v>0.44</v>
      </c>
    </row>
    <row r="12" spans="1:17" x14ac:dyDescent="0.4">
      <c r="A12" s="65">
        <v>9</v>
      </c>
      <c r="B12" s="62">
        <v>141.5</v>
      </c>
      <c r="C12" s="62">
        <v>15.722222222222221</v>
      </c>
      <c r="D12" s="67">
        <v>1.6666666666666667</v>
      </c>
      <c r="E12" s="63">
        <v>0.44444444444444442</v>
      </c>
      <c r="F12" s="63">
        <v>0.1111111111111111</v>
      </c>
      <c r="G12" s="63">
        <v>0.32558139534883723</v>
      </c>
      <c r="H12" s="63">
        <v>0.10465116279069768</v>
      </c>
      <c r="I12" s="64">
        <v>8175</v>
      </c>
      <c r="J12" s="64">
        <v>-4433.333333333333</v>
      </c>
      <c r="K12" s="63">
        <v>0</v>
      </c>
      <c r="L12" s="63">
        <v>0.22222222222222221</v>
      </c>
      <c r="M12" s="63">
        <v>0.29069767441860467</v>
      </c>
      <c r="N12" s="63">
        <v>0.15116279069767441</v>
      </c>
      <c r="O12" s="63">
        <v>0.68</v>
      </c>
      <c r="P12" s="63">
        <v>0.30769230769230771</v>
      </c>
      <c r="Q12" s="63">
        <v>0.5</v>
      </c>
    </row>
    <row r="13" spans="1:17" x14ac:dyDescent="0.4">
      <c r="A13" s="65">
        <v>10</v>
      </c>
      <c r="B13" s="62">
        <v>162.80000000000001</v>
      </c>
      <c r="C13" s="62">
        <v>16.28</v>
      </c>
      <c r="D13" s="67">
        <v>1.6</v>
      </c>
      <c r="E13" s="63">
        <v>0.5</v>
      </c>
      <c r="F13" s="63">
        <v>0.1</v>
      </c>
      <c r="G13" s="63">
        <v>0.33333333333333331</v>
      </c>
      <c r="H13" s="63">
        <v>9.6774193548387094E-2</v>
      </c>
      <c r="I13" s="64">
        <v>7790.322580645161</v>
      </c>
      <c r="J13" s="64">
        <v>-4433.333333333333</v>
      </c>
      <c r="K13" s="63">
        <v>0</v>
      </c>
      <c r="L13" s="63">
        <v>0.2</v>
      </c>
      <c r="M13" s="63">
        <v>0.31182795698924731</v>
      </c>
      <c r="N13" s="63">
        <v>0.15053763440860216</v>
      </c>
      <c r="O13" s="63">
        <v>0.65517241379310343</v>
      </c>
      <c r="P13" s="63">
        <v>0.35714285714285715</v>
      </c>
      <c r="Q13" s="63">
        <v>0.4838709677419355</v>
      </c>
    </row>
    <row r="14" spans="1:17" x14ac:dyDescent="0.4">
      <c r="A14" s="65">
        <v>11</v>
      </c>
      <c r="B14" s="62">
        <v>126.10000000000001</v>
      </c>
      <c r="C14" s="62">
        <v>11.463636363636365</v>
      </c>
      <c r="D14" s="67">
        <v>1.7272727272727273</v>
      </c>
      <c r="E14" s="63">
        <v>0.45454545454545453</v>
      </c>
      <c r="F14" s="63">
        <v>0.18181818181818182</v>
      </c>
      <c r="G14" s="63">
        <v>0.3300970873786408</v>
      </c>
      <c r="H14" s="63">
        <v>0.11650485436893204</v>
      </c>
      <c r="I14" s="64">
        <v>7779.411764705882</v>
      </c>
      <c r="J14" s="64">
        <v>-6041.666666666667</v>
      </c>
      <c r="K14" s="63">
        <v>0</v>
      </c>
      <c r="L14" s="63">
        <v>0.18181818181818182</v>
      </c>
      <c r="M14" s="63">
        <v>0.29126213592233008</v>
      </c>
      <c r="N14" s="63">
        <v>0.14563106796116504</v>
      </c>
      <c r="O14" s="63">
        <v>0.66666666666666663</v>
      </c>
      <c r="P14" s="63">
        <v>0.33333333333333331</v>
      </c>
      <c r="Q14" s="63">
        <v>0.52941176470588236</v>
      </c>
    </row>
    <row r="15" spans="1:17" x14ac:dyDescent="0.4">
      <c r="A15" s="65">
        <v>12</v>
      </c>
      <c r="B15" s="62">
        <v>78.100000000000009</v>
      </c>
      <c r="C15" s="62">
        <v>6.5083333333333337</v>
      </c>
      <c r="D15" s="67">
        <v>1.8333333333333333</v>
      </c>
      <c r="E15" s="63">
        <v>0.41666666666666669</v>
      </c>
      <c r="F15" s="63">
        <v>0.25</v>
      </c>
      <c r="G15" s="63">
        <v>0.30172413793103448</v>
      </c>
      <c r="H15" s="63">
        <v>0.1206896551724138</v>
      </c>
      <c r="I15" s="64">
        <v>7777.1428571428569</v>
      </c>
      <c r="J15" s="64">
        <v>-6007.1428571428569</v>
      </c>
      <c r="K15" s="63">
        <v>8.3333333333333329E-2</v>
      </c>
      <c r="L15" s="63">
        <v>0.16666666666666666</v>
      </c>
      <c r="M15" s="63">
        <v>0.26724137931034481</v>
      </c>
      <c r="N15" s="63">
        <v>0.13793103448275862</v>
      </c>
      <c r="O15" s="63">
        <v>0.67741935483870963</v>
      </c>
      <c r="P15" s="63">
        <v>0.3125</v>
      </c>
      <c r="Q15" s="63">
        <v>0.51428571428571423</v>
      </c>
    </row>
    <row r="16" spans="1:17" x14ac:dyDescent="0.4">
      <c r="A16" s="65">
        <v>13</v>
      </c>
      <c r="B16" s="62">
        <v>76.7</v>
      </c>
      <c r="C16" s="62">
        <v>5.9</v>
      </c>
      <c r="D16" s="67">
        <v>1.8461538461538463</v>
      </c>
      <c r="E16" s="63">
        <v>0.38461538461538464</v>
      </c>
      <c r="F16" s="63">
        <v>0.23076923076923078</v>
      </c>
      <c r="G16" s="63">
        <v>0.30158730158730157</v>
      </c>
      <c r="H16" s="63">
        <v>0.12698412698412698</v>
      </c>
      <c r="I16" s="64">
        <v>7607.894736842105</v>
      </c>
      <c r="J16" s="64">
        <v>-6118.75</v>
      </c>
      <c r="K16" s="63">
        <v>7.6923076923076927E-2</v>
      </c>
      <c r="L16" s="63">
        <v>0.15384615384615385</v>
      </c>
      <c r="M16" s="63">
        <v>0.26984126984126983</v>
      </c>
      <c r="N16" s="63">
        <v>0.15079365079365079</v>
      </c>
      <c r="O16" s="63">
        <v>0.67647058823529416</v>
      </c>
      <c r="P16" s="63">
        <v>0.31578947368421051</v>
      </c>
      <c r="Q16" s="63">
        <v>0.5</v>
      </c>
    </row>
    <row r="17" spans="1:17" x14ac:dyDescent="0.4">
      <c r="A17" s="65">
        <v>14</v>
      </c>
      <c r="B17" s="62">
        <v>49.900000000000006</v>
      </c>
      <c r="C17" s="62">
        <v>3.5642857142857145</v>
      </c>
      <c r="D17" s="67">
        <v>1.9285714285714286</v>
      </c>
      <c r="E17" s="63">
        <v>0.35714285714285715</v>
      </c>
      <c r="F17" s="63">
        <v>0.2857142857142857</v>
      </c>
      <c r="G17" s="63">
        <v>0.28873239436619719</v>
      </c>
      <c r="H17" s="63">
        <v>0.13380281690140844</v>
      </c>
      <c r="I17" s="64">
        <v>7782.9268292682927</v>
      </c>
      <c r="J17" s="64">
        <v>-6800</v>
      </c>
      <c r="K17" s="63">
        <v>7.1428571428571425E-2</v>
      </c>
      <c r="L17" s="63">
        <v>0.14285714285714285</v>
      </c>
      <c r="M17" s="63">
        <v>0.28169014084507044</v>
      </c>
      <c r="N17" s="63">
        <v>0.15492957746478872</v>
      </c>
      <c r="O17" s="63">
        <v>0.625</v>
      </c>
      <c r="P17" s="63">
        <v>0.31818181818181818</v>
      </c>
      <c r="Q17" s="63">
        <v>0.53658536585365857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DAA8BD-E6B9-4FE1-8EB3-D751B9130B53}">
  <sheetPr codeName="Sheet20"/>
  <dimension ref="A1:Q30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182</v>
      </c>
      <c r="B1" s="66" t="s">
        <v>182</v>
      </c>
      <c r="C1" s="66" t="s">
        <v>182</v>
      </c>
      <c r="D1" s="67" t="s">
        <v>182</v>
      </c>
      <c r="E1" s="66" t="s">
        <v>182</v>
      </c>
      <c r="F1" s="66" t="s">
        <v>182</v>
      </c>
      <c r="G1" s="66" t="s">
        <v>182</v>
      </c>
      <c r="H1" s="66" t="s">
        <v>182</v>
      </c>
      <c r="I1" s="66" t="s">
        <v>182</v>
      </c>
      <c r="J1" s="66" t="s">
        <v>182</v>
      </c>
      <c r="K1" s="66" t="s">
        <v>182</v>
      </c>
      <c r="L1" s="66" t="s">
        <v>182</v>
      </c>
      <c r="M1" s="66" t="s">
        <v>182</v>
      </c>
      <c r="N1" s="66" t="s">
        <v>182</v>
      </c>
      <c r="O1" s="66" t="s">
        <v>182</v>
      </c>
      <c r="P1" s="66" t="s">
        <v>182</v>
      </c>
      <c r="Q1" s="66" t="s">
        <v>182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-12</v>
      </c>
      <c r="C4" s="62">
        <v>-12</v>
      </c>
      <c r="D4" s="67">
        <v>2</v>
      </c>
      <c r="E4" s="63">
        <v>0</v>
      </c>
      <c r="F4" s="63">
        <v>0</v>
      </c>
      <c r="G4" s="63">
        <v>0.33333333333333331</v>
      </c>
      <c r="H4" s="63">
        <v>0.33333333333333331</v>
      </c>
      <c r="I4" s="64">
        <v>8400</v>
      </c>
      <c r="J4" s="64">
        <v>-9233.3333333333339</v>
      </c>
      <c r="K4" s="63">
        <v>0</v>
      </c>
      <c r="L4" s="63">
        <v>0</v>
      </c>
      <c r="M4" s="63">
        <v>0.44444444444444442</v>
      </c>
      <c r="N4" s="63">
        <v>0.22222222222222221</v>
      </c>
      <c r="O4" s="63">
        <v>0.5</v>
      </c>
      <c r="P4" s="63">
        <v>0.5</v>
      </c>
      <c r="Q4" s="63">
        <v>0.33333333333333331</v>
      </c>
    </row>
    <row r="5" spans="1:17" x14ac:dyDescent="0.4">
      <c r="A5" s="65">
        <v>2</v>
      </c>
      <c r="B5" s="62">
        <v>-40.6</v>
      </c>
      <c r="C5" s="62">
        <v>-20.3</v>
      </c>
      <c r="D5" s="67">
        <v>2.5</v>
      </c>
      <c r="E5" s="63">
        <v>0</v>
      </c>
      <c r="F5" s="63">
        <v>0.5</v>
      </c>
      <c r="G5" s="63">
        <v>0.25</v>
      </c>
      <c r="H5" s="63">
        <v>0.25</v>
      </c>
      <c r="I5" s="64">
        <v>8300</v>
      </c>
      <c r="J5" s="64">
        <v>-8925</v>
      </c>
      <c r="K5" s="63">
        <v>0</v>
      </c>
      <c r="L5" s="63">
        <v>0</v>
      </c>
      <c r="M5" s="63">
        <v>0.3125</v>
      </c>
      <c r="N5" s="63">
        <v>0.1875</v>
      </c>
      <c r="O5" s="63">
        <v>0.6</v>
      </c>
      <c r="P5" s="63">
        <v>0.33333333333333331</v>
      </c>
      <c r="Q5" s="63">
        <v>0.5</v>
      </c>
    </row>
    <row r="6" spans="1:17" x14ac:dyDescent="0.4">
      <c r="A6" s="65">
        <v>3</v>
      </c>
      <c r="B6" s="62">
        <v>-33.6</v>
      </c>
      <c r="C6" s="62">
        <v>-11.200000000000001</v>
      </c>
      <c r="D6" s="67">
        <v>2.3333333333333335</v>
      </c>
      <c r="E6" s="63">
        <v>0</v>
      </c>
      <c r="F6" s="63">
        <v>0.33333333333333331</v>
      </c>
      <c r="G6" s="63">
        <v>0.23076923076923078</v>
      </c>
      <c r="H6" s="63">
        <v>0.19230769230769232</v>
      </c>
      <c r="I6" s="64">
        <v>9533.3333333333339</v>
      </c>
      <c r="J6" s="64">
        <v>-9540</v>
      </c>
      <c r="K6" s="63">
        <v>0</v>
      </c>
      <c r="L6" s="63">
        <v>0</v>
      </c>
      <c r="M6" s="63">
        <v>0.34615384615384615</v>
      </c>
      <c r="N6" s="63">
        <v>0.23076923076923078</v>
      </c>
      <c r="O6" s="63">
        <v>0.55555555555555558</v>
      </c>
      <c r="P6" s="63">
        <v>0.16666666666666666</v>
      </c>
      <c r="Q6" s="63">
        <v>0.5</v>
      </c>
    </row>
    <row r="7" spans="1:17" x14ac:dyDescent="0.4">
      <c r="A7" s="65">
        <v>4</v>
      </c>
      <c r="B7" s="62">
        <v>-80.5</v>
      </c>
      <c r="C7" s="62">
        <v>-20.125</v>
      </c>
      <c r="D7" s="67">
        <v>2.5</v>
      </c>
      <c r="E7" s="63">
        <v>0</v>
      </c>
      <c r="F7" s="63">
        <v>0.5</v>
      </c>
      <c r="G7" s="63">
        <v>0.1891891891891892</v>
      </c>
      <c r="H7" s="63">
        <v>0.24324324324324326</v>
      </c>
      <c r="I7" s="64">
        <v>9028.5714285714294</v>
      </c>
      <c r="J7" s="64">
        <v>-8566.6666666666661</v>
      </c>
      <c r="K7" s="63">
        <v>0.25</v>
      </c>
      <c r="L7" s="63">
        <v>0</v>
      </c>
      <c r="M7" s="63">
        <v>0.27027027027027029</v>
      </c>
      <c r="N7" s="63">
        <v>0.24324324324324326</v>
      </c>
      <c r="O7" s="63">
        <v>0.6</v>
      </c>
      <c r="P7" s="63">
        <v>0.1111111111111111</v>
      </c>
      <c r="Q7" s="63">
        <v>0.5714285714285714</v>
      </c>
    </row>
    <row r="8" spans="1:17" x14ac:dyDescent="0.4">
      <c r="A8" s="65">
        <v>5</v>
      </c>
      <c r="B8" s="62">
        <v>-124.3</v>
      </c>
      <c r="C8" s="62">
        <v>-24.86</v>
      </c>
      <c r="D8" s="67">
        <v>2.6</v>
      </c>
      <c r="E8" s="63">
        <v>0</v>
      </c>
      <c r="F8" s="63">
        <v>0.6</v>
      </c>
      <c r="G8" s="63">
        <v>0.14893617021276595</v>
      </c>
      <c r="H8" s="63">
        <v>0.23404255319148937</v>
      </c>
      <c r="I8" s="64">
        <v>9028.5714285714294</v>
      </c>
      <c r="J8" s="64">
        <v>-8827.2727272727279</v>
      </c>
      <c r="K8" s="63">
        <v>0.2</v>
      </c>
      <c r="L8" s="63">
        <v>0</v>
      </c>
      <c r="M8" s="63">
        <v>0.27659574468085107</v>
      </c>
      <c r="N8" s="63">
        <v>0.23404255319148937</v>
      </c>
      <c r="O8" s="63">
        <v>0.46153846153846156</v>
      </c>
      <c r="P8" s="63">
        <v>9.0909090909090912E-2</v>
      </c>
      <c r="Q8" s="63">
        <v>0.5714285714285714</v>
      </c>
    </row>
    <row r="9" spans="1:17" x14ac:dyDescent="0.4">
      <c r="A9" s="65">
        <v>6</v>
      </c>
      <c r="B9" s="62">
        <v>-159.6</v>
      </c>
      <c r="C9" s="62">
        <v>-26.599999999999998</v>
      </c>
      <c r="D9" s="67">
        <v>2.6666666666666665</v>
      </c>
      <c r="E9" s="63">
        <v>0</v>
      </c>
      <c r="F9" s="63">
        <v>0.66666666666666663</v>
      </c>
      <c r="G9" s="63">
        <v>0.12727272727272726</v>
      </c>
      <c r="H9" s="63">
        <v>0.23636363636363636</v>
      </c>
      <c r="I9" s="64">
        <v>9028.5714285714294</v>
      </c>
      <c r="J9" s="64">
        <v>-8069.2307692307695</v>
      </c>
      <c r="K9" s="63">
        <v>0.16666666666666666</v>
      </c>
      <c r="L9" s="63">
        <v>0</v>
      </c>
      <c r="M9" s="63">
        <v>0.25454545454545452</v>
      </c>
      <c r="N9" s="63">
        <v>0.2</v>
      </c>
      <c r="O9" s="63">
        <v>0.42857142857142855</v>
      </c>
      <c r="P9" s="63">
        <v>9.0909090909090912E-2</v>
      </c>
      <c r="Q9" s="63">
        <v>0.5714285714285714</v>
      </c>
    </row>
    <row r="10" spans="1:17" x14ac:dyDescent="0.4">
      <c r="A10" s="65">
        <v>7</v>
      </c>
      <c r="B10" s="62">
        <v>-99.5</v>
      </c>
      <c r="C10" s="62">
        <v>-14.214285714285714</v>
      </c>
      <c r="D10" s="67">
        <v>2.4285714285714284</v>
      </c>
      <c r="E10" s="63">
        <v>0.14285714285714285</v>
      </c>
      <c r="F10" s="63">
        <v>0.5714285714285714</v>
      </c>
      <c r="G10" s="63">
        <v>0.19047619047619047</v>
      </c>
      <c r="H10" s="63">
        <v>0.23809523809523808</v>
      </c>
      <c r="I10" s="64">
        <v>10583.333333333334</v>
      </c>
      <c r="J10" s="64">
        <v>-8040</v>
      </c>
      <c r="K10" s="63">
        <v>0.14285714285714285</v>
      </c>
      <c r="L10" s="63">
        <v>0.14285714285714285</v>
      </c>
      <c r="M10" s="63">
        <v>0.26984126984126983</v>
      </c>
      <c r="N10" s="63">
        <v>0.22222222222222221</v>
      </c>
      <c r="O10" s="63">
        <v>0.47058823529411764</v>
      </c>
      <c r="P10" s="63">
        <v>0.2857142857142857</v>
      </c>
      <c r="Q10" s="63">
        <v>0.5</v>
      </c>
    </row>
    <row r="11" spans="1:17" x14ac:dyDescent="0.4">
      <c r="A11" s="65">
        <v>8</v>
      </c>
      <c r="B11" s="62">
        <v>-152.6</v>
      </c>
      <c r="C11" s="62">
        <v>-19.074999999999999</v>
      </c>
      <c r="D11" s="67">
        <v>2.5</v>
      </c>
      <c r="E11" s="63">
        <v>0.125</v>
      </c>
      <c r="F11" s="63">
        <v>0.625</v>
      </c>
      <c r="G11" s="63">
        <v>0.20289855072463769</v>
      </c>
      <c r="H11" s="63">
        <v>0.24637681159420291</v>
      </c>
      <c r="I11" s="64">
        <v>9742.8571428571431</v>
      </c>
      <c r="J11" s="64">
        <v>-10035.294117647059</v>
      </c>
      <c r="K11" s="63">
        <v>0.25</v>
      </c>
      <c r="L11" s="63">
        <v>0.125</v>
      </c>
      <c r="M11" s="63">
        <v>0.27536231884057971</v>
      </c>
      <c r="N11" s="63">
        <v>0.21739130434782608</v>
      </c>
      <c r="O11" s="63">
        <v>0.47368421052631576</v>
      </c>
      <c r="P11" s="63">
        <v>0.33333333333333331</v>
      </c>
      <c r="Q11" s="63">
        <v>0.5714285714285714</v>
      </c>
    </row>
    <row r="12" spans="1:17" x14ac:dyDescent="0.4">
      <c r="A12" s="65">
        <v>9</v>
      </c>
      <c r="B12" s="62">
        <v>-150.6</v>
      </c>
      <c r="C12" s="62">
        <v>-16.733333333333334</v>
      </c>
      <c r="D12" s="67">
        <v>2.4444444444444446</v>
      </c>
      <c r="E12" s="63">
        <v>0.1111111111111111</v>
      </c>
      <c r="F12" s="63">
        <v>0.55555555555555558</v>
      </c>
      <c r="G12" s="63">
        <v>0.21333333333333335</v>
      </c>
      <c r="H12" s="63">
        <v>0.25333333333333335</v>
      </c>
      <c r="I12" s="64">
        <v>9350</v>
      </c>
      <c r="J12" s="64">
        <v>-9452.6315789473683</v>
      </c>
      <c r="K12" s="63">
        <v>0.22222222222222221</v>
      </c>
      <c r="L12" s="63">
        <v>0.1111111111111111</v>
      </c>
      <c r="M12" s="63">
        <v>0.26666666666666666</v>
      </c>
      <c r="N12" s="63">
        <v>0.21333333333333335</v>
      </c>
      <c r="O12" s="63">
        <v>0.5</v>
      </c>
      <c r="P12" s="63">
        <v>0.375</v>
      </c>
      <c r="Q12" s="63">
        <v>0.5625</v>
      </c>
    </row>
    <row r="13" spans="1:17" x14ac:dyDescent="0.4">
      <c r="A13" s="65">
        <v>10</v>
      </c>
      <c r="B13" s="62">
        <v>-151.1</v>
      </c>
      <c r="C13" s="62">
        <v>-15.11</v>
      </c>
      <c r="D13" s="67">
        <v>2.4</v>
      </c>
      <c r="E13" s="63">
        <v>0.1</v>
      </c>
      <c r="F13" s="63">
        <v>0.5</v>
      </c>
      <c r="G13" s="63">
        <v>0.2289156626506024</v>
      </c>
      <c r="H13" s="63">
        <v>0.2289156626506024</v>
      </c>
      <c r="I13" s="64">
        <v>8273.6842105263149</v>
      </c>
      <c r="J13" s="64">
        <v>-9452.6315789473683</v>
      </c>
      <c r="K13" s="63">
        <v>0.2</v>
      </c>
      <c r="L13" s="63">
        <v>0.1</v>
      </c>
      <c r="M13" s="63">
        <v>0.25301204819277107</v>
      </c>
      <c r="N13" s="63">
        <v>0.2289156626506024</v>
      </c>
      <c r="O13" s="63">
        <v>0.52380952380952384</v>
      </c>
      <c r="P13" s="63">
        <v>0.42105263157894735</v>
      </c>
      <c r="Q13" s="63">
        <v>0.52631578947368418</v>
      </c>
    </row>
    <row r="14" spans="1:17" x14ac:dyDescent="0.4">
      <c r="A14" s="65">
        <v>11</v>
      </c>
      <c r="B14" s="62">
        <v>-175</v>
      </c>
      <c r="C14" s="62">
        <v>-15.909090909090908</v>
      </c>
      <c r="D14" s="67">
        <v>2.4545454545454546</v>
      </c>
      <c r="E14" s="63">
        <v>9.0909090909090912E-2</v>
      </c>
      <c r="F14" s="63">
        <v>0.54545454545454541</v>
      </c>
      <c r="G14" s="63">
        <v>0.22222222222222221</v>
      </c>
      <c r="H14" s="63">
        <v>0.22222222222222221</v>
      </c>
      <c r="I14" s="64">
        <v>8760</v>
      </c>
      <c r="J14" s="64">
        <v>-10180</v>
      </c>
      <c r="K14" s="63">
        <v>0.18181818181818182</v>
      </c>
      <c r="L14" s="63">
        <v>9.0909090909090912E-2</v>
      </c>
      <c r="M14" s="63">
        <v>0.24444444444444444</v>
      </c>
      <c r="N14" s="63">
        <v>0.23333333333333334</v>
      </c>
      <c r="O14" s="63">
        <v>0.54545454545454541</v>
      </c>
      <c r="P14" s="63">
        <v>0.38095238095238093</v>
      </c>
      <c r="Q14" s="63">
        <v>0.5</v>
      </c>
    </row>
    <row r="15" spans="1:17" x14ac:dyDescent="0.4">
      <c r="A15" s="65">
        <v>12</v>
      </c>
      <c r="B15" s="62">
        <v>-176.9</v>
      </c>
      <c r="C15" s="62">
        <v>-14.741666666666667</v>
      </c>
      <c r="D15" s="67">
        <v>2.4166666666666665</v>
      </c>
      <c r="E15" s="63">
        <v>8.3333333333333329E-2</v>
      </c>
      <c r="F15" s="63">
        <v>0.5</v>
      </c>
      <c r="G15" s="63">
        <v>0.23711340206185566</v>
      </c>
      <c r="H15" s="63">
        <v>0.21649484536082475</v>
      </c>
      <c r="I15" s="64">
        <v>8543.4782608695659</v>
      </c>
      <c r="J15" s="64">
        <v>-10061.904761904761</v>
      </c>
      <c r="K15" s="63">
        <v>0.16666666666666666</v>
      </c>
      <c r="L15" s="63">
        <v>8.3333333333333329E-2</v>
      </c>
      <c r="M15" s="63">
        <v>0.24742268041237114</v>
      </c>
      <c r="N15" s="63">
        <v>0.22680412371134021</v>
      </c>
      <c r="O15" s="63">
        <v>0.58333333333333337</v>
      </c>
      <c r="P15" s="63">
        <v>0.36363636363636365</v>
      </c>
      <c r="Q15" s="63">
        <v>0.47826086956521741</v>
      </c>
    </row>
    <row r="16" spans="1:17" x14ac:dyDescent="0.4">
      <c r="A16" s="65">
        <v>13</v>
      </c>
      <c r="B16" s="62">
        <v>-217.60000000000002</v>
      </c>
      <c r="C16" s="62">
        <v>-16.738461538461539</v>
      </c>
      <c r="D16" s="67">
        <v>2.4615384615384617</v>
      </c>
      <c r="E16" s="63">
        <v>7.6923076923076927E-2</v>
      </c>
      <c r="F16" s="63">
        <v>0.53846153846153844</v>
      </c>
      <c r="G16" s="63">
        <v>0.22857142857142856</v>
      </c>
      <c r="H16" s="63">
        <v>0.21904761904761905</v>
      </c>
      <c r="I16" s="64">
        <v>8354.1666666666661</v>
      </c>
      <c r="J16" s="64">
        <v>-9747.826086956522</v>
      </c>
      <c r="K16" s="63">
        <v>0.15384615384615385</v>
      </c>
      <c r="L16" s="63">
        <v>7.6923076923076927E-2</v>
      </c>
      <c r="M16" s="63">
        <v>0.24761904761904763</v>
      </c>
      <c r="N16" s="63">
        <v>0.22857142857142856</v>
      </c>
      <c r="O16" s="63">
        <v>0.57692307692307687</v>
      </c>
      <c r="P16" s="63">
        <v>0.33333333333333331</v>
      </c>
      <c r="Q16" s="63">
        <v>0.5</v>
      </c>
    </row>
    <row r="17" spans="1:17" x14ac:dyDescent="0.4">
      <c r="A17" s="65">
        <v>14</v>
      </c>
      <c r="B17" s="62">
        <v>-266.90000000000003</v>
      </c>
      <c r="C17" s="62">
        <v>-19.064285714285717</v>
      </c>
      <c r="D17" s="67">
        <v>2.5</v>
      </c>
      <c r="E17" s="63">
        <v>7.1428571428571425E-2</v>
      </c>
      <c r="F17" s="63">
        <v>0.5714285714285714</v>
      </c>
      <c r="G17" s="63">
        <v>0.22413793103448276</v>
      </c>
      <c r="H17" s="63">
        <v>0.21551724137931033</v>
      </c>
      <c r="I17" s="64">
        <v>8296.1538461538457</v>
      </c>
      <c r="J17" s="64">
        <v>-9804</v>
      </c>
      <c r="K17" s="63">
        <v>0.21428571428571427</v>
      </c>
      <c r="L17" s="63">
        <v>7.1428571428571425E-2</v>
      </c>
      <c r="M17" s="63">
        <v>0.26724137931034481</v>
      </c>
      <c r="N17" s="63">
        <v>0.21551724137931033</v>
      </c>
      <c r="O17" s="63">
        <v>0.5161290322580645</v>
      </c>
      <c r="P17" s="63">
        <v>0.36</v>
      </c>
      <c r="Q17" s="63">
        <v>0.5</v>
      </c>
    </row>
    <row r="18" spans="1:17" x14ac:dyDescent="0.4">
      <c r="A18" s="65">
        <v>15</v>
      </c>
      <c r="B18" s="62">
        <v>-272.50000000000006</v>
      </c>
      <c r="C18" s="62">
        <v>-18.166666666666671</v>
      </c>
      <c r="D18" s="67">
        <v>2.4666666666666668</v>
      </c>
      <c r="E18" s="63">
        <v>6.6666666666666666E-2</v>
      </c>
      <c r="F18" s="63">
        <v>0.53333333333333333</v>
      </c>
      <c r="G18" s="63">
        <v>0.22131147540983606</v>
      </c>
      <c r="H18" s="63">
        <v>0.20491803278688525</v>
      </c>
      <c r="I18" s="64">
        <v>8133.333333333333</v>
      </c>
      <c r="J18" s="64">
        <v>-9804</v>
      </c>
      <c r="K18" s="63">
        <v>0.2</v>
      </c>
      <c r="L18" s="63">
        <v>6.6666666666666666E-2</v>
      </c>
      <c r="M18" s="63">
        <v>0.25409836065573771</v>
      </c>
      <c r="N18" s="63">
        <v>0.22950819672131148</v>
      </c>
      <c r="O18" s="63">
        <v>0.5161290322580645</v>
      </c>
      <c r="P18" s="63">
        <v>0.35714285714285715</v>
      </c>
      <c r="Q18" s="63">
        <v>0.48148148148148145</v>
      </c>
    </row>
    <row r="19" spans="1:17" x14ac:dyDescent="0.4">
      <c r="A19" s="65">
        <v>16</v>
      </c>
      <c r="B19" s="62">
        <v>-320.30000000000007</v>
      </c>
      <c r="C19" s="62">
        <v>-20.018750000000004</v>
      </c>
      <c r="D19" s="67">
        <v>2.5</v>
      </c>
      <c r="E19" s="63">
        <v>6.25E-2</v>
      </c>
      <c r="F19" s="63">
        <v>0.5625</v>
      </c>
      <c r="G19" s="63">
        <v>0.21875</v>
      </c>
      <c r="H19" s="63">
        <v>0.21875</v>
      </c>
      <c r="I19" s="64">
        <v>7917.8571428571431</v>
      </c>
      <c r="J19" s="64">
        <v>-9821.4285714285706</v>
      </c>
      <c r="K19" s="63">
        <v>0.25</v>
      </c>
      <c r="L19" s="63">
        <v>6.25E-2</v>
      </c>
      <c r="M19" s="63">
        <v>0.2421875</v>
      </c>
      <c r="N19" s="63">
        <v>0.234375</v>
      </c>
      <c r="O19" s="63">
        <v>0.5161290322580645</v>
      </c>
      <c r="P19" s="63">
        <v>0.33333333333333331</v>
      </c>
      <c r="Q19" s="63">
        <v>0.5</v>
      </c>
    </row>
    <row r="20" spans="1:17" x14ac:dyDescent="0.4">
      <c r="A20" s="65">
        <v>17</v>
      </c>
      <c r="B20" s="62">
        <v>-352.60000000000008</v>
      </c>
      <c r="C20" s="62">
        <v>-20.74117647058824</v>
      </c>
      <c r="D20" s="67">
        <v>2.5294117647058822</v>
      </c>
      <c r="E20" s="63">
        <v>5.8823529411764705E-2</v>
      </c>
      <c r="F20" s="63">
        <v>0.58823529411764708</v>
      </c>
      <c r="G20" s="63">
        <v>0.22058823529411764</v>
      </c>
      <c r="H20" s="63">
        <v>0.22794117647058823</v>
      </c>
      <c r="I20" s="64">
        <v>7876.666666666667</v>
      </c>
      <c r="J20" s="64">
        <v>-9593.5483870967746</v>
      </c>
      <c r="K20" s="63">
        <v>0.23529411764705882</v>
      </c>
      <c r="L20" s="63">
        <v>5.8823529411764705E-2</v>
      </c>
      <c r="M20" s="63">
        <v>0.23529411764705882</v>
      </c>
      <c r="N20" s="63">
        <v>0.22794117647058823</v>
      </c>
      <c r="O20" s="63">
        <v>0.53125</v>
      </c>
      <c r="P20" s="63">
        <v>0.32258064516129031</v>
      </c>
      <c r="Q20" s="63">
        <v>0.46666666666666667</v>
      </c>
    </row>
    <row r="21" spans="1:17" x14ac:dyDescent="0.4">
      <c r="A21" s="65">
        <v>18</v>
      </c>
      <c r="B21" s="62">
        <v>-355.50000000000006</v>
      </c>
      <c r="C21" s="62">
        <v>-19.750000000000004</v>
      </c>
      <c r="D21" s="67">
        <v>2.5</v>
      </c>
      <c r="E21" s="63">
        <v>5.5555555555555552E-2</v>
      </c>
      <c r="F21" s="63">
        <v>0.55555555555555558</v>
      </c>
      <c r="G21" s="63">
        <v>0.22377622377622378</v>
      </c>
      <c r="H21" s="63">
        <v>0.21678321678321677</v>
      </c>
      <c r="I21" s="64">
        <v>7496.875</v>
      </c>
      <c r="J21" s="64">
        <v>-9593.5483870967746</v>
      </c>
      <c r="K21" s="63">
        <v>0.22222222222222221</v>
      </c>
      <c r="L21" s="63">
        <v>5.5555555555555552E-2</v>
      </c>
      <c r="M21" s="63">
        <v>0.23076923076923078</v>
      </c>
      <c r="N21" s="63">
        <v>0.23076923076923078</v>
      </c>
      <c r="O21" s="63">
        <v>0.51515151515151514</v>
      </c>
      <c r="P21" s="63">
        <v>0.33333333333333331</v>
      </c>
      <c r="Q21" s="63">
        <v>0.4375</v>
      </c>
    </row>
    <row r="22" spans="1:17" x14ac:dyDescent="0.4">
      <c r="A22" s="65">
        <v>19</v>
      </c>
      <c r="B22" s="62">
        <v>-400.60000000000008</v>
      </c>
      <c r="C22" s="62">
        <v>-21.084210526315793</v>
      </c>
      <c r="D22" s="67">
        <v>2.5263157894736841</v>
      </c>
      <c r="E22" s="63">
        <v>5.2631578947368418E-2</v>
      </c>
      <c r="F22" s="63">
        <v>0.57894736842105265</v>
      </c>
      <c r="G22" s="63">
        <v>0.2119205298013245</v>
      </c>
      <c r="H22" s="63">
        <v>0.2251655629139073</v>
      </c>
      <c r="I22" s="64">
        <v>7496.875</v>
      </c>
      <c r="J22" s="64">
        <v>-9173.5294117647063</v>
      </c>
      <c r="K22" s="63">
        <v>0.26315789473684209</v>
      </c>
      <c r="L22" s="63">
        <v>5.2631578947368418E-2</v>
      </c>
      <c r="M22" s="63">
        <v>0.2185430463576159</v>
      </c>
      <c r="N22" s="63">
        <v>0.2185430463576159</v>
      </c>
      <c r="O22" s="63">
        <v>0.51515151515151514</v>
      </c>
      <c r="P22" s="63">
        <v>0.33333333333333331</v>
      </c>
      <c r="Q22" s="63">
        <v>0.4375</v>
      </c>
    </row>
    <row r="23" spans="1:17" x14ac:dyDescent="0.4">
      <c r="A23" s="65">
        <v>20</v>
      </c>
      <c r="B23" s="62">
        <v>-428.10000000000008</v>
      </c>
      <c r="C23" s="62">
        <v>-21.405000000000005</v>
      </c>
      <c r="D23" s="67">
        <v>2.5499999999999998</v>
      </c>
      <c r="E23" s="63">
        <v>0.05</v>
      </c>
      <c r="F23" s="63">
        <v>0.6</v>
      </c>
      <c r="G23" s="63">
        <v>0.20382165605095542</v>
      </c>
      <c r="H23" s="63">
        <v>0.21656050955414013</v>
      </c>
      <c r="I23" s="64">
        <v>7496.875</v>
      </c>
      <c r="J23" s="64">
        <v>-9173.5294117647063</v>
      </c>
      <c r="K23" s="63">
        <v>0.25</v>
      </c>
      <c r="L23" s="63">
        <v>0.05</v>
      </c>
      <c r="M23" s="63">
        <v>0.21019108280254778</v>
      </c>
      <c r="N23" s="63">
        <v>0.21019108280254778</v>
      </c>
      <c r="O23" s="63">
        <v>0.51515151515151514</v>
      </c>
      <c r="P23" s="63">
        <v>0.33333333333333331</v>
      </c>
      <c r="Q23" s="63">
        <v>0.4375</v>
      </c>
    </row>
    <row r="24" spans="1:17" x14ac:dyDescent="0.4">
      <c r="A24" s="65">
        <v>21</v>
      </c>
      <c r="B24" s="62">
        <v>-423.7000000000001</v>
      </c>
      <c r="C24" s="62">
        <v>-20.176190476190481</v>
      </c>
      <c r="D24" s="67">
        <v>2.5238095238095237</v>
      </c>
      <c r="E24" s="63">
        <v>4.7619047619047616E-2</v>
      </c>
      <c r="F24" s="63">
        <v>0.5714285714285714</v>
      </c>
      <c r="G24" s="63">
        <v>0.20833333333333334</v>
      </c>
      <c r="H24" s="63">
        <v>0.20833333333333334</v>
      </c>
      <c r="I24" s="64">
        <v>7562.8571428571431</v>
      </c>
      <c r="J24" s="64">
        <v>-8968.5714285714294</v>
      </c>
      <c r="K24" s="63">
        <v>0.23809523809523808</v>
      </c>
      <c r="L24" s="63">
        <v>4.7619047619047616E-2</v>
      </c>
      <c r="M24" s="63">
        <v>0.20238095238095238</v>
      </c>
      <c r="N24" s="63">
        <v>0.20833333333333334</v>
      </c>
      <c r="O24" s="63">
        <v>0.52941176470588236</v>
      </c>
      <c r="P24" s="63">
        <v>0.34285714285714286</v>
      </c>
      <c r="Q24" s="63">
        <v>0.48571428571428571</v>
      </c>
    </row>
    <row r="25" spans="1:17" x14ac:dyDescent="0.4">
      <c r="A25" s="65">
        <v>22</v>
      </c>
      <c r="B25" s="62">
        <v>-465.00000000000011</v>
      </c>
      <c r="C25" s="62">
        <v>-21.13636363636364</v>
      </c>
      <c r="D25" s="67">
        <v>2.5454545454545454</v>
      </c>
      <c r="E25" s="63">
        <v>4.5454545454545456E-2</v>
      </c>
      <c r="F25" s="63">
        <v>0.59090909090909094</v>
      </c>
      <c r="G25" s="63">
        <v>0.20571428571428571</v>
      </c>
      <c r="H25" s="63">
        <v>0.20571428571428571</v>
      </c>
      <c r="I25" s="64">
        <v>7411.1111111111113</v>
      </c>
      <c r="J25" s="64">
        <v>-9052.7777777777774</v>
      </c>
      <c r="K25" s="63">
        <v>0.22727272727272727</v>
      </c>
      <c r="L25" s="63">
        <v>4.5454545454545456E-2</v>
      </c>
      <c r="M25" s="63">
        <v>0.2</v>
      </c>
      <c r="N25" s="63">
        <v>0.20571428571428571</v>
      </c>
      <c r="O25" s="63">
        <v>0.51428571428571423</v>
      </c>
      <c r="P25" s="63">
        <v>0.3611111111111111</v>
      </c>
      <c r="Q25" s="63">
        <v>0.5</v>
      </c>
    </row>
    <row r="26" spans="1:17" x14ac:dyDescent="0.4">
      <c r="A26" s="65">
        <v>23</v>
      </c>
      <c r="B26" s="62">
        <v>-450.10000000000014</v>
      </c>
      <c r="C26" s="62">
        <v>-19.569565217391311</v>
      </c>
      <c r="D26" s="67">
        <v>2.5217391304347827</v>
      </c>
      <c r="E26" s="63">
        <v>4.3478260869565216E-2</v>
      </c>
      <c r="F26" s="63">
        <v>0.56521739130434778</v>
      </c>
      <c r="G26" s="63">
        <v>0.21311475409836064</v>
      </c>
      <c r="H26" s="63">
        <v>0.20765027322404372</v>
      </c>
      <c r="I26" s="64">
        <v>7551.2820512820517</v>
      </c>
      <c r="J26" s="64">
        <v>-8781.5789473684217</v>
      </c>
      <c r="K26" s="63">
        <v>0.21739130434782608</v>
      </c>
      <c r="L26" s="63">
        <v>4.3478260869565216E-2</v>
      </c>
      <c r="M26" s="63">
        <v>0.20218579234972678</v>
      </c>
      <c r="N26" s="63">
        <v>0.20765027322404372</v>
      </c>
      <c r="O26" s="63">
        <v>0.51351351351351349</v>
      </c>
      <c r="P26" s="63">
        <v>0.34210526315789475</v>
      </c>
      <c r="Q26" s="63">
        <v>0.46153846153846156</v>
      </c>
    </row>
    <row r="27" spans="1:17" x14ac:dyDescent="0.4">
      <c r="A27" s="65">
        <v>24</v>
      </c>
      <c r="B27" s="62">
        <v>-474.10000000000014</v>
      </c>
      <c r="C27" s="62">
        <v>-19.754166666666674</v>
      </c>
      <c r="D27" s="67">
        <v>2.5416666666666665</v>
      </c>
      <c r="E27" s="63">
        <v>4.1666666666666664E-2</v>
      </c>
      <c r="F27" s="63">
        <v>0.58333333333333337</v>
      </c>
      <c r="G27" s="63">
        <v>0.21052631578947367</v>
      </c>
      <c r="H27" s="63">
        <v>0.2</v>
      </c>
      <c r="I27" s="64">
        <v>7562.5</v>
      </c>
      <c r="J27" s="64">
        <v>-8781.5789473684217</v>
      </c>
      <c r="K27" s="63">
        <v>0.20833333333333334</v>
      </c>
      <c r="L27" s="63">
        <v>4.1666666666666664E-2</v>
      </c>
      <c r="M27" s="63">
        <v>0.19473684210526315</v>
      </c>
      <c r="N27" s="63">
        <v>0.2</v>
      </c>
      <c r="O27" s="63">
        <v>0.51351351351351349</v>
      </c>
      <c r="P27" s="63">
        <v>0.34210526315789475</v>
      </c>
      <c r="Q27" s="63">
        <v>0.45</v>
      </c>
    </row>
    <row r="28" spans="1:17" x14ac:dyDescent="0.4">
      <c r="A28" s="65">
        <v>25</v>
      </c>
      <c r="B28" s="62">
        <v>-488.30000000000013</v>
      </c>
      <c r="C28" s="62">
        <v>-19.532000000000004</v>
      </c>
      <c r="D28" s="67">
        <v>2.56</v>
      </c>
      <c r="E28" s="63">
        <v>0.04</v>
      </c>
      <c r="F28" s="63">
        <v>0.6</v>
      </c>
      <c r="G28" s="63">
        <v>0.21717171717171718</v>
      </c>
      <c r="H28" s="63">
        <v>0.19696969696969696</v>
      </c>
      <c r="I28" s="64">
        <v>7330.2325581395353</v>
      </c>
      <c r="J28" s="64">
        <v>-8656.4102564102559</v>
      </c>
      <c r="K28" s="63">
        <v>0.2</v>
      </c>
      <c r="L28" s="63">
        <v>0.04</v>
      </c>
      <c r="M28" s="63">
        <v>0.19696969696969696</v>
      </c>
      <c r="N28" s="63">
        <v>0.20202020202020202</v>
      </c>
      <c r="O28" s="63">
        <v>0.53846153846153844</v>
      </c>
      <c r="P28" s="63">
        <v>0.35</v>
      </c>
      <c r="Q28" s="63">
        <v>0.44186046511627908</v>
      </c>
    </row>
    <row r="29" spans="1:17" x14ac:dyDescent="0.4">
      <c r="A29" s="65">
        <v>26</v>
      </c>
      <c r="B29" s="62">
        <v>-439.2000000000001</v>
      </c>
      <c r="C29" s="62">
        <v>-16.892307692307696</v>
      </c>
      <c r="D29" s="67">
        <v>2.5</v>
      </c>
      <c r="E29" s="63">
        <v>7.6923076923076927E-2</v>
      </c>
      <c r="F29" s="63">
        <v>0.57692307692307687</v>
      </c>
      <c r="G29" s="63">
        <v>0.23076923076923078</v>
      </c>
      <c r="H29" s="63">
        <v>0.1875</v>
      </c>
      <c r="I29" s="64">
        <v>7606.25</v>
      </c>
      <c r="J29" s="64">
        <v>-8656.4102564102559</v>
      </c>
      <c r="K29" s="63">
        <v>0.19230769230769232</v>
      </c>
      <c r="L29" s="63">
        <v>3.8461538461538464E-2</v>
      </c>
      <c r="M29" s="63">
        <v>0.20192307692307693</v>
      </c>
      <c r="N29" s="63">
        <v>0.20192307692307693</v>
      </c>
      <c r="O29" s="63">
        <v>0.5714285714285714</v>
      </c>
      <c r="P29" s="63">
        <v>0.35714285714285715</v>
      </c>
      <c r="Q29" s="63">
        <v>0.47916666666666669</v>
      </c>
    </row>
    <row r="30" spans="1:17" x14ac:dyDescent="0.4">
      <c r="A30" s="65">
        <v>27</v>
      </c>
      <c r="B30" s="62">
        <v>-418.80000000000013</v>
      </c>
      <c r="C30" s="62">
        <v>-15.511111111111116</v>
      </c>
      <c r="D30" s="67">
        <v>2.4444444444444446</v>
      </c>
      <c r="E30" s="63">
        <v>0.1111111111111111</v>
      </c>
      <c r="F30" s="63">
        <v>0.55555555555555558</v>
      </c>
      <c r="G30" s="63">
        <v>0.23255813953488372</v>
      </c>
      <c r="H30" s="63">
        <v>0.19069767441860466</v>
      </c>
      <c r="I30" s="64">
        <v>8022</v>
      </c>
      <c r="J30" s="64">
        <v>-8590.2439024390242</v>
      </c>
      <c r="K30" s="63">
        <v>0.18518518518518517</v>
      </c>
      <c r="L30" s="63">
        <v>3.7037037037037035E-2</v>
      </c>
      <c r="M30" s="63">
        <v>0.2</v>
      </c>
      <c r="N30" s="63">
        <v>0.20465116279069767</v>
      </c>
      <c r="O30" s="63">
        <v>0.58139534883720934</v>
      </c>
      <c r="P30" s="63">
        <v>0.36363636363636365</v>
      </c>
      <c r="Q30" s="63">
        <v>0.5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9DC3D4-D0EE-4DF9-9BC9-603E040143C5}">
  <sheetPr codeName="Sheet18"/>
  <dimension ref="A1:Q5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178</v>
      </c>
      <c r="B1" s="66" t="s">
        <v>178</v>
      </c>
      <c r="C1" s="66" t="s">
        <v>178</v>
      </c>
      <c r="D1" s="67" t="s">
        <v>178</v>
      </c>
      <c r="E1" s="66" t="s">
        <v>178</v>
      </c>
      <c r="F1" s="66" t="s">
        <v>178</v>
      </c>
      <c r="G1" s="66" t="s">
        <v>178</v>
      </c>
      <c r="H1" s="66" t="s">
        <v>178</v>
      </c>
      <c r="I1" s="66" t="s">
        <v>178</v>
      </c>
      <c r="J1" s="66" t="s">
        <v>178</v>
      </c>
      <c r="K1" s="66" t="s">
        <v>178</v>
      </c>
      <c r="L1" s="66" t="s">
        <v>178</v>
      </c>
      <c r="M1" s="66" t="s">
        <v>178</v>
      </c>
      <c r="N1" s="66" t="s">
        <v>178</v>
      </c>
      <c r="O1" s="66" t="s">
        <v>178</v>
      </c>
      <c r="P1" s="66" t="s">
        <v>178</v>
      </c>
      <c r="Q1" s="66" t="s">
        <v>178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46.9</v>
      </c>
      <c r="C4" s="62">
        <v>46.9</v>
      </c>
      <c r="D4" s="67">
        <v>1</v>
      </c>
      <c r="E4" s="63">
        <v>1</v>
      </c>
      <c r="F4" s="63">
        <v>0</v>
      </c>
      <c r="G4" s="63">
        <v>0.36363636363636365</v>
      </c>
      <c r="H4" s="63">
        <v>0</v>
      </c>
      <c r="I4" s="64">
        <v>8950</v>
      </c>
      <c r="J4" s="64">
        <v>0</v>
      </c>
      <c r="K4" s="63">
        <v>0</v>
      </c>
      <c r="L4" s="63">
        <v>0</v>
      </c>
      <c r="M4" s="63">
        <v>9.0909090909090912E-2</v>
      </c>
      <c r="N4" s="63">
        <v>0.27272727272727271</v>
      </c>
      <c r="O4" s="63">
        <v>1</v>
      </c>
      <c r="P4" s="63">
        <v>1</v>
      </c>
      <c r="Q4" s="63">
        <v>0.25</v>
      </c>
    </row>
    <row r="5" spans="1:17" x14ac:dyDescent="0.4">
      <c r="A5" s="65">
        <v>2</v>
      </c>
      <c r="B5" s="62">
        <v>8.1000000000000014</v>
      </c>
      <c r="C5" s="62">
        <v>4.0500000000000007</v>
      </c>
      <c r="D5" s="67">
        <v>2</v>
      </c>
      <c r="E5" s="63">
        <v>0.5</v>
      </c>
      <c r="F5" s="63">
        <v>0.5</v>
      </c>
      <c r="G5" s="63">
        <v>0.18181818181818182</v>
      </c>
      <c r="H5" s="63">
        <v>4.5454545454545456E-2</v>
      </c>
      <c r="I5" s="64">
        <v>8950</v>
      </c>
      <c r="J5" s="64">
        <v>-12000</v>
      </c>
      <c r="K5" s="63">
        <v>0</v>
      </c>
      <c r="L5" s="63">
        <v>0</v>
      </c>
      <c r="M5" s="63">
        <v>9.0909090909090912E-2</v>
      </c>
      <c r="N5" s="63">
        <v>0.18181818181818182</v>
      </c>
      <c r="O5" s="63">
        <v>0.5</v>
      </c>
      <c r="P5" s="63">
        <v>0.75</v>
      </c>
      <c r="Q5" s="63">
        <v>0.25</v>
      </c>
    </row>
    <row r="6" spans="1:17" x14ac:dyDescent="0.4">
      <c r="A6" s="65">
        <v>3</v>
      </c>
      <c r="B6" s="62">
        <v>25.8</v>
      </c>
      <c r="C6" s="62">
        <v>8.6</v>
      </c>
      <c r="D6" s="67">
        <v>2</v>
      </c>
      <c r="E6" s="63">
        <v>0.33333333333333331</v>
      </c>
      <c r="F6" s="63">
        <v>0.33333333333333331</v>
      </c>
      <c r="G6" s="63">
        <v>0.24242424242424243</v>
      </c>
      <c r="H6" s="63">
        <v>6.0606060606060608E-2</v>
      </c>
      <c r="I6" s="64">
        <v>8937.5</v>
      </c>
      <c r="J6" s="64">
        <v>-10000</v>
      </c>
      <c r="K6" s="63">
        <v>0</v>
      </c>
      <c r="L6" s="63">
        <v>0</v>
      </c>
      <c r="M6" s="63">
        <v>0.12121212121212122</v>
      </c>
      <c r="N6" s="63">
        <v>0.15151515151515152</v>
      </c>
      <c r="O6" s="63">
        <v>0.75</v>
      </c>
      <c r="P6" s="63">
        <v>0.8</v>
      </c>
      <c r="Q6" s="63">
        <v>0.375</v>
      </c>
    </row>
    <row r="7" spans="1:17" x14ac:dyDescent="0.4">
      <c r="A7" s="65">
        <v>4</v>
      </c>
      <c r="B7" s="62">
        <v>-19.3</v>
      </c>
      <c r="C7" s="62">
        <v>-4.8250000000000002</v>
      </c>
      <c r="D7" s="67">
        <v>2.25</v>
      </c>
      <c r="E7" s="63">
        <v>0.25</v>
      </c>
      <c r="F7" s="63">
        <v>0.5</v>
      </c>
      <c r="G7" s="63">
        <v>0.20512820512820512</v>
      </c>
      <c r="H7" s="63">
        <v>0.10256410256410256</v>
      </c>
      <c r="I7" s="64">
        <v>8937.5</v>
      </c>
      <c r="J7" s="64">
        <v>-7900</v>
      </c>
      <c r="K7" s="63">
        <v>0.25</v>
      </c>
      <c r="L7" s="63">
        <v>0</v>
      </c>
      <c r="M7" s="63">
        <v>0.10256410256410256</v>
      </c>
      <c r="N7" s="63">
        <v>0.17948717948717949</v>
      </c>
      <c r="O7" s="63">
        <v>0.75</v>
      </c>
      <c r="P7" s="63">
        <v>0.5714285714285714</v>
      </c>
      <c r="Q7" s="63">
        <v>0.375</v>
      </c>
    </row>
    <row r="8" spans="1:17" x14ac:dyDescent="0.4">
      <c r="A8" s="65">
        <v>5</v>
      </c>
      <c r="B8" s="62">
        <v>-1.6000000000000014</v>
      </c>
      <c r="C8" s="62">
        <v>-0.32000000000000028</v>
      </c>
      <c r="D8" s="67">
        <v>2.2000000000000002</v>
      </c>
      <c r="E8" s="63">
        <v>0.2</v>
      </c>
      <c r="F8" s="63">
        <v>0.4</v>
      </c>
      <c r="G8" s="63">
        <v>0.24</v>
      </c>
      <c r="H8" s="63">
        <v>0.1</v>
      </c>
      <c r="I8" s="64">
        <v>8933.3333333333339</v>
      </c>
      <c r="J8" s="64">
        <v>-7920</v>
      </c>
      <c r="K8" s="63">
        <v>0.2</v>
      </c>
      <c r="L8" s="63">
        <v>0</v>
      </c>
      <c r="M8" s="63">
        <v>0.12</v>
      </c>
      <c r="N8" s="63">
        <v>0.16</v>
      </c>
      <c r="O8" s="63">
        <v>0.83333333333333337</v>
      </c>
      <c r="P8" s="63">
        <v>0.625</v>
      </c>
      <c r="Q8" s="63">
        <v>0.41666666666666669</v>
      </c>
    </row>
    <row r="9" spans="1:17" x14ac:dyDescent="0.4">
      <c r="A9" s="65">
        <v>6</v>
      </c>
      <c r="B9" s="62">
        <v>29.799999999999997</v>
      </c>
      <c r="C9" s="62">
        <v>4.9666666666666659</v>
      </c>
      <c r="D9" s="67">
        <v>2</v>
      </c>
      <c r="E9" s="63">
        <v>0.33333333333333331</v>
      </c>
      <c r="F9" s="63">
        <v>0.33333333333333331</v>
      </c>
      <c r="G9" s="63">
        <v>0.27586206896551724</v>
      </c>
      <c r="H9" s="63">
        <v>0.10344827586206896</v>
      </c>
      <c r="I9" s="64">
        <v>8868.75</v>
      </c>
      <c r="J9" s="64">
        <v>-6816.666666666667</v>
      </c>
      <c r="K9" s="63">
        <v>0.16666666666666666</v>
      </c>
      <c r="L9" s="63">
        <v>0.16666666666666666</v>
      </c>
      <c r="M9" s="63">
        <v>0.17241379310344829</v>
      </c>
      <c r="N9" s="63">
        <v>0.17241379310344829</v>
      </c>
      <c r="O9" s="63">
        <v>0.7</v>
      </c>
      <c r="P9" s="63">
        <v>0.6</v>
      </c>
      <c r="Q9" s="63">
        <v>0.375</v>
      </c>
    </row>
    <row r="10" spans="1:17" x14ac:dyDescent="0.4">
      <c r="A10" s="65">
        <v>7</v>
      </c>
      <c r="B10" s="62">
        <v>-16.300000000000004</v>
      </c>
      <c r="C10" s="62">
        <v>-2.3285714285714292</v>
      </c>
      <c r="D10" s="67">
        <v>2.1428571428571428</v>
      </c>
      <c r="E10" s="63">
        <v>0.2857142857142857</v>
      </c>
      <c r="F10" s="63">
        <v>0.42857142857142855</v>
      </c>
      <c r="G10" s="63">
        <v>0.25</v>
      </c>
      <c r="H10" s="63">
        <v>0.109375</v>
      </c>
      <c r="I10" s="64">
        <v>8868.75</v>
      </c>
      <c r="J10" s="64">
        <v>-6671.4285714285716</v>
      </c>
      <c r="K10" s="63">
        <v>0.2857142857142857</v>
      </c>
      <c r="L10" s="63">
        <v>0.14285714285714285</v>
      </c>
      <c r="M10" s="63">
        <v>0.171875</v>
      </c>
      <c r="N10" s="63">
        <v>0.15625</v>
      </c>
      <c r="O10" s="63">
        <v>0.63636363636363635</v>
      </c>
      <c r="P10" s="63">
        <v>0.6</v>
      </c>
      <c r="Q10" s="63">
        <v>0.375</v>
      </c>
    </row>
    <row r="11" spans="1:17" x14ac:dyDescent="0.4">
      <c r="A11" s="65">
        <v>8</v>
      </c>
      <c r="B11" s="62">
        <v>-46.7</v>
      </c>
      <c r="C11" s="62">
        <v>-5.8375000000000004</v>
      </c>
      <c r="D11" s="67">
        <v>2.25</v>
      </c>
      <c r="E11" s="63">
        <v>0.25</v>
      </c>
      <c r="F11" s="63">
        <v>0.5</v>
      </c>
      <c r="G11" s="63">
        <v>0.24657534246575341</v>
      </c>
      <c r="H11" s="63">
        <v>0.13698630136986301</v>
      </c>
      <c r="I11" s="64">
        <v>8544.4444444444453</v>
      </c>
      <c r="J11" s="64">
        <v>-6370</v>
      </c>
      <c r="K11" s="63">
        <v>0.25</v>
      </c>
      <c r="L11" s="63">
        <v>0.125</v>
      </c>
      <c r="M11" s="63">
        <v>0.17808219178082191</v>
      </c>
      <c r="N11" s="63">
        <v>0.17808219178082191</v>
      </c>
      <c r="O11" s="63">
        <v>0.61538461538461542</v>
      </c>
      <c r="P11" s="63">
        <v>0.53846153846153844</v>
      </c>
      <c r="Q11" s="63">
        <v>0.33333333333333331</v>
      </c>
    </row>
    <row r="12" spans="1:17" x14ac:dyDescent="0.4">
      <c r="A12" s="65">
        <v>9</v>
      </c>
      <c r="B12" s="62">
        <v>-90.9</v>
      </c>
      <c r="C12" s="62">
        <v>-10.100000000000001</v>
      </c>
      <c r="D12" s="67">
        <v>2.3333333333333335</v>
      </c>
      <c r="E12" s="63">
        <v>0.22222222222222221</v>
      </c>
      <c r="F12" s="63">
        <v>0.55555555555555558</v>
      </c>
      <c r="G12" s="63">
        <v>0.22619047619047619</v>
      </c>
      <c r="H12" s="63">
        <v>0.15476190476190477</v>
      </c>
      <c r="I12" s="64">
        <v>8410.5263157894733</v>
      </c>
      <c r="J12" s="64">
        <v>-7430.7692307692305</v>
      </c>
      <c r="K12" s="63">
        <v>0.22222222222222221</v>
      </c>
      <c r="L12" s="63">
        <v>0.1111111111111111</v>
      </c>
      <c r="M12" s="63">
        <v>0.16666666666666666</v>
      </c>
      <c r="N12" s="63">
        <v>0.17857142857142858</v>
      </c>
      <c r="O12" s="63">
        <v>0.6428571428571429</v>
      </c>
      <c r="P12" s="63">
        <v>0.46666666666666667</v>
      </c>
      <c r="Q12" s="63">
        <v>0.36842105263157893</v>
      </c>
    </row>
    <row r="13" spans="1:17" x14ac:dyDescent="0.4">
      <c r="A13" s="65">
        <v>10</v>
      </c>
      <c r="B13" s="62">
        <v>-146.69999999999999</v>
      </c>
      <c r="C13" s="62">
        <v>-14.669999999999998</v>
      </c>
      <c r="D13" s="67">
        <v>2.4</v>
      </c>
      <c r="E13" s="63">
        <v>0.2</v>
      </c>
      <c r="F13" s="63">
        <v>0.6</v>
      </c>
      <c r="G13" s="63">
        <v>0.21348314606741572</v>
      </c>
      <c r="H13" s="63">
        <v>0.16853932584269662</v>
      </c>
      <c r="I13" s="64">
        <v>8410.5263157894733</v>
      </c>
      <c r="J13" s="64">
        <v>-7960</v>
      </c>
      <c r="K13" s="63">
        <v>0.3</v>
      </c>
      <c r="L13" s="63">
        <v>0.1</v>
      </c>
      <c r="M13" s="63">
        <v>0.16853932584269662</v>
      </c>
      <c r="N13" s="63">
        <v>0.16853932584269662</v>
      </c>
      <c r="O13" s="63">
        <v>0.6</v>
      </c>
      <c r="P13" s="63">
        <v>0.46666666666666667</v>
      </c>
      <c r="Q13" s="63">
        <v>0.36842105263157893</v>
      </c>
    </row>
    <row r="14" spans="1:17" x14ac:dyDescent="0.4">
      <c r="A14" s="65">
        <v>11</v>
      </c>
      <c r="B14" s="62">
        <v>-114.99999999999999</v>
      </c>
      <c r="C14" s="62">
        <v>-10.454545454545453</v>
      </c>
      <c r="D14" s="67">
        <v>2.2727272727272729</v>
      </c>
      <c r="E14" s="63">
        <v>0.27272727272727271</v>
      </c>
      <c r="F14" s="63">
        <v>0.54545454545454541</v>
      </c>
      <c r="G14" s="63">
        <v>0.22772277227722773</v>
      </c>
      <c r="H14" s="63">
        <v>0.14851485148514851</v>
      </c>
      <c r="I14" s="64">
        <v>8156.521739130435</v>
      </c>
      <c r="J14" s="64">
        <v>-7960</v>
      </c>
      <c r="K14" s="63">
        <v>0.27272727272727271</v>
      </c>
      <c r="L14" s="63">
        <v>9.0909090909090912E-2</v>
      </c>
      <c r="M14" s="63">
        <v>0.19801980198019803</v>
      </c>
      <c r="N14" s="63">
        <v>0.19801980198019803</v>
      </c>
      <c r="O14" s="63">
        <v>0.55000000000000004</v>
      </c>
      <c r="P14" s="63">
        <v>0.45</v>
      </c>
      <c r="Q14" s="63">
        <v>0.43478260869565216</v>
      </c>
    </row>
    <row r="15" spans="1:17" x14ac:dyDescent="0.4">
      <c r="A15" s="65">
        <v>12</v>
      </c>
      <c r="B15" s="62">
        <v>-118.39999999999999</v>
      </c>
      <c r="C15" s="62">
        <v>-9.8666666666666654</v>
      </c>
      <c r="D15" s="67">
        <v>2.25</v>
      </c>
      <c r="E15" s="63">
        <v>0.25</v>
      </c>
      <c r="F15" s="63">
        <v>0.5</v>
      </c>
      <c r="G15" s="63">
        <v>0.23008849557522124</v>
      </c>
      <c r="H15" s="63">
        <v>0.13274336283185842</v>
      </c>
      <c r="I15" s="64">
        <v>7884.6153846153848</v>
      </c>
      <c r="J15" s="64">
        <v>-7960</v>
      </c>
      <c r="K15" s="63">
        <v>0.25</v>
      </c>
      <c r="L15" s="63">
        <v>8.3333333333333329E-2</v>
      </c>
      <c r="M15" s="63">
        <v>0.17699115044247787</v>
      </c>
      <c r="N15" s="63">
        <v>0.23008849557522124</v>
      </c>
      <c r="O15" s="63">
        <v>0.55000000000000004</v>
      </c>
      <c r="P15" s="63">
        <v>0.46153846153846156</v>
      </c>
      <c r="Q15" s="63">
        <v>0.38461538461538464</v>
      </c>
    </row>
    <row r="16" spans="1:17" x14ac:dyDescent="0.4">
      <c r="A16" s="65">
        <v>13</v>
      </c>
      <c r="B16" s="62">
        <v>-68.399999999999991</v>
      </c>
      <c r="C16" s="62">
        <v>-5.2615384615384606</v>
      </c>
      <c r="D16" s="67">
        <v>2.1538461538461537</v>
      </c>
      <c r="E16" s="63">
        <v>0.30769230769230771</v>
      </c>
      <c r="F16" s="63">
        <v>0.46153846153846156</v>
      </c>
      <c r="G16" s="63">
        <v>0.25203252032520324</v>
      </c>
      <c r="H16" s="63">
        <v>0.12195121951219512</v>
      </c>
      <c r="I16" s="64">
        <v>7677.4193548387093</v>
      </c>
      <c r="J16" s="64">
        <v>-7960</v>
      </c>
      <c r="K16" s="63">
        <v>0.23076923076923078</v>
      </c>
      <c r="L16" s="63">
        <v>7.6923076923076927E-2</v>
      </c>
      <c r="M16" s="63">
        <v>0.2032520325203252</v>
      </c>
      <c r="N16" s="63">
        <v>0.22764227642276422</v>
      </c>
      <c r="O16" s="63">
        <v>0.56000000000000005</v>
      </c>
      <c r="P16" s="63">
        <v>0.4642857142857143</v>
      </c>
      <c r="Q16" s="63">
        <v>0.35483870967741937</v>
      </c>
    </row>
    <row r="17" spans="1:17" x14ac:dyDescent="0.4">
      <c r="A17" s="65">
        <v>14</v>
      </c>
      <c r="B17" s="62">
        <v>-25.79999999999999</v>
      </c>
      <c r="C17" s="62">
        <v>-1.8428571428571421</v>
      </c>
      <c r="D17" s="67">
        <v>2.0714285714285716</v>
      </c>
      <c r="E17" s="63">
        <v>0.35714285714285715</v>
      </c>
      <c r="F17" s="63">
        <v>0.42857142857142855</v>
      </c>
      <c r="G17" s="63">
        <v>0.27480916030534353</v>
      </c>
      <c r="H17" s="63">
        <v>0.11450381679389313</v>
      </c>
      <c r="I17" s="64">
        <v>7488.8888888888887</v>
      </c>
      <c r="J17" s="64">
        <v>-7960</v>
      </c>
      <c r="K17" s="63">
        <v>0.21428571428571427</v>
      </c>
      <c r="L17" s="63">
        <v>7.1428571428571425E-2</v>
      </c>
      <c r="M17" s="63">
        <v>0.21374045801526717</v>
      </c>
      <c r="N17" s="63">
        <v>0.23664122137404581</v>
      </c>
      <c r="O17" s="63">
        <v>0.5714285714285714</v>
      </c>
      <c r="P17" s="63">
        <v>0.5161290322580645</v>
      </c>
      <c r="Q17" s="63">
        <v>0.3888888888888889</v>
      </c>
    </row>
    <row r="18" spans="1:17" x14ac:dyDescent="0.4">
      <c r="A18" s="65">
        <v>15</v>
      </c>
      <c r="B18" s="62">
        <v>-35.499999999999986</v>
      </c>
      <c r="C18" s="62">
        <v>-2.3666666666666658</v>
      </c>
      <c r="D18" s="67">
        <v>2.0666666666666669</v>
      </c>
      <c r="E18" s="63">
        <v>0.33333333333333331</v>
      </c>
      <c r="F18" s="63">
        <v>0.4</v>
      </c>
      <c r="G18" s="63">
        <v>0.2733812949640288</v>
      </c>
      <c r="H18" s="63">
        <v>0.11510791366906475</v>
      </c>
      <c r="I18" s="64">
        <v>7507.894736842105</v>
      </c>
      <c r="J18" s="64">
        <v>-7643.75</v>
      </c>
      <c r="K18" s="63">
        <v>0.2</v>
      </c>
      <c r="L18" s="63">
        <v>6.6666666666666666E-2</v>
      </c>
      <c r="M18" s="63">
        <v>0.22302158273381295</v>
      </c>
      <c r="N18" s="63">
        <v>0.2446043165467626</v>
      </c>
      <c r="O18" s="63">
        <v>0.5161290322580645</v>
      </c>
      <c r="P18" s="63">
        <v>0.52941176470588236</v>
      </c>
      <c r="Q18" s="63">
        <v>0.36842105263157893</v>
      </c>
    </row>
    <row r="19" spans="1:17" x14ac:dyDescent="0.4">
      <c r="A19" s="65">
        <v>16</v>
      </c>
      <c r="B19" s="62">
        <v>-35.599999999999987</v>
      </c>
      <c r="C19" s="62">
        <v>-2.2249999999999992</v>
      </c>
      <c r="D19" s="67">
        <v>2.0625</v>
      </c>
      <c r="E19" s="63">
        <v>0.3125</v>
      </c>
      <c r="F19" s="63">
        <v>0.375</v>
      </c>
      <c r="G19" s="63">
        <v>0.26896551724137929</v>
      </c>
      <c r="H19" s="63">
        <v>0.11724137931034483</v>
      </c>
      <c r="I19" s="64">
        <v>7776.9230769230771</v>
      </c>
      <c r="J19" s="64">
        <v>-7647.0588235294117</v>
      </c>
      <c r="K19" s="63">
        <v>0.1875</v>
      </c>
      <c r="L19" s="63">
        <v>6.25E-2</v>
      </c>
      <c r="M19" s="63">
        <v>0.2413793103448276</v>
      </c>
      <c r="N19" s="63">
        <v>0.2413793103448276</v>
      </c>
      <c r="O19" s="63">
        <v>0.45714285714285713</v>
      </c>
      <c r="P19" s="63">
        <v>0.54285714285714282</v>
      </c>
      <c r="Q19" s="63">
        <v>0.35897435897435898</v>
      </c>
    </row>
    <row r="20" spans="1:17" x14ac:dyDescent="0.4">
      <c r="A20" s="65">
        <v>17</v>
      </c>
      <c r="B20" s="62">
        <v>-29.799999999999986</v>
      </c>
      <c r="C20" s="62">
        <v>-1.7529411764705873</v>
      </c>
      <c r="D20" s="67">
        <v>2.0588235294117645</v>
      </c>
      <c r="E20" s="63">
        <v>0.29411764705882354</v>
      </c>
      <c r="F20" s="63">
        <v>0.35294117647058826</v>
      </c>
      <c r="G20" s="63">
        <v>0.27631578947368424</v>
      </c>
      <c r="H20" s="63">
        <v>0.11842105263157894</v>
      </c>
      <c r="I20" s="64">
        <v>7554.7619047619046</v>
      </c>
      <c r="J20" s="64">
        <v>-7383.333333333333</v>
      </c>
      <c r="K20" s="63">
        <v>0.17647058823529413</v>
      </c>
      <c r="L20" s="63">
        <v>5.8823529411764705E-2</v>
      </c>
      <c r="M20" s="63">
        <v>0.25</v>
      </c>
      <c r="N20" s="63">
        <v>0.24342105263157895</v>
      </c>
      <c r="O20" s="63">
        <v>0.47368421052631576</v>
      </c>
      <c r="P20" s="63">
        <v>0.54054054054054057</v>
      </c>
      <c r="Q20" s="63">
        <v>0.35714285714285715</v>
      </c>
    </row>
    <row r="21" spans="1:17" x14ac:dyDescent="0.4">
      <c r="A21" s="65">
        <v>18</v>
      </c>
      <c r="B21" s="62">
        <v>-62.399999999999991</v>
      </c>
      <c r="C21" s="62">
        <v>-3.4666666666666663</v>
      </c>
      <c r="D21" s="67">
        <v>2.1111111111111112</v>
      </c>
      <c r="E21" s="63">
        <v>0.27777777777777779</v>
      </c>
      <c r="F21" s="63">
        <v>0.3888888888888889</v>
      </c>
      <c r="G21" s="63">
        <v>0.27380952380952384</v>
      </c>
      <c r="H21" s="63">
        <v>0.13095238095238096</v>
      </c>
      <c r="I21" s="64">
        <v>7491.304347826087</v>
      </c>
      <c r="J21" s="64">
        <v>-7331.818181818182</v>
      </c>
      <c r="K21" s="63">
        <v>0.16666666666666666</v>
      </c>
      <c r="L21" s="63">
        <v>5.5555555555555552E-2</v>
      </c>
      <c r="M21" s="63">
        <v>0.25</v>
      </c>
      <c r="N21" s="63">
        <v>0.25</v>
      </c>
      <c r="O21" s="63">
        <v>0.47619047619047616</v>
      </c>
      <c r="P21" s="63">
        <v>0.52380952380952384</v>
      </c>
      <c r="Q21" s="63">
        <v>0.36956521739130432</v>
      </c>
    </row>
    <row r="22" spans="1:17" x14ac:dyDescent="0.4">
      <c r="A22" s="65">
        <v>19</v>
      </c>
      <c r="B22" s="62">
        <v>-56.399999999999991</v>
      </c>
      <c r="C22" s="62">
        <v>-2.9684210526315784</v>
      </c>
      <c r="D22" s="67">
        <v>2.1052631578947367</v>
      </c>
      <c r="E22" s="63">
        <v>0.26315789473684209</v>
      </c>
      <c r="F22" s="63">
        <v>0.36842105263157893</v>
      </c>
      <c r="G22" s="63">
        <v>0.27840909090909088</v>
      </c>
      <c r="H22" s="63">
        <v>0.13636363636363635</v>
      </c>
      <c r="I22" s="64">
        <v>7540.8163265306121</v>
      </c>
      <c r="J22" s="64">
        <v>-7095.833333333333</v>
      </c>
      <c r="K22" s="63">
        <v>0.15789473684210525</v>
      </c>
      <c r="L22" s="63">
        <v>5.2631578947368418E-2</v>
      </c>
      <c r="M22" s="63">
        <v>0.25568181818181818</v>
      </c>
      <c r="N22" s="63">
        <v>0.26136363636363635</v>
      </c>
      <c r="O22" s="63">
        <v>0.48888888888888887</v>
      </c>
      <c r="P22" s="63">
        <v>0.5</v>
      </c>
      <c r="Q22" s="63">
        <v>0.38775510204081631</v>
      </c>
    </row>
    <row r="23" spans="1:17" x14ac:dyDescent="0.4">
      <c r="A23" s="65">
        <v>20</v>
      </c>
      <c r="B23" s="62">
        <v>-93.199999999999989</v>
      </c>
      <c r="C23" s="62">
        <v>-4.6599999999999993</v>
      </c>
      <c r="D23" s="67">
        <v>2.15</v>
      </c>
      <c r="E23" s="63">
        <v>0.25</v>
      </c>
      <c r="F23" s="63">
        <v>0.4</v>
      </c>
      <c r="G23" s="63">
        <v>0.27322404371584702</v>
      </c>
      <c r="H23" s="63">
        <v>0.13661202185792351</v>
      </c>
      <c r="I23" s="64">
        <v>7544</v>
      </c>
      <c r="J23" s="64">
        <v>-7292</v>
      </c>
      <c r="K23" s="63">
        <v>0.15</v>
      </c>
      <c r="L23" s="63">
        <v>0.05</v>
      </c>
      <c r="M23" s="63">
        <v>0.26229508196721313</v>
      </c>
      <c r="N23" s="63">
        <v>0.25683060109289618</v>
      </c>
      <c r="O23" s="63">
        <v>0.47916666666666669</v>
      </c>
      <c r="P23" s="63">
        <v>0.48936170212765956</v>
      </c>
      <c r="Q23" s="63">
        <v>0.38</v>
      </c>
    </row>
    <row r="24" spans="1:17" x14ac:dyDescent="0.4">
      <c r="A24" s="65">
        <v>21</v>
      </c>
      <c r="B24" s="62">
        <v>-123.69999999999999</v>
      </c>
      <c r="C24" s="62">
        <v>-5.89047619047619</v>
      </c>
      <c r="D24" s="67">
        <v>2.1904761904761907</v>
      </c>
      <c r="E24" s="63">
        <v>0.23809523809523808</v>
      </c>
      <c r="F24" s="63">
        <v>0.42857142857142855</v>
      </c>
      <c r="G24" s="63">
        <v>0.26178010471204188</v>
      </c>
      <c r="H24" s="63">
        <v>0.14659685863874344</v>
      </c>
      <c r="I24" s="64">
        <v>7544</v>
      </c>
      <c r="J24" s="64">
        <v>-6960.7142857142853</v>
      </c>
      <c r="K24" s="63">
        <v>0.14285714285714285</v>
      </c>
      <c r="L24" s="63">
        <v>4.7619047619047616E-2</v>
      </c>
      <c r="M24" s="63">
        <v>0.25654450261780104</v>
      </c>
      <c r="N24" s="63">
        <v>0.25654450261780104</v>
      </c>
      <c r="O24" s="63">
        <v>0.46938775510204084</v>
      </c>
      <c r="P24" s="63">
        <v>0.46938775510204084</v>
      </c>
      <c r="Q24" s="63">
        <v>0.38</v>
      </c>
    </row>
    <row r="25" spans="1:17" x14ac:dyDescent="0.4">
      <c r="A25" s="65">
        <v>22</v>
      </c>
      <c r="B25" s="62">
        <v>-66.999999999999986</v>
      </c>
      <c r="C25" s="62">
        <v>-3.045454545454545</v>
      </c>
      <c r="D25" s="67">
        <v>2.1363636363636362</v>
      </c>
      <c r="E25" s="63">
        <v>0.27272727272727271</v>
      </c>
      <c r="F25" s="63">
        <v>0.40909090909090912</v>
      </c>
      <c r="G25" s="63">
        <v>0.26767676767676768</v>
      </c>
      <c r="H25" s="63">
        <v>0.14141414141414141</v>
      </c>
      <c r="I25" s="64">
        <v>7658.4905660377362</v>
      </c>
      <c r="J25" s="64">
        <v>-6960.7142857142853</v>
      </c>
      <c r="K25" s="63">
        <v>0.13636363636363635</v>
      </c>
      <c r="L25" s="63">
        <v>9.0909090909090912E-2</v>
      </c>
      <c r="M25" s="63">
        <v>0.26262626262626265</v>
      </c>
      <c r="N25" s="63">
        <v>0.25757575757575757</v>
      </c>
      <c r="O25" s="63">
        <v>0.46153846153846156</v>
      </c>
      <c r="P25" s="63">
        <v>0.47058823529411764</v>
      </c>
      <c r="Q25" s="63">
        <v>0.39622641509433965</v>
      </c>
    </row>
    <row r="26" spans="1:17" x14ac:dyDescent="0.4">
      <c r="A26" s="65">
        <v>23</v>
      </c>
      <c r="B26" s="62">
        <v>-59.599999999999987</v>
      </c>
      <c r="C26" s="62">
        <v>-2.5913043478260862</v>
      </c>
      <c r="D26" s="67">
        <v>2.1304347826086958</v>
      </c>
      <c r="E26" s="63">
        <v>0.2608695652173913</v>
      </c>
      <c r="F26" s="63">
        <v>0.39130434782608697</v>
      </c>
      <c r="G26" s="63">
        <v>0.26829268292682928</v>
      </c>
      <c r="H26" s="63">
        <v>0.14146341463414633</v>
      </c>
      <c r="I26" s="64">
        <v>7809.090909090909</v>
      </c>
      <c r="J26" s="64">
        <v>-6820.6896551724139</v>
      </c>
      <c r="K26" s="63">
        <v>0.13043478260869565</v>
      </c>
      <c r="L26" s="63">
        <v>8.6956521739130432E-2</v>
      </c>
      <c r="M26" s="63">
        <v>0.26829268292682928</v>
      </c>
      <c r="N26" s="63">
        <v>0.25853658536585367</v>
      </c>
      <c r="O26" s="63">
        <v>0.45454545454545453</v>
      </c>
      <c r="P26" s="63">
        <v>0.47169811320754718</v>
      </c>
      <c r="Q26" s="63">
        <v>0.38181818181818183</v>
      </c>
    </row>
    <row r="27" spans="1:17" x14ac:dyDescent="0.4">
      <c r="A27" s="65">
        <v>24</v>
      </c>
      <c r="B27" s="62">
        <v>-91.399999999999991</v>
      </c>
      <c r="C27" s="62">
        <v>-3.8083333333333331</v>
      </c>
      <c r="D27" s="67">
        <v>2.1666666666666665</v>
      </c>
      <c r="E27" s="63">
        <v>0.25</v>
      </c>
      <c r="F27" s="63">
        <v>0.41666666666666669</v>
      </c>
      <c r="G27" s="63">
        <v>0.26291079812206575</v>
      </c>
      <c r="H27" s="63">
        <v>0.15023474178403756</v>
      </c>
      <c r="I27" s="64">
        <v>7807.1428571428569</v>
      </c>
      <c r="J27" s="64">
        <v>-6946.875</v>
      </c>
      <c r="K27" s="63">
        <v>0.125</v>
      </c>
      <c r="L27" s="63">
        <v>8.3333333333333329E-2</v>
      </c>
      <c r="M27" s="63">
        <v>0.25821596244131456</v>
      </c>
      <c r="N27" s="63">
        <v>0.26291079812206575</v>
      </c>
      <c r="O27" s="63">
        <v>0.45454545454545453</v>
      </c>
      <c r="P27" s="63">
        <v>0.4642857142857143</v>
      </c>
      <c r="Q27" s="63">
        <v>0.375</v>
      </c>
    </row>
    <row r="28" spans="1:17" x14ac:dyDescent="0.4">
      <c r="A28" s="65">
        <v>25</v>
      </c>
      <c r="B28" s="62">
        <v>-41.29999999999999</v>
      </c>
      <c r="C28" s="62">
        <v>-1.6519999999999997</v>
      </c>
      <c r="D28" s="67">
        <v>2.12</v>
      </c>
      <c r="E28" s="63">
        <v>0.28000000000000003</v>
      </c>
      <c r="F28" s="63">
        <v>0.4</v>
      </c>
      <c r="G28" s="63">
        <v>0.26244343891402716</v>
      </c>
      <c r="H28" s="63">
        <v>0.15384615384615385</v>
      </c>
      <c r="I28" s="64">
        <v>8455.1724137931033</v>
      </c>
      <c r="J28" s="64">
        <v>-6832.3529411764703</v>
      </c>
      <c r="K28" s="63">
        <v>0.12</v>
      </c>
      <c r="L28" s="63">
        <v>0.08</v>
      </c>
      <c r="M28" s="63">
        <v>0.25339366515837103</v>
      </c>
      <c r="N28" s="63">
        <v>0.26244343891402716</v>
      </c>
      <c r="O28" s="63">
        <v>0.4642857142857143</v>
      </c>
      <c r="P28" s="63">
        <v>0.44827586206896552</v>
      </c>
      <c r="Q28" s="63">
        <v>0.37931034482758619</v>
      </c>
    </row>
    <row r="29" spans="1:17" x14ac:dyDescent="0.4">
      <c r="A29" s="65">
        <v>26</v>
      </c>
      <c r="B29" s="62">
        <v>-54.099999999999994</v>
      </c>
      <c r="C29" s="62">
        <v>-2.0807692307692305</v>
      </c>
      <c r="D29" s="67">
        <v>2.1538461538461537</v>
      </c>
      <c r="E29" s="63">
        <v>0.26923076923076922</v>
      </c>
      <c r="F29" s="63">
        <v>0.42307692307692307</v>
      </c>
      <c r="G29" s="63">
        <v>0.26315789473684209</v>
      </c>
      <c r="H29" s="63">
        <v>0.15350877192982457</v>
      </c>
      <c r="I29" s="64">
        <v>8395</v>
      </c>
      <c r="J29" s="64">
        <v>-6711.4285714285716</v>
      </c>
      <c r="K29" s="63">
        <v>0.11538461538461539</v>
      </c>
      <c r="L29" s="63">
        <v>7.6923076923076927E-2</v>
      </c>
      <c r="M29" s="63">
        <v>0.25438596491228072</v>
      </c>
      <c r="N29" s="63">
        <v>0.25877192982456143</v>
      </c>
      <c r="O29" s="63">
        <v>0.48275862068965519</v>
      </c>
      <c r="P29" s="63">
        <v>0.44067796610169491</v>
      </c>
      <c r="Q29" s="63">
        <v>0.4</v>
      </c>
    </row>
    <row r="30" spans="1:17" x14ac:dyDescent="0.4">
      <c r="A30" s="65">
        <v>27</v>
      </c>
      <c r="B30" s="62">
        <v>-70.199999999999989</v>
      </c>
      <c r="C30" s="62">
        <v>-2.5999999999999996</v>
      </c>
      <c r="D30" s="67">
        <v>2.1481481481481484</v>
      </c>
      <c r="E30" s="63">
        <v>0.25925925925925924</v>
      </c>
      <c r="F30" s="63">
        <v>0.40740740740740738</v>
      </c>
      <c r="G30" s="63">
        <v>0.26406926406926406</v>
      </c>
      <c r="H30" s="63">
        <v>0.15151515151515152</v>
      </c>
      <c r="I30" s="64">
        <v>8362.2950819672133</v>
      </c>
      <c r="J30" s="64">
        <v>-6711.4285714285716</v>
      </c>
      <c r="K30" s="63">
        <v>0.1111111111111111</v>
      </c>
      <c r="L30" s="63">
        <v>7.407407407407407E-2</v>
      </c>
      <c r="M30" s="63">
        <v>0.25108225108225107</v>
      </c>
      <c r="N30" s="63">
        <v>0.25974025974025972</v>
      </c>
      <c r="O30" s="63">
        <v>0.48275862068965519</v>
      </c>
      <c r="P30" s="63">
        <v>0.43333333333333335</v>
      </c>
      <c r="Q30" s="63">
        <v>0.39344262295081966</v>
      </c>
    </row>
    <row r="31" spans="1:17" x14ac:dyDescent="0.4">
      <c r="A31" s="65">
        <v>28</v>
      </c>
      <c r="B31" s="62">
        <v>-61.29999999999999</v>
      </c>
      <c r="C31" s="62">
        <v>-2.1892857142857141</v>
      </c>
      <c r="D31" s="67">
        <v>2.1428571428571428</v>
      </c>
      <c r="E31" s="63">
        <v>0.25</v>
      </c>
      <c r="F31" s="63">
        <v>0.39285714285714285</v>
      </c>
      <c r="G31" s="63">
        <v>0.26890756302521007</v>
      </c>
      <c r="H31" s="63">
        <v>0.14705882352941177</v>
      </c>
      <c r="I31" s="64">
        <v>8460.9375</v>
      </c>
      <c r="J31" s="64">
        <v>-6711.4285714285716</v>
      </c>
      <c r="K31" s="63">
        <v>0.10714285714285714</v>
      </c>
      <c r="L31" s="63">
        <v>7.1428571428571425E-2</v>
      </c>
      <c r="M31" s="63">
        <v>0.26050420168067229</v>
      </c>
      <c r="N31" s="63">
        <v>0.25630252100840334</v>
      </c>
      <c r="O31" s="63">
        <v>0.5</v>
      </c>
      <c r="P31" s="63">
        <v>0.42622950819672129</v>
      </c>
      <c r="Q31" s="63">
        <v>0.421875</v>
      </c>
    </row>
    <row r="32" spans="1:17" x14ac:dyDescent="0.4">
      <c r="A32" s="65">
        <v>29</v>
      </c>
      <c r="B32" s="62">
        <v>-109.69999999999999</v>
      </c>
      <c r="C32" s="62">
        <v>-3.7827586206896546</v>
      </c>
      <c r="D32" s="67">
        <v>2.1724137931034484</v>
      </c>
      <c r="E32" s="63">
        <v>0.2413793103448276</v>
      </c>
      <c r="F32" s="63">
        <v>0.41379310344827586</v>
      </c>
      <c r="G32" s="63">
        <v>0.26337448559670784</v>
      </c>
      <c r="H32" s="63">
        <v>0.15226337448559671</v>
      </c>
      <c r="I32" s="64">
        <v>8460.9375</v>
      </c>
      <c r="J32" s="64">
        <v>-7159.4594594594591</v>
      </c>
      <c r="K32" s="63">
        <v>0.13793103448275862</v>
      </c>
      <c r="L32" s="63">
        <v>6.8965517241379309E-2</v>
      </c>
      <c r="M32" s="63">
        <v>0.25925925925925924</v>
      </c>
      <c r="N32" s="63">
        <v>0.25925925925925924</v>
      </c>
      <c r="O32" s="63">
        <v>0.49206349206349204</v>
      </c>
      <c r="P32" s="63">
        <v>0.41269841269841268</v>
      </c>
      <c r="Q32" s="63">
        <v>0.421875</v>
      </c>
    </row>
    <row r="33" spans="1:17" x14ac:dyDescent="0.4">
      <c r="A33" s="65">
        <v>30</v>
      </c>
      <c r="B33" s="62">
        <v>-107.29999999999998</v>
      </c>
      <c r="C33" s="62">
        <v>-3.5766666666666662</v>
      </c>
      <c r="D33" s="67">
        <v>2.1666666666666665</v>
      </c>
      <c r="E33" s="63">
        <v>0.23333333333333334</v>
      </c>
      <c r="F33" s="63">
        <v>0.4</v>
      </c>
      <c r="G33" s="63">
        <v>0.26315789473684209</v>
      </c>
      <c r="H33" s="63">
        <v>0.14979757085020243</v>
      </c>
      <c r="I33" s="64">
        <v>8429.2307692307695</v>
      </c>
      <c r="J33" s="64">
        <v>-7159.4594594594591</v>
      </c>
      <c r="K33" s="63">
        <v>0.13333333333333333</v>
      </c>
      <c r="L33" s="63">
        <v>6.6666666666666666E-2</v>
      </c>
      <c r="M33" s="63">
        <v>0.25506072874493929</v>
      </c>
      <c r="N33" s="63">
        <v>0.25910931174089069</v>
      </c>
      <c r="O33" s="63">
        <v>0.49206349206349204</v>
      </c>
      <c r="P33" s="63">
        <v>0.40625</v>
      </c>
      <c r="Q33" s="63">
        <v>0.41538461538461541</v>
      </c>
    </row>
    <row r="34" spans="1:17" x14ac:dyDescent="0.4">
      <c r="A34" s="65">
        <v>31</v>
      </c>
      <c r="B34" s="62">
        <v>-96.799999999999983</v>
      </c>
      <c r="C34" s="62">
        <v>-3.1225806451612899</v>
      </c>
      <c r="D34" s="67">
        <v>2.161290322580645</v>
      </c>
      <c r="E34" s="63">
        <v>0.22580645161290322</v>
      </c>
      <c r="F34" s="63">
        <v>0.38709677419354838</v>
      </c>
      <c r="G34" s="63">
        <v>0.26744186046511625</v>
      </c>
      <c r="H34" s="63">
        <v>0.15116279069767441</v>
      </c>
      <c r="I34" s="64">
        <v>8295.652173913044</v>
      </c>
      <c r="J34" s="64">
        <v>-7305.1282051282051</v>
      </c>
      <c r="K34" s="63">
        <v>0.12903225806451613</v>
      </c>
      <c r="L34" s="63">
        <v>6.4516129032258063E-2</v>
      </c>
      <c r="M34" s="63">
        <v>0.25193798449612403</v>
      </c>
      <c r="N34" s="63">
        <v>0.27131782945736432</v>
      </c>
      <c r="O34" s="63">
        <v>0.50769230769230766</v>
      </c>
      <c r="P34" s="63">
        <v>0.4</v>
      </c>
      <c r="Q34" s="63">
        <v>0.40579710144927539</v>
      </c>
    </row>
    <row r="35" spans="1:17" x14ac:dyDescent="0.4">
      <c r="A35" s="65">
        <v>32</v>
      </c>
      <c r="B35" s="62">
        <v>-54.09999999999998</v>
      </c>
      <c r="C35" s="62">
        <v>-1.6906249999999994</v>
      </c>
      <c r="D35" s="67">
        <v>2.125</v>
      </c>
      <c r="E35" s="63">
        <v>0.25</v>
      </c>
      <c r="F35" s="63">
        <v>0.375</v>
      </c>
      <c r="G35" s="63">
        <v>0.27376425855513309</v>
      </c>
      <c r="H35" s="63">
        <v>0.14828897338403041</v>
      </c>
      <c r="I35" s="64">
        <v>8494.4444444444453</v>
      </c>
      <c r="J35" s="64">
        <v>-7305.1282051282051</v>
      </c>
      <c r="K35" s="63">
        <v>0.125</v>
      </c>
      <c r="L35" s="63">
        <v>9.375E-2</v>
      </c>
      <c r="M35" s="63">
        <v>0.2509505703422053</v>
      </c>
      <c r="N35" s="63">
        <v>0.28136882129277568</v>
      </c>
      <c r="O35" s="63">
        <v>0.51515151515151514</v>
      </c>
      <c r="P35" s="63">
        <v>0.40540540540540543</v>
      </c>
      <c r="Q35" s="63">
        <v>0.40277777777777779</v>
      </c>
    </row>
    <row r="36" spans="1:17" x14ac:dyDescent="0.4">
      <c r="A36" s="65">
        <v>33</v>
      </c>
      <c r="B36" s="62">
        <v>-48.899999999999977</v>
      </c>
      <c r="C36" s="62">
        <v>-1.481818181818181</v>
      </c>
      <c r="D36" s="67">
        <v>2.1212121212121211</v>
      </c>
      <c r="E36" s="63">
        <v>0.24242424242424243</v>
      </c>
      <c r="F36" s="63">
        <v>0.36363636363636365</v>
      </c>
      <c r="G36" s="63">
        <v>0.26568265682656828</v>
      </c>
      <c r="H36" s="63">
        <v>0.14391143911439114</v>
      </c>
      <c r="I36" s="64">
        <v>8494.4444444444453</v>
      </c>
      <c r="J36" s="64">
        <v>-7305.1282051282051</v>
      </c>
      <c r="K36" s="63">
        <v>0.12121212121212122</v>
      </c>
      <c r="L36" s="63">
        <v>9.0909090909090912E-2</v>
      </c>
      <c r="M36" s="63">
        <v>0.24723247232472326</v>
      </c>
      <c r="N36" s="63">
        <v>0.28413284132841327</v>
      </c>
      <c r="O36" s="63">
        <v>0.5074626865671642</v>
      </c>
      <c r="P36" s="63">
        <v>0.38961038961038963</v>
      </c>
      <c r="Q36" s="63">
        <v>0.40277777777777779</v>
      </c>
    </row>
    <row r="37" spans="1:17" x14ac:dyDescent="0.4">
      <c r="A37" s="65">
        <v>34</v>
      </c>
      <c r="B37" s="62">
        <v>-63.999999999999979</v>
      </c>
      <c r="C37" s="62">
        <v>-1.8823529411764699</v>
      </c>
      <c r="D37" s="67">
        <v>2.1470588235294117</v>
      </c>
      <c r="E37" s="63">
        <v>0.23529411764705882</v>
      </c>
      <c r="F37" s="63">
        <v>0.38235294117647056</v>
      </c>
      <c r="G37" s="63">
        <v>0.26618705035971224</v>
      </c>
      <c r="H37" s="63">
        <v>0.14388489208633093</v>
      </c>
      <c r="I37" s="64">
        <v>8339.1891891891901</v>
      </c>
      <c r="J37" s="64">
        <v>-7187.5</v>
      </c>
      <c r="K37" s="63">
        <v>0.11764705882352941</v>
      </c>
      <c r="L37" s="63">
        <v>8.8235294117647065E-2</v>
      </c>
      <c r="M37" s="63">
        <v>0.24100719424460432</v>
      </c>
      <c r="N37" s="63">
        <v>0.29136690647482016</v>
      </c>
      <c r="O37" s="63">
        <v>0.5074626865671642</v>
      </c>
      <c r="P37" s="63">
        <v>0.39506172839506171</v>
      </c>
      <c r="Q37" s="63">
        <v>0.40540540540540543</v>
      </c>
    </row>
    <row r="38" spans="1:17" x14ac:dyDescent="0.4">
      <c r="A38" s="65">
        <v>35</v>
      </c>
      <c r="B38" s="62">
        <v>-72.399999999999977</v>
      </c>
      <c r="C38" s="62">
        <v>-2.0685714285714281</v>
      </c>
      <c r="D38" s="67">
        <v>2.1428571428571428</v>
      </c>
      <c r="E38" s="63">
        <v>0.22857142857142856</v>
      </c>
      <c r="F38" s="63">
        <v>0.37142857142857144</v>
      </c>
      <c r="G38" s="63">
        <v>0.26923076923076922</v>
      </c>
      <c r="H38" s="63">
        <v>0.13986013986013987</v>
      </c>
      <c r="I38" s="64">
        <v>8112.9870129870133</v>
      </c>
      <c r="J38" s="64">
        <v>-7187.5</v>
      </c>
      <c r="K38" s="63">
        <v>0.11428571428571428</v>
      </c>
      <c r="L38" s="63">
        <v>8.5714285714285715E-2</v>
      </c>
      <c r="M38" s="63">
        <v>0.23426573426573427</v>
      </c>
      <c r="N38" s="63">
        <v>0.2937062937062937</v>
      </c>
      <c r="O38" s="63">
        <v>0.5074626865671642</v>
      </c>
      <c r="P38" s="63">
        <v>0.40476190476190477</v>
      </c>
      <c r="Q38" s="63">
        <v>0.41558441558441561</v>
      </c>
    </row>
    <row r="39" spans="1:17" x14ac:dyDescent="0.4">
      <c r="A39" s="65">
        <v>36</v>
      </c>
      <c r="B39" s="62">
        <v>-65.399999999999977</v>
      </c>
      <c r="C39" s="62">
        <v>-1.816666666666666</v>
      </c>
      <c r="D39" s="67">
        <v>2.1388888888888888</v>
      </c>
      <c r="E39" s="63">
        <v>0.22222222222222221</v>
      </c>
      <c r="F39" s="63">
        <v>0.3611111111111111</v>
      </c>
      <c r="G39" s="63">
        <v>0.27397260273972601</v>
      </c>
      <c r="H39" s="63">
        <v>0.1404109589041096</v>
      </c>
      <c r="I39" s="64">
        <v>8108.75</v>
      </c>
      <c r="J39" s="64">
        <v>-7207.3170731707314</v>
      </c>
      <c r="K39" s="63">
        <v>0.1111111111111111</v>
      </c>
      <c r="L39" s="63">
        <v>8.3333333333333329E-2</v>
      </c>
      <c r="M39" s="63">
        <v>0.2363013698630137</v>
      </c>
      <c r="N39" s="63">
        <v>0.28767123287671231</v>
      </c>
      <c r="O39" s="63">
        <v>0.52173913043478259</v>
      </c>
      <c r="P39" s="63">
        <v>0.40476190476190477</v>
      </c>
      <c r="Q39" s="63">
        <v>0.42499999999999999</v>
      </c>
    </row>
    <row r="40" spans="1:17" x14ac:dyDescent="0.4">
      <c r="A40" s="65">
        <v>37</v>
      </c>
      <c r="B40" s="62">
        <v>-58.59999999999998</v>
      </c>
      <c r="C40" s="62">
        <v>-1.5837837837837832</v>
      </c>
      <c r="D40" s="67">
        <v>2.1351351351351351</v>
      </c>
      <c r="E40" s="63">
        <v>0.21621621621621623</v>
      </c>
      <c r="F40" s="63">
        <v>0.35135135135135137</v>
      </c>
      <c r="G40" s="63">
        <v>0.28052805280528054</v>
      </c>
      <c r="H40" s="63">
        <v>0.14191419141914191</v>
      </c>
      <c r="I40" s="64">
        <v>8100</v>
      </c>
      <c r="J40" s="64">
        <v>-7476.7441860465115</v>
      </c>
      <c r="K40" s="63">
        <v>0.10810810810810811</v>
      </c>
      <c r="L40" s="63">
        <v>8.1081081081081086E-2</v>
      </c>
      <c r="M40" s="63">
        <v>0.24092409240924093</v>
      </c>
      <c r="N40" s="63">
        <v>0.28382838283828382</v>
      </c>
      <c r="O40" s="63">
        <v>0.54794520547945202</v>
      </c>
      <c r="P40" s="63">
        <v>0.39534883720930231</v>
      </c>
      <c r="Q40" s="63">
        <v>0.4</v>
      </c>
    </row>
    <row r="41" spans="1:17" x14ac:dyDescent="0.4">
      <c r="A41" s="65">
        <v>38</v>
      </c>
      <c r="B41" s="62">
        <v>-51.799999999999983</v>
      </c>
      <c r="C41" s="62">
        <v>-1.3631578947368417</v>
      </c>
      <c r="D41" s="67">
        <v>2.1315789473684212</v>
      </c>
      <c r="E41" s="63">
        <v>0.21052631578947367</v>
      </c>
      <c r="F41" s="63">
        <v>0.34210526315789475</v>
      </c>
      <c r="G41" s="63">
        <v>0.27795527156549521</v>
      </c>
      <c r="H41" s="63">
        <v>0.14376996805111822</v>
      </c>
      <c r="I41" s="64">
        <v>8111.4942528735628</v>
      </c>
      <c r="J41" s="64">
        <v>-7408.8888888888887</v>
      </c>
      <c r="K41" s="63">
        <v>0.10526315789473684</v>
      </c>
      <c r="L41" s="63">
        <v>7.8947368421052627E-2</v>
      </c>
      <c r="M41" s="63">
        <v>0.24600638977635783</v>
      </c>
      <c r="N41" s="63">
        <v>0.27795527156549521</v>
      </c>
      <c r="O41" s="63">
        <v>0.53246753246753242</v>
      </c>
      <c r="P41" s="63">
        <v>0.39080459770114945</v>
      </c>
      <c r="Q41" s="63">
        <v>0.40229885057471265</v>
      </c>
    </row>
    <row r="42" spans="1:17" x14ac:dyDescent="0.4">
      <c r="A42" s="65">
        <v>39</v>
      </c>
      <c r="B42" s="62">
        <v>-67.899999999999977</v>
      </c>
      <c r="C42" s="62">
        <v>-1.7410256410256404</v>
      </c>
      <c r="D42" s="67">
        <v>2.1282051282051282</v>
      </c>
      <c r="E42" s="63">
        <v>0.20512820512820512</v>
      </c>
      <c r="F42" s="63">
        <v>0.33333333333333331</v>
      </c>
      <c r="G42" s="63">
        <v>0.27500000000000002</v>
      </c>
      <c r="H42" s="63">
        <v>0.14374999999999999</v>
      </c>
      <c r="I42" s="64">
        <v>8063.636363636364</v>
      </c>
      <c r="J42" s="64">
        <v>-7415.217391304348</v>
      </c>
      <c r="K42" s="63">
        <v>0.10256410256410256</v>
      </c>
      <c r="L42" s="63">
        <v>7.6923076923076927E-2</v>
      </c>
      <c r="M42" s="63">
        <v>0.24374999999999999</v>
      </c>
      <c r="N42" s="63">
        <v>0.27500000000000002</v>
      </c>
      <c r="O42" s="63">
        <v>0.52564102564102566</v>
      </c>
      <c r="P42" s="63">
        <v>0.38636363636363635</v>
      </c>
      <c r="Q42" s="63">
        <v>0.39772727272727271</v>
      </c>
    </row>
    <row r="43" spans="1:17" x14ac:dyDescent="0.4">
      <c r="A43" s="65">
        <v>40</v>
      </c>
      <c r="B43" s="62">
        <v>-61.299999999999976</v>
      </c>
      <c r="C43" s="62">
        <v>-1.5324999999999993</v>
      </c>
      <c r="D43" s="67">
        <v>2.125</v>
      </c>
      <c r="E43" s="63">
        <v>0.2</v>
      </c>
      <c r="F43" s="63">
        <v>0.32500000000000001</v>
      </c>
      <c r="G43" s="63">
        <v>0.27522935779816515</v>
      </c>
      <c r="H43" s="63">
        <v>0.14678899082568808</v>
      </c>
      <c r="I43" s="64">
        <v>8151.1111111111113</v>
      </c>
      <c r="J43" s="64">
        <v>-7381.25</v>
      </c>
      <c r="K43" s="63">
        <v>0.1</v>
      </c>
      <c r="L43" s="63">
        <v>7.4999999999999997E-2</v>
      </c>
      <c r="M43" s="63">
        <v>0.24464831804281345</v>
      </c>
      <c r="N43" s="63">
        <v>0.27217125382262997</v>
      </c>
      <c r="O43" s="63">
        <v>0.53749999999999998</v>
      </c>
      <c r="P43" s="63">
        <v>0.38202247191011235</v>
      </c>
      <c r="Q43" s="63">
        <v>0.3888888888888889</v>
      </c>
    </row>
    <row r="44" spans="1:17" x14ac:dyDescent="0.4">
      <c r="A44" s="65">
        <v>41</v>
      </c>
      <c r="B44" s="62">
        <v>-56.899999999999977</v>
      </c>
      <c r="C44" s="62">
        <v>-1.3878048780487799</v>
      </c>
      <c r="D44" s="67">
        <v>2.1219512195121952</v>
      </c>
      <c r="E44" s="63">
        <v>0.1951219512195122</v>
      </c>
      <c r="F44" s="63">
        <v>0.31707317073170732</v>
      </c>
      <c r="G44" s="63">
        <v>0.27844311377245506</v>
      </c>
      <c r="H44" s="63">
        <v>0.1497005988023952</v>
      </c>
      <c r="I44" s="64">
        <v>8081.7204301075271</v>
      </c>
      <c r="J44" s="64">
        <v>-7318</v>
      </c>
      <c r="K44" s="63">
        <v>9.7560975609756101E-2</v>
      </c>
      <c r="L44" s="63">
        <v>7.3170731707317069E-2</v>
      </c>
      <c r="M44" s="63">
        <v>0.24850299401197604</v>
      </c>
      <c r="N44" s="63">
        <v>0.26946107784431139</v>
      </c>
      <c r="O44" s="63">
        <v>0.54216867469879515</v>
      </c>
      <c r="P44" s="63">
        <v>0.3888888888888889</v>
      </c>
      <c r="Q44" s="63">
        <v>0.39784946236559138</v>
      </c>
    </row>
    <row r="45" spans="1:17" x14ac:dyDescent="0.4">
      <c r="A45" s="65">
        <v>42</v>
      </c>
      <c r="B45" s="62">
        <v>-58.499999999999979</v>
      </c>
      <c r="C45" s="62">
        <v>-1.3928571428571423</v>
      </c>
      <c r="D45" s="67">
        <v>2.1190476190476191</v>
      </c>
      <c r="E45" s="63">
        <v>0.19047619047619047</v>
      </c>
      <c r="F45" s="63">
        <v>0.30952380952380953</v>
      </c>
      <c r="G45" s="63">
        <v>0.28279883381924198</v>
      </c>
      <c r="H45" s="63">
        <v>0.14868804664723032</v>
      </c>
      <c r="I45" s="64">
        <v>8176.2886597938141</v>
      </c>
      <c r="J45" s="64">
        <v>-7801.9607843137255</v>
      </c>
      <c r="K45" s="63">
        <v>9.5238095238095233E-2</v>
      </c>
      <c r="L45" s="63">
        <v>7.1428571428571425E-2</v>
      </c>
      <c r="M45" s="63">
        <v>0.25072886297376096</v>
      </c>
      <c r="N45" s="63">
        <v>0.26822157434402333</v>
      </c>
      <c r="O45" s="63">
        <v>0.55813953488372092</v>
      </c>
      <c r="P45" s="63">
        <v>0.39130434782608697</v>
      </c>
      <c r="Q45" s="63">
        <v>0.40206185567010311</v>
      </c>
    </row>
    <row r="46" spans="1:17" x14ac:dyDescent="0.4">
      <c r="A46" s="65">
        <v>43</v>
      </c>
      <c r="B46" s="62">
        <v>-49.899999999999977</v>
      </c>
      <c r="C46" s="62">
        <v>-1.1604651162790693</v>
      </c>
      <c r="D46" s="67">
        <v>2.1162790697674421</v>
      </c>
      <c r="E46" s="63">
        <v>0.18604651162790697</v>
      </c>
      <c r="F46" s="63">
        <v>0.30232558139534882</v>
      </c>
      <c r="G46" s="63">
        <v>0.28285714285714286</v>
      </c>
      <c r="H46" s="63">
        <v>0.14857142857142858</v>
      </c>
      <c r="I46" s="64">
        <v>8213.1313131313127</v>
      </c>
      <c r="J46" s="64">
        <v>-7682.6923076923076</v>
      </c>
      <c r="K46" s="63">
        <v>9.3023255813953487E-2</v>
      </c>
      <c r="L46" s="63">
        <v>6.9767441860465115E-2</v>
      </c>
      <c r="M46" s="63">
        <v>0.25714285714285712</v>
      </c>
      <c r="N46" s="63">
        <v>0.26285714285714284</v>
      </c>
      <c r="O46" s="63">
        <v>0.55555555555555558</v>
      </c>
      <c r="P46" s="63">
        <v>0.39130434782608697</v>
      </c>
      <c r="Q46" s="63">
        <v>0.41414141414141414</v>
      </c>
    </row>
    <row r="47" spans="1:17" x14ac:dyDescent="0.4">
      <c r="A47" s="65">
        <v>44</v>
      </c>
      <c r="B47" s="62">
        <v>11.600000000000023</v>
      </c>
      <c r="C47" s="62">
        <v>0.26363636363636417</v>
      </c>
      <c r="D47" s="67">
        <v>2.0909090909090908</v>
      </c>
      <c r="E47" s="63">
        <v>0.20454545454545456</v>
      </c>
      <c r="F47" s="63">
        <v>0.29545454545454547</v>
      </c>
      <c r="G47" s="63">
        <v>0.28732394366197184</v>
      </c>
      <c r="H47" s="63">
        <v>0.14647887323943662</v>
      </c>
      <c r="I47" s="64">
        <v>8383.3333333333339</v>
      </c>
      <c r="J47" s="64">
        <v>-7682.6923076923076</v>
      </c>
      <c r="K47" s="63">
        <v>9.0909090909090912E-2</v>
      </c>
      <c r="L47" s="63">
        <v>9.0909090909090912E-2</v>
      </c>
      <c r="M47" s="63">
        <v>0.26197183098591548</v>
      </c>
      <c r="N47" s="63">
        <v>0.25915492957746478</v>
      </c>
      <c r="O47" s="63">
        <v>0.56989247311827962</v>
      </c>
      <c r="P47" s="63">
        <v>0.39130434782608697</v>
      </c>
      <c r="Q47" s="63">
        <v>0.42156862745098039</v>
      </c>
    </row>
    <row r="48" spans="1:17" x14ac:dyDescent="0.4">
      <c r="A48" s="65">
        <v>45</v>
      </c>
      <c r="B48" s="62">
        <v>-23.299999999999976</v>
      </c>
      <c r="C48" s="62">
        <v>-0.51777777777777723</v>
      </c>
      <c r="D48" s="67">
        <v>2.1111111111111112</v>
      </c>
      <c r="E48" s="63">
        <v>0.2</v>
      </c>
      <c r="F48" s="63">
        <v>0.31111111111111112</v>
      </c>
      <c r="G48" s="63">
        <v>0.28415300546448086</v>
      </c>
      <c r="H48" s="63">
        <v>0.1448087431693989</v>
      </c>
      <c r="I48" s="64">
        <v>8318.2692307692305</v>
      </c>
      <c r="J48" s="64">
        <v>-7688.6792452830186</v>
      </c>
      <c r="K48" s="63">
        <v>8.8888888888888892E-2</v>
      </c>
      <c r="L48" s="63">
        <v>8.8888888888888892E-2</v>
      </c>
      <c r="M48" s="63">
        <v>0.25683060109289618</v>
      </c>
      <c r="N48" s="63">
        <v>0.25683060109289618</v>
      </c>
      <c r="O48" s="63">
        <v>0.57446808510638303</v>
      </c>
      <c r="P48" s="63">
        <v>0.39361702127659576</v>
      </c>
      <c r="Q48" s="63">
        <v>0.41346153846153844</v>
      </c>
    </row>
    <row r="49" spans="1:17" x14ac:dyDescent="0.4">
      <c r="A49" s="65">
        <v>46</v>
      </c>
      <c r="B49" s="62">
        <v>-11.099999999999977</v>
      </c>
      <c r="C49" s="62">
        <v>-0.24130434782608645</v>
      </c>
      <c r="D49" s="67">
        <v>2.1086956521739131</v>
      </c>
      <c r="E49" s="63">
        <v>0.19565217391304349</v>
      </c>
      <c r="F49" s="63">
        <v>0.30434782608695654</v>
      </c>
      <c r="G49" s="63">
        <v>0.28301886792452829</v>
      </c>
      <c r="H49" s="63">
        <v>0.14285714285714285</v>
      </c>
      <c r="I49" s="64">
        <v>8353.3333333333339</v>
      </c>
      <c r="J49" s="64">
        <v>-7688.6792452830186</v>
      </c>
      <c r="K49" s="63">
        <v>8.6956521739130432E-2</v>
      </c>
      <c r="L49" s="63">
        <v>8.6956521739130432E-2</v>
      </c>
      <c r="M49" s="63">
        <v>0.25336927223719674</v>
      </c>
      <c r="N49" s="63">
        <v>0.2587601078167116</v>
      </c>
      <c r="O49" s="63">
        <v>0.57446808510638303</v>
      </c>
      <c r="P49" s="63">
        <v>0.38541666666666669</v>
      </c>
      <c r="Q49" s="63">
        <v>0.41904761904761906</v>
      </c>
    </row>
    <row r="50" spans="1:17" x14ac:dyDescent="0.4">
      <c r="A50" s="65">
        <v>47</v>
      </c>
      <c r="B50" s="62">
        <v>-31.099999999999977</v>
      </c>
      <c r="C50" s="62">
        <v>-0.66170212765957392</v>
      </c>
      <c r="D50" s="67">
        <v>2.1063829787234041</v>
      </c>
      <c r="E50" s="63">
        <v>0.19148936170212766</v>
      </c>
      <c r="F50" s="63">
        <v>0.2978723404255319</v>
      </c>
      <c r="G50" s="63">
        <v>0.28238341968911918</v>
      </c>
      <c r="H50" s="63">
        <v>0.14248704663212436</v>
      </c>
      <c r="I50" s="64">
        <v>8305.5045871559632</v>
      </c>
      <c r="J50" s="64">
        <v>-7827.272727272727</v>
      </c>
      <c r="K50" s="63">
        <v>8.5106382978723402E-2</v>
      </c>
      <c r="L50" s="63">
        <v>8.5106382978723402E-2</v>
      </c>
      <c r="M50" s="63">
        <v>0.25129533678756477</v>
      </c>
      <c r="N50" s="63">
        <v>0.25647668393782386</v>
      </c>
      <c r="O50" s="63">
        <v>0.57731958762886593</v>
      </c>
      <c r="P50" s="63">
        <v>0.39393939393939392</v>
      </c>
      <c r="Q50" s="63">
        <v>0.42201834862385323</v>
      </c>
    </row>
    <row r="51" spans="1:17" x14ac:dyDescent="0.4">
      <c r="A51" s="65">
        <v>48</v>
      </c>
      <c r="B51" s="62">
        <v>-18.499999999999979</v>
      </c>
      <c r="C51" s="62">
        <v>-0.38541666666666624</v>
      </c>
      <c r="D51" s="67">
        <v>2.1041666666666665</v>
      </c>
      <c r="E51" s="63">
        <v>0.1875</v>
      </c>
      <c r="F51" s="63">
        <v>0.29166666666666669</v>
      </c>
      <c r="G51" s="63">
        <v>0.28498727735368956</v>
      </c>
      <c r="H51" s="63">
        <v>0.13994910941475827</v>
      </c>
      <c r="I51" s="64">
        <v>8366.0714285714294</v>
      </c>
      <c r="J51" s="64">
        <v>-7827.272727272727</v>
      </c>
      <c r="K51" s="63">
        <v>8.3333333333333329E-2</v>
      </c>
      <c r="L51" s="63">
        <v>8.3333333333333329E-2</v>
      </c>
      <c r="M51" s="63">
        <v>0.25190839694656486</v>
      </c>
      <c r="N51" s="63">
        <v>0.2544529262086514</v>
      </c>
      <c r="O51" s="63">
        <v>0.58585858585858586</v>
      </c>
      <c r="P51" s="63">
        <v>0.4</v>
      </c>
      <c r="Q51" s="63">
        <v>0.41964285714285715</v>
      </c>
    </row>
    <row r="52" spans="1:17" x14ac:dyDescent="0.4">
      <c r="A52" s="65">
        <v>49</v>
      </c>
      <c r="B52" s="62">
        <v>7.1000000000000227</v>
      </c>
      <c r="C52" s="62">
        <v>0.14489795918367393</v>
      </c>
      <c r="D52" s="67">
        <v>2.0816326530612246</v>
      </c>
      <c r="E52" s="63">
        <v>0.20408163265306123</v>
      </c>
      <c r="F52" s="63">
        <v>0.2857142857142857</v>
      </c>
      <c r="G52" s="63">
        <v>0.28499999999999998</v>
      </c>
      <c r="H52" s="63">
        <v>0.14000000000000001</v>
      </c>
      <c r="I52" s="64">
        <v>8429.8245614035095</v>
      </c>
      <c r="J52" s="64">
        <v>-7757.1428571428569</v>
      </c>
      <c r="K52" s="63">
        <v>8.1632653061224483E-2</v>
      </c>
      <c r="L52" s="63">
        <v>8.1632653061224483E-2</v>
      </c>
      <c r="M52" s="63">
        <v>0.2525</v>
      </c>
      <c r="N52" s="63">
        <v>0.255</v>
      </c>
      <c r="O52" s="63">
        <v>0.59405940594059403</v>
      </c>
      <c r="P52" s="63">
        <v>0.39215686274509803</v>
      </c>
      <c r="Q52" s="63">
        <v>0.42982456140350878</v>
      </c>
    </row>
    <row r="53" spans="1:17" x14ac:dyDescent="0.4">
      <c r="A53" s="65">
        <v>50</v>
      </c>
      <c r="B53" s="62">
        <v>6.5000000000000231</v>
      </c>
      <c r="C53" s="62">
        <v>0.13000000000000045</v>
      </c>
      <c r="D53" s="67">
        <v>2.08</v>
      </c>
      <c r="E53" s="63">
        <v>0.2</v>
      </c>
      <c r="F53" s="63">
        <v>0.28000000000000003</v>
      </c>
      <c r="G53" s="63">
        <v>0.28186274509803921</v>
      </c>
      <c r="H53" s="63">
        <v>0.13970588235294118</v>
      </c>
      <c r="I53" s="64">
        <v>8460.8695652173919</v>
      </c>
      <c r="J53" s="64">
        <v>-7705.2631578947367</v>
      </c>
      <c r="K53" s="63">
        <v>0.08</v>
      </c>
      <c r="L53" s="63">
        <v>0.08</v>
      </c>
      <c r="M53" s="63">
        <v>0.25245098039215685</v>
      </c>
      <c r="N53" s="63">
        <v>0.25</v>
      </c>
      <c r="O53" s="63">
        <v>0.59223300970873782</v>
      </c>
      <c r="P53" s="63">
        <v>0.39215686274509803</v>
      </c>
      <c r="Q53" s="63">
        <v>0.43478260869565216</v>
      </c>
    </row>
    <row r="54" spans="1:17" x14ac:dyDescent="0.4">
      <c r="A54" s="65">
        <v>51</v>
      </c>
      <c r="B54" s="62">
        <v>-0.29999999999997673</v>
      </c>
      <c r="C54" s="62">
        <v>-5.8823529411760143E-3</v>
      </c>
      <c r="D54" s="67">
        <v>2.0784313725490198</v>
      </c>
      <c r="E54" s="63">
        <v>0.19607843137254902</v>
      </c>
      <c r="F54" s="63">
        <v>0.27450980392156865</v>
      </c>
      <c r="G54" s="63">
        <v>0.27751196172248804</v>
      </c>
      <c r="H54" s="63">
        <v>0.13636363636363635</v>
      </c>
      <c r="I54" s="64">
        <v>8543.1034482758623</v>
      </c>
      <c r="J54" s="64">
        <v>-7705.2631578947367</v>
      </c>
      <c r="K54" s="63">
        <v>7.8431372549019607E-2</v>
      </c>
      <c r="L54" s="63">
        <v>7.8431372549019607E-2</v>
      </c>
      <c r="M54" s="63">
        <v>0.25358851674641147</v>
      </c>
      <c r="N54" s="63">
        <v>0.25119617224880381</v>
      </c>
      <c r="O54" s="63">
        <v>0.58490566037735847</v>
      </c>
      <c r="P54" s="63">
        <v>0.38095238095238093</v>
      </c>
      <c r="Q54" s="63">
        <v>0.43965517241379309</v>
      </c>
    </row>
    <row r="55" spans="1:17" x14ac:dyDescent="0.4">
      <c r="A55" s="65">
        <v>52</v>
      </c>
      <c r="B55" s="62">
        <v>8.800000000000022</v>
      </c>
      <c r="C55" s="62">
        <v>0.16923076923076966</v>
      </c>
      <c r="D55" s="67">
        <v>2.0769230769230771</v>
      </c>
      <c r="E55" s="63">
        <v>0.19230769230769232</v>
      </c>
      <c r="F55" s="63">
        <v>0.26923076923076922</v>
      </c>
      <c r="G55" s="63">
        <v>0.28000000000000003</v>
      </c>
      <c r="H55" s="63">
        <v>0.13411764705882354</v>
      </c>
      <c r="I55" s="64">
        <v>8626.8907563025205</v>
      </c>
      <c r="J55" s="64">
        <v>-7705.2631578947367</v>
      </c>
      <c r="K55" s="63">
        <v>7.6923076923076927E-2</v>
      </c>
      <c r="L55" s="63">
        <v>7.6923076923076927E-2</v>
      </c>
      <c r="M55" s="63">
        <v>0.2541176470588235</v>
      </c>
      <c r="N55" s="63">
        <v>0.25176470588235295</v>
      </c>
      <c r="O55" s="63">
        <v>0.59259259259259256</v>
      </c>
      <c r="P55" s="63">
        <v>0.38317757009345793</v>
      </c>
      <c r="Q55" s="63">
        <v>0.43697478991596639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08FEB-E76D-4F7B-A1CA-83ADE021F102}">
  <sheetPr codeName="Sheet16"/>
  <dimension ref="A1:Q46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177</v>
      </c>
      <c r="B1" s="66" t="s">
        <v>177</v>
      </c>
      <c r="C1" s="66" t="s">
        <v>177</v>
      </c>
      <c r="D1" s="67" t="s">
        <v>177</v>
      </c>
      <c r="E1" s="66" t="s">
        <v>177</v>
      </c>
      <c r="F1" s="66" t="s">
        <v>177</v>
      </c>
      <c r="G1" s="66" t="s">
        <v>177</v>
      </c>
      <c r="H1" s="66" t="s">
        <v>177</v>
      </c>
      <c r="I1" s="66" t="s">
        <v>177</v>
      </c>
      <c r="J1" s="66" t="s">
        <v>177</v>
      </c>
      <c r="K1" s="66" t="s">
        <v>177</v>
      </c>
      <c r="L1" s="66" t="s">
        <v>177</v>
      </c>
      <c r="M1" s="66" t="s">
        <v>177</v>
      </c>
      <c r="N1" s="66" t="s">
        <v>177</v>
      </c>
      <c r="O1" s="66" t="s">
        <v>177</v>
      </c>
      <c r="P1" s="66" t="s">
        <v>177</v>
      </c>
      <c r="Q1" s="66" t="s">
        <v>177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-9.1</v>
      </c>
      <c r="C4" s="62">
        <v>-9.1</v>
      </c>
      <c r="D4" s="67">
        <v>2</v>
      </c>
      <c r="E4" s="63">
        <v>0</v>
      </c>
      <c r="F4" s="63">
        <v>0</v>
      </c>
      <c r="G4" s="63">
        <v>0.36363636363636365</v>
      </c>
      <c r="H4" s="63">
        <v>0.27272727272727271</v>
      </c>
      <c r="I4" s="64">
        <v>8125</v>
      </c>
      <c r="J4" s="64">
        <v>-10600</v>
      </c>
      <c r="K4" s="63">
        <v>0</v>
      </c>
      <c r="L4" s="63">
        <v>0</v>
      </c>
      <c r="M4" s="63">
        <v>0.18181818181818182</v>
      </c>
      <c r="N4" s="63">
        <v>0.18181818181818182</v>
      </c>
      <c r="O4" s="63">
        <v>0.5</v>
      </c>
      <c r="P4" s="63">
        <v>0.5</v>
      </c>
      <c r="Q4" s="63">
        <v>0.5</v>
      </c>
    </row>
    <row r="5" spans="1:17" x14ac:dyDescent="0.4">
      <c r="A5" s="65">
        <v>2</v>
      </c>
      <c r="B5" s="62">
        <v>-67.3</v>
      </c>
      <c r="C5" s="62">
        <v>-33.65</v>
      </c>
      <c r="D5" s="67">
        <v>2.5</v>
      </c>
      <c r="E5" s="63">
        <v>0</v>
      </c>
      <c r="F5" s="63">
        <v>0.5</v>
      </c>
      <c r="G5" s="63">
        <v>0.25</v>
      </c>
      <c r="H5" s="63">
        <v>0.3</v>
      </c>
      <c r="I5" s="64">
        <v>8100</v>
      </c>
      <c r="J5" s="64">
        <v>-14300</v>
      </c>
      <c r="K5" s="63">
        <v>0.5</v>
      </c>
      <c r="L5" s="63">
        <v>0</v>
      </c>
      <c r="M5" s="63">
        <v>0.15</v>
      </c>
      <c r="N5" s="63">
        <v>0.1</v>
      </c>
      <c r="O5" s="63">
        <v>0.66666666666666663</v>
      </c>
      <c r="P5" s="63">
        <v>0.5</v>
      </c>
      <c r="Q5" s="63">
        <v>0.4</v>
      </c>
    </row>
    <row r="6" spans="1:17" x14ac:dyDescent="0.4">
      <c r="A6" s="65">
        <v>3</v>
      </c>
      <c r="B6" s="62">
        <v>-113.8</v>
      </c>
      <c r="C6" s="62">
        <v>-37.93333333333333</v>
      </c>
      <c r="D6" s="67">
        <v>2.6666666666666665</v>
      </c>
      <c r="E6" s="63">
        <v>0</v>
      </c>
      <c r="F6" s="63">
        <v>0.66666666666666663</v>
      </c>
      <c r="G6" s="63">
        <v>0.2</v>
      </c>
      <c r="H6" s="63">
        <v>0.33333333333333331</v>
      </c>
      <c r="I6" s="64">
        <v>8750</v>
      </c>
      <c r="J6" s="64">
        <v>-11980</v>
      </c>
      <c r="K6" s="63">
        <v>0.66666666666666663</v>
      </c>
      <c r="L6" s="63">
        <v>0</v>
      </c>
      <c r="M6" s="63">
        <v>0.2</v>
      </c>
      <c r="N6" s="63">
        <v>0.23333333333333334</v>
      </c>
      <c r="O6" s="63">
        <v>0.33333333333333331</v>
      </c>
      <c r="P6" s="63">
        <v>0.2857142857142857</v>
      </c>
      <c r="Q6" s="63">
        <v>0.33333333333333331</v>
      </c>
    </row>
    <row r="7" spans="1:17" x14ac:dyDescent="0.4">
      <c r="A7" s="65">
        <v>4</v>
      </c>
      <c r="B7" s="62">
        <v>-74.599999999999994</v>
      </c>
      <c r="C7" s="62">
        <v>-18.649999999999999</v>
      </c>
      <c r="D7" s="67">
        <v>2.25</v>
      </c>
      <c r="E7" s="63">
        <v>0.25</v>
      </c>
      <c r="F7" s="63">
        <v>0.5</v>
      </c>
      <c r="G7" s="63">
        <v>0.25</v>
      </c>
      <c r="H7" s="63">
        <v>0.27777777777777779</v>
      </c>
      <c r="I7" s="64">
        <v>11355.555555555555</v>
      </c>
      <c r="J7" s="64">
        <v>-11980</v>
      </c>
      <c r="K7" s="63">
        <v>0.5</v>
      </c>
      <c r="L7" s="63">
        <v>0.25</v>
      </c>
      <c r="M7" s="63">
        <v>0.22222222222222221</v>
      </c>
      <c r="N7" s="63">
        <v>0.25</v>
      </c>
      <c r="O7" s="63">
        <v>0.5</v>
      </c>
      <c r="P7" s="63">
        <v>0.33333333333333331</v>
      </c>
      <c r="Q7" s="63">
        <v>0.33333333333333331</v>
      </c>
    </row>
    <row r="8" spans="1:17" x14ac:dyDescent="0.4">
      <c r="A8" s="65">
        <v>5</v>
      </c>
      <c r="B8" s="62">
        <v>-118.3</v>
      </c>
      <c r="C8" s="62">
        <v>-23.66</v>
      </c>
      <c r="D8" s="67">
        <v>2.4</v>
      </c>
      <c r="E8" s="63">
        <v>0.2</v>
      </c>
      <c r="F8" s="63">
        <v>0.6</v>
      </c>
      <c r="G8" s="63">
        <v>0.22222222222222221</v>
      </c>
      <c r="H8" s="63">
        <v>0.31111111111111112</v>
      </c>
      <c r="I8" s="64">
        <v>10420</v>
      </c>
      <c r="J8" s="64">
        <v>-10764.285714285714</v>
      </c>
      <c r="K8" s="63">
        <v>0.4</v>
      </c>
      <c r="L8" s="63">
        <v>0.2</v>
      </c>
      <c r="M8" s="63">
        <v>0.17777777777777778</v>
      </c>
      <c r="N8" s="63">
        <v>0.24444444444444444</v>
      </c>
      <c r="O8" s="63">
        <v>0.5</v>
      </c>
      <c r="P8" s="63">
        <v>0.36363636363636365</v>
      </c>
      <c r="Q8" s="63">
        <v>0.3</v>
      </c>
    </row>
    <row r="9" spans="1:17" x14ac:dyDescent="0.4">
      <c r="A9" s="65">
        <v>6</v>
      </c>
      <c r="B9" s="62">
        <v>-60.3</v>
      </c>
      <c r="C9" s="62">
        <v>-10.049999999999999</v>
      </c>
      <c r="D9" s="67">
        <v>2.1666666666666665</v>
      </c>
      <c r="E9" s="63">
        <v>0.33333333333333331</v>
      </c>
      <c r="F9" s="63">
        <v>0.5</v>
      </c>
      <c r="G9" s="63">
        <v>0.2391304347826087</v>
      </c>
      <c r="H9" s="63">
        <v>0.30434782608695654</v>
      </c>
      <c r="I9" s="64">
        <v>13836.363636363636</v>
      </c>
      <c r="J9" s="64">
        <v>-10764.285714285714</v>
      </c>
      <c r="K9" s="63">
        <v>0.33333333333333331</v>
      </c>
      <c r="L9" s="63">
        <v>0.33333333333333331</v>
      </c>
      <c r="M9" s="63">
        <v>0.17391304347826086</v>
      </c>
      <c r="N9" s="63">
        <v>0.2391304347826087</v>
      </c>
      <c r="O9" s="63">
        <v>0.5</v>
      </c>
      <c r="P9" s="63">
        <v>0.36363636363636365</v>
      </c>
      <c r="Q9" s="63">
        <v>0.27272727272727271</v>
      </c>
    </row>
    <row r="10" spans="1:17" x14ac:dyDescent="0.4">
      <c r="A10" s="65">
        <v>7</v>
      </c>
      <c r="B10" s="62">
        <v>-60.8</v>
      </c>
      <c r="C10" s="62">
        <v>-8.6857142857142851</v>
      </c>
      <c r="D10" s="67">
        <v>2.1428571428571428</v>
      </c>
      <c r="E10" s="63">
        <v>0.2857142857142857</v>
      </c>
      <c r="F10" s="63">
        <v>0.42857142857142855</v>
      </c>
      <c r="G10" s="63">
        <v>0.26415094339622641</v>
      </c>
      <c r="H10" s="63">
        <v>0.26415094339622641</v>
      </c>
      <c r="I10" s="64">
        <v>12942.857142857143</v>
      </c>
      <c r="J10" s="64">
        <v>-10764.285714285714</v>
      </c>
      <c r="K10" s="63">
        <v>0.2857142857142857</v>
      </c>
      <c r="L10" s="63">
        <v>0.2857142857142857</v>
      </c>
      <c r="M10" s="63">
        <v>0.15094339622641509</v>
      </c>
      <c r="N10" s="63">
        <v>0.30188679245283018</v>
      </c>
      <c r="O10" s="63">
        <v>0.5</v>
      </c>
      <c r="P10" s="63">
        <v>0.4375</v>
      </c>
      <c r="Q10" s="63">
        <v>0.35714285714285715</v>
      </c>
    </row>
    <row r="11" spans="1:17" x14ac:dyDescent="0.4">
      <c r="A11" s="65">
        <v>8</v>
      </c>
      <c r="B11" s="62">
        <v>-110.19999999999999</v>
      </c>
      <c r="C11" s="62">
        <v>-13.774999999999999</v>
      </c>
      <c r="D11" s="67">
        <v>2.25</v>
      </c>
      <c r="E11" s="63">
        <v>0.25</v>
      </c>
      <c r="F11" s="63">
        <v>0.5</v>
      </c>
      <c r="G11" s="63">
        <v>0.22950819672131148</v>
      </c>
      <c r="H11" s="63">
        <v>0.26229508196721313</v>
      </c>
      <c r="I11" s="64">
        <v>12942.857142857143</v>
      </c>
      <c r="J11" s="64">
        <v>-11025</v>
      </c>
      <c r="K11" s="63">
        <v>0.375</v>
      </c>
      <c r="L11" s="63">
        <v>0.25</v>
      </c>
      <c r="M11" s="63">
        <v>0.18032786885245902</v>
      </c>
      <c r="N11" s="63">
        <v>0.26229508196721313</v>
      </c>
      <c r="O11" s="63">
        <v>0.36363636363636365</v>
      </c>
      <c r="P11" s="63">
        <v>0.4375</v>
      </c>
      <c r="Q11" s="63">
        <v>0.35714285714285715</v>
      </c>
    </row>
    <row r="12" spans="1:17" x14ac:dyDescent="0.4">
      <c r="A12" s="65">
        <v>9</v>
      </c>
      <c r="B12" s="62">
        <v>-120.99999999999999</v>
      </c>
      <c r="C12" s="62">
        <v>-13.444444444444443</v>
      </c>
      <c r="D12" s="67">
        <v>2.2222222222222223</v>
      </c>
      <c r="E12" s="63">
        <v>0.22222222222222221</v>
      </c>
      <c r="F12" s="63">
        <v>0.44444444444444442</v>
      </c>
      <c r="G12" s="63">
        <v>0.22388059701492538</v>
      </c>
      <c r="H12" s="63">
        <v>0.23880597014925373</v>
      </c>
      <c r="I12" s="64">
        <v>12480</v>
      </c>
      <c r="J12" s="64">
        <v>-11025</v>
      </c>
      <c r="K12" s="63">
        <v>0.33333333333333331</v>
      </c>
      <c r="L12" s="63">
        <v>0.22222222222222221</v>
      </c>
      <c r="M12" s="63">
        <v>0.22388059701492538</v>
      </c>
      <c r="N12" s="63">
        <v>0.2537313432835821</v>
      </c>
      <c r="O12" s="63">
        <v>0.33333333333333331</v>
      </c>
      <c r="P12" s="63">
        <v>0.41176470588235292</v>
      </c>
      <c r="Q12" s="63">
        <v>0.4</v>
      </c>
    </row>
    <row r="13" spans="1:17" x14ac:dyDescent="0.4">
      <c r="A13" s="65">
        <v>10</v>
      </c>
      <c r="B13" s="62">
        <v>-113.29999999999998</v>
      </c>
      <c r="C13" s="62">
        <v>-11.329999999999998</v>
      </c>
      <c r="D13" s="67">
        <v>2.2000000000000002</v>
      </c>
      <c r="E13" s="63">
        <v>0.2</v>
      </c>
      <c r="F13" s="63">
        <v>0.4</v>
      </c>
      <c r="G13" s="63">
        <v>0.23684210526315788</v>
      </c>
      <c r="H13" s="63">
        <v>0.22368421052631579</v>
      </c>
      <c r="I13" s="64">
        <v>12288.888888888889</v>
      </c>
      <c r="J13" s="64">
        <v>-11082.35294117647</v>
      </c>
      <c r="K13" s="63">
        <v>0.3</v>
      </c>
      <c r="L13" s="63">
        <v>0.2</v>
      </c>
      <c r="M13" s="63">
        <v>0.19736842105263158</v>
      </c>
      <c r="N13" s="63">
        <v>0.28947368421052633</v>
      </c>
      <c r="O13" s="63">
        <v>0.33333333333333331</v>
      </c>
      <c r="P13" s="63">
        <v>0.45454545454545453</v>
      </c>
      <c r="Q13" s="63">
        <v>0.33333333333333331</v>
      </c>
    </row>
    <row r="14" spans="1:17" x14ac:dyDescent="0.4">
      <c r="A14" s="65">
        <v>11</v>
      </c>
      <c r="B14" s="62">
        <v>-163.69999999999999</v>
      </c>
      <c r="C14" s="62">
        <v>-14.881818181818181</v>
      </c>
      <c r="D14" s="67">
        <v>2.2727272727272729</v>
      </c>
      <c r="E14" s="63">
        <v>0.18181818181818182</v>
      </c>
      <c r="F14" s="63">
        <v>0.45454545454545453</v>
      </c>
      <c r="G14" s="63">
        <v>0.22619047619047619</v>
      </c>
      <c r="H14" s="63">
        <v>0.22619047619047619</v>
      </c>
      <c r="I14" s="64">
        <v>11852.631578947368</v>
      </c>
      <c r="J14" s="64">
        <v>-11015.78947368421</v>
      </c>
      <c r="K14" s="63">
        <v>0.36363636363636365</v>
      </c>
      <c r="L14" s="63">
        <v>0.18181818181818182</v>
      </c>
      <c r="M14" s="63">
        <v>0.20238095238095238</v>
      </c>
      <c r="N14" s="63">
        <v>0.26190476190476192</v>
      </c>
      <c r="O14" s="63">
        <v>0.29411764705882354</v>
      </c>
      <c r="P14" s="63">
        <v>0.45454545454545453</v>
      </c>
      <c r="Q14" s="63">
        <v>0.36842105263157893</v>
      </c>
    </row>
    <row r="15" spans="1:17" x14ac:dyDescent="0.4">
      <c r="A15" s="65">
        <v>12</v>
      </c>
      <c r="B15" s="62">
        <v>-110.49999999999999</v>
      </c>
      <c r="C15" s="62">
        <v>-9.2083333333333321</v>
      </c>
      <c r="D15" s="67">
        <v>2.1666666666666665</v>
      </c>
      <c r="E15" s="63">
        <v>0.25</v>
      </c>
      <c r="F15" s="63">
        <v>0.41666666666666669</v>
      </c>
      <c r="G15" s="63">
        <v>0.23333333333333334</v>
      </c>
      <c r="H15" s="63">
        <v>0.21111111111111111</v>
      </c>
      <c r="I15" s="64">
        <v>12614.285714285714</v>
      </c>
      <c r="J15" s="64">
        <v>-11015.78947368421</v>
      </c>
      <c r="K15" s="63">
        <v>0.33333333333333331</v>
      </c>
      <c r="L15" s="63">
        <v>0.25</v>
      </c>
      <c r="M15" s="63">
        <v>0.18888888888888888</v>
      </c>
      <c r="N15" s="63">
        <v>0.25555555555555554</v>
      </c>
      <c r="O15" s="63">
        <v>0.29411764705882354</v>
      </c>
      <c r="P15" s="63">
        <v>0.47826086956521741</v>
      </c>
      <c r="Q15" s="63">
        <v>0.33333333333333331</v>
      </c>
    </row>
    <row r="16" spans="1:17" x14ac:dyDescent="0.4">
      <c r="A16" s="65">
        <v>13</v>
      </c>
      <c r="B16" s="62">
        <v>-132.39999999999998</v>
      </c>
      <c r="C16" s="62">
        <v>-10.184615384615382</v>
      </c>
      <c r="D16" s="67">
        <v>2.2307692307692308</v>
      </c>
      <c r="E16" s="63">
        <v>0.23076923076923078</v>
      </c>
      <c r="F16" s="63">
        <v>0.46153846153846156</v>
      </c>
      <c r="G16" s="63">
        <v>0.22222222222222221</v>
      </c>
      <c r="H16" s="63">
        <v>0.21212121212121213</v>
      </c>
      <c r="I16" s="64">
        <v>12586.363636363636</v>
      </c>
      <c r="J16" s="64">
        <v>-10723.809523809523</v>
      </c>
      <c r="K16" s="63">
        <v>0.30769230769230771</v>
      </c>
      <c r="L16" s="63">
        <v>0.23076923076923078</v>
      </c>
      <c r="M16" s="63">
        <v>0.21212121212121213</v>
      </c>
      <c r="N16" s="63">
        <v>0.25252525252525254</v>
      </c>
      <c r="O16" s="63">
        <v>0.23809523809523808</v>
      </c>
      <c r="P16" s="63">
        <v>0.48</v>
      </c>
      <c r="Q16" s="63">
        <v>0.31818181818181818</v>
      </c>
    </row>
    <row r="17" spans="1:17" x14ac:dyDescent="0.4">
      <c r="A17" s="65">
        <v>14</v>
      </c>
      <c r="B17" s="62">
        <v>-86.499999999999972</v>
      </c>
      <c r="C17" s="62">
        <v>-6.1785714285714262</v>
      </c>
      <c r="D17" s="67">
        <v>2.1428571428571428</v>
      </c>
      <c r="E17" s="63">
        <v>0.2857142857142857</v>
      </c>
      <c r="F17" s="63">
        <v>0.42857142857142855</v>
      </c>
      <c r="G17" s="63">
        <v>0.22641509433962265</v>
      </c>
      <c r="H17" s="63">
        <v>0.20754716981132076</v>
      </c>
      <c r="I17" s="64">
        <v>13370.833333333334</v>
      </c>
      <c r="J17" s="64">
        <v>-10600</v>
      </c>
      <c r="K17" s="63">
        <v>0.2857142857142857</v>
      </c>
      <c r="L17" s="63">
        <v>0.2857142857142857</v>
      </c>
      <c r="M17" s="63">
        <v>0.22641509433962265</v>
      </c>
      <c r="N17" s="63">
        <v>0.23584905660377359</v>
      </c>
      <c r="O17" s="63">
        <v>0.25</v>
      </c>
      <c r="P17" s="63">
        <v>0.48</v>
      </c>
      <c r="Q17" s="63">
        <v>0.33333333333333331</v>
      </c>
    </row>
    <row r="18" spans="1:17" x14ac:dyDescent="0.4">
      <c r="A18" s="65">
        <v>15</v>
      </c>
      <c r="B18" s="62">
        <v>-101.79999999999997</v>
      </c>
      <c r="C18" s="62">
        <v>-6.7866666666666644</v>
      </c>
      <c r="D18" s="67">
        <v>2.1333333333333333</v>
      </c>
      <c r="E18" s="63">
        <v>0.26666666666666666</v>
      </c>
      <c r="F18" s="63">
        <v>0.4</v>
      </c>
      <c r="G18" s="63">
        <v>0.22131147540983606</v>
      </c>
      <c r="H18" s="63">
        <v>0.19672131147540983</v>
      </c>
      <c r="I18" s="64">
        <v>12474.074074074075</v>
      </c>
      <c r="J18" s="64">
        <v>-10254.166666666666</v>
      </c>
      <c r="K18" s="63">
        <v>0.26666666666666666</v>
      </c>
      <c r="L18" s="63">
        <v>0.26666666666666666</v>
      </c>
      <c r="M18" s="63">
        <v>0.22950819672131148</v>
      </c>
      <c r="N18" s="63">
        <v>0.23770491803278687</v>
      </c>
      <c r="O18" s="63">
        <v>0.25</v>
      </c>
      <c r="P18" s="63">
        <v>0.44827586206896552</v>
      </c>
      <c r="Q18" s="63">
        <v>0.29629629629629628</v>
      </c>
    </row>
    <row r="19" spans="1:17" x14ac:dyDescent="0.4">
      <c r="A19" s="65">
        <v>16</v>
      </c>
      <c r="B19" s="62">
        <v>-63.099999999999966</v>
      </c>
      <c r="C19" s="62">
        <v>-3.9437499999999979</v>
      </c>
      <c r="D19" s="67">
        <v>2.0625</v>
      </c>
      <c r="E19" s="63">
        <v>0.3125</v>
      </c>
      <c r="F19" s="63">
        <v>0.375</v>
      </c>
      <c r="G19" s="63">
        <v>0.23255813953488372</v>
      </c>
      <c r="H19" s="63">
        <v>0.19379844961240311</v>
      </c>
      <c r="I19" s="64">
        <v>12426.666666666666</v>
      </c>
      <c r="J19" s="64">
        <v>-9896</v>
      </c>
      <c r="K19" s="63">
        <v>0.25</v>
      </c>
      <c r="L19" s="63">
        <v>0.25</v>
      </c>
      <c r="M19" s="63">
        <v>0.24031007751937986</v>
      </c>
      <c r="N19" s="63">
        <v>0.23255813953488372</v>
      </c>
      <c r="O19" s="63">
        <v>0.29032258064516131</v>
      </c>
      <c r="P19" s="63">
        <v>0.46666666666666667</v>
      </c>
      <c r="Q19" s="63">
        <v>0.36666666666666664</v>
      </c>
    </row>
    <row r="20" spans="1:17" x14ac:dyDescent="0.4">
      <c r="A20" s="65">
        <v>17</v>
      </c>
      <c r="B20" s="62">
        <v>-55.799999999999969</v>
      </c>
      <c r="C20" s="62">
        <v>-3.2823529411764687</v>
      </c>
      <c r="D20" s="67">
        <v>2.0588235294117645</v>
      </c>
      <c r="E20" s="63">
        <v>0.29411764705882354</v>
      </c>
      <c r="F20" s="63">
        <v>0.35294117647058826</v>
      </c>
      <c r="G20" s="63">
        <v>0.24087591240875914</v>
      </c>
      <c r="H20" s="63">
        <v>0.18248175182481752</v>
      </c>
      <c r="I20" s="64">
        <v>12124.242424242424</v>
      </c>
      <c r="J20" s="64">
        <v>-9896</v>
      </c>
      <c r="K20" s="63">
        <v>0.23529411764705882</v>
      </c>
      <c r="L20" s="63">
        <v>0.23529411764705882</v>
      </c>
      <c r="M20" s="63">
        <v>0.24817518248175183</v>
      </c>
      <c r="N20" s="63">
        <v>0.22627737226277372</v>
      </c>
      <c r="O20" s="63">
        <v>0.3235294117647059</v>
      </c>
      <c r="P20" s="63">
        <v>0.4838709677419355</v>
      </c>
      <c r="Q20" s="63">
        <v>0.39393939393939392</v>
      </c>
    </row>
    <row r="21" spans="1:17" x14ac:dyDescent="0.4">
      <c r="A21" s="65">
        <v>18</v>
      </c>
      <c r="B21" s="62">
        <v>-24.999999999999968</v>
      </c>
      <c r="C21" s="62">
        <v>-1.3888888888888871</v>
      </c>
      <c r="D21" s="67">
        <v>2</v>
      </c>
      <c r="E21" s="63">
        <v>0.33333333333333331</v>
      </c>
      <c r="F21" s="63">
        <v>0.33333333333333331</v>
      </c>
      <c r="G21" s="63">
        <v>0.24827586206896551</v>
      </c>
      <c r="H21" s="63">
        <v>0.17241379310344829</v>
      </c>
      <c r="I21" s="64">
        <v>11561.111111111111</v>
      </c>
      <c r="J21" s="64">
        <v>-9896</v>
      </c>
      <c r="K21" s="63">
        <v>0.22222222222222221</v>
      </c>
      <c r="L21" s="63">
        <v>0.22222222222222221</v>
      </c>
      <c r="M21" s="63">
        <v>0.25517241379310346</v>
      </c>
      <c r="N21" s="63">
        <v>0.23448275862068965</v>
      </c>
      <c r="O21" s="63">
        <v>0.32432432432432434</v>
      </c>
      <c r="P21" s="63">
        <v>0.47058823529411764</v>
      </c>
      <c r="Q21" s="63">
        <v>0.41666666666666669</v>
      </c>
    </row>
    <row r="22" spans="1:17" x14ac:dyDescent="0.4">
      <c r="A22" s="65">
        <v>19</v>
      </c>
      <c r="B22" s="62">
        <v>-27.799999999999969</v>
      </c>
      <c r="C22" s="62">
        <v>-1.4631578947368404</v>
      </c>
      <c r="D22" s="67">
        <v>2</v>
      </c>
      <c r="E22" s="63">
        <v>0.31578947368421051</v>
      </c>
      <c r="F22" s="63">
        <v>0.31578947368421051</v>
      </c>
      <c r="G22" s="63">
        <v>0.25</v>
      </c>
      <c r="H22" s="63">
        <v>0.17307692307692307</v>
      </c>
      <c r="I22" s="64">
        <v>11823.076923076924</v>
      </c>
      <c r="J22" s="64">
        <v>-9903.7037037037044</v>
      </c>
      <c r="K22" s="63">
        <v>0.21052631578947367</v>
      </c>
      <c r="L22" s="63">
        <v>0.21052631578947367</v>
      </c>
      <c r="M22" s="63">
        <v>0.25641025641025639</v>
      </c>
      <c r="N22" s="63">
        <v>0.22435897435897437</v>
      </c>
      <c r="O22" s="63">
        <v>0.35</v>
      </c>
      <c r="P22" s="63">
        <v>0.48571428571428571</v>
      </c>
      <c r="Q22" s="63">
        <v>0.41025641025641024</v>
      </c>
    </row>
    <row r="23" spans="1:17" x14ac:dyDescent="0.4">
      <c r="A23" s="65">
        <v>20</v>
      </c>
      <c r="B23" s="62">
        <v>-50.39999999999997</v>
      </c>
      <c r="C23" s="62">
        <v>-2.5199999999999987</v>
      </c>
      <c r="D23" s="67">
        <v>2.0499999999999998</v>
      </c>
      <c r="E23" s="63">
        <v>0.3</v>
      </c>
      <c r="F23" s="63">
        <v>0.35</v>
      </c>
      <c r="G23" s="63">
        <v>0.24691358024691357</v>
      </c>
      <c r="H23" s="63">
        <v>0.16666666666666666</v>
      </c>
      <c r="I23" s="64">
        <v>11657.5</v>
      </c>
      <c r="J23" s="64">
        <v>-9903.7037037037044</v>
      </c>
      <c r="K23" s="63">
        <v>0.2</v>
      </c>
      <c r="L23" s="63">
        <v>0.2</v>
      </c>
      <c r="M23" s="63">
        <v>0.26543209876543211</v>
      </c>
      <c r="N23" s="63">
        <v>0.22222222222222221</v>
      </c>
      <c r="O23" s="63">
        <v>0.34883720930232559</v>
      </c>
      <c r="P23" s="63">
        <v>0.47222222222222221</v>
      </c>
      <c r="Q23" s="63">
        <v>0.4</v>
      </c>
    </row>
    <row r="24" spans="1:17" x14ac:dyDescent="0.4">
      <c r="A24" s="65">
        <v>21</v>
      </c>
      <c r="B24" s="62">
        <v>-59.89999999999997</v>
      </c>
      <c r="C24" s="62">
        <v>-2.8523809523809511</v>
      </c>
      <c r="D24" s="67">
        <v>2.0476190476190474</v>
      </c>
      <c r="E24" s="63">
        <v>0.2857142857142857</v>
      </c>
      <c r="F24" s="63">
        <v>0.33333333333333331</v>
      </c>
      <c r="G24" s="63">
        <v>0.24260355029585798</v>
      </c>
      <c r="H24" s="63">
        <v>0.15976331360946747</v>
      </c>
      <c r="I24" s="64">
        <v>11421.951219512195</v>
      </c>
      <c r="J24" s="64">
        <v>-9903.7037037037044</v>
      </c>
      <c r="K24" s="63">
        <v>0.19047619047619047</v>
      </c>
      <c r="L24" s="63">
        <v>0.19047619047619047</v>
      </c>
      <c r="M24" s="63">
        <v>0.26035502958579881</v>
      </c>
      <c r="N24" s="63">
        <v>0.21893491124260356</v>
      </c>
      <c r="O24" s="63">
        <v>0.34090909090909088</v>
      </c>
      <c r="P24" s="63">
        <v>0.48648648648648651</v>
      </c>
      <c r="Q24" s="63">
        <v>0.3902439024390244</v>
      </c>
    </row>
    <row r="25" spans="1:17" x14ac:dyDescent="0.4">
      <c r="A25" s="65">
        <v>22</v>
      </c>
      <c r="B25" s="62">
        <v>-21.799999999999969</v>
      </c>
      <c r="C25" s="62">
        <v>-0.99090909090908952</v>
      </c>
      <c r="D25" s="67">
        <v>2</v>
      </c>
      <c r="E25" s="63">
        <v>0.31818181818181818</v>
      </c>
      <c r="F25" s="63">
        <v>0.31818181818181818</v>
      </c>
      <c r="G25" s="63">
        <v>0.25568181818181818</v>
      </c>
      <c r="H25" s="63">
        <v>0.15909090909090909</v>
      </c>
      <c r="I25" s="64">
        <v>10960</v>
      </c>
      <c r="J25" s="64">
        <v>-9596.4285714285706</v>
      </c>
      <c r="K25" s="63">
        <v>0.18181818181818182</v>
      </c>
      <c r="L25" s="63">
        <v>0.22727272727272727</v>
      </c>
      <c r="M25" s="63">
        <v>0.25568181818181818</v>
      </c>
      <c r="N25" s="63">
        <v>0.23295454545454544</v>
      </c>
      <c r="O25" s="63">
        <v>0.35555555555555557</v>
      </c>
      <c r="P25" s="63">
        <v>0.51219512195121952</v>
      </c>
      <c r="Q25" s="63">
        <v>0.4</v>
      </c>
    </row>
    <row r="26" spans="1:17" x14ac:dyDescent="0.4">
      <c r="A26" s="65">
        <v>23</v>
      </c>
      <c r="B26" s="62">
        <v>-10.299999999999969</v>
      </c>
      <c r="C26" s="62">
        <v>-0.44782608695652038</v>
      </c>
      <c r="D26" s="67">
        <v>1.9565217391304348</v>
      </c>
      <c r="E26" s="63">
        <v>0.34782608695652173</v>
      </c>
      <c r="F26" s="63">
        <v>0.30434782608695654</v>
      </c>
      <c r="G26" s="63">
        <v>0.25683060109289618</v>
      </c>
      <c r="H26" s="63">
        <v>0.15300546448087432</v>
      </c>
      <c r="I26" s="64">
        <v>10834.04255319149</v>
      </c>
      <c r="J26" s="64">
        <v>-9596.4285714285706</v>
      </c>
      <c r="K26" s="63">
        <v>0.17391304347826086</v>
      </c>
      <c r="L26" s="63">
        <v>0.21739130434782608</v>
      </c>
      <c r="M26" s="63">
        <v>0.25683060109289618</v>
      </c>
      <c r="N26" s="63">
        <v>0.22950819672131148</v>
      </c>
      <c r="O26" s="63">
        <v>0.36170212765957449</v>
      </c>
      <c r="P26" s="63">
        <v>0.52380952380952384</v>
      </c>
      <c r="Q26" s="63">
        <v>0.42553191489361702</v>
      </c>
    </row>
    <row r="27" spans="1:17" x14ac:dyDescent="0.4">
      <c r="A27" s="65">
        <v>24</v>
      </c>
      <c r="B27" s="62">
        <v>-51.39999999999997</v>
      </c>
      <c r="C27" s="62">
        <v>-2.1416666666666653</v>
      </c>
      <c r="D27" s="67">
        <v>2</v>
      </c>
      <c r="E27" s="63">
        <v>0.33333333333333331</v>
      </c>
      <c r="F27" s="63">
        <v>0.33333333333333331</v>
      </c>
      <c r="G27" s="63">
        <v>0.2513089005235602</v>
      </c>
      <c r="H27" s="63">
        <v>0.17277486910994763</v>
      </c>
      <c r="I27" s="64">
        <v>10858.333333333334</v>
      </c>
      <c r="J27" s="64">
        <v>-9403.0303030303039</v>
      </c>
      <c r="K27" s="63">
        <v>0.16666666666666666</v>
      </c>
      <c r="L27" s="63">
        <v>0.20833333333333334</v>
      </c>
      <c r="M27" s="63">
        <v>0.26178010471204188</v>
      </c>
      <c r="N27" s="63">
        <v>0.2356020942408377</v>
      </c>
      <c r="O27" s="63">
        <v>0.36</v>
      </c>
      <c r="P27" s="63">
        <v>0.48888888888888887</v>
      </c>
      <c r="Q27" s="63">
        <v>0.4375</v>
      </c>
    </row>
    <row r="28" spans="1:17" x14ac:dyDescent="0.4">
      <c r="A28" s="65">
        <v>25</v>
      </c>
      <c r="B28" s="62">
        <v>-37.699999999999974</v>
      </c>
      <c r="C28" s="62">
        <v>-1.5079999999999989</v>
      </c>
      <c r="D28" s="67">
        <v>2</v>
      </c>
      <c r="E28" s="63">
        <v>0.32</v>
      </c>
      <c r="F28" s="63">
        <v>0.32</v>
      </c>
      <c r="G28" s="63">
        <v>0.25380710659898476</v>
      </c>
      <c r="H28" s="63">
        <v>0.16751269035532995</v>
      </c>
      <c r="I28" s="64">
        <v>10744</v>
      </c>
      <c r="J28" s="64">
        <v>-9403.0303030303039</v>
      </c>
      <c r="K28" s="63">
        <v>0.16</v>
      </c>
      <c r="L28" s="63">
        <v>0.2</v>
      </c>
      <c r="M28" s="63">
        <v>0.26903553299492383</v>
      </c>
      <c r="N28" s="63">
        <v>0.22842639593908629</v>
      </c>
      <c r="O28" s="63">
        <v>0.37735849056603776</v>
      </c>
      <c r="P28" s="63">
        <v>0.48888888888888887</v>
      </c>
      <c r="Q28" s="63">
        <v>0.46</v>
      </c>
    </row>
    <row r="29" spans="1:17" x14ac:dyDescent="0.4">
      <c r="A29" s="65">
        <v>26</v>
      </c>
      <c r="B29" s="62">
        <v>-84.999999999999972</v>
      </c>
      <c r="C29" s="62">
        <v>-3.2692307692307683</v>
      </c>
      <c r="D29" s="67">
        <v>2.0384615384615383</v>
      </c>
      <c r="E29" s="63">
        <v>0.30769230769230771</v>
      </c>
      <c r="F29" s="63">
        <v>0.34615384615384615</v>
      </c>
      <c r="G29" s="63">
        <v>0.24752475247524752</v>
      </c>
      <c r="H29" s="63">
        <v>0.17326732673267325</v>
      </c>
      <c r="I29" s="64">
        <v>10744</v>
      </c>
      <c r="J29" s="64">
        <v>-9551.4285714285706</v>
      </c>
      <c r="K29" s="63">
        <v>0.19230769230769232</v>
      </c>
      <c r="L29" s="63">
        <v>0.19230769230769232</v>
      </c>
      <c r="M29" s="63">
        <v>0.2722772277227723</v>
      </c>
      <c r="N29" s="63">
        <v>0.22277227722772278</v>
      </c>
      <c r="O29" s="63">
        <v>0.36363636363636365</v>
      </c>
      <c r="P29" s="63">
        <v>0.48888888888888887</v>
      </c>
      <c r="Q29" s="63">
        <v>0.46</v>
      </c>
    </row>
    <row r="30" spans="1:17" x14ac:dyDescent="0.4">
      <c r="A30" s="65">
        <v>27</v>
      </c>
      <c r="B30" s="62">
        <v>-31.499999999999972</v>
      </c>
      <c r="C30" s="62">
        <v>-1.1666666666666656</v>
      </c>
      <c r="D30" s="67">
        <v>2</v>
      </c>
      <c r="E30" s="63">
        <v>0.33333333333333331</v>
      </c>
      <c r="F30" s="63">
        <v>0.33333333333333331</v>
      </c>
      <c r="G30" s="63">
        <v>0.25714285714285712</v>
      </c>
      <c r="H30" s="63">
        <v>0.16666666666666666</v>
      </c>
      <c r="I30" s="64">
        <v>10811.111111111111</v>
      </c>
      <c r="J30" s="64">
        <v>-9551.4285714285706</v>
      </c>
      <c r="K30" s="63">
        <v>0.18518518518518517</v>
      </c>
      <c r="L30" s="63">
        <v>0.22222222222222221</v>
      </c>
      <c r="M30" s="63">
        <v>0.27619047619047621</v>
      </c>
      <c r="N30" s="63">
        <v>0.21904761904761905</v>
      </c>
      <c r="O30" s="63">
        <v>0.39655172413793105</v>
      </c>
      <c r="P30" s="63">
        <v>0.5</v>
      </c>
      <c r="Q30" s="63">
        <v>0.46296296296296297</v>
      </c>
    </row>
    <row r="31" spans="1:17" x14ac:dyDescent="0.4">
      <c r="A31" s="65">
        <v>28</v>
      </c>
      <c r="B31" s="62">
        <v>-10.999999999999972</v>
      </c>
      <c r="C31" s="62">
        <v>-0.39285714285714185</v>
      </c>
      <c r="D31" s="67">
        <v>1.9642857142857142</v>
      </c>
      <c r="E31" s="63">
        <v>0.35714285714285715</v>
      </c>
      <c r="F31" s="63">
        <v>0.32142857142857145</v>
      </c>
      <c r="G31" s="63">
        <v>0.25925925925925924</v>
      </c>
      <c r="H31" s="63">
        <v>0.16666666666666666</v>
      </c>
      <c r="I31" s="64">
        <v>10853.571428571429</v>
      </c>
      <c r="J31" s="64">
        <v>-9508.3333333333339</v>
      </c>
      <c r="K31" s="63">
        <v>0.17857142857142858</v>
      </c>
      <c r="L31" s="63">
        <v>0.21428571428571427</v>
      </c>
      <c r="M31" s="63">
        <v>0.27777777777777779</v>
      </c>
      <c r="N31" s="63">
        <v>0.21759259259259259</v>
      </c>
      <c r="O31" s="63">
        <v>0.41666666666666669</v>
      </c>
      <c r="P31" s="63">
        <v>0.48936170212765956</v>
      </c>
      <c r="Q31" s="63">
        <v>0.4642857142857143</v>
      </c>
    </row>
    <row r="32" spans="1:17" x14ac:dyDescent="0.4">
      <c r="A32" s="65">
        <v>29</v>
      </c>
      <c r="B32" s="62">
        <v>-16.499999999999972</v>
      </c>
      <c r="C32" s="62">
        <v>-0.56896551724137834</v>
      </c>
      <c r="D32" s="67">
        <v>1.9655172413793103</v>
      </c>
      <c r="E32" s="63">
        <v>0.34482758620689657</v>
      </c>
      <c r="F32" s="63">
        <v>0.31034482758620691</v>
      </c>
      <c r="G32" s="63">
        <v>0.25221238938053098</v>
      </c>
      <c r="H32" s="63">
        <v>0.16371681415929204</v>
      </c>
      <c r="I32" s="64">
        <v>10714.035087719298</v>
      </c>
      <c r="J32" s="64">
        <v>-9467.5675675675684</v>
      </c>
      <c r="K32" s="63">
        <v>0.17241379310344829</v>
      </c>
      <c r="L32" s="63">
        <v>0.20689655172413793</v>
      </c>
      <c r="M32" s="63">
        <v>0.27876106194690264</v>
      </c>
      <c r="N32" s="63">
        <v>0.21238938053097345</v>
      </c>
      <c r="O32" s="63">
        <v>0.3968253968253968</v>
      </c>
      <c r="P32" s="63">
        <v>0.5</v>
      </c>
      <c r="Q32" s="63">
        <v>0.45614035087719296</v>
      </c>
    </row>
    <row r="33" spans="1:17" x14ac:dyDescent="0.4">
      <c r="A33" s="65">
        <v>30</v>
      </c>
      <c r="B33" s="62">
        <v>30.900000000000027</v>
      </c>
      <c r="C33" s="62">
        <v>1.0300000000000009</v>
      </c>
      <c r="D33" s="67">
        <v>1.9333333333333333</v>
      </c>
      <c r="E33" s="63">
        <v>0.36666666666666664</v>
      </c>
      <c r="F33" s="63">
        <v>0.3</v>
      </c>
      <c r="G33" s="63">
        <v>0.25974025974025972</v>
      </c>
      <c r="H33" s="63">
        <v>0.16017316017316016</v>
      </c>
      <c r="I33" s="64">
        <v>10706.666666666666</v>
      </c>
      <c r="J33" s="64">
        <v>-9467.5675675675684</v>
      </c>
      <c r="K33" s="63">
        <v>0.16666666666666666</v>
      </c>
      <c r="L33" s="63">
        <v>0.23333333333333334</v>
      </c>
      <c r="M33" s="63">
        <v>0.2813852813852814</v>
      </c>
      <c r="N33" s="63">
        <v>0.21212121212121213</v>
      </c>
      <c r="O33" s="63">
        <v>0.4</v>
      </c>
      <c r="P33" s="63">
        <v>0.51020408163265307</v>
      </c>
      <c r="Q33" s="63">
        <v>0.45</v>
      </c>
    </row>
    <row r="34" spans="1:17" x14ac:dyDescent="0.4">
      <c r="A34" s="65">
        <v>31</v>
      </c>
      <c r="B34" s="62">
        <v>73.900000000000034</v>
      </c>
      <c r="C34" s="62">
        <v>2.3838709677419367</v>
      </c>
      <c r="D34" s="67">
        <v>1.903225806451613</v>
      </c>
      <c r="E34" s="63">
        <v>0.38709677419354838</v>
      </c>
      <c r="F34" s="63">
        <v>0.29032258064516131</v>
      </c>
      <c r="G34" s="63">
        <v>0.26890756302521007</v>
      </c>
      <c r="H34" s="63">
        <v>0.15966386554621848</v>
      </c>
      <c r="I34" s="64">
        <v>10553.125</v>
      </c>
      <c r="J34" s="64">
        <v>-9271.0526315789466</v>
      </c>
      <c r="K34" s="63">
        <v>0.16129032258064516</v>
      </c>
      <c r="L34" s="63">
        <v>0.22580645161290322</v>
      </c>
      <c r="M34" s="63">
        <v>0.2857142857142857</v>
      </c>
      <c r="N34" s="63">
        <v>0.21428571428571427</v>
      </c>
      <c r="O34" s="63">
        <v>0.41176470588235292</v>
      </c>
      <c r="P34" s="63">
        <v>0.52941176470588236</v>
      </c>
      <c r="Q34" s="63">
        <v>0.453125</v>
      </c>
    </row>
    <row r="35" spans="1:17" x14ac:dyDescent="0.4">
      <c r="A35" s="65">
        <v>32</v>
      </c>
      <c r="B35" s="62">
        <v>96.100000000000037</v>
      </c>
      <c r="C35" s="62">
        <v>3.0031250000000012</v>
      </c>
      <c r="D35" s="67">
        <v>1.875</v>
      </c>
      <c r="E35" s="63">
        <v>0.40625</v>
      </c>
      <c r="F35" s="63">
        <v>0.28125</v>
      </c>
      <c r="G35" s="63">
        <v>0.26938775510204083</v>
      </c>
      <c r="H35" s="63">
        <v>0.15510204081632653</v>
      </c>
      <c r="I35" s="64">
        <v>10430.30303030303</v>
      </c>
      <c r="J35" s="64">
        <v>-9271.0526315789466</v>
      </c>
      <c r="K35" s="63">
        <v>0.15625</v>
      </c>
      <c r="L35" s="63">
        <v>0.21875</v>
      </c>
      <c r="M35" s="63">
        <v>0.28163265306122448</v>
      </c>
      <c r="N35" s="63">
        <v>0.20816326530612245</v>
      </c>
      <c r="O35" s="63">
        <v>0.42028985507246375</v>
      </c>
      <c r="P35" s="63">
        <v>0.52941176470588236</v>
      </c>
      <c r="Q35" s="63">
        <v>0.45454545454545453</v>
      </c>
    </row>
    <row r="36" spans="1:17" x14ac:dyDescent="0.4">
      <c r="A36" s="65">
        <v>33</v>
      </c>
      <c r="B36" s="62">
        <v>112.00000000000004</v>
      </c>
      <c r="C36" s="62">
        <v>3.3939393939393954</v>
      </c>
      <c r="D36" s="67">
        <v>1.8484848484848484</v>
      </c>
      <c r="E36" s="63">
        <v>0.42424242424242425</v>
      </c>
      <c r="F36" s="63">
        <v>0.27272727272727271</v>
      </c>
      <c r="G36" s="63">
        <v>0.26984126984126983</v>
      </c>
      <c r="H36" s="63">
        <v>0.15873015873015872</v>
      </c>
      <c r="I36" s="64">
        <v>10354.411764705883</v>
      </c>
      <c r="J36" s="64">
        <v>-8970</v>
      </c>
      <c r="K36" s="63">
        <v>0.15151515151515152</v>
      </c>
      <c r="L36" s="63">
        <v>0.21212121212121213</v>
      </c>
      <c r="M36" s="63">
        <v>0.28174603174603174</v>
      </c>
      <c r="N36" s="63">
        <v>0.20634920634920634</v>
      </c>
      <c r="O36" s="63">
        <v>0.43661971830985913</v>
      </c>
      <c r="P36" s="63">
        <v>0.51923076923076927</v>
      </c>
      <c r="Q36" s="63">
        <v>0.44117647058823528</v>
      </c>
    </row>
    <row r="37" spans="1:17" x14ac:dyDescent="0.4">
      <c r="A37" s="65">
        <v>34</v>
      </c>
      <c r="B37" s="62">
        <v>110.00000000000004</v>
      </c>
      <c r="C37" s="62">
        <v>3.2352941176470602</v>
      </c>
      <c r="D37" s="67">
        <v>1.8529411764705883</v>
      </c>
      <c r="E37" s="63">
        <v>0.41176470588235292</v>
      </c>
      <c r="F37" s="63">
        <v>0.26470588235294118</v>
      </c>
      <c r="G37" s="63">
        <v>0.27099236641221375</v>
      </c>
      <c r="H37" s="63">
        <v>0.16412213740458015</v>
      </c>
      <c r="I37" s="64">
        <v>10311.267605633802</v>
      </c>
      <c r="J37" s="64">
        <v>-8790.6976744186049</v>
      </c>
      <c r="K37" s="63">
        <v>0.14705882352941177</v>
      </c>
      <c r="L37" s="63">
        <v>0.20588235294117646</v>
      </c>
      <c r="M37" s="63">
        <v>0.28244274809160308</v>
      </c>
      <c r="N37" s="63">
        <v>0.21374045801526717</v>
      </c>
      <c r="O37" s="63">
        <v>0.44594594594594594</v>
      </c>
      <c r="P37" s="63">
        <v>0.5</v>
      </c>
      <c r="Q37" s="63">
        <v>0.45070422535211269</v>
      </c>
    </row>
    <row r="38" spans="1:17" x14ac:dyDescent="0.4">
      <c r="A38" s="65">
        <v>35</v>
      </c>
      <c r="B38" s="62">
        <v>140.50000000000006</v>
      </c>
      <c r="C38" s="62">
        <v>4.014285714285716</v>
      </c>
      <c r="D38" s="67">
        <v>1.8285714285714285</v>
      </c>
      <c r="E38" s="63">
        <v>0.42857142857142855</v>
      </c>
      <c r="F38" s="63">
        <v>0.25714285714285712</v>
      </c>
      <c r="G38" s="63">
        <v>0.27472527472527475</v>
      </c>
      <c r="H38" s="63">
        <v>0.16117216117216118</v>
      </c>
      <c r="I38" s="64">
        <v>10238.666666666666</v>
      </c>
      <c r="J38" s="64">
        <v>-8772.7272727272721</v>
      </c>
      <c r="K38" s="63">
        <v>0.14285714285714285</v>
      </c>
      <c r="L38" s="63">
        <v>0.2</v>
      </c>
      <c r="M38" s="63">
        <v>0.2857142857142857</v>
      </c>
      <c r="N38" s="63">
        <v>0.20512820512820512</v>
      </c>
      <c r="O38" s="63">
        <v>0.44871794871794873</v>
      </c>
      <c r="P38" s="63">
        <v>0.5</v>
      </c>
      <c r="Q38" s="63">
        <v>0.46666666666666667</v>
      </c>
    </row>
    <row r="39" spans="1:17" x14ac:dyDescent="0.4">
      <c r="A39" s="65">
        <v>36</v>
      </c>
      <c r="B39" s="62">
        <v>105.40000000000006</v>
      </c>
      <c r="C39" s="62">
        <v>2.9277777777777794</v>
      </c>
      <c r="D39" s="67">
        <v>1.8611111111111112</v>
      </c>
      <c r="E39" s="63">
        <v>0.41666666666666669</v>
      </c>
      <c r="F39" s="63">
        <v>0.27777777777777779</v>
      </c>
      <c r="G39" s="63">
        <v>0.27083333333333331</v>
      </c>
      <c r="H39" s="63">
        <v>0.16319444444444445</v>
      </c>
      <c r="I39" s="64">
        <v>10251.282051282051</v>
      </c>
      <c r="J39" s="64">
        <v>-8565.9574468085102</v>
      </c>
      <c r="K39" s="63">
        <v>0.1388888888888889</v>
      </c>
      <c r="L39" s="63">
        <v>0.19444444444444445</v>
      </c>
      <c r="M39" s="63">
        <v>0.28472222222222221</v>
      </c>
      <c r="N39" s="63">
        <v>0.19791666666666666</v>
      </c>
      <c r="O39" s="63">
        <v>0.45121951219512196</v>
      </c>
      <c r="P39" s="63">
        <v>0.49122807017543857</v>
      </c>
      <c r="Q39" s="63">
        <v>0.47435897435897434</v>
      </c>
    </row>
    <row r="40" spans="1:17" x14ac:dyDescent="0.4">
      <c r="A40" s="65">
        <v>37</v>
      </c>
      <c r="B40" s="62">
        <v>146.30000000000007</v>
      </c>
      <c r="C40" s="62">
        <v>3.9540540540540561</v>
      </c>
      <c r="D40" s="67">
        <v>1.8378378378378379</v>
      </c>
      <c r="E40" s="63">
        <v>0.43243243243243246</v>
      </c>
      <c r="F40" s="63">
        <v>0.27027027027027029</v>
      </c>
      <c r="G40" s="63">
        <v>0.27796610169491526</v>
      </c>
      <c r="H40" s="63">
        <v>0.15932203389830507</v>
      </c>
      <c r="I40" s="64">
        <v>10174.390243902439</v>
      </c>
      <c r="J40" s="64">
        <v>-8565.9574468085102</v>
      </c>
      <c r="K40" s="63">
        <v>0.13513513513513514</v>
      </c>
      <c r="L40" s="63">
        <v>0.1891891891891892</v>
      </c>
      <c r="M40" s="63">
        <v>0.28813559322033899</v>
      </c>
      <c r="N40" s="63">
        <v>0.2</v>
      </c>
      <c r="O40" s="63">
        <v>0.45882352941176469</v>
      </c>
      <c r="P40" s="63">
        <v>0.49152542372881358</v>
      </c>
      <c r="Q40" s="63">
        <v>0.48780487804878048</v>
      </c>
    </row>
    <row r="41" spans="1:17" x14ac:dyDescent="0.4">
      <c r="A41" s="65">
        <v>38</v>
      </c>
      <c r="B41" s="62">
        <v>129.30000000000007</v>
      </c>
      <c r="C41" s="62">
        <v>3.40263157894737</v>
      </c>
      <c r="D41" s="67">
        <v>1.868421052631579</v>
      </c>
      <c r="E41" s="63">
        <v>0.42105263157894735</v>
      </c>
      <c r="F41" s="63">
        <v>0.28947368421052633</v>
      </c>
      <c r="G41" s="63">
        <v>0.27868852459016391</v>
      </c>
      <c r="H41" s="63">
        <v>0.16393442622950818</v>
      </c>
      <c r="I41" s="64">
        <v>10071.764705882353</v>
      </c>
      <c r="J41" s="64">
        <v>-8228</v>
      </c>
      <c r="K41" s="63">
        <v>0.13157894736842105</v>
      </c>
      <c r="L41" s="63">
        <v>0.18421052631578946</v>
      </c>
      <c r="M41" s="63">
        <v>0.29180327868852457</v>
      </c>
      <c r="N41" s="63">
        <v>0.20327868852459016</v>
      </c>
      <c r="O41" s="63">
        <v>0.4606741573033708</v>
      </c>
      <c r="P41" s="63">
        <v>0.4838709677419355</v>
      </c>
      <c r="Q41" s="63">
        <v>0.47058823529411764</v>
      </c>
    </row>
    <row r="42" spans="1:17" x14ac:dyDescent="0.4">
      <c r="A42" s="65">
        <v>39</v>
      </c>
      <c r="B42" s="62">
        <v>101.20000000000007</v>
      </c>
      <c r="C42" s="62">
        <v>2.5948717948717968</v>
      </c>
      <c r="D42" s="67">
        <v>1.8974358974358974</v>
      </c>
      <c r="E42" s="63">
        <v>0.41025641025641024</v>
      </c>
      <c r="F42" s="63">
        <v>0.30769230769230771</v>
      </c>
      <c r="G42" s="63">
        <v>0.27476038338658149</v>
      </c>
      <c r="H42" s="63">
        <v>0.16613418530351437</v>
      </c>
      <c r="I42" s="64">
        <v>10044.186046511628</v>
      </c>
      <c r="J42" s="64">
        <v>-8084.6153846153848</v>
      </c>
      <c r="K42" s="63">
        <v>0.12820512820512819</v>
      </c>
      <c r="L42" s="63">
        <v>0.17948717948717949</v>
      </c>
      <c r="M42" s="63">
        <v>0.29392971246006389</v>
      </c>
      <c r="N42" s="63">
        <v>0.20447284345047922</v>
      </c>
      <c r="O42" s="63">
        <v>0.45652173913043476</v>
      </c>
      <c r="P42" s="63">
        <v>0.46875</v>
      </c>
      <c r="Q42" s="63">
        <v>0.47674418604651164</v>
      </c>
    </row>
    <row r="43" spans="1:17" x14ac:dyDescent="0.4">
      <c r="A43" s="65">
        <v>40</v>
      </c>
      <c r="B43" s="62">
        <v>71.200000000000074</v>
      </c>
      <c r="C43" s="62">
        <v>1.7800000000000018</v>
      </c>
      <c r="D43" s="67">
        <v>1.925</v>
      </c>
      <c r="E43" s="63">
        <v>0.4</v>
      </c>
      <c r="F43" s="63">
        <v>0.32500000000000001</v>
      </c>
      <c r="G43" s="63">
        <v>0.27725856697819312</v>
      </c>
      <c r="H43" s="63">
        <v>0.16510903426791276</v>
      </c>
      <c r="I43" s="64">
        <v>9975.2808988764045</v>
      </c>
      <c r="J43" s="64">
        <v>-8535.8490566037744</v>
      </c>
      <c r="K43" s="63">
        <v>0.125</v>
      </c>
      <c r="L43" s="63">
        <v>0.17499999999999999</v>
      </c>
      <c r="M43" s="63">
        <v>0.29595015576323985</v>
      </c>
      <c r="N43" s="63">
        <v>0.20249221183800623</v>
      </c>
      <c r="O43" s="63">
        <v>0.4631578947368421</v>
      </c>
      <c r="P43" s="63">
        <v>0.47692307692307695</v>
      </c>
      <c r="Q43" s="63">
        <v>0.47191011235955055</v>
      </c>
    </row>
    <row r="44" spans="1:17" x14ac:dyDescent="0.4">
      <c r="A44" s="65">
        <v>41</v>
      </c>
      <c r="B44" s="62">
        <v>67.900000000000077</v>
      </c>
      <c r="C44" s="62">
        <v>1.6560975609756117</v>
      </c>
      <c r="D44" s="67">
        <v>1.9268292682926829</v>
      </c>
      <c r="E44" s="63">
        <v>0.3902439024390244</v>
      </c>
      <c r="F44" s="63">
        <v>0.31707317073170732</v>
      </c>
      <c r="G44" s="63">
        <v>0.27878787878787881</v>
      </c>
      <c r="H44" s="63">
        <v>0.16666666666666666</v>
      </c>
      <c r="I44" s="64">
        <v>10041.304347826086</v>
      </c>
      <c r="J44" s="64">
        <v>-8589.0909090909099</v>
      </c>
      <c r="K44" s="63">
        <v>0.12195121951219512</v>
      </c>
      <c r="L44" s="63">
        <v>0.17073170731707318</v>
      </c>
      <c r="M44" s="63">
        <v>0.30303030303030304</v>
      </c>
      <c r="N44" s="63">
        <v>0.2</v>
      </c>
      <c r="O44" s="63">
        <v>0.47</v>
      </c>
      <c r="P44" s="63">
        <v>0.46969696969696972</v>
      </c>
      <c r="Q44" s="63">
        <v>0.47826086956521741</v>
      </c>
    </row>
    <row r="45" spans="1:17" x14ac:dyDescent="0.4">
      <c r="A45" s="65">
        <v>42</v>
      </c>
      <c r="B45" s="62">
        <v>109.90000000000008</v>
      </c>
      <c r="C45" s="62">
        <v>2.6166666666666685</v>
      </c>
      <c r="D45" s="67">
        <v>1.9047619047619047</v>
      </c>
      <c r="E45" s="63">
        <v>0.40476190476190477</v>
      </c>
      <c r="F45" s="63">
        <v>0.30952380952380953</v>
      </c>
      <c r="G45" s="63">
        <v>0.28358208955223879</v>
      </c>
      <c r="H45" s="63">
        <v>0.16716417910447762</v>
      </c>
      <c r="I45" s="64">
        <v>10081.052631578947</v>
      </c>
      <c r="J45" s="64">
        <v>-8505.3571428571431</v>
      </c>
      <c r="K45" s="63">
        <v>0.11904761904761904</v>
      </c>
      <c r="L45" s="63">
        <v>0.19047619047619047</v>
      </c>
      <c r="M45" s="63">
        <v>0.30746268656716419</v>
      </c>
      <c r="N45" s="63">
        <v>0.19701492537313434</v>
      </c>
      <c r="O45" s="63">
        <v>0.4854368932038835</v>
      </c>
      <c r="P45" s="63">
        <v>0.46969696969696972</v>
      </c>
      <c r="Q45" s="63">
        <v>0.47368421052631576</v>
      </c>
    </row>
    <row r="46" spans="1:17" x14ac:dyDescent="0.4">
      <c r="A46" s="65">
        <v>43</v>
      </c>
      <c r="B46" s="62">
        <v>78.300000000000068</v>
      </c>
      <c r="C46" s="62">
        <v>1.8209302325581411</v>
      </c>
      <c r="D46" s="67">
        <v>1.930232558139535</v>
      </c>
      <c r="E46" s="63">
        <v>0.39534883720930231</v>
      </c>
      <c r="F46" s="63">
        <v>0.32558139534883723</v>
      </c>
      <c r="G46" s="63">
        <v>0.27826086956521739</v>
      </c>
      <c r="H46" s="63">
        <v>0.1681159420289855</v>
      </c>
      <c r="I46" s="64">
        <v>10142.708333333334</v>
      </c>
      <c r="J46" s="64">
        <v>-8518.9655172413786</v>
      </c>
      <c r="K46" s="63">
        <v>0.11627906976744186</v>
      </c>
      <c r="L46" s="63">
        <v>0.18604651162790697</v>
      </c>
      <c r="M46" s="63">
        <v>0.30144927536231886</v>
      </c>
      <c r="N46" s="63">
        <v>0.2</v>
      </c>
      <c r="O46" s="63">
        <v>0.48076923076923078</v>
      </c>
      <c r="P46" s="63">
        <v>0.46376811594202899</v>
      </c>
      <c r="Q46" s="63">
        <v>0.46875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866ADB-DA61-4808-AE47-20294378A5F1}">
  <sheetPr codeName="Sheet14"/>
  <dimension ref="A1:Q50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179</v>
      </c>
      <c r="B1" s="66" t="s">
        <v>179</v>
      </c>
      <c r="C1" s="66" t="s">
        <v>179</v>
      </c>
      <c r="D1" s="67" t="s">
        <v>179</v>
      </c>
      <c r="E1" s="66" t="s">
        <v>179</v>
      </c>
      <c r="F1" s="66" t="s">
        <v>179</v>
      </c>
      <c r="G1" s="66" t="s">
        <v>179</v>
      </c>
      <c r="H1" s="66" t="s">
        <v>179</v>
      </c>
      <c r="I1" s="66" t="s">
        <v>179</v>
      </c>
      <c r="J1" s="66" t="s">
        <v>179</v>
      </c>
      <c r="K1" s="66" t="s">
        <v>179</v>
      </c>
      <c r="L1" s="66" t="s">
        <v>179</v>
      </c>
      <c r="M1" s="66" t="s">
        <v>179</v>
      </c>
      <c r="N1" s="66" t="s">
        <v>179</v>
      </c>
      <c r="O1" s="66" t="s">
        <v>179</v>
      </c>
      <c r="P1" s="66" t="s">
        <v>179</v>
      </c>
      <c r="Q1" s="66" t="s">
        <v>179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-37.799999999999997</v>
      </c>
      <c r="C4" s="62">
        <v>-37.799999999999997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0.18181818181818182</v>
      </c>
      <c r="I4" s="64">
        <v>2100</v>
      </c>
      <c r="J4" s="64">
        <v>-14900</v>
      </c>
      <c r="K4" s="63">
        <v>0</v>
      </c>
      <c r="L4" s="63">
        <v>0</v>
      </c>
      <c r="M4" s="63">
        <v>0.27272727272727271</v>
      </c>
      <c r="N4" s="63">
        <v>0</v>
      </c>
      <c r="O4" s="63">
        <v>0</v>
      </c>
      <c r="P4" s="63">
        <v>0</v>
      </c>
      <c r="Q4" s="63">
        <v>1</v>
      </c>
    </row>
    <row r="5" spans="1:17" x14ac:dyDescent="0.4">
      <c r="A5" s="65">
        <v>2</v>
      </c>
      <c r="B5" s="62">
        <v>-30.099999999999998</v>
      </c>
      <c r="C5" s="62">
        <v>-15.049999999999999</v>
      </c>
      <c r="D5" s="67">
        <v>2.5</v>
      </c>
      <c r="E5" s="63">
        <v>0</v>
      </c>
      <c r="F5" s="63">
        <v>0.5</v>
      </c>
      <c r="G5" s="63">
        <v>0.21052631578947367</v>
      </c>
      <c r="H5" s="63">
        <v>0.15789473684210525</v>
      </c>
      <c r="I5" s="64">
        <v>4750</v>
      </c>
      <c r="J5" s="64">
        <v>-11233.333333333334</v>
      </c>
      <c r="K5" s="63">
        <v>0</v>
      </c>
      <c r="L5" s="63">
        <v>0</v>
      </c>
      <c r="M5" s="63">
        <v>0.26315789473684209</v>
      </c>
      <c r="N5" s="63">
        <v>0.26315789473684209</v>
      </c>
      <c r="O5" s="63">
        <v>0.4</v>
      </c>
      <c r="P5" s="63">
        <v>0.2</v>
      </c>
      <c r="Q5" s="63">
        <v>0.25</v>
      </c>
    </row>
    <row r="6" spans="1:17" x14ac:dyDescent="0.4">
      <c r="A6" s="65">
        <v>3</v>
      </c>
      <c r="B6" s="62">
        <v>-17.599999999999998</v>
      </c>
      <c r="C6" s="62">
        <v>-5.8666666666666663</v>
      </c>
      <c r="D6" s="67">
        <v>2.3333333333333335</v>
      </c>
      <c r="E6" s="63">
        <v>0</v>
      </c>
      <c r="F6" s="63">
        <v>0.33333333333333331</v>
      </c>
      <c r="G6" s="63">
        <v>0.26666666666666666</v>
      </c>
      <c r="H6" s="63">
        <v>0.2</v>
      </c>
      <c r="I6" s="64">
        <v>5262.5</v>
      </c>
      <c r="J6" s="64">
        <v>-7716.666666666667</v>
      </c>
      <c r="K6" s="63">
        <v>0</v>
      </c>
      <c r="L6" s="63">
        <v>0</v>
      </c>
      <c r="M6" s="63">
        <v>0.26666666666666666</v>
      </c>
      <c r="N6" s="63">
        <v>0.23333333333333334</v>
      </c>
      <c r="O6" s="63">
        <v>0.625</v>
      </c>
      <c r="P6" s="63">
        <v>0.14285714285714285</v>
      </c>
      <c r="Q6" s="63">
        <v>0.25</v>
      </c>
    </row>
    <row r="7" spans="1:17" x14ac:dyDescent="0.4">
      <c r="A7" s="65">
        <v>4</v>
      </c>
      <c r="B7" s="62">
        <v>-54.899999999999991</v>
      </c>
      <c r="C7" s="62">
        <v>-13.724999999999998</v>
      </c>
      <c r="D7" s="67">
        <v>2.5</v>
      </c>
      <c r="E7" s="63">
        <v>0</v>
      </c>
      <c r="F7" s="63">
        <v>0.5</v>
      </c>
      <c r="G7" s="63">
        <v>0.28205128205128205</v>
      </c>
      <c r="H7" s="63">
        <v>0.20512820512820512</v>
      </c>
      <c r="I7" s="64">
        <v>5290.909090909091</v>
      </c>
      <c r="J7" s="64">
        <v>-10275</v>
      </c>
      <c r="K7" s="63">
        <v>0</v>
      </c>
      <c r="L7" s="63">
        <v>0</v>
      </c>
      <c r="M7" s="63">
        <v>0.25641025641025639</v>
      </c>
      <c r="N7" s="63">
        <v>0.23076923076923078</v>
      </c>
      <c r="O7" s="63">
        <v>0.7</v>
      </c>
      <c r="P7" s="63">
        <v>0.1111111111111111</v>
      </c>
      <c r="Q7" s="63">
        <v>0.18181818181818182</v>
      </c>
    </row>
    <row r="8" spans="1:17" x14ac:dyDescent="0.4">
      <c r="A8" s="65">
        <v>5</v>
      </c>
      <c r="B8" s="62">
        <v>-33.699999999999989</v>
      </c>
      <c r="C8" s="62">
        <v>-6.7399999999999975</v>
      </c>
      <c r="D8" s="67">
        <v>2.2000000000000002</v>
      </c>
      <c r="E8" s="63">
        <v>0.2</v>
      </c>
      <c r="F8" s="63">
        <v>0.4</v>
      </c>
      <c r="G8" s="63">
        <v>0.30612244897959184</v>
      </c>
      <c r="H8" s="63">
        <v>0.22448979591836735</v>
      </c>
      <c r="I8" s="64">
        <v>6226.666666666667</v>
      </c>
      <c r="J8" s="64">
        <v>-8127.272727272727</v>
      </c>
      <c r="K8" s="63">
        <v>0</v>
      </c>
      <c r="L8" s="63">
        <v>0</v>
      </c>
      <c r="M8" s="63">
        <v>0.26530612244897961</v>
      </c>
      <c r="N8" s="63">
        <v>0.20408163265306123</v>
      </c>
      <c r="O8" s="63">
        <v>0.69230769230769229</v>
      </c>
      <c r="P8" s="63">
        <v>0.2</v>
      </c>
      <c r="Q8" s="63">
        <v>0.26666666666666666</v>
      </c>
    </row>
    <row r="9" spans="1:17" x14ac:dyDescent="0.4">
      <c r="A9" s="65">
        <v>6</v>
      </c>
      <c r="B9" s="62">
        <v>-57.399999999999991</v>
      </c>
      <c r="C9" s="62">
        <v>-9.5666666666666647</v>
      </c>
      <c r="D9" s="67">
        <v>2.3333333333333335</v>
      </c>
      <c r="E9" s="63">
        <v>0.16666666666666666</v>
      </c>
      <c r="F9" s="63">
        <v>0.5</v>
      </c>
      <c r="G9" s="63">
        <v>0.2982456140350877</v>
      </c>
      <c r="H9" s="63">
        <v>0.22807017543859648</v>
      </c>
      <c r="I9" s="64">
        <v>6670.588235294118</v>
      </c>
      <c r="J9" s="64">
        <v>-8392.3076923076915</v>
      </c>
      <c r="K9" s="63">
        <v>0</v>
      </c>
      <c r="L9" s="63">
        <v>0</v>
      </c>
      <c r="M9" s="63">
        <v>0.2807017543859649</v>
      </c>
      <c r="N9" s="63">
        <v>0.21052631578947367</v>
      </c>
      <c r="O9" s="63">
        <v>0.625</v>
      </c>
      <c r="P9" s="63">
        <v>0.25</v>
      </c>
      <c r="Q9" s="63">
        <v>0.23529411764705882</v>
      </c>
    </row>
    <row r="10" spans="1:17" x14ac:dyDescent="0.4">
      <c r="A10" s="65">
        <v>7</v>
      </c>
      <c r="B10" s="62">
        <v>-39.499999999999993</v>
      </c>
      <c r="C10" s="62">
        <v>-5.6428571428571415</v>
      </c>
      <c r="D10" s="67">
        <v>2.2857142857142856</v>
      </c>
      <c r="E10" s="63">
        <v>0.14285714285714285</v>
      </c>
      <c r="F10" s="63">
        <v>0.42857142857142855</v>
      </c>
      <c r="G10" s="63">
        <v>0.29850746268656714</v>
      </c>
      <c r="H10" s="63">
        <v>0.20895522388059701</v>
      </c>
      <c r="I10" s="64">
        <v>7750</v>
      </c>
      <c r="J10" s="64">
        <v>-8071.4285714285716</v>
      </c>
      <c r="K10" s="63">
        <v>0</v>
      </c>
      <c r="L10" s="63">
        <v>0</v>
      </c>
      <c r="M10" s="63">
        <v>0.26865671641791045</v>
      </c>
      <c r="N10" s="63">
        <v>0.19402985074626866</v>
      </c>
      <c r="O10" s="63">
        <v>0.66666666666666663</v>
      </c>
      <c r="P10" s="63">
        <v>0.23076923076923078</v>
      </c>
      <c r="Q10" s="63">
        <v>0.3</v>
      </c>
    </row>
    <row r="11" spans="1:17" x14ac:dyDescent="0.4">
      <c r="A11" s="65">
        <v>8</v>
      </c>
      <c r="B11" s="62">
        <v>-62.999999999999993</v>
      </c>
      <c r="C11" s="62">
        <v>-7.8749999999999991</v>
      </c>
      <c r="D11" s="67">
        <v>2.375</v>
      </c>
      <c r="E11" s="63">
        <v>0.125</v>
      </c>
      <c r="F11" s="63">
        <v>0.5</v>
      </c>
      <c r="G11" s="63">
        <v>0.26315789473684209</v>
      </c>
      <c r="H11" s="63">
        <v>0.21052631578947367</v>
      </c>
      <c r="I11" s="64">
        <v>7750</v>
      </c>
      <c r="J11" s="64">
        <v>-7625</v>
      </c>
      <c r="K11" s="63">
        <v>0</v>
      </c>
      <c r="L11" s="63">
        <v>0</v>
      </c>
      <c r="M11" s="63">
        <v>0.25</v>
      </c>
      <c r="N11" s="63">
        <v>0.19736842105263158</v>
      </c>
      <c r="O11" s="63">
        <v>0.63157894736842102</v>
      </c>
      <c r="P11" s="63">
        <v>0.2</v>
      </c>
      <c r="Q11" s="63">
        <v>0.3</v>
      </c>
    </row>
    <row r="12" spans="1:17" x14ac:dyDescent="0.4">
      <c r="A12" s="65">
        <v>9</v>
      </c>
      <c r="B12" s="62">
        <v>-74.199999999999989</v>
      </c>
      <c r="C12" s="62">
        <v>-8.2444444444444436</v>
      </c>
      <c r="D12" s="67">
        <v>2.3333333333333335</v>
      </c>
      <c r="E12" s="63">
        <v>0.1111111111111111</v>
      </c>
      <c r="F12" s="63">
        <v>0.44444444444444442</v>
      </c>
      <c r="G12" s="63">
        <v>0.27058823529411763</v>
      </c>
      <c r="H12" s="63">
        <v>0.21176470588235294</v>
      </c>
      <c r="I12" s="64">
        <v>7686.95652173913</v>
      </c>
      <c r="J12" s="64">
        <v>-7872.2222222222226</v>
      </c>
      <c r="K12" s="63">
        <v>0</v>
      </c>
      <c r="L12" s="63">
        <v>0</v>
      </c>
      <c r="M12" s="63">
        <v>0.24705882352941178</v>
      </c>
      <c r="N12" s="63">
        <v>0.17647058823529413</v>
      </c>
      <c r="O12" s="63">
        <v>0.61904761904761907</v>
      </c>
      <c r="P12" s="63">
        <v>0.2</v>
      </c>
      <c r="Q12" s="63">
        <v>0.34782608695652173</v>
      </c>
    </row>
    <row r="13" spans="1:17" x14ac:dyDescent="0.4">
      <c r="A13" s="65">
        <v>10</v>
      </c>
      <c r="B13" s="62">
        <v>-117.19999999999999</v>
      </c>
      <c r="C13" s="62">
        <v>-11.719999999999999</v>
      </c>
      <c r="D13" s="67">
        <v>2.4</v>
      </c>
      <c r="E13" s="63">
        <v>0.1</v>
      </c>
      <c r="F13" s="63">
        <v>0.5</v>
      </c>
      <c r="G13" s="63">
        <v>0.23958333333333334</v>
      </c>
      <c r="H13" s="63">
        <v>0.22916666666666666</v>
      </c>
      <c r="I13" s="64">
        <v>7686.95652173913</v>
      </c>
      <c r="J13" s="64">
        <v>-7695.454545454545</v>
      </c>
      <c r="K13" s="63">
        <v>0</v>
      </c>
      <c r="L13" s="63">
        <v>0</v>
      </c>
      <c r="M13" s="63">
        <v>0.23958333333333334</v>
      </c>
      <c r="N13" s="63">
        <v>0.15625</v>
      </c>
      <c r="O13" s="63">
        <v>0.56521739130434778</v>
      </c>
      <c r="P13" s="63">
        <v>0.2</v>
      </c>
      <c r="Q13" s="63">
        <v>0.34782608695652173</v>
      </c>
    </row>
    <row r="14" spans="1:17" x14ac:dyDescent="0.4">
      <c r="A14" s="65">
        <v>11</v>
      </c>
      <c r="B14" s="62">
        <v>-177.29999999999998</v>
      </c>
      <c r="C14" s="62">
        <v>-16.118181818181817</v>
      </c>
      <c r="D14" s="67">
        <v>2.4545454545454546</v>
      </c>
      <c r="E14" s="63">
        <v>9.0909090909090912E-2</v>
      </c>
      <c r="F14" s="63">
        <v>0.54545454545454541</v>
      </c>
      <c r="G14" s="63">
        <v>0.23</v>
      </c>
      <c r="H14" s="63">
        <v>0.25</v>
      </c>
      <c r="I14" s="64">
        <v>7686.95652173913</v>
      </c>
      <c r="J14" s="64">
        <v>-8256</v>
      </c>
      <c r="K14" s="63">
        <v>9.0909090909090912E-2</v>
      </c>
      <c r="L14" s="63">
        <v>0</v>
      </c>
      <c r="M14" s="63">
        <v>0.24</v>
      </c>
      <c r="N14" s="63">
        <v>0.15</v>
      </c>
      <c r="O14" s="63">
        <v>0.54166666666666663</v>
      </c>
      <c r="P14" s="63">
        <v>0.2</v>
      </c>
      <c r="Q14" s="63">
        <v>0.34782608695652173</v>
      </c>
    </row>
    <row r="15" spans="1:17" x14ac:dyDescent="0.4">
      <c r="A15" s="65">
        <v>12</v>
      </c>
      <c r="B15" s="62">
        <v>-158.6</v>
      </c>
      <c r="C15" s="62">
        <v>-13.216666666666667</v>
      </c>
      <c r="D15" s="67">
        <v>2.4166666666666665</v>
      </c>
      <c r="E15" s="63">
        <v>8.3333333333333329E-2</v>
      </c>
      <c r="F15" s="63">
        <v>0.5</v>
      </c>
      <c r="G15" s="63">
        <v>0.23636363636363636</v>
      </c>
      <c r="H15" s="63">
        <v>0.23636363636363636</v>
      </c>
      <c r="I15" s="64">
        <v>7769.2307692307695</v>
      </c>
      <c r="J15" s="64">
        <v>-8015.3846153846152</v>
      </c>
      <c r="K15" s="63">
        <v>8.3333333333333329E-2</v>
      </c>
      <c r="L15" s="63">
        <v>0</v>
      </c>
      <c r="M15" s="63">
        <v>0.24545454545454545</v>
      </c>
      <c r="N15" s="63">
        <v>0.15454545454545454</v>
      </c>
      <c r="O15" s="63">
        <v>0.59259259259259256</v>
      </c>
      <c r="P15" s="63">
        <v>0.17647058823529413</v>
      </c>
      <c r="Q15" s="63">
        <v>0.34615384615384615</v>
      </c>
    </row>
    <row r="16" spans="1:17" x14ac:dyDescent="0.4">
      <c r="A16" s="65">
        <v>13</v>
      </c>
      <c r="B16" s="62">
        <v>-207.3</v>
      </c>
      <c r="C16" s="62">
        <v>-15.946153846153846</v>
      </c>
      <c r="D16" s="67">
        <v>2.4615384615384617</v>
      </c>
      <c r="E16" s="63">
        <v>7.6923076923076927E-2</v>
      </c>
      <c r="F16" s="63">
        <v>0.53846153846153844</v>
      </c>
      <c r="G16" s="63">
        <v>0.23529411764705882</v>
      </c>
      <c r="H16" s="63">
        <v>0.24369747899159663</v>
      </c>
      <c r="I16" s="64">
        <v>7928.5714285714284</v>
      </c>
      <c r="J16" s="64">
        <v>-8551.7241379310344</v>
      </c>
      <c r="K16" s="63">
        <v>0.15384615384615385</v>
      </c>
      <c r="L16" s="63">
        <v>0</v>
      </c>
      <c r="M16" s="63">
        <v>0.26050420168067229</v>
      </c>
      <c r="N16" s="63">
        <v>0.15966386554621848</v>
      </c>
      <c r="O16" s="63">
        <v>0.58064516129032262</v>
      </c>
      <c r="P16" s="63">
        <v>0.15789473684210525</v>
      </c>
      <c r="Q16" s="63">
        <v>0.32142857142857145</v>
      </c>
    </row>
    <row r="17" spans="1:17" x14ac:dyDescent="0.4">
      <c r="A17" s="65">
        <v>14</v>
      </c>
      <c r="B17" s="62">
        <v>-204.8</v>
      </c>
      <c r="C17" s="62">
        <v>-14.62857142857143</v>
      </c>
      <c r="D17" s="67">
        <v>2.4285714285714284</v>
      </c>
      <c r="E17" s="63">
        <v>7.1428571428571425E-2</v>
      </c>
      <c r="F17" s="63">
        <v>0.5</v>
      </c>
      <c r="G17" s="63">
        <v>0.2421875</v>
      </c>
      <c r="H17" s="63">
        <v>0.25</v>
      </c>
      <c r="I17" s="64">
        <v>8000</v>
      </c>
      <c r="J17" s="64">
        <v>-8203.125</v>
      </c>
      <c r="K17" s="63">
        <v>0.14285714285714285</v>
      </c>
      <c r="L17" s="63">
        <v>0</v>
      </c>
      <c r="M17" s="63">
        <v>0.25</v>
      </c>
      <c r="N17" s="63">
        <v>0.171875</v>
      </c>
      <c r="O17" s="63">
        <v>0.59375</v>
      </c>
      <c r="P17" s="63">
        <v>0.22727272727272727</v>
      </c>
      <c r="Q17" s="63">
        <v>0.35483870967741937</v>
      </c>
    </row>
    <row r="18" spans="1:17" x14ac:dyDescent="0.4">
      <c r="A18" s="65">
        <v>15</v>
      </c>
      <c r="B18" s="62">
        <v>-221.5</v>
      </c>
      <c r="C18" s="62">
        <v>-14.766666666666667</v>
      </c>
      <c r="D18" s="67">
        <v>2.4666666666666668</v>
      </c>
      <c r="E18" s="63">
        <v>6.6666666666666666E-2</v>
      </c>
      <c r="F18" s="63">
        <v>0.53333333333333333</v>
      </c>
      <c r="G18" s="63">
        <v>0.25362318840579712</v>
      </c>
      <c r="H18" s="63">
        <v>0.24637681159420291</v>
      </c>
      <c r="I18" s="64">
        <v>7902.8571428571431</v>
      </c>
      <c r="J18" s="64">
        <v>-8285.2941176470595</v>
      </c>
      <c r="K18" s="63">
        <v>0.13333333333333333</v>
      </c>
      <c r="L18" s="63">
        <v>0</v>
      </c>
      <c r="M18" s="63">
        <v>0.25362318840579712</v>
      </c>
      <c r="N18" s="63">
        <v>0.18840579710144928</v>
      </c>
      <c r="O18" s="63">
        <v>0.6</v>
      </c>
      <c r="P18" s="63">
        <v>0.26923076923076922</v>
      </c>
      <c r="Q18" s="63">
        <v>0.37142857142857144</v>
      </c>
    </row>
    <row r="19" spans="1:17" x14ac:dyDescent="0.4">
      <c r="A19" s="65">
        <v>16</v>
      </c>
      <c r="B19" s="62">
        <v>-224.3</v>
      </c>
      <c r="C19" s="62">
        <v>-14.018750000000001</v>
      </c>
      <c r="D19" s="67">
        <v>2.4375</v>
      </c>
      <c r="E19" s="63">
        <v>6.25E-2</v>
      </c>
      <c r="F19" s="63">
        <v>0.5</v>
      </c>
      <c r="G19" s="63">
        <v>0.26666666666666666</v>
      </c>
      <c r="H19" s="63">
        <v>0.23333333333333334</v>
      </c>
      <c r="I19" s="64">
        <v>7385</v>
      </c>
      <c r="J19" s="64">
        <v>-8214.2857142857138</v>
      </c>
      <c r="K19" s="63">
        <v>0.125</v>
      </c>
      <c r="L19" s="63">
        <v>0</v>
      </c>
      <c r="M19" s="63">
        <v>0.25333333333333335</v>
      </c>
      <c r="N19" s="63">
        <v>0.19333333333333333</v>
      </c>
      <c r="O19" s="63">
        <v>0.60526315789473684</v>
      </c>
      <c r="P19" s="63">
        <v>0.31034482758620691</v>
      </c>
      <c r="Q19" s="63">
        <v>0.375</v>
      </c>
    </row>
    <row r="20" spans="1:17" x14ac:dyDescent="0.4">
      <c r="A20" s="65">
        <v>17</v>
      </c>
      <c r="B20" s="62">
        <v>-251.4</v>
      </c>
      <c r="C20" s="62">
        <v>-14.788235294117648</v>
      </c>
      <c r="D20" s="67">
        <v>2.4705882352941178</v>
      </c>
      <c r="E20" s="63">
        <v>5.8823529411764705E-2</v>
      </c>
      <c r="F20" s="63">
        <v>0.52941176470588236</v>
      </c>
      <c r="G20" s="63">
        <v>0.25477707006369427</v>
      </c>
      <c r="H20" s="63">
        <v>0.24203821656050956</v>
      </c>
      <c r="I20" s="64">
        <v>7385</v>
      </c>
      <c r="J20" s="64">
        <v>-7931.5789473684208</v>
      </c>
      <c r="K20" s="63">
        <v>0.11764705882352941</v>
      </c>
      <c r="L20" s="63">
        <v>0</v>
      </c>
      <c r="M20" s="63">
        <v>0.24203821656050956</v>
      </c>
      <c r="N20" s="63">
        <v>0.18471337579617833</v>
      </c>
      <c r="O20" s="63">
        <v>0.60526315789473684</v>
      </c>
      <c r="P20" s="63">
        <v>0.31034482758620691</v>
      </c>
      <c r="Q20" s="63">
        <v>0.375</v>
      </c>
    </row>
    <row r="21" spans="1:17" x14ac:dyDescent="0.4">
      <c r="A21" s="65">
        <v>18</v>
      </c>
      <c r="B21" s="62">
        <v>-240</v>
      </c>
      <c r="C21" s="62">
        <v>-13.333333333333334</v>
      </c>
      <c r="D21" s="67">
        <v>2.4444444444444446</v>
      </c>
      <c r="E21" s="63">
        <v>5.5555555555555552E-2</v>
      </c>
      <c r="F21" s="63">
        <v>0.5</v>
      </c>
      <c r="G21" s="63">
        <v>0.26347305389221559</v>
      </c>
      <c r="H21" s="63">
        <v>0.22754491017964071</v>
      </c>
      <c r="I21" s="64">
        <v>7393.181818181818</v>
      </c>
      <c r="J21" s="64">
        <v>-7931.5789473684208</v>
      </c>
      <c r="K21" s="63">
        <v>0.1111111111111111</v>
      </c>
      <c r="L21" s="63">
        <v>0</v>
      </c>
      <c r="M21" s="63">
        <v>0.25149700598802394</v>
      </c>
      <c r="N21" s="63">
        <v>0.19161676646706588</v>
      </c>
      <c r="O21" s="63">
        <v>0.59523809523809523</v>
      </c>
      <c r="P21" s="63">
        <v>0.34375</v>
      </c>
      <c r="Q21" s="63">
        <v>0.38636363636363635</v>
      </c>
    </row>
    <row r="22" spans="1:17" x14ac:dyDescent="0.4">
      <c r="A22" s="65">
        <v>19</v>
      </c>
      <c r="B22" s="62">
        <v>-218</v>
      </c>
      <c r="C22" s="62">
        <v>-11.473684210526315</v>
      </c>
      <c r="D22" s="67">
        <v>2.3684210526315788</v>
      </c>
      <c r="E22" s="63">
        <v>0.10526315789473684</v>
      </c>
      <c r="F22" s="63">
        <v>0.47368421052631576</v>
      </c>
      <c r="G22" s="63">
        <v>0.2768361581920904</v>
      </c>
      <c r="H22" s="63">
        <v>0.22033898305084745</v>
      </c>
      <c r="I22" s="64">
        <v>7220.408163265306</v>
      </c>
      <c r="J22" s="64">
        <v>-7933.333333333333</v>
      </c>
      <c r="K22" s="63">
        <v>0.10526315789473684</v>
      </c>
      <c r="L22" s="63">
        <v>0</v>
      </c>
      <c r="M22" s="63">
        <v>0.24858757062146894</v>
      </c>
      <c r="N22" s="63">
        <v>0.19774011299435029</v>
      </c>
      <c r="O22" s="63">
        <v>0.59090909090909094</v>
      </c>
      <c r="P22" s="63">
        <v>0.4</v>
      </c>
      <c r="Q22" s="63">
        <v>0.36734693877551022</v>
      </c>
    </row>
    <row r="23" spans="1:17" x14ac:dyDescent="0.4">
      <c r="A23" s="65">
        <v>20</v>
      </c>
      <c r="B23" s="62">
        <v>-177.6</v>
      </c>
      <c r="C23" s="62">
        <v>-8.879999999999999</v>
      </c>
      <c r="D23" s="67">
        <v>2.2999999999999998</v>
      </c>
      <c r="E23" s="63">
        <v>0.15</v>
      </c>
      <c r="F23" s="63">
        <v>0.45</v>
      </c>
      <c r="G23" s="63">
        <v>0.28176795580110497</v>
      </c>
      <c r="H23" s="63">
        <v>0.21546961325966851</v>
      </c>
      <c r="I23" s="64">
        <v>7464.7058823529414</v>
      </c>
      <c r="J23" s="64">
        <v>-7933.333333333333</v>
      </c>
      <c r="K23" s="63">
        <v>0.1</v>
      </c>
      <c r="L23" s="63">
        <v>0.05</v>
      </c>
      <c r="M23" s="63">
        <v>0.24861878453038674</v>
      </c>
      <c r="N23" s="63">
        <v>0.20441988950276244</v>
      </c>
      <c r="O23" s="63">
        <v>0.6</v>
      </c>
      <c r="P23" s="63">
        <v>0.40540540540540543</v>
      </c>
      <c r="Q23" s="63">
        <v>0.35294117647058826</v>
      </c>
    </row>
    <row r="24" spans="1:17" x14ac:dyDescent="0.4">
      <c r="A24" s="65">
        <v>21</v>
      </c>
      <c r="B24" s="62">
        <v>-133.30000000000001</v>
      </c>
      <c r="C24" s="62">
        <v>-6.3476190476190482</v>
      </c>
      <c r="D24" s="67">
        <v>2.2380952380952381</v>
      </c>
      <c r="E24" s="63">
        <v>0.19047619047619047</v>
      </c>
      <c r="F24" s="63">
        <v>0.42857142857142855</v>
      </c>
      <c r="G24" s="63">
        <v>0.29411764705882354</v>
      </c>
      <c r="H24" s="63">
        <v>0.21390374331550802</v>
      </c>
      <c r="I24" s="64">
        <v>7780</v>
      </c>
      <c r="J24" s="64">
        <v>-7832.5</v>
      </c>
      <c r="K24" s="63">
        <v>9.5238095238095233E-2</v>
      </c>
      <c r="L24" s="63">
        <v>9.5238095238095233E-2</v>
      </c>
      <c r="M24" s="63">
        <v>0.25133689839572193</v>
      </c>
      <c r="N24" s="63">
        <v>0.20855614973262032</v>
      </c>
      <c r="O24" s="63">
        <v>0.61702127659574468</v>
      </c>
      <c r="P24" s="63">
        <v>0.4358974358974359</v>
      </c>
      <c r="Q24" s="63">
        <v>0.34545454545454546</v>
      </c>
    </row>
    <row r="25" spans="1:17" x14ac:dyDescent="0.4">
      <c r="A25" s="65">
        <v>22</v>
      </c>
      <c r="B25" s="62">
        <v>-164.60000000000002</v>
      </c>
      <c r="C25" s="62">
        <v>-7.4818181818181833</v>
      </c>
      <c r="D25" s="67">
        <v>2.2727272727272729</v>
      </c>
      <c r="E25" s="63">
        <v>0.18181818181818182</v>
      </c>
      <c r="F25" s="63">
        <v>0.45454545454545453</v>
      </c>
      <c r="G25" s="63">
        <v>0.28717948717948716</v>
      </c>
      <c r="H25" s="63">
        <v>0.21025641025641026</v>
      </c>
      <c r="I25" s="64">
        <v>7778.5714285714284</v>
      </c>
      <c r="J25" s="64">
        <v>-7934.1463414634145</v>
      </c>
      <c r="K25" s="63">
        <v>9.0909090909090912E-2</v>
      </c>
      <c r="L25" s="63">
        <v>9.0909090909090912E-2</v>
      </c>
      <c r="M25" s="63">
        <v>0.24615384615384617</v>
      </c>
      <c r="N25" s="63">
        <v>0.2</v>
      </c>
      <c r="O25" s="63">
        <v>0.625</v>
      </c>
      <c r="P25" s="63">
        <v>0.4358974358974359</v>
      </c>
      <c r="Q25" s="63">
        <v>0.35714285714285715</v>
      </c>
    </row>
    <row r="26" spans="1:17" x14ac:dyDescent="0.4">
      <c r="A26" s="65">
        <v>23</v>
      </c>
      <c r="B26" s="62">
        <v>-162.70000000000002</v>
      </c>
      <c r="C26" s="62">
        <v>-7.073913043478262</v>
      </c>
      <c r="D26" s="67">
        <v>2.2608695652173911</v>
      </c>
      <c r="E26" s="63">
        <v>0.17391304347826086</v>
      </c>
      <c r="F26" s="63">
        <v>0.43478260869565216</v>
      </c>
      <c r="G26" s="63">
        <v>0.29207920792079206</v>
      </c>
      <c r="H26" s="63">
        <v>0.20297029702970298</v>
      </c>
      <c r="I26" s="64">
        <v>7488.1355932203387</v>
      </c>
      <c r="J26" s="64">
        <v>-7934.1463414634145</v>
      </c>
      <c r="K26" s="63">
        <v>8.6956521739130432E-2</v>
      </c>
      <c r="L26" s="63">
        <v>8.6956521739130432E-2</v>
      </c>
      <c r="M26" s="63">
        <v>0.25247524752475248</v>
      </c>
      <c r="N26" s="63">
        <v>0.19801980198019803</v>
      </c>
      <c r="O26" s="63">
        <v>0.6470588235294118</v>
      </c>
      <c r="P26" s="63">
        <v>0.42499999999999999</v>
      </c>
      <c r="Q26" s="63">
        <v>0.3728813559322034</v>
      </c>
    </row>
    <row r="27" spans="1:17" x14ac:dyDescent="0.4">
      <c r="A27" s="65">
        <v>24</v>
      </c>
      <c r="B27" s="62">
        <v>-163.00000000000003</v>
      </c>
      <c r="C27" s="62">
        <v>-6.7916666666666679</v>
      </c>
      <c r="D27" s="67">
        <v>2.25</v>
      </c>
      <c r="E27" s="63">
        <v>0.16666666666666666</v>
      </c>
      <c r="F27" s="63">
        <v>0.41666666666666669</v>
      </c>
      <c r="G27" s="63">
        <v>0.29523809523809524</v>
      </c>
      <c r="H27" s="63">
        <v>0.19523809523809524</v>
      </c>
      <c r="I27" s="64">
        <v>7233.8709677419356</v>
      </c>
      <c r="J27" s="64">
        <v>-7934.1463414634145</v>
      </c>
      <c r="K27" s="63">
        <v>8.3333333333333329E-2</v>
      </c>
      <c r="L27" s="63">
        <v>8.3333333333333329E-2</v>
      </c>
      <c r="M27" s="63">
        <v>0.26666666666666666</v>
      </c>
      <c r="N27" s="63">
        <v>0.19047619047619047</v>
      </c>
      <c r="O27" s="63">
        <v>0.6071428571428571</v>
      </c>
      <c r="P27" s="63">
        <v>0.42499999999999999</v>
      </c>
      <c r="Q27" s="63">
        <v>0.37096774193548387</v>
      </c>
    </row>
    <row r="28" spans="1:17" x14ac:dyDescent="0.4">
      <c r="A28" s="65">
        <v>25</v>
      </c>
      <c r="B28" s="62">
        <v>-185.00000000000003</v>
      </c>
      <c r="C28" s="62">
        <v>-7.4000000000000012</v>
      </c>
      <c r="D28" s="67">
        <v>2.2799999999999998</v>
      </c>
      <c r="E28" s="63">
        <v>0.16</v>
      </c>
      <c r="F28" s="63">
        <v>0.44</v>
      </c>
      <c r="G28" s="63">
        <v>0.29357798165137616</v>
      </c>
      <c r="H28" s="63">
        <v>0.20183486238532111</v>
      </c>
      <c r="I28" s="64">
        <v>7193.75</v>
      </c>
      <c r="J28" s="64">
        <v>-7665.909090909091</v>
      </c>
      <c r="K28" s="63">
        <v>0.08</v>
      </c>
      <c r="L28" s="63">
        <v>0.08</v>
      </c>
      <c r="M28" s="63">
        <v>0.28440366972477066</v>
      </c>
      <c r="N28" s="63">
        <v>0.18807339449541285</v>
      </c>
      <c r="O28" s="63">
        <v>0.58064516129032262</v>
      </c>
      <c r="P28" s="63">
        <v>0.41463414634146339</v>
      </c>
      <c r="Q28" s="63">
        <v>0.375</v>
      </c>
    </row>
    <row r="29" spans="1:17" x14ac:dyDescent="0.4">
      <c r="A29" s="65">
        <v>26</v>
      </c>
      <c r="B29" s="62">
        <v>-186.00000000000003</v>
      </c>
      <c r="C29" s="62">
        <v>-7.1538461538461551</v>
      </c>
      <c r="D29" s="67">
        <v>2.2692307692307692</v>
      </c>
      <c r="E29" s="63">
        <v>0.15384615384615385</v>
      </c>
      <c r="F29" s="63">
        <v>0.42307692307692307</v>
      </c>
      <c r="G29" s="63">
        <v>0.28444444444444444</v>
      </c>
      <c r="H29" s="63">
        <v>0.19555555555555557</v>
      </c>
      <c r="I29" s="64">
        <v>7193.75</v>
      </c>
      <c r="J29" s="64">
        <v>-7665.909090909091</v>
      </c>
      <c r="K29" s="63">
        <v>7.6923076923076927E-2</v>
      </c>
      <c r="L29" s="63">
        <v>7.6923076923076927E-2</v>
      </c>
      <c r="M29" s="63">
        <v>0.28000000000000003</v>
      </c>
      <c r="N29" s="63">
        <v>0.18666666666666668</v>
      </c>
      <c r="O29" s="63">
        <v>0.5714285714285714</v>
      </c>
      <c r="P29" s="63">
        <v>0.40476190476190477</v>
      </c>
      <c r="Q29" s="63">
        <v>0.375</v>
      </c>
    </row>
    <row r="30" spans="1:17" x14ac:dyDescent="0.4">
      <c r="A30" s="65">
        <v>27</v>
      </c>
      <c r="B30" s="62">
        <v>-163.00000000000003</v>
      </c>
      <c r="C30" s="62">
        <v>-6.0370370370370381</v>
      </c>
      <c r="D30" s="67">
        <v>2.2222222222222223</v>
      </c>
      <c r="E30" s="63">
        <v>0.18518518518518517</v>
      </c>
      <c r="F30" s="63">
        <v>0.40740740740740738</v>
      </c>
      <c r="G30" s="63">
        <v>0.28755364806866951</v>
      </c>
      <c r="H30" s="63">
        <v>0.19313304721030042</v>
      </c>
      <c r="I30" s="64">
        <v>7349.253731343284</v>
      </c>
      <c r="J30" s="64">
        <v>-7762.2222222222226</v>
      </c>
      <c r="K30" s="63">
        <v>7.407407407407407E-2</v>
      </c>
      <c r="L30" s="63">
        <v>7.407407407407407E-2</v>
      </c>
      <c r="M30" s="63">
        <v>0.27896995708154504</v>
      </c>
      <c r="N30" s="63">
        <v>0.19313304721030042</v>
      </c>
      <c r="O30" s="63">
        <v>0.56923076923076921</v>
      </c>
      <c r="P30" s="63">
        <v>0.42222222222222222</v>
      </c>
      <c r="Q30" s="63">
        <v>0.38805970149253732</v>
      </c>
    </row>
    <row r="31" spans="1:17" x14ac:dyDescent="0.4">
      <c r="A31" s="65">
        <v>28</v>
      </c>
      <c r="B31" s="62">
        <v>-181.70000000000002</v>
      </c>
      <c r="C31" s="62">
        <v>-6.4892857142857148</v>
      </c>
      <c r="D31" s="67">
        <v>2.2142857142857144</v>
      </c>
      <c r="E31" s="63">
        <v>0.17857142857142858</v>
      </c>
      <c r="F31" s="63">
        <v>0.39285714285714285</v>
      </c>
      <c r="G31" s="63">
        <v>0.2863070539419087</v>
      </c>
      <c r="H31" s="63">
        <v>0.1908713692946058</v>
      </c>
      <c r="I31" s="64">
        <v>7308.695652173913</v>
      </c>
      <c r="J31" s="64">
        <v>-7678.260869565217</v>
      </c>
      <c r="K31" s="63">
        <v>7.1428571428571425E-2</v>
      </c>
      <c r="L31" s="63">
        <v>7.1428571428571425E-2</v>
      </c>
      <c r="M31" s="63">
        <v>0.27800829875518673</v>
      </c>
      <c r="N31" s="63">
        <v>0.18672199170124482</v>
      </c>
      <c r="O31" s="63">
        <v>0.58208955223880599</v>
      </c>
      <c r="P31" s="63">
        <v>0.42222222222222222</v>
      </c>
      <c r="Q31" s="63">
        <v>0.37681159420289856</v>
      </c>
    </row>
    <row r="32" spans="1:17" x14ac:dyDescent="0.4">
      <c r="A32" s="65">
        <v>29</v>
      </c>
      <c r="B32" s="62">
        <v>-159.9</v>
      </c>
      <c r="C32" s="62">
        <v>-5.5137931034482763</v>
      </c>
      <c r="D32" s="67">
        <v>2.1724137931034484</v>
      </c>
      <c r="E32" s="63">
        <v>0.20689655172413793</v>
      </c>
      <c r="F32" s="63">
        <v>0.37931034482758619</v>
      </c>
      <c r="G32" s="63">
        <v>0.28629032258064518</v>
      </c>
      <c r="H32" s="63">
        <v>0.18951612903225806</v>
      </c>
      <c r="I32" s="64">
        <v>7497.1830985915494</v>
      </c>
      <c r="J32" s="64">
        <v>-7557.4468085106382</v>
      </c>
      <c r="K32" s="63">
        <v>6.8965517241379309E-2</v>
      </c>
      <c r="L32" s="63">
        <v>6.8965517241379309E-2</v>
      </c>
      <c r="M32" s="63">
        <v>0.27822580645161288</v>
      </c>
      <c r="N32" s="63">
        <v>0.18145161290322581</v>
      </c>
      <c r="O32" s="63">
        <v>0.59420289855072461</v>
      </c>
      <c r="P32" s="63">
        <v>0.42222222222222222</v>
      </c>
      <c r="Q32" s="63">
        <v>0.39436619718309857</v>
      </c>
    </row>
    <row r="33" spans="1:17" x14ac:dyDescent="0.4">
      <c r="A33" s="65">
        <v>30</v>
      </c>
      <c r="B33" s="62">
        <v>-175.6</v>
      </c>
      <c r="C33" s="62">
        <v>-5.8533333333333335</v>
      </c>
      <c r="D33" s="67">
        <v>2.2000000000000002</v>
      </c>
      <c r="E33" s="63">
        <v>0.2</v>
      </c>
      <c r="F33" s="63">
        <v>0.4</v>
      </c>
      <c r="G33" s="63">
        <v>0.28515625</v>
      </c>
      <c r="H33" s="63">
        <v>0.19140625</v>
      </c>
      <c r="I33" s="64">
        <v>7424.6575342465758</v>
      </c>
      <c r="J33" s="64">
        <v>-7348.9795918367345</v>
      </c>
      <c r="K33" s="63">
        <v>6.6666666666666666E-2</v>
      </c>
      <c r="L33" s="63">
        <v>6.6666666666666666E-2</v>
      </c>
      <c r="M33" s="63">
        <v>0.28125</v>
      </c>
      <c r="N33" s="63">
        <v>0.1796875</v>
      </c>
      <c r="O33" s="63">
        <v>0.58333333333333337</v>
      </c>
      <c r="P33" s="63">
        <v>0.43478260869565216</v>
      </c>
      <c r="Q33" s="63">
        <v>0.38356164383561642</v>
      </c>
    </row>
    <row r="34" spans="1:17" x14ac:dyDescent="0.4">
      <c r="A34" s="65">
        <v>31</v>
      </c>
      <c r="B34" s="62">
        <v>-212.6</v>
      </c>
      <c r="C34" s="62">
        <v>-6.8580645161290317</v>
      </c>
      <c r="D34" s="67">
        <v>2.225806451612903</v>
      </c>
      <c r="E34" s="63">
        <v>0.19354838709677419</v>
      </c>
      <c r="F34" s="63">
        <v>0.41935483870967744</v>
      </c>
      <c r="G34" s="63">
        <v>0.28464419475655428</v>
      </c>
      <c r="H34" s="63">
        <v>0.19850187265917604</v>
      </c>
      <c r="I34" s="64">
        <v>7410.5263157894733</v>
      </c>
      <c r="J34" s="64">
        <v>-7345.2830188679245</v>
      </c>
      <c r="K34" s="63">
        <v>6.4516129032258063E-2</v>
      </c>
      <c r="L34" s="63">
        <v>6.4516129032258063E-2</v>
      </c>
      <c r="M34" s="63">
        <v>0.2808988764044944</v>
      </c>
      <c r="N34" s="63">
        <v>0.1797752808988764</v>
      </c>
      <c r="O34" s="63">
        <v>0.58666666666666667</v>
      </c>
      <c r="P34" s="63">
        <v>0.4375</v>
      </c>
      <c r="Q34" s="63">
        <v>0.38157894736842107</v>
      </c>
    </row>
    <row r="35" spans="1:17" x14ac:dyDescent="0.4">
      <c r="A35" s="65">
        <v>32</v>
      </c>
      <c r="B35" s="62">
        <v>-244.8</v>
      </c>
      <c r="C35" s="62">
        <v>-7.65</v>
      </c>
      <c r="D35" s="67">
        <v>2.25</v>
      </c>
      <c r="E35" s="63">
        <v>0.1875</v>
      </c>
      <c r="F35" s="63">
        <v>0.4375</v>
      </c>
      <c r="G35" s="63">
        <v>0.28260869565217389</v>
      </c>
      <c r="H35" s="63">
        <v>0.19565217391304349</v>
      </c>
      <c r="I35" s="64">
        <v>7312.8205128205127</v>
      </c>
      <c r="J35" s="64">
        <v>-7351.8518518518522</v>
      </c>
      <c r="K35" s="63">
        <v>6.25E-2</v>
      </c>
      <c r="L35" s="63">
        <v>6.25E-2</v>
      </c>
      <c r="M35" s="63">
        <v>0.27536231884057971</v>
      </c>
      <c r="N35" s="63">
        <v>0.18115942028985507</v>
      </c>
      <c r="O35" s="63">
        <v>0.57894736842105265</v>
      </c>
      <c r="P35" s="63">
        <v>0.44</v>
      </c>
      <c r="Q35" s="63">
        <v>0.38461538461538464</v>
      </c>
    </row>
    <row r="36" spans="1:17" x14ac:dyDescent="0.4">
      <c r="A36" s="65">
        <v>33</v>
      </c>
      <c r="B36" s="62">
        <v>-261.3</v>
      </c>
      <c r="C36" s="62">
        <v>-7.9181818181818189</v>
      </c>
      <c r="D36" s="67">
        <v>2.2727272727272729</v>
      </c>
      <c r="E36" s="63">
        <v>0.18181818181818182</v>
      </c>
      <c r="F36" s="63">
        <v>0.45454545454545453</v>
      </c>
      <c r="G36" s="63">
        <v>0.28521126760563381</v>
      </c>
      <c r="H36" s="63">
        <v>0.19366197183098591</v>
      </c>
      <c r="I36" s="64">
        <v>7334.5679012345681</v>
      </c>
      <c r="J36" s="64">
        <v>-7358.181818181818</v>
      </c>
      <c r="K36" s="63">
        <v>6.0606060606060608E-2</v>
      </c>
      <c r="L36" s="63">
        <v>6.0606060606060608E-2</v>
      </c>
      <c r="M36" s="63">
        <v>0.28521126760563381</v>
      </c>
      <c r="N36" s="63">
        <v>0.176056338028169</v>
      </c>
      <c r="O36" s="63">
        <v>0.58024691358024694</v>
      </c>
      <c r="P36" s="63">
        <v>0.44</v>
      </c>
      <c r="Q36" s="63">
        <v>0.39506172839506171</v>
      </c>
    </row>
    <row r="37" spans="1:17" x14ac:dyDescent="0.4">
      <c r="A37" s="65">
        <v>34</v>
      </c>
      <c r="B37" s="62">
        <v>-236.8</v>
      </c>
      <c r="C37" s="62">
        <v>-6.9647058823529413</v>
      </c>
      <c r="D37" s="67">
        <v>2.2352941176470589</v>
      </c>
      <c r="E37" s="63">
        <v>0.20588235294117646</v>
      </c>
      <c r="F37" s="63">
        <v>0.44117647058823528</v>
      </c>
      <c r="G37" s="63">
        <v>0.28474576271186441</v>
      </c>
      <c r="H37" s="63">
        <v>0.19661016949152543</v>
      </c>
      <c r="I37" s="64">
        <v>7525</v>
      </c>
      <c r="J37" s="64">
        <v>-7244.8275862068967</v>
      </c>
      <c r="K37" s="63">
        <v>5.8823529411764705E-2</v>
      </c>
      <c r="L37" s="63">
        <v>5.8823529411764705E-2</v>
      </c>
      <c r="M37" s="63">
        <v>0.28135593220338984</v>
      </c>
      <c r="N37" s="63">
        <v>0.17627118644067796</v>
      </c>
      <c r="O37" s="63">
        <v>0.59036144578313254</v>
      </c>
      <c r="P37" s="63">
        <v>0.42307692307692307</v>
      </c>
      <c r="Q37" s="63">
        <v>0.39285714285714285</v>
      </c>
    </row>
    <row r="38" spans="1:17" x14ac:dyDescent="0.4">
      <c r="A38" s="65">
        <v>35</v>
      </c>
      <c r="B38" s="62">
        <v>-264.60000000000002</v>
      </c>
      <c r="C38" s="62">
        <v>-7.5600000000000005</v>
      </c>
      <c r="D38" s="67">
        <v>2.2571428571428571</v>
      </c>
      <c r="E38" s="63">
        <v>0.2</v>
      </c>
      <c r="F38" s="63">
        <v>0.45714285714285713</v>
      </c>
      <c r="G38" s="63">
        <v>0.2814569536423841</v>
      </c>
      <c r="H38" s="63">
        <v>0.19536423841059603</v>
      </c>
      <c r="I38" s="64">
        <v>7483.5294117647063</v>
      </c>
      <c r="J38" s="64">
        <v>-7257.6271186440681</v>
      </c>
      <c r="K38" s="63">
        <v>5.7142857142857141E-2</v>
      </c>
      <c r="L38" s="63">
        <v>5.7142857142857141E-2</v>
      </c>
      <c r="M38" s="63">
        <v>0.27814569536423839</v>
      </c>
      <c r="N38" s="63">
        <v>0.17218543046357615</v>
      </c>
      <c r="O38" s="63">
        <v>0.59523809523809523</v>
      </c>
      <c r="P38" s="63">
        <v>0.42307692307692307</v>
      </c>
      <c r="Q38" s="63">
        <v>0.4</v>
      </c>
    </row>
    <row r="39" spans="1:17" x14ac:dyDescent="0.4">
      <c r="A39" s="65">
        <v>36</v>
      </c>
      <c r="B39" s="62">
        <v>-252.20000000000002</v>
      </c>
      <c r="C39" s="62">
        <v>-7.0055555555555564</v>
      </c>
      <c r="D39" s="67">
        <v>2.2222222222222223</v>
      </c>
      <c r="E39" s="63">
        <v>0.22222222222222221</v>
      </c>
      <c r="F39" s="63">
        <v>0.44444444444444442</v>
      </c>
      <c r="G39" s="63">
        <v>0.28064516129032258</v>
      </c>
      <c r="H39" s="63">
        <v>0.20322580645161289</v>
      </c>
      <c r="I39" s="64">
        <v>7537.9310344827591</v>
      </c>
      <c r="J39" s="64">
        <v>-7063.4920634920636</v>
      </c>
      <c r="K39" s="63">
        <v>5.5555555555555552E-2</v>
      </c>
      <c r="L39" s="63">
        <v>5.5555555555555552E-2</v>
      </c>
      <c r="M39" s="63">
        <v>0.28387096774193549</v>
      </c>
      <c r="N39" s="63">
        <v>0.17419354838709677</v>
      </c>
      <c r="O39" s="63">
        <v>0.59090909090909094</v>
      </c>
      <c r="P39" s="63">
        <v>0.40740740740740738</v>
      </c>
      <c r="Q39" s="63">
        <v>0.41379310344827586</v>
      </c>
    </row>
    <row r="40" spans="1:17" x14ac:dyDescent="0.4">
      <c r="A40" s="65">
        <v>37</v>
      </c>
      <c r="B40" s="62">
        <v>-261</v>
      </c>
      <c r="C40" s="62">
        <v>-7.0540540540540544</v>
      </c>
      <c r="D40" s="67">
        <v>2.2162162162162162</v>
      </c>
      <c r="E40" s="63">
        <v>0.21621621621621623</v>
      </c>
      <c r="F40" s="63">
        <v>0.43243243243243246</v>
      </c>
      <c r="G40" s="63">
        <v>0.27936507936507937</v>
      </c>
      <c r="H40" s="63">
        <v>0.2</v>
      </c>
      <c r="I40" s="64">
        <v>7539.772727272727</v>
      </c>
      <c r="J40" s="64">
        <v>-7063.4920634920636</v>
      </c>
      <c r="K40" s="63">
        <v>5.4054054054054057E-2</v>
      </c>
      <c r="L40" s="63">
        <v>5.4054054054054057E-2</v>
      </c>
      <c r="M40" s="63">
        <v>0.28253968253968254</v>
      </c>
      <c r="N40" s="63">
        <v>0.17142857142857143</v>
      </c>
      <c r="O40" s="63">
        <v>0.5955056179775281</v>
      </c>
      <c r="P40" s="63">
        <v>0.40740740740740738</v>
      </c>
      <c r="Q40" s="63">
        <v>0.40909090909090912</v>
      </c>
    </row>
    <row r="41" spans="1:17" x14ac:dyDescent="0.4">
      <c r="A41" s="65">
        <v>38</v>
      </c>
      <c r="B41" s="62">
        <v>-245.4</v>
      </c>
      <c r="C41" s="62">
        <v>-6.4578947368421051</v>
      </c>
      <c r="D41" s="67">
        <v>2.2105263157894739</v>
      </c>
      <c r="E41" s="63">
        <v>0.21052631578947367</v>
      </c>
      <c r="F41" s="63">
        <v>0.42105263157894735</v>
      </c>
      <c r="G41" s="63">
        <v>0.28048780487804881</v>
      </c>
      <c r="H41" s="63">
        <v>0.19817073170731708</v>
      </c>
      <c r="I41" s="64">
        <v>7594.565217391304</v>
      </c>
      <c r="J41" s="64">
        <v>-7004.6153846153848</v>
      </c>
      <c r="K41" s="63">
        <v>5.2631578947368418E-2</v>
      </c>
      <c r="L41" s="63">
        <v>5.2631578947368418E-2</v>
      </c>
      <c r="M41" s="63">
        <v>0.28963414634146339</v>
      </c>
      <c r="N41" s="63">
        <v>0.1676829268292683</v>
      </c>
      <c r="O41" s="63">
        <v>0.58947368421052626</v>
      </c>
      <c r="P41" s="63">
        <v>0.4</v>
      </c>
      <c r="Q41" s="63">
        <v>0.41304347826086957</v>
      </c>
    </row>
    <row r="42" spans="1:17" x14ac:dyDescent="0.4">
      <c r="A42" s="65">
        <v>39</v>
      </c>
      <c r="B42" s="62">
        <v>-227</v>
      </c>
      <c r="C42" s="62">
        <v>-5.8205128205128203</v>
      </c>
      <c r="D42" s="67">
        <v>2.1794871794871793</v>
      </c>
      <c r="E42" s="63">
        <v>0.23076923076923078</v>
      </c>
      <c r="F42" s="63">
        <v>0.41025641025641024</v>
      </c>
      <c r="G42" s="63">
        <v>0.28106508875739644</v>
      </c>
      <c r="H42" s="63">
        <v>0.19526627218934911</v>
      </c>
      <c r="I42" s="64">
        <v>7648.4210526315792</v>
      </c>
      <c r="J42" s="64">
        <v>-7019.69696969697</v>
      </c>
      <c r="K42" s="63">
        <v>5.128205128205128E-2</v>
      </c>
      <c r="L42" s="63">
        <v>5.128205128205128E-2</v>
      </c>
      <c r="M42" s="63">
        <v>0.29289940828402367</v>
      </c>
      <c r="N42" s="63">
        <v>0.16568047337278108</v>
      </c>
      <c r="O42" s="63">
        <v>0.58585858585858586</v>
      </c>
      <c r="P42" s="63">
        <v>0.4107142857142857</v>
      </c>
      <c r="Q42" s="63">
        <v>0.42105263157894735</v>
      </c>
    </row>
    <row r="43" spans="1:17" x14ac:dyDescent="0.4">
      <c r="A43" s="65">
        <v>40</v>
      </c>
      <c r="B43" s="62">
        <v>-268.39999999999998</v>
      </c>
      <c r="C43" s="62">
        <v>-6.7099999999999991</v>
      </c>
      <c r="D43" s="67">
        <v>2.2000000000000002</v>
      </c>
      <c r="E43" s="63">
        <v>0.22500000000000001</v>
      </c>
      <c r="F43" s="63">
        <v>0.42499999999999999</v>
      </c>
      <c r="G43" s="63">
        <v>0.2857142857142857</v>
      </c>
      <c r="H43" s="63">
        <v>0.19714285714285715</v>
      </c>
      <c r="I43" s="64">
        <v>7463</v>
      </c>
      <c r="J43" s="64">
        <v>-7313.04347826087</v>
      </c>
      <c r="K43" s="63">
        <v>0.05</v>
      </c>
      <c r="L43" s="63">
        <v>0.05</v>
      </c>
      <c r="M43" s="63">
        <v>0.29142857142857143</v>
      </c>
      <c r="N43" s="63">
        <v>0.16857142857142857</v>
      </c>
      <c r="O43" s="63">
        <v>0.59803921568627449</v>
      </c>
      <c r="P43" s="63">
        <v>0.42372881355932202</v>
      </c>
      <c r="Q43" s="63">
        <v>0.42</v>
      </c>
    </row>
    <row r="44" spans="1:17" x14ac:dyDescent="0.4">
      <c r="A44" s="65">
        <v>41</v>
      </c>
      <c r="B44" s="62">
        <v>-264.39999999999998</v>
      </c>
      <c r="C44" s="62">
        <v>-6.4487804878048776</v>
      </c>
      <c r="D44" s="67">
        <v>2.1951219512195124</v>
      </c>
      <c r="E44" s="63">
        <v>0.21951219512195122</v>
      </c>
      <c r="F44" s="63">
        <v>0.41463414634146339</v>
      </c>
      <c r="G44" s="63">
        <v>0.28491620111731841</v>
      </c>
      <c r="H44" s="63">
        <v>0.19553072625698323</v>
      </c>
      <c r="I44" s="64">
        <v>7524.5098039215691</v>
      </c>
      <c r="J44" s="64">
        <v>-7322.8571428571431</v>
      </c>
      <c r="K44" s="63">
        <v>4.878048780487805E-2</v>
      </c>
      <c r="L44" s="63">
        <v>4.878048780487805E-2</v>
      </c>
      <c r="M44" s="63">
        <v>0.29329608938547486</v>
      </c>
      <c r="N44" s="63">
        <v>0.16480446927374301</v>
      </c>
      <c r="O44" s="63">
        <v>0.6</v>
      </c>
      <c r="P44" s="63">
        <v>0.42372881355932202</v>
      </c>
      <c r="Q44" s="63">
        <v>0.42156862745098039</v>
      </c>
    </row>
    <row r="45" spans="1:17" x14ac:dyDescent="0.4">
      <c r="A45" s="65">
        <v>42</v>
      </c>
      <c r="B45" s="62">
        <v>-268.89999999999998</v>
      </c>
      <c r="C45" s="62">
        <v>-6.4023809523809518</v>
      </c>
      <c r="D45" s="67">
        <v>2.1904761904761907</v>
      </c>
      <c r="E45" s="63">
        <v>0.21428571428571427</v>
      </c>
      <c r="F45" s="63">
        <v>0.40476190476190477</v>
      </c>
      <c r="G45" s="63">
        <v>0.28415300546448086</v>
      </c>
      <c r="H45" s="63">
        <v>0.19672131147540983</v>
      </c>
      <c r="I45" s="64">
        <v>7549.0384615384619</v>
      </c>
      <c r="J45" s="64">
        <v>-7341.666666666667</v>
      </c>
      <c r="K45" s="63">
        <v>4.7619047619047616E-2</v>
      </c>
      <c r="L45" s="63">
        <v>4.7619047619047616E-2</v>
      </c>
      <c r="M45" s="63">
        <v>0.29234972677595628</v>
      </c>
      <c r="N45" s="63">
        <v>0.16939890710382513</v>
      </c>
      <c r="O45" s="63">
        <v>0.60747663551401865</v>
      </c>
      <c r="P45" s="63">
        <v>0.40322580645161288</v>
      </c>
      <c r="Q45" s="63">
        <v>0.43269230769230771</v>
      </c>
    </row>
    <row r="46" spans="1:17" x14ac:dyDescent="0.4">
      <c r="A46" s="65">
        <v>43</v>
      </c>
      <c r="B46" s="62">
        <v>-299.39999999999998</v>
      </c>
      <c r="C46" s="62">
        <v>-6.9627906976744178</v>
      </c>
      <c r="D46" s="67">
        <v>2.2093023255813953</v>
      </c>
      <c r="E46" s="63">
        <v>0.20930232558139536</v>
      </c>
      <c r="F46" s="63">
        <v>0.41860465116279072</v>
      </c>
      <c r="G46" s="63">
        <v>0.28000000000000003</v>
      </c>
      <c r="H46" s="63">
        <v>0.19733333333333333</v>
      </c>
      <c r="I46" s="64">
        <v>7648.5714285714284</v>
      </c>
      <c r="J46" s="64">
        <v>-7340.5405405405409</v>
      </c>
      <c r="K46" s="63">
        <v>4.6511627906976744E-2</v>
      </c>
      <c r="L46" s="63">
        <v>4.6511627906976744E-2</v>
      </c>
      <c r="M46" s="63">
        <v>0.28799999999999998</v>
      </c>
      <c r="N46" s="63">
        <v>0.17599999999999999</v>
      </c>
      <c r="O46" s="63">
        <v>0.60185185185185186</v>
      </c>
      <c r="P46" s="63">
        <v>0.39393939393939392</v>
      </c>
      <c r="Q46" s="63">
        <v>0.43809523809523809</v>
      </c>
    </row>
    <row r="47" spans="1:17" x14ac:dyDescent="0.4">
      <c r="A47" s="65">
        <v>44</v>
      </c>
      <c r="B47" s="62">
        <v>-330.7</v>
      </c>
      <c r="C47" s="62">
        <v>-7.5159090909090907</v>
      </c>
      <c r="D47" s="67">
        <v>2.2272727272727271</v>
      </c>
      <c r="E47" s="63">
        <v>0.20454545454545456</v>
      </c>
      <c r="F47" s="63">
        <v>0.43181818181818182</v>
      </c>
      <c r="G47" s="63">
        <v>0.27676240208877284</v>
      </c>
      <c r="H47" s="63">
        <v>0.20104438642297651</v>
      </c>
      <c r="I47" s="64">
        <v>7689.6226415094343</v>
      </c>
      <c r="J47" s="64">
        <v>-7389.6103896103896</v>
      </c>
      <c r="K47" s="63">
        <v>4.5454545454545456E-2</v>
      </c>
      <c r="L47" s="63">
        <v>4.5454545454545456E-2</v>
      </c>
      <c r="M47" s="63">
        <v>0.28720626631853785</v>
      </c>
      <c r="N47" s="63">
        <v>0.18015665796344649</v>
      </c>
      <c r="O47" s="63">
        <v>0.59090909090909094</v>
      </c>
      <c r="P47" s="63">
        <v>0.39130434782608697</v>
      </c>
      <c r="Q47" s="63">
        <v>0.43396226415094341</v>
      </c>
    </row>
    <row r="48" spans="1:17" x14ac:dyDescent="0.4">
      <c r="A48" s="65">
        <v>45</v>
      </c>
      <c r="B48" s="62">
        <v>-353.09999999999997</v>
      </c>
      <c r="C48" s="62">
        <v>-7.8466666666666658</v>
      </c>
      <c r="D48" s="67">
        <v>2.2444444444444445</v>
      </c>
      <c r="E48" s="63">
        <v>0.2</v>
      </c>
      <c r="F48" s="63">
        <v>0.44444444444444442</v>
      </c>
      <c r="G48" s="63">
        <v>0.27763496143958871</v>
      </c>
      <c r="H48" s="63">
        <v>0.20308483290488433</v>
      </c>
      <c r="I48" s="64">
        <v>7639.8148148148148</v>
      </c>
      <c r="J48" s="64">
        <v>-7435.4430379746836</v>
      </c>
      <c r="K48" s="63">
        <v>4.4444444444444446E-2</v>
      </c>
      <c r="L48" s="63">
        <v>4.4444444444444446E-2</v>
      </c>
      <c r="M48" s="63">
        <v>0.2879177377892031</v>
      </c>
      <c r="N48" s="63">
        <v>0.18508997429305912</v>
      </c>
      <c r="O48" s="63">
        <v>0.5892857142857143</v>
      </c>
      <c r="P48" s="63">
        <v>0.3888888888888889</v>
      </c>
      <c r="Q48" s="63">
        <v>0.42592592592592593</v>
      </c>
    </row>
    <row r="49" spans="1:17" x14ac:dyDescent="0.4">
      <c r="A49" s="65">
        <v>46</v>
      </c>
      <c r="B49" s="62">
        <v>-351.79999999999995</v>
      </c>
      <c r="C49" s="62">
        <v>-7.6478260869565204</v>
      </c>
      <c r="D49" s="67">
        <v>2.2391304347826089</v>
      </c>
      <c r="E49" s="63">
        <v>0.19565217391304349</v>
      </c>
      <c r="F49" s="63">
        <v>0.43478260869565216</v>
      </c>
      <c r="G49" s="63">
        <v>0.27848101265822783</v>
      </c>
      <c r="H49" s="63">
        <v>0.20506329113924052</v>
      </c>
      <c r="I49" s="64">
        <v>7719.090909090909</v>
      </c>
      <c r="J49" s="64">
        <v>-7379.0123456790125</v>
      </c>
      <c r="K49" s="63">
        <v>4.3478260869565216E-2</v>
      </c>
      <c r="L49" s="63">
        <v>4.3478260869565216E-2</v>
      </c>
      <c r="M49" s="63">
        <v>0.28607594936708863</v>
      </c>
      <c r="N49" s="63">
        <v>0.18734177215189873</v>
      </c>
      <c r="O49" s="63">
        <v>0.59292035398230092</v>
      </c>
      <c r="P49" s="63">
        <v>0.39189189189189189</v>
      </c>
      <c r="Q49" s="63">
        <v>0.42727272727272725</v>
      </c>
    </row>
    <row r="50" spans="1:17" x14ac:dyDescent="0.4">
      <c r="A50" s="65">
        <v>47</v>
      </c>
      <c r="B50" s="62">
        <v>-346.19999999999993</v>
      </c>
      <c r="C50" s="62">
        <v>-7.3659574468085092</v>
      </c>
      <c r="D50" s="67">
        <v>2.2340425531914891</v>
      </c>
      <c r="E50" s="63">
        <v>0.19148936170212766</v>
      </c>
      <c r="F50" s="63">
        <v>0.42553191489361702</v>
      </c>
      <c r="G50" s="63">
        <v>0.28179551122194513</v>
      </c>
      <c r="H50" s="63">
        <v>0.20448877805486285</v>
      </c>
      <c r="I50" s="64">
        <v>7690.2654867256633</v>
      </c>
      <c r="J50" s="64">
        <v>-7435.3658536585363</v>
      </c>
      <c r="K50" s="63">
        <v>4.2553191489361701E-2</v>
      </c>
      <c r="L50" s="63">
        <v>4.2553191489361701E-2</v>
      </c>
      <c r="M50" s="63">
        <v>0.28678304239401498</v>
      </c>
      <c r="N50" s="63">
        <v>0.18703241895261846</v>
      </c>
      <c r="O50" s="63">
        <v>0.6</v>
      </c>
      <c r="P50" s="63">
        <v>0.4</v>
      </c>
      <c r="Q50" s="63">
        <v>0.4247787610619469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44D86-A0A3-49D9-8E5A-A9968A83A848}">
  <sheetPr codeName="Sheet12"/>
  <dimension ref="A1:Q78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127</v>
      </c>
      <c r="B1" s="66" t="s">
        <v>127</v>
      </c>
      <c r="C1" s="66" t="s">
        <v>127</v>
      </c>
      <c r="D1" s="67" t="s">
        <v>127</v>
      </c>
      <c r="E1" s="66" t="s">
        <v>127</v>
      </c>
      <c r="F1" s="66" t="s">
        <v>127</v>
      </c>
      <c r="G1" s="66" t="s">
        <v>127</v>
      </c>
      <c r="H1" s="66" t="s">
        <v>127</v>
      </c>
      <c r="I1" s="66" t="s">
        <v>127</v>
      </c>
      <c r="J1" s="66" t="s">
        <v>127</v>
      </c>
      <c r="K1" s="66" t="s">
        <v>127</v>
      </c>
      <c r="L1" s="66" t="s">
        <v>127</v>
      </c>
      <c r="M1" s="66" t="s">
        <v>127</v>
      </c>
      <c r="N1" s="66" t="s">
        <v>127</v>
      </c>
      <c r="O1" s="66" t="s">
        <v>127</v>
      </c>
      <c r="P1" s="66" t="s">
        <v>127</v>
      </c>
      <c r="Q1" s="66" t="s">
        <v>127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-45.6</v>
      </c>
      <c r="C4" s="62">
        <v>-45.6</v>
      </c>
      <c r="D4" s="67">
        <v>3</v>
      </c>
      <c r="E4" s="63">
        <v>0</v>
      </c>
      <c r="F4" s="63">
        <v>1</v>
      </c>
      <c r="G4" s="63">
        <v>0.2</v>
      </c>
      <c r="H4" s="63">
        <v>0.4</v>
      </c>
      <c r="I4" s="64">
        <v>7300</v>
      </c>
      <c r="J4" s="64">
        <v>-9925</v>
      </c>
      <c r="K4" s="63">
        <v>1</v>
      </c>
      <c r="L4" s="63">
        <v>0</v>
      </c>
      <c r="M4" s="63">
        <v>0.4</v>
      </c>
      <c r="N4" s="63">
        <v>0.3</v>
      </c>
      <c r="O4" s="63">
        <v>0.25</v>
      </c>
      <c r="P4" s="63">
        <v>0.33333333333333331</v>
      </c>
      <c r="Q4" s="63">
        <v>0.5</v>
      </c>
    </row>
    <row r="5" spans="1:17" x14ac:dyDescent="0.4">
      <c r="A5" s="65">
        <v>2</v>
      </c>
      <c r="B5" s="62">
        <v>-34.299999999999997</v>
      </c>
      <c r="C5" s="62">
        <v>-17.149999999999999</v>
      </c>
      <c r="D5" s="67">
        <v>2.5</v>
      </c>
      <c r="E5" s="63">
        <v>0</v>
      </c>
      <c r="F5" s="63">
        <v>0.5</v>
      </c>
      <c r="G5" s="63">
        <v>0.26315789473684209</v>
      </c>
      <c r="H5" s="63">
        <v>0.31578947368421051</v>
      </c>
      <c r="I5" s="64">
        <v>9320</v>
      </c>
      <c r="J5" s="64">
        <v>-7266.666666666667</v>
      </c>
      <c r="K5" s="63">
        <v>0.5</v>
      </c>
      <c r="L5" s="63">
        <v>0</v>
      </c>
      <c r="M5" s="63">
        <v>0.47368421052631576</v>
      </c>
      <c r="N5" s="63">
        <v>0.21052631578947367</v>
      </c>
      <c r="O5" s="63">
        <v>0.44444444444444442</v>
      </c>
      <c r="P5" s="63">
        <v>0.25</v>
      </c>
      <c r="Q5" s="63">
        <v>0.4</v>
      </c>
    </row>
    <row r="6" spans="1:17" x14ac:dyDescent="0.4">
      <c r="A6" s="65">
        <v>3</v>
      </c>
      <c r="B6" s="62">
        <v>-58.599999999999994</v>
      </c>
      <c r="C6" s="62">
        <v>-19.533333333333331</v>
      </c>
      <c r="D6" s="67">
        <v>2.6666666666666665</v>
      </c>
      <c r="E6" s="63">
        <v>0</v>
      </c>
      <c r="F6" s="63">
        <v>0.66666666666666663</v>
      </c>
      <c r="G6" s="63">
        <v>0.19230769230769232</v>
      </c>
      <c r="H6" s="63">
        <v>0.30769230769230771</v>
      </c>
      <c r="I6" s="64">
        <v>9320</v>
      </c>
      <c r="J6" s="64">
        <v>-5775</v>
      </c>
      <c r="K6" s="63">
        <v>0.33333333333333331</v>
      </c>
      <c r="L6" s="63">
        <v>0</v>
      </c>
      <c r="M6" s="63">
        <v>0.34615384615384615</v>
      </c>
      <c r="N6" s="63">
        <v>0.15384615384615385</v>
      </c>
      <c r="O6" s="63">
        <v>0.44444444444444442</v>
      </c>
      <c r="P6" s="63">
        <v>0.25</v>
      </c>
      <c r="Q6" s="63">
        <v>0.4</v>
      </c>
    </row>
    <row r="7" spans="1:17" x14ac:dyDescent="0.4">
      <c r="A7" s="65">
        <v>4</v>
      </c>
      <c r="B7" s="62">
        <v>-38.099999999999994</v>
      </c>
      <c r="C7" s="62">
        <v>-9.5249999999999986</v>
      </c>
      <c r="D7" s="67">
        <v>2.25</v>
      </c>
      <c r="E7" s="63">
        <v>0.25</v>
      </c>
      <c r="F7" s="63">
        <v>0.5</v>
      </c>
      <c r="G7" s="63">
        <v>0.26470588235294118</v>
      </c>
      <c r="H7" s="63">
        <v>0.29411764705882354</v>
      </c>
      <c r="I7" s="64">
        <v>7788.8888888888887</v>
      </c>
      <c r="J7" s="64">
        <v>-6020</v>
      </c>
      <c r="K7" s="63">
        <v>0.25</v>
      </c>
      <c r="L7" s="63">
        <v>0</v>
      </c>
      <c r="M7" s="63">
        <v>0.35294117647058826</v>
      </c>
      <c r="N7" s="63">
        <v>0.17647058823529413</v>
      </c>
      <c r="O7" s="63">
        <v>0.58333333333333337</v>
      </c>
      <c r="P7" s="63">
        <v>0.33333333333333331</v>
      </c>
      <c r="Q7" s="63">
        <v>0.44444444444444442</v>
      </c>
    </row>
    <row r="8" spans="1:17" x14ac:dyDescent="0.4">
      <c r="A8" s="65">
        <v>5</v>
      </c>
      <c r="B8" s="62">
        <v>-11.299999999999994</v>
      </c>
      <c r="C8" s="62">
        <v>-2.2599999999999989</v>
      </c>
      <c r="D8" s="67">
        <v>2</v>
      </c>
      <c r="E8" s="63">
        <v>0.4</v>
      </c>
      <c r="F8" s="63">
        <v>0.4</v>
      </c>
      <c r="G8" s="63">
        <v>0.29268292682926828</v>
      </c>
      <c r="H8" s="63">
        <v>0.29268292682926828</v>
      </c>
      <c r="I8" s="64">
        <v>8275</v>
      </c>
      <c r="J8" s="64">
        <v>-6008.333333333333</v>
      </c>
      <c r="K8" s="63">
        <v>0.2</v>
      </c>
      <c r="L8" s="63">
        <v>0</v>
      </c>
      <c r="M8" s="63">
        <v>0.31707317073170732</v>
      </c>
      <c r="N8" s="63">
        <v>0.1951219512195122</v>
      </c>
      <c r="O8" s="63">
        <v>0.61538461538461542</v>
      </c>
      <c r="P8" s="63">
        <v>0.375</v>
      </c>
      <c r="Q8" s="63">
        <v>0.41666666666666669</v>
      </c>
    </row>
    <row r="9" spans="1:17" x14ac:dyDescent="0.4">
      <c r="A9" s="65">
        <v>6</v>
      </c>
      <c r="B9" s="62">
        <v>-11.899999999999993</v>
      </c>
      <c r="C9" s="62">
        <v>-1.9833333333333323</v>
      </c>
      <c r="D9" s="67">
        <v>2</v>
      </c>
      <c r="E9" s="63">
        <v>0.33333333333333331</v>
      </c>
      <c r="F9" s="63">
        <v>0.33333333333333331</v>
      </c>
      <c r="G9" s="63">
        <v>0.34</v>
      </c>
      <c r="H9" s="63">
        <v>0.26</v>
      </c>
      <c r="I9" s="64">
        <v>6964.7058823529414</v>
      </c>
      <c r="J9" s="64">
        <v>-6138.4615384615381</v>
      </c>
      <c r="K9" s="63">
        <v>0.16666666666666666</v>
      </c>
      <c r="L9" s="63">
        <v>0</v>
      </c>
      <c r="M9" s="63">
        <v>0.26</v>
      </c>
      <c r="N9" s="63">
        <v>0.22</v>
      </c>
      <c r="O9" s="63">
        <v>0.61538461538461542</v>
      </c>
      <c r="P9" s="63">
        <v>0.54545454545454541</v>
      </c>
      <c r="Q9" s="63">
        <v>0.35294117647058826</v>
      </c>
    </row>
    <row r="10" spans="1:17" x14ac:dyDescent="0.4">
      <c r="A10" s="65">
        <v>7</v>
      </c>
      <c r="B10" s="62">
        <v>-9.4999999999999929</v>
      </c>
      <c r="C10" s="62">
        <v>-1.3571428571428561</v>
      </c>
      <c r="D10" s="67">
        <v>2</v>
      </c>
      <c r="E10" s="63">
        <v>0.2857142857142857</v>
      </c>
      <c r="F10" s="63">
        <v>0.2857142857142857</v>
      </c>
      <c r="G10" s="63">
        <v>0.3125</v>
      </c>
      <c r="H10" s="63">
        <v>0.234375</v>
      </c>
      <c r="I10" s="64">
        <v>7900</v>
      </c>
      <c r="J10" s="64">
        <v>-6866.666666666667</v>
      </c>
      <c r="K10" s="63">
        <v>0.14285714285714285</v>
      </c>
      <c r="L10" s="63">
        <v>0</v>
      </c>
      <c r="M10" s="63">
        <v>0.25</v>
      </c>
      <c r="N10" s="63">
        <v>0.21875</v>
      </c>
      <c r="O10" s="63">
        <v>0.625</v>
      </c>
      <c r="P10" s="63">
        <v>0.42857142857142855</v>
      </c>
      <c r="Q10" s="63">
        <v>0.35</v>
      </c>
    </row>
    <row r="11" spans="1:17" x14ac:dyDescent="0.4">
      <c r="A11" s="65">
        <v>8</v>
      </c>
      <c r="B11" s="62">
        <v>-56.79999999999999</v>
      </c>
      <c r="C11" s="62">
        <v>-7.0999999999999988</v>
      </c>
      <c r="D11" s="67">
        <v>2.125</v>
      </c>
      <c r="E11" s="63">
        <v>0.25</v>
      </c>
      <c r="F11" s="63">
        <v>0.375</v>
      </c>
      <c r="G11" s="63">
        <v>0.32</v>
      </c>
      <c r="H11" s="63">
        <v>0.25333333333333335</v>
      </c>
      <c r="I11" s="64">
        <v>7566.666666666667</v>
      </c>
      <c r="J11" s="64">
        <v>-8363.1578947368416</v>
      </c>
      <c r="K11" s="63">
        <v>0.25</v>
      </c>
      <c r="L11" s="63">
        <v>0</v>
      </c>
      <c r="M11" s="63">
        <v>0.24</v>
      </c>
      <c r="N11" s="63">
        <v>0.22666666666666666</v>
      </c>
      <c r="O11" s="63">
        <v>0.61111111111111116</v>
      </c>
      <c r="P11" s="63">
        <v>0.47058823529411764</v>
      </c>
      <c r="Q11" s="63">
        <v>0.29166666666666669</v>
      </c>
    </row>
    <row r="12" spans="1:17" x14ac:dyDescent="0.4">
      <c r="A12" s="65">
        <v>9</v>
      </c>
      <c r="B12" s="62">
        <v>-83.699999999999989</v>
      </c>
      <c r="C12" s="62">
        <v>-9.2999999999999989</v>
      </c>
      <c r="D12" s="67">
        <v>2.2222222222222223</v>
      </c>
      <c r="E12" s="63">
        <v>0.22222222222222221</v>
      </c>
      <c r="F12" s="63">
        <v>0.44444444444444442</v>
      </c>
      <c r="G12" s="63">
        <v>0.29411764705882354</v>
      </c>
      <c r="H12" s="63">
        <v>0.22352941176470589</v>
      </c>
      <c r="I12" s="64">
        <v>7584</v>
      </c>
      <c r="J12" s="64">
        <v>-8363.1578947368416</v>
      </c>
      <c r="K12" s="63">
        <v>0.22222222222222221</v>
      </c>
      <c r="L12" s="63">
        <v>0</v>
      </c>
      <c r="M12" s="63">
        <v>0.23529411764705882</v>
      </c>
      <c r="N12" s="63">
        <v>0.23529411764705882</v>
      </c>
      <c r="O12" s="63">
        <v>0.55000000000000004</v>
      </c>
      <c r="P12" s="63">
        <v>0.45</v>
      </c>
      <c r="Q12" s="63">
        <v>0.28000000000000003</v>
      </c>
    </row>
    <row r="13" spans="1:17" x14ac:dyDescent="0.4">
      <c r="A13" s="65">
        <v>10</v>
      </c>
      <c r="B13" s="62">
        <v>-78.399999999999991</v>
      </c>
      <c r="C13" s="62">
        <v>-7.839999999999999</v>
      </c>
      <c r="D13" s="67">
        <v>2.2000000000000002</v>
      </c>
      <c r="E13" s="63">
        <v>0.2</v>
      </c>
      <c r="F13" s="63">
        <v>0.4</v>
      </c>
      <c r="G13" s="63">
        <v>0.30851063829787234</v>
      </c>
      <c r="H13" s="63">
        <v>0.20212765957446807</v>
      </c>
      <c r="I13" s="64">
        <v>7389.6551724137935</v>
      </c>
      <c r="J13" s="64">
        <v>-8363.1578947368416</v>
      </c>
      <c r="K13" s="63">
        <v>0.2</v>
      </c>
      <c r="L13" s="63">
        <v>0</v>
      </c>
      <c r="M13" s="63">
        <v>0.24468085106382978</v>
      </c>
      <c r="N13" s="63">
        <v>0.25531914893617019</v>
      </c>
      <c r="O13" s="63">
        <v>0.56521739130434778</v>
      </c>
      <c r="P13" s="63">
        <v>0.41666666666666669</v>
      </c>
      <c r="Q13" s="63">
        <v>0.31034482758620691</v>
      </c>
    </row>
    <row r="14" spans="1:17" x14ac:dyDescent="0.4">
      <c r="A14" s="65">
        <v>11</v>
      </c>
      <c r="B14" s="62">
        <v>-68.099999999999994</v>
      </c>
      <c r="C14" s="62">
        <v>-6.1909090909090905</v>
      </c>
      <c r="D14" s="67">
        <v>2.1818181818181817</v>
      </c>
      <c r="E14" s="63">
        <v>0.18181818181818182</v>
      </c>
      <c r="F14" s="63">
        <v>0.36363636363636365</v>
      </c>
      <c r="G14" s="63">
        <v>0.29126213592233008</v>
      </c>
      <c r="H14" s="63">
        <v>0.1941747572815534</v>
      </c>
      <c r="I14" s="64">
        <v>7743.333333333333</v>
      </c>
      <c r="J14" s="64">
        <v>-8105</v>
      </c>
      <c r="K14" s="63">
        <v>0.18181818181818182</v>
      </c>
      <c r="L14" s="63">
        <v>0</v>
      </c>
      <c r="M14" s="63">
        <v>0.25242718446601942</v>
      </c>
      <c r="N14" s="63">
        <v>0.25242718446601942</v>
      </c>
      <c r="O14" s="63">
        <v>0.53846153846153844</v>
      </c>
      <c r="P14" s="63">
        <v>0.38461538461538464</v>
      </c>
      <c r="Q14" s="63">
        <v>0.33333333333333331</v>
      </c>
    </row>
    <row r="15" spans="1:17" x14ac:dyDescent="0.4">
      <c r="A15" s="65">
        <v>12</v>
      </c>
      <c r="B15" s="62">
        <v>-89</v>
      </c>
      <c r="C15" s="62">
        <v>-7.416666666666667</v>
      </c>
      <c r="D15" s="67">
        <v>2.25</v>
      </c>
      <c r="E15" s="63">
        <v>0.16666666666666666</v>
      </c>
      <c r="F15" s="63">
        <v>0.41666666666666669</v>
      </c>
      <c r="G15" s="63">
        <v>0.30088495575221241</v>
      </c>
      <c r="H15" s="63">
        <v>0.18584070796460178</v>
      </c>
      <c r="I15" s="64">
        <v>7385.2941176470586</v>
      </c>
      <c r="J15" s="64">
        <v>-8100</v>
      </c>
      <c r="K15" s="63">
        <v>0.16666666666666666</v>
      </c>
      <c r="L15" s="63">
        <v>0</v>
      </c>
      <c r="M15" s="63">
        <v>0.25663716814159293</v>
      </c>
      <c r="N15" s="63">
        <v>0.24778761061946902</v>
      </c>
      <c r="O15" s="63">
        <v>0.51724137931034486</v>
      </c>
      <c r="P15" s="63">
        <v>0.39285714285714285</v>
      </c>
      <c r="Q15" s="63">
        <v>0.3235294117647059</v>
      </c>
    </row>
    <row r="16" spans="1:17" x14ac:dyDescent="0.4">
      <c r="A16" s="65">
        <v>13</v>
      </c>
      <c r="B16" s="62">
        <v>-86.8</v>
      </c>
      <c r="C16" s="62">
        <v>-6.6769230769230763</v>
      </c>
      <c r="D16" s="67">
        <v>2.2307692307692308</v>
      </c>
      <c r="E16" s="63">
        <v>0.15384615384615385</v>
      </c>
      <c r="F16" s="63">
        <v>0.38461538461538464</v>
      </c>
      <c r="G16" s="63">
        <v>0.2975206611570248</v>
      </c>
      <c r="H16" s="63">
        <v>0.19834710743801653</v>
      </c>
      <c r="I16" s="64">
        <v>7641.666666666667</v>
      </c>
      <c r="J16" s="64">
        <v>-7850</v>
      </c>
      <c r="K16" s="63">
        <v>0.15384615384615385</v>
      </c>
      <c r="L16" s="63">
        <v>0</v>
      </c>
      <c r="M16" s="63">
        <v>0.24793388429752067</v>
      </c>
      <c r="N16" s="63">
        <v>0.23966942148760331</v>
      </c>
      <c r="O16" s="63">
        <v>0.53333333333333333</v>
      </c>
      <c r="P16" s="63">
        <v>0.41379310344827586</v>
      </c>
      <c r="Q16" s="63">
        <v>0.33333333333333331</v>
      </c>
    </row>
    <row r="17" spans="1:17" x14ac:dyDescent="0.4">
      <c r="A17" s="65">
        <v>14</v>
      </c>
      <c r="B17" s="62">
        <v>-138.4</v>
      </c>
      <c r="C17" s="62">
        <v>-9.8857142857142861</v>
      </c>
      <c r="D17" s="67">
        <v>2.2857142857142856</v>
      </c>
      <c r="E17" s="63">
        <v>0.14285714285714285</v>
      </c>
      <c r="F17" s="63">
        <v>0.42857142857142855</v>
      </c>
      <c r="G17" s="63">
        <v>0.28244274809160308</v>
      </c>
      <c r="H17" s="63">
        <v>0.19083969465648856</v>
      </c>
      <c r="I17" s="64">
        <v>7651.3513513513517</v>
      </c>
      <c r="J17" s="64">
        <v>-8016</v>
      </c>
      <c r="K17" s="63">
        <v>0.21428571428571427</v>
      </c>
      <c r="L17" s="63">
        <v>0</v>
      </c>
      <c r="M17" s="63">
        <v>0.24427480916030533</v>
      </c>
      <c r="N17" s="63">
        <v>0.24427480916030533</v>
      </c>
      <c r="O17" s="63">
        <v>0.5</v>
      </c>
      <c r="P17" s="63">
        <v>0.40625</v>
      </c>
      <c r="Q17" s="63">
        <v>0.35135135135135137</v>
      </c>
    </row>
    <row r="18" spans="1:17" x14ac:dyDescent="0.4">
      <c r="A18" s="65">
        <v>15</v>
      </c>
      <c r="B18" s="62">
        <v>-144.30000000000001</v>
      </c>
      <c r="C18" s="62">
        <v>-9.620000000000001</v>
      </c>
      <c r="D18" s="67">
        <v>2.2666666666666666</v>
      </c>
      <c r="E18" s="63">
        <v>0.13333333333333333</v>
      </c>
      <c r="F18" s="63">
        <v>0.4</v>
      </c>
      <c r="G18" s="63">
        <v>0.2857142857142857</v>
      </c>
      <c r="H18" s="63">
        <v>0.18571428571428572</v>
      </c>
      <c r="I18" s="64">
        <v>7475</v>
      </c>
      <c r="J18" s="64">
        <v>-7930.7692307692305</v>
      </c>
      <c r="K18" s="63">
        <v>0.2</v>
      </c>
      <c r="L18" s="63">
        <v>0</v>
      </c>
      <c r="M18" s="63">
        <v>0.23571428571428571</v>
      </c>
      <c r="N18" s="63">
        <v>0.25</v>
      </c>
      <c r="O18" s="63">
        <v>0.51515151515151514</v>
      </c>
      <c r="P18" s="63">
        <v>0.42857142857142855</v>
      </c>
      <c r="Q18" s="63">
        <v>0.35</v>
      </c>
    </row>
    <row r="19" spans="1:17" x14ac:dyDescent="0.4">
      <c r="A19" s="65">
        <v>16</v>
      </c>
      <c r="B19" s="62">
        <v>-187.3</v>
      </c>
      <c r="C19" s="62">
        <v>-11.706250000000001</v>
      </c>
      <c r="D19" s="67">
        <v>2.3125</v>
      </c>
      <c r="E19" s="63">
        <v>0.125</v>
      </c>
      <c r="F19" s="63">
        <v>0.4375</v>
      </c>
      <c r="G19" s="63">
        <v>0.27516778523489932</v>
      </c>
      <c r="H19" s="63">
        <v>0.18791946308724833</v>
      </c>
      <c r="I19" s="64">
        <v>7585.3658536585363</v>
      </c>
      <c r="J19" s="64">
        <v>-8207.1428571428569</v>
      </c>
      <c r="K19" s="63">
        <v>0.1875</v>
      </c>
      <c r="L19" s="63">
        <v>0</v>
      </c>
      <c r="M19" s="63">
        <v>0.22818791946308725</v>
      </c>
      <c r="N19" s="63">
        <v>0.25503355704697989</v>
      </c>
      <c r="O19" s="63">
        <v>0.5</v>
      </c>
      <c r="P19" s="63">
        <v>0.42105263157894735</v>
      </c>
      <c r="Q19" s="63">
        <v>0.34146341463414637</v>
      </c>
    </row>
    <row r="20" spans="1:17" x14ac:dyDescent="0.4">
      <c r="A20" s="65">
        <v>17</v>
      </c>
      <c r="B20" s="62">
        <v>-179.70000000000002</v>
      </c>
      <c r="C20" s="62">
        <v>-10.570588235294119</v>
      </c>
      <c r="D20" s="67">
        <v>2.2941176470588234</v>
      </c>
      <c r="E20" s="63">
        <v>0.11764705882352941</v>
      </c>
      <c r="F20" s="63">
        <v>0.41176470588235292</v>
      </c>
      <c r="G20" s="63">
        <v>0.28125</v>
      </c>
      <c r="H20" s="63">
        <v>0.19375000000000001</v>
      </c>
      <c r="I20" s="64">
        <v>7584.4444444444443</v>
      </c>
      <c r="J20" s="64">
        <v>-8070.9677419354839</v>
      </c>
      <c r="K20" s="63">
        <v>0.17647058823529413</v>
      </c>
      <c r="L20" s="63">
        <v>0</v>
      </c>
      <c r="M20" s="63">
        <v>0.21249999999999999</v>
      </c>
      <c r="N20" s="63">
        <v>0.25624999999999998</v>
      </c>
      <c r="O20" s="63">
        <v>0.5</v>
      </c>
      <c r="P20" s="63">
        <v>0.43902439024390244</v>
      </c>
      <c r="Q20" s="63">
        <v>0.31111111111111112</v>
      </c>
    </row>
    <row r="21" spans="1:17" x14ac:dyDescent="0.4">
      <c r="A21" s="65">
        <v>18</v>
      </c>
      <c r="B21" s="62">
        <v>-112.90000000000002</v>
      </c>
      <c r="C21" s="62">
        <v>-6.272222222222223</v>
      </c>
      <c r="D21" s="67">
        <v>2.2222222222222223</v>
      </c>
      <c r="E21" s="63">
        <v>0.16666666666666666</v>
      </c>
      <c r="F21" s="63">
        <v>0.3888888888888889</v>
      </c>
      <c r="G21" s="63">
        <v>0.29878048780487804</v>
      </c>
      <c r="H21" s="63">
        <v>0.18902439024390244</v>
      </c>
      <c r="I21" s="64">
        <v>8063.2653061224491</v>
      </c>
      <c r="J21" s="64">
        <v>-8070.9677419354839</v>
      </c>
      <c r="K21" s="63">
        <v>0.16666666666666666</v>
      </c>
      <c r="L21" s="63">
        <v>5.5555555555555552E-2</v>
      </c>
      <c r="M21" s="63">
        <v>0.2073170731707317</v>
      </c>
      <c r="N21" s="63">
        <v>0.27439024390243905</v>
      </c>
      <c r="O21" s="63">
        <v>0.5</v>
      </c>
      <c r="P21" s="63">
        <v>0.48888888888888887</v>
      </c>
      <c r="Q21" s="63">
        <v>0.30612244897959184</v>
      </c>
    </row>
    <row r="22" spans="1:17" x14ac:dyDescent="0.4">
      <c r="A22" s="65">
        <v>19</v>
      </c>
      <c r="B22" s="62">
        <v>-162.40000000000003</v>
      </c>
      <c r="C22" s="62">
        <v>-8.5473684210526333</v>
      </c>
      <c r="D22" s="67">
        <v>2.263157894736842</v>
      </c>
      <c r="E22" s="63">
        <v>0.15789473684210525</v>
      </c>
      <c r="F22" s="63">
        <v>0.42105263157894735</v>
      </c>
      <c r="G22" s="63">
        <v>0.29310344827586204</v>
      </c>
      <c r="H22" s="63">
        <v>0.20689655172413793</v>
      </c>
      <c r="I22" s="64">
        <v>8021.5686274509808</v>
      </c>
      <c r="J22" s="64">
        <v>-7880.5555555555557</v>
      </c>
      <c r="K22" s="63">
        <v>0.21052631578947367</v>
      </c>
      <c r="L22" s="63">
        <v>5.2631578947368418E-2</v>
      </c>
      <c r="M22" s="63">
        <v>0.20689655172413793</v>
      </c>
      <c r="N22" s="63">
        <v>0.27586206896551724</v>
      </c>
      <c r="O22" s="63">
        <v>0.5</v>
      </c>
      <c r="P22" s="63">
        <v>0.47916666666666669</v>
      </c>
      <c r="Q22" s="63">
        <v>0.29411764705882354</v>
      </c>
    </row>
    <row r="23" spans="1:17" x14ac:dyDescent="0.4">
      <c r="A23" s="65">
        <v>20</v>
      </c>
      <c r="B23" s="62">
        <v>-96.000000000000028</v>
      </c>
      <c r="C23" s="62">
        <v>-4.8000000000000016</v>
      </c>
      <c r="D23" s="67">
        <v>2.2000000000000002</v>
      </c>
      <c r="E23" s="63">
        <v>0.2</v>
      </c>
      <c r="F23" s="63">
        <v>0.4</v>
      </c>
      <c r="G23" s="63">
        <v>0.30601092896174864</v>
      </c>
      <c r="H23" s="63">
        <v>0.19672131147540983</v>
      </c>
      <c r="I23" s="64">
        <v>8237.5</v>
      </c>
      <c r="J23" s="64">
        <v>-7880.5555555555557</v>
      </c>
      <c r="K23" s="63">
        <v>0.2</v>
      </c>
      <c r="L23" s="63">
        <v>0.1</v>
      </c>
      <c r="M23" s="63">
        <v>0.20765027322404372</v>
      </c>
      <c r="N23" s="63">
        <v>0.27868852459016391</v>
      </c>
      <c r="O23" s="63">
        <v>0.52631578947368418</v>
      </c>
      <c r="P23" s="63">
        <v>0.49019607843137253</v>
      </c>
      <c r="Q23" s="63">
        <v>0.2857142857142857</v>
      </c>
    </row>
    <row r="24" spans="1:17" x14ac:dyDescent="0.4">
      <c r="A24" s="65">
        <v>21</v>
      </c>
      <c r="B24" s="62">
        <v>-67.200000000000031</v>
      </c>
      <c r="C24" s="62">
        <v>-3.2000000000000015</v>
      </c>
      <c r="D24" s="67">
        <v>2.1428571428571428</v>
      </c>
      <c r="E24" s="63">
        <v>0.23809523809523808</v>
      </c>
      <c r="F24" s="63">
        <v>0.38095238095238093</v>
      </c>
      <c r="G24" s="63">
        <v>0.30927835051546393</v>
      </c>
      <c r="H24" s="63">
        <v>0.19072164948453607</v>
      </c>
      <c r="I24" s="64">
        <v>8355</v>
      </c>
      <c r="J24" s="64">
        <v>-7875.6756756756758</v>
      </c>
      <c r="K24" s="63">
        <v>0.19047619047619047</v>
      </c>
      <c r="L24" s="63">
        <v>0.14285714285714285</v>
      </c>
      <c r="M24" s="63">
        <v>0.20103092783505155</v>
      </c>
      <c r="N24" s="63">
        <v>0.29381443298969073</v>
      </c>
      <c r="O24" s="63">
        <v>0.51282051282051277</v>
      </c>
      <c r="P24" s="63">
        <v>0.47368421052631576</v>
      </c>
      <c r="Q24" s="63">
        <v>0.28333333333333333</v>
      </c>
    </row>
    <row r="25" spans="1:17" x14ac:dyDescent="0.4">
      <c r="A25" s="65">
        <v>22</v>
      </c>
      <c r="B25" s="62">
        <v>-38.400000000000034</v>
      </c>
      <c r="C25" s="62">
        <v>-1.7454545454545469</v>
      </c>
      <c r="D25" s="67">
        <v>2.0909090909090908</v>
      </c>
      <c r="E25" s="63">
        <v>0.27272727272727271</v>
      </c>
      <c r="F25" s="63">
        <v>0.36363636363636365</v>
      </c>
      <c r="G25" s="63">
        <v>0.31219512195121951</v>
      </c>
      <c r="H25" s="63">
        <v>0.18536585365853658</v>
      </c>
      <c r="I25" s="64">
        <v>8457.8125</v>
      </c>
      <c r="J25" s="64">
        <v>-7871.0526315789475</v>
      </c>
      <c r="K25" s="63">
        <v>0.18181818181818182</v>
      </c>
      <c r="L25" s="63">
        <v>0.18181818181818182</v>
      </c>
      <c r="M25" s="63">
        <v>0.1951219512195122</v>
      </c>
      <c r="N25" s="63">
        <v>0.3073170731707317</v>
      </c>
      <c r="O25" s="63">
        <v>0.5</v>
      </c>
      <c r="P25" s="63">
        <v>0.46031746031746029</v>
      </c>
      <c r="Q25" s="63">
        <v>0.28125</v>
      </c>
    </row>
    <row r="26" spans="1:17" x14ac:dyDescent="0.4">
      <c r="A26" s="65">
        <v>23</v>
      </c>
      <c r="B26" s="62">
        <v>-37.600000000000037</v>
      </c>
      <c r="C26" s="62">
        <v>-1.6347826086956538</v>
      </c>
      <c r="D26" s="67">
        <v>2.0869565217391304</v>
      </c>
      <c r="E26" s="63">
        <v>0.2608695652173913</v>
      </c>
      <c r="F26" s="63">
        <v>0.34782608695652173</v>
      </c>
      <c r="G26" s="63">
        <v>0.30373831775700932</v>
      </c>
      <c r="H26" s="63">
        <v>0.1822429906542056</v>
      </c>
      <c r="I26" s="64">
        <v>8450.7692307692305</v>
      </c>
      <c r="J26" s="64">
        <v>-7720.5128205128203</v>
      </c>
      <c r="K26" s="63">
        <v>0.17391304347826086</v>
      </c>
      <c r="L26" s="63">
        <v>0.17391304347826086</v>
      </c>
      <c r="M26" s="63">
        <v>0.19158878504672897</v>
      </c>
      <c r="N26" s="63">
        <v>0.29906542056074764</v>
      </c>
      <c r="O26" s="63">
        <v>0.51219512195121952</v>
      </c>
      <c r="P26" s="63">
        <v>0.453125</v>
      </c>
      <c r="Q26" s="63">
        <v>0.27692307692307694</v>
      </c>
    </row>
    <row r="27" spans="1:17" x14ac:dyDescent="0.4">
      <c r="A27" s="65">
        <v>24</v>
      </c>
      <c r="B27" s="62">
        <v>-37.600000000000037</v>
      </c>
      <c r="C27" s="62">
        <v>-1.5666666666666682</v>
      </c>
      <c r="D27" s="67">
        <v>2.0833333333333335</v>
      </c>
      <c r="E27" s="63">
        <v>0.25</v>
      </c>
      <c r="F27" s="63">
        <v>0.33333333333333331</v>
      </c>
      <c r="G27" s="63">
        <v>0.30232558139534882</v>
      </c>
      <c r="H27" s="63">
        <v>0.18139534883720931</v>
      </c>
      <c r="I27" s="64">
        <v>8450.7692307692305</v>
      </c>
      <c r="J27" s="64">
        <v>-7720.5128205128203</v>
      </c>
      <c r="K27" s="63">
        <v>0.16666666666666666</v>
      </c>
      <c r="L27" s="63">
        <v>0.16666666666666666</v>
      </c>
      <c r="M27" s="63">
        <v>0.19069767441860466</v>
      </c>
      <c r="N27" s="63">
        <v>0.29767441860465116</v>
      </c>
      <c r="O27" s="63">
        <v>0.51219512195121952</v>
      </c>
      <c r="P27" s="63">
        <v>0.453125</v>
      </c>
      <c r="Q27" s="63">
        <v>0.27692307692307694</v>
      </c>
    </row>
    <row r="28" spans="1:17" x14ac:dyDescent="0.4">
      <c r="A28" s="65">
        <v>25</v>
      </c>
      <c r="B28" s="62">
        <v>-10.700000000000038</v>
      </c>
      <c r="C28" s="62">
        <v>-0.42800000000000155</v>
      </c>
      <c r="D28" s="67">
        <v>2.04</v>
      </c>
      <c r="E28" s="63">
        <v>0.28000000000000003</v>
      </c>
      <c r="F28" s="63">
        <v>0.32</v>
      </c>
      <c r="G28" s="63">
        <v>0.30630630630630629</v>
      </c>
      <c r="H28" s="63">
        <v>0.18018018018018017</v>
      </c>
      <c r="I28" s="64">
        <v>8664.7058823529405</v>
      </c>
      <c r="J28" s="64">
        <v>-7552.5</v>
      </c>
      <c r="K28" s="63">
        <v>0.16</v>
      </c>
      <c r="L28" s="63">
        <v>0.16</v>
      </c>
      <c r="M28" s="63">
        <v>0.19369369369369369</v>
      </c>
      <c r="N28" s="63">
        <v>0.29729729729729731</v>
      </c>
      <c r="O28" s="63">
        <v>0.53488372093023251</v>
      </c>
      <c r="P28" s="63">
        <v>0.45454545454545453</v>
      </c>
      <c r="Q28" s="63">
        <v>0.29411764705882354</v>
      </c>
    </row>
    <row r="29" spans="1:17" x14ac:dyDescent="0.4">
      <c r="A29" s="65">
        <v>26</v>
      </c>
      <c r="B29" s="62">
        <v>-2.6000000000000387</v>
      </c>
      <c r="C29" s="62">
        <v>-0.10000000000000149</v>
      </c>
      <c r="D29" s="67">
        <v>2.0384615384615383</v>
      </c>
      <c r="E29" s="63">
        <v>0.26923076923076922</v>
      </c>
      <c r="F29" s="63">
        <v>0.30769230769230771</v>
      </c>
      <c r="G29" s="63">
        <v>0.30869565217391304</v>
      </c>
      <c r="H29" s="63">
        <v>0.18260869565217391</v>
      </c>
      <c r="I29" s="64">
        <v>8577.4647887323936</v>
      </c>
      <c r="J29" s="64">
        <v>-7352.3809523809523</v>
      </c>
      <c r="K29" s="63">
        <v>0.15384615384615385</v>
      </c>
      <c r="L29" s="63">
        <v>0.15384615384615385</v>
      </c>
      <c r="M29" s="63">
        <v>0.19130434782608696</v>
      </c>
      <c r="N29" s="63">
        <v>0.29565217391304349</v>
      </c>
      <c r="O29" s="63">
        <v>0.54545454545454541</v>
      </c>
      <c r="P29" s="63">
        <v>0.44117647058823528</v>
      </c>
      <c r="Q29" s="63">
        <v>0.28169014084507044</v>
      </c>
    </row>
    <row r="30" spans="1:17" x14ac:dyDescent="0.4">
      <c r="A30" s="65">
        <v>27</v>
      </c>
      <c r="B30" s="62">
        <v>-34.100000000000037</v>
      </c>
      <c r="C30" s="62">
        <v>-1.2629629629629644</v>
      </c>
      <c r="D30" s="67">
        <v>2.074074074074074</v>
      </c>
      <c r="E30" s="63">
        <v>0.25925925925925924</v>
      </c>
      <c r="F30" s="63">
        <v>0.33333333333333331</v>
      </c>
      <c r="G30" s="63">
        <v>0.30379746835443039</v>
      </c>
      <c r="H30" s="63">
        <v>0.18565400843881857</v>
      </c>
      <c r="I30" s="64">
        <v>8513.8888888888887</v>
      </c>
      <c r="J30" s="64">
        <v>-7222.727272727273</v>
      </c>
      <c r="K30" s="63">
        <v>0.14814814814814814</v>
      </c>
      <c r="L30" s="63">
        <v>0.14814814814814814</v>
      </c>
      <c r="M30" s="63">
        <v>0.189873417721519</v>
      </c>
      <c r="N30" s="63">
        <v>0.29535864978902954</v>
      </c>
      <c r="O30" s="63">
        <v>0.55555555555555558</v>
      </c>
      <c r="P30" s="63">
        <v>0.42857142857142855</v>
      </c>
      <c r="Q30" s="63">
        <v>0.29166666666666669</v>
      </c>
    </row>
    <row r="31" spans="1:17" x14ac:dyDescent="0.4">
      <c r="A31" s="65">
        <v>28</v>
      </c>
      <c r="B31" s="62">
        <v>-16.100000000000037</v>
      </c>
      <c r="C31" s="62">
        <v>-0.57500000000000129</v>
      </c>
      <c r="D31" s="67">
        <v>2.0714285714285716</v>
      </c>
      <c r="E31" s="63">
        <v>0.25</v>
      </c>
      <c r="F31" s="63">
        <v>0.32142857142857145</v>
      </c>
      <c r="G31" s="63">
        <v>0.31020408163265306</v>
      </c>
      <c r="H31" s="63">
        <v>0.18775510204081633</v>
      </c>
      <c r="I31" s="64">
        <v>8447.3684210526317</v>
      </c>
      <c r="J31" s="64">
        <v>-7245.652173913043</v>
      </c>
      <c r="K31" s="63">
        <v>0.14285714285714285</v>
      </c>
      <c r="L31" s="63">
        <v>0.14285714285714285</v>
      </c>
      <c r="M31" s="63">
        <v>0.19591836734693877</v>
      </c>
      <c r="N31" s="63">
        <v>0.29387755102040819</v>
      </c>
      <c r="O31" s="63">
        <v>0.5625</v>
      </c>
      <c r="P31" s="63">
        <v>0.44444444444444442</v>
      </c>
      <c r="Q31" s="63">
        <v>0.30263157894736842</v>
      </c>
    </row>
    <row r="32" spans="1:17" x14ac:dyDescent="0.4">
      <c r="A32" s="65">
        <v>29</v>
      </c>
      <c r="B32" s="62">
        <v>40.799999999999962</v>
      </c>
      <c r="C32" s="62">
        <v>1.4068965517241365</v>
      </c>
      <c r="D32" s="67">
        <v>2.0344827586206895</v>
      </c>
      <c r="E32" s="63">
        <v>0.27586206896551724</v>
      </c>
      <c r="F32" s="63">
        <v>0.31034482758620691</v>
      </c>
      <c r="G32" s="63">
        <v>0.31872509960159362</v>
      </c>
      <c r="H32" s="63">
        <v>0.18326693227091634</v>
      </c>
      <c r="I32" s="64">
        <v>8617.5</v>
      </c>
      <c r="J32" s="64">
        <v>-7245.652173913043</v>
      </c>
      <c r="K32" s="63">
        <v>0.13793103448275862</v>
      </c>
      <c r="L32" s="63">
        <v>0.17241379310344829</v>
      </c>
      <c r="M32" s="63">
        <v>0.19920318725099601</v>
      </c>
      <c r="N32" s="63">
        <v>0.29482071713147412</v>
      </c>
      <c r="O32" s="63">
        <v>0.57999999999999996</v>
      </c>
      <c r="P32" s="63">
        <v>0.44594594594594594</v>
      </c>
      <c r="Q32" s="63">
        <v>0.32500000000000001</v>
      </c>
    </row>
    <row r="33" spans="1:17" x14ac:dyDescent="0.4">
      <c r="A33" s="65">
        <v>30</v>
      </c>
      <c r="B33" s="62">
        <v>63.499999999999957</v>
      </c>
      <c r="C33" s="62">
        <v>2.1166666666666654</v>
      </c>
      <c r="D33" s="67">
        <v>2</v>
      </c>
      <c r="E33" s="63">
        <v>0.3</v>
      </c>
      <c r="F33" s="63">
        <v>0.3</v>
      </c>
      <c r="G33" s="63">
        <v>0.32307692307692309</v>
      </c>
      <c r="H33" s="63">
        <v>0.18846153846153846</v>
      </c>
      <c r="I33" s="64">
        <v>8714.2857142857138</v>
      </c>
      <c r="J33" s="64">
        <v>-7412.2448979591836</v>
      </c>
      <c r="K33" s="63">
        <v>0.13333333333333333</v>
      </c>
      <c r="L33" s="63">
        <v>0.16666666666666666</v>
      </c>
      <c r="M33" s="63">
        <v>0.2</v>
      </c>
      <c r="N33" s="63">
        <v>0.30384615384615382</v>
      </c>
      <c r="O33" s="63">
        <v>0.57692307692307687</v>
      </c>
      <c r="P33" s="63">
        <v>0.45569620253164556</v>
      </c>
      <c r="Q33" s="63">
        <v>0.33333333333333331</v>
      </c>
    </row>
    <row r="34" spans="1:17" x14ac:dyDescent="0.4">
      <c r="A34" s="65">
        <v>31</v>
      </c>
      <c r="B34" s="62">
        <v>94.299999999999955</v>
      </c>
      <c r="C34" s="62">
        <v>3.0419354838709665</v>
      </c>
      <c r="D34" s="67">
        <v>1.967741935483871</v>
      </c>
      <c r="E34" s="63">
        <v>0.32258064516129031</v>
      </c>
      <c r="F34" s="63">
        <v>0.29032258064516131</v>
      </c>
      <c r="G34" s="63">
        <v>0.33210332103321033</v>
      </c>
      <c r="H34" s="63">
        <v>0.18819188191881919</v>
      </c>
      <c r="I34" s="64">
        <v>8625.5555555555547</v>
      </c>
      <c r="J34" s="64">
        <v>-7592.1568627450979</v>
      </c>
      <c r="K34" s="63">
        <v>0.12903225806451613</v>
      </c>
      <c r="L34" s="63">
        <v>0.16129032258064516</v>
      </c>
      <c r="M34" s="63">
        <v>0.21033210332103322</v>
      </c>
      <c r="N34" s="63">
        <v>0.30627306273062732</v>
      </c>
      <c r="O34" s="63">
        <v>0.59649122807017541</v>
      </c>
      <c r="P34" s="63">
        <v>0.45783132530120479</v>
      </c>
      <c r="Q34" s="63">
        <v>0.34444444444444444</v>
      </c>
    </row>
    <row r="35" spans="1:17" x14ac:dyDescent="0.4">
      <c r="A35" s="65">
        <v>32</v>
      </c>
      <c r="B35" s="62">
        <v>144.79999999999995</v>
      </c>
      <c r="C35" s="62">
        <v>4.5249999999999986</v>
      </c>
      <c r="D35" s="67">
        <v>1.9375</v>
      </c>
      <c r="E35" s="63">
        <v>0.34375</v>
      </c>
      <c r="F35" s="63">
        <v>0.28125</v>
      </c>
      <c r="G35" s="63">
        <v>0.33333333333333331</v>
      </c>
      <c r="H35" s="63">
        <v>0.18478260869565216</v>
      </c>
      <c r="I35" s="64">
        <v>8829.347826086956</v>
      </c>
      <c r="J35" s="64">
        <v>-7592.1568627450979</v>
      </c>
      <c r="K35" s="63">
        <v>0.125</v>
      </c>
      <c r="L35" s="63">
        <v>0.1875</v>
      </c>
      <c r="M35" s="63">
        <v>0.21014492753623187</v>
      </c>
      <c r="N35" s="63">
        <v>0.30434782608695654</v>
      </c>
      <c r="O35" s="63">
        <v>0.58620689655172409</v>
      </c>
      <c r="P35" s="63">
        <v>0.4642857142857143</v>
      </c>
      <c r="Q35" s="63">
        <v>0.34782608695652173</v>
      </c>
    </row>
    <row r="36" spans="1:17" x14ac:dyDescent="0.4">
      <c r="A36" s="65">
        <v>33</v>
      </c>
      <c r="B36" s="62">
        <v>153.39999999999995</v>
      </c>
      <c r="C36" s="62">
        <v>4.6484848484848467</v>
      </c>
      <c r="D36" s="67">
        <v>1.9393939393939394</v>
      </c>
      <c r="E36" s="63">
        <v>0.33333333333333331</v>
      </c>
      <c r="F36" s="63">
        <v>0.27272727272727271</v>
      </c>
      <c r="G36" s="63">
        <v>0.3298611111111111</v>
      </c>
      <c r="H36" s="63">
        <v>0.18402777777777779</v>
      </c>
      <c r="I36" s="64">
        <v>8754.7368421052633</v>
      </c>
      <c r="J36" s="64">
        <v>-7392.4528301886794</v>
      </c>
      <c r="K36" s="63">
        <v>0.12121212121212122</v>
      </c>
      <c r="L36" s="63">
        <v>0.18181818181818182</v>
      </c>
      <c r="M36" s="63">
        <v>0.21527777777777779</v>
      </c>
      <c r="N36" s="63">
        <v>0.30902777777777779</v>
      </c>
      <c r="O36" s="63">
        <v>0.58064516129032262</v>
      </c>
      <c r="P36" s="63">
        <v>0.449438202247191</v>
      </c>
      <c r="Q36" s="63">
        <v>0.35789473684210527</v>
      </c>
    </row>
    <row r="37" spans="1:17" x14ac:dyDescent="0.4">
      <c r="A37" s="65">
        <v>34</v>
      </c>
      <c r="B37" s="62">
        <v>178.09999999999994</v>
      </c>
      <c r="C37" s="62">
        <v>5.2382352941176453</v>
      </c>
      <c r="D37" s="67">
        <v>1.911764705882353</v>
      </c>
      <c r="E37" s="63">
        <v>0.35294117647058826</v>
      </c>
      <c r="F37" s="63">
        <v>0.26470588235294118</v>
      </c>
      <c r="G37" s="63">
        <v>0.33333333333333331</v>
      </c>
      <c r="H37" s="63">
        <v>0.19</v>
      </c>
      <c r="I37" s="64">
        <v>8783</v>
      </c>
      <c r="J37" s="64">
        <v>-7270.1754385964914</v>
      </c>
      <c r="K37" s="63">
        <v>0.11764705882352941</v>
      </c>
      <c r="L37" s="63">
        <v>0.17647058823529413</v>
      </c>
      <c r="M37" s="63">
        <v>0.21333333333333335</v>
      </c>
      <c r="N37" s="63">
        <v>0.32333333333333331</v>
      </c>
      <c r="O37" s="63">
        <v>0.578125</v>
      </c>
      <c r="P37" s="63">
        <v>0.44329896907216493</v>
      </c>
      <c r="Q37" s="63">
        <v>0.37</v>
      </c>
    </row>
    <row r="38" spans="1:17" x14ac:dyDescent="0.4">
      <c r="A38" s="65">
        <v>35</v>
      </c>
      <c r="B38" s="62">
        <v>171.89999999999995</v>
      </c>
      <c r="C38" s="62">
        <v>4.9114285714285701</v>
      </c>
      <c r="D38" s="67">
        <v>1.9142857142857144</v>
      </c>
      <c r="E38" s="63">
        <v>0.34285714285714286</v>
      </c>
      <c r="F38" s="63">
        <v>0.25714285714285712</v>
      </c>
      <c r="G38" s="63">
        <v>0.32580645161290323</v>
      </c>
      <c r="H38" s="63">
        <v>0.19354838709677419</v>
      </c>
      <c r="I38" s="64">
        <v>8775.2475247524744</v>
      </c>
      <c r="J38" s="64">
        <v>-7221.666666666667</v>
      </c>
      <c r="K38" s="63">
        <v>0.11428571428571428</v>
      </c>
      <c r="L38" s="63">
        <v>0.17142857142857143</v>
      </c>
      <c r="M38" s="63">
        <v>0.21612903225806451</v>
      </c>
      <c r="N38" s="63">
        <v>0.32258064516129031</v>
      </c>
      <c r="O38" s="63">
        <v>0.56716417910447758</v>
      </c>
      <c r="P38" s="63">
        <v>0.43</v>
      </c>
      <c r="Q38" s="63">
        <v>0.36633663366336633</v>
      </c>
    </row>
    <row r="39" spans="1:17" x14ac:dyDescent="0.4">
      <c r="A39" s="65">
        <v>36</v>
      </c>
      <c r="B39" s="62">
        <v>164.59999999999994</v>
      </c>
      <c r="C39" s="62">
        <v>4.5722222222222202</v>
      </c>
      <c r="D39" s="67">
        <v>1.9166666666666667</v>
      </c>
      <c r="E39" s="63">
        <v>0.33333333333333331</v>
      </c>
      <c r="F39" s="63">
        <v>0.25</v>
      </c>
      <c r="G39" s="63">
        <v>0.32075471698113206</v>
      </c>
      <c r="H39" s="63">
        <v>0.1918238993710692</v>
      </c>
      <c r="I39" s="64">
        <v>8727.4509803921574</v>
      </c>
      <c r="J39" s="64">
        <v>-7229.5081967213118</v>
      </c>
      <c r="K39" s="63">
        <v>0.1111111111111111</v>
      </c>
      <c r="L39" s="63">
        <v>0.16666666666666666</v>
      </c>
      <c r="M39" s="63">
        <v>0.21698113207547171</v>
      </c>
      <c r="N39" s="63">
        <v>0.330188679245283</v>
      </c>
      <c r="O39" s="63">
        <v>0.56521739130434778</v>
      </c>
      <c r="P39" s="63">
        <v>0.40952380952380951</v>
      </c>
      <c r="Q39" s="63">
        <v>0.36274509803921567</v>
      </c>
    </row>
    <row r="40" spans="1:17" x14ac:dyDescent="0.4">
      <c r="A40" s="65">
        <v>37</v>
      </c>
      <c r="B40" s="62">
        <v>156.59999999999994</v>
      </c>
      <c r="C40" s="62">
        <v>4.2324324324324305</v>
      </c>
      <c r="D40" s="67">
        <v>1.9189189189189189</v>
      </c>
      <c r="E40" s="63">
        <v>0.32432432432432434</v>
      </c>
      <c r="F40" s="63">
        <v>0.24324324324324326</v>
      </c>
      <c r="G40" s="63">
        <v>0.31804281345565749</v>
      </c>
      <c r="H40" s="63">
        <v>0.19266055045871561</v>
      </c>
      <c r="I40" s="64">
        <v>8625.961538461539</v>
      </c>
      <c r="J40" s="64">
        <v>-7252.3809523809523</v>
      </c>
      <c r="K40" s="63">
        <v>0.10810810810810811</v>
      </c>
      <c r="L40" s="63">
        <v>0.16216216216216217</v>
      </c>
      <c r="M40" s="63">
        <v>0.21100917431192662</v>
      </c>
      <c r="N40" s="63">
        <v>0.3363914373088685</v>
      </c>
      <c r="O40" s="63">
        <v>0.56521739130434778</v>
      </c>
      <c r="P40" s="63">
        <v>0.40909090909090912</v>
      </c>
      <c r="Q40" s="63">
        <v>0.36538461538461536</v>
      </c>
    </row>
    <row r="41" spans="1:17" x14ac:dyDescent="0.4">
      <c r="A41" s="65">
        <v>38</v>
      </c>
      <c r="B41" s="62">
        <v>110.89999999999993</v>
      </c>
      <c r="C41" s="62">
        <v>2.9184210526315773</v>
      </c>
      <c r="D41" s="67">
        <v>1.9473684210526316</v>
      </c>
      <c r="E41" s="63">
        <v>0.31578947368421051</v>
      </c>
      <c r="F41" s="63">
        <v>0.26315789473684209</v>
      </c>
      <c r="G41" s="63">
        <v>0.31736526946107785</v>
      </c>
      <c r="H41" s="63">
        <v>0.19461077844311378</v>
      </c>
      <c r="I41" s="64">
        <v>8576.4150943396235</v>
      </c>
      <c r="J41" s="64">
        <v>-7552.3076923076924</v>
      </c>
      <c r="K41" s="63">
        <v>0.13157894736842105</v>
      </c>
      <c r="L41" s="63">
        <v>0.15789473684210525</v>
      </c>
      <c r="M41" s="63">
        <v>0.21257485029940121</v>
      </c>
      <c r="N41" s="63">
        <v>0.33532934131736525</v>
      </c>
      <c r="O41" s="63">
        <v>0.56338028169014087</v>
      </c>
      <c r="P41" s="63">
        <v>0.4107142857142857</v>
      </c>
      <c r="Q41" s="63">
        <v>0.36792452830188677</v>
      </c>
    </row>
    <row r="42" spans="1:17" x14ac:dyDescent="0.4">
      <c r="A42" s="65">
        <v>39</v>
      </c>
      <c r="B42" s="62">
        <v>158.79999999999993</v>
      </c>
      <c r="C42" s="62">
        <v>4.0717948717948698</v>
      </c>
      <c r="D42" s="67">
        <v>1.9230769230769231</v>
      </c>
      <c r="E42" s="63">
        <v>0.33333333333333331</v>
      </c>
      <c r="F42" s="63">
        <v>0.25641025641025639</v>
      </c>
      <c r="G42" s="63">
        <v>0.31428571428571428</v>
      </c>
      <c r="H42" s="63">
        <v>0.19142857142857142</v>
      </c>
      <c r="I42" s="64">
        <v>8688.181818181818</v>
      </c>
      <c r="J42" s="64">
        <v>-7482.0895522388064</v>
      </c>
      <c r="K42" s="63">
        <v>0.12820512820512819</v>
      </c>
      <c r="L42" s="63">
        <v>0.15384615384615385</v>
      </c>
      <c r="M42" s="63">
        <v>0.22</v>
      </c>
      <c r="N42" s="63">
        <v>0.3342857142857143</v>
      </c>
      <c r="O42" s="63">
        <v>0.55844155844155841</v>
      </c>
      <c r="P42" s="63">
        <v>0.40170940170940173</v>
      </c>
      <c r="Q42" s="63">
        <v>0.36363636363636365</v>
      </c>
    </row>
    <row r="43" spans="1:17" x14ac:dyDescent="0.4">
      <c r="A43" s="65">
        <v>40</v>
      </c>
      <c r="B43" s="62">
        <v>109.59999999999992</v>
      </c>
      <c r="C43" s="62">
        <v>2.739999999999998</v>
      </c>
      <c r="D43" s="67">
        <v>1.95</v>
      </c>
      <c r="E43" s="63">
        <v>0.32500000000000001</v>
      </c>
      <c r="F43" s="63">
        <v>0.27500000000000002</v>
      </c>
      <c r="G43" s="63">
        <v>0.31179775280898875</v>
      </c>
      <c r="H43" s="63">
        <v>0.199438202247191</v>
      </c>
      <c r="I43" s="64">
        <v>8645.0450450450444</v>
      </c>
      <c r="J43" s="64">
        <v>-7635.211267605634</v>
      </c>
      <c r="K43" s="63">
        <v>0.15</v>
      </c>
      <c r="L43" s="63">
        <v>0.15</v>
      </c>
      <c r="M43" s="63">
        <v>0.21629213483146068</v>
      </c>
      <c r="N43" s="63">
        <v>0.3342696629213483</v>
      </c>
      <c r="O43" s="63">
        <v>0.55844155844155841</v>
      </c>
      <c r="P43" s="63">
        <v>0.3949579831932773</v>
      </c>
      <c r="Q43" s="63">
        <v>0.36036036036036034</v>
      </c>
    </row>
    <row r="44" spans="1:17" x14ac:dyDescent="0.4">
      <c r="A44" s="65">
        <v>41</v>
      </c>
      <c r="B44" s="62">
        <v>131.59999999999991</v>
      </c>
      <c r="C44" s="62">
        <v>3.2097560975609736</v>
      </c>
      <c r="D44" s="67">
        <v>1.9268292682926829</v>
      </c>
      <c r="E44" s="63">
        <v>0.34146341463414637</v>
      </c>
      <c r="F44" s="63">
        <v>0.26829268292682928</v>
      </c>
      <c r="G44" s="63">
        <v>0.31129476584022037</v>
      </c>
      <c r="H44" s="63">
        <v>0.20110192837465565</v>
      </c>
      <c r="I44" s="64">
        <v>8772.5663716814161</v>
      </c>
      <c r="J44" s="64">
        <v>-7690.41095890411</v>
      </c>
      <c r="K44" s="63">
        <v>0.14634146341463414</v>
      </c>
      <c r="L44" s="63">
        <v>0.14634146341463414</v>
      </c>
      <c r="M44" s="63">
        <v>0.21487603305785125</v>
      </c>
      <c r="N44" s="63">
        <v>0.33608815426997246</v>
      </c>
      <c r="O44" s="63">
        <v>0.5641025641025641</v>
      </c>
      <c r="P44" s="63">
        <v>0.39344262295081966</v>
      </c>
      <c r="Q44" s="63">
        <v>0.36283185840707965</v>
      </c>
    </row>
    <row r="45" spans="1:17" x14ac:dyDescent="0.4">
      <c r="A45" s="65">
        <v>42</v>
      </c>
      <c r="B45" s="62">
        <v>183.6999999999999</v>
      </c>
      <c r="C45" s="62">
        <v>4.3738095238095216</v>
      </c>
      <c r="D45" s="67">
        <v>1.9047619047619047</v>
      </c>
      <c r="E45" s="63">
        <v>0.35714285714285715</v>
      </c>
      <c r="F45" s="63">
        <v>0.26190476190476192</v>
      </c>
      <c r="G45" s="63">
        <v>0.31818181818181818</v>
      </c>
      <c r="H45" s="63">
        <v>0.19786096256684493</v>
      </c>
      <c r="I45" s="64">
        <v>8828.5714285714294</v>
      </c>
      <c r="J45" s="64">
        <v>-7629.72972972973</v>
      </c>
      <c r="K45" s="63">
        <v>0.14285714285714285</v>
      </c>
      <c r="L45" s="63">
        <v>0.16666666666666666</v>
      </c>
      <c r="M45" s="63">
        <v>0.22192513368983957</v>
      </c>
      <c r="N45" s="63">
        <v>0.33155080213903743</v>
      </c>
      <c r="O45" s="63">
        <v>0.57831325301204817</v>
      </c>
      <c r="P45" s="63">
        <v>0.40322580645161288</v>
      </c>
      <c r="Q45" s="63">
        <v>0.37815126050420167</v>
      </c>
    </row>
    <row r="46" spans="1:17" x14ac:dyDescent="0.4">
      <c r="A46" s="65">
        <v>43</v>
      </c>
      <c r="B46" s="62">
        <v>211.89999999999989</v>
      </c>
      <c r="C46" s="62">
        <v>4.9279069767441834</v>
      </c>
      <c r="D46" s="67">
        <v>1.8837209302325582</v>
      </c>
      <c r="E46" s="63">
        <v>0.37209302325581395</v>
      </c>
      <c r="F46" s="63">
        <v>0.2558139534883721</v>
      </c>
      <c r="G46" s="63">
        <v>0.32105263157894737</v>
      </c>
      <c r="H46" s="63">
        <v>0.2</v>
      </c>
      <c r="I46" s="64">
        <v>8802.4590163934427</v>
      </c>
      <c r="J46" s="64">
        <v>-7548.6842105263158</v>
      </c>
      <c r="K46" s="63">
        <v>0.13953488372093023</v>
      </c>
      <c r="L46" s="63">
        <v>0.16279069767441862</v>
      </c>
      <c r="M46" s="63">
        <v>0.22894736842105262</v>
      </c>
      <c r="N46" s="63">
        <v>0.32894736842105265</v>
      </c>
      <c r="O46" s="63">
        <v>0.57471264367816088</v>
      </c>
      <c r="P46" s="63">
        <v>0.4</v>
      </c>
      <c r="Q46" s="63">
        <v>0.39344262295081966</v>
      </c>
    </row>
    <row r="47" spans="1:17" x14ac:dyDescent="0.4">
      <c r="A47" s="65">
        <v>44</v>
      </c>
      <c r="B47" s="62">
        <v>232.7999999999999</v>
      </c>
      <c r="C47" s="62">
        <v>5.2909090909090883</v>
      </c>
      <c r="D47" s="67">
        <v>1.8636363636363635</v>
      </c>
      <c r="E47" s="63">
        <v>0.38636363636363635</v>
      </c>
      <c r="F47" s="63">
        <v>0.25</v>
      </c>
      <c r="G47" s="63">
        <v>0.32474226804123713</v>
      </c>
      <c r="H47" s="63">
        <v>0.19587628865979381</v>
      </c>
      <c r="I47" s="64">
        <v>8659.5238095238092</v>
      </c>
      <c r="J47" s="64">
        <v>-7548.6842105263158</v>
      </c>
      <c r="K47" s="63">
        <v>0.13636363636363635</v>
      </c>
      <c r="L47" s="63">
        <v>0.15909090909090909</v>
      </c>
      <c r="M47" s="63">
        <v>0.23195876288659795</v>
      </c>
      <c r="N47" s="63">
        <v>0.32731958762886598</v>
      </c>
      <c r="O47" s="63">
        <v>0.57777777777777772</v>
      </c>
      <c r="P47" s="63">
        <v>0.40157480314960631</v>
      </c>
      <c r="Q47" s="63">
        <v>0.38095238095238093</v>
      </c>
    </row>
    <row r="48" spans="1:17" x14ac:dyDescent="0.4">
      <c r="A48" s="65">
        <v>45</v>
      </c>
      <c r="B48" s="62">
        <v>214.39999999999989</v>
      </c>
      <c r="C48" s="62">
        <v>4.7644444444444423</v>
      </c>
      <c r="D48" s="67">
        <v>1.8888888888888888</v>
      </c>
      <c r="E48" s="63">
        <v>0.37777777777777777</v>
      </c>
      <c r="F48" s="63">
        <v>0.26666666666666666</v>
      </c>
      <c r="G48" s="63">
        <v>0.32151898734177214</v>
      </c>
      <c r="H48" s="63">
        <v>0.20253164556962025</v>
      </c>
      <c r="I48" s="64">
        <v>8654.3307086614168</v>
      </c>
      <c r="J48" s="64">
        <v>-7338.75</v>
      </c>
      <c r="K48" s="63">
        <v>0.13333333333333333</v>
      </c>
      <c r="L48" s="63">
        <v>0.15555555555555556</v>
      </c>
      <c r="M48" s="63">
        <v>0.23291139240506328</v>
      </c>
      <c r="N48" s="63">
        <v>0.32658227848101268</v>
      </c>
      <c r="O48" s="63">
        <v>0.56521739130434778</v>
      </c>
      <c r="P48" s="63">
        <v>0.40310077519379844</v>
      </c>
      <c r="Q48" s="63">
        <v>0.37795275590551181</v>
      </c>
    </row>
    <row r="49" spans="1:17" x14ac:dyDescent="0.4">
      <c r="A49" s="65">
        <v>46</v>
      </c>
      <c r="B49" s="62">
        <v>215.39999999999989</v>
      </c>
      <c r="C49" s="62">
        <v>4.6826086956521715</v>
      </c>
      <c r="D49" s="67">
        <v>1.8913043478260869</v>
      </c>
      <c r="E49" s="63">
        <v>0.36956521739130432</v>
      </c>
      <c r="F49" s="63">
        <v>0.2608695652173913</v>
      </c>
      <c r="G49" s="63">
        <v>0.31761786600496278</v>
      </c>
      <c r="H49" s="63">
        <v>0.20099255583126552</v>
      </c>
      <c r="I49" s="64">
        <v>8727.34375</v>
      </c>
      <c r="J49" s="64">
        <v>-7396.2962962962965</v>
      </c>
      <c r="K49" s="63">
        <v>0.13043478260869565</v>
      </c>
      <c r="L49" s="63">
        <v>0.15217391304347827</v>
      </c>
      <c r="M49" s="63">
        <v>0.23325062034739455</v>
      </c>
      <c r="N49" s="63">
        <v>0.32754342431761785</v>
      </c>
      <c r="O49" s="63">
        <v>0.55319148936170215</v>
      </c>
      <c r="P49" s="63">
        <v>0.40151515151515149</v>
      </c>
      <c r="Q49" s="63">
        <v>0.375</v>
      </c>
    </row>
    <row r="50" spans="1:17" x14ac:dyDescent="0.4">
      <c r="A50" s="65">
        <v>47</v>
      </c>
      <c r="B50" s="62">
        <v>259.19999999999987</v>
      </c>
      <c r="C50" s="62">
        <v>5.5148936170212739</v>
      </c>
      <c r="D50" s="67">
        <v>1.8723404255319149</v>
      </c>
      <c r="E50" s="63">
        <v>0.38297872340425532</v>
      </c>
      <c r="F50" s="63">
        <v>0.25531914893617019</v>
      </c>
      <c r="G50" s="63">
        <v>0.3235294117647059</v>
      </c>
      <c r="H50" s="63">
        <v>0.20098039215686275</v>
      </c>
      <c r="I50" s="64">
        <v>8787.121212121212</v>
      </c>
      <c r="J50" s="64">
        <v>-7452.4390243902435</v>
      </c>
      <c r="K50" s="63">
        <v>0.1276595744680851</v>
      </c>
      <c r="L50" s="63">
        <v>0.1702127659574468</v>
      </c>
      <c r="M50" s="63">
        <v>0.23774509803921567</v>
      </c>
      <c r="N50" s="63">
        <v>0.3235294117647059</v>
      </c>
      <c r="O50" s="63">
        <v>0.55670103092783507</v>
      </c>
      <c r="P50" s="63">
        <v>0.40151515151515149</v>
      </c>
      <c r="Q50" s="63">
        <v>0.37878787878787878</v>
      </c>
    </row>
    <row r="51" spans="1:17" x14ac:dyDescent="0.4">
      <c r="A51" s="65">
        <v>48</v>
      </c>
      <c r="B51" s="62">
        <v>272.09999999999985</v>
      </c>
      <c r="C51" s="62">
        <v>5.6687499999999966</v>
      </c>
      <c r="D51" s="67">
        <v>1.8541666666666667</v>
      </c>
      <c r="E51" s="63">
        <v>0.39583333333333331</v>
      </c>
      <c r="F51" s="63">
        <v>0.25</v>
      </c>
      <c r="G51" s="63">
        <v>0.32451923076923078</v>
      </c>
      <c r="H51" s="63">
        <v>0.19951923076923078</v>
      </c>
      <c r="I51" s="64">
        <v>8746.6666666666661</v>
      </c>
      <c r="J51" s="64">
        <v>-7555.4216867469877</v>
      </c>
      <c r="K51" s="63">
        <v>0.125</v>
      </c>
      <c r="L51" s="63">
        <v>0.16666666666666666</v>
      </c>
      <c r="M51" s="63">
        <v>0.23798076923076922</v>
      </c>
      <c r="N51" s="63">
        <v>0.31971153846153844</v>
      </c>
      <c r="O51" s="63">
        <v>0.55555555555555558</v>
      </c>
      <c r="P51" s="63">
        <v>0.40601503759398494</v>
      </c>
      <c r="Q51" s="63">
        <v>0.37777777777777777</v>
      </c>
    </row>
    <row r="52" spans="1:17" x14ac:dyDescent="0.4">
      <c r="A52" s="65">
        <v>49</v>
      </c>
      <c r="B52" s="62">
        <v>222.79999999999984</v>
      </c>
      <c r="C52" s="62">
        <v>4.5469387755102009</v>
      </c>
      <c r="D52" s="67">
        <v>1.8775510204081634</v>
      </c>
      <c r="E52" s="63">
        <v>0.38775510204081631</v>
      </c>
      <c r="F52" s="63">
        <v>0.26530612244897961</v>
      </c>
      <c r="G52" s="63">
        <v>0.32142857142857145</v>
      </c>
      <c r="H52" s="63">
        <v>0.20476190476190476</v>
      </c>
      <c r="I52" s="64">
        <v>8746.6666666666661</v>
      </c>
      <c r="J52" s="64">
        <v>-7620.9302325581393</v>
      </c>
      <c r="K52" s="63">
        <v>0.14285714285714285</v>
      </c>
      <c r="L52" s="63">
        <v>0.16326530612244897</v>
      </c>
      <c r="M52" s="63">
        <v>0.23571428571428571</v>
      </c>
      <c r="N52" s="63">
        <v>0.31904761904761902</v>
      </c>
      <c r="O52" s="63">
        <v>0.55555555555555558</v>
      </c>
      <c r="P52" s="63">
        <v>0.40298507462686567</v>
      </c>
      <c r="Q52" s="63">
        <v>0.37777777777777777</v>
      </c>
    </row>
    <row r="53" spans="1:17" x14ac:dyDescent="0.4">
      <c r="A53" s="65">
        <v>50</v>
      </c>
      <c r="B53" s="62">
        <v>248.89999999999984</v>
      </c>
      <c r="C53" s="62">
        <v>4.9779999999999971</v>
      </c>
      <c r="D53" s="67">
        <v>1.86</v>
      </c>
      <c r="E53" s="63">
        <v>0.4</v>
      </c>
      <c r="F53" s="63">
        <v>0.26</v>
      </c>
      <c r="G53" s="63">
        <v>0.32400932400932403</v>
      </c>
      <c r="H53" s="63">
        <v>0.20046620046620048</v>
      </c>
      <c r="I53" s="64">
        <v>8680.5755395683445</v>
      </c>
      <c r="J53" s="64">
        <v>-7620.9302325581393</v>
      </c>
      <c r="K53" s="63">
        <v>0.14000000000000001</v>
      </c>
      <c r="L53" s="63">
        <v>0.16</v>
      </c>
      <c r="M53" s="63">
        <v>0.23543123543123542</v>
      </c>
      <c r="N53" s="63">
        <v>0.32167832167832167</v>
      </c>
      <c r="O53" s="63">
        <v>0.5643564356435643</v>
      </c>
      <c r="P53" s="63">
        <v>0.40579710144927539</v>
      </c>
      <c r="Q53" s="63">
        <v>0.38848920863309355</v>
      </c>
    </row>
    <row r="54" spans="1:17" x14ac:dyDescent="0.4">
      <c r="A54" s="65">
        <v>51</v>
      </c>
      <c r="B54" s="62">
        <v>269.99999999999983</v>
      </c>
      <c r="C54" s="62">
        <v>5.2941176470588198</v>
      </c>
      <c r="D54" s="67">
        <v>1.8431372549019607</v>
      </c>
      <c r="E54" s="63">
        <v>0.41176470588235292</v>
      </c>
      <c r="F54" s="63">
        <v>0.25490196078431371</v>
      </c>
      <c r="G54" s="63">
        <v>0.32648401826484019</v>
      </c>
      <c r="H54" s="63">
        <v>0.20091324200913241</v>
      </c>
      <c r="I54" s="64">
        <v>8604.1958041958042</v>
      </c>
      <c r="J54" s="64">
        <v>-7609.090909090909</v>
      </c>
      <c r="K54" s="63">
        <v>0.13725490196078433</v>
      </c>
      <c r="L54" s="63">
        <v>0.15686274509803921</v>
      </c>
      <c r="M54" s="63">
        <v>0.23744292237442921</v>
      </c>
      <c r="N54" s="63">
        <v>0.32420091324200911</v>
      </c>
      <c r="O54" s="63">
        <v>0.56730769230769229</v>
      </c>
      <c r="P54" s="63">
        <v>0.40140845070422537</v>
      </c>
      <c r="Q54" s="63">
        <v>0.38461538461538464</v>
      </c>
    </row>
    <row r="55" spans="1:17" x14ac:dyDescent="0.4">
      <c r="A55" s="65">
        <v>52</v>
      </c>
      <c r="B55" s="62">
        <v>298.09999999999985</v>
      </c>
      <c r="C55" s="62">
        <v>5.7326923076923046</v>
      </c>
      <c r="D55" s="67">
        <v>1.8269230769230769</v>
      </c>
      <c r="E55" s="63">
        <v>0.42307692307692307</v>
      </c>
      <c r="F55" s="63">
        <v>0.25</v>
      </c>
      <c r="G55" s="63">
        <v>0.32885906040268459</v>
      </c>
      <c r="H55" s="63">
        <v>0.19910514541387025</v>
      </c>
      <c r="I55" s="64">
        <v>8548.299319727892</v>
      </c>
      <c r="J55" s="64">
        <v>-7658.4269662921351</v>
      </c>
      <c r="K55" s="63">
        <v>0.13461538461538461</v>
      </c>
      <c r="L55" s="63">
        <v>0.15384615384615385</v>
      </c>
      <c r="M55" s="63">
        <v>0.24161073825503357</v>
      </c>
      <c r="N55" s="63">
        <v>0.32214765100671139</v>
      </c>
      <c r="O55" s="63">
        <v>0.56481481481481477</v>
      </c>
      <c r="P55" s="63">
        <v>0.40972222222222221</v>
      </c>
      <c r="Q55" s="63">
        <v>0.37414965986394561</v>
      </c>
    </row>
    <row r="56" spans="1:17" x14ac:dyDescent="0.4">
      <c r="A56" s="65">
        <v>53</v>
      </c>
      <c r="B56" s="62">
        <v>324.29999999999984</v>
      </c>
      <c r="C56" s="62">
        <v>6.1188679245282991</v>
      </c>
      <c r="D56" s="67">
        <v>1.8113207547169812</v>
      </c>
      <c r="E56" s="63">
        <v>0.43396226415094341</v>
      </c>
      <c r="F56" s="63">
        <v>0.24528301886792453</v>
      </c>
      <c r="G56" s="63">
        <v>0.33039647577092512</v>
      </c>
      <c r="H56" s="63">
        <v>0.19823788546255505</v>
      </c>
      <c r="I56" s="64">
        <v>8543.3333333333339</v>
      </c>
      <c r="J56" s="64">
        <v>-7616.666666666667</v>
      </c>
      <c r="K56" s="63">
        <v>0.13207547169811321</v>
      </c>
      <c r="L56" s="63">
        <v>0.15094339622641509</v>
      </c>
      <c r="M56" s="63">
        <v>0.24449339207048459</v>
      </c>
      <c r="N56" s="63">
        <v>0.32158590308370044</v>
      </c>
      <c r="O56" s="63">
        <v>0.56756756756756754</v>
      </c>
      <c r="P56" s="63">
        <v>0.41095890410958902</v>
      </c>
      <c r="Q56" s="63">
        <v>0.38</v>
      </c>
    </row>
    <row r="57" spans="1:17" x14ac:dyDescent="0.4">
      <c r="A57" s="65">
        <v>54</v>
      </c>
      <c r="B57" s="62">
        <v>346.59999999999985</v>
      </c>
      <c r="C57" s="62">
        <v>6.4185185185185158</v>
      </c>
      <c r="D57" s="67">
        <v>1.7962962962962963</v>
      </c>
      <c r="E57" s="63">
        <v>0.44444444444444442</v>
      </c>
      <c r="F57" s="63">
        <v>0.24074074074074073</v>
      </c>
      <c r="G57" s="63">
        <v>0.33189655172413796</v>
      </c>
      <c r="H57" s="63">
        <v>0.1961206896551724</v>
      </c>
      <c r="I57" s="64">
        <v>8450</v>
      </c>
      <c r="J57" s="64">
        <v>-7617.5824175824173</v>
      </c>
      <c r="K57" s="63">
        <v>0.12962962962962962</v>
      </c>
      <c r="L57" s="63">
        <v>0.14814814814814814</v>
      </c>
      <c r="M57" s="63">
        <v>0.23922413793103448</v>
      </c>
      <c r="N57" s="63">
        <v>0.32112068965517243</v>
      </c>
      <c r="O57" s="63">
        <v>0.56756756756756754</v>
      </c>
      <c r="P57" s="63">
        <v>0.41610738255033558</v>
      </c>
      <c r="Q57" s="63">
        <v>0.37662337662337664</v>
      </c>
    </row>
    <row r="58" spans="1:17" x14ac:dyDescent="0.4">
      <c r="A58" s="65">
        <v>55</v>
      </c>
      <c r="B58" s="62">
        <v>295.09999999999985</v>
      </c>
      <c r="C58" s="62">
        <v>5.3654545454545426</v>
      </c>
      <c r="D58" s="67">
        <v>1.8181818181818181</v>
      </c>
      <c r="E58" s="63">
        <v>0.43636363636363634</v>
      </c>
      <c r="F58" s="63">
        <v>0.25454545454545452</v>
      </c>
      <c r="G58" s="63">
        <v>0.32835820895522388</v>
      </c>
      <c r="H58" s="63">
        <v>0.19829424307036247</v>
      </c>
      <c r="I58" s="64">
        <v>8450</v>
      </c>
      <c r="J58" s="64">
        <v>-7730.1075268817203</v>
      </c>
      <c r="K58" s="63">
        <v>0.14545454545454545</v>
      </c>
      <c r="L58" s="63">
        <v>0.14545454545454545</v>
      </c>
      <c r="M58" s="63">
        <v>0.23880597014925373</v>
      </c>
      <c r="N58" s="63">
        <v>0.31982942430703626</v>
      </c>
      <c r="O58" s="63">
        <v>0.5625</v>
      </c>
      <c r="P58" s="63">
        <v>0.41333333333333333</v>
      </c>
      <c r="Q58" s="63">
        <v>0.37662337662337664</v>
      </c>
    </row>
    <row r="59" spans="1:17" x14ac:dyDescent="0.4">
      <c r="A59" s="65">
        <v>56</v>
      </c>
      <c r="B59" s="62">
        <v>319.89999999999986</v>
      </c>
      <c r="C59" s="62">
        <v>5.7124999999999977</v>
      </c>
      <c r="D59" s="67">
        <v>1.8035714285714286</v>
      </c>
      <c r="E59" s="63">
        <v>0.44642857142857145</v>
      </c>
      <c r="F59" s="63">
        <v>0.25</v>
      </c>
      <c r="G59" s="63">
        <v>0.3277661795407098</v>
      </c>
      <c r="H59" s="63">
        <v>0.19624217118997914</v>
      </c>
      <c r="I59" s="64">
        <v>8468.7898089171977</v>
      </c>
      <c r="J59" s="64">
        <v>-7775.5319148936169</v>
      </c>
      <c r="K59" s="63">
        <v>0.14285714285714285</v>
      </c>
      <c r="L59" s="63">
        <v>0.14285714285714285</v>
      </c>
      <c r="M59" s="63">
        <v>0.23590814196242171</v>
      </c>
      <c r="N59" s="63">
        <v>0.32150313152400833</v>
      </c>
      <c r="O59" s="63">
        <v>0.5663716814159292</v>
      </c>
      <c r="P59" s="63">
        <v>0.40909090909090912</v>
      </c>
      <c r="Q59" s="63">
        <v>0.36942675159235666</v>
      </c>
    </row>
    <row r="60" spans="1:17" x14ac:dyDescent="0.4">
      <c r="A60" s="65">
        <v>57</v>
      </c>
      <c r="B60" s="62">
        <v>291.09999999999985</v>
      </c>
      <c r="C60" s="62">
        <v>5.1070175438596461</v>
      </c>
      <c r="D60" s="67">
        <v>1.8245614035087718</v>
      </c>
      <c r="E60" s="63">
        <v>0.43859649122807015</v>
      </c>
      <c r="F60" s="63">
        <v>0.26315789473684209</v>
      </c>
      <c r="G60" s="63">
        <v>0.3271604938271605</v>
      </c>
      <c r="H60" s="63">
        <v>0.19753086419753085</v>
      </c>
      <c r="I60" s="64">
        <v>8425.7861635220124</v>
      </c>
      <c r="J60" s="64">
        <v>-7863.541666666667</v>
      </c>
      <c r="K60" s="63">
        <v>0.14035087719298245</v>
      </c>
      <c r="L60" s="63">
        <v>0.14035087719298245</v>
      </c>
      <c r="M60" s="63">
        <v>0.23456790123456789</v>
      </c>
      <c r="N60" s="63">
        <v>0.31893004115226337</v>
      </c>
      <c r="O60" s="63">
        <v>0.57017543859649122</v>
      </c>
      <c r="P60" s="63">
        <v>0.41290322580645161</v>
      </c>
      <c r="Q60" s="63">
        <v>0.37106918238993708</v>
      </c>
    </row>
    <row r="61" spans="1:17" x14ac:dyDescent="0.4">
      <c r="A61" s="65">
        <v>58</v>
      </c>
      <c r="B61" s="62">
        <v>274.39999999999986</v>
      </c>
      <c r="C61" s="62">
        <v>4.7310344827586182</v>
      </c>
      <c r="D61" s="67">
        <v>1.8448275862068966</v>
      </c>
      <c r="E61" s="63">
        <v>0.43103448275862066</v>
      </c>
      <c r="F61" s="63">
        <v>0.27586206896551724</v>
      </c>
      <c r="G61" s="63">
        <v>0.32323232323232326</v>
      </c>
      <c r="H61" s="63">
        <v>0.19797979797979798</v>
      </c>
      <c r="I61" s="64">
        <v>8573.125</v>
      </c>
      <c r="J61" s="64">
        <v>-7840.8163265306121</v>
      </c>
      <c r="K61" s="63">
        <v>0.13793103448275862</v>
      </c>
      <c r="L61" s="63">
        <v>0.13793103448275862</v>
      </c>
      <c r="M61" s="63">
        <v>0.23232323232323232</v>
      </c>
      <c r="N61" s="63">
        <v>0.31919191919191919</v>
      </c>
      <c r="O61" s="63">
        <v>0.56521739130434778</v>
      </c>
      <c r="P61" s="63">
        <v>0.4050632911392405</v>
      </c>
      <c r="Q61" s="63">
        <v>0.36875000000000002</v>
      </c>
    </row>
    <row r="62" spans="1:17" x14ac:dyDescent="0.4">
      <c r="A62" s="65">
        <v>59</v>
      </c>
      <c r="B62" s="62">
        <v>261.39999999999986</v>
      </c>
      <c r="C62" s="62">
        <v>4.4305084745762686</v>
      </c>
      <c r="D62" s="67">
        <v>1.8644067796610169</v>
      </c>
      <c r="E62" s="63">
        <v>0.42372881355932202</v>
      </c>
      <c r="F62" s="63">
        <v>0.28813559322033899</v>
      </c>
      <c r="G62" s="63">
        <v>0.32007952286282304</v>
      </c>
      <c r="H62" s="63">
        <v>0.19483101391650098</v>
      </c>
      <c r="I62" s="64">
        <v>8544.0993788819869</v>
      </c>
      <c r="J62" s="64">
        <v>-7840.8163265306121</v>
      </c>
      <c r="K62" s="63">
        <v>0.13559322033898305</v>
      </c>
      <c r="L62" s="63">
        <v>0.13559322033898305</v>
      </c>
      <c r="M62" s="63">
        <v>0.23061630218687873</v>
      </c>
      <c r="N62" s="63">
        <v>0.31610337972166996</v>
      </c>
      <c r="O62" s="63">
        <v>0.56896551724137934</v>
      </c>
      <c r="P62" s="63">
        <v>0.40251572327044027</v>
      </c>
      <c r="Q62" s="63">
        <v>0.36645962732919257</v>
      </c>
    </row>
    <row r="63" spans="1:17" x14ac:dyDescent="0.4">
      <c r="A63" s="65">
        <v>60</v>
      </c>
      <c r="B63" s="62">
        <v>208.69999999999987</v>
      </c>
      <c r="C63" s="62">
        <v>3.4783333333333313</v>
      </c>
      <c r="D63" s="67">
        <v>1.8833333333333333</v>
      </c>
      <c r="E63" s="63">
        <v>0.41666666666666669</v>
      </c>
      <c r="F63" s="63">
        <v>0.3</v>
      </c>
      <c r="G63" s="63">
        <v>0.31692913385826771</v>
      </c>
      <c r="H63" s="63">
        <v>0.19685039370078741</v>
      </c>
      <c r="I63" s="64">
        <v>8544.0993788819869</v>
      </c>
      <c r="J63" s="64">
        <v>-7881</v>
      </c>
      <c r="K63" s="63">
        <v>0.15</v>
      </c>
      <c r="L63" s="63">
        <v>0.13333333333333333</v>
      </c>
      <c r="M63" s="63">
        <v>0.23228346456692914</v>
      </c>
      <c r="N63" s="63">
        <v>0.31496062992125984</v>
      </c>
      <c r="O63" s="63">
        <v>0.55932203389830504</v>
      </c>
      <c r="P63" s="63">
        <v>0.4</v>
      </c>
      <c r="Q63" s="63">
        <v>0.36645962732919257</v>
      </c>
    </row>
    <row r="64" spans="1:17" x14ac:dyDescent="0.4">
      <c r="A64" s="65">
        <v>61</v>
      </c>
      <c r="B64" s="62">
        <v>245.89999999999986</v>
      </c>
      <c r="C64" s="62">
        <v>4.0311475409836044</v>
      </c>
      <c r="D64" s="67">
        <v>1.8688524590163935</v>
      </c>
      <c r="E64" s="63">
        <v>0.42622950819672129</v>
      </c>
      <c r="F64" s="63">
        <v>0.29508196721311475</v>
      </c>
      <c r="G64" s="63">
        <v>0.31853281853281851</v>
      </c>
      <c r="H64" s="63">
        <v>0.19498069498069498</v>
      </c>
      <c r="I64" s="64">
        <v>8613.939393939394</v>
      </c>
      <c r="J64" s="64">
        <v>-7921.7821782178216</v>
      </c>
      <c r="K64" s="63">
        <v>0.14754098360655737</v>
      </c>
      <c r="L64" s="63">
        <v>0.13114754098360656</v>
      </c>
      <c r="M64" s="63">
        <v>0.2335907335907336</v>
      </c>
      <c r="N64" s="63">
        <v>0.31853281853281851</v>
      </c>
      <c r="O64" s="63">
        <v>0.55371900826446285</v>
      </c>
      <c r="P64" s="63">
        <v>0.40606060606060607</v>
      </c>
      <c r="Q64" s="63">
        <v>0.36969696969696969</v>
      </c>
    </row>
    <row r="65" spans="1:17" x14ac:dyDescent="0.4">
      <c r="A65" s="65">
        <v>62</v>
      </c>
      <c r="B65" s="62">
        <v>193.09999999999985</v>
      </c>
      <c r="C65" s="62">
        <v>3.1145161290322556</v>
      </c>
      <c r="D65" s="67">
        <v>1.8870967741935485</v>
      </c>
      <c r="E65" s="63">
        <v>0.41935483870967744</v>
      </c>
      <c r="F65" s="63">
        <v>0.30645161290322581</v>
      </c>
      <c r="G65" s="63">
        <v>0.31548757170172081</v>
      </c>
      <c r="H65" s="63">
        <v>0.19885277246653921</v>
      </c>
      <c r="I65" s="64">
        <v>8613.939393939394</v>
      </c>
      <c r="J65" s="64">
        <v>-7856.7307692307695</v>
      </c>
      <c r="K65" s="63">
        <v>0.16129032258064516</v>
      </c>
      <c r="L65" s="63">
        <v>0.12903225806451613</v>
      </c>
      <c r="M65" s="63">
        <v>0.23709369024856597</v>
      </c>
      <c r="N65" s="63">
        <v>0.31739961759082219</v>
      </c>
      <c r="O65" s="63">
        <v>0.54032258064516125</v>
      </c>
      <c r="P65" s="63">
        <v>0.40361445783132532</v>
      </c>
      <c r="Q65" s="63">
        <v>0.36969696969696969</v>
      </c>
    </row>
    <row r="66" spans="1:17" x14ac:dyDescent="0.4">
      <c r="A66" s="65">
        <v>63</v>
      </c>
      <c r="B66" s="62">
        <v>248.19999999999985</v>
      </c>
      <c r="C66" s="62">
        <v>3.9396825396825372</v>
      </c>
      <c r="D66" s="67">
        <v>1.873015873015873</v>
      </c>
      <c r="E66" s="63">
        <v>0.42857142857142855</v>
      </c>
      <c r="F66" s="63">
        <v>0.30158730158730157</v>
      </c>
      <c r="G66" s="63">
        <v>0.31970260223048325</v>
      </c>
      <c r="H66" s="63">
        <v>0.19330855018587362</v>
      </c>
      <c r="I66" s="64">
        <v>8547.0930232558148</v>
      </c>
      <c r="J66" s="64">
        <v>-7856.7307692307695</v>
      </c>
      <c r="K66" s="63">
        <v>0.15873015873015872</v>
      </c>
      <c r="L66" s="63">
        <v>0.12698412698412698</v>
      </c>
      <c r="M66" s="63">
        <v>0.2342007434944238</v>
      </c>
      <c r="N66" s="63">
        <v>0.31412639405204462</v>
      </c>
      <c r="O66" s="63">
        <v>0.54761904761904767</v>
      </c>
      <c r="P66" s="63">
        <v>0.40236686390532544</v>
      </c>
      <c r="Q66" s="63">
        <v>0.37790697674418605</v>
      </c>
    </row>
    <row r="67" spans="1:17" x14ac:dyDescent="0.4">
      <c r="A67" s="65">
        <v>64</v>
      </c>
      <c r="B67" s="62">
        <v>238.99999999999986</v>
      </c>
      <c r="C67" s="62">
        <v>3.7343749999999978</v>
      </c>
      <c r="D67" s="67">
        <v>1.875</v>
      </c>
      <c r="E67" s="63">
        <v>0.421875</v>
      </c>
      <c r="F67" s="63">
        <v>0.296875</v>
      </c>
      <c r="G67" s="63">
        <v>0.31926605504587158</v>
      </c>
      <c r="H67" s="63">
        <v>0.19266055045871561</v>
      </c>
      <c r="I67" s="64">
        <v>8517.8160919540223</v>
      </c>
      <c r="J67" s="64">
        <v>-7858.0952380952385</v>
      </c>
      <c r="K67" s="63">
        <v>0.15625</v>
      </c>
      <c r="L67" s="63">
        <v>0.125</v>
      </c>
      <c r="M67" s="63">
        <v>0.23302752293577983</v>
      </c>
      <c r="N67" s="63">
        <v>0.31559633027522938</v>
      </c>
      <c r="O67" s="63">
        <v>0.55118110236220474</v>
      </c>
      <c r="P67" s="63">
        <v>0.39534883720930231</v>
      </c>
      <c r="Q67" s="63">
        <v>0.37931034482758619</v>
      </c>
    </row>
    <row r="68" spans="1:17" x14ac:dyDescent="0.4">
      <c r="A68" s="65">
        <v>65</v>
      </c>
      <c r="B68" s="62">
        <v>274.49999999999989</v>
      </c>
      <c r="C68" s="62">
        <v>4.2230769230769214</v>
      </c>
      <c r="D68" s="67">
        <v>1.8615384615384616</v>
      </c>
      <c r="E68" s="63">
        <v>0.43076923076923079</v>
      </c>
      <c r="F68" s="63">
        <v>0.29230769230769232</v>
      </c>
      <c r="G68" s="63">
        <v>0.31907308377896615</v>
      </c>
      <c r="H68" s="63">
        <v>0.18894830659536541</v>
      </c>
      <c r="I68" s="64">
        <v>8533.5195530726251</v>
      </c>
      <c r="J68" s="64">
        <v>-7798.1132075471696</v>
      </c>
      <c r="K68" s="63">
        <v>0.15384615384615385</v>
      </c>
      <c r="L68" s="63">
        <v>0.12307692307692308</v>
      </c>
      <c r="M68" s="63">
        <v>0.22816399286987521</v>
      </c>
      <c r="N68" s="63">
        <v>0.3172905525846702</v>
      </c>
      <c r="O68" s="63">
        <v>0.5546875</v>
      </c>
      <c r="P68" s="63">
        <v>0.39325842696629215</v>
      </c>
      <c r="Q68" s="63">
        <v>0.37988826815642457</v>
      </c>
    </row>
    <row r="69" spans="1:17" x14ac:dyDescent="0.4">
      <c r="A69" s="65">
        <v>66</v>
      </c>
      <c r="B69" s="62">
        <v>287.09999999999991</v>
      </c>
      <c r="C69" s="62">
        <v>4.3499999999999988</v>
      </c>
      <c r="D69" s="67">
        <v>1.8636363636363635</v>
      </c>
      <c r="E69" s="63">
        <v>0.42424242424242425</v>
      </c>
      <c r="F69" s="63">
        <v>0.2878787878787879</v>
      </c>
      <c r="G69" s="63">
        <v>0.3193717277486911</v>
      </c>
      <c r="H69" s="63">
        <v>0.19022687609075042</v>
      </c>
      <c r="I69" s="64">
        <v>8550.8196721311469</v>
      </c>
      <c r="J69" s="64">
        <v>-7733.9449541284403</v>
      </c>
      <c r="K69" s="63">
        <v>0.15151515151515152</v>
      </c>
      <c r="L69" s="63">
        <v>0.12121212121212122</v>
      </c>
      <c r="M69" s="63">
        <v>0.2268760907504363</v>
      </c>
      <c r="N69" s="63">
        <v>0.32286212914485168</v>
      </c>
      <c r="O69" s="63">
        <v>0.55384615384615388</v>
      </c>
      <c r="P69" s="63">
        <v>0.39459459459459462</v>
      </c>
      <c r="Q69" s="63">
        <v>0.37704918032786883</v>
      </c>
    </row>
    <row r="70" spans="1:17" x14ac:dyDescent="0.4">
      <c r="A70" s="65">
        <v>67</v>
      </c>
      <c r="B70" s="62">
        <v>315.7999999999999</v>
      </c>
      <c r="C70" s="62">
        <v>4.7134328358208943</v>
      </c>
      <c r="D70" s="67">
        <v>1.8507462686567164</v>
      </c>
      <c r="E70" s="63">
        <v>0.43283582089552236</v>
      </c>
      <c r="F70" s="63">
        <v>0.28358208955223879</v>
      </c>
      <c r="G70" s="63">
        <v>0.31896551724137934</v>
      </c>
      <c r="H70" s="63">
        <v>0.18965517241379309</v>
      </c>
      <c r="I70" s="64">
        <v>8629.72972972973</v>
      </c>
      <c r="J70" s="64">
        <v>-7733.636363636364</v>
      </c>
      <c r="K70" s="63">
        <v>0.14925373134328357</v>
      </c>
      <c r="L70" s="63">
        <v>0.11940298507462686</v>
      </c>
      <c r="M70" s="63">
        <v>0.22758620689655173</v>
      </c>
      <c r="N70" s="63">
        <v>0.32241379310344825</v>
      </c>
      <c r="O70" s="63">
        <v>0.55303030303030298</v>
      </c>
      <c r="P70" s="63">
        <v>0.39572192513368987</v>
      </c>
      <c r="Q70" s="63">
        <v>0.38378378378378381</v>
      </c>
    </row>
    <row r="71" spans="1:17" x14ac:dyDescent="0.4">
      <c r="A71" s="65">
        <v>68</v>
      </c>
      <c r="B71" s="62">
        <v>350.2999999999999</v>
      </c>
      <c r="C71" s="62">
        <v>5.1514705882352922</v>
      </c>
      <c r="D71" s="67">
        <v>1.838235294117647</v>
      </c>
      <c r="E71" s="63">
        <v>0.44117647058823528</v>
      </c>
      <c r="F71" s="63">
        <v>0.27941176470588236</v>
      </c>
      <c r="G71" s="63">
        <v>0.31972789115646261</v>
      </c>
      <c r="H71" s="63">
        <v>0.18877551020408162</v>
      </c>
      <c r="I71" s="64">
        <v>8719.6808510638293</v>
      </c>
      <c r="J71" s="64">
        <v>-7736.0360360360364</v>
      </c>
      <c r="K71" s="63">
        <v>0.14705882352941177</v>
      </c>
      <c r="L71" s="63">
        <v>0.11764705882352941</v>
      </c>
      <c r="M71" s="63">
        <v>0.22789115646258504</v>
      </c>
      <c r="N71" s="63">
        <v>0.32142857142857145</v>
      </c>
      <c r="O71" s="63">
        <v>0.55223880597014929</v>
      </c>
      <c r="P71" s="63">
        <v>0.3968253968253968</v>
      </c>
      <c r="Q71" s="63">
        <v>0.38297872340425532</v>
      </c>
    </row>
    <row r="72" spans="1:17" x14ac:dyDescent="0.4">
      <c r="A72" s="65">
        <v>69</v>
      </c>
      <c r="B72" s="62">
        <v>384.09999999999991</v>
      </c>
      <c r="C72" s="62">
        <v>5.5666666666666655</v>
      </c>
      <c r="D72" s="67">
        <v>1.826086956521739</v>
      </c>
      <c r="E72" s="63">
        <v>0.44927536231884058</v>
      </c>
      <c r="F72" s="63">
        <v>0.27536231884057971</v>
      </c>
      <c r="G72" s="63">
        <v>0.32328308207705192</v>
      </c>
      <c r="H72" s="63">
        <v>0.18592964824120603</v>
      </c>
      <c r="I72" s="64">
        <v>8712.953367875647</v>
      </c>
      <c r="J72" s="64">
        <v>-7736.0360360360364</v>
      </c>
      <c r="K72" s="63">
        <v>0.14492753623188406</v>
      </c>
      <c r="L72" s="63">
        <v>0.11594202898550725</v>
      </c>
      <c r="M72" s="63">
        <v>0.22613065326633167</v>
      </c>
      <c r="N72" s="63">
        <v>0.32160804020100503</v>
      </c>
      <c r="O72" s="63">
        <v>0.54814814814814816</v>
      </c>
      <c r="P72" s="63">
        <v>0.40625</v>
      </c>
      <c r="Q72" s="63">
        <v>0.38341968911917096</v>
      </c>
    </row>
    <row r="73" spans="1:17" x14ac:dyDescent="0.4">
      <c r="A73" s="65">
        <v>70</v>
      </c>
      <c r="B73" s="62">
        <v>390.59999999999991</v>
      </c>
      <c r="C73" s="62">
        <v>5.5799999999999983</v>
      </c>
      <c r="D73" s="67">
        <v>1.8285714285714285</v>
      </c>
      <c r="E73" s="63">
        <v>0.44285714285714284</v>
      </c>
      <c r="F73" s="63">
        <v>0.27142857142857141</v>
      </c>
      <c r="G73" s="63">
        <v>0.32396694214876032</v>
      </c>
      <c r="H73" s="63">
        <v>0.18512396694214875</v>
      </c>
      <c r="I73" s="64">
        <v>8686.224489795919</v>
      </c>
      <c r="J73" s="64">
        <v>-7770.5357142857147</v>
      </c>
      <c r="K73" s="63">
        <v>0.14285714285714285</v>
      </c>
      <c r="L73" s="63">
        <v>0.11428571428571428</v>
      </c>
      <c r="M73" s="63">
        <v>0.22644628099173553</v>
      </c>
      <c r="N73" s="63">
        <v>0.31900826446280994</v>
      </c>
      <c r="O73" s="63">
        <v>0.55474452554744524</v>
      </c>
      <c r="P73" s="63">
        <v>0.40414507772020725</v>
      </c>
      <c r="Q73" s="63">
        <v>0.37755102040816324</v>
      </c>
    </row>
    <row r="74" spans="1:17" x14ac:dyDescent="0.4">
      <c r="A74" s="65">
        <v>71</v>
      </c>
      <c r="B74" s="62">
        <v>387.49999999999989</v>
      </c>
      <c r="C74" s="62">
        <v>5.4577464788732382</v>
      </c>
      <c r="D74" s="67">
        <v>1.8309859154929577</v>
      </c>
      <c r="E74" s="63">
        <v>0.43661971830985913</v>
      </c>
      <c r="F74" s="63">
        <v>0.26760563380281688</v>
      </c>
      <c r="G74" s="63">
        <v>0.32242225859247137</v>
      </c>
      <c r="H74" s="63">
        <v>0.18657937806873978</v>
      </c>
      <c r="I74" s="64">
        <v>8674.6192893401021</v>
      </c>
      <c r="J74" s="64">
        <v>-7721.9298245614036</v>
      </c>
      <c r="K74" s="63">
        <v>0.14084507042253522</v>
      </c>
      <c r="L74" s="63">
        <v>0.11267605633802817</v>
      </c>
      <c r="M74" s="63">
        <v>0.22585924713584288</v>
      </c>
      <c r="N74" s="63">
        <v>0.31914893617021278</v>
      </c>
      <c r="O74" s="63">
        <v>0.55072463768115942</v>
      </c>
      <c r="P74" s="63">
        <v>0.4</v>
      </c>
      <c r="Q74" s="63">
        <v>0.37563451776649748</v>
      </c>
    </row>
    <row r="75" spans="1:17" x14ac:dyDescent="0.4">
      <c r="A75" s="65">
        <v>72</v>
      </c>
      <c r="B75" s="62">
        <v>361.39999999999986</v>
      </c>
      <c r="C75" s="62">
        <v>5.0194444444444422</v>
      </c>
      <c r="D75" s="67">
        <v>1.8472222222222223</v>
      </c>
      <c r="E75" s="63">
        <v>0.43055555555555558</v>
      </c>
      <c r="F75" s="63">
        <v>0.27777777777777779</v>
      </c>
      <c r="G75" s="63">
        <v>0.32090761750405189</v>
      </c>
      <c r="H75" s="63">
        <v>0.18638573743922204</v>
      </c>
      <c r="I75" s="64">
        <v>8663.1313131313127</v>
      </c>
      <c r="J75" s="64">
        <v>-7759.130434782609</v>
      </c>
      <c r="K75" s="63">
        <v>0.1388888888888889</v>
      </c>
      <c r="L75" s="63">
        <v>0.1111111111111111</v>
      </c>
      <c r="M75" s="63">
        <v>0.22528363047001621</v>
      </c>
      <c r="N75" s="63">
        <v>0.31604538087520262</v>
      </c>
      <c r="O75" s="63">
        <v>0.5539568345323741</v>
      </c>
      <c r="P75" s="63">
        <v>0.4</v>
      </c>
      <c r="Q75" s="63">
        <v>0.37878787878787878</v>
      </c>
    </row>
    <row r="76" spans="1:17" x14ac:dyDescent="0.4">
      <c r="A76" s="65">
        <v>73</v>
      </c>
      <c r="B76" s="62">
        <v>380.79999999999984</v>
      </c>
      <c r="C76" s="62">
        <v>5.2164383561643817</v>
      </c>
      <c r="D76" s="67">
        <v>1.8356164383561644</v>
      </c>
      <c r="E76" s="63">
        <v>0.43835616438356162</v>
      </c>
      <c r="F76" s="63">
        <v>0.27397260273972601</v>
      </c>
      <c r="G76" s="63">
        <v>0.32102728731942215</v>
      </c>
      <c r="H76" s="63">
        <v>0.18619582664526485</v>
      </c>
      <c r="I76" s="64">
        <v>8663</v>
      </c>
      <c r="J76" s="64">
        <v>-7725.8620689655172</v>
      </c>
      <c r="K76" s="63">
        <v>0.13698630136986301</v>
      </c>
      <c r="L76" s="63">
        <v>0.1095890410958904</v>
      </c>
      <c r="M76" s="63">
        <v>0.22792937399678972</v>
      </c>
      <c r="N76" s="63">
        <v>0.3146067415730337</v>
      </c>
      <c r="O76" s="63">
        <v>0.54929577464788737</v>
      </c>
      <c r="P76" s="63">
        <v>0.39795918367346939</v>
      </c>
      <c r="Q76" s="63">
        <v>0.38</v>
      </c>
    </row>
    <row r="77" spans="1:17" x14ac:dyDescent="0.4">
      <c r="A77" s="65">
        <v>74</v>
      </c>
      <c r="B77" s="62">
        <v>327.39999999999986</v>
      </c>
      <c r="C77" s="62">
        <v>4.4243243243243224</v>
      </c>
      <c r="D77" s="67">
        <v>1.8513513513513513</v>
      </c>
      <c r="E77" s="63">
        <v>0.43243243243243246</v>
      </c>
      <c r="F77" s="63">
        <v>0.28378378378378377</v>
      </c>
      <c r="G77" s="63">
        <v>0.31847133757961782</v>
      </c>
      <c r="H77" s="63">
        <v>0.18949044585987262</v>
      </c>
      <c r="I77" s="64">
        <v>8663</v>
      </c>
      <c r="J77" s="64">
        <v>-7815.9663865546217</v>
      </c>
      <c r="K77" s="63">
        <v>0.14864864864864866</v>
      </c>
      <c r="L77" s="63">
        <v>0.10810810810810811</v>
      </c>
      <c r="M77" s="63">
        <v>0.22770700636942676</v>
      </c>
      <c r="N77" s="63">
        <v>0.31210191082802546</v>
      </c>
      <c r="O77" s="63">
        <v>0.54545454545454541</v>
      </c>
      <c r="P77" s="63">
        <v>0.39795918367346939</v>
      </c>
      <c r="Q77" s="63">
        <v>0.38</v>
      </c>
    </row>
    <row r="78" spans="1:17" x14ac:dyDescent="0.4">
      <c r="A78" s="65">
        <v>75</v>
      </c>
      <c r="B78" s="62">
        <v>336.79999999999984</v>
      </c>
      <c r="C78" s="62">
        <v>4.4906666666666641</v>
      </c>
      <c r="D78" s="67">
        <v>1.8533333333333333</v>
      </c>
      <c r="E78" s="63">
        <v>0.42666666666666669</v>
      </c>
      <c r="F78" s="63">
        <v>0.28000000000000003</v>
      </c>
      <c r="G78" s="63">
        <v>0.31818181818181818</v>
      </c>
      <c r="H78" s="63">
        <v>0.18965517241379309</v>
      </c>
      <c r="I78" s="64">
        <v>8712.3152709359601</v>
      </c>
      <c r="J78" s="64">
        <v>-7829.7520661157023</v>
      </c>
      <c r="K78" s="63">
        <v>0.14666666666666667</v>
      </c>
      <c r="L78" s="63">
        <v>0.10666666666666667</v>
      </c>
      <c r="M78" s="63">
        <v>0.2304075235109718</v>
      </c>
      <c r="N78" s="63">
        <v>0.30877742946708464</v>
      </c>
      <c r="O78" s="63">
        <v>0.5374149659863946</v>
      </c>
      <c r="P78" s="63">
        <v>0.39593908629441626</v>
      </c>
      <c r="Q78" s="63">
        <v>0.38423645320197042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041E3B-8C72-46E0-A784-A59FBF9D4827}">
  <sheetPr codeName="Sheet10"/>
  <dimension ref="A1:Q80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126</v>
      </c>
      <c r="B1" s="66" t="s">
        <v>126</v>
      </c>
      <c r="C1" s="66" t="s">
        <v>126</v>
      </c>
      <c r="D1" s="67" t="s">
        <v>126</v>
      </c>
      <c r="E1" s="66" t="s">
        <v>126</v>
      </c>
      <c r="F1" s="66" t="s">
        <v>126</v>
      </c>
      <c r="G1" s="66" t="s">
        <v>126</v>
      </c>
      <c r="H1" s="66" t="s">
        <v>126</v>
      </c>
      <c r="I1" s="66" t="s">
        <v>126</v>
      </c>
      <c r="J1" s="66" t="s">
        <v>126</v>
      </c>
      <c r="K1" s="66" t="s">
        <v>126</v>
      </c>
      <c r="L1" s="66" t="s">
        <v>126</v>
      </c>
      <c r="M1" s="66" t="s">
        <v>126</v>
      </c>
      <c r="N1" s="66" t="s">
        <v>126</v>
      </c>
      <c r="O1" s="66" t="s">
        <v>126</v>
      </c>
      <c r="P1" s="66" t="s">
        <v>126</v>
      </c>
      <c r="Q1" s="66" t="s">
        <v>126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50.2</v>
      </c>
      <c r="C4" s="62">
        <v>50.2</v>
      </c>
      <c r="D4" s="67">
        <v>1</v>
      </c>
      <c r="E4" s="63">
        <v>1</v>
      </c>
      <c r="F4" s="63">
        <v>0</v>
      </c>
      <c r="G4" s="63">
        <v>0.4</v>
      </c>
      <c r="H4" s="63">
        <v>0.2</v>
      </c>
      <c r="I4" s="64">
        <v>10925</v>
      </c>
      <c r="J4" s="64">
        <v>-1500</v>
      </c>
      <c r="K4" s="63">
        <v>0</v>
      </c>
      <c r="L4" s="63">
        <v>1</v>
      </c>
      <c r="M4" s="63">
        <v>0.3</v>
      </c>
      <c r="N4" s="63">
        <v>0.1</v>
      </c>
      <c r="O4" s="63">
        <v>1</v>
      </c>
      <c r="P4" s="63">
        <v>0</v>
      </c>
      <c r="Q4" s="63">
        <v>0.25</v>
      </c>
    </row>
    <row r="5" spans="1:17" x14ac:dyDescent="0.4">
      <c r="A5" s="65">
        <v>2</v>
      </c>
      <c r="B5" s="62">
        <v>14.400000000000006</v>
      </c>
      <c r="C5" s="62">
        <v>7.2000000000000028</v>
      </c>
      <c r="D5" s="67">
        <v>2</v>
      </c>
      <c r="E5" s="63">
        <v>0.5</v>
      </c>
      <c r="F5" s="63">
        <v>0.5</v>
      </c>
      <c r="G5" s="63">
        <v>0.26315789473684209</v>
      </c>
      <c r="H5" s="63">
        <v>0.15789473684210525</v>
      </c>
      <c r="I5" s="64">
        <v>9260</v>
      </c>
      <c r="J5" s="64">
        <v>-5000</v>
      </c>
      <c r="K5" s="63">
        <v>0</v>
      </c>
      <c r="L5" s="63">
        <v>0.5</v>
      </c>
      <c r="M5" s="63">
        <v>0.36842105263157893</v>
      </c>
      <c r="N5" s="63">
        <v>0.15789473684210525</v>
      </c>
      <c r="O5" s="63">
        <v>0.5714285714285714</v>
      </c>
      <c r="P5" s="63">
        <v>0</v>
      </c>
      <c r="Q5" s="63">
        <v>0.2</v>
      </c>
    </row>
    <row r="6" spans="1:17" x14ac:dyDescent="0.4">
      <c r="A6" s="65">
        <v>3</v>
      </c>
      <c r="B6" s="62">
        <v>40.400000000000006</v>
      </c>
      <c r="C6" s="62">
        <v>13.466666666666669</v>
      </c>
      <c r="D6" s="67">
        <v>1.6666666666666667</v>
      </c>
      <c r="E6" s="63">
        <v>0.66666666666666663</v>
      </c>
      <c r="F6" s="63">
        <v>0.33333333333333331</v>
      </c>
      <c r="G6" s="63">
        <v>0.34615384615384615</v>
      </c>
      <c r="H6" s="63">
        <v>0.11538461538461539</v>
      </c>
      <c r="I6" s="64">
        <v>7488.8888888888887</v>
      </c>
      <c r="J6" s="64">
        <v>-5000</v>
      </c>
      <c r="K6" s="63">
        <v>0</v>
      </c>
      <c r="L6" s="63">
        <v>0.33333333333333331</v>
      </c>
      <c r="M6" s="63">
        <v>0.38461538461538464</v>
      </c>
      <c r="N6" s="63">
        <v>0.11538461538461539</v>
      </c>
      <c r="O6" s="63">
        <v>0.7</v>
      </c>
      <c r="P6" s="63">
        <v>0</v>
      </c>
      <c r="Q6" s="63">
        <v>0.44444444444444442</v>
      </c>
    </row>
    <row r="7" spans="1:17" x14ac:dyDescent="0.4">
      <c r="A7" s="65">
        <v>4</v>
      </c>
      <c r="B7" s="62">
        <v>101.60000000000001</v>
      </c>
      <c r="C7" s="62">
        <v>25.400000000000002</v>
      </c>
      <c r="D7" s="67">
        <v>1.5</v>
      </c>
      <c r="E7" s="63">
        <v>0.75</v>
      </c>
      <c r="F7" s="63">
        <v>0.25</v>
      </c>
      <c r="G7" s="63">
        <v>0.43243243243243246</v>
      </c>
      <c r="H7" s="63">
        <v>8.1081081081081086E-2</v>
      </c>
      <c r="I7" s="64">
        <v>7600</v>
      </c>
      <c r="J7" s="64">
        <v>-5000</v>
      </c>
      <c r="K7" s="63">
        <v>0</v>
      </c>
      <c r="L7" s="63">
        <v>0.25</v>
      </c>
      <c r="M7" s="63">
        <v>0.35135135135135137</v>
      </c>
      <c r="N7" s="63">
        <v>0.1891891891891892</v>
      </c>
      <c r="O7" s="63">
        <v>0.69230769230769229</v>
      </c>
      <c r="P7" s="63">
        <v>0.5714285714285714</v>
      </c>
      <c r="Q7" s="63">
        <v>0.5</v>
      </c>
    </row>
    <row r="8" spans="1:17" x14ac:dyDescent="0.4">
      <c r="A8" s="65">
        <v>5</v>
      </c>
      <c r="B8" s="62">
        <v>99.9</v>
      </c>
      <c r="C8" s="62">
        <v>19.98</v>
      </c>
      <c r="D8" s="67">
        <v>1.6</v>
      </c>
      <c r="E8" s="63">
        <v>0.6</v>
      </c>
      <c r="F8" s="63">
        <v>0.2</v>
      </c>
      <c r="G8" s="63">
        <v>0.40909090909090912</v>
      </c>
      <c r="H8" s="63">
        <v>9.0909090909090912E-2</v>
      </c>
      <c r="I8" s="64">
        <v>7116.666666666667</v>
      </c>
      <c r="J8" s="64">
        <v>-5050</v>
      </c>
      <c r="K8" s="63">
        <v>0</v>
      </c>
      <c r="L8" s="63">
        <v>0.2</v>
      </c>
      <c r="M8" s="63">
        <v>0.36363636363636365</v>
      </c>
      <c r="N8" s="63">
        <v>0.18181818181818182</v>
      </c>
      <c r="O8" s="63">
        <v>0.6875</v>
      </c>
      <c r="P8" s="63">
        <v>0.5</v>
      </c>
      <c r="Q8" s="63">
        <v>0.44444444444444442</v>
      </c>
    </row>
    <row r="9" spans="1:17" x14ac:dyDescent="0.4">
      <c r="A9" s="65">
        <v>6</v>
      </c>
      <c r="B9" s="62">
        <v>85.5</v>
      </c>
      <c r="C9" s="62">
        <v>14.25</v>
      </c>
      <c r="D9" s="67">
        <v>1.8333333333333333</v>
      </c>
      <c r="E9" s="63">
        <v>0.5</v>
      </c>
      <c r="F9" s="63">
        <v>0.33333333333333331</v>
      </c>
      <c r="G9" s="63">
        <v>0.37735849056603776</v>
      </c>
      <c r="H9" s="63">
        <v>0.13207547169811321</v>
      </c>
      <c r="I9" s="64">
        <v>7390</v>
      </c>
      <c r="J9" s="64">
        <v>-4828.5714285714284</v>
      </c>
      <c r="K9" s="63">
        <v>0</v>
      </c>
      <c r="L9" s="63">
        <v>0.16666666666666666</v>
      </c>
      <c r="M9" s="63">
        <v>0.35849056603773582</v>
      </c>
      <c r="N9" s="63">
        <v>0.15094339622641509</v>
      </c>
      <c r="O9" s="63">
        <v>0.68421052631578949</v>
      </c>
      <c r="P9" s="63">
        <v>0.5</v>
      </c>
      <c r="Q9" s="63">
        <v>0.4</v>
      </c>
    </row>
    <row r="10" spans="1:17" x14ac:dyDescent="0.4">
      <c r="A10" s="65">
        <v>7</v>
      </c>
      <c r="B10" s="62">
        <v>113.3</v>
      </c>
      <c r="C10" s="62">
        <v>16.185714285714287</v>
      </c>
      <c r="D10" s="67">
        <v>1.7142857142857142</v>
      </c>
      <c r="E10" s="63">
        <v>0.5714285714285714</v>
      </c>
      <c r="F10" s="63">
        <v>0.2857142857142857</v>
      </c>
      <c r="G10" s="63">
        <v>0.38805970149253732</v>
      </c>
      <c r="H10" s="63">
        <v>0.1044776119402985</v>
      </c>
      <c r="I10" s="64">
        <v>6703.8461538461543</v>
      </c>
      <c r="J10" s="64">
        <v>-4828.5714285714284</v>
      </c>
      <c r="K10" s="63">
        <v>0</v>
      </c>
      <c r="L10" s="63">
        <v>0.14285714285714285</v>
      </c>
      <c r="M10" s="63">
        <v>0.31343283582089554</v>
      </c>
      <c r="N10" s="63">
        <v>0.14925373134328357</v>
      </c>
      <c r="O10" s="63">
        <v>0.61904761904761907</v>
      </c>
      <c r="P10" s="63">
        <v>0.6</v>
      </c>
      <c r="Q10" s="63">
        <v>0.42307692307692307</v>
      </c>
    </row>
    <row r="11" spans="1:17" x14ac:dyDescent="0.4">
      <c r="A11" s="65">
        <v>8</v>
      </c>
      <c r="B11" s="62">
        <v>148.1</v>
      </c>
      <c r="C11" s="62">
        <v>18.512499999999999</v>
      </c>
      <c r="D11" s="67">
        <v>1.625</v>
      </c>
      <c r="E11" s="63">
        <v>0.625</v>
      </c>
      <c r="F11" s="63">
        <v>0.25</v>
      </c>
      <c r="G11" s="63">
        <v>0.37179487179487181</v>
      </c>
      <c r="H11" s="63">
        <v>0.12820512820512819</v>
      </c>
      <c r="I11" s="64">
        <v>7662.0689655172409</v>
      </c>
      <c r="J11" s="64">
        <v>-5390</v>
      </c>
      <c r="K11" s="63">
        <v>0</v>
      </c>
      <c r="L11" s="63">
        <v>0.25</v>
      </c>
      <c r="M11" s="63">
        <v>0.26923076923076922</v>
      </c>
      <c r="N11" s="63">
        <v>0.20512820512820512</v>
      </c>
      <c r="O11" s="63">
        <v>0.61904761904761907</v>
      </c>
      <c r="P11" s="63">
        <v>0.5625</v>
      </c>
      <c r="Q11" s="63">
        <v>0.37931034482758619</v>
      </c>
    </row>
    <row r="12" spans="1:17" x14ac:dyDescent="0.4">
      <c r="A12" s="65">
        <v>9</v>
      </c>
      <c r="B12" s="62">
        <v>180.89999999999998</v>
      </c>
      <c r="C12" s="62">
        <v>20.099999999999998</v>
      </c>
      <c r="D12" s="67">
        <v>1.5555555555555556</v>
      </c>
      <c r="E12" s="63">
        <v>0.66666666666666663</v>
      </c>
      <c r="F12" s="63">
        <v>0.22222222222222221</v>
      </c>
      <c r="G12" s="63">
        <v>0.375</v>
      </c>
      <c r="H12" s="63">
        <v>0.13636363636363635</v>
      </c>
      <c r="I12" s="64">
        <v>7575.757575757576</v>
      </c>
      <c r="J12" s="64">
        <v>-5325</v>
      </c>
      <c r="K12" s="63">
        <v>0</v>
      </c>
      <c r="L12" s="63">
        <v>0.22222222222222221</v>
      </c>
      <c r="M12" s="63">
        <v>0.28409090909090912</v>
      </c>
      <c r="N12" s="63">
        <v>0.19318181818181818</v>
      </c>
      <c r="O12" s="63">
        <v>0.6</v>
      </c>
      <c r="P12" s="63">
        <v>0.58823529411764708</v>
      </c>
      <c r="Q12" s="63">
        <v>0.45454545454545453</v>
      </c>
    </row>
    <row r="13" spans="1:17" x14ac:dyDescent="0.4">
      <c r="A13" s="65">
        <v>10</v>
      </c>
      <c r="B13" s="62">
        <v>158.19999999999999</v>
      </c>
      <c r="C13" s="62">
        <v>15.819999999999999</v>
      </c>
      <c r="D13" s="67">
        <v>1.7</v>
      </c>
      <c r="E13" s="63">
        <v>0.6</v>
      </c>
      <c r="F13" s="63">
        <v>0.3</v>
      </c>
      <c r="G13" s="63">
        <v>0.35051546391752575</v>
      </c>
      <c r="H13" s="63">
        <v>0.14432989690721648</v>
      </c>
      <c r="I13" s="64">
        <v>7705.8823529411766</v>
      </c>
      <c r="J13" s="64">
        <v>-4935.7142857142853</v>
      </c>
      <c r="K13" s="63">
        <v>0</v>
      </c>
      <c r="L13" s="63">
        <v>0.2</v>
      </c>
      <c r="M13" s="63">
        <v>0.26804123711340205</v>
      </c>
      <c r="N13" s="63">
        <v>0.20618556701030927</v>
      </c>
      <c r="O13" s="63">
        <v>0.61538461538461542</v>
      </c>
      <c r="P13" s="63">
        <v>0.5</v>
      </c>
      <c r="Q13" s="63">
        <v>0.47058823529411764</v>
      </c>
    </row>
    <row r="14" spans="1:17" x14ac:dyDescent="0.4">
      <c r="A14" s="65">
        <v>11</v>
      </c>
      <c r="B14" s="62">
        <v>185.2</v>
      </c>
      <c r="C14" s="62">
        <v>16.836363636363636</v>
      </c>
      <c r="D14" s="67">
        <v>1.6363636363636365</v>
      </c>
      <c r="E14" s="63">
        <v>0.63636363636363635</v>
      </c>
      <c r="F14" s="63">
        <v>0.27272727272727271</v>
      </c>
      <c r="G14" s="63">
        <v>0.33962264150943394</v>
      </c>
      <c r="H14" s="63">
        <v>0.15094339622641509</v>
      </c>
      <c r="I14" s="64">
        <v>8275</v>
      </c>
      <c r="J14" s="64">
        <v>-5125</v>
      </c>
      <c r="K14" s="63">
        <v>0</v>
      </c>
      <c r="L14" s="63">
        <v>0.18181818181818182</v>
      </c>
      <c r="M14" s="63">
        <v>0.25471698113207547</v>
      </c>
      <c r="N14" s="63">
        <v>0.19811320754716982</v>
      </c>
      <c r="O14" s="63">
        <v>0.59259259259259256</v>
      </c>
      <c r="P14" s="63">
        <v>0.52380952380952384</v>
      </c>
      <c r="Q14" s="63">
        <v>0.44444444444444442</v>
      </c>
    </row>
    <row r="15" spans="1:17" x14ac:dyDescent="0.4">
      <c r="A15" s="65">
        <v>12</v>
      </c>
      <c r="B15" s="62">
        <v>184.89999999999998</v>
      </c>
      <c r="C15" s="62">
        <v>15.408333333333331</v>
      </c>
      <c r="D15" s="67">
        <v>1.6666666666666667</v>
      </c>
      <c r="E15" s="63">
        <v>0.58333333333333337</v>
      </c>
      <c r="F15" s="63">
        <v>0.25</v>
      </c>
      <c r="G15" s="63">
        <v>0.32758620689655171</v>
      </c>
      <c r="H15" s="63">
        <v>0.14655172413793102</v>
      </c>
      <c r="I15" s="64">
        <v>8471.0526315789466</v>
      </c>
      <c r="J15" s="64">
        <v>-5294.1176470588234</v>
      </c>
      <c r="K15" s="63">
        <v>0</v>
      </c>
      <c r="L15" s="63">
        <v>0.16666666666666666</v>
      </c>
      <c r="M15" s="63">
        <v>0.2413793103448276</v>
      </c>
      <c r="N15" s="63">
        <v>0.20689655172413793</v>
      </c>
      <c r="O15" s="63">
        <v>0.6071428571428571</v>
      </c>
      <c r="P15" s="63">
        <v>0.5</v>
      </c>
      <c r="Q15" s="63">
        <v>0.47368421052631576</v>
      </c>
    </row>
    <row r="16" spans="1:17" x14ac:dyDescent="0.4">
      <c r="A16" s="65">
        <v>13</v>
      </c>
      <c r="B16" s="62">
        <v>206.39999999999998</v>
      </c>
      <c r="C16" s="62">
        <v>15.876923076923076</v>
      </c>
      <c r="D16" s="67">
        <v>1.6153846153846154</v>
      </c>
      <c r="E16" s="63">
        <v>0.61538461538461542</v>
      </c>
      <c r="F16" s="63">
        <v>0.23076923076923078</v>
      </c>
      <c r="G16" s="63">
        <v>0.33870967741935482</v>
      </c>
      <c r="H16" s="63">
        <v>0.14516129032258066</v>
      </c>
      <c r="I16" s="64">
        <v>8283.3333333333339</v>
      </c>
      <c r="J16" s="64">
        <v>-5444.4444444444443</v>
      </c>
      <c r="K16" s="63">
        <v>0</v>
      </c>
      <c r="L16" s="63">
        <v>0.15384615384615385</v>
      </c>
      <c r="M16" s="63">
        <v>0.27419354838709675</v>
      </c>
      <c r="N16" s="63">
        <v>0.20161290322580644</v>
      </c>
      <c r="O16" s="63">
        <v>0.58823529411764708</v>
      </c>
      <c r="P16" s="63">
        <v>0.48</v>
      </c>
      <c r="Q16" s="63">
        <v>0.45238095238095238</v>
      </c>
    </row>
    <row r="17" spans="1:17" x14ac:dyDescent="0.4">
      <c r="A17" s="65">
        <v>14</v>
      </c>
      <c r="B17" s="62">
        <v>240.09999999999997</v>
      </c>
      <c r="C17" s="62">
        <v>17.149999999999999</v>
      </c>
      <c r="D17" s="67">
        <v>1.5714285714285714</v>
      </c>
      <c r="E17" s="63">
        <v>0.6428571428571429</v>
      </c>
      <c r="F17" s="63">
        <v>0.21428571428571427</v>
      </c>
      <c r="G17" s="63">
        <v>0.35820895522388058</v>
      </c>
      <c r="H17" s="63">
        <v>0.13432835820895522</v>
      </c>
      <c r="I17" s="64">
        <v>8039.583333333333</v>
      </c>
      <c r="J17" s="64">
        <v>-5444.4444444444443</v>
      </c>
      <c r="K17" s="63">
        <v>0</v>
      </c>
      <c r="L17" s="63">
        <v>0.21428571428571427</v>
      </c>
      <c r="M17" s="63">
        <v>0.26865671641791045</v>
      </c>
      <c r="N17" s="63">
        <v>0.20895522388059701</v>
      </c>
      <c r="O17" s="63">
        <v>0.58333333333333337</v>
      </c>
      <c r="P17" s="63">
        <v>0.5357142857142857</v>
      </c>
      <c r="Q17" s="63">
        <v>0.5</v>
      </c>
    </row>
    <row r="18" spans="1:17" x14ac:dyDescent="0.4">
      <c r="A18" s="65">
        <v>15</v>
      </c>
      <c r="B18" s="62">
        <v>269.49999999999994</v>
      </c>
      <c r="C18" s="62">
        <v>17.966666666666661</v>
      </c>
      <c r="D18" s="67">
        <v>1.5333333333333334</v>
      </c>
      <c r="E18" s="63">
        <v>0.66666666666666663</v>
      </c>
      <c r="F18" s="63">
        <v>0.2</v>
      </c>
      <c r="G18" s="63">
        <v>0.36363636363636365</v>
      </c>
      <c r="H18" s="63">
        <v>0.13286713286713286</v>
      </c>
      <c r="I18" s="64">
        <v>7890.3846153846152</v>
      </c>
      <c r="J18" s="64">
        <v>-5236.8421052631575</v>
      </c>
      <c r="K18" s="63">
        <v>0</v>
      </c>
      <c r="L18" s="63">
        <v>0.2</v>
      </c>
      <c r="M18" s="63">
        <v>0.27972027972027974</v>
      </c>
      <c r="N18" s="63">
        <v>0.20279720279720279</v>
      </c>
      <c r="O18" s="63">
        <v>0.57499999999999996</v>
      </c>
      <c r="P18" s="63">
        <v>0.55172413793103448</v>
      </c>
      <c r="Q18" s="63">
        <v>0.5</v>
      </c>
    </row>
    <row r="19" spans="1:17" x14ac:dyDescent="0.4">
      <c r="A19" s="65">
        <v>16</v>
      </c>
      <c r="B19" s="62">
        <v>323.69999999999993</v>
      </c>
      <c r="C19" s="62">
        <v>20.231249999999996</v>
      </c>
      <c r="D19" s="67">
        <v>1.5</v>
      </c>
      <c r="E19" s="63">
        <v>0.6875</v>
      </c>
      <c r="F19" s="63">
        <v>0.1875</v>
      </c>
      <c r="G19" s="63">
        <v>0.375</v>
      </c>
      <c r="H19" s="63">
        <v>0.125</v>
      </c>
      <c r="I19" s="64">
        <v>8029.8245614035086</v>
      </c>
      <c r="J19" s="64">
        <v>-5236.8421052631575</v>
      </c>
      <c r="K19" s="63">
        <v>0</v>
      </c>
      <c r="L19" s="63">
        <v>0.1875</v>
      </c>
      <c r="M19" s="63">
        <v>0.27631578947368424</v>
      </c>
      <c r="N19" s="63">
        <v>0.21710526315789475</v>
      </c>
      <c r="O19" s="63">
        <v>0.5714285714285714</v>
      </c>
      <c r="P19" s="63">
        <v>0.60606060606060608</v>
      </c>
      <c r="Q19" s="63">
        <v>0.50877192982456143</v>
      </c>
    </row>
    <row r="20" spans="1:17" x14ac:dyDescent="0.4">
      <c r="A20" s="65">
        <v>17</v>
      </c>
      <c r="B20" s="62">
        <v>359.09999999999991</v>
      </c>
      <c r="C20" s="62">
        <v>21.1235294117647</v>
      </c>
      <c r="D20" s="67">
        <v>1.4705882352941178</v>
      </c>
      <c r="E20" s="63">
        <v>0.70588235294117652</v>
      </c>
      <c r="F20" s="63">
        <v>0.17647058823529413</v>
      </c>
      <c r="G20" s="63">
        <v>0.38650306748466257</v>
      </c>
      <c r="H20" s="63">
        <v>0.12883435582822086</v>
      </c>
      <c r="I20" s="64">
        <v>7984.1269841269841</v>
      </c>
      <c r="J20" s="64">
        <v>-5685.7142857142853</v>
      </c>
      <c r="K20" s="63">
        <v>0</v>
      </c>
      <c r="L20" s="63">
        <v>0.17647058823529413</v>
      </c>
      <c r="M20" s="63">
        <v>0.27607361963190186</v>
      </c>
      <c r="N20" s="63">
        <v>0.21472392638036811</v>
      </c>
      <c r="O20" s="63">
        <v>0.57777777777777772</v>
      </c>
      <c r="P20" s="63">
        <v>0.62857142857142856</v>
      </c>
      <c r="Q20" s="63">
        <v>0.47619047619047616</v>
      </c>
    </row>
    <row r="21" spans="1:17" x14ac:dyDescent="0.4">
      <c r="A21" s="65">
        <v>18</v>
      </c>
      <c r="B21" s="62">
        <v>352.39999999999992</v>
      </c>
      <c r="C21" s="62">
        <v>19.577777777777772</v>
      </c>
      <c r="D21" s="67">
        <v>1.5</v>
      </c>
      <c r="E21" s="63">
        <v>0.66666666666666663</v>
      </c>
      <c r="F21" s="63">
        <v>0.16666666666666666</v>
      </c>
      <c r="G21" s="63">
        <v>0.38323353293413176</v>
      </c>
      <c r="H21" s="63">
        <v>0.12574850299401197</v>
      </c>
      <c r="I21" s="64">
        <v>7879.6875</v>
      </c>
      <c r="J21" s="64">
        <v>-5685.7142857142853</v>
      </c>
      <c r="K21" s="63">
        <v>0</v>
      </c>
      <c r="L21" s="63">
        <v>0.16666666666666666</v>
      </c>
      <c r="M21" s="63">
        <v>0.27544910179640719</v>
      </c>
      <c r="N21" s="63">
        <v>0.20958083832335328</v>
      </c>
      <c r="O21" s="63">
        <v>0.58695652173913049</v>
      </c>
      <c r="P21" s="63">
        <v>0.62857142857142856</v>
      </c>
      <c r="Q21" s="63">
        <v>0.46875</v>
      </c>
    </row>
    <row r="22" spans="1:17" x14ac:dyDescent="0.4">
      <c r="A22" s="65">
        <v>19</v>
      </c>
      <c r="B22" s="62">
        <v>383.19999999999993</v>
      </c>
      <c r="C22" s="62">
        <v>20.168421052631576</v>
      </c>
      <c r="D22" s="67">
        <v>1.4736842105263157</v>
      </c>
      <c r="E22" s="63">
        <v>0.68421052631578949</v>
      </c>
      <c r="F22" s="63">
        <v>0.15789473684210525</v>
      </c>
      <c r="G22" s="63">
        <v>0.38983050847457629</v>
      </c>
      <c r="H22" s="63">
        <v>0.12429378531073447</v>
      </c>
      <c r="I22" s="64">
        <v>7834.782608695652</v>
      </c>
      <c r="J22" s="64">
        <v>-5972.727272727273</v>
      </c>
      <c r="K22" s="63">
        <v>0</v>
      </c>
      <c r="L22" s="63">
        <v>0.21052631578947367</v>
      </c>
      <c r="M22" s="63">
        <v>0.28813559322033899</v>
      </c>
      <c r="N22" s="63">
        <v>0.20903954802259886</v>
      </c>
      <c r="O22" s="63">
        <v>0.60784313725490191</v>
      </c>
      <c r="P22" s="63">
        <v>0.6216216216216216</v>
      </c>
      <c r="Q22" s="63">
        <v>0.46376811594202899</v>
      </c>
    </row>
    <row r="23" spans="1:17" x14ac:dyDescent="0.4">
      <c r="A23" s="65">
        <v>20</v>
      </c>
      <c r="B23" s="62">
        <v>365.49999999999994</v>
      </c>
      <c r="C23" s="62">
        <v>18.274999999999999</v>
      </c>
      <c r="D23" s="67">
        <v>1.5</v>
      </c>
      <c r="E23" s="63">
        <v>0.65</v>
      </c>
      <c r="F23" s="63">
        <v>0.15</v>
      </c>
      <c r="G23" s="63">
        <v>0.37634408602150538</v>
      </c>
      <c r="H23" s="63">
        <v>0.13440860215053763</v>
      </c>
      <c r="I23" s="64">
        <v>7888.5714285714284</v>
      </c>
      <c r="J23" s="64">
        <v>-6096</v>
      </c>
      <c r="K23" s="63">
        <v>0</v>
      </c>
      <c r="L23" s="63">
        <v>0.2</v>
      </c>
      <c r="M23" s="63">
        <v>0.27956989247311825</v>
      </c>
      <c r="N23" s="63">
        <v>0.22043010752688172</v>
      </c>
      <c r="O23" s="63">
        <v>0.59615384615384615</v>
      </c>
      <c r="P23" s="63">
        <v>0.58536585365853655</v>
      </c>
      <c r="Q23" s="63">
        <v>0.47142857142857142</v>
      </c>
    </row>
    <row r="24" spans="1:17" x14ac:dyDescent="0.4">
      <c r="A24" s="65">
        <v>21</v>
      </c>
      <c r="B24" s="62">
        <v>371.39999999999992</v>
      </c>
      <c r="C24" s="62">
        <v>17.685714285714283</v>
      </c>
      <c r="D24" s="67">
        <v>1.5238095238095237</v>
      </c>
      <c r="E24" s="63">
        <v>0.61904761904761907</v>
      </c>
      <c r="F24" s="63">
        <v>0.14285714285714285</v>
      </c>
      <c r="G24" s="63">
        <v>0.375</v>
      </c>
      <c r="H24" s="63">
        <v>0.13541666666666666</v>
      </c>
      <c r="I24" s="64">
        <v>8168.0555555555557</v>
      </c>
      <c r="J24" s="64">
        <v>-6553.8461538461543</v>
      </c>
      <c r="K24" s="63">
        <v>0</v>
      </c>
      <c r="L24" s="63">
        <v>0.19047619047619047</v>
      </c>
      <c r="M24" s="63">
        <v>0.28125</v>
      </c>
      <c r="N24" s="63">
        <v>0.21354166666666666</v>
      </c>
      <c r="O24" s="63">
        <v>0.59259259259259256</v>
      </c>
      <c r="P24" s="63">
        <v>0.58536585365853655</v>
      </c>
      <c r="Q24" s="63">
        <v>0.47222222222222221</v>
      </c>
    </row>
    <row r="25" spans="1:17" x14ac:dyDescent="0.4">
      <c r="A25" s="65">
        <v>22</v>
      </c>
      <c r="B25" s="62">
        <v>414.2999999999999</v>
      </c>
      <c r="C25" s="62">
        <v>18.831818181818178</v>
      </c>
      <c r="D25" s="67">
        <v>1.5</v>
      </c>
      <c r="E25" s="63">
        <v>0.63636363636363635</v>
      </c>
      <c r="F25" s="63">
        <v>0.13636363636363635</v>
      </c>
      <c r="G25" s="63">
        <v>0.38805970149253732</v>
      </c>
      <c r="H25" s="63">
        <v>0.13432835820895522</v>
      </c>
      <c r="I25" s="64">
        <v>8025.6410256410254</v>
      </c>
      <c r="J25" s="64">
        <v>-6385.1851851851852</v>
      </c>
      <c r="K25" s="63">
        <v>0</v>
      </c>
      <c r="L25" s="63">
        <v>0.18181818181818182</v>
      </c>
      <c r="M25" s="63">
        <v>0.28358208955223879</v>
      </c>
      <c r="N25" s="63">
        <v>0.22388059701492538</v>
      </c>
      <c r="O25" s="63">
        <v>0.61403508771929827</v>
      </c>
      <c r="P25" s="63">
        <v>0.6</v>
      </c>
      <c r="Q25" s="63">
        <v>0.46153846153846156</v>
      </c>
    </row>
    <row r="26" spans="1:17" x14ac:dyDescent="0.4">
      <c r="A26" s="65">
        <v>23</v>
      </c>
      <c r="B26" s="62">
        <v>356.2999999999999</v>
      </c>
      <c r="C26" s="62">
        <v>15.491304347826082</v>
      </c>
      <c r="D26" s="67">
        <v>1.5652173913043479</v>
      </c>
      <c r="E26" s="63">
        <v>0.60869565217391308</v>
      </c>
      <c r="F26" s="63">
        <v>0.17391304347826086</v>
      </c>
      <c r="G26" s="63">
        <v>0.38613861386138615</v>
      </c>
      <c r="H26" s="63">
        <v>0.13861386138613863</v>
      </c>
      <c r="I26" s="64">
        <v>8025.6410256410254</v>
      </c>
      <c r="J26" s="64">
        <v>-7871.4285714285716</v>
      </c>
      <c r="K26" s="63">
        <v>4.3478260869565216E-2</v>
      </c>
      <c r="L26" s="63">
        <v>0.17391304347826086</v>
      </c>
      <c r="M26" s="63">
        <v>0.28217821782178215</v>
      </c>
      <c r="N26" s="63">
        <v>0.22277227722772278</v>
      </c>
      <c r="O26" s="63">
        <v>0.61403508771929827</v>
      </c>
      <c r="P26" s="63">
        <v>0.6</v>
      </c>
      <c r="Q26" s="63">
        <v>0.46153846153846156</v>
      </c>
    </row>
    <row r="27" spans="1:17" x14ac:dyDescent="0.4">
      <c r="A27" s="65">
        <v>24</v>
      </c>
      <c r="B27" s="62">
        <v>329.89999999999992</v>
      </c>
      <c r="C27" s="62">
        <v>13.74583333333333</v>
      </c>
      <c r="D27" s="67">
        <v>1.625</v>
      </c>
      <c r="E27" s="63">
        <v>0.58333333333333337</v>
      </c>
      <c r="F27" s="63">
        <v>0.20833333333333334</v>
      </c>
      <c r="G27" s="63">
        <v>0.37799043062200954</v>
      </c>
      <c r="H27" s="63">
        <v>0.13875598086124402</v>
      </c>
      <c r="I27" s="64">
        <v>8151.8987341772154</v>
      </c>
      <c r="J27" s="64">
        <v>-7734.4827586206893</v>
      </c>
      <c r="K27" s="63">
        <v>4.1666666666666664E-2</v>
      </c>
      <c r="L27" s="63">
        <v>0.16666666666666666</v>
      </c>
      <c r="M27" s="63">
        <v>0.28708133971291866</v>
      </c>
      <c r="N27" s="63">
        <v>0.22966507177033493</v>
      </c>
      <c r="O27" s="63">
        <v>0.6</v>
      </c>
      <c r="P27" s="63">
        <v>0.5625</v>
      </c>
      <c r="Q27" s="63">
        <v>0.46835443037974683</v>
      </c>
    </row>
    <row r="28" spans="1:17" x14ac:dyDescent="0.4">
      <c r="A28" s="65">
        <v>25</v>
      </c>
      <c r="B28" s="62">
        <v>294.99999999999994</v>
      </c>
      <c r="C28" s="62">
        <v>11.799999999999997</v>
      </c>
      <c r="D28" s="67">
        <v>1.68</v>
      </c>
      <c r="E28" s="63">
        <v>0.56000000000000005</v>
      </c>
      <c r="F28" s="63">
        <v>0.24</v>
      </c>
      <c r="G28" s="63">
        <v>0.3686635944700461</v>
      </c>
      <c r="H28" s="63">
        <v>0.14746543778801843</v>
      </c>
      <c r="I28" s="64">
        <v>8068.75</v>
      </c>
      <c r="J28" s="64">
        <v>-7709.375</v>
      </c>
      <c r="K28" s="63">
        <v>0.04</v>
      </c>
      <c r="L28" s="63">
        <v>0.16</v>
      </c>
      <c r="M28" s="63">
        <v>0.28110599078341014</v>
      </c>
      <c r="N28" s="63">
        <v>0.23502304147465439</v>
      </c>
      <c r="O28" s="63">
        <v>0.5901639344262295</v>
      </c>
      <c r="P28" s="63">
        <v>0.5490196078431373</v>
      </c>
      <c r="Q28" s="63">
        <v>0.46250000000000002</v>
      </c>
    </row>
    <row r="29" spans="1:17" x14ac:dyDescent="0.4">
      <c r="A29" s="65">
        <v>26</v>
      </c>
      <c r="B29" s="62">
        <v>329.29999999999995</v>
      </c>
      <c r="C29" s="62">
        <v>12.665384615384614</v>
      </c>
      <c r="D29" s="67">
        <v>1.6538461538461537</v>
      </c>
      <c r="E29" s="63">
        <v>0.57692307692307687</v>
      </c>
      <c r="F29" s="63">
        <v>0.23076923076923078</v>
      </c>
      <c r="G29" s="63">
        <v>0.375</v>
      </c>
      <c r="H29" s="63">
        <v>0.14732142857142858</v>
      </c>
      <c r="I29" s="64">
        <v>8077.3809523809523</v>
      </c>
      <c r="J29" s="64">
        <v>-7709.090909090909</v>
      </c>
      <c r="K29" s="63">
        <v>3.8461538461538464E-2</v>
      </c>
      <c r="L29" s="63">
        <v>0.15384615384615385</v>
      </c>
      <c r="M29" s="63">
        <v>0.28125</v>
      </c>
      <c r="N29" s="63">
        <v>0.24553571428571427</v>
      </c>
      <c r="O29" s="63">
        <v>0.60317460317460314</v>
      </c>
      <c r="P29" s="63">
        <v>0.52727272727272723</v>
      </c>
      <c r="Q29" s="63">
        <v>0.4642857142857143</v>
      </c>
    </row>
    <row r="30" spans="1:17" x14ac:dyDescent="0.4">
      <c r="A30" s="65">
        <v>27</v>
      </c>
      <c r="B30" s="62">
        <v>362.4</v>
      </c>
      <c r="C30" s="62">
        <v>13.422222222222221</v>
      </c>
      <c r="D30" s="67">
        <v>1.6296296296296295</v>
      </c>
      <c r="E30" s="63">
        <v>0.59259259259259256</v>
      </c>
      <c r="F30" s="63">
        <v>0.22222222222222221</v>
      </c>
      <c r="G30" s="63">
        <v>0.37872340425531914</v>
      </c>
      <c r="H30" s="63">
        <v>0.14468085106382977</v>
      </c>
      <c r="I30" s="64">
        <v>8033.7078651685397</v>
      </c>
      <c r="J30" s="64">
        <v>-7823.5294117647063</v>
      </c>
      <c r="K30" s="63">
        <v>3.7037037037037035E-2</v>
      </c>
      <c r="L30" s="63">
        <v>0.14814814814814814</v>
      </c>
      <c r="M30" s="63">
        <v>0.27659574468085107</v>
      </c>
      <c r="N30" s="63">
        <v>0.24680851063829787</v>
      </c>
      <c r="O30" s="63">
        <v>0.61538461538461542</v>
      </c>
      <c r="P30" s="63">
        <v>0.53448275862068961</v>
      </c>
      <c r="Q30" s="63">
        <v>0.43820224719101125</v>
      </c>
    </row>
    <row r="31" spans="1:17" x14ac:dyDescent="0.4">
      <c r="A31" s="65">
        <v>28</v>
      </c>
      <c r="B31" s="62">
        <v>375.79999999999995</v>
      </c>
      <c r="C31" s="62">
        <v>13.421428571428569</v>
      </c>
      <c r="D31" s="67">
        <v>1.6428571428571428</v>
      </c>
      <c r="E31" s="63">
        <v>0.5714285714285714</v>
      </c>
      <c r="F31" s="63">
        <v>0.21428571428571427</v>
      </c>
      <c r="G31" s="63">
        <v>0.37398373983739835</v>
      </c>
      <c r="H31" s="63">
        <v>0.14227642276422764</v>
      </c>
      <c r="I31" s="64">
        <v>8228.2608695652179</v>
      </c>
      <c r="J31" s="64">
        <v>-7828.5714285714284</v>
      </c>
      <c r="K31" s="63">
        <v>3.5714285714285712E-2</v>
      </c>
      <c r="L31" s="63">
        <v>0.14285714285714285</v>
      </c>
      <c r="M31" s="63">
        <v>0.27642276422764228</v>
      </c>
      <c r="N31" s="63">
        <v>0.24796747967479674</v>
      </c>
      <c r="O31" s="63">
        <v>0.6029411764705882</v>
      </c>
      <c r="P31" s="63">
        <v>0.54098360655737709</v>
      </c>
      <c r="Q31" s="63">
        <v>0.42391304347826086</v>
      </c>
    </row>
    <row r="32" spans="1:17" x14ac:dyDescent="0.4">
      <c r="A32" s="65">
        <v>29</v>
      </c>
      <c r="B32" s="62">
        <v>381.09999999999997</v>
      </c>
      <c r="C32" s="62">
        <v>13.141379310344826</v>
      </c>
      <c r="D32" s="67">
        <v>1.6551724137931034</v>
      </c>
      <c r="E32" s="63">
        <v>0.55172413793103448</v>
      </c>
      <c r="F32" s="63">
        <v>0.20689655172413793</v>
      </c>
      <c r="G32" s="63">
        <v>0.37450199203187251</v>
      </c>
      <c r="H32" s="63">
        <v>0.1394422310756972</v>
      </c>
      <c r="I32" s="64">
        <v>8231.9148936170204</v>
      </c>
      <c r="J32" s="64">
        <v>-7828.5714285714284</v>
      </c>
      <c r="K32" s="63">
        <v>3.4482758620689655E-2</v>
      </c>
      <c r="L32" s="63">
        <v>0.13793103448275862</v>
      </c>
      <c r="M32" s="63">
        <v>0.27490039840637448</v>
      </c>
      <c r="N32" s="63">
        <v>0.24701195219123506</v>
      </c>
      <c r="O32" s="63">
        <v>0.59420289855072461</v>
      </c>
      <c r="P32" s="63">
        <v>0.54838709677419351</v>
      </c>
      <c r="Q32" s="63">
        <v>0.42553191489361702</v>
      </c>
    </row>
    <row r="33" spans="1:17" x14ac:dyDescent="0.4">
      <c r="A33" s="65">
        <v>30</v>
      </c>
      <c r="B33" s="62">
        <v>340.79999999999995</v>
      </c>
      <c r="C33" s="62">
        <v>11.359999999999998</v>
      </c>
      <c r="D33" s="67">
        <v>1.7</v>
      </c>
      <c r="E33" s="63">
        <v>0.53333333333333333</v>
      </c>
      <c r="F33" s="63">
        <v>0.23333333333333334</v>
      </c>
      <c r="G33" s="63">
        <v>0.36121673003802279</v>
      </c>
      <c r="H33" s="63">
        <v>0.13688212927756654</v>
      </c>
      <c r="I33" s="64">
        <v>8172.6315789473683</v>
      </c>
      <c r="J33" s="64">
        <v>-7755.5555555555557</v>
      </c>
      <c r="K33" s="63">
        <v>3.3333333333333333E-2</v>
      </c>
      <c r="L33" s="63">
        <v>0.13333333333333333</v>
      </c>
      <c r="M33" s="63">
        <v>0.26615969581749049</v>
      </c>
      <c r="N33" s="63">
        <v>0.24714828897338403</v>
      </c>
      <c r="O33" s="63">
        <v>0.58571428571428574</v>
      </c>
      <c r="P33" s="63">
        <v>0.53846153846153844</v>
      </c>
      <c r="Q33" s="63">
        <v>0.42105263157894735</v>
      </c>
    </row>
    <row r="34" spans="1:17" x14ac:dyDescent="0.4">
      <c r="A34" s="65">
        <v>31</v>
      </c>
      <c r="B34" s="62">
        <v>319.49999999999994</v>
      </c>
      <c r="C34" s="62">
        <v>10.306451612903224</v>
      </c>
      <c r="D34" s="67">
        <v>1.7419354838709677</v>
      </c>
      <c r="E34" s="63">
        <v>0.5161290322580645</v>
      </c>
      <c r="F34" s="63">
        <v>0.25806451612903225</v>
      </c>
      <c r="G34" s="63">
        <v>0.35636363636363638</v>
      </c>
      <c r="H34" s="63">
        <v>0.13818181818181818</v>
      </c>
      <c r="I34" s="64">
        <v>8070.408163265306</v>
      </c>
      <c r="J34" s="64">
        <v>-7636.8421052631575</v>
      </c>
      <c r="K34" s="63">
        <v>3.2258064516129031E-2</v>
      </c>
      <c r="L34" s="63">
        <v>0.12903225806451613</v>
      </c>
      <c r="M34" s="63">
        <v>0.25818181818181818</v>
      </c>
      <c r="N34" s="63">
        <v>0.24363636363636362</v>
      </c>
      <c r="O34" s="63">
        <v>0.59154929577464788</v>
      </c>
      <c r="P34" s="63">
        <v>0.52238805970149249</v>
      </c>
      <c r="Q34" s="63">
        <v>0.42857142857142855</v>
      </c>
    </row>
    <row r="35" spans="1:17" x14ac:dyDescent="0.4">
      <c r="A35" s="65">
        <v>32</v>
      </c>
      <c r="B35" s="62">
        <v>349.39999999999992</v>
      </c>
      <c r="C35" s="62">
        <v>10.918749999999998</v>
      </c>
      <c r="D35" s="67">
        <v>1.71875</v>
      </c>
      <c r="E35" s="63">
        <v>0.53125</v>
      </c>
      <c r="F35" s="63">
        <v>0.25</v>
      </c>
      <c r="G35" s="63">
        <v>0.35563380281690143</v>
      </c>
      <c r="H35" s="63">
        <v>0.13380281690140844</v>
      </c>
      <c r="I35" s="64">
        <v>8027.7227722772277</v>
      </c>
      <c r="J35" s="64">
        <v>-7636.8421052631575</v>
      </c>
      <c r="K35" s="63">
        <v>3.125E-2</v>
      </c>
      <c r="L35" s="63">
        <v>0.125</v>
      </c>
      <c r="M35" s="63">
        <v>0.25352112676056338</v>
      </c>
      <c r="N35" s="63">
        <v>0.23943661971830985</v>
      </c>
      <c r="O35" s="63">
        <v>0.59722222222222221</v>
      </c>
      <c r="P35" s="63">
        <v>0.52941176470588236</v>
      </c>
      <c r="Q35" s="63">
        <v>0.42574257425742573</v>
      </c>
    </row>
    <row r="36" spans="1:17" x14ac:dyDescent="0.4">
      <c r="A36" s="65">
        <v>33</v>
      </c>
      <c r="B36" s="62">
        <v>349.19999999999993</v>
      </c>
      <c r="C36" s="62">
        <v>10.58181818181818</v>
      </c>
      <c r="D36" s="67">
        <v>1.7272727272727273</v>
      </c>
      <c r="E36" s="63">
        <v>0.51515151515151514</v>
      </c>
      <c r="F36" s="63">
        <v>0.24242424242424243</v>
      </c>
      <c r="G36" s="63">
        <v>0.35395189003436428</v>
      </c>
      <c r="H36" s="63">
        <v>0.13058419243986255</v>
      </c>
      <c r="I36" s="64">
        <v>7918.4466019417478</v>
      </c>
      <c r="J36" s="64">
        <v>-7636.8421052631575</v>
      </c>
      <c r="K36" s="63">
        <v>3.0303030303030304E-2</v>
      </c>
      <c r="L36" s="63">
        <v>0.12121212121212122</v>
      </c>
      <c r="M36" s="63">
        <v>0.25085910652920962</v>
      </c>
      <c r="N36" s="63">
        <v>0.23711340206185566</v>
      </c>
      <c r="O36" s="63">
        <v>0.60273972602739723</v>
      </c>
      <c r="P36" s="63">
        <v>0.53623188405797106</v>
      </c>
      <c r="Q36" s="63">
        <v>0.42718446601941745</v>
      </c>
    </row>
    <row r="37" spans="1:17" x14ac:dyDescent="0.4">
      <c r="A37" s="65">
        <v>34</v>
      </c>
      <c r="B37" s="62">
        <v>374.49999999999994</v>
      </c>
      <c r="C37" s="62">
        <v>11.01470588235294</v>
      </c>
      <c r="D37" s="67">
        <v>1.7058823529411764</v>
      </c>
      <c r="E37" s="63">
        <v>0.52941176470588236</v>
      </c>
      <c r="F37" s="63">
        <v>0.23529411764705882</v>
      </c>
      <c r="G37" s="63">
        <v>0.34883720930232559</v>
      </c>
      <c r="H37" s="63">
        <v>0.12624584717607973</v>
      </c>
      <c r="I37" s="64">
        <v>8053.333333333333</v>
      </c>
      <c r="J37" s="64">
        <v>-7636.8421052631575</v>
      </c>
      <c r="K37" s="63">
        <v>2.9411764705882353E-2</v>
      </c>
      <c r="L37" s="63">
        <v>0.11764705882352941</v>
      </c>
      <c r="M37" s="63">
        <v>0.24916943521594684</v>
      </c>
      <c r="N37" s="63">
        <v>0.2292358803986711</v>
      </c>
      <c r="O37" s="63">
        <v>0.61333333333333329</v>
      </c>
      <c r="P37" s="63">
        <v>0.53623188405797106</v>
      </c>
      <c r="Q37" s="63">
        <v>0.42857142857142855</v>
      </c>
    </row>
    <row r="38" spans="1:17" x14ac:dyDescent="0.4">
      <c r="A38" s="65">
        <v>35</v>
      </c>
      <c r="B38" s="62">
        <v>357.89999999999992</v>
      </c>
      <c r="C38" s="62">
        <v>10.225714285714284</v>
      </c>
      <c r="D38" s="67">
        <v>1.7428571428571429</v>
      </c>
      <c r="E38" s="63">
        <v>0.51428571428571423</v>
      </c>
      <c r="F38" s="63">
        <v>0.25714285714285712</v>
      </c>
      <c r="G38" s="63">
        <v>0.34083601286173631</v>
      </c>
      <c r="H38" s="63">
        <v>0.13183279742765272</v>
      </c>
      <c r="I38" s="64">
        <v>8090.566037735849</v>
      </c>
      <c r="J38" s="64">
        <v>-7536.5853658536589</v>
      </c>
      <c r="K38" s="63">
        <v>2.8571428571428571E-2</v>
      </c>
      <c r="L38" s="63">
        <v>0.11428571428571428</v>
      </c>
      <c r="M38" s="63">
        <v>0.24758842443729903</v>
      </c>
      <c r="N38" s="63">
        <v>0.22508038585209003</v>
      </c>
      <c r="O38" s="63">
        <v>0.61038961038961037</v>
      </c>
      <c r="P38" s="63">
        <v>0.52857142857142858</v>
      </c>
      <c r="Q38" s="63">
        <v>0.43396226415094341</v>
      </c>
    </row>
    <row r="39" spans="1:17" x14ac:dyDescent="0.4">
      <c r="A39" s="65">
        <v>36</v>
      </c>
      <c r="B39" s="62">
        <v>312.09999999999991</v>
      </c>
      <c r="C39" s="62">
        <v>8.6694444444444425</v>
      </c>
      <c r="D39" s="67">
        <v>1.7777777777777777</v>
      </c>
      <c r="E39" s="63">
        <v>0.5</v>
      </c>
      <c r="F39" s="63">
        <v>0.27777777777777779</v>
      </c>
      <c r="G39" s="63">
        <v>0.33650793650793653</v>
      </c>
      <c r="H39" s="63">
        <v>0.13968253968253969</v>
      </c>
      <c r="I39" s="64">
        <v>8090.566037735849</v>
      </c>
      <c r="J39" s="64">
        <v>-7722.727272727273</v>
      </c>
      <c r="K39" s="63">
        <v>5.5555555555555552E-2</v>
      </c>
      <c r="L39" s="63">
        <v>0.1111111111111111</v>
      </c>
      <c r="M39" s="63">
        <v>0.24761904761904763</v>
      </c>
      <c r="N39" s="63">
        <v>0.22222222222222221</v>
      </c>
      <c r="O39" s="63">
        <v>0.60256410256410253</v>
      </c>
      <c r="P39" s="63">
        <v>0.52857142857142858</v>
      </c>
      <c r="Q39" s="63">
        <v>0.43396226415094341</v>
      </c>
    </row>
    <row r="40" spans="1:17" x14ac:dyDescent="0.4">
      <c r="A40" s="65">
        <v>37</v>
      </c>
      <c r="B40" s="62">
        <v>325.09999999999991</v>
      </c>
      <c r="C40" s="62">
        <v>8.7864864864864849</v>
      </c>
      <c r="D40" s="67">
        <v>1.7567567567567568</v>
      </c>
      <c r="E40" s="63">
        <v>0.51351351351351349</v>
      </c>
      <c r="F40" s="63">
        <v>0.27027027027027029</v>
      </c>
      <c r="G40" s="63">
        <v>0.3364485981308411</v>
      </c>
      <c r="H40" s="63">
        <v>0.13707165109034267</v>
      </c>
      <c r="I40" s="64">
        <v>8024.0740740740739</v>
      </c>
      <c r="J40" s="64">
        <v>-7722.727272727273</v>
      </c>
      <c r="K40" s="63">
        <v>5.4054054054054057E-2</v>
      </c>
      <c r="L40" s="63">
        <v>0.10810810810810811</v>
      </c>
      <c r="M40" s="63">
        <v>0.24610591900311526</v>
      </c>
      <c r="N40" s="63">
        <v>0.22118380062305296</v>
      </c>
      <c r="O40" s="63">
        <v>0.60759493670886078</v>
      </c>
      <c r="P40" s="63">
        <v>0.53521126760563376</v>
      </c>
      <c r="Q40" s="63">
        <v>0.42592592592592593</v>
      </c>
    </row>
    <row r="41" spans="1:17" x14ac:dyDescent="0.4">
      <c r="A41" s="65">
        <v>38</v>
      </c>
      <c r="B41" s="62">
        <v>360.49999999999989</v>
      </c>
      <c r="C41" s="62">
        <v>9.4868421052631557</v>
      </c>
      <c r="D41" s="67">
        <v>1.736842105263158</v>
      </c>
      <c r="E41" s="63">
        <v>0.52631578947368418</v>
      </c>
      <c r="F41" s="63">
        <v>0.26315789473684209</v>
      </c>
      <c r="G41" s="63">
        <v>0.34042553191489361</v>
      </c>
      <c r="H41" s="63">
        <v>0.13677811550151975</v>
      </c>
      <c r="I41" s="64">
        <v>7992.8571428571431</v>
      </c>
      <c r="J41" s="64">
        <v>-7595.5555555555557</v>
      </c>
      <c r="K41" s="63">
        <v>5.2631578947368418E-2</v>
      </c>
      <c r="L41" s="63">
        <v>0.10526315789473684</v>
      </c>
      <c r="M41" s="63">
        <v>0.24316109422492402</v>
      </c>
      <c r="N41" s="63">
        <v>0.22492401215805471</v>
      </c>
      <c r="O41" s="63">
        <v>0.61250000000000004</v>
      </c>
      <c r="P41" s="63">
        <v>0.54054054054054057</v>
      </c>
      <c r="Q41" s="63">
        <v>0.42857142857142855</v>
      </c>
    </row>
    <row r="42" spans="1:17" x14ac:dyDescent="0.4">
      <c r="A42" s="65">
        <v>39</v>
      </c>
      <c r="B42" s="62">
        <v>365.39999999999986</v>
      </c>
      <c r="C42" s="62">
        <v>9.3692307692307661</v>
      </c>
      <c r="D42" s="67">
        <v>1.7435897435897436</v>
      </c>
      <c r="E42" s="63">
        <v>0.51282051282051277</v>
      </c>
      <c r="F42" s="63">
        <v>0.25641025641025639</v>
      </c>
      <c r="G42" s="63">
        <v>0.33731343283582088</v>
      </c>
      <c r="H42" s="63">
        <v>0.13432835820895522</v>
      </c>
      <c r="I42" s="64">
        <v>7968.141592920354</v>
      </c>
      <c r="J42" s="64">
        <v>-7595.5555555555557</v>
      </c>
      <c r="K42" s="63">
        <v>5.128205128205128E-2</v>
      </c>
      <c r="L42" s="63">
        <v>0.10256410256410256</v>
      </c>
      <c r="M42" s="63">
        <v>0.24477611940298508</v>
      </c>
      <c r="N42" s="63">
        <v>0.22388059701492538</v>
      </c>
      <c r="O42" s="63">
        <v>0.6097560975609756</v>
      </c>
      <c r="P42" s="63">
        <v>0.53333333333333333</v>
      </c>
      <c r="Q42" s="63">
        <v>0.4247787610619469</v>
      </c>
    </row>
    <row r="43" spans="1:17" x14ac:dyDescent="0.4">
      <c r="A43" s="65">
        <v>40</v>
      </c>
      <c r="B43" s="62">
        <v>398.79999999999984</v>
      </c>
      <c r="C43" s="62">
        <v>9.9699999999999953</v>
      </c>
      <c r="D43" s="67">
        <v>1.7250000000000001</v>
      </c>
      <c r="E43" s="63">
        <v>0.52500000000000002</v>
      </c>
      <c r="F43" s="63">
        <v>0.25</v>
      </c>
      <c r="G43" s="63">
        <v>0.33819241982507287</v>
      </c>
      <c r="H43" s="63">
        <v>0.13119533527696792</v>
      </c>
      <c r="I43" s="64">
        <v>8048.2758620689656</v>
      </c>
      <c r="J43" s="64">
        <v>-7595.5555555555557</v>
      </c>
      <c r="K43" s="63">
        <v>0.05</v>
      </c>
      <c r="L43" s="63">
        <v>0.1</v>
      </c>
      <c r="M43" s="63">
        <v>0.24489795918367346</v>
      </c>
      <c r="N43" s="63">
        <v>0.22157434402332363</v>
      </c>
      <c r="O43" s="63">
        <v>0.61904761904761907</v>
      </c>
      <c r="P43" s="63">
        <v>0.52631578947368418</v>
      </c>
      <c r="Q43" s="63">
        <v>0.43103448275862066</v>
      </c>
    </row>
    <row r="44" spans="1:17" x14ac:dyDescent="0.4">
      <c r="A44" s="65">
        <v>41</v>
      </c>
      <c r="B44" s="62">
        <v>399.89999999999986</v>
      </c>
      <c r="C44" s="62">
        <v>9.7536585365853625</v>
      </c>
      <c r="D44" s="67">
        <v>1.7317073170731707</v>
      </c>
      <c r="E44" s="63">
        <v>0.51219512195121952</v>
      </c>
      <c r="F44" s="63">
        <v>0.24390243902439024</v>
      </c>
      <c r="G44" s="63">
        <v>0.33618233618233617</v>
      </c>
      <c r="H44" s="63">
        <v>0.13390313390313391</v>
      </c>
      <c r="I44" s="64">
        <v>8032.2033898305081</v>
      </c>
      <c r="J44" s="64">
        <v>-7465.9574468085102</v>
      </c>
      <c r="K44" s="63">
        <v>4.878048780487805E-2</v>
      </c>
      <c r="L44" s="63">
        <v>9.7560975609756101E-2</v>
      </c>
      <c r="M44" s="63">
        <v>0.24501424501424501</v>
      </c>
      <c r="N44" s="63">
        <v>0.21652421652421652</v>
      </c>
      <c r="O44" s="63">
        <v>0.61627906976744184</v>
      </c>
      <c r="P44" s="63">
        <v>0.52631578947368418</v>
      </c>
      <c r="Q44" s="63">
        <v>0.44067796610169491</v>
      </c>
    </row>
    <row r="45" spans="1:17" x14ac:dyDescent="0.4">
      <c r="A45" s="65">
        <v>42</v>
      </c>
      <c r="B45" s="62">
        <v>419.29999999999984</v>
      </c>
      <c r="C45" s="62">
        <v>9.983333333333329</v>
      </c>
      <c r="D45" s="67">
        <v>1.7142857142857142</v>
      </c>
      <c r="E45" s="63">
        <v>0.52380952380952384</v>
      </c>
      <c r="F45" s="63">
        <v>0.23809523809523808</v>
      </c>
      <c r="G45" s="63">
        <v>0.34078212290502791</v>
      </c>
      <c r="H45" s="63">
        <v>0.13407821229050279</v>
      </c>
      <c r="I45" s="64">
        <v>7878.688524590164</v>
      </c>
      <c r="J45" s="64">
        <v>-7477.083333333333</v>
      </c>
      <c r="K45" s="63">
        <v>4.7619047619047616E-2</v>
      </c>
      <c r="L45" s="63">
        <v>9.5238095238095233E-2</v>
      </c>
      <c r="M45" s="63">
        <v>0.25139664804469275</v>
      </c>
      <c r="N45" s="63">
        <v>0.21508379888268156</v>
      </c>
      <c r="O45" s="63">
        <v>0.61111111111111116</v>
      </c>
      <c r="P45" s="63">
        <v>0.53246753246753242</v>
      </c>
      <c r="Q45" s="63">
        <v>0.42622950819672129</v>
      </c>
    </row>
    <row r="46" spans="1:17" x14ac:dyDescent="0.4">
      <c r="A46" s="65">
        <v>43</v>
      </c>
      <c r="B46" s="62">
        <v>424.79999999999984</v>
      </c>
      <c r="C46" s="62">
        <v>9.8790697674418571</v>
      </c>
      <c r="D46" s="67">
        <v>1.7209302325581395</v>
      </c>
      <c r="E46" s="63">
        <v>0.51162790697674421</v>
      </c>
      <c r="F46" s="63">
        <v>0.23255813953488372</v>
      </c>
      <c r="G46" s="63">
        <v>0.34426229508196721</v>
      </c>
      <c r="H46" s="63">
        <v>0.13387978142076504</v>
      </c>
      <c r="I46" s="64">
        <v>7830.9523809523807</v>
      </c>
      <c r="J46" s="64">
        <v>-7651.0204081632655</v>
      </c>
      <c r="K46" s="63">
        <v>4.6511627906976744E-2</v>
      </c>
      <c r="L46" s="63">
        <v>9.3023255813953487E-2</v>
      </c>
      <c r="M46" s="63">
        <v>0.25136612021857924</v>
      </c>
      <c r="N46" s="63">
        <v>0.22131147540983606</v>
      </c>
      <c r="O46" s="63">
        <v>0.60869565217391308</v>
      </c>
      <c r="P46" s="63">
        <v>0.54320987654320985</v>
      </c>
      <c r="Q46" s="63">
        <v>0.41269841269841268</v>
      </c>
    </row>
    <row r="47" spans="1:17" x14ac:dyDescent="0.4">
      <c r="A47" s="65">
        <v>44</v>
      </c>
      <c r="B47" s="62">
        <v>424.39999999999986</v>
      </c>
      <c r="C47" s="62">
        <v>9.6454545454545428</v>
      </c>
      <c r="D47" s="67">
        <v>1.7272727272727273</v>
      </c>
      <c r="E47" s="63">
        <v>0.5</v>
      </c>
      <c r="F47" s="63">
        <v>0.22727272727272727</v>
      </c>
      <c r="G47" s="63">
        <v>0.34491978609625668</v>
      </c>
      <c r="H47" s="63">
        <v>0.13368983957219252</v>
      </c>
      <c r="I47" s="64">
        <v>7813.1782945736431</v>
      </c>
      <c r="J47" s="64">
        <v>-7730</v>
      </c>
      <c r="K47" s="63">
        <v>4.5454545454545456E-2</v>
      </c>
      <c r="L47" s="63">
        <v>9.0909090909090912E-2</v>
      </c>
      <c r="M47" s="63">
        <v>0.25133689839572193</v>
      </c>
      <c r="N47" s="63">
        <v>0.22459893048128343</v>
      </c>
      <c r="O47" s="63">
        <v>0.6063829787234043</v>
      </c>
      <c r="P47" s="63">
        <v>0.54761904761904767</v>
      </c>
      <c r="Q47" s="63">
        <v>0.41860465116279072</v>
      </c>
    </row>
    <row r="48" spans="1:17" x14ac:dyDescent="0.4">
      <c r="A48" s="65">
        <v>45</v>
      </c>
      <c r="B48" s="62">
        <v>425.69999999999987</v>
      </c>
      <c r="C48" s="62">
        <v>9.4599999999999973</v>
      </c>
      <c r="D48" s="67">
        <v>1.7333333333333334</v>
      </c>
      <c r="E48" s="63">
        <v>0.48888888888888887</v>
      </c>
      <c r="F48" s="63">
        <v>0.22222222222222221</v>
      </c>
      <c r="G48" s="63">
        <v>0.34383202099737531</v>
      </c>
      <c r="H48" s="63">
        <v>0.13123359580052493</v>
      </c>
      <c r="I48" s="64">
        <v>7805.3435114503818</v>
      </c>
      <c r="J48" s="64">
        <v>-7730</v>
      </c>
      <c r="K48" s="63">
        <v>4.4444444444444446E-2</v>
      </c>
      <c r="L48" s="63">
        <v>8.8888888888888892E-2</v>
      </c>
      <c r="M48" s="63">
        <v>0.24934383202099739</v>
      </c>
      <c r="N48" s="63">
        <v>0.22572178477690288</v>
      </c>
      <c r="O48" s="63">
        <v>0.61052631578947369</v>
      </c>
      <c r="P48" s="63">
        <v>0.54651162790697672</v>
      </c>
      <c r="Q48" s="63">
        <v>0.41984732824427479</v>
      </c>
    </row>
    <row r="49" spans="1:17" x14ac:dyDescent="0.4">
      <c r="A49" s="65">
        <v>46</v>
      </c>
      <c r="B49" s="62">
        <v>465.7999999999999</v>
      </c>
      <c r="C49" s="62">
        <v>10.126086956521737</v>
      </c>
      <c r="D49" s="67">
        <v>1.7173913043478262</v>
      </c>
      <c r="E49" s="63">
        <v>0.5</v>
      </c>
      <c r="F49" s="63">
        <v>0.21739130434782608</v>
      </c>
      <c r="G49" s="63">
        <v>0.34961439588688947</v>
      </c>
      <c r="H49" s="63">
        <v>0.12853470437017994</v>
      </c>
      <c r="I49" s="64">
        <v>7780.1470588235297</v>
      </c>
      <c r="J49" s="64">
        <v>-7730</v>
      </c>
      <c r="K49" s="63">
        <v>4.3478260869565216E-2</v>
      </c>
      <c r="L49" s="63">
        <v>8.6956521739130432E-2</v>
      </c>
      <c r="M49" s="63">
        <v>0.25192802056555269</v>
      </c>
      <c r="N49" s="63">
        <v>0.2262210796915167</v>
      </c>
      <c r="O49" s="63">
        <v>0.61224489795918369</v>
      </c>
      <c r="P49" s="63">
        <v>0.55681818181818177</v>
      </c>
      <c r="Q49" s="63">
        <v>0.40441176470588236</v>
      </c>
    </row>
    <row r="50" spans="1:17" x14ac:dyDescent="0.4">
      <c r="A50" s="65">
        <v>47</v>
      </c>
      <c r="B50" s="62">
        <v>419.99999999999989</v>
      </c>
      <c r="C50" s="62">
        <v>8.9361702127659548</v>
      </c>
      <c r="D50" s="67">
        <v>1.7446808510638299</v>
      </c>
      <c r="E50" s="63">
        <v>0.48936170212765956</v>
      </c>
      <c r="F50" s="63">
        <v>0.23404255319148937</v>
      </c>
      <c r="G50" s="63">
        <v>0.34693877551020408</v>
      </c>
      <c r="H50" s="63">
        <v>0.1326530612244898</v>
      </c>
      <c r="I50" s="64">
        <v>7780.1470588235297</v>
      </c>
      <c r="J50" s="64">
        <v>-7611.5384615384619</v>
      </c>
      <c r="K50" s="63">
        <v>6.3829787234042548E-2</v>
      </c>
      <c r="L50" s="63">
        <v>8.5106382978723402E-2</v>
      </c>
      <c r="M50" s="63">
        <v>0.25</v>
      </c>
      <c r="N50" s="63">
        <v>0.22448979591836735</v>
      </c>
      <c r="O50" s="63">
        <v>0.61224489795918369</v>
      </c>
      <c r="P50" s="63">
        <v>0.55681818181818177</v>
      </c>
      <c r="Q50" s="63">
        <v>0.40441176470588236</v>
      </c>
    </row>
    <row r="51" spans="1:17" x14ac:dyDescent="0.4">
      <c r="A51" s="65">
        <v>48</v>
      </c>
      <c r="B51" s="62">
        <v>424.59999999999991</v>
      </c>
      <c r="C51" s="62">
        <v>8.8458333333333314</v>
      </c>
      <c r="D51" s="67">
        <v>1.75</v>
      </c>
      <c r="E51" s="63">
        <v>0.47916666666666669</v>
      </c>
      <c r="F51" s="63">
        <v>0.22916666666666666</v>
      </c>
      <c r="G51" s="63">
        <v>0.34508816120906799</v>
      </c>
      <c r="H51" s="63">
        <v>0.13098236775818639</v>
      </c>
      <c r="I51" s="64">
        <v>7810.9489051094888</v>
      </c>
      <c r="J51" s="64">
        <v>-7611.5384615384619</v>
      </c>
      <c r="K51" s="63">
        <v>6.25E-2</v>
      </c>
      <c r="L51" s="63">
        <v>8.3333333333333329E-2</v>
      </c>
      <c r="M51" s="63">
        <v>0.24685138539042822</v>
      </c>
      <c r="N51" s="63">
        <v>0.22418136020151133</v>
      </c>
      <c r="O51" s="63">
        <v>0.61224489795918369</v>
      </c>
      <c r="P51" s="63">
        <v>0.5617977528089888</v>
      </c>
      <c r="Q51" s="63">
        <v>0.40145985401459855</v>
      </c>
    </row>
    <row r="52" spans="1:17" x14ac:dyDescent="0.4">
      <c r="A52" s="65">
        <v>49</v>
      </c>
      <c r="B52" s="62">
        <v>427.39999999999992</v>
      </c>
      <c r="C52" s="62">
        <v>8.7224489795918352</v>
      </c>
      <c r="D52" s="67">
        <v>1.7551020408163265</v>
      </c>
      <c r="E52" s="63">
        <v>0.46938775510204084</v>
      </c>
      <c r="F52" s="63">
        <v>0.22448979591836735</v>
      </c>
      <c r="G52" s="63">
        <v>0.34320987654320989</v>
      </c>
      <c r="H52" s="63">
        <v>0.13333333333333333</v>
      </c>
      <c r="I52" s="64">
        <v>7871.223021582734</v>
      </c>
      <c r="J52" s="64">
        <v>-7509.2592592592591</v>
      </c>
      <c r="K52" s="63">
        <v>6.1224489795918366E-2</v>
      </c>
      <c r="L52" s="63">
        <v>8.1632653061224483E-2</v>
      </c>
      <c r="M52" s="63">
        <v>0.24444444444444444</v>
      </c>
      <c r="N52" s="63">
        <v>0.2271604938271605</v>
      </c>
      <c r="O52" s="63">
        <v>0.60606060606060608</v>
      </c>
      <c r="P52" s="63">
        <v>0.56521739130434778</v>
      </c>
      <c r="Q52" s="63">
        <v>0.40287769784172661</v>
      </c>
    </row>
    <row r="53" spans="1:17" x14ac:dyDescent="0.4">
      <c r="A53" s="65">
        <v>50</v>
      </c>
      <c r="B53" s="62">
        <v>474.2999999999999</v>
      </c>
      <c r="C53" s="62">
        <v>9.4859999999999971</v>
      </c>
      <c r="D53" s="67">
        <v>1.74</v>
      </c>
      <c r="E53" s="63">
        <v>0.48</v>
      </c>
      <c r="F53" s="63">
        <v>0.22</v>
      </c>
      <c r="G53" s="63">
        <v>0.3471882640586797</v>
      </c>
      <c r="H53" s="63">
        <v>0.13202933985330073</v>
      </c>
      <c r="I53" s="64">
        <v>7943.6619718309857</v>
      </c>
      <c r="J53" s="64">
        <v>-7509.2592592592591</v>
      </c>
      <c r="K53" s="63">
        <v>0.06</v>
      </c>
      <c r="L53" s="63">
        <v>0.1</v>
      </c>
      <c r="M53" s="63">
        <v>0.24938875305623473</v>
      </c>
      <c r="N53" s="63">
        <v>0.22493887530562348</v>
      </c>
      <c r="O53" s="63">
        <v>0.61764705882352944</v>
      </c>
      <c r="P53" s="63">
        <v>0.56521739130434778</v>
      </c>
      <c r="Q53" s="63">
        <v>0.40140845070422537</v>
      </c>
    </row>
    <row r="54" spans="1:17" x14ac:dyDescent="0.4">
      <c r="A54" s="65">
        <v>51</v>
      </c>
      <c r="B54" s="62">
        <v>500.7999999999999</v>
      </c>
      <c r="C54" s="62">
        <v>9.8196078431372538</v>
      </c>
      <c r="D54" s="67">
        <v>1.7254901960784315</v>
      </c>
      <c r="E54" s="63">
        <v>0.49019607843137253</v>
      </c>
      <c r="F54" s="63">
        <v>0.21568627450980393</v>
      </c>
      <c r="G54" s="63">
        <v>0.34523809523809523</v>
      </c>
      <c r="H54" s="63">
        <v>0.13333333333333333</v>
      </c>
      <c r="I54" s="64">
        <v>7962.7586206896549</v>
      </c>
      <c r="J54" s="64">
        <v>-7310.7142857142853</v>
      </c>
      <c r="K54" s="63">
        <v>5.8823529411764705E-2</v>
      </c>
      <c r="L54" s="63">
        <v>9.8039215686274508E-2</v>
      </c>
      <c r="M54" s="63">
        <v>0.24761904761904763</v>
      </c>
      <c r="N54" s="63">
        <v>0.22619047619047619</v>
      </c>
      <c r="O54" s="63">
        <v>0.61538461538461542</v>
      </c>
      <c r="P54" s="63">
        <v>0.55789473684210522</v>
      </c>
      <c r="Q54" s="63">
        <v>0.39310344827586208</v>
      </c>
    </row>
    <row r="55" spans="1:17" x14ac:dyDescent="0.4">
      <c r="A55" s="65">
        <v>52</v>
      </c>
      <c r="B55" s="62">
        <v>534.89999999999986</v>
      </c>
      <c r="C55" s="62">
        <v>10.286538461538459</v>
      </c>
      <c r="D55" s="67">
        <v>1.7115384615384615</v>
      </c>
      <c r="E55" s="63">
        <v>0.5</v>
      </c>
      <c r="F55" s="63">
        <v>0.21153846153846154</v>
      </c>
      <c r="G55" s="63">
        <v>0.34741784037558687</v>
      </c>
      <c r="H55" s="63">
        <v>0.13145539906103287</v>
      </c>
      <c r="I55" s="64">
        <v>8003.3783783783783</v>
      </c>
      <c r="J55" s="64">
        <v>-7310.7142857142853</v>
      </c>
      <c r="K55" s="63">
        <v>5.7692307692307696E-2</v>
      </c>
      <c r="L55" s="63">
        <v>0.11538461538461539</v>
      </c>
      <c r="M55" s="63">
        <v>0.25117370892018781</v>
      </c>
      <c r="N55" s="63">
        <v>0.22300469483568075</v>
      </c>
      <c r="O55" s="63">
        <v>0.62616822429906538</v>
      </c>
      <c r="P55" s="63">
        <v>0.55789473684210522</v>
      </c>
      <c r="Q55" s="63">
        <v>0.38513513513513514</v>
      </c>
    </row>
    <row r="56" spans="1:17" x14ac:dyDescent="0.4">
      <c r="A56" s="65">
        <v>53</v>
      </c>
      <c r="B56" s="62">
        <v>539.49999999999989</v>
      </c>
      <c r="C56" s="62">
        <v>10.179245283018865</v>
      </c>
      <c r="D56" s="67">
        <v>1.7169811320754718</v>
      </c>
      <c r="E56" s="63">
        <v>0.49056603773584906</v>
      </c>
      <c r="F56" s="63">
        <v>0.20754716981132076</v>
      </c>
      <c r="G56" s="63">
        <v>0.3480278422273782</v>
      </c>
      <c r="H56" s="63">
        <v>0.13225058004640372</v>
      </c>
      <c r="I56" s="64">
        <v>8030</v>
      </c>
      <c r="J56" s="64">
        <v>-7385.9649122807014</v>
      </c>
      <c r="K56" s="63">
        <v>5.6603773584905662E-2</v>
      </c>
      <c r="L56" s="63">
        <v>0.11320754716981132</v>
      </c>
      <c r="M56" s="63">
        <v>0.25058004640371229</v>
      </c>
      <c r="N56" s="63">
        <v>0.22273781902552203</v>
      </c>
      <c r="O56" s="63">
        <v>0.62962962962962965</v>
      </c>
      <c r="P56" s="63">
        <v>0.55208333333333337</v>
      </c>
      <c r="Q56" s="63">
        <v>0.38666666666666666</v>
      </c>
    </row>
    <row r="57" spans="1:17" x14ac:dyDescent="0.4">
      <c r="A57" s="65">
        <v>54</v>
      </c>
      <c r="B57" s="62">
        <v>566.59999999999991</v>
      </c>
      <c r="C57" s="62">
        <v>10.49259259259259</v>
      </c>
      <c r="D57" s="67">
        <v>1.7037037037037037</v>
      </c>
      <c r="E57" s="63">
        <v>0.5</v>
      </c>
      <c r="F57" s="63">
        <v>0.20370370370370369</v>
      </c>
      <c r="G57" s="63">
        <v>0.35079726651480636</v>
      </c>
      <c r="H57" s="63">
        <v>0.13439635535307518</v>
      </c>
      <c r="I57" s="64">
        <v>8001.2987012987014</v>
      </c>
      <c r="J57" s="64">
        <v>-7383.0508474576272</v>
      </c>
      <c r="K57" s="63">
        <v>5.5555555555555552E-2</v>
      </c>
      <c r="L57" s="63">
        <v>0.1111111111111111</v>
      </c>
      <c r="M57" s="63">
        <v>0.24829157175398633</v>
      </c>
      <c r="N57" s="63">
        <v>0.2255125284738041</v>
      </c>
      <c r="O57" s="63">
        <v>0.6330275229357798</v>
      </c>
      <c r="P57" s="63">
        <v>0.55555555555555558</v>
      </c>
      <c r="Q57" s="63">
        <v>0.38311688311688313</v>
      </c>
    </row>
    <row r="58" spans="1:17" x14ac:dyDescent="0.4">
      <c r="A58" s="65">
        <v>55</v>
      </c>
      <c r="B58" s="62">
        <v>584.59999999999991</v>
      </c>
      <c r="C58" s="62">
        <v>10.629090909090907</v>
      </c>
      <c r="D58" s="67">
        <v>1.6909090909090909</v>
      </c>
      <c r="E58" s="63">
        <v>0.50909090909090904</v>
      </c>
      <c r="F58" s="63">
        <v>0.2</v>
      </c>
      <c r="G58" s="63">
        <v>0.34977578475336324</v>
      </c>
      <c r="H58" s="63">
        <v>0.1367713004484305</v>
      </c>
      <c r="I58" s="64">
        <v>7975.6410256410254</v>
      </c>
      <c r="J58" s="64">
        <v>-7181.9672131147545</v>
      </c>
      <c r="K58" s="63">
        <v>5.4545454545454543E-2</v>
      </c>
      <c r="L58" s="63">
        <v>0.10909090909090909</v>
      </c>
      <c r="M58" s="63">
        <v>0.25112107623318386</v>
      </c>
      <c r="N58" s="63">
        <v>0.22421524663677131</v>
      </c>
      <c r="O58" s="63">
        <v>0.6339285714285714</v>
      </c>
      <c r="P58" s="63">
        <v>0.55000000000000004</v>
      </c>
      <c r="Q58" s="63">
        <v>0.39102564102564102</v>
      </c>
    </row>
    <row r="59" spans="1:17" x14ac:dyDescent="0.4">
      <c r="A59" s="65">
        <v>56</v>
      </c>
      <c r="B59" s="62">
        <v>590.69999999999993</v>
      </c>
      <c r="C59" s="62">
        <v>10.548214285714284</v>
      </c>
      <c r="D59" s="67">
        <v>1.6964285714285714</v>
      </c>
      <c r="E59" s="63">
        <v>0.5</v>
      </c>
      <c r="F59" s="63">
        <v>0.19642857142857142</v>
      </c>
      <c r="G59" s="63">
        <v>0.34945054945054943</v>
      </c>
      <c r="H59" s="63">
        <v>0.13626373626373625</v>
      </c>
      <c r="I59" s="64">
        <v>7983.0188679245284</v>
      </c>
      <c r="J59" s="64">
        <v>-7117.7419354838712</v>
      </c>
      <c r="K59" s="63">
        <v>5.3571428571428568E-2</v>
      </c>
      <c r="L59" s="63">
        <v>0.10714285714285714</v>
      </c>
      <c r="M59" s="63">
        <v>0.25274725274725274</v>
      </c>
      <c r="N59" s="63">
        <v>0.22857142857142856</v>
      </c>
      <c r="O59" s="63">
        <v>0.62608695652173918</v>
      </c>
      <c r="P59" s="63">
        <v>0.53846153846153844</v>
      </c>
      <c r="Q59" s="63">
        <v>0.40251572327044027</v>
      </c>
    </row>
    <row r="60" spans="1:17" x14ac:dyDescent="0.4">
      <c r="A60" s="65">
        <v>57</v>
      </c>
      <c r="B60" s="62">
        <v>593.09999999999991</v>
      </c>
      <c r="C60" s="62">
        <v>10.405263157894735</v>
      </c>
      <c r="D60" s="67">
        <v>1.7017543859649122</v>
      </c>
      <c r="E60" s="63">
        <v>0.49122807017543857</v>
      </c>
      <c r="F60" s="63">
        <v>0.19298245614035087</v>
      </c>
      <c r="G60" s="63">
        <v>0.34773218142548595</v>
      </c>
      <c r="H60" s="63">
        <v>0.14038876889848811</v>
      </c>
      <c r="I60" s="64">
        <v>8080.7453416149065</v>
      </c>
      <c r="J60" s="64">
        <v>-7120</v>
      </c>
      <c r="K60" s="63">
        <v>5.2631578947368418E-2</v>
      </c>
      <c r="L60" s="63">
        <v>0.10526315789473684</v>
      </c>
      <c r="M60" s="63">
        <v>0.25269978401727861</v>
      </c>
      <c r="N60" s="63">
        <v>0.23110151187904968</v>
      </c>
      <c r="O60" s="63">
        <v>0.62393162393162394</v>
      </c>
      <c r="P60" s="63">
        <v>0.53271028037383172</v>
      </c>
      <c r="Q60" s="63">
        <v>0.40372670807453415</v>
      </c>
    </row>
    <row r="61" spans="1:17" x14ac:dyDescent="0.4">
      <c r="A61" s="65">
        <v>58</v>
      </c>
      <c r="B61" s="62">
        <v>597.59999999999991</v>
      </c>
      <c r="C61" s="62">
        <v>10.303448275862067</v>
      </c>
      <c r="D61" s="67">
        <v>1.7068965517241379</v>
      </c>
      <c r="E61" s="63">
        <v>0.48275862068965519</v>
      </c>
      <c r="F61" s="63">
        <v>0.18965517241379309</v>
      </c>
      <c r="G61" s="63">
        <v>0.34533898305084748</v>
      </c>
      <c r="H61" s="63">
        <v>0.14194915254237289</v>
      </c>
      <c r="I61" s="64">
        <v>8076.687116564417</v>
      </c>
      <c r="J61" s="64">
        <v>-7052.2388059701489</v>
      </c>
      <c r="K61" s="63">
        <v>5.1724137931034482E-2</v>
      </c>
      <c r="L61" s="63">
        <v>0.10344827586206896</v>
      </c>
      <c r="M61" s="63">
        <v>0.2521186440677966</v>
      </c>
      <c r="N61" s="63">
        <v>0.23305084745762711</v>
      </c>
      <c r="O61" s="63">
        <v>0.62184873949579833</v>
      </c>
      <c r="P61" s="63">
        <v>0.52727272727272723</v>
      </c>
      <c r="Q61" s="63">
        <v>0.3987730061349693</v>
      </c>
    </row>
    <row r="62" spans="1:17" x14ac:dyDescent="0.4">
      <c r="A62" s="65">
        <v>59</v>
      </c>
      <c r="B62" s="62">
        <v>571.59999999999991</v>
      </c>
      <c r="C62" s="62">
        <v>9.6881355932203377</v>
      </c>
      <c r="D62" s="67">
        <v>1.728813559322034</v>
      </c>
      <c r="E62" s="63">
        <v>0.47457627118644069</v>
      </c>
      <c r="F62" s="63">
        <v>0.20338983050847459</v>
      </c>
      <c r="G62" s="63">
        <v>0.3388773388773389</v>
      </c>
      <c r="H62" s="63">
        <v>0.14345114345114346</v>
      </c>
      <c r="I62" s="64">
        <v>8076.687116564417</v>
      </c>
      <c r="J62" s="64">
        <v>-7034.782608695652</v>
      </c>
      <c r="K62" s="63">
        <v>5.0847457627118647E-2</v>
      </c>
      <c r="L62" s="63">
        <v>0.10169491525423729</v>
      </c>
      <c r="M62" s="63">
        <v>0.24948024948024949</v>
      </c>
      <c r="N62" s="63">
        <v>0.23700623700623702</v>
      </c>
      <c r="O62" s="63">
        <v>0.6166666666666667</v>
      </c>
      <c r="P62" s="63">
        <v>0.50877192982456143</v>
      </c>
      <c r="Q62" s="63">
        <v>0.3987730061349693</v>
      </c>
    </row>
    <row r="63" spans="1:17" x14ac:dyDescent="0.4">
      <c r="A63" s="65">
        <v>60</v>
      </c>
      <c r="B63" s="62">
        <v>544.59999999999991</v>
      </c>
      <c r="C63" s="62">
        <v>9.0766666666666644</v>
      </c>
      <c r="D63" s="67">
        <v>1.75</v>
      </c>
      <c r="E63" s="63">
        <v>0.46666666666666667</v>
      </c>
      <c r="F63" s="63">
        <v>0.21666666666666667</v>
      </c>
      <c r="G63" s="63">
        <v>0.33606557377049179</v>
      </c>
      <c r="H63" s="63">
        <v>0.14344262295081966</v>
      </c>
      <c r="I63" s="64">
        <v>8037.1951219512193</v>
      </c>
      <c r="J63" s="64">
        <v>-7008.5714285714284</v>
      </c>
      <c r="K63" s="63">
        <v>0.05</v>
      </c>
      <c r="L63" s="63">
        <v>0.1</v>
      </c>
      <c r="M63" s="63">
        <v>0.24795081967213115</v>
      </c>
      <c r="N63" s="63">
        <v>0.23770491803278687</v>
      </c>
      <c r="O63" s="63">
        <v>0.61157024793388426</v>
      </c>
      <c r="P63" s="63">
        <v>0.50862068965517238</v>
      </c>
      <c r="Q63" s="63">
        <v>0.40243902439024393</v>
      </c>
    </row>
    <row r="64" spans="1:17" x14ac:dyDescent="0.4">
      <c r="A64" s="65">
        <v>61</v>
      </c>
      <c r="B64" s="62">
        <v>527.79999999999995</v>
      </c>
      <c r="C64" s="62">
        <v>8.6524590163934416</v>
      </c>
      <c r="D64" s="67">
        <v>1.7704918032786885</v>
      </c>
      <c r="E64" s="63">
        <v>0.45901639344262296</v>
      </c>
      <c r="F64" s="63">
        <v>0.22950819672131148</v>
      </c>
      <c r="G64" s="63">
        <v>0.33333333333333331</v>
      </c>
      <c r="H64" s="63">
        <v>0.1465863453815261</v>
      </c>
      <c r="I64" s="64">
        <v>7999.3975903614455</v>
      </c>
      <c r="J64" s="64">
        <v>-6883.5616438356165</v>
      </c>
      <c r="K64" s="63">
        <v>4.9180327868852458E-2</v>
      </c>
      <c r="L64" s="63">
        <v>9.8360655737704916E-2</v>
      </c>
      <c r="M64" s="63">
        <v>0.24899598393574296</v>
      </c>
      <c r="N64" s="63">
        <v>0.23694779116465864</v>
      </c>
      <c r="O64" s="63">
        <v>0.60483870967741937</v>
      </c>
      <c r="P64" s="63">
        <v>0.5</v>
      </c>
      <c r="Q64" s="63">
        <v>0.40361445783132532</v>
      </c>
    </row>
    <row r="65" spans="1:17" x14ac:dyDescent="0.4">
      <c r="A65" s="65">
        <v>62</v>
      </c>
      <c r="B65" s="62">
        <v>531.9</v>
      </c>
      <c r="C65" s="62">
        <v>8.5790322580645153</v>
      </c>
      <c r="D65" s="67">
        <v>1.7741935483870968</v>
      </c>
      <c r="E65" s="63">
        <v>0.45161290322580644</v>
      </c>
      <c r="F65" s="63">
        <v>0.22580645161290322</v>
      </c>
      <c r="G65" s="63">
        <v>0.33200795228628233</v>
      </c>
      <c r="H65" s="63">
        <v>0.14512922465208747</v>
      </c>
      <c r="I65" s="64">
        <v>7964.0718562874254</v>
      </c>
      <c r="J65" s="64">
        <v>-6883.5616438356165</v>
      </c>
      <c r="K65" s="63">
        <v>4.8387096774193547E-2</v>
      </c>
      <c r="L65" s="63">
        <v>9.6774193548387094E-2</v>
      </c>
      <c r="M65" s="63">
        <v>0.24652087475149106</v>
      </c>
      <c r="N65" s="63">
        <v>0.23658051689860835</v>
      </c>
      <c r="O65" s="63">
        <v>0.60483870967741937</v>
      </c>
      <c r="P65" s="63">
        <v>0.49579831932773111</v>
      </c>
      <c r="Q65" s="63">
        <v>0.40718562874251496</v>
      </c>
    </row>
    <row r="66" spans="1:17" x14ac:dyDescent="0.4">
      <c r="A66" s="65">
        <v>63</v>
      </c>
      <c r="B66" s="62">
        <v>500.59999999999997</v>
      </c>
      <c r="C66" s="62">
        <v>7.9460317460317453</v>
      </c>
      <c r="D66" s="67">
        <v>1.7936507936507937</v>
      </c>
      <c r="E66" s="63">
        <v>0.44444444444444442</v>
      </c>
      <c r="F66" s="63">
        <v>0.23809523809523808</v>
      </c>
      <c r="G66" s="63">
        <v>0.32879377431906615</v>
      </c>
      <c r="H66" s="63">
        <v>0.14785992217898833</v>
      </c>
      <c r="I66" s="64">
        <v>7986.3905325443784</v>
      </c>
      <c r="J66" s="64">
        <v>-7032.894736842105</v>
      </c>
      <c r="K66" s="63">
        <v>4.7619047619047616E-2</v>
      </c>
      <c r="L66" s="63">
        <v>9.5238095238095233E-2</v>
      </c>
      <c r="M66" s="63">
        <v>0.24902723735408561</v>
      </c>
      <c r="N66" s="63">
        <v>0.23929961089494164</v>
      </c>
      <c r="O66" s="63">
        <v>0.59375</v>
      </c>
      <c r="P66" s="63">
        <v>0.48780487804878048</v>
      </c>
      <c r="Q66" s="63">
        <v>0.40828402366863903</v>
      </c>
    </row>
    <row r="67" spans="1:17" x14ac:dyDescent="0.4">
      <c r="A67" s="65">
        <v>64</v>
      </c>
      <c r="B67" s="62">
        <v>518.9</v>
      </c>
      <c r="C67" s="62">
        <v>8.1078124999999996</v>
      </c>
      <c r="D67" s="67">
        <v>1.78125</v>
      </c>
      <c r="E67" s="63">
        <v>0.453125</v>
      </c>
      <c r="F67" s="63">
        <v>0.234375</v>
      </c>
      <c r="G67" s="63">
        <v>0.32887189292543023</v>
      </c>
      <c r="H67" s="63">
        <v>0.14531548757170173</v>
      </c>
      <c r="I67" s="64">
        <v>8002.9069767441861</v>
      </c>
      <c r="J67" s="64">
        <v>-7032.894736842105</v>
      </c>
      <c r="K67" s="63">
        <v>4.6875E-2</v>
      </c>
      <c r="L67" s="63">
        <v>9.375E-2</v>
      </c>
      <c r="M67" s="63">
        <v>0.25047801147227533</v>
      </c>
      <c r="N67" s="63">
        <v>0.23709369024856597</v>
      </c>
      <c r="O67" s="63">
        <v>0.59541984732824427</v>
      </c>
      <c r="P67" s="63">
        <v>0.4838709677419355</v>
      </c>
      <c r="Q67" s="63">
        <v>0.41860465116279072</v>
      </c>
    </row>
    <row r="68" spans="1:17" x14ac:dyDescent="0.4">
      <c r="A68" s="65">
        <v>65</v>
      </c>
      <c r="B68" s="62">
        <v>538.1</v>
      </c>
      <c r="C68" s="62">
        <v>8.2784615384615385</v>
      </c>
      <c r="D68" s="67">
        <v>1.7692307692307692</v>
      </c>
      <c r="E68" s="63">
        <v>0.46153846153846156</v>
      </c>
      <c r="F68" s="63">
        <v>0.23076923076923078</v>
      </c>
      <c r="G68" s="63">
        <v>0.33207547169811319</v>
      </c>
      <c r="H68" s="63">
        <v>0.14339622641509434</v>
      </c>
      <c r="I68" s="64">
        <v>7955.681818181818</v>
      </c>
      <c r="J68" s="64">
        <v>-7032.894736842105</v>
      </c>
      <c r="K68" s="63">
        <v>4.6153846153846156E-2</v>
      </c>
      <c r="L68" s="63">
        <v>9.2307692307692313E-2</v>
      </c>
      <c r="M68" s="63">
        <v>0.25283018867924528</v>
      </c>
      <c r="N68" s="63">
        <v>0.23962264150943396</v>
      </c>
      <c r="O68" s="63">
        <v>0.58955223880597019</v>
      </c>
      <c r="P68" s="63">
        <v>0.48818897637795278</v>
      </c>
      <c r="Q68" s="63">
        <v>0.42045454545454547</v>
      </c>
    </row>
    <row r="69" spans="1:17" x14ac:dyDescent="0.4">
      <c r="A69" s="65">
        <v>66</v>
      </c>
      <c r="B69" s="62">
        <v>538.70000000000005</v>
      </c>
      <c r="C69" s="62">
        <v>8.1621212121212121</v>
      </c>
      <c r="D69" s="67">
        <v>1.7727272727272727</v>
      </c>
      <c r="E69" s="63">
        <v>0.45454545454545453</v>
      </c>
      <c r="F69" s="63">
        <v>0.22727272727272727</v>
      </c>
      <c r="G69" s="63">
        <v>0.33457249070631973</v>
      </c>
      <c r="H69" s="63">
        <v>0.14126394052044611</v>
      </c>
      <c r="I69" s="64">
        <v>7895</v>
      </c>
      <c r="J69" s="64">
        <v>-7032.894736842105</v>
      </c>
      <c r="K69" s="63">
        <v>4.5454545454545456E-2</v>
      </c>
      <c r="L69" s="63">
        <v>9.0909090909090912E-2</v>
      </c>
      <c r="M69" s="63">
        <v>0.25092936802973975</v>
      </c>
      <c r="N69" s="63">
        <v>0.23977695167286245</v>
      </c>
      <c r="O69" s="63">
        <v>0.59259259259259256</v>
      </c>
      <c r="P69" s="63">
        <v>0.49612403100775193</v>
      </c>
      <c r="Q69" s="63">
        <v>0.41666666666666669</v>
      </c>
    </row>
    <row r="70" spans="1:17" x14ac:dyDescent="0.4">
      <c r="A70" s="65">
        <v>67</v>
      </c>
      <c r="B70" s="62">
        <v>503.50000000000006</v>
      </c>
      <c r="C70" s="62">
        <v>7.5149253731343295</v>
      </c>
      <c r="D70" s="67">
        <v>1.791044776119403</v>
      </c>
      <c r="E70" s="63">
        <v>0.44776119402985076</v>
      </c>
      <c r="F70" s="63">
        <v>0.23880597014925373</v>
      </c>
      <c r="G70" s="63">
        <v>0.33211678832116787</v>
      </c>
      <c r="H70" s="63">
        <v>0.14051094890510948</v>
      </c>
      <c r="I70" s="64">
        <v>7902.7472527472528</v>
      </c>
      <c r="J70" s="64">
        <v>-7175.3246753246749</v>
      </c>
      <c r="K70" s="63">
        <v>4.4776119402985072E-2</v>
      </c>
      <c r="L70" s="63">
        <v>8.9552238805970144E-2</v>
      </c>
      <c r="M70" s="63">
        <v>0.25</v>
      </c>
      <c r="N70" s="63">
        <v>0.24270072992700731</v>
      </c>
      <c r="O70" s="63">
        <v>0.59124087591240881</v>
      </c>
      <c r="P70" s="63">
        <v>0.48872180451127817</v>
      </c>
      <c r="Q70" s="63">
        <v>0.41208791208791207</v>
      </c>
    </row>
    <row r="71" spans="1:17" x14ac:dyDescent="0.4">
      <c r="A71" s="65">
        <v>68</v>
      </c>
      <c r="B71" s="62">
        <v>544.1</v>
      </c>
      <c r="C71" s="62">
        <v>8.0014705882352946</v>
      </c>
      <c r="D71" s="67">
        <v>1.7794117647058822</v>
      </c>
      <c r="E71" s="63">
        <v>0.45588235294117646</v>
      </c>
      <c r="F71" s="63">
        <v>0.23529411764705882</v>
      </c>
      <c r="G71" s="63">
        <v>0.33634719710669075</v>
      </c>
      <c r="H71" s="63">
        <v>0.13924050632911392</v>
      </c>
      <c r="I71" s="64">
        <v>7886.5591397849466</v>
      </c>
      <c r="J71" s="64">
        <v>-7175.3246753246749</v>
      </c>
      <c r="K71" s="63">
        <v>4.4117647058823532E-2</v>
      </c>
      <c r="L71" s="63">
        <v>0.10294117647058823</v>
      </c>
      <c r="M71" s="63">
        <v>0.24954792043399637</v>
      </c>
      <c r="N71" s="63">
        <v>0.24231464737793851</v>
      </c>
      <c r="O71" s="63">
        <v>0.59420289855072461</v>
      </c>
      <c r="P71" s="63">
        <v>0.4925373134328358</v>
      </c>
      <c r="Q71" s="63">
        <v>0.40860215053763443</v>
      </c>
    </row>
    <row r="72" spans="1:17" x14ac:dyDescent="0.4">
      <c r="A72" s="65">
        <v>69</v>
      </c>
      <c r="B72" s="62">
        <v>576.5</v>
      </c>
      <c r="C72" s="62">
        <v>8.3550724637681153</v>
      </c>
      <c r="D72" s="67">
        <v>1.7681159420289856</v>
      </c>
      <c r="E72" s="63">
        <v>0.46376811594202899</v>
      </c>
      <c r="F72" s="63">
        <v>0.2318840579710145</v>
      </c>
      <c r="G72" s="63">
        <v>0.33745583038869259</v>
      </c>
      <c r="H72" s="63">
        <v>0.13780918727915195</v>
      </c>
      <c r="I72" s="64">
        <v>7899.4764397905756</v>
      </c>
      <c r="J72" s="64">
        <v>-7182.0512820512822</v>
      </c>
      <c r="K72" s="63">
        <v>4.3478260869565216E-2</v>
      </c>
      <c r="L72" s="63">
        <v>0.11594202898550725</v>
      </c>
      <c r="M72" s="63">
        <v>0.25265017667844525</v>
      </c>
      <c r="N72" s="63">
        <v>0.23851590106007067</v>
      </c>
      <c r="O72" s="63">
        <v>0.60139860139860135</v>
      </c>
      <c r="P72" s="63">
        <v>0.48888888888888887</v>
      </c>
      <c r="Q72" s="63">
        <v>0.41361256544502617</v>
      </c>
    </row>
    <row r="73" spans="1:17" x14ac:dyDescent="0.4">
      <c r="A73" s="65">
        <v>70</v>
      </c>
      <c r="B73" s="62">
        <v>544.79999999999995</v>
      </c>
      <c r="C73" s="62">
        <v>7.782857142857142</v>
      </c>
      <c r="D73" s="67">
        <v>1.7857142857142858</v>
      </c>
      <c r="E73" s="63">
        <v>0.45714285714285713</v>
      </c>
      <c r="F73" s="63">
        <v>0.24285714285714285</v>
      </c>
      <c r="G73" s="63">
        <v>0.33507853403141363</v>
      </c>
      <c r="H73" s="63">
        <v>0.13787085514834205</v>
      </c>
      <c r="I73" s="64">
        <v>7869.270833333333</v>
      </c>
      <c r="J73" s="64">
        <v>-7192.4050632911394</v>
      </c>
      <c r="K73" s="63">
        <v>4.2857142857142858E-2</v>
      </c>
      <c r="L73" s="63">
        <v>0.11428571428571428</v>
      </c>
      <c r="M73" s="63">
        <v>0.24956369982547993</v>
      </c>
      <c r="N73" s="63">
        <v>0.23734729493891799</v>
      </c>
      <c r="O73" s="63">
        <v>0.60139860139860135</v>
      </c>
      <c r="P73" s="63">
        <v>0.48529411764705882</v>
      </c>
      <c r="Q73" s="63">
        <v>0.41666666666666669</v>
      </c>
    </row>
    <row r="74" spans="1:17" x14ac:dyDescent="0.4">
      <c r="A74" s="65">
        <v>71</v>
      </c>
      <c r="B74" s="62">
        <v>502.09999999999997</v>
      </c>
      <c r="C74" s="62">
        <v>7.0718309859154926</v>
      </c>
      <c r="D74" s="67">
        <v>1.8028169014084507</v>
      </c>
      <c r="E74" s="63">
        <v>0.45070422535211269</v>
      </c>
      <c r="F74" s="63">
        <v>0.25352112676056338</v>
      </c>
      <c r="G74" s="63">
        <v>0.33390705679862304</v>
      </c>
      <c r="H74" s="63">
        <v>0.14285714285714285</v>
      </c>
      <c r="I74" s="64">
        <v>7860.3092783505153</v>
      </c>
      <c r="J74" s="64">
        <v>-7468.674698795181</v>
      </c>
      <c r="K74" s="63">
        <v>4.2253521126760563E-2</v>
      </c>
      <c r="L74" s="63">
        <v>0.11267605633802817</v>
      </c>
      <c r="M74" s="63">
        <v>0.2512908777969019</v>
      </c>
      <c r="N74" s="63">
        <v>0.23580034423407917</v>
      </c>
      <c r="O74" s="63">
        <v>0.60273972602739723</v>
      </c>
      <c r="P74" s="63">
        <v>0.48175182481751827</v>
      </c>
      <c r="Q74" s="63">
        <v>0.42268041237113402</v>
      </c>
    </row>
    <row r="75" spans="1:17" x14ac:dyDescent="0.4">
      <c r="A75" s="65">
        <v>72</v>
      </c>
      <c r="B75" s="62">
        <v>526.19999999999993</v>
      </c>
      <c r="C75" s="62">
        <v>7.3083333333333327</v>
      </c>
      <c r="D75" s="67">
        <v>1.7916666666666667</v>
      </c>
      <c r="E75" s="63">
        <v>0.45833333333333331</v>
      </c>
      <c r="F75" s="63">
        <v>0.25</v>
      </c>
      <c r="G75" s="63">
        <v>0.33616298811544992</v>
      </c>
      <c r="H75" s="63">
        <v>0.14091680814940577</v>
      </c>
      <c r="I75" s="64">
        <v>7842.424242424242</v>
      </c>
      <c r="J75" s="64">
        <v>-7468.674698795181</v>
      </c>
      <c r="K75" s="63">
        <v>4.1666666666666664E-2</v>
      </c>
      <c r="L75" s="63">
        <v>0.1111111111111111</v>
      </c>
      <c r="M75" s="63">
        <v>0.25127334465195245</v>
      </c>
      <c r="N75" s="63">
        <v>0.23769100169779286</v>
      </c>
      <c r="O75" s="63">
        <v>0.60810810810810811</v>
      </c>
      <c r="P75" s="63">
        <v>0.47857142857142859</v>
      </c>
      <c r="Q75" s="63">
        <v>0.42424242424242425</v>
      </c>
    </row>
    <row r="76" spans="1:17" x14ac:dyDescent="0.4">
      <c r="A76" s="65">
        <v>73</v>
      </c>
      <c r="B76" s="62">
        <v>550.99999999999989</v>
      </c>
      <c r="C76" s="62">
        <v>7.5479452054794507</v>
      </c>
      <c r="D76" s="67">
        <v>1.7808219178082192</v>
      </c>
      <c r="E76" s="63">
        <v>0.46575342465753422</v>
      </c>
      <c r="F76" s="63">
        <v>0.24657534246575341</v>
      </c>
      <c r="G76" s="63">
        <v>0.33835845896147404</v>
      </c>
      <c r="H76" s="63">
        <v>0.14237855946398659</v>
      </c>
      <c r="I76" s="64">
        <v>7834.6534653465351</v>
      </c>
      <c r="J76" s="64">
        <v>-7528.2352941176468</v>
      </c>
      <c r="K76" s="63">
        <v>4.1095890410958902E-2</v>
      </c>
      <c r="L76" s="63">
        <v>0.1095890410958904</v>
      </c>
      <c r="M76" s="63">
        <v>0.25628140703517588</v>
      </c>
      <c r="N76" s="63">
        <v>0.23785594639865998</v>
      </c>
      <c r="O76" s="63">
        <v>0.60784313725490191</v>
      </c>
      <c r="P76" s="63">
        <v>0.47887323943661969</v>
      </c>
      <c r="Q76" s="63">
        <v>0.42079207920792078</v>
      </c>
    </row>
    <row r="77" spans="1:17" x14ac:dyDescent="0.4">
      <c r="A77" s="65">
        <v>74</v>
      </c>
      <c r="B77" s="62">
        <v>576.49999999999989</v>
      </c>
      <c r="C77" s="62">
        <v>7.7905405405405386</v>
      </c>
      <c r="D77" s="67">
        <v>1.7702702702702702</v>
      </c>
      <c r="E77" s="63">
        <v>0.47297297297297297</v>
      </c>
      <c r="F77" s="63">
        <v>0.24324324324324326</v>
      </c>
      <c r="G77" s="63">
        <v>0.3383084577114428</v>
      </c>
      <c r="H77" s="63">
        <v>0.14096185737976782</v>
      </c>
      <c r="I77" s="64">
        <v>7836.2745098039213</v>
      </c>
      <c r="J77" s="64">
        <v>-7528.2352941176468</v>
      </c>
      <c r="K77" s="63">
        <v>4.0540540540540543E-2</v>
      </c>
      <c r="L77" s="63">
        <v>0.10810810810810811</v>
      </c>
      <c r="M77" s="63">
        <v>0.25538971807628524</v>
      </c>
      <c r="N77" s="63">
        <v>0.23714759535655058</v>
      </c>
      <c r="O77" s="63">
        <v>0.61038961038961037</v>
      </c>
      <c r="P77" s="63">
        <v>0.47552447552447552</v>
      </c>
      <c r="Q77" s="63">
        <v>0.42156862745098039</v>
      </c>
    </row>
    <row r="78" spans="1:17" x14ac:dyDescent="0.4">
      <c r="A78" s="65">
        <v>75</v>
      </c>
      <c r="B78" s="62">
        <v>601.29999999999984</v>
      </c>
      <c r="C78" s="62">
        <v>8.0173333333333314</v>
      </c>
      <c r="D78" s="67">
        <v>1.76</v>
      </c>
      <c r="E78" s="63">
        <v>0.48</v>
      </c>
      <c r="F78" s="63">
        <v>0.24</v>
      </c>
      <c r="G78" s="63">
        <v>0.33990147783251229</v>
      </c>
      <c r="H78" s="63">
        <v>0.13957307060755336</v>
      </c>
      <c r="I78" s="64">
        <v>7849.7584541062806</v>
      </c>
      <c r="J78" s="64">
        <v>-7528.2352941176468</v>
      </c>
      <c r="K78" s="63">
        <v>0.04</v>
      </c>
      <c r="L78" s="63">
        <v>0.10666666666666667</v>
      </c>
      <c r="M78" s="63">
        <v>0.25451559934318557</v>
      </c>
      <c r="N78" s="63">
        <v>0.2348111658456486</v>
      </c>
      <c r="O78" s="63">
        <v>0.61290322580645162</v>
      </c>
      <c r="P78" s="63">
        <v>0.47552447552447552</v>
      </c>
      <c r="Q78" s="63">
        <v>0.42028985507246375</v>
      </c>
    </row>
    <row r="79" spans="1:17" x14ac:dyDescent="0.4">
      <c r="A79" s="65">
        <v>76</v>
      </c>
      <c r="B79" s="62">
        <v>576.29999999999984</v>
      </c>
      <c r="C79" s="62">
        <v>7.5828947368421034</v>
      </c>
      <c r="D79" s="67">
        <v>1.7763157894736843</v>
      </c>
      <c r="E79" s="63">
        <v>0.47368421052631576</v>
      </c>
      <c r="F79" s="63">
        <v>0.25</v>
      </c>
      <c r="G79" s="63">
        <v>0.33658536585365856</v>
      </c>
      <c r="H79" s="63">
        <v>0.13983739837398373</v>
      </c>
      <c r="I79" s="64">
        <v>7849.7584541062806</v>
      </c>
      <c r="J79" s="64">
        <v>-7533.7209302325582</v>
      </c>
      <c r="K79" s="63">
        <v>3.9473684210526314E-2</v>
      </c>
      <c r="L79" s="63">
        <v>0.10526315789473684</v>
      </c>
      <c r="M79" s="63">
        <v>0.25365853658536586</v>
      </c>
      <c r="N79" s="63">
        <v>0.23577235772357724</v>
      </c>
      <c r="O79" s="63">
        <v>0.60897435897435892</v>
      </c>
      <c r="P79" s="63">
        <v>0.4689655172413793</v>
      </c>
      <c r="Q79" s="63">
        <v>0.42028985507246375</v>
      </c>
    </row>
    <row r="80" spans="1:17" x14ac:dyDescent="0.4">
      <c r="A80" s="65">
        <v>77</v>
      </c>
      <c r="B80" s="62">
        <v>546.79999999999984</v>
      </c>
      <c r="C80" s="62">
        <v>7.101298701298699</v>
      </c>
      <c r="D80" s="67">
        <v>1.7922077922077921</v>
      </c>
      <c r="E80" s="63">
        <v>0.46753246753246752</v>
      </c>
      <c r="F80" s="63">
        <v>0.25974025974025972</v>
      </c>
      <c r="G80" s="63">
        <v>0.33601286173633438</v>
      </c>
      <c r="H80" s="63">
        <v>0.13987138263665594</v>
      </c>
      <c r="I80" s="64">
        <v>7844.4976076555022</v>
      </c>
      <c r="J80" s="64">
        <v>-7580.4597701149423</v>
      </c>
      <c r="K80" s="63">
        <v>3.896103896103896E-2</v>
      </c>
      <c r="L80" s="63">
        <v>0.1038961038961039</v>
      </c>
      <c r="M80" s="63">
        <v>0.25241157556270094</v>
      </c>
      <c r="N80" s="63">
        <v>0.23794212218649519</v>
      </c>
      <c r="O80" s="63">
        <v>0.61146496815286622</v>
      </c>
      <c r="P80" s="63">
        <v>0.46621621621621623</v>
      </c>
      <c r="Q80" s="63">
        <v>0.42105263157894735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45889A-3A4D-471B-9FCA-924188515693}">
  <sheetPr codeName="Sheet8"/>
  <dimension ref="A1:Q40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166</v>
      </c>
      <c r="B1" s="66" t="s">
        <v>166</v>
      </c>
      <c r="C1" s="66" t="s">
        <v>166</v>
      </c>
      <c r="D1" s="67" t="s">
        <v>166</v>
      </c>
      <c r="E1" s="66" t="s">
        <v>166</v>
      </c>
      <c r="F1" s="66" t="s">
        <v>166</v>
      </c>
      <c r="G1" s="66" t="s">
        <v>166</v>
      </c>
      <c r="H1" s="66" t="s">
        <v>166</v>
      </c>
      <c r="I1" s="66" t="s">
        <v>166</v>
      </c>
      <c r="J1" s="66" t="s">
        <v>166</v>
      </c>
      <c r="K1" s="66" t="s">
        <v>166</v>
      </c>
      <c r="L1" s="66" t="s">
        <v>166</v>
      </c>
      <c r="M1" s="66" t="s">
        <v>166</v>
      </c>
      <c r="N1" s="66" t="s">
        <v>166</v>
      </c>
      <c r="O1" s="66" t="s">
        <v>166</v>
      </c>
      <c r="P1" s="66" t="s">
        <v>166</v>
      </c>
      <c r="Q1" s="66" t="s">
        <v>166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-4.5999999999999996</v>
      </c>
      <c r="C4" s="62">
        <v>-4.5999999999999996</v>
      </c>
      <c r="D4" s="67">
        <v>2</v>
      </c>
      <c r="E4" s="63">
        <v>0</v>
      </c>
      <c r="F4" s="63">
        <v>0</v>
      </c>
      <c r="G4" s="63">
        <v>0.3</v>
      </c>
      <c r="H4" s="63">
        <v>0.1</v>
      </c>
      <c r="I4" s="64">
        <v>5000</v>
      </c>
      <c r="J4" s="64">
        <v>-2600</v>
      </c>
      <c r="K4" s="63">
        <v>0</v>
      </c>
      <c r="L4" s="63">
        <v>0</v>
      </c>
      <c r="M4" s="63">
        <v>0.4</v>
      </c>
      <c r="N4" s="63">
        <v>0.2</v>
      </c>
      <c r="O4" s="63">
        <v>0.25</v>
      </c>
      <c r="P4" s="63">
        <v>0.5</v>
      </c>
      <c r="Q4" s="63">
        <v>0</v>
      </c>
    </row>
    <row r="5" spans="1:17" x14ac:dyDescent="0.4">
      <c r="A5" s="65">
        <v>2</v>
      </c>
      <c r="B5" s="62">
        <v>19.899999999999999</v>
      </c>
      <c r="C5" s="62">
        <v>9.9499999999999993</v>
      </c>
      <c r="D5" s="67">
        <v>1.5</v>
      </c>
      <c r="E5" s="63">
        <v>0.5</v>
      </c>
      <c r="F5" s="63">
        <v>0</v>
      </c>
      <c r="G5" s="63">
        <v>0.31578947368421051</v>
      </c>
      <c r="H5" s="63">
        <v>0.10526315789473684</v>
      </c>
      <c r="I5" s="64">
        <v>7000</v>
      </c>
      <c r="J5" s="64">
        <v>-7300</v>
      </c>
      <c r="K5" s="63">
        <v>0</v>
      </c>
      <c r="L5" s="63">
        <v>0</v>
      </c>
      <c r="M5" s="63">
        <v>0.36842105263157893</v>
      </c>
      <c r="N5" s="63">
        <v>0.26315789473684209</v>
      </c>
      <c r="O5" s="63">
        <v>0.42857142857142855</v>
      </c>
      <c r="P5" s="63">
        <v>0.4</v>
      </c>
      <c r="Q5" s="63">
        <v>0.33333333333333331</v>
      </c>
    </row>
    <row r="6" spans="1:17" x14ac:dyDescent="0.4">
      <c r="A6" s="65">
        <v>3</v>
      </c>
      <c r="B6" s="62">
        <v>-8.3000000000000007</v>
      </c>
      <c r="C6" s="62">
        <v>-2.7666666666666671</v>
      </c>
      <c r="D6" s="67">
        <v>2</v>
      </c>
      <c r="E6" s="63">
        <v>0.33333333333333331</v>
      </c>
      <c r="F6" s="63">
        <v>0.33333333333333331</v>
      </c>
      <c r="G6" s="63">
        <v>0.25925925925925924</v>
      </c>
      <c r="H6" s="63">
        <v>0.18518518518518517</v>
      </c>
      <c r="I6" s="64">
        <v>6557.1428571428569</v>
      </c>
      <c r="J6" s="64">
        <v>-6340</v>
      </c>
      <c r="K6" s="63">
        <v>0</v>
      </c>
      <c r="L6" s="63">
        <v>0</v>
      </c>
      <c r="M6" s="63">
        <v>0.33333333333333331</v>
      </c>
      <c r="N6" s="63">
        <v>0.22222222222222221</v>
      </c>
      <c r="O6" s="63">
        <v>0.44444444444444442</v>
      </c>
      <c r="P6" s="63">
        <v>0.33333333333333331</v>
      </c>
      <c r="Q6" s="63">
        <v>0.2857142857142857</v>
      </c>
    </row>
    <row r="7" spans="1:17" x14ac:dyDescent="0.4">
      <c r="A7" s="65">
        <v>4</v>
      </c>
      <c r="B7" s="62">
        <v>-30.7</v>
      </c>
      <c r="C7" s="62">
        <v>-7.6749999999999998</v>
      </c>
      <c r="D7" s="67">
        <v>2</v>
      </c>
      <c r="E7" s="63">
        <v>0.25</v>
      </c>
      <c r="F7" s="63">
        <v>0.25</v>
      </c>
      <c r="G7" s="63">
        <v>0.26315789473684209</v>
      </c>
      <c r="H7" s="63">
        <v>0.21052631578947367</v>
      </c>
      <c r="I7" s="64">
        <v>7390</v>
      </c>
      <c r="J7" s="64">
        <v>-8375</v>
      </c>
      <c r="K7" s="63">
        <v>0</v>
      </c>
      <c r="L7" s="63">
        <v>0</v>
      </c>
      <c r="M7" s="63">
        <v>0.34210526315789475</v>
      </c>
      <c r="N7" s="63">
        <v>0.23684210526315788</v>
      </c>
      <c r="O7" s="63">
        <v>0.46153846153846156</v>
      </c>
      <c r="P7" s="63">
        <v>0.33333333333333331</v>
      </c>
      <c r="Q7" s="63">
        <v>0.4</v>
      </c>
    </row>
    <row r="8" spans="1:17" x14ac:dyDescent="0.4">
      <c r="A8" s="65">
        <v>5</v>
      </c>
      <c r="B8" s="62">
        <v>-55.8</v>
      </c>
      <c r="C8" s="62">
        <v>-11.16</v>
      </c>
      <c r="D8" s="67">
        <v>2.2000000000000002</v>
      </c>
      <c r="E8" s="63">
        <v>0.2</v>
      </c>
      <c r="F8" s="63">
        <v>0.4</v>
      </c>
      <c r="G8" s="63">
        <v>0.24444444444444444</v>
      </c>
      <c r="H8" s="63">
        <v>0.22222222222222221</v>
      </c>
      <c r="I8" s="64">
        <v>7445.454545454545</v>
      </c>
      <c r="J8" s="64">
        <v>-8160</v>
      </c>
      <c r="K8" s="63">
        <v>0</v>
      </c>
      <c r="L8" s="63">
        <v>0</v>
      </c>
      <c r="M8" s="63">
        <v>0.28888888888888886</v>
      </c>
      <c r="N8" s="63">
        <v>0.26666666666666666</v>
      </c>
      <c r="O8" s="63">
        <v>0.46153846153846156</v>
      </c>
      <c r="P8" s="63">
        <v>0.33333333333333331</v>
      </c>
      <c r="Q8" s="63">
        <v>0.36363636363636365</v>
      </c>
    </row>
    <row r="9" spans="1:17" x14ac:dyDescent="0.4">
      <c r="A9" s="65">
        <v>6</v>
      </c>
      <c r="B9" s="62">
        <v>-40.799999999999997</v>
      </c>
      <c r="C9" s="62">
        <v>-6.8</v>
      </c>
      <c r="D9" s="67">
        <v>2</v>
      </c>
      <c r="E9" s="63">
        <v>0.33333333333333331</v>
      </c>
      <c r="F9" s="63">
        <v>0.33333333333333331</v>
      </c>
      <c r="G9" s="63">
        <v>0.24074074074074073</v>
      </c>
      <c r="H9" s="63">
        <v>0.22222222222222221</v>
      </c>
      <c r="I9" s="64">
        <v>7838.4615384615381</v>
      </c>
      <c r="J9" s="64">
        <v>-7925</v>
      </c>
      <c r="K9" s="63">
        <v>0</v>
      </c>
      <c r="L9" s="63">
        <v>0</v>
      </c>
      <c r="M9" s="63">
        <v>0.29629629629629628</v>
      </c>
      <c r="N9" s="63">
        <v>0.24074074074074073</v>
      </c>
      <c r="O9" s="63">
        <v>0.5</v>
      </c>
      <c r="P9" s="63">
        <v>0.30769230769230771</v>
      </c>
      <c r="Q9" s="63">
        <v>0.46153846153846156</v>
      </c>
    </row>
    <row r="10" spans="1:17" x14ac:dyDescent="0.4">
      <c r="A10" s="65">
        <v>7</v>
      </c>
      <c r="B10" s="62">
        <v>-71</v>
      </c>
      <c r="C10" s="62">
        <v>-10.142857142857142</v>
      </c>
      <c r="D10" s="67">
        <v>2.1428571428571428</v>
      </c>
      <c r="E10" s="63">
        <v>0.2857142857142857</v>
      </c>
      <c r="F10" s="63">
        <v>0.42857142857142855</v>
      </c>
      <c r="G10" s="63">
        <v>0.22058823529411764</v>
      </c>
      <c r="H10" s="63">
        <v>0.23529411764705882</v>
      </c>
      <c r="I10" s="64">
        <v>8180</v>
      </c>
      <c r="J10" s="64">
        <v>-7700</v>
      </c>
      <c r="K10" s="63">
        <v>0</v>
      </c>
      <c r="L10" s="63">
        <v>0</v>
      </c>
      <c r="M10" s="63">
        <v>0.25</v>
      </c>
      <c r="N10" s="63">
        <v>0.26470588235294118</v>
      </c>
      <c r="O10" s="63">
        <v>0.52941176470588236</v>
      </c>
      <c r="P10" s="63">
        <v>0.27777777777777779</v>
      </c>
      <c r="Q10" s="63">
        <v>0.46666666666666667</v>
      </c>
    </row>
    <row r="11" spans="1:17" x14ac:dyDescent="0.4">
      <c r="A11" s="65">
        <v>8</v>
      </c>
      <c r="B11" s="62">
        <v>-76.900000000000006</v>
      </c>
      <c r="C11" s="62">
        <v>-9.6125000000000007</v>
      </c>
      <c r="D11" s="67">
        <v>2.125</v>
      </c>
      <c r="E11" s="63">
        <v>0.25</v>
      </c>
      <c r="F11" s="63">
        <v>0.375</v>
      </c>
      <c r="G11" s="63">
        <v>0.21794871794871795</v>
      </c>
      <c r="H11" s="63">
        <v>0.20512820512820512</v>
      </c>
      <c r="I11" s="64">
        <v>7805.8823529411766</v>
      </c>
      <c r="J11" s="64">
        <v>-7700</v>
      </c>
      <c r="K11" s="63">
        <v>0</v>
      </c>
      <c r="L11" s="63">
        <v>0</v>
      </c>
      <c r="M11" s="63">
        <v>0.24358974358974358</v>
      </c>
      <c r="N11" s="63">
        <v>0.26923076923076922</v>
      </c>
      <c r="O11" s="63">
        <v>0.47368421052631576</v>
      </c>
      <c r="P11" s="63">
        <v>0.23809523809523808</v>
      </c>
      <c r="Q11" s="63">
        <v>0.47058823529411764</v>
      </c>
    </row>
    <row r="12" spans="1:17" x14ac:dyDescent="0.4">
      <c r="A12" s="65">
        <v>9</v>
      </c>
      <c r="B12" s="62">
        <v>-59.500000000000007</v>
      </c>
      <c r="C12" s="62">
        <v>-6.6111111111111116</v>
      </c>
      <c r="D12" s="67">
        <v>2</v>
      </c>
      <c r="E12" s="63">
        <v>0.33333333333333331</v>
      </c>
      <c r="F12" s="63">
        <v>0.33333333333333331</v>
      </c>
      <c r="G12" s="63">
        <v>0.2413793103448276</v>
      </c>
      <c r="H12" s="63">
        <v>0.19540229885057472</v>
      </c>
      <c r="I12" s="64">
        <v>7576.1904761904761</v>
      </c>
      <c r="J12" s="64">
        <v>-7552.9411764705883</v>
      </c>
      <c r="K12" s="63">
        <v>0</v>
      </c>
      <c r="L12" s="63">
        <v>0</v>
      </c>
      <c r="M12" s="63">
        <v>0.2413793103448276</v>
      </c>
      <c r="N12" s="63">
        <v>0.26436781609195403</v>
      </c>
      <c r="O12" s="63">
        <v>0.52380952380952384</v>
      </c>
      <c r="P12" s="63">
        <v>0.2608695652173913</v>
      </c>
      <c r="Q12" s="63">
        <v>0.52380952380952384</v>
      </c>
    </row>
    <row r="13" spans="1:17" x14ac:dyDescent="0.4">
      <c r="A13" s="65">
        <v>10</v>
      </c>
      <c r="B13" s="62">
        <v>-32.700000000000003</v>
      </c>
      <c r="C13" s="62">
        <v>-3.2700000000000005</v>
      </c>
      <c r="D13" s="67">
        <v>1.9</v>
      </c>
      <c r="E13" s="63">
        <v>0.4</v>
      </c>
      <c r="F13" s="63">
        <v>0.3</v>
      </c>
      <c r="G13" s="63">
        <v>0.25263157894736843</v>
      </c>
      <c r="H13" s="63">
        <v>0.18947368421052632</v>
      </c>
      <c r="I13" s="64">
        <v>7562.5</v>
      </c>
      <c r="J13" s="64">
        <v>-7277.7777777777774</v>
      </c>
      <c r="K13" s="63">
        <v>0</v>
      </c>
      <c r="L13" s="63">
        <v>0</v>
      </c>
      <c r="M13" s="63">
        <v>0.24210526315789474</v>
      </c>
      <c r="N13" s="63">
        <v>0.27368421052631581</v>
      </c>
      <c r="O13" s="63">
        <v>0.56521739130434778</v>
      </c>
      <c r="P13" s="63">
        <v>0.23076923076923078</v>
      </c>
      <c r="Q13" s="63">
        <v>0.5</v>
      </c>
    </row>
    <row r="14" spans="1:17" x14ac:dyDescent="0.4">
      <c r="A14" s="65">
        <v>11</v>
      </c>
      <c r="B14" s="62">
        <v>-35.5</v>
      </c>
      <c r="C14" s="62">
        <v>-3.2272727272727271</v>
      </c>
      <c r="D14" s="67">
        <v>1.9090909090909092</v>
      </c>
      <c r="E14" s="63">
        <v>0.36363636363636365</v>
      </c>
      <c r="F14" s="63">
        <v>0.27272727272727271</v>
      </c>
      <c r="G14" s="63">
        <v>0.24509803921568626</v>
      </c>
      <c r="H14" s="63">
        <v>0.17647058823529413</v>
      </c>
      <c r="I14" s="64">
        <v>7568</v>
      </c>
      <c r="J14" s="64">
        <v>-7277.7777777777774</v>
      </c>
      <c r="K14" s="63">
        <v>0</v>
      </c>
      <c r="L14" s="63">
        <v>0</v>
      </c>
      <c r="M14" s="63">
        <v>0.22549019607843138</v>
      </c>
      <c r="N14" s="63">
        <v>0.27450980392156865</v>
      </c>
      <c r="O14" s="63">
        <v>0.56521739130434778</v>
      </c>
      <c r="P14" s="63">
        <v>0.25</v>
      </c>
      <c r="Q14" s="63">
        <v>0.48</v>
      </c>
    </row>
    <row r="15" spans="1:17" x14ac:dyDescent="0.4">
      <c r="A15" s="65">
        <v>12</v>
      </c>
      <c r="B15" s="62">
        <v>-59.5</v>
      </c>
      <c r="C15" s="62">
        <v>-4.958333333333333</v>
      </c>
      <c r="D15" s="67">
        <v>2</v>
      </c>
      <c r="E15" s="63">
        <v>0.33333333333333331</v>
      </c>
      <c r="F15" s="63">
        <v>0.33333333333333331</v>
      </c>
      <c r="G15" s="63">
        <v>0.24324324324324326</v>
      </c>
      <c r="H15" s="63">
        <v>0.17117117117117117</v>
      </c>
      <c r="I15" s="64">
        <v>7451.8518518518522</v>
      </c>
      <c r="J15" s="64">
        <v>-7000</v>
      </c>
      <c r="K15" s="63">
        <v>0</v>
      </c>
      <c r="L15" s="63">
        <v>0</v>
      </c>
      <c r="M15" s="63">
        <v>0.21621621621621623</v>
      </c>
      <c r="N15" s="63">
        <v>0.27027027027027029</v>
      </c>
      <c r="O15" s="63">
        <v>0.58333333333333337</v>
      </c>
      <c r="P15" s="63">
        <v>0.26666666666666666</v>
      </c>
      <c r="Q15" s="63">
        <v>0.48148148148148145</v>
      </c>
    </row>
    <row r="16" spans="1:17" x14ac:dyDescent="0.4">
      <c r="A16" s="65">
        <v>13</v>
      </c>
      <c r="B16" s="62">
        <v>-66.2</v>
      </c>
      <c r="C16" s="62">
        <v>-5.0923076923076929</v>
      </c>
      <c r="D16" s="67">
        <v>2</v>
      </c>
      <c r="E16" s="63">
        <v>0.30769230769230771</v>
      </c>
      <c r="F16" s="63">
        <v>0.30769230769230771</v>
      </c>
      <c r="G16" s="63">
        <v>0.24590163934426229</v>
      </c>
      <c r="H16" s="63">
        <v>0.1721311475409836</v>
      </c>
      <c r="I16" s="64">
        <v>7803.333333333333</v>
      </c>
      <c r="J16" s="64">
        <v>-7457.1428571428569</v>
      </c>
      <c r="K16" s="63">
        <v>0</v>
      </c>
      <c r="L16" s="63">
        <v>0</v>
      </c>
      <c r="M16" s="63">
        <v>0.20491803278688525</v>
      </c>
      <c r="N16" s="63">
        <v>0.27868852459016391</v>
      </c>
      <c r="O16" s="63">
        <v>0.6</v>
      </c>
      <c r="P16" s="63">
        <v>0.23529411764705882</v>
      </c>
      <c r="Q16" s="63">
        <v>0.5</v>
      </c>
    </row>
    <row r="17" spans="1:17" x14ac:dyDescent="0.4">
      <c r="A17" s="65">
        <v>14</v>
      </c>
      <c r="B17" s="62">
        <v>-51.1</v>
      </c>
      <c r="C17" s="62">
        <v>-3.65</v>
      </c>
      <c r="D17" s="67">
        <v>1.9285714285714286</v>
      </c>
      <c r="E17" s="63">
        <v>0.35714285714285715</v>
      </c>
      <c r="F17" s="63">
        <v>0.2857142857142857</v>
      </c>
      <c r="G17" s="63">
        <v>0.25</v>
      </c>
      <c r="H17" s="63">
        <v>0.17424242424242425</v>
      </c>
      <c r="I17" s="64">
        <v>7793.939393939394</v>
      </c>
      <c r="J17" s="64">
        <v>-7395.652173913043</v>
      </c>
      <c r="K17" s="63">
        <v>0</v>
      </c>
      <c r="L17" s="63">
        <v>0</v>
      </c>
      <c r="M17" s="63">
        <v>0.18939393939393939</v>
      </c>
      <c r="N17" s="63">
        <v>0.27272727272727271</v>
      </c>
      <c r="O17" s="63">
        <v>0.6</v>
      </c>
      <c r="P17" s="63">
        <v>0.25</v>
      </c>
      <c r="Q17" s="63">
        <v>0.51515151515151514</v>
      </c>
    </row>
    <row r="18" spans="1:17" x14ac:dyDescent="0.4">
      <c r="A18" s="65">
        <v>15</v>
      </c>
      <c r="B18" s="62">
        <v>-65.2</v>
      </c>
      <c r="C18" s="62">
        <v>-4.3466666666666667</v>
      </c>
      <c r="D18" s="67">
        <v>2</v>
      </c>
      <c r="E18" s="63">
        <v>0.33333333333333331</v>
      </c>
      <c r="F18" s="63">
        <v>0.33333333333333331</v>
      </c>
      <c r="G18" s="63">
        <v>0.25</v>
      </c>
      <c r="H18" s="63">
        <v>0.1736111111111111</v>
      </c>
      <c r="I18" s="64">
        <v>7527.7777777777774</v>
      </c>
      <c r="J18" s="64">
        <v>-7108</v>
      </c>
      <c r="K18" s="63">
        <v>0</v>
      </c>
      <c r="L18" s="63">
        <v>0</v>
      </c>
      <c r="M18" s="63">
        <v>0.1875</v>
      </c>
      <c r="N18" s="63">
        <v>0.25694444444444442</v>
      </c>
      <c r="O18" s="63">
        <v>0.59259259259259256</v>
      </c>
      <c r="P18" s="63">
        <v>0.27027027027027029</v>
      </c>
      <c r="Q18" s="63">
        <v>0.5</v>
      </c>
    </row>
    <row r="19" spans="1:17" x14ac:dyDescent="0.4">
      <c r="A19" s="65">
        <v>16</v>
      </c>
      <c r="B19" s="62">
        <v>-70.600000000000009</v>
      </c>
      <c r="C19" s="62">
        <v>-4.4125000000000005</v>
      </c>
      <c r="D19" s="67">
        <v>2</v>
      </c>
      <c r="E19" s="63">
        <v>0.3125</v>
      </c>
      <c r="F19" s="63">
        <v>0.3125</v>
      </c>
      <c r="G19" s="63">
        <v>0.24025974025974026</v>
      </c>
      <c r="H19" s="63">
        <v>0.16883116883116883</v>
      </c>
      <c r="I19" s="64">
        <v>7540.5405405405409</v>
      </c>
      <c r="J19" s="64">
        <v>-6911.5384615384619</v>
      </c>
      <c r="K19" s="63">
        <v>0</v>
      </c>
      <c r="L19" s="63">
        <v>0</v>
      </c>
      <c r="M19" s="63">
        <v>0.18831168831168832</v>
      </c>
      <c r="N19" s="63">
        <v>0.24025974025974026</v>
      </c>
      <c r="O19" s="63">
        <v>0.58620689655172409</v>
      </c>
      <c r="P19" s="63">
        <v>0.27027027027027029</v>
      </c>
      <c r="Q19" s="63">
        <v>0.48648648648648651</v>
      </c>
    </row>
    <row r="20" spans="1:17" x14ac:dyDescent="0.4">
      <c r="A20" s="65">
        <v>17</v>
      </c>
      <c r="B20" s="62">
        <v>-65.2</v>
      </c>
      <c r="C20" s="62">
        <v>-3.835294117647059</v>
      </c>
      <c r="D20" s="67">
        <v>2</v>
      </c>
      <c r="E20" s="63">
        <v>0.29411764705882354</v>
      </c>
      <c r="F20" s="63">
        <v>0.29411764705882354</v>
      </c>
      <c r="G20" s="63">
        <v>0.24050632911392406</v>
      </c>
      <c r="H20" s="63">
        <v>0.16455696202531644</v>
      </c>
      <c r="I20" s="64">
        <v>7444.7368421052633</v>
      </c>
      <c r="J20" s="64">
        <v>-6911.5384615384619</v>
      </c>
      <c r="K20" s="63">
        <v>0</v>
      </c>
      <c r="L20" s="63">
        <v>0</v>
      </c>
      <c r="M20" s="63">
        <v>0.189873417721519</v>
      </c>
      <c r="N20" s="63">
        <v>0.23417721518987342</v>
      </c>
      <c r="O20" s="63">
        <v>0.56666666666666665</v>
      </c>
      <c r="P20" s="63">
        <v>0.27027027027027029</v>
      </c>
      <c r="Q20" s="63">
        <v>0.47368421052631576</v>
      </c>
    </row>
    <row r="21" spans="1:17" x14ac:dyDescent="0.4">
      <c r="A21" s="65">
        <v>18</v>
      </c>
      <c r="B21" s="62">
        <v>-80.2</v>
      </c>
      <c r="C21" s="62">
        <v>-4.4555555555555557</v>
      </c>
      <c r="D21" s="67">
        <v>2.0555555555555554</v>
      </c>
      <c r="E21" s="63">
        <v>0.27777777777777779</v>
      </c>
      <c r="F21" s="63">
        <v>0.33333333333333331</v>
      </c>
      <c r="G21" s="63">
        <v>0.24390243902439024</v>
      </c>
      <c r="H21" s="63">
        <v>0.16463414634146342</v>
      </c>
      <c r="I21" s="64">
        <v>7202.5</v>
      </c>
      <c r="J21" s="64">
        <v>-6848.1481481481478</v>
      </c>
      <c r="K21" s="63">
        <v>0</v>
      </c>
      <c r="L21" s="63">
        <v>0</v>
      </c>
      <c r="M21" s="63">
        <v>0.18902439024390244</v>
      </c>
      <c r="N21" s="63">
        <v>0.22560975609756098</v>
      </c>
      <c r="O21" s="63">
        <v>0.58064516129032262</v>
      </c>
      <c r="P21" s="63">
        <v>0.27027027027027029</v>
      </c>
      <c r="Q21" s="63">
        <v>0.5</v>
      </c>
    </row>
    <row r="22" spans="1:17" x14ac:dyDescent="0.4">
      <c r="A22" s="65">
        <v>19</v>
      </c>
      <c r="B22" s="62">
        <v>-115.1</v>
      </c>
      <c r="C22" s="62">
        <v>-6.0578947368421048</v>
      </c>
      <c r="D22" s="67">
        <v>2.1052631578947367</v>
      </c>
      <c r="E22" s="63">
        <v>0.26315789473684209</v>
      </c>
      <c r="F22" s="63">
        <v>0.36842105263157893</v>
      </c>
      <c r="G22" s="63">
        <v>0.23837209302325582</v>
      </c>
      <c r="H22" s="63">
        <v>0.1744186046511628</v>
      </c>
      <c r="I22" s="64">
        <v>7095.1219512195121</v>
      </c>
      <c r="J22" s="64">
        <v>-6670</v>
      </c>
      <c r="K22" s="63">
        <v>0</v>
      </c>
      <c r="L22" s="63">
        <v>0</v>
      </c>
      <c r="M22" s="63">
        <v>0.19186046511627908</v>
      </c>
      <c r="N22" s="63">
        <v>0.22674418604651161</v>
      </c>
      <c r="O22" s="63">
        <v>0.54545454545454541</v>
      </c>
      <c r="P22" s="63">
        <v>0.28205128205128205</v>
      </c>
      <c r="Q22" s="63">
        <v>0.51219512195121952</v>
      </c>
    </row>
    <row r="23" spans="1:17" x14ac:dyDescent="0.4">
      <c r="A23" s="65">
        <v>20</v>
      </c>
      <c r="B23" s="62">
        <v>-88.8</v>
      </c>
      <c r="C23" s="62">
        <v>-4.4399999999999995</v>
      </c>
      <c r="D23" s="67">
        <v>2.0499999999999998</v>
      </c>
      <c r="E23" s="63">
        <v>0.3</v>
      </c>
      <c r="F23" s="63">
        <v>0.35</v>
      </c>
      <c r="G23" s="63">
        <v>0.24444444444444444</v>
      </c>
      <c r="H23" s="63">
        <v>0.17777777777777778</v>
      </c>
      <c r="I23" s="64">
        <v>7134.090909090909</v>
      </c>
      <c r="J23" s="64">
        <v>-6525</v>
      </c>
      <c r="K23" s="63">
        <v>0</v>
      </c>
      <c r="L23" s="63">
        <v>0</v>
      </c>
      <c r="M23" s="63">
        <v>0.18333333333333332</v>
      </c>
      <c r="N23" s="63">
        <v>0.23333333333333334</v>
      </c>
      <c r="O23" s="63">
        <v>0.54545454545454541</v>
      </c>
      <c r="P23" s="63">
        <v>0.2857142857142857</v>
      </c>
      <c r="Q23" s="63">
        <v>0.52272727272727271</v>
      </c>
    </row>
    <row r="24" spans="1:17" x14ac:dyDescent="0.4">
      <c r="A24" s="65">
        <v>21</v>
      </c>
      <c r="B24" s="62">
        <v>-111.4</v>
      </c>
      <c r="C24" s="62">
        <v>-5.3047619047619055</v>
      </c>
      <c r="D24" s="67">
        <v>2.0952380952380953</v>
      </c>
      <c r="E24" s="63">
        <v>0.2857142857142857</v>
      </c>
      <c r="F24" s="63">
        <v>0.38095238095238093</v>
      </c>
      <c r="G24" s="63">
        <v>0.24468085106382978</v>
      </c>
      <c r="H24" s="63">
        <v>0.18085106382978725</v>
      </c>
      <c r="I24" s="64">
        <v>7336.95652173913</v>
      </c>
      <c r="J24" s="64">
        <v>-6647.0588235294117</v>
      </c>
      <c r="K24" s="63">
        <v>0</v>
      </c>
      <c r="L24" s="63">
        <v>0</v>
      </c>
      <c r="M24" s="63">
        <v>0.18617021276595744</v>
      </c>
      <c r="N24" s="63">
        <v>0.23404255319148937</v>
      </c>
      <c r="O24" s="63">
        <v>0.54285714285714282</v>
      </c>
      <c r="P24" s="63">
        <v>0.29545454545454547</v>
      </c>
      <c r="Q24" s="63">
        <v>0.5</v>
      </c>
    </row>
    <row r="25" spans="1:17" x14ac:dyDescent="0.4">
      <c r="A25" s="65">
        <v>22</v>
      </c>
      <c r="B25" s="62">
        <v>-142.80000000000001</v>
      </c>
      <c r="C25" s="62">
        <v>-6.4909090909090912</v>
      </c>
      <c r="D25" s="67">
        <v>2.1363636363636362</v>
      </c>
      <c r="E25" s="63">
        <v>0.27272727272727271</v>
      </c>
      <c r="F25" s="63">
        <v>0.40909090909090912</v>
      </c>
      <c r="G25" s="63">
        <v>0.25510204081632654</v>
      </c>
      <c r="H25" s="63">
        <v>0.18367346938775511</v>
      </c>
      <c r="I25" s="64">
        <v>7004</v>
      </c>
      <c r="J25" s="64">
        <v>-6530.5555555555557</v>
      </c>
      <c r="K25" s="63">
        <v>0</v>
      </c>
      <c r="L25" s="63">
        <v>0</v>
      </c>
      <c r="M25" s="63">
        <v>0.18367346938775511</v>
      </c>
      <c r="N25" s="63">
        <v>0.22448979591836735</v>
      </c>
      <c r="O25" s="63">
        <v>0.52777777777777779</v>
      </c>
      <c r="P25" s="63">
        <v>0.29545454545454547</v>
      </c>
      <c r="Q25" s="63">
        <v>0.5</v>
      </c>
    </row>
    <row r="26" spans="1:17" x14ac:dyDescent="0.4">
      <c r="A26" s="65">
        <v>23</v>
      </c>
      <c r="B26" s="62">
        <v>-80.900000000000006</v>
      </c>
      <c r="C26" s="62">
        <v>-3.5173913043478264</v>
      </c>
      <c r="D26" s="67">
        <v>2.0869565217391304</v>
      </c>
      <c r="E26" s="63">
        <v>0.30434782608695654</v>
      </c>
      <c r="F26" s="63">
        <v>0.39130434782608697</v>
      </c>
      <c r="G26" s="63">
        <v>0.2613065326633166</v>
      </c>
      <c r="H26" s="63">
        <v>0.18090452261306533</v>
      </c>
      <c r="I26" s="64">
        <v>7713.4615384615381</v>
      </c>
      <c r="J26" s="64">
        <v>-6530.5555555555557</v>
      </c>
      <c r="K26" s="63">
        <v>0</v>
      </c>
      <c r="L26" s="63">
        <v>4.3478260869565216E-2</v>
      </c>
      <c r="M26" s="63">
        <v>0.18090452261306533</v>
      </c>
      <c r="N26" s="63">
        <v>0.23115577889447236</v>
      </c>
      <c r="O26" s="63">
        <v>0.52777777777777779</v>
      </c>
      <c r="P26" s="63">
        <v>0.30434782608695654</v>
      </c>
      <c r="Q26" s="63">
        <v>0.5</v>
      </c>
    </row>
    <row r="27" spans="1:17" x14ac:dyDescent="0.4">
      <c r="A27" s="65">
        <v>24</v>
      </c>
      <c r="B27" s="62">
        <v>-111.60000000000001</v>
      </c>
      <c r="C27" s="62">
        <v>-4.6500000000000004</v>
      </c>
      <c r="D27" s="67">
        <v>2.125</v>
      </c>
      <c r="E27" s="63">
        <v>0.29166666666666669</v>
      </c>
      <c r="F27" s="63">
        <v>0.41666666666666669</v>
      </c>
      <c r="G27" s="63">
        <v>0.25728155339805825</v>
      </c>
      <c r="H27" s="63">
        <v>0.17475728155339806</v>
      </c>
      <c r="I27" s="64">
        <v>7605.6603773584902</v>
      </c>
      <c r="J27" s="64">
        <v>-6530.5555555555557</v>
      </c>
      <c r="K27" s="63">
        <v>0</v>
      </c>
      <c r="L27" s="63">
        <v>4.1666666666666664E-2</v>
      </c>
      <c r="M27" s="63">
        <v>0.18446601941747573</v>
      </c>
      <c r="N27" s="63">
        <v>0.22815533980582525</v>
      </c>
      <c r="O27" s="63">
        <v>0.52631578947368418</v>
      </c>
      <c r="P27" s="63">
        <v>0.2978723404255319</v>
      </c>
      <c r="Q27" s="63">
        <v>0.49056603773584906</v>
      </c>
    </row>
    <row r="28" spans="1:17" x14ac:dyDescent="0.4">
      <c r="A28" s="65">
        <v>25</v>
      </c>
      <c r="B28" s="62">
        <v>-97.500000000000014</v>
      </c>
      <c r="C28" s="62">
        <v>-3.9000000000000004</v>
      </c>
      <c r="D28" s="67">
        <v>2.08</v>
      </c>
      <c r="E28" s="63">
        <v>0.32</v>
      </c>
      <c r="F28" s="63">
        <v>0.4</v>
      </c>
      <c r="G28" s="63">
        <v>0.2570093457943925</v>
      </c>
      <c r="H28" s="63">
        <v>0.16822429906542055</v>
      </c>
      <c r="I28" s="64">
        <v>7574.545454545455</v>
      </c>
      <c r="J28" s="64">
        <v>-6530.5555555555557</v>
      </c>
      <c r="K28" s="63">
        <v>0</v>
      </c>
      <c r="L28" s="63">
        <v>0.04</v>
      </c>
      <c r="M28" s="63">
        <v>0.1822429906542056</v>
      </c>
      <c r="N28" s="63">
        <v>0.23364485981308411</v>
      </c>
      <c r="O28" s="63">
        <v>0.51282051282051277</v>
      </c>
      <c r="P28" s="63">
        <v>0.32</v>
      </c>
      <c r="Q28" s="63">
        <v>0.47272727272727272</v>
      </c>
    </row>
    <row r="29" spans="1:17" x14ac:dyDescent="0.4">
      <c r="A29" s="65">
        <v>26</v>
      </c>
      <c r="B29" s="62">
        <v>-123.10000000000002</v>
      </c>
      <c r="C29" s="62">
        <v>-4.7346153846153856</v>
      </c>
      <c r="D29" s="67">
        <v>2.1153846153846154</v>
      </c>
      <c r="E29" s="63">
        <v>0.30769230769230771</v>
      </c>
      <c r="F29" s="63">
        <v>0.42307692307692307</v>
      </c>
      <c r="G29" s="63">
        <v>0.2556053811659193</v>
      </c>
      <c r="H29" s="63">
        <v>0.17040358744394618</v>
      </c>
      <c r="I29" s="64">
        <v>7424.5614035087719</v>
      </c>
      <c r="J29" s="64">
        <v>-6605.2631578947367</v>
      </c>
      <c r="K29" s="63">
        <v>0</v>
      </c>
      <c r="L29" s="63">
        <v>3.8461538461538464E-2</v>
      </c>
      <c r="M29" s="63">
        <v>0.17488789237668162</v>
      </c>
      <c r="N29" s="63">
        <v>0.23318385650224216</v>
      </c>
      <c r="O29" s="63">
        <v>0.51282051282051277</v>
      </c>
      <c r="P29" s="63">
        <v>0.32692307692307693</v>
      </c>
      <c r="Q29" s="63">
        <v>0.47368421052631576</v>
      </c>
    </row>
    <row r="30" spans="1:17" x14ac:dyDescent="0.4">
      <c r="A30" s="65">
        <v>27</v>
      </c>
      <c r="B30" s="62">
        <v>-125.20000000000002</v>
      </c>
      <c r="C30" s="62">
        <v>-4.6370370370370377</v>
      </c>
      <c r="D30" s="67">
        <v>2.1111111111111112</v>
      </c>
      <c r="E30" s="63">
        <v>0.29629629629629628</v>
      </c>
      <c r="F30" s="63">
        <v>0.40740740740740738</v>
      </c>
      <c r="G30" s="63">
        <v>0.25431034482758619</v>
      </c>
      <c r="H30" s="63">
        <v>0.17241379310344829</v>
      </c>
      <c r="I30" s="64">
        <v>7413.5593220338988</v>
      </c>
      <c r="J30" s="64">
        <v>-6607.5</v>
      </c>
      <c r="K30" s="63">
        <v>0</v>
      </c>
      <c r="L30" s="63">
        <v>3.7037037037037035E-2</v>
      </c>
      <c r="M30" s="63">
        <v>0.17241379310344829</v>
      </c>
      <c r="N30" s="63">
        <v>0.23706896551724138</v>
      </c>
      <c r="O30" s="63">
        <v>0.5</v>
      </c>
      <c r="P30" s="63">
        <v>0.34545454545454546</v>
      </c>
      <c r="Q30" s="63">
        <v>0.47457627118644069</v>
      </c>
    </row>
    <row r="31" spans="1:17" x14ac:dyDescent="0.4">
      <c r="A31" s="65">
        <v>28</v>
      </c>
      <c r="B31" s="62">
        <v>-124.40000000000002</v>
      </c>
      <c r="C31" s="62">
        <v>-4.4428571428571439</v>
      </c>
      <c r="D31" s="67">
        <v>2.1071428571428572</v>
      </c>
      <c r="E31" s="63">
        <v>0.2857142857142857</v>
      </c>
      <c r="F31" s="63">
        <v>0.39285714285714285</v>
      </c>
      <c r="G31" s="63">
        <v>0.25523012552301255</v>
      </c>
      <c r="H31" s="63">
        <v>0.16736401673640167</v>
      </c>
      <c r="I31" s="64">
        <v>7431.1475409836066</v>
      </c>
      <c r="J31" s="64">
        <v>-6607.5</v>
      </c>
      <c r="K31" s="63">
        <v>0</v>
      </c>
      <c r="L31" s="63">
        <v>3.5714285714285712E-2</v>
      </c>
      <c r="M31" s="63">
        <v>0.17154811715481172</v>
      </c>
      <c r="N31" s="63">
        <v>0.23012552301255229</v>
      </c>
      <c r="O31" s="63">
        <v>0.51219512195121952</v>
      </c>
      <c r="P31" s="63">
        <v>0.34545454545454546</v>
      </c>
      <c r="Q31" s="63">
        <v>0.47540983606557374</v>
      </c>
    </row>
    <row r="32" spans="1:17" x14ac:dyDescent="0.4">
      <c r="A32" s="65">
        <v>29</v>
      </c>
      <c r="B32" s="62">
        <v>-156.00000000000003</v>
      </c>
      <c r="C32" s="62">
        <v>-5.3793103448275872</v>
      </c>
      <c r="D32" s="67">
        <v>2.1379310344827585</v>
      </c>
      <c r="E32" s="63">
        <v>0.27586206896551724</v>
      </c>
      <c r="F32" s="63">
        <v>0.41379310344827586</v>
      </c>
      <c r="G32" s="63">
        <v>0.25301204819277107</v>
      </c>
      <c r="H32" s="63">
        <v>0.17269076305220885</v>
      </c>
      <c r="I32" s="64">
        <v>7512.6984126984125</v>
      </c>
      <c r="J32" s="64">
        <v>-6834.8837209302328</v>
      </c>
      <c r="K32" s="63">
        <v>0</v>
      </c>
      <c r="L32" s="63">
        <v>3.4482758620689655E-2</v>
      </c>
      <c r="M32" s="63">
        <v>0.17269076305220885</v>
      </c>
      <c r="N32" s="63">
        <v>0.22489959839357429</v>
      </c>
      <c r="O32" s="63">
        <v>0.51162790697674421</v>
      </c>
      <c r="P32" s="63">
        <v>0.35714285714285715</v>
      </c>
      <c r="Q32" s="63">
        <v>0.46031746031746029</v>
      </c>
    </row>
    <row r="33" spans="1:17" x14ac:dyDescent="0.4">
      <c r="A33" s="65">
        <v>30</v>
      </c>
      <c r="B33" s="62">
        <v>-182.90000000000003</v>
      </c>
      <c r="C33" s="62">
        <v>-6.0966666666666676</v>
      </c>
      <c r="D33" s="67">
        <v>2.1666666666666665</v>
      </c>
      <c r="E33" s="63">
        <v>0.26666666666666666</v>
      </c>
      <c r="F33" s="63">
        <v>0.43333333333333335</v>
      </c>
      <c r="G33" s="63">
        <v>0.25</v>
      </c>
      <c r="H33" s="63">
        <v>0.17578125</v>
      </c>
      <c r="I33" s="64">
        <v>7426.5625</v>
      </c>
      <c r="J33" s="64">
        <v>-6795.5555555555557</v>
      </c>
      <c r="K33" s="63">
        <v>0</v>
      </c>
      <c r="L33" s="63">
        <v>3.3333333333333333E-2</v>
      </c>
      <c r="M33" s="63">
        <v>0.16796875</v>
      </c>
      <c r="N33" s="63">
        <v>0.23046875</v>
      </c>
      <c r="O33" s="63">
        <v>0.51162790697674421</v>
      </c>
      <c r="P33" s="63">
        <v>0.3559322033898305</v>
      </c>
      <c r="Q33" s="63">
        <v>0.453125</v>
      </c>
    </row>
    <row r="34" spans="1:17" x14ac:dyDescent="0.4">
      <c r="A34" s="65">
        <v>31</v>
      </c>
      <c r="B34" s="62">
        <v>-203.20000000000005</v>
      </c>
      <c r="C34" s="62">
        <v>-6.554838709677421</v>
      </c>
      <c r="D34" s="67">
        <v>2.193548387096774</v>
      </c>
      <c r="E34" s="63">
        <v>0.25806451612903225</v>
      </c>
      <c r="F34" s="63">
        <v>0.45161290322580644</v>
      </c>
      <c r="G34" s="63">
        <v>0.2509505703422053</v>
      </c>
      <c r="H34" s="63">
        <v>0.17490494296577946</v>
      </c>
      <c r="I34" s="64">
        <v>7300</v>
      </c>
      <c r="J34" s="64">
        <v>-6821.739130434783</v>
      </c>
      <c r="K34" s="63">
        <v>0</v>
      </c>
      <c r="L34" s="63">
        <v>3.2258064516129031E-2</v>
      </c>
      <c r="M34" s="63">
        <v>0.16730038022813687</v>
      </c>
      <c r="N34" s="63">
        <v>0.23193916349809887</v>
      </c>
      <c r="O34" s="63">
        <v>0.52272727272727271</v>
      </c>
      <c r="P34" s="63">
        <v>0.36065573770491804</v>
      </c>
      <c r="Q34" s="63">
        <v>0.43939393939393939</v>
      </c>
    </row>
    <row r="35" spans="1:17" x14ac:dyDescent="0.4">
      <c r="A35" s="65">
        <v>32</v>
      </c>
      <c r="B35" s="62">
        <v>-211.90000000000003</v>
      </c>
      <c r="C35" s="62">
        <v>-6.6218750000000011</v>
      </c>
      <c r="D35" s="67">
        <v>2.1875</v>
      </c>
      <c r="E35" s="63">
        <v>0.25</v>
      </c>
      <c r="F35" s="63">
        <v>0.4375</v>
      </c>
      <c r="G35" s="63">
        <v>0.25089605734767023</v>
      </c>
      <c r="H35" s="63">
        <v>0.16845878136200718</v>
      </c>
      <c r="I35" s="64">
        <v>7240</v>
      </c>
      <c r="J35" s="64">
        <v>-6923.4042553191493</v>
      </c>
      <c r="K35" s="63">
        <v>0</v>
      </c>
      <c r="L35" s="63">
        <v>3.125E-2</v>
      </c>
      <c r="M35" s="63">
        <v>0.16845878136200718</v>
      </c>
      <c r="N35" s="63">
        <v>0.23297491039426524</v>
      </c>
      <c r="O35" s="63">
        <v>0.51063829787234039</v>
      </c>
      <c r="P35" s="63">
        <v>0.36923076923076925</v>
      </c>
      <c r="Q35" s="63">
        <v>0.44285714285714284</v>
      </c>
    </row>
    <row r="36" spans="1:17" x14ac:dyDescent="0.4">
      <c r="A36" s="65">
        <v>33</v>
      </c>
      <c r="B36" s="62">
        <v>-183.10000000000002</v>
      </c>
      <c r="C36" s="62">
        <v>-5.5484848484848488</v>
      </c>
      <c r="D36" s="67">
        <v>2.1515151515151514</v>
      </c>
      <c r="E36" s="63">
        <v>0.27272727272727271</v>
      </c>
      <c r="F36" s="63">
        <v>0.42424242424242425</v>
      </c>
      <c r="G36" s="63">
        <v>0.25085910652920962</v>
      </c>
      <c r="H36" s="63">
        <v>0.16494845360824742</v>
      </c>
      <c r="I36" s="64">
        <v>7316.4383561643835</v>
      </c>
      <c r="J36" s="64">
        <v>-6820.833333333333</v>
      </c>
      <c r="K36" s="63">
        <v>0</v>
      </c>
      <c r="L36" s="63">
        <v>3.0303030303030304E-2</v>
      </c>
      <c r="M36" s="63">
        <v>0.16494845360824742</v>
      </c>
      <c r="N36" s="63">
        <v>0.23367697594501718</v>
      </c>
      <c r="O36" s="63">
        <v>0.52083333333333337</v>
      </c>
      <c r="P36" s="63">
        <v>0.35294117647058826</v>
      </c>
      <c r="Q36" s="63">
        <v>0.43835616438356162</v>
      </c>
    </row>
    <row r="37" spans="1:17" x14ac:dyDescent="0.4">
      <c r="A37" s="65">
        <v>34</v>
      </c>
      <c r="B37" s="62">
        <v>-168.3</v>
      </c>
      <c r="C37" s="62">
        <v>-4.95</v>
      </c>
      <c r="D37" s="67">
        <v>2.1176470588235294</v>
      </c>
      <c r="E37" s="63">
        <v>0.29411764705882354</v>
      </c>
      <c r="F37" s="63">
        <v>0.41176470588235292</v>
      </c>
      <c r="G37" s="63">
        <v>0.25083612040133779</v>
      </c>
      <c r="H37" s="63">
        <v>0.16387959866220736</v>
      </c>
      <c r="I37" s="64">
        <v>7386.666666666667</v>
      </c>
      <c r="J37" s="64">
        <v>-6800</v>
      </c>
      <c r="K37" s="63">
        <v>0</v>
      </c>
      <c r="L37" s="63">
        <v>2.9411764705882353E-2</v>
      </c>
      <c r="M37" s="63">
        <v>0.16053511705685619</v>
      </c>
      <c r="N37" s="63">
        <v>0.22742474916387959</v>
      </c>
      <c r="O37" s="63">
        <v>0.52083333333333337</v>
      </c>
      <c r="P37" s="63">
        <v>0.35294117647058826</v>
      </c>
      <c r="Q37" s="63">
        <v>0.44</v>
      </c>
    </row>
    <row r="38" spans="1:17" x14ac:dyDescent="0.4">
      <c r="A38" s="65">
        <v>35</v>
      </c>
      <c r="B38" s="62">
        <v>-210.60000000000002</v>
      </c>
      <c r="C38" s="62">
        <v>-6.0171428571428578</v>
      </c>
      <c r="D38" s="67">
        <v>2.1428571428571428</v>
      </c>
      <c r="E38" s="63">
        <v>0.2857142857142857</v>
      </c>
      <c r="F38" s="63">
        <v>0.42857142857142855</v>
      </c>
      <c r="G38" s="63">
        <v>0.24919093851132687</v>
      </c>
      <c r="H38" s="63">
        <v>0.16181229773462782</v>
      </c>
      <c r="I38" s="64">
        <v>7274.0259740259744</v>
      </c>
      <c r="J38" s="64">
        <v>-6742</v>
      </c>
      <c r="K38" s="63">
        <v>0</v>
      </c>
      <c r="L38" s="63">
        <v>2.8571428571428571E-2</v>
      </c>
      <c r="M38" s="63">
        <v>0.1553398058252427</v>
      </c>
      <c r="N38" s="63">
        <v>0.22977346278317151</v>
      </c>
      <c r="O38" s="63">
        <v>0.52083333333333337</v>
      </c>
      <c r="P38" s="63">
        <v>0.352112676056338</v>
      </c>
      <c r="Q38" s="63">
        <v>0.45454545454545453</v>
      </c>
    </row>
    <row r="39" spans="1:17" x14ac:dyDescent="0.4">
      <c r="A39" s="65">
        <v>36</v>
      </c>
      <c r="B39" s="62">
        <v>-199.20000000000002</v>
      </c>
      <c r="C39" s="62">
        <v>-5.5333333333333341</v>
      </c>
      <c r="D39" s="67">
        <v>2.1388888888888888</v>
      </c>
      <c r="E39" s="63">
        <v>0.27777777777777779</v>
      </c>
      <c r="F39" s="63">
        <v>0.41666666666666669</v>
      </c>
      <c r="G39" s="63">
        <v>0.25159235668789809</v>
      </c>
      <c r="H39" s="63">
        <v>0.15923566878980891</v>
      </c>
      <c r="I39" s="64">
        <v>7291.1392405063289</v>
      </c>
      <c r="J39" s="64">
        <v>-6742</v>
      </c>
      <c r="K39" s="63">
        <v>0</v>
      </c>
      <c r="L39" s="63">
        <v>2.7777777777777776E-2</v>
      </c>
      <c r="M39" s="63">
        <v>0.15605095541401273</v>
      </c>
      <c r="N39" s="63">
        <v>0.22929936305732485</v>
      </c>
      <c r="O39" s="63">
        <v>0.51020408163265307</v>
      </c>
      <c r="P39" s="63">
        <v>0.3611111111111111</v>
      </c>
      <c r="Q39" s="63">
        <v>0.44303797468354428</v>
      </c>
    </row>
    <row r="40" spans="1:17" x14ac:dyDescent="0.4">
      <c r="A40" s="65">
        <v>37</v>
      </c>
      <c r="B40" s="62">
        <v>-177.00000000000003</v>
      </c>
      <c r="C40" s="62">
        <v>-4.7837837837837842</v>
      </c>
      <c r="D40" s="67">
        <v>2.1081081081081079</v>
      </c>
      <c r="E40" s="63">
        <v>0.29729729729729731</v>
      </c>
      <c r="F40" s="63">
        <v>0.40540540540540543</v>
      </c>
      <c r="G40" s="63">
        <v>0.25617283950617287</v>
      </c>
      <c r="H40" s="63">
        <v>0.15432098765432098</v>
      </c>
      <c r="I40" s="64">
        <v>7261.4457831325299</v>
      </c>
      <c r="J40" s="64">
        <v>-6742</v>
      </c>
      <c r="K40" s="63">
        <v>0</v>
      </c>
      <c r="L40" s="63">
        <v>2.7027027027027029E-2</v>
      </c>
      <c r="M40" s="63">
        <v>0.15432098765432098</v>
      </c>
      <c r="N40" s="63">
        <v>0.23765432098765432</v>
      </c>
      <c r="O40" s="63">
        <v>0.52</v>
      </c>
      <c r="P40" s="63">
        <v>0.35064935064935066</v>
      </c>
      <c r="Q40" s="63">
        <v>0.44578313253012047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8B071-62ED-4098-B6CA-9EDE379C493C}">
  <sheetPr codeName="Sheet6"/>
  <dimension ref="A1:Q130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143</v>
      </c>
      <c r="B1" s="66" t="s">
        <v>143</v>
      </c>
      <c r="C1" s="66" t="s">
        <v>143</v>
      </c>
      <c r="D1" s="67" t="s">
        <v>143</v>
      </c>
      <c r="E1" s="66" t="s">
        <v>143</v>
      </c>
      <c r="F1" s="66" t="s">
        <v>143</v>
      </c>
      <c r="G1" s="66" t="s">
        <v>143</v>
      </c>
      <c r="H1" s="66" t="s">
        <v>143</v>
      </c>
      <c r="I1" s="66" t="s">
        <v>143</v>
      </c>
      <c r="J1" s="66" t="s">
        <v>143</v>
      </c>
      <c r="K1" s="66" t="s">
        <v>143</v>
      </c>
      <c r="L1" s="66" t="s">
        <v>143</v>
      </c>
      <c r="M1" s="66" t="s">
        <v>143</v>
      </c>
      <c r="N1" s="66" t="s">
        <v>143</v>
      </c>
      <c r="O1" s="66" t="s">
        <v>143</v>
      </c>
      <c r="P1" s="66" t="s">
        <v>143</v>
      </c>
      <c r="Q1" s="66" t="s">
        <v>143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0</v>
      </c>
      <c r="C4" s="62">
        <v>0</v>
      </c>
      <c r="D4" s="67">
        <v>2</v>
      </c>
      <c r="E4" s="63">
        <v>0.33333333333333331</v>
      </c>
      <c r="F4" s="63">
        <v>0.33333333333333331</v>
      </c>
      <c r="G4" s="63">
        <v>0.3</v>
      </c>
      <c r="H4" s="63">
        <v>0.23333333333333334</v>
      </c>
      <c r="I4" s="64">
        <v>8144.4444444444443</v>
      </c>
      <c r="J4" s="64">
        <v>-6471.4285714285716</v>
      </c>
      <c r="K4" s="63">
        <v>0.33333333333333331</v>
      </c>
      <c r="L4" s="63">
        <v>0.33333333333333331</v>
      </c>
      <c r="M4" s="63">
        <v>0.36666666666666664</v>
      </c>
      <c r="N4" s="63">
        <v>0.2</v>
      </c>
      <c r="O4" s="63">
        <v>0.45454545454545453</v>
      </c>
      <c r="P4" s="63">
        <v>0.33333333333333331</v>
      </c>
      <c r="Q4" s="63">
        <v>0.22222222222222221</v>
      </c>
    </row>
    <row r="5" spans="1:17" x14ac:dyDescent="0.4">
      <c r="A5" s="65">
        <v>2</v>
      </c>
      <c r="B5" s="62">
        <v>3.5527136788005009E-15</v>
      </c>
      <c r="C5" s="62">
        <v>5.9211894646675012E-16</v>
      </c>
      <c r="D5" s="67">
        <v>2</v>
      </c>
      <c r="E5" s="63">
        <v>0.33333333333333331</v>
      </c>
      <c r="F5" s="63">
        <v>0.33333333333333331</v>
      </c>
      <c r="G5" s="63">
        <v>0.2807017543859649</v>
      </c>
      <c r="H5" s="63">
        <v>0.19298245614035087</v>
      </c>
      <c r="I5" s="64">
        <v>8431.25</v>
      </c>
      <c r="J5" s="64">
        <v>-6654.545454545455</v>
      </c>
      <c r="K5" s="63">
        <v>0.16666666666666666</v>
      </c>
      <c r="L5" s="63">
        <v>0.16666666666666666</v>
      </c>
      <c r="M5" s="63">
        <v>0.40350877192982454</v>
      </c>
      <c r="N5" s="63">
        <v>0.21052631578947367</v>
      </c>
      <c r="O5" s="63">
        <v>0.47826086956521741</v>
      </c>
      <c r="P5" s="63">
        <v>0.25</v>
      </c>
      <c r="Q5" s="63">
        <v>0.3125</v>
      </c>
    </row>
    <row r="6" spans="1:17" x14ac:dyDescent="0.4">
      <c r="A6" s="65">
        <v>3</v>
      </c>
      <c r="B6" s="62">
        <v>0</v>
      </c>
      <c r="C6" s="62">
        <v>0</v>
      </c>
      <c r="D6" s="67">
        <v>2</v>
      </c>
      <c r="E6" s="63">
        <v>0.33333333333333331</v>
      </c>
      <c r="F6" s="63">
        <v>0.33333333333333331</v>
      </c>
      <c r="G6" s="63">
        <v>0.27777777777777779</v>
      </c>
      <c r="H6" s="63">
        <v>0.17777777777777778</v>
      </c>
      <c r="I6" s="64">
        <v>8212</v>
      </c>
      <c r="J6" s="64">
        <v>-8425</v>
      </c>
      <c r="K6" s="63">
        <v>0.1111111111111111</v>
      </c>
      <c r="L6" s="63">
        <v>0.1111111111111111</v>
      </c>
      <c r="M6" s="63">
        <v>0.32222222222222224</v>
      </c>
      <c r="N6" s="63">
        <v>0.18888888888888888</v>
      </c>
      <c r="O6" s="63">
        <v>0.44827586206896552</v>
      </c>
      <c r="P6" s="63">
        <v>0.41176470588235292</v>
      </c>
      <c r="Q6" s="63">
        <v>0.36</v>
      </c>
    </row>
    <row r="7" spans="1:17" x14ac:dyDescent="0.4">
      <c r="A7" s="65">
        <v>4</v>
      </c>
      <c r="B7" s="62">
        <v>0</v>
      </c>
      <c r="C7" s="62">
        <v>0</v>
      </c>
      <c r="D7" s="67">
        <v>2</v>
      </c>
      <c r="E7" s="63">
        <v>0.33333333333333331</v>
      </c>
      <c r="F7" s="63">
        <v>0.33333333333333331</v>
      </c>
      <c r="G7" s="63">
        <v>0.29059829059829062</v>
      </c>
      <c r="H7" s="63">
        <v>0.19658119658119658</v>
      </c>
      <c r="I7" s="64">
        <v>9064.7058823529405</v>
      </c>
      <c r="J7" s="64">
        <v>-9934.782608695652</v>
      </c>
      <c r="K7" s="63">
        <v>0.16666666666666666</v>
      </c>
      <c r="L7" s="63">
        <v>0.16666666666666666</v>
      </c>
      <c r="M7" s="63">
        <v>0.3247863247863248</v>
      </c>
      <c r="N7" s="63">
        <v>0.1623931623931624</v>
      </c>
      <c r="O7" s="63">
        <v>0.5</v>
      </c>
      <c r="P7" s="63">
        <v>0.42105263157894735</v>
      </c>
      <c r="Q7" s="63">
        <v>0.3235294117647059</v>
      </c>
    </row>
    <row r="8" spans="1:17" x14ac:dyDescent="0.4">
      <c r="A8" s="65">
        <v>5</v>
      </c>
      <c r="B8" s="62">
        <v>0</v>
      </c>
      <c r="C8" s="62">
        <v>0</v>
      </c>
      <c r="D8" s="67">
        <v>2</v>
      </c>
      <c r="E8" s="63">
        <v>0.33333333333333331</v>
      </c>
      <c r="F8" s="63">
        <v>0.33333333333333331</v>
      </c>
      <c r="G8" s="63">
        <v>0.29710144927536231</v>
      </c>
      <c r="H8" s="63">
        <v>0.18115942028985507</v>
      </c>
      <c r="I8" s="64">
        <v>8243.9024390243903</v>
      </c>
      <c r="J8" s="64">
        <v>-9244</v>
      </c>
      <c r="K8" s="63">
        <v>0.13333333333333333</v>
      </c>
      <c r="L8" s="63">
        <v>0.13333333333333333</v>
      </c>
      <c r="M8" s="63">
        <v>0.31159420289855072</v>
      </c>
      <c r="N8" s="63">
        <v>0.13768115942028986</v>
      </c>
      <c r="O8" s="63">
        <v>0.55813953488372092</v>
      </c>
      <c r="P8" s="63">
        <v>0.42105263157894735</v>
      </c>
      <c r="Q8" s="63">
        <v>0.3902439024390244</v>
      </c>
    </row>
    <row r="9" spans="1:17" x14ac:dyDescent="0.4">
      <c r="A9" s="65">
        <v>6</v>
      </c>
      <c r="B9" s="62">
        <v>0</v>
      </c>
      <c r="C9" s="62">
        <v>0</v>
      </c>
      <c r="D9" s="67">
        <v>2</v>
      </c>
      <c r="E9" s="63">
        <v>0.33333333333333331</v>
      </c>
      <c r="F9" s="63">
        <v>0.33333333333333331</v>
      </c>
      <c r="G9" s="63">
        <v>0.30246913580246915</v>
      </c>
      <c r="H9" s="63">
        <v>0.19135802469135801</v>
      </c>
      <c r="I9" s="64">
        <v>7802.0408163265311</v>
      </c>
      <c r="J9" s="64">
        <v>-8583.8709677419356</v>
      </c>
      <c r="K9" s="63">
        <v>0.1111111111111111</v>
      </c>
      <c r="L9" s="63">
        <v>0.1111111111111111</v>
      </c>
      <c r="M9" s="63">
        <v>0.30864197530864196</v>
      </c>
      <c r="N9" s="63">
        <v>0.16666666666666666</v>
      </c>
      <c r="O9" s="63">
        <v>0.6</v>
      </c>
      <c r="P9" s="63">
        <v>0.37037037037037035</v>
      </c>
      <c r="Q9" s="63">
        <v>0.36734693877551022</v>
      </c>
    </row>
    <row r="10" spans="1:17" x14ac:dyDescent="0.4">
      <c r="A10" s="65">
        <v>7</v>
      </c>
      <c r="B10" s="62">
        <v>7.1054273576010019E-15</v>
      </c>
      <c r="C10" s="62">
        <v>3.3835368369528578E-16</v>
      </c>
      <c r="D10" s="67">
        <v>2</v>
      </c>
      <c r="E10" s="63">
        <v>0.33333333333333331</v>
      </c>
      <c r="F10" s="63">
        <v>0.33333333333333331</v>
      </c>
      <c r="G10" s="63">
        <v>0.30256410256410254</v>
      </c>
      <c r="H10" s="63">
        <v>0.17948717948717949</v>
      </c>
      <c r="I10" s="64">
        <v>7872.8813559322034</v>
      </c>
      <c r="J10" s="64">
        <v>-8954.2857142857138</v>
      </c>
      <c r="K10" s="63">
        <v>9.5238095238095233E-2</v>
      </c>
      <c r="L10" s="63">
        <v>9.5238095238095233E-2</v>
      </c>
      <c r="M10" s="63">
        <v>0.29743589743589743</v>
      </c>
      <c r="N10" s="63">
        <v>0.17948717948717949</v>
      </c>
      <c r="O10" s="63">
        <v>0.58620689655172409</v>
      </c>
      <c r="P10" s="63">
        <v>0.42857142857142855</v>
      </c>
      <c r="Q10" s="63">
        <v>0.40677966101694918</v>
      </c>
    </row>
    <row r="11" spans="1:17" x14ac:dyDescent="0.4">
      <c r="A11" s="65">
        <v>8</v>
      </c>
      <c r="B11" s="62">
        <v>7.1054273576010019E-15</v>
      </c>
      <c r="C11" s="62">
        <v>2.9605947323337506E-16</v>
      </c>
      <c r="D11" s="67">
        <v>2</v>
      </c>
      <c r="E11" s="63">
        <v>0.33333333333333331</v>
      </c>
      <c r="F11" s="63">
        <v>0.33333333333333331</v>
      </c>
      <c r="G11" s="63">
        <v>0.30092592592592593</v>
      </c>
      <c r="H11" s="63">
        <v>0.18518518518518517</v>
      </c>
      <c r="I11" s="64">
        <v>7818.4615384615381</v>
      </c>
      <c r="J11" s="64">
        <v>-8627.5</v>
      </c>
      <c r="K11" s="63">
        <v>8.3333333333333329E-2</v>
      </c>
      <c r="L11" s="63">
        <v>8.3333333333333329E-2</v>
      </c>
      <c r="M11" s="63">
        <v>0.28703703703703703</v>
      </c>
      <c r="N11" s="63">
        <v>0.18981481481481483</v>
      </c>
      <c r="O11" s="63">
        <v>0.59677419354838712</v>
      </c>
      <c r="P11" s="63">
        <v>0.41463414634146339</v>
      </c>
      <c r="Q11" s="63">
        <v>0.38461538461538464</v>
      </c>
    </row>
    <row r="12" spans="1:17" x14ac:dyDescent="0.4">
      <c r="A12" s="65">
        <v>9</v>
      </c>
      <c r="B12" s="62">
        <v>6.7723604502134549E-15</v>
      </c>
      <c r="C12" s="62">
        <v>2.5082816482272053E-16</v>
      </c>
      <c r="D12" s="67">
        <v>2</v>
      </c>
      <c r="E12" s="63">
        <v>0.33333333333333331</v>
      </c>
      <c r="F12" s="63">
        <v>0.33333333333333331</v>
      </c>
      <c r="G12" s="63">
        <v>0.30452674897119342</v>
      </c>
      <c r="H12" s="63">
        <v>0.18930041152263374</v>
      </c>
      <c r="I12" s="64">
        <v>7662.1621621621625</v>
      </c>
      <c r="J12" s="64">
        <v>-8258.6956521739139</v>
      </c>
      <c r="K12" s="63">
        <v>7.407407407407407E-2</v>
      </c>
      <c r="L12" s="63">
        <v>7.407407407407407E-2</v>
      </c>
      <c r="M12" s="63">
        <v>0.27983539094650206</v>
      </c>
      <c r="N12" s="63">
        <v>0.18518518518518517</v>
      </c>
      <c r="O12" s="63">
        <v>0.6029411764705882</v>
      </c>
      <c r="P12" s="63">
        <v>0.44444444444444442</v>
      </c>
      <c r="Q12" s="63">
        <v>0.3783783783783784</v>
      </c>
    </row>
    <row r="13" spans="1:17" x14ac:dyDescent="0.4">
      <c r="A13" s="65">
        <v>10</v>
      </c>
      <c r="B13" s="62">
        <v>8.4376949871511897E-15</v>
      </c>
      <c r="C13" s="62">
        <v>2.8125649957170631E-16</v>
      </c>
      <c r="D13" s="67">
        <v>2</v>
      </c>
      <c r="E13" s="63">
        <v>0.33333333333333331</v>
      </c>
      <c r="F13" s="63">
        <v>0.33333333333333331</v>
      </c>
      <c r="G13" s="63">
        <v>0.2982456140350877</v>
      </c>
      <c r="H13" s="63">
        <v>0.18245614035087721</v>
      </c>
      <c r="I13" s="64">
        <v>7692.9411764705883</v>
      </c>
      <c r="J13" s="64">
        <v>-8292.3076923076915</v>
      </c>
      <c r="K13" s="63">
        <v>6.6666666666666666E-2</v>
      </c>
      <c r="L13" s="63">
        <v>6.6666666666666666E-2</v>
      </c>
      <c r="M13" s="63">
        <v>0.25964912280701752</v>
      </c>
      <c r="N13" s="63">
        <v>0.19298245614035087</v>
      </c>
      <c r="O13" s="63">
        <v>0.59459459459459463</v>
      </c>
      <c r="P13" s="63">
        <v>0.41818181818181815</v>
      </c>
      <c r="Q13" s="63">
        <v>0.38823529411764707</v>
      </c>
    </row>
    <row r="14" spans="1:17" x14ac:dyDescent="0.4">
      <c r="A14" s="65">
        <v>11</v>
      </c>
      <c r="B14" s="62">
        <v>7.1054273576010019E-15</v>
      </c>
      <c r="C14" s="62">
        <v>2.153159805333637E-16</v>
      </c>
      <c r="D14" s="67">
        <v>2</v>
      </c>
      <c r="E14" s="63">
        <v>0.33333333333333331</v>
      </c>
      <c r="F14" s="63">
        <v>0.33333333333333331</v>
      </c>
      <c r="G14" s="63">
        <v>0.30188679245283018</v>
      </c>
      <c r="H14" s="63">
        <v>0.19496855345911951</v>
      </c>
      <c r="I14" s="64">
        <v>7796.875</v>
      </c>
      <c r="J14" s="64">
        <v>-8383.8709677419356</v>
      </c>
      <c r="K14" s="63">
        <v>9.0909090909090912E-2</v>
      </c>
      <c r="L14" s="63">
        <v>9.0909090909090912E-2</v>
      </c>
      <c r="M14" s="63">
        <v>0.24842767295597484</v>
      </c>
      <c r="N14" s="63">
        <v>0.20754716981132076</v>
      </c>
      <c r="O14" s="63">
        <v>0.60759493670886078</v>
      </c>
      <c r="P14" s="63">
        <v>0.42424242424242425</v>
      </c>
      <c r="Q14" s="63">
        <v>0.35416666666666669</v>
      </c>
    </row>
    <row r="15" spans="1:17" x14ac:dyDescent="0.4">
      <c r="A15" s="65">
        <v>12</v>
      </c>
      <c r="B15" s="62">
        <v>7.1054273576010019E-15</v>
      </c>
      <c r="C15" s="62">
        <v>1.9737298215558337E-16</v>
      </c>
      <c r="D15" s="67">
        <v>2</v>
      </c>
      <c r="E15" s="63">
        <v>0.33333333333333331</v>
      </c>
      <c r="F15" s="63">
        <v>0.33333333333333331</v>
      </c>
      <c r="G15" s="63">
        <v>0.29597701149425287</v>
      </c>
      <c r="H15" s="63">
        <v>0.18390804597701149</v>
      </c>
      <c r="I15" s="64">
        <v>7711.6504854368932</v>
      </c>
      <c r="J15" s="64">
        <v>-8278.125</v>
      </c>
      <c r="K15" s="63">
        <v>8.3333333333333329E-2</v>
      </c>
      <c r="L15" s="63">
        <v>8.3333333333333329E-2</v>
      </c>
      <c r="M15" s="63">
        <v>0.25</v>
      </c>
      <c r="N15" s="63">
        <v>0.20977011494252873</v>
      </c>
      <c r="O15" s="63">
        <v>0.57471264367816088</v>
      </c>
      <c r="P15" s="63">
        <v>0.41095890410958902</v>
      </c>
      <c r="Q15" s="63">
        <v>0.37864077669902912</v>
      </c>
    </row>
    <row r="16" spans="1:17" x14ac:dyDescent="0.4">
      <c r="A16" s="65">
        <v>13</v>
      </c>
      <c r="B16" s="62">
        <v>6.2172489379008766E-15</v>
      </c>
      <c r="C16" s="62">
        <v>1.5941663943335581E-16</v>
      </c>
      <c r="D16" s="67">
        <v>2</v>
      </c>
      <c r="E16" s="63">
        <v>0.33333333333333331</v>
      </c>
      <c r="F16" s="63">
        <v>0.33333333333333331</v>
      </c>
      <c r="G16" s="63">
        <v>0.29866666666666669</v>
      </c>
      <c r="H16" s="63">
        <v>0.17866666666666667</v>
      </c>
      <c r="I16" s="64">
        <v>7655.3571428571431</v>
      </c>
      <c r="J16" s="64">
        <v>-8062.686567164179</v>
      </c>
      <c r="K16" s="63">
        <v>7.6923076923076927E-2</v>
      </c>
      <c r="L16" s="63">
        <v>7.6923076923076927E-2</v>
      </c>
      <c r="M16" s="63">
        <v>0.248</v>
      </c>
      <c r="N16" s="63">
        <v>0.21866666666666668</v>
      </c>
      <c r="O16" s="63">
        <v>0.59139784946236562</v>
      </c>
      <c r="P16" s="63">
        <v>0.3902439024390244</v>
      </c>
      <c r="Q16" s="63">
        <v>0.4017857142857143</v>
      </c>
    </row>
    <row r="17" spans="1:17" x14ac:dyDescent="0.4">
      <c r="A17" s="65">
        <v>14</v>
      </c>
      <c r="B17" s="62">
        <v>1.0658141036401503E-14</v>
      </c>
      <c r="C17" s="62">
        <v>2.5376526277146434E-16</v>
      </c>
      <c r="D17" s="67">
        <v>2</v>
      </c>
      <c r="E17" s="63">
        <v>0.33333333333333331</v>
      </c>
      <c r="F17" s="63">
        <v>0.33333333333333331</v>
      </c>
      <c r="G17" s="63">
        <v>0.29353233830845771</v>
      </c>
      <c r="H17" s="63">
        <v>0.17910447761194029</v>
      </c>
      <c r="I17" s="64">
        <v>7859.3220338983047</v>
      </c>
      <c r="J17" s="64">
        <v>-8225</v>
      </c>
      <c r="K17" s="63">
        <v>7.1428571428571425E-2</v>
      </c>
      <c r="L17" s="63">
        <v>7.1428571428571425E-2</v>
      </c>
      <c r="M17" s="63">
        <v>0.2462686567164179</v>
      </c>
      <c r="N17" s="63">
        <v>0.21641791044776118</v>
      </c>
      <c r="O17" s="63">
        <v>0.58585858585858586</v>
      </c>
      <c r="P17" s="63">
        <v>0.37931034482758619</v>
      </c>
      <c r="Q17" s="63">
        <v>0.38983050847457629</v>
      </c>
    </row>
    <row r="18" spans="1:17" x14ac:dyDescent="0.4">
      <c r="A18" s="65">
        <v>15</v>
      </c>
      <c r="B18" s="62">
        <v>1.1379786002407855E-14</v>
      </c>
      <c r="C18" s="62">
        <v>2.528841333868412E-16</v>
      </c>
      <c r="D18" s="67">
        <v>2</v>
      </c>
      <c r="E18" s="63">
        <v>0.33333333333333331</v>
      </c>
      <c r="F18" s="63">
        <v>0.33333333333333331</v>
      </c>
      <c r="G18" s="63">
        <v>0.29629629629629628</v>
      </c>
      <c r="H18" s="63">
        <v>0.17824074074074073</v>
      </c>
      <c r="I18" s="64">
        <v>7854.6875</v>
      </c>
      <c r="J18" s="64">
        <v>-7992.2077922077924</v>
      </c>
      <c r="K18" s="63">
        <v>6.6666666666666666E-2</v>
      </c>
      <c r="L18" s="63">
        <v>6.6666666666666666E-2</v>
      </c>
      <c r="M18" s="63">
        <v>0.24537037037037038</v>
      </c>
      <c r="N18" s="63">
        <v>0.21527777777777779</v>
      </c>
      <c r="O18" s="63">
        <v>0.58490566037735847</v>
      </c>
      <c r="P18" s="63">
        <v>0.38709677419354838</v>
      </c>
      <c r="Q18" s="63">
        <v>0.3984375</v>
      </c>
    </row>
    <row r="19" spans="1:17" x14ac:dyDescent="0.4">
      <c r="A19" s="65">
        <v>16</v>
      </c>
      <c r="B19" s="62">
        <v>1.4210854715202004E-14</v>
      </c>
      <c r="C19" s="62">
        <v>2.9605947323337506E-16</v>
      </c>
      <c r="D19" s="67">
        <v>2</v>
      </c>
      <c r="E19" s="63">
        <v>0.33333333333333331</v>
      </c>
      <c r="F19" s="63">
        <v>0.33333333333333331</v>
      </c>
      <c r="G19" s="63">
        <v>0.2982456140350877</v>
      </c>
      <c r="H19" s="63">
        <v>0.18201754385964913</v>
      </c>
      <c r="I19" s="64">
        <v>7907.3529411764703</v>
      </c>
      <c r="J19" s="64">
        <v>-7968.674698795181</v>
      </c>
      <c r="K19" s="63">
        <v>6.25E-2</v>
      </c>
      <c r="L19" s="63">
        <v>6.25E-2</v>
      </c>
      <c r="M19" s="63">
        <v>0.25438596491228072</v>
      </c>
      <c r="N19" s="63">
        <v>0.21271929824561403</v>
      </c>
      <c r="O19" s="63">
        <v>0.57758620689655171</v>
      </c>
      <c r="P19" s="63">
        <v>0.39175257731958762</v>
      </c>
      <c r="Q19" s="63">
        <v>0.38970588235294118</v>
      </c>
    </row>
    <row r="20" spans="1:17" x14ac:dyDescent="0.4">
      <c r="A20" s="65">
        <v>17</v>
      </c>
      <c r="B20" s="62">
        <v>1.4210854715202004E-14</v>
      </c>
      <c r="C20" s="62">
        <v>2.7864421010200007E-16</v>
      </c>
      <c r="D20" s="67">
        <v>2</v>
      </c>
      <c r="E20" s="63">
        <v>0.33333333333333331</v>
      </c>
      <c r="F20" s="63">
        <v>0.33333333333333331</v>
      </c>
      <c r="G20" s="63">
        <v>0.30041152263374488</v>
      </c>
      <c r="H20" s="63">
        <v>0.17489711934156379</v>
      </c>
      <c r="I20" s="64">
        <v>7965.7534246575342</v>
      </c>
      <c r="J20" s="64">
        <v>-7968.2352941176468</v>
      </c>
      <c r="K20" s="63">
        <v>7.8431372549019607E-2</v>
      </c>
      <c r="L20" s="63">
        <v>7.8431372549019607E-2</v>
      </c>
      <c r="M20" s="63">
        <v>0.25102880658436216</v>
      </c>
      <c r="N20" s="63">
        <v>0.2139917695473251</v>
      </c>
      <c r="O20" s="63">
        <v>0.57377049180327866</v>
      </c>
      <c r="P20" s="63">
        <v>0.40384615384615385</v>
      </c>
      <c r="Q20" s="63">
        <v>0.4178082191780822</v>
      </c>
    </row>
    <row r="21" spans="1:17" x14ac:dyDescent="0.4">
      <c r="A21" s="65">
        <v>18</v>
      </c>
      <c r="B21" s="62">
        <v>1.4210854715202004E-14</v>
      </c>
      <c r="C21" s="62">
        <v>2.631639762074445E-16</v>
      </c>
      <c r="D21" s="67">
        <v>2</v>
      </c>
      <c r="E21" s="63">
        <v>0.33333333333333331</v>
      </c>
      <c r="F21" s="63">
        <v>0.33333333333333331</v>
      </c>
      <c r="G21" s="63">
        <v>0.2982456140350877</v>
      </c>
      <c r="H21" s="63">
        <v>0.17348927875243664</v>
      </c>
      <c r="I21" s="64">
        <v>7864.7058823529414</v>
      </c>
      <c r="J21" s="64">
        <v>-7793.2584269662921</v>
      </c>
      <c r="K21" s="63">
        <v>7.407407407407407E-2</v>
      </c>
      <c r="L21" s="63">
        <v>7.407407407407407E-2</v>
      </c>
      <c r="M21" s="63">
        <v>0.24951267056530213</v>
      </c>
      <c r="N21" s="63">
        <v>0.21442495126705652</v>
      </c>
      <c r="O21" s="63">
        <v>0.5703125</v>
      </c>
      <c r="P21" s="63">
        <v>0.40909090909090912</v>
      </c>
      <c r="Q21" s="63">
        <v>0.41830065359477125</v>
      </c>
    </row>
    <row r="22" spans="1:17" x14ac:dyDescent="0.4">
      <c r="A22" s="65">
        <v>19</v>
      </c>
      <c r="B22" s="62">
        <v>1.4210854715202004E-14</v>
      </c>
      <c r="C22" s="62">
        <v>2.49313240617579E-16</v>
      </c>
      <c r="D22" s="67">
        <v>2</v>
      </c>
      <c r="E22" s="63">
        <v>0.33333333333333331</v>
      </c>
      <c r="F22" s="63">
        <v>0.33333333333333331</v>
      </c>
      <c r="G22" s="63">
        <v>0.3</v>
      </c>
      <c r="H22" s="63">
        <v>0.17222222222222222</v>
      </c>
      <c r="I22" s="64">
        <v>7929.0123456790125</v>
      </c>
      <c r="J22" s="64">
        <v>-7923.6559139784949</v>
      </c>
      <c r="K22" s="63">
        <v>7.0175438596491224E-2</v>
      </c>
      <c r="L22" s="63">
        <v>7.0175438596491224E-2</v>
      </c>
      <c r="M22" s="63">
        <v>0.24629629629629629</v>
      </c>
      <c r="N22" s="63">
        <v>0.21666666666666667</v>
      </c>
      <c r="O22" s="63">
        <v>0.56390977443609025</v>
      </c>
      <c r="P22" s="63">
        <v>0.42735042735042733</v>
      </c>
      <c r="Q22" s="63">
        <v>0.42592592592592593</v>
      </c>
    </row>
    <row r="23" spans="1:17" x14ac:dyDescent="0.4">
      <c r="A23" s="65">
        <v>20</v>
      </c>
      <c r="B23" s="62">
        <v>1.4210854715202004E-14</v>
      </c>
      <c r="C23" s="62">
        <v>2.3684757858670006E-16</v>
      </c>
      <c r="D23" s="67">
        <v>2</v>
      </c>
      <c r="E23" s="63">
        <v>0.33333333333333331</v>
      </c>
      <c r="F23" s="63">
        <v>0.33333333333333331</v>
      </c>
      <c r="G23" s="63">
        <v>0.30017452006980805</v>
      </c>
      <c r="H23" s="63">
        <v>0.17801047120418848</v>
      </c>
      <c r="I23" s="64">
        <v>7907.5581395348836</v>
      </c>
      <c r="J23" s="64">
        <v>-7890.1960784313724</v>
      </c>
      <c r="K23" s="63">
        <v>6.6666666666666666E-2</v>
      </c>
      <c r="L23" s="63">
        <v>6.6666666666666666E-2</v>
      </c>
      <c r="M23" s="63">
        <v>0.24083769633507854</v>
      </c>
      <c r="N23" s="63">
        <v>0.21291448516579406</v>
      </c>
      <c r="O23" s="63">
        <v>0.55797101449275366</v>
      </c>
      <c r="P23" s="63">
        <v>0.44262295081967212</v>
      </c>
      <c r="Q23" s="63">
        <v>0.40697674418604651</v>
      </c>
    </row>
    <row r="24" spans="1:17" x14ac:dyDescent="0.4">
      <c r="A24" s="65">
        <v>21</v>
      </c>
      <c r="B24" s="62">
        <v>9.7699626167013776E-15</v>
      </c>
      <c r="C24" s="62">
        <v>1.5507877169367265E-16</v>
      </c>
      <c r="D24" s="67">
        <v>2</v>
      </c>
      <c r="E24" s="63">
        <v>0.33333333333333331</v>
      </c>
      <c r="F24" s="63">
        <v>0.33333333333333331</v>
      </c>
      <c r="G24" s="63">
        <v>0.30256410256410254</v>
      </c>
      <c r="H24" s="63">
        <v>0.17948717948717949</v>
      </c>
      <c r="I24" s="64">
        <v>7995.4802259887001</v>
      </c>
      <c r="J24" s="64">
        <v>-8018.0952380952385</v>
      </c>
      <c r="K24" s="63">
        <v>7.9365079365079361E-2</v>
      </c>
      <c r="L24" s="63">
        <v>7.9365079365079361E-2</v>
      </c>
      <c r="M24" s="63">
        <v>0.23931623931623933</v>
      </c>
      <c r="N24" s="63">
        <v>0.2153846153846154</v>
      </c>
      <c r="O24" s="63">
        <v>0.55714285714285716</v>
      </c>
      <c r="P24" s="63">
        <v>0.46031746031746029</v>
      </c>
      <c r="Q24" s="63">
        <v>0.40112994350282488</v>
      </c>
    </row>
    <row r="25" spans="1:17" x14ac:dyDescent="0.4">
      <c r="A25" s="65">
        <v>22</v>
      </c>
      <c r="B25" s="62">
        <v>7.1054273576010019E-15</v>
      </c>
      <c r="C25" s="62">
        <v>1.0765799026668185E-16</v>
      </c>
      <c r="D25" s="67">
        <v>2</v>
      </c>
      <c r="E25" s="63">
        <v>0.33333333333333331</v>
      </c>
      <c r="F25" s="63">
        <v>0.33333333333333331</v>
      </c>
      <c r="G25" s="63">
        <v>0.30406504065040652</v>
      </c>
      <c r="H25" s="63">
        <v>0.1821138211382114</v>
      </c>
      <c r="I25" s="64">
        <v>7971.6577540106955</v>
      </c>
      <c r="J25" s="64">
        <v>-7941.0714285714284</v>
      </c>
      <c r="K25" s="63">
        <v>9.0909090909090912E-2</v>
      </c>
      <c r="L25" s="63">
        <v>9.0909090909090912E-2</v>
      </c>
      <c r="M25" s="63">
        <v>0.24390243902439024</v>
      </c>
      <c r="N25" s="63">
        <v>0.216260162601626</v>
      </c>
      <c r="O25" s="63">
        <v>0.57333333333333336</v>
      </c>
      <c r="P25" s="63">
        <v>0.45112781954887216</v>
      </c>
      <c r="Q25" s="63">
        <v>0.39572192513368987</v>
      </c>
    </row>
    <row r="26" spans="1:17" x14ac:dyDescent="0.4">
      <c r="A26" s="65">
        <v>23</v>
      </c>
      <c r="B26" s="62">
        <v>3.5527136788005009E-15</v>
      </c>
      <c r="C26" s="62">
        <v>5.1488604040586971E-17</v>
      </c>
      <c r="D26" s="67">
        <v>2</v>
      </c>
      <c r="E26" s="63">
        <v>0.33333333333333331</v>
      </c>
      <c r="F26" s="63">
        <v>0.33333333333333331</v>
      </c>
      <c r="G26" s="63">
        <v>0.30373831775700932</v>
      </c>
      <c r="H26" s="63">
        <v>0.18380062305295949</v>
      </c>
      <c r="I26" s="64">
        <v>8074.3589743589746</v>
      </c>
      <c r="J26" s="64">
        <v>-8050.8474576271183</v>
      </c>
      <c r="K26" s="63">
        <v>0.10144927536231885</v>
      </c>
      <c r="L26" s="63">
        <v>0.10144927536231885</v>
      </c>
      <c r="M26" s="63">
        <v>0.24454828660436137</v>
      </c>
      <c r="N26" s="63">
        <v>0.22118380062305296</v>
      </c>
      <c r="O26" s="63">
        <v>0.57324840764331209</v>
      </c>
      <c r="P26" s="63">
        <v>0.44366197183098594</v>
      </c>
      <c r="Q26" s="63">
        <v>0.38974358974358975</v>
      </c>
    </row>
    <row r="27" spans="1:17" x14ac:dyDescent="0.4">
      <c r="A27" s="65">
        <v>24</v>
      </c>
      <c r="B27" s="62">
        <v>3.5527136788005009E-15</v>
      </c>
      <c r="C27" s="62">
        <v>4.9343245538895844E-17</v>
      </c>
      <c r="D27" s="67">
        <v>2</v>
      </c>
      <c r="E27" s="63">
        <v>0.33333333333333331</v>
      </c>
      <c r="F27" s="63">
        <v>0.33333333333333331</v>
      </c>
      <c r="G27" s="63">
        <v>0.30222222222222223</v>
      </c>
      <c r="H27" s="63">
        <v>0.18222222222222223</v>
      </c>
      <c r="I27" s="64">
        <v>8148.0392156862745</v>
      </c>
      <c r="J27" s="64">
        <v>-8078.8617886178863</v>
      </c>
      <c r="K27" s="63">
        <v>0.1111111111111111</v>
      </c>
      <c r="L27" s="63">
        <v>0.1111111111111111</v>
      </c>
      <c r="M27" s="63">
        <v>0.24148148148148149</v>
      </c>
      <c r="N27" s="63">
        <v>0.22666666666666666</v>
      </c>
      <c r="O27" s="63">
        <v>0.57055214723926384</v>
      </c>
      <c r="P27" s="63">
        <v>0.43137254901960786</v>
      </c>
      <c r="Q27" s="63">
        <v>0.39215686274509803</v>
      </c>
    </row>
    <row r="28" spans="1:17" x14ac:dyDescent="0.4">
      <c r="A28" s="65">
        <v>25</v>
      </c>
      <c r="B28" s="62">
        <v>3.5527136788005009E-15</v>
      </c>
      <c r="C28" s="62">
        <v>4.7369515717340015E-17</v>
      </c>
      <c r="D28" s="67">
        <v>2</v>
      </c>
      <c r="E28" s="63">
        <v>0.33333333333333331</v>
      </c>
      <c r="F28" s="63">
        <v>0.33333333333333331</v>
      </c>
      <c r="G28" s="63">
        <v>0.30316091954022989</v>
      </c>
      <c r="H28" s="63">
        <v>0.17959770114942528</v>
      </c>
      <c r="I28" s="64">
        <v>8145.9715639810429</v>
      </c>
      <c r="J28" s="64">
        <v>-8060</v>
      </c>
      <c r="K28" s="63">
        <v>0.10666666666666667</v>
      </c>
      <c r="L28" s="63">
        <v>0.10666666666666667</v>
      </c>
      <c r="M28" s="63">
        <v>0.24281609195402298</v>
      </c>
      <c r="N28" s="63">
        <v>0.22557471264367815</v>
      </c>
      <c r="O28" s="63">
        <v>0.57396449704142016</v>
      </c>
      <c r="P28" s="63">
        <v>0.43312101910828027</v>
      </c>
      <c r="Q28" s="63">
        <v>0.40284360189573459</v>
      </c>
    </row>
    <row r="29" spans="1:17" x14ac:dyDescent="0.4">
      <c r="A29" s="65">
        <v>26</v>
      </c>
      <c r="B29" s="62">
        <v>0</v>
      </c>
      <c r="C29" s="62">
        <v>0</v>
      </c>
      <c r="D29" s="67">
        <v>2</v>
      </c>
      <c r="E29" s="63">
        <v>0.33333333333333331</v>
      </c>
      <c r="F29" s="63">
        <v>0.33333333333333331</v>
      </c>
      <c r="G29" s="63">
        <v>0.30027548209366389</v>
      </c>
      <c r="H29" s="63">
        <v>0.1790633608815427</v>
      </c>
      <c r="I29" s="64">
        <v>8187.1559633027518</v>
      </c>
      <c r="J29" s="64">
        <v>-8103.8461538461543</v>
      </c>
      <c r="K29" s="63">
        <v>0.11538461538461539</v>
      </c>
      <c r="L29" s="63">
        <v>0.11538461538461539</v>
      </c>
      <c r="M29" s="63">
        <v>0.24655647382920109</v>
      </c>
      <c r="N29" s="63">
        <v>0.22865013774104684</v>
      </c>
      <c r="O29" s="63">
        <v>0.56983240223463683</v>
      </c>
      <c r="P29" s="63">
        <v>0.42168674698795183</v>
      </c>
      <c r="Q29" s="63">
        <v>0.39908256880733944</v>
      </c>
    </row>
    <row r="30" spans="1:17" x14ac:dyDescent="0.4">
      <c r="A30" s="65">
        <v>27</v>
      </c>
      <c r="B30" s="62">
        <v>0</v>
      </c>
      <c r="C30" s="62">
        <v>0</v>
      </c>
      <c r="D30" s="67">
        <v>2</v>
      </c>
      <c r="E30" s="63">
        <v>0.33333333333333331</v>
      </c>
      <c r="F30" s="63">
        <v>0.33333333333333331</v>
      </c>
      <c r="G30" s="63">
        <v>0.29973118279569894</v>
      </c>
      <c r="H30" s="63">
        <v>0.17876344086021506</v>
      </c>
      <c r="I30" s="64">
        <v>8387.4439461883412</v>
      </c>
      <c r="J30" s="64">
        <v>-8143.6090225563912</v>
      </c>
      <c r="K30" s="63">
        <v>0.12345679012345678</v>
      </c>
      <c r="L30" s="63">
        <v>0.12345679012345678</v>
      </c>
      <c r="M30" s="63">
        <v>0.24596774193548387</v>
      </c>
      <c r="N30" s="63">
        <v>0.22849462365591397</v>
      </c>
      <c r="O30" s="63">
        <v>0.57377049180327866</v>
      </c>
      <c r="P30" s="63">
        <v>0.41764705882352943</v>
      </c>
      <c r="Q30" s="63">
        <v>0.3991031390134529</v>
      </c>
    </row>
    <row r="31" spans="1:17" x14ac:dyDescent="0.4">
      <c r="A31" s="65">
        <v>28</v>
      </c>
      <c r="B31" s="62">
        <v>0</v>
      </c>
      <c r="C31" s="62">
        <v>0</v>
      </c>
      <c r="D31" s="67">
        <v>2</v>
      </c>
      <c r="E31" s="63">
        <v>0.33333333333333331</v>
      </c>
      <c r="F31" s="63">
        <v>0.33333333333333331</v>
      </c>
      <c r="G31" s="63">
        <v>0.29858429858429858</v>
      </c>
      <c r="H31" s="63">
        <v>0.17760617760617761</v>
      </c>
      <c r="I31" s="64">
        <v>8440.0862068965525</v>
      </c>
      <c r="J31" s="64">
        <v>-8165.217391304348</v>
      </c>
      <c r="K31" s="63">
        <v>0.13095238095238096</v>
      </c>
      <c r="L31" s="63">
        <v>0.13095238095238096</v>
      </c>
      <c r="M31" s="63">
        <v>0.24324324324324326</v>
      </c>
      <c r="N31" s="63">
        <v>0.23294723294723294</v>
      </c>
      <c r="O31" s="63">
        <v>0.5714285714285714</v>
      </c>
      <c r="P31" s="63">
        <v>0.40883977900552487</v>
      </c>
      <c r="Q31" s="63">
        <v>0.40086206896551724</v>
      </c>
    </row>
    <row r="32" spans="1:17" x14ac:dyDescent="0.4">
      <c r="A32" s="65">
        <v>29</v>
      </c>
      <c r="B32" s="62">
        <v>-4.2188474935755949E-15</v>
      </c>
      <c r="C32" s="62">
        <v>-4.8492499926156265E-17</v>
      </c>
      <c r="D32" s="67">
        <v>2</v>
      </c>
      <c r="E32" s="63">
        <v>0.33333333333333331</v>
      </c>
      <c r="F32" s="63">
        <v>0.33333333333333331</v>
      </c>
      <c r="G32" s="63">
        <v>0.29850746268656714</v>
      </c>
      <c r="H32" s="63">
        <v>0.17910447761194029</v>
      </c>
      <c r="I32" s="64">
        <v>8358.3333333333339</v>
      </c>
      <c r="J32" s="64">
        <v>-8067.3611111111113</v>
      </c>
      <c r="K32" s="63">
        <v>0.12643678160919541</v>
      </c>
      <c r="L32" s="63">
        <v>0.12643678160919541</v>
      </c>
      <c r="M32" s="63">
        <v>0.24004975124378108</v>
      </c>
      <c r="N32" s="63">
        <v>0.23383084577114427</v>
      </c>
      <c r="O32" s="63">
        <v>0.5803108808290155</v>
      </c>
      <c r="P32" s="63">
        <v>0.41489361702127658</v>
      </c>
      <c r="Q32" s="63">
        <v>0.39583333333333331</v>
      </c>
    </row>
    <row r="33" spans="1:17" x14ac:dyDescent="0.4">
      <c r="A33" s="65">
        <v>30</v>
      </c>
      <c r="B33" s="62">
        <v>-7.1054273576010019E-15</v>
      </c>
      <c r="C33" s="62">
        <v>-7.8949192862233357E-17</v>
      </c>
      <c r="D33" s="67">
        <v>2</v>
      </c>
      <c r="E33" s="63">
        <v>0.33333333333333331</v>
      </c>
      <c r="F33" s="63">
        <v>0.33333333333333331</v>
      </c>
      <c r="G33" s="63">
        <v>0.29863692688971499</v>
      </c>
      <c r="H33" s="63">
        <v>0.17967781908302355</v>
      </c>
      <c r="I33" s="64">
        <v>8522.8215767634847</v>
      </c>
      <c r="J33" s="64">
        <v>-8342.7586206896558</v>
      </c>
      <c r="K33" s="63">
        <v>0.13333333333333333</v>
      </c>
      <c r="L33" s="63">
        <v>0.13333333333333333</v>
      </c>
      <c r="M33" s="63">
        <v>0.23915737298636927</v>
      </c>
      <c r="N33" s="63">
        <v>0.23296158612143741</v>
      </c>
      <c r="O33" s="63">
        <v>0.5803108808290155</v>
      </c>
      <c r="P33" s="63">
        <v>0.41489361702127658</v>
      </c>
      <c r="Q33" s="63">
        <v>0.39419087136929459</v>
      </c>
    </row>
    <row r="34" spans="1:17" x14ac:dyDescent="0.4">
      <c r="A34" s="65">
        <v>31</v>
      </c>
      <c r="B34" s="62">
        <v>-7.1054273576010019E-15</v>
      </c>
      <c r="C34" s="62">
        <v>-7.6402444705387123E-17</v>
      </c>
      <c r="D34" s="67">
        <v>2</v>
      </c>
      <c r="E34" s="63">
        <v>0.33333333333333331</v>
      </c>
      <c r="F34" s="63">
        <v>0.33333333333333331</v>
      </c>
      <c r="G34" s="63">
        <v>0.29951690821256038</v>
      </c>
      <c r="H34" s="63">
        <v>0.17753623188405798</v>
      </c>
      <c r="I34" s="64">
        <v>8632.6612903225814</v>
      </c>
      <c r="J34" s="64">
        <v>-8262.5850340136058</v>
      </c>
      <c r="K34" s="63">
        <v>0.12903225806451613</v>
      </c>
      <c r="L34" s="63">
        <v>0.12903225806451613</v>
      </c>
      <c r="M34" s="63">
        <v>0.2391304347826087</v>
      </c>
      <c r="N34" s="63">
        <v>0.2391304347826087</v>
      </c>
      <c r="O34" s="63">
        <v>0.58080808080808077</v>
      </c>
      <c r="P34" s="63">
        <v>0.41414141414141414</v>
      </c>
      <c r="Q34" s="63">
        <v>0.40322580645161288</v>
      </c>
    </row>
    <row r="35" spans="1:17" x14ac:dyDescent="0.4">
      <c r="A35" s="65">
        <v>32</v>
      </c>
      <c r="B35" s="62">
        <v>-5.3290705182007514E-15</v>
      </c>
      <c r="C35" s="62">
        <v>-5.5511151231257827E-17</v>
      </c>
      <c r="D35" s="67">
        <v>2</v>
      </c>
      <c r="E35" s="63">
        <v>0.33333333333333331</v>
      </c>
      <c r="F35" s="63">
        <v>0.33333333333333331</v>
      </c>
      <c r="G35" s="63">
        <v>0.29929577464788731</v>
      </c>
      <c r="H35" s="63">
        <v>0.1795774647887324</v>
      </c>
      <c r="I35" s="64">
        <v>8567.0588235294126</v>
      </c>
      <c r="J35" s="64">
        <v>-8145.751633986928</v>
      </c>
      <c r="K35" s="63">
        <v>0.125</v>
      </c>
      <c r="L35" s="63">
        <v>0.125</v>
      </c>
      <c r="M35" s="63">
        <v>0.23708920187793428</v>
      </c>
      <c r="N35" s="63">
        <v>0.24178403755868544</v>
      </c>
      <c r="O35" s="63">
        <v>0.58415841584158412</v>
      </c>
      <c r="P35" s="63">
        <v>0.40291262135922329</v>
      </c>
      <c r="Q35" s="63">
        <v>0.396078431372549</v>
      </c>
    </row>
    <row r="36" spans="1:17" x14ac:dyDescent="0.4">
      <c r="A36" s="65">
        <v>33</v>
      </c>
      <c r="B36" s="62">
        <v>-1.0658141036401503E-14</v>
      </c>
      <c r="C36" s="62">
        <v>-1.0765799026668185E-16</v>
      </c>
      <c r="D36" s="67">
        <v>2</v>
      </c>
      <c r="E36" s="63">
        <v>0.33333333333333331</v>
      </c>
      <c r="F36" s="63">
        <v>0.33333333333333331</v>
      </c>
      <c r="G36" s="63">
        <v>0.29896907216494845</v>
      </c>
      <c r="H36" s="63">
        <v>0.17869415807560138</v>
      </c>
      <c r="I36" s="64">
        <v>8541.3793103448279</v>
      </c>
      <c r="J36" s="64">
        <v>-8096.1538461538457</v>
      </c>
      <c r="K36" s="63">
        <v>0.12121212121212122</v>
      </c>
      <c r="L36" s="63">
        <v>0.12121212121212122</v>
      </c>
      <c r="M36" s="63">
        <v>0.23482245131729668</v>
      </c>
      <c r="N36" s="63">
        <v>0.24513172966781213</v>
      </c>
      <c r="O36" s="63">
        <v>0.59024390243902436</v>
      </c>
      <c r="P36" s="63">
        <v>0.39719626168224298</v>
      </c>
      <c r="Q36" s="63">
        <v>0.39846743295019155</v>
      </c>
    </row>
    <row r="37" spans="1:17" x14ac:dyDescent="0.4">
      <c r="A37" s="65">
        <v>34</v>
      </c>
      <c r="B37" s="62">
        <v>-1.4210854715202004E-14</v>
      </c>
      <c r="C37" s="62">
        <v>-1.3932210505100003E-16</v>
      </c>
      <c r="D37" s="67">
        <v>2</v>
      </c>
      <c r="E37" s="63">
        <v>0.33333333333333331</v>
      </c>
      <c r="F37" s="63">
        <v>0.33333333333333331</v>
      </c>
      <c r="G37" s="63">
        <v>0.2969094922737307</v>
      </c>
      <c r="H37" s="63">
        <v>0.17880794701986755</v>
      </c>
      <c r="I37" s="64">
        <v>8488.1040892193305</v>
      </c>
      <c r="J37" s="64">
        <v>-8043.2098765432102</v>
      </c>
      <c r="K37" s="63">
        <v>0.12745098039215685</v>
      </c>
      <c r="L37" s="63">
        <v>0.12745098039215685</v>
      </c>
      <c r="M37" s="63">
        <v>0.23509933774834438</v>
      </c>
      <c r="N37" s="63">
        <v>0.24613686534216336</v>
      </c>
      <c r="O37" s="63">
        <v>0.58685446009389675</v>
      </c>
      <c r="P37" s="63">
        <v>0.39013452914798208</v>
      </c>
      <c r="Q37" s="63">
        <v>0.39405204460966542</v>
      </c>
    </row>
    <row r="38" spans="1:17" x14ac:dyDescent="0.4">
      <c r="A38" s="65">
        <v>35</v>
      </c>
      <c r="B38" s="62">
        <v>-1.4210854715202004E-14</v>
      </c>
      <c r="C38" s="62">
        <v>-1.3534147347811433E-16</v>
      </c>
      <c r="D38" s="67">
        <v>2</v>
      </c>
      <c r="E38" s="63">
        <v>0.33333333333333331</v>
      </c>
      <c r="F38" s="63">
        <v>0.33333333333333331</v>
      </c>
      <c r="G38" s="63">
        <v>0.2978494623655914</v>
      </c>
      <c r="H38" s="63">
        <v>0.17956989247311828</v>
      </c>
      <c r="I38" s="64">
        <v>8472.9241877256318</v>
      </c>
      <c r="J38" s="64">
        <v>-8056.8862275449101</v>
      </c>
      <c r="K38" s="63">
        <v>0.13333333333333333</v>
      </c>
      <c r="L38" s="63">
        <v>0.13333333333333333</v>
      </c>
      <c r="M38" s="63">
        <v>0.23978494623655913</v>
      </c>
      <c r="N38" s="63">
        <v>0.24408602150537634</v>
      </c>
      <c r="O38" s="63">
        <v>0.57847533632286996</v>
      </c>
      <c r="P38" s="63">
        <v>0.3964757709251101</v>
      </c>
      <c r="Q38" s="63">
        <v>0.39350180505415161</v>
      </c>
    </row>
    <row r="39" spans="1:17" x14ac:dyDescent="0.4">
      <c r="A39" s="65">
        <v>36</v>
      </c>
      <c r="B39" s="62">
        <v>-2.1316282072803006E-14</v>
      </c>
      <c r="C39" s="62">
        <v>-1.9737298215558337E-16</v>
      </c>
      <c r="D39" s="67">
        <v>2</v>
      </c>
      <c r="E39" s="63">
        <v>0.33333333333333331</v>
      </c>
      <c r="F39" s="63">
        <v>0.33333333333333331</v>
      </c>
      <c r="G39" s="63">
        <v>0.29746835443037972</v>
      </c>
      <c r="H39" s="63">
        <v>0.17721518987341772</v>
      </c>
      <c r="I39" s="64">
        <v>8512.056737588653</v>
      </c>
      <c r="J39" s="64">
        <v>-8043.4523809523807</v>
      </c>
      <c r="K39" s="63">
        <v>0.1388888888888889</v>
      </c>
      <c r="L39" s="63">
        <v>0.1388888888888889</v>
      </c>
      <c r="M39" s="63">
        <v>0.24261603375527427</v>
      </c>
      <c r="N39" s="63">
        <v>0.24261603375527427</v>
      </c>
      <c r="O39" s="63">
        <v>0.57391304347826089</v>
      </c>
      <c r="P39" s="63">
        <v>0.39565217391304347</v>
      </c>
      <c r="Q39" s="63">
        <v>0.40070921985815605</v>
      </c>
    </row>
    <row r="40" spans="1:17" x14ac:dyDescent="0.4">
      <c r="A40" s="65">
        <v>37</v>
      </c>
      <c r="B40" s="62">
        <v>-2.1316282072803006E-14</v>
      </c>
      <c r="C40" s="62">
        <v>-1.9203857723245952E-16</v>
      </c>
      <c r="D40" s="67">
        <v>2</v>
      </c>
      <c r="E40" s="63">
        <v>0.33333333333333331</v>
      </c>
      <c r="F40" s="63">
        <v>0.33333333333333331</v>
      </c>
      <c r="G40" s="63">
        <v>0.29846153846153844</v>
      </c>
      <c r="H40" s="63">
        <v>0.17948717948717949</v>
      </c>
      <c r="I40" s="64">
        <v>8552.9209621993123</v>
      </c>
      <c r="J40" s="64">
        <v>-8058.2857142857147</v>
      </c>
      <c r="K40" s="63">
        <v>0.13513513513513514</v>
      </c>
      <c r="L40" s="63">
        <v>0.13513513513513514</v>
      </c>
      <c r="M40" s="63">
        <v>0.24</v>
      </c>
      <c r="N40" s="63">
        <v>0.24923076923076923</v>
      </c>
      <c r="O40" s="63">
        <v>0.57264957264957261</v>
      </c>
      <c r="P40" s="63">
        <v>0.40329218106995884</v>
      </c>
      <c r="Q40" s="63">
        <v>0.3951890034364261</v>
      </c>
    </row>
    <row r="41" spans="1:17" x14ac:dyDescent="0.4">
      <c r="A41" s="65">
        <v>38</v>
      </c>
      <c r="B41" s="62">
        <v>-2.1316282072803006E-14</v>
      </c>
      <c r="C41" s="62">
        <v>-1.8698493046318425E-16</v>
      </c>
      <c r="D41" s="67">
        <v>2</v>
      </c>
      <c r="E41" s="63">
        <v>0.33333333333333331</v>
      </c>
      <c r="F41" s="63">
        <v>0.33333333333333331</v>
      </c>
      <c r="G41" s="63">
        <v>0.29940119760479039</v>
      </c>
      <c r="H41" s="63">
        <v>0.17864271457085829</v>
      </c>
      <c r="I41" s="64">
        <v>8511.3333333333339</v>
      </c>
      <c r="J41" s="64">
        <v>-7970.3910614525139</v>
      </c>
      <c r="K41" s="63">
        <v>0.13157894736842105</v>
      </c>
      <c r="L41" s="63">
        <v>0.13157894736842105</v>
      </c>
      <c r="M41" s="63">
        <v>0.23952095808383234</v>
      </c>
      <c r="N41" s="63">
        <v>0.249500998003992</v>
      </c>
      <c r="O41" s="63">
        <v>0.58333333333333337</v>
      </c>
      <c r="P41" s="63">
        <v>0.40400000000000003</v>
      </c>
      <c r="Q41" s="63">
        <v>0.4</v>
      </c>
    </row>
    <row r="42" spans="1:17" x14ac:dyDescent="0.4">
      <c r="A42" s="65">
        <v>39</v>
      </c>
      <c r="B42" s="62">
        <v>-1.865174681370263E-14</v>
      </c>
      <c r="C42" s="62">
        <v>-1.5941663943335581E-16</v>
      </c>
      <c r="D42" s="67">
        <v>2</v>
      </c>
      <c r="E42" s="63">
        <v>0.33333333333333331</v>
      </c>
      <c r="F42" s="63">
        <v>0.33333333333333331</v>
      </c>
      <c r="G42" s="63">
        <v>0.29855072463768118</v>
      </c>
      <c r="H42" s="63">
        <v>0.17874396135265699</v>
      </c>
      <c r="I42" s="64">
        <v>8526.8608414239479</v>
      </c>
      <c r="J42" s="64">
        <v>-7971.8918918918916</v>
      </c>
      <c r="K42" s="63">
        <v>0.12820512820512819</v>
      </c>
      <c r="L42" s="63">
        <v>0.12820512820512819</v>
      </c>
      <c r="M42" s="63">
        <v>0.23768115942028986</v>
      </c>
      <c r="N42" s="63">
        <v>0.24927536231884059</v>
      </c>
      <c r="O42" s="63">
        <v>0.58130081300813008</v>
      </c>
      <c r="P42" s="63">
        <v>0.40310077519379844</v>
      </c>
      <c r="Q42" s="63">
        <v>0.39805825242718446</v>
      </c>
    </row>
    <row r="43" spans="1:17" x14ac:dyDescent="0.4">
      <c r="A43" s="65">
        <v>40</v>
      </c>
      <c r="B43" s="62">
        <v>-2.4868995751603507E-14</v>
      </c>
      <c r="C43" s="62">
        <v>-2.0724163126336256E-16</v>
      </c>
      <c r="D43" s="67">
        <v>2</v>
      </c>
      <c r="E43" s="63">
        <v>0.33333333333333331</v>
      </c>
      <c r="F43" s="63">
        <v>0.33333333333333331</v>
      </c>
      <c r="G43" s="63">
        <v>0.29868913857677903</v>
      </c>
      <c r="H43" s="63">
        <v>0.17883895131086142</v>
      </c>
      <c r="I43" s="64">
        <v>8548.9028213166148</v>
      </c>
      <c r="J43" s="64">
        <v>-8061.2565445026175</v>
      </c>
      <c r="K43" s="63">
        <v>0.125</v>
      </c>
      <c r="L43" s="63">
        <v>0.125</v>
      </c>
      <c r="M43" s="63">
        <v>0.23876404494382023</v>
      </c>
      <c r="N43" s="63">
        <v>0.25</v>
      </c>
      <c r="O43" s="63">
        <v>0.58431372549019611</v>
      </c>
      <c r="P43" s="63">
        <v>0.4044943820224719</v>
      </c>
      <c r="Q43" s="63">
        <v>0.39811912225705332</v>
      </c>
    </row>
    <row r="44" spans="1:17" x14ac:dyDescent="0.4">
      <c r="A44" s="65">
        <v>41</v>
      </c>
      <c r="B44" s="62">
        <v>-2.8421709430404007E-14</v>
      </c>
      <c r="C44" s="62">
        <v>-2.3107080837726838E-16</v>
      </c>
      <c r="D44" s="67">
        <v>2</v>
      </c>
      <c r="E44" s="63">
        <v>0.33333333333333331</v>
      </c>
      <c r="F44" s="63">
        <v>0.33333333333333331</v>
      </c>
      <c r="G44" s="63">
        <v>0.2982456140350877</v>
      </c>
      <c r="H44" s="63">
        <v>0.17820867959372114</v>
      </c>
      <c r="I44" s="64">
        <v>8606.5015479876165</v>
      </c>
      <c r="J44" s="64">
        <v>-8095.8549222797928</v>
      </c>
      <c r="K44" s="63">
        <v>0.13008130081300814</v>
      </c>
      <c r="L44" s="63">
        <v>0.13008130081300814</v>
      </c>
      <c r="M44" s="63">
        <v>0.23822714681440443</v>
      </c>
      <c r="N44" s="63">
        <v>0.24838411819021236</v>
      </c>
      <c r="O44" s="63">
        <v>0.57751937984496127</v>
      </c>
      <c r="P44" s="63">
        <v>0.40892193308550184</v>
      </c>
      <c r="Q44" s="63">
        <v>0.39938080495356038</v>
      </c>
    </row>
    <row r="45" spans="1:17" x14ac:dyDescent="0.4">
      <c r="A45" s="65">
        <v>42</v>
      </c>
      <c r="B45" s="62">
        <v>-2.6645352591003757E-14</v>
      </c>
      <c r="C45" s="62">
        <v>-2.1147105230955362E-16</v>
      </c>
      <c r="D45" s="67">
        <v>2</v>
      </c>
      <c r="E45" s="63">
        <v>0.33333333333333331</v>
      </c>
      <c r="F45" s="63">
        <v>0.33333333333333331</v>
      </c>
      <c r="G45" s="63">
        <v>0.29579982126899018</v>
      </c>
      <c r="H45" s="63">
        <v>0.17515638963360142</v>
      </c>
      <c r="I45" s="64">
        <v>8548.9425981873119</v>
      </c>
      <c r="J45" s="64">
        <v>-8021.9387755102043</v>
      </c>
      <c r="K45" s="63">
        <v>0.12698412698412698</v>
      </c>
      <c r="L45" s="63">
        <v>0.12698412698412698</v>
      </c>
      <c r="M45" s="63">
        <v>0.23949955317247543</v>
      </c>
      <c r="N45" s="63">
        <v>0.25201072386058981</v>
      </c>
      <c r="O45" s="63">
        <v>0.57089552238805974</v>
      </c>
      <c r="P45" s="63">
        <v>0.40425531914893614</v>
      </c>
      <c r="Q45" s="63">
        <v>0.40483383685800606</v>
      </c>
    </row>
    <row r="46" spans="1:17" x14ac:dyDescent="0.4">
      <c r="A46" s="65">
        <v>43</v>
      </c>
      <c r="B46" s="62">
        <v>-2.8421709430404007E-14</v>
      </c>
      <c r="C46" s="62">
        <v>-2.2032332891786052E-16</v>
      </c>
      <c r="D46" s="67">
        <v>2</v>
      </c>
      <c r="E46" s="63">
        <v>0.33333333333333331</v>
      </c>
      <c r="F46" s="63">
        <v>0.33333333333333331</v>
      </c>
      <c r="G46" s="63">
        <v>0.29610389610389609</v>
      </c>
      <c r="H46" s="63">
        <v>0.1748917748917749</v>
      </c>
      <c r="I46" s="64">
        <v>8503.5087719298244</v>
      </c>
      <c r="J46" s="64">
        <v>-7950</v>
      </c>
      <c r="K46" s="63">
        <v>0.12403100775193798</v>
      </c>
      <c r="L46" s="63">
        <v>0.12403100775193798</v>
      </c>
      <c r="M46" s="63">
        <v>0.23463203463203464</v>
      </c>
      <c r="N46" s="63">
        <v>0.25800865800865802</v>
      </c>
      <c r="O46" s="63">
        <v>0.5719557195571956</v>
      </c>
      <c r="P46" s="63">
        <v>0.40268456375838924</v>
      </c>
      <c r="Q46" s="63">
        <v>0.4064327485380117</v>
      </c>
    </row>
    <row r="47" spans="1:17" x14ac:dyDescent="0.4">
      <c r="A47" s="65">
        <v>44</v>
      </c>
      <c r="B47" s="62">
        <v>-2.8421709430404007E-14</v>
      </c>
      <c r="C47" s="62">
        <v>-2.153159805333637E-16</v>
      </c>
      <c r="D47" s="67">
        <v>2</v>
      </c>
      <c r="E47" s="63">
        <v>0.33333333333333331</v>
      </c>
      <c r="F47" s="63">
        <v>0.33333333333333331</v>
      </c>
      <c r="G47" s="63">
        <v>0.2970464135021097</v>
      </c>
      <c r="H47" s="63">
        <v>0.17468354430379746</v>
      </c>
      <c r="I47" s="64">
        <v>8463.068181818182</v>
      </c>
      <c r="J47" s="64">
        <v>-7928.5024154589373</v>
      </c>
      <c r="K47" s="63">
        <v>0.12121212121212122</v>
      </c>
      <c r="L47" s="63">
        <v>0.12121212121212122</v>
      </c>
      <c r="M47" s="63">
        <v>0.2320675105485232</v>
      </c>
      <c r="N47" s="63">
        <v>0.25907172995780592</v>
      </c>
      <c r="O47" s="63">
        <v>0.57454545454545458</v>
      </c>
      <c r="P47" s="63">
        <v>0.40390879478827363</v>
      </c>
      <c r="Q47" s="63">
        <v>0.40909090909090912</v>
      </c>
    </row>
    <row r="48" spans="1:17" x14ac:dyDescent="0.4">
      <c r="A48" s="65">
        <v>45</v>
      </c>
      <c r="B48" s="62">
        <v>-3.0198066269804258E-14</v>
      </c>
      <c r="C48" s="62">
        <v>-2.2368937977632781E-16</v>
      </c>
      <c r="D48" s="67">
        <v>2</v>
      </c>
      <c r="E48" s="63">
        <v>0.33333333333333331</v>
      </c>
      <c r="F48" s="63">
        <v>0.33333333333333331</v>
      </c>
      <c r="G48" s="63">
        <v>0.29729729729729731</v>
      </c>
      <c r="H48" s="63">
        <v>0.17362817362817362</v>
      </c>
      <c r="I48" s="64">
        <v>8351.7906336088163</v>
      </c>
      <c r="J48" s="64">
        <v>-7823.5849056603774</v>
      </c>
      <c r="K48" s="63">
        <v>0.11851851851851852</v>
      </c>
      <c r="L48" s="63">
        <v>0.11851851851851852</v>
      </c>
      <c r="M48" s="63">
        <v>0.23013923013923013</v>
      </c>
      <c r="N48" s="63">
        <v>0.25716625716625718</v>
      </c>
      <c r="O48" s="63">
        <v>0.57651245551601427</v>
      </c>
      <c r="P48" s="63">
        <v>0.40764331210191085</v>
      </c>
      <c r="Q48" s="63">
        <v>0.41322314049586778</v>
      </c>
    </row>
    <row r="49" spans="1:17" x14ac:dyDescent="0.4">
      <c r="A49" s="65">
        <v>46</v>
      </c>
      <c r="B49" s="62">
        <v>-2.5757174171303632E-14</v>
      </c>
      <c r="C49" s="62">
        <v>-1.8664618964712776E-16</v>
      </c>
      <c r="D49" s="67">
        <v>2</v>
      </c>
      <c r="E49" s="63">
        <v>0.33333333333333331</v>
      </c>
      <c r="F49" s="63">
        <v>0.33333333333333331</v>
      </c>
      <c r="G49" s="63">
        <v>0.29496402877697842</v>
      </c>
      <c r="H49" s="63">
        <v>0.17346123101518784</v>
      </c>
      <c r="I49" s="64">
        <v>8327.1002710027096</v>
      </c>
      <c r="J49" s="64">
        <v>-7822.5806451612907</v>
      </c>
      <c r="K49" s="63">
        <v>0.11594202898550725</v>
      </c>
      <c r="L49" s="63">
        <v>0.11594202898550725</v>
      </c>
      <c r="M49" s="63">
        <v>0.23341326938449242</v>
      </c>
      <c r="N49" s="63">
        <v>0.25659472422062352</v>
      </c>
      <c r="O49" s="63">
        <v>0.56849315068493156</v>
      </c>
      <c r="P49" s="63">
        <v>0.40186915887850466</v>
      </c>
      <c r="Q49" s="63">
        <v>0.40921409214092141</v>
      </c>
    </row>
    <row r="50" spans="1:17" x14ac:dyDescent="0.4">
      <c r="A50" s="65">
        <v>47</v>
      </c>
      <c r="B50" s="62">
        <v>-2.3980817331903381E-14</v>
      </c>
      <c r="C50" s="62">
        <v>-1.7007671866598143E-16</v>
      </c>
      <c r="D50" s="67">
        <v>2</v>
      </c>
      <c r="E50" s="63">
        <v>0.33333333333333331</v>
      </c>
      <c r="F50" s="63">
        <v>0.33333333333333331</v>
      </c>
      <c r="G50" s="63">
        <v>0.29411764705882354</v>
      </c>
      <c r="H50" s="63">
        <v>0.17254901960784313</v>
      </c>
      <c r="I50" s="64">
        <v>8288.5333333333328</v>
      </c>
      <c r="J50" s="64">
        <v>-7786.363636363636</v>
      </c>
      <c r="K50" s="63">
        <v>0.11347517730496454</v>
      </c>
      <c r="L50" s="63">
        <v>0.11347517730496454</v>
      </c>
      <c r="M50" s="63">
        <v>0.23372549019607844</v>
      </c>
      <c r="N50" s="63">
        <v>0.25803921568627453</v>
      </c>
      <c r="O50" s="63">
        <v>0.56711409395973156</v>
      </c>
      <c r="P50" s="63">
        <v>0.40121580547112462</v>
      </c>
      <c r="Q50" s="63">
        <v>0.41066666666666668</v>
      </c>
    </row>
    <row r="51" spans="1:17" x14ac:dyDescent="0.4">
      <c r="A51" s="65">
        <v>48</v>
      </c>
      <c r="B51" s="62">
        <v>-2.1316282072803006E-14</v>
      </c>
      <c r="C51" s="62">
        <v>-1.4802973661668753E-16</v>
      </c>
      <c r="D51" s="67">
        <v>2</v>
      </c>
      <c r="E51" s="63">
        <v>0.33333333333333331</v>
      </c>
      <c r="F51" s="63">
        <v>0.33333333333333331</v>
      </c>
      <c r="G51" s="63">
        <v>0.29484218629715164</v>
      </c>
      <c r="H51" s="63">
        <v>0.17321016166281755</v>
      </c>
      <c r="I51" s="64">
        <v>8333.4203655352485</v>
      </c>
      <c r="J51" s="64">
        <v>-7788.8888888888887</v>
      </c>
      <c r="K51" s="63">
        <v>0.11805555555555555</v>
      </c>
      <c r="L51" s="63">
        <v>0.11805555555555555</v>
      </c>
      <c r="M51" s="63">
        <v>0.23556581986143188</v>
      </c>
      <c r="N51" s="63">
        <v>0.25789068514241725</v>
      </c>
      <c r="O51" s="63">
        <v>0.55882352941176472</v>
      </c>
      <c r="P51" s="63">
        <v>0.40895522388059702</v>
      </c>
      <c r="Q51" s="63">
        <v>0.40992167101827676</v>
      </c>
    </row>
    <row r="52" spans="1:17" x14ac:dyDescent="0.4">
      <c r="A52" s="65">
        <v>49</v>
      </c>
      <c r="B52" s="62">
        <v>-2.1316282072803006E-14</v>
      </c>
      <c r="C52" s="62">
        <v>-1.450087215836939E-16</v>
      </c>
      <c r="D52" s="67">
        <v>2</v>
      </c>
      <c r="E52" s="63">
        <v>0.33333333333333331</v>
      </c>
      <c r="F52" s="63">
        <v>0.33333333333333331</v>
      </c>
      <c r="G52" s="63">
        <v>0.29460895975702356</v>
      </c>
      <c r="H52" s="63">
        <v>0.17312072892938496</v>
      </c>
      <c r="I52" s="64">
        <v>8398.9690721649476</v>
      </c>
      <c r="J52" s="64">
        <v>-7939.4736842105267</v>
      </c>
      <c r="K52" s="63">
        <v>0.12244897959183673</v>
      </c>
      <c r="L52" s="63">
        <v>0.12244897959183673</v>
      </c>
      <c r="M52" s="63">
        <v>0.23690205011389523</v>
      </c>
      <c r="N52" s="63">
        <v>0.25664388762338647</v>
      </c>
      <c r="O52" s="63">
        <v>0.55128205128205132</v>
      </c>
      <c r="P52" s="63">
        <v>0.41420118343195267</v>
      </c>
      <c r="Q52" s="63">
        <v>0.40979381443298968</v>
      </c>
    </row>
    <row r="53" spans="1:17" x14ac:dyDescent="0.4">
      <c r="A53" s="65">
        <v>50</v>
      </c>
      <c r="B53" s="62">
        <v>-2.1316282072803006E-14</v>
      </c>
      <c r="C53" s="62">
        <v>-1.4210854715202004E-16</v>
      </c>
      <c r="D53" s="67">
        <v>2</v>
      </c>
      <c r="E53" s="63">
        <v>0.33333333333333331</v>
      </c>
      <c r="F53" s="63">
        <v>0.33333333333333331</v>
      </c>
      <c r="G53" s="63">
        <v>0.29315476190476192</v>
      </c>
      <c r="H53" s="63">
        <v>0.17261904761904762</v>
      </c>
      <c r="I53" s="64">
        <v>8369.5431472081218</v>
      </c>
      <c r="J53" s="64">
        <v>-7939.6551724137935</v>
      </c>
      <c r="K53" s="63">
        <v>0.12</v>
      </c>
      <c r="L53" s="63">
        <v>0.12</v>
      </c>
      <c r="M53" s="63">
        <v>0.23586309523809523</v>
      </c>
      <c r="N53" s="63">
        <v>0.25744047619047616</v>
      </c>
      <c r="O53" s="63">
        <v>0.5457413249211357</v>
      </c>
      <c r="P53" s="63">
        <v>0.41618497109826591</v>
      </c>
      <c r="Q53" s="63">
        <v>0.40862944162436549</v>
      </c>
    </row>
    <row r="54" spans="1:17" x14ac:dyDescent="0.4">
      <c r="A54" s="65">
        <v>51</v>
      </c>
      <c r="B54" s="62">
        <v>-2.8421709430404007E-14</v>
      </c>
      <c r="C54" s="62">
        <v>-1.8576280673466672E-16</v>
      </c>
      <c r="D54" s="67">
        <v>2</v>
      </c>
      <c r="E54" s="63">
        <v>0.33333333333333331</v>
      </c>
      <c r="F54" s="63">
        <v>0.33333333333333331</v>
      </c>
      <c r="G54" s="63">
        <v>0.29304029304029305</v>
      </c>
      <c r="H54" s="63">
        <v>0.17216117216117216</v>
      </c>
      <c r="I54" s="64">
        <v>8396</v>
      </c>
      <c r="J54" s="64">
        <v>-8017.0212765957449</v>
      </c>
      <c r="K54" s="63">
        <v>0.12418300653594772</v>
      </c>
      <c r="L54" s="63">
        <v>0.12418300653594772</v>
      </c>
      <c r="M54" s="63">
        <v>0.23663003663003662</v>
      </c>
      <c r="N54" s="63">
        <v>0.25567765567765566</v>
      </c>
      <c r="O54" s="63">
        <v>0.54489164086687303</v>
      </c>
      <c r="P54" s="63">
        <v>0.41833810888252149</v>
      </c>
      <c r="Q54" s="63">
        <v>0.41</v>
      </c>
    </row>
    <row r="55" spans="1:17" x14ac:dyDescent="0.4">
      <c r="A55" s="65">
        <v>52</v>
      </c>
      <c r="B55" s="62">
        <v>-2.9309887850104133E-14</v>
      </c>
      <c r="C55" s="62">
        <v>-1.8788389647502649E-16</v>
      </c>
      <c r="D55" s="67">
        <v>2</v>
      </c>
      <c r="E55" s="63">
        <v>0.33333333333333331</v>
      </c>
      <c r="F55" s="63">
        <v>0.33333333333333331</v>
      </c>
      <c r="G55" s="63">
        <v>0.29292929292929293</v>
      </c>
      <c r="H55" s="63">
        <v>0.17243867243867245</v>
      </c>
      <c r="I55" s="64">
        <v>8337.4384236453207</v>
      </c>
      <c r="J55" s="64">
        <v>-7953.1380753138073</v>
      </c>
      <c r="K55" s="63">
        <v>0.12179487179487179</v>
      </c>
      <c r="L55" s="63">
        <v>0.12179487179487179</v>
      </c>
      <c r="M55" s="63">
        <v>0.23809523809523808</v>
      </c>
      <c r="N55" s="63">
        <v>0.25396825396825395</v>
      </c>
      <c r="O55" s="63">
        <v>0.54545454545454541</v>
      </c>
      <c r="P55" s="63">
        <v>0.42045454545454547</v>
      </c>
      <c r="Q55" s="63">
        <v>0.40886699507389163</v>
      </c>
    </row>
    <row r="56" spans="1:17" x14ac:dyDescent="0.4">
      <c r="A56" s="65">
        <v>53</v>
      </c>
      <c r="B56" s="62">
        <v>-3.1974423109204508E-14</v>
      </c>
      <c r="C56" s="62">
        <v>-2.0109700068682081E-16</v>
      </c>
      <c r="D56" s="67">
        <v>2</v>
      </c>
      <c r="E56" s="63">
        <v>0.33333333333333331</v>
      </c>
      <c r="F56" s="63">
        <v>0.33333333333333331</v>
      </c>
      <c r="G56" s="63">
        <v>0.29307909604519772</v>
      </c>
      <c r="H56" s="63">
        <v>0.17090395480225989</v>
      </c>
      <c r="I56" s="64">
        <v>8356.3855421686749</v>
      </c>
      <c r="J56" s="64">
        <v>-7989.2561983471078</v>
      </c>
      <c r="K56" s="63">
        <v>0.11949685534591195</v>
      </c>
      <c r="L56" s="63">
        <v>0.11949685534591195</v>
      </c>
      <c r="M56" s="63">
        <v>0.23799435028248589</v>
      </c>
      <c r="N56" s="63">
        <v>0.25141242937853109</v>
      </c>
      <c r="O56" s="63">
        <v>0.54896142433234418</v>
      </c>
      <c r="P56" s="63">
        <v>0.42134831460674155</v>
      </c>
      <c r="Q56" s="63">
        <v>0.41445783132530123</v>
      </c>
    </row>
    <row r="57" spans="1:17" x14ac:dyDescent="0.4">
      <c r="A57" s="65">
        <v>54</v>
      </c>
      <c r="B57" s="62">
        <v>-3.5527136788005009E-14</v>
      </c>
      <c r="C57" s="62">
        <v>-2.1930331350620375E-16</v>
      </c>
      <c r="D57" s="67">
        <v>2</v>
      </c>
      <c r="E57" s="63">
        <v>0.33333333333333331</v>
      </c>
      <c r="F57" s="63">
        <v>0.33333333333333331</v>
      </c>
      <c r="G57" s="63">
        <v>0.29183955739972339</v>
      </c>
      <c r="H57" s="63">
        <v>0.17081604426002767</v>
      </c>
      <c r="I57" s="64">
        <v>8332.7014218009481</v>
      </c>
      <c r="J57" s="64">
        <v>-7944.1295546558704</v>
      </c>
      <c r="K57" s="63">
        <v>0.11728395061728394</v>
      </c>
      <c r="L57" s="63">
        <v>0.11728395061728394</v>
      </c>
      <c r="M57" s="63">
        <v>0.23720608575380359</v>
      </c>
      <c r="N57" s="63">
        <v>0.24896265560165975</v>
      </c>
      <c r="O57" s="63">
        <v>0.54810495626822153</v>
      </c>
      <c r="P57" s="63">
        <v>0.42499999999999999</v>
      </c>
      <c r="Q57" s="63">
        <v>0.41232227488151657</v>
      </c>
    </row>
    <row r="58" spans="1:17" x14ac:dyDescent="0.4">
      <c r="A58" s="65">
        <v>55</v>
      </c>
      <c r="B58" s="62">
        <v>-3.5527136788005009E-14</v>
      </c>
      <c r="C58" s="62">
        <v>-2.153159805333637E-16</v>
      </c>
      <c r="D58" s="67">
        <v>2</v>
      </c>
      <c r="E58" s="63">
        <v>0.33333333333333331</v>
      </c>
      <c r="F58" s="63">
        <v>0.33333333333333331</v>
      </c>
      <c r="G58" s="63">
        <v>0.29149519890260633</v>
      </c>
      <c r="H58" s="63">
        <v>0.17146776406035666</v>
      </c>
      <c r="I58" s="64">
        <v>8346.3529411764703</v>
      </c>
      <c r="J58" s="64">
        <v>-7972</v>
      </c>
      <c r="K58" s="63">
        <v>0.12121212121212122</v>
      </c>
      <c r="L58" s="63">
        <v>0.12121212121212122</v>
      </c>
      <c r="M58" s="63">
        <v>0.23731138545953362</v>
      </c>
      <c r="N58" s="63">
        <v>0.24828532235939643</v>
      </c>
      <c r="O58" s="63">
        <v>0.54624277456647397</v>
      </c>
      <c r="P58" s="63">
        <v>0.425414364640884</v>
      </c>
      <c r="Q58" s="63">
        <v>0.40941176470588236</v>
      </c>
    </row>
    <row r="59" spans="1:17" x14ac:dyDescent="0.4">
      <c r="A59" s="65">
        <v>56</v>
      </c>
      <c r="B59" s="62">
        <v>-3.5527136788005009E-14</v>
      </c>
      <c r="C59" s="62">
        <v>-2.1147105230955362E-16</v>
      </c>
      <c r="D59" s="67">
        <v>2</v>
      </c>
      <c r="E59" s="63">
        <v>0.33333333333333331</v>
      </c>
      <c r="F59" s="63">
        <v>0.33333333333333331</v>
      </c>
      <c r="G59" s="63">
        <v>0.28950863213811423</v>
      </c>
      <c r="H59" s="63">
        <v>0.17131474103585656</v>
      </c>
      <c r="I59" s="64">
        <v>8341.7431192660551</v>
      </c>
      <c r="J59" s="64">
        <v>-7925.1937984496126</v>
      </c>
      <c r="K59" s="63">
        <v>0.11904761904761904</v>
      </c>
      <c r="L59" s="63">
        <v>0.11904761904761904</v>
      </c>
      <c r="M59" s="63">
        <v>0.23904382470119523</v>
      </c>
      <c r="N59" s="63">
        <v>0.24966799468791501</v>
      </c>
      <c r="O59" s="63">
        <v>0.54166666666666663</v>
      </c>
      <c r="P59" s="63">
        <v>0.42021276595744683</v>
      </c>
      <c r="Q59" s="63">
        <v>0.40596330275229359</v>
      </c>
    </row>
    <row r="60" spans="1:17" x14ac:dyDescent="0.4">
      <c r="A60" s="65">
        <v>57</v>
      </c>
      <c r="B60" s="62">
        <v>-3.5527136788005009E-14</v>
      </c>
      <c r="C60" s="62">
        <v>-2.077610338479825E-16</v>
      </c>
      <c r="D60" s="67">
        <v>2</v>
      </c>
      <c r="E60" s="63">
        <v>0.33333333333333331</v>
      </c>
      <c r="F60" s="63">
        <v>0.33333333333333331</v>
      </c>
      <c r="G60" s="63">
        <v>0.29002624671916011</v>
      </c>
      <c r="H60" s="63">
        <v>0.17125984251968504</v>
      </c>
      <c r="I60" s="64">
        <v>8290.4977375565613</v>
      </c>
      <c r="J60" s="64">
        <v>-7888.5057471264372</v>
      </c>
      <c r="K60" s="63">
        <v>0.11695906432748537</v>
      </c>
      <c r="L60" s="63">
        <v>0.11695906432748537</v>
      </c>
      <c r="M60" s="63">
        <v>0.23818897637795275</v>
      </c>
      <c r="N60" s="63">
        <v>0.24803149606299213</v>
      </c>
      <c r="O60" s="63">
        <v>0.54545454545454541</v>
      </c>
      <c r="P60" s="63">
        <v>0.42328042328042326</v>
      </c>
      <c r="Q60" s="63">
        <v>0.40723981900452488</v>
      </c>
    </row>
    <row r="61" spans="1:17" x14ac:dyDescent="0.4">
      <c r="A61" s="65">
        <v>58</v>
      </c>
      <c r="B61" s="62">
        <v>-3.5527136788005009E-14</v>
      </c>
      <c r="C61" s="62">
        <v>-2.0417894705750005E-16</v>
      </c>
      <c r="D61" s="67">
        <v>2</v>
      </c>
      <c r="E61" s="63">
        <v>0.33333333333333331</v>
      </c>
      <c r="F61" s="63">
        <v>0.33333333333333331</v>
      </c>
      <c r="G61" s="63">
        <v>0.29069767441860467</v>
      </c>
      <c r="H61" s="63">
        <v>0.17118863049095606</v>
      </c>
      <c r="I61" s="64">
        <v>8229.7777777777774</v>
      </c>
      <c r="J61" s="64">
        <v>-7834.3396226415098</v>
      </c>
      <c r="K61" s="63">
        <v>0.11494252873563218</v>
      </c>
      <c r="L61" s="63">
        <v>0.11494252873563218</v>
      </c>
      <c r="M61" s="63">
        <v>0.23708010335917312</v>
      </c>
      <c r="N61" s="63">
        <v>0.24935400516795866</v>
      </c>
      <c r="O61" s="63">
        <v>0.54495912806539515</v>
      </c>
      <c r="P61" s="63">
        <v>0.42746113989637308</v>
      </c>
      <c r="Q61" s="63">
        <v>0.40888888888888891</v>
      </c>
    </row>
    <row r="62" spans="1:17" x14ac:dyDescent="0.4">
      <c r="A62" s="65">
        <v>59</v>
      </c>
      <c r="B62" s="62">
        <v>-4.2632564145606011E-14</v>
      </c>
      <c r="C62" s="62">
        <v>-2.4086194432545769E-16</v>
      </c>
      <c r="D62" s="67">
        <v>2</v>
      </c>
      <c r="E62" s="63">
        <v>0.33333333333333331</v>
      </c>
      <c r="F62" s="63">
        <v>0.33333333333333331</v>
      </c>
      <c r="G62" s="63">
        <v>0.29118773946360155</v>
      </c>
      <c r="H62" s="63">
        <v>0.17241379310344829</v>
      </c>
      <c r="I62" s="64">
        <v>8244.9561403508778</v>
      </c>
      <c r="J62" s="64">
        <v>-7854.8148148148148</v>
      </c>
      <c r="K62" s="63">
        <v>0.11864406779661017</v>
      </c>
      <c r="L62" s="63">
        <v>0.11864406779661017</v>
      </c>
      <c r="M62" s="63">
        <v>0.23690932311621968</v>
      </c>
      <c r="N62" s="63">
        <v>0.24968071519795657</v>
      </c>
      <c r="O62" s="63">
        <v>0.54716981132075471</v>
      </c>
      <c r="P62" s="63">
        <v>0.42710997442455245</v>
      </c>
      <c r="Q62" s="63">
        <v>0.4057017543859649</v>
      </c>
    </row>
    <row r="63" spans="1:17" x14ac:dyDescent="0.4">
      <c r="A63" s="65">
        <v>60</v>
      </c>
      <c r="B63" s="62">
        <v>-4.2632564145606011E-14</v>
      </c>
      <c r="C63" s="62">
        <v>-2.3684757858670006E-16</v>
      </c>
      <c r="D63" s="67">
        <v>2</v>
      </c>
      <c r="E63" s="63">
        <v>0.33333333333333331</v>
      </c>
      <c r="F63" s="63">
        <v>0.33333333333333331</v>
      </c>
      <c r="G63" s="63">
        <v>0.29182389937106917</v>
      </c>
      <c r="H63" s="63">
        <v>0.17232704402515722</v>
      </c>
      <c r="I63" s="64">
        <v>8244.1810344827591</v>
      </c>
      <c r="J63" s="64">
        <v>-7844.8905109489051</v>
      </c>
      <c r="K63" s="63">
        <v>0.11666666666666667</v>
      </c>
      <c r="L63" s="63">
        <v>0.11666666666666667</v>
      </c>
      <c r="M63" s="63">
        <v>0.23710691823899371</v>
      </c>
      <c r="N63" s="63">
        <v>0.25094339622641509</v>
      </c>
      <c r="O63" s="63">
        <v>0.55172413793103448</v>
      </c>
      <c r="P63" s="63">
        <v>0.42606516290726815</v>
      </c>
      <c r="Q63" s="63">
        <v>0.40732758620689657</v>
      </c>
    </row>
    <row r="64" spans="1:17" x14ac:dyDescent="0.4">
      <c r="A64" s="65">
        <v>61</v>
      </c>
      <c r="B64" s="62">
        <v>-4.2632564145606011E-14</v>
      </c>
      <c r="C64" s="62">
        <v>-2.3296483139675417E-16</v>
      </c>
      <c r="D64" s="67">
        <v>2</v>
      </c>
      <c r="E64" s="63">
        <v>0.33333333333333331</v>
      </c>
      <c r="F64" s="63">
        <v>0.33333333333333331</v>
      </c>
      <c r="G64" s="63">
        <v>0.29174425822470518</v>
      </c>
      <c r="H64" s="63">
        <v>0.17194289261328369</v>
      </c>
      <c r="I64" s="64">
        <v>8257.8723404255325</v>
      </c>
      <c r="J64" s="64">
        <v>-7916.2454873646211</v>
      </c>
      <c r="K64" s="63">
        <v>0.11475409836065574</v>
      </c>
      <c r="L64" s="63">
        <v>0.11475409836065574</v>
      </c>
      <c r="M64" s="63">
        <v>0.23711980136561142</v>
      </c>
      <c r="N64" s="63">
        <v>0.25139664804469275</v>
      </c>
      <c r="O64" s="63">
        <v>0.55759162303664922</v>
      </c>
      <c r="P64" s="63">
        <v>0.42222222222222222</v>
      </c>
      <c r="Q64" s="63">
        <v>0.40851063829787232</v>
      </c>
    </row>
    <row r="65" spans="1:17" x14ac:dyDescent="0.4">
      <c r="A65" s="65">
        <v>62</v>
      </c>
      <c r="B65" s="62">
        <v>-3.5527136788005009E-14</v>
      </c>
      <c r="C65" s="62">
        <v>-1.9100611176346779E-16</v>
      </c>
      <c r="D65" s="67">
        <v>2</v>
      </c>
      <c r="E65" s="63">
        <v>0.33333333333333331</v>
      </c>
      <c r="F65" s="63">
        <v>0.33333333333333331</v>
      </c>
      <c r="G65" s="63">
        <v>0.2922794117647059</v>
      </c>
      <c r="H65" s="63">
        <v>0.17156862745098039</v>
      </c>
      <c r="I65" s="64">
        <v>8272.9559748427673</v>
      </c>
      <c r="J65" s="64">
        <v>-7906.4285714285716</v>
      </c>
      <c r="K65" s="63">
        <v>0.11290322580645161</v>
      </c>
      <c r="L65" s="63">
        <v>0.11290322580645161</v>
      </c>
      <c r="M65" s="63">
        <v>0.23897058823529413</v>
      </c>
      <c r="N65" s="63">
        <v>0.25</v>
      </c>
      <c r="O65" s="63">
        <v>0.55897435897435899</v>
      </c>
      <c r="P65" s="63">
        <v>0.42156862745098039</v>
      </c>
      <c r="Q65" s="63">
        <v>0.41090146750524109</v>
      </c>
    </row>
    <row r="66" spans="1:17" x14ac:dyDescent="0.4">
      <c r="A66" s="65">
        <v>63</v>
      </c>
      <c r="B66" s="62">
        <v>-4.2632564145606011E-14</v>
      </c>
      <c r="C66" s="62">
        <v>-2.2556912246352386E-16</v>
      </c>
      <c r="D66" s="67">
        <v>2</v>
      </c>
      <c r="E66" s="63">
        <v>0.33333333333333331</v>
      </c>
      <c r="F66" s="63">
        <v>0.33333333333333331</v>
      </c>
      <c r="G66" s="63">
        <v>0.2922705314009662</v>
      </c>
      <c r="H66" s="63">
        <v>0.17028985507246377</v>
      </c>
      <c r="I66" s="64">
        <v>8286.5702479338852</v>
      </c>
      <c r="J66" s="64">
        <v>-7896.0992907801419</v>
      </c>
      <c r="K66" s="63">
        <v>0.1111111111111111</v>
      </c>
      <c r="L66" s="63">
        <v>0.1111111111111111</v>
      </c>
      <c r="M66" s="63">
        <v>0.23973429951690822</v>
      </c>
      <c r="N66" s="63">
        <v>0.24879227053140096</v>
      </c>
      <c r="O66" s="63">
        <v>0.5617128463476071</v>
      </c>
      <c r="P66" s="63">
        <v>0.4199029126213592</v>
      </c>
      <c r="Q66" s="63">
        <v>0.41528925619834711</v>
      </c>
    </row>
    <row r="67" spans="1:17" x14ac:dyDescent="0.4">
      <c r="A67" s="65">
        <v>64</v>
      </c>
      <c r="B67" s="62">
        <v>-4.1910919179599659E-14</v>
      </c>
      <c r="C67" s="62">
        <v>-2.1828603739374822E-16</v>
      </c>
      <c r="D67" s="67">
        <v>2</v>
      </c>
      <c r="E67" s="63">
        <v>0.33333333333333331</v>
      </c>
      <c r="F67" s="63">
        <v>0.33333333333333331</v>
      </c>
      <c r="G67" s="63">
        <v>0.29166666666666669</v>
      </c>
      <c r="H67" s="63">
        <v>0.16964285714285715</v>
      </c>
      <c r="I67" s="64">
        <v>8231.6326530612241</v>
      </c>
      <c r="J67" s="64">
        <v>-7857.1929824561403</v>
      </c>
      <c r="K67" s="63">
        <v>0.109375</v>
      </c>
      <c r="L67" s="63">
        <v>0.109375</v>
      </c>
      <c r="M67" s="63">
        <v>0.24166666666666667</v>
      </c>
      <c r="N67" s="63">
        <v>0.24821428571428572</v>
      </c>
      <c r="O67" s="63">
        <v>0.55418719211822665</v>
      </c>
      <c r="P67" s="63">
        <v>0.41726618705035973</v>
      </c>
      <c r="Q67" s="63">
        <v>0.41632653061224489</v>
      </c>
    </row>
    <row r="68" spans="1:17" x14ac:dyDescent="0.4">
      <c r="A68" s="65">
        <v>65</v>
      </c>
      <c r="B68" s="62">
        <v>-3.5527136788005009E-14</v>
      </c>
      <c r="C68" s="62">
        <v>-1.8219044506669235E-16</v>
      </c>
      <c r="D68" s="67">
        <v>2</v>
      </c>
      <c r="E68" s="63">
        <v>0.33333333333333331</v>
      </c>
      <c r="F68" s="63">
        <v>0.33333333333333331</v>
      </c>
      <c r="G68" s="63">
        <v>0.29246935201401053</v>
      </c>
      <c r="H68" s="63">
        <v>0.16929363689433741</v>
      </c>
      <c r="I68" s="64">
        <v>8289.2215568862284</v>
      </c>
      <c r="J68" s="64">
        <v>-7873.7931034482763</v>
      </c>
      <c r="K68" s="63">
        <v>0.11282051282051282</v>
      </c>
      <c r="L68" s="63">
        <v>0.11282051282051282</v>
      </c>
      <c r="M68" s="63">
        <v>0.24460011675423235</v>
      </c>
      <c r="N68" s="63">
        <v>0.24576765907764156</v>
      </c>
      <c r="O68" s="63">
        <v>0.55369928400954649</v>
      </c>
      <c r="P68" s="63">
        <v>0.42280285035629456</v>
      </c>
      <c r="Q68" s="63">
        <v>0.41916167664670656</v>
      </c>
    </row>
    <row r="69" spans="1:17" x14ac:dyDescent="0.4">
      <c r="A69" s="65">
        <v>66</v>
      </c>
      <c r="B69" s="62">
        <v>-3.907985046680551E-14</v>
      </c>
      <c r="C69" s="62">
        <v>-1.9737298215558337E-16</v>
      </c>
      <c r="D69" s="67">
        <v>2</v>
      </c>
      <c r="E69" s="63">
        <v>0.33333333333333331</v>
      </c>
      <c r="F69" s="63">
        <v>0.33333333333333331</v>
      </c>
      <c r="G69" s="63">
        <v>0.29231658001155403</v>
      </c>
      <c r="H69" s="63">
        <v>0.16868861929520509</v>
      </c>
      <c r="I69" s="64">
        <v>8271.3438735177861</v>
      </c>
      <c r="J69" s="64">
        <v>-7851.0273972602736</v>
      </c>
      <c r="K69" s="63">
        <v>0.1111111111111111</v>
      </c>
      <c r="L69" s="63">
        <v>0.1111111111111111</v>
      </c>
      <c r="M69" s="63">
        <v>0.24610051993067592</v>
      </c>
      <c r="N69" s="63">
        <v>0.24610051993067592</v>
      </c>
      <c r="O69" s="63">
        <v>0.55164319248826288</v>
      </c>
      <c r="P69" s="63">
        <v>0.42018779342723006</v>
      </c>
      <c r="Q69" s="63">
        <v>0.42094861660079053</v>
      </c>
    </row>
    <row r="70" spans="1:17" x14ac:dyDescent="0.4">
      <c r="A70" s="65">
        <v>67</v>
      </c>
      <c r="B70" s="62">
        <v>-3.907985046680551E-14</v>
      </c>
      <c r="C70" s="62">
        <v>-1.9442711675027617E-16</v>
      </c>
      <c r="D70" s="67">
        <v>2</v>
      </c>
      <c r="E70" s="63">
        <v>0.33333333333333331</v>
      </c>
      <c r="F70" s="63">
        <v>0.33333333333333331</v>
      </c>
      <c r="G70" s="63">
        <v>0.29287749287749287</v>
      </c>
      <c r="H70" s="63">
        <v>0.16923076923076924</v>
      </c>
      <c r="I70" s="64">
        <v>8226.8482490272381</v>
      </c>
      <c r="J70" s="64">
        <v>-7789.8989898989903</v>
      </c>
      <c r="K70" s="63">
        <v>0.10945273631840796</v>
      </c>
      <c r="L70" s="63">
        <v>0.10945273631840796</v>
      </c>
      <c r="M70" s="63">
        <v>0.249002849002849</v>
      </c>
      <c r="N70" s="63">
        <v>0.24444444444444444</v>
      </c>
      <c r="O70" s="63">
        <v>0.54919908466819223</v>
      </c>
      <c r="P70" s="63">
        <v>0.41958041958041958</v>
      </c>
      <c r="Q70" s="63">
        <v>0.42023346303501946</v>
      </c>
    </row>
    <row r="71" spans="1:17" x14ac:dyDescent="0.4">
      <c r="A71" s="65">
        <v>68</v>
      </c>
      <c r="B71" s="62">
        <v>-3.907985046680551E-14</v>
      </c>
      <c r="C71" s="62">
        <v>-1.9156789444512506E-16</v>
      </c>
      <c r="D71" s="67">
        <v>2</v>
      </c>
      <c r="E71" s="63">
        <v>0.33333333333333331</v>
      </c>
      <c r="F71" s="63">
        <v>0.33333333333333331</v>
      </c>
      <c r="G71" s="63">
        <v>0.29222972972972971</v>
      </c>
      <c r="H71" s="63">
        <v>0.17004504504504506</v>
      </c>
      <c r="I71" s="64">
        <v>8188.8246628131019</v>
      </c>
      <c r="J71" s="64">
        <v>-7731.7880794701987</v>
      </c>
      <c r="K71" s="63">
        <v>0.10784313725490197</v>
      </c>
      <c r="L71" s="63">
        <v>0.10784313725490197</v>
      </c>
      <c r="M71" s="63">
        <v>0.25</v>
      </c>
      <c r="N71" s="63">
        <v>0.24380630630630631</v>
      </c>
      <c r="O71" s="63">
        <v>0.54504504504504503</v>
      </c>
      <c r="P71" s="63">
        <v>0.42032332563510394</v>
      </c>
      <c r="Q71" s="63">
        <v>0.41618497109826591</v>
      </c>
    </row>
    <row r="72" spans="1:17" x14ac:dyDescent="0.4">
      <c r="A72" s="65">
        <v>69</v>
      </c>
      <c r="B72" s="62">
        <v>-4.2632564145606011E-14</v>
      </c>
      <c r="C72" s="62">
        <v>-2.0595441616234788E-16</v>
      </c>
      <c r="D72" s="67">
        <v>2</v>
      </c>
      <c r="E72" s="63">
        <v>0.33333333333333331</v>
      </c>
      <c r="F72" s="63">
        <v>0.33333333333333331</v>
      </c>
      <c r="G72" s="63">
        <v>0.29104062326099056</v>
      </c>
      <c r="H72" s="63">
        <v>0.16917084028937118</v>
      </c>
      <c r="I72" s="64">
        <v>8184.8948374760994</v>
      </c>
      <c r="J72" s="64">
        <v>-7712.8289473684208</v>
      </c>
      <c r="K72" s="63">
        <v>0.1111111111111111</v>
      </c>
      <c r="L72" s="63">
        <v>0.1111111111111111</v>
      </c>
      <c r="M72" s="63">
        <v>0.24930439621591541</v>
      </c>
      <c r="N72" s="63">
        <v>0.24429604897050641</v>
      </c>
      <c r="O72" s="63">
        <v>0.5424107142857143</v>
      </c>
      <c r="P72" s="63">
        <v>0.4191343963553531</v>
      </c>
      <c r="Q72" s="63">
        <v>0.4168260038240918</v>
      </c>
    </row>
    <row r="73" spans="1:17" x14ac:dyDescent="0.4">
      <c r="A73" s="65">
        <v>70</v>
      </c>
      <c r="B73" s="62">
        <v>-4.0856207306205761E-14</v>
      </c>
      <c r="C73" s="62">
        <v>-1.9455336812478934E-16</v>
      </c>
      <c r="D73" s="67">
        <v>2</v>
      </c>
      <c r="E73" s="63">
        <v>0.33333333333333331</v>
      </c>
      <c r="F73" s="63">
        <v>0.33333333333333331</v>
      </c>
      <c r="G73" s="63">
        <v>0.29152915291529152</v>
      </c>
      <c r="H73" s="63">
        <v>0.1694169416941694</v>
      </c>
      <c r="I73" s="64">
        <v>8170.7547169811323</v>
      </c>
      <c r="J73" s="64">
        <v>-7715.5844155844152</v>
      </c>
      <c r="K73" s="63">
        <v>0.11428571428571428</v>
      </c>
      <c r="L73" s="63">
        <v>0.11428571428571428</v>
      </c>
      <c r="M73" s="63">
        <v>0.24972497249724973</v>
      </c>
      <c r="N73" s="63">
        <v>0.24532453245324531</v>
      </c>
      <c r="O73" s="63">
        <v>0.54185022026431717</v>
      </c>
      <c r="P73" s="63">
        <v>0.42152466367713004</v>
      </c>
      <c r="Q73" s="63">
        <v>0.41509433962264153</v>
      </c>
    </row>
    <row r="74" spans="1:17" x14ac:dyDescent="0.4">
      <c r="A74" s="65">
        <v>71</v>
      </c>
      <c r="B74" s="62">
        <v>-3.907985046680551E-14</v>
      </c>
      <c r="C74" s="62">
        <v>-1.8347347636997893E-16</v>
      </c>
      <c r="D74" s="67">
        <v>2</v>
      </c>
      <c r="E74" s="63">
        <v>0.33333333333333331</v>
      </c>
      <c r="F74" s="63">
        <v>0.33333333333333331</v>
      </c>
      <c r="G74" s="63">
        <v>0.29207383279044519</v>
      </c>
      <c r="H74" s="63">
        <v>0.17046688382193267</v>
      </c>
      <c r="I74" s="64">
        <v>8153.7174721189594</v>
      </c>
      <c r="J74" s="64">
        <v>-7724.8407643312103</v>
      </c>
      <c r="K74" s="63">
        <v>0.11267605633802817</v>
      </c>
      <c r="L74" s="63">
        <v>0.11267605633802817</v>
      </c>
      <c r="M74" s="63">
        <v>0.24755700325732899</v>
      </c>
      <c r="N74" s="63">
        <v>0.24755700325732899</v>
      </c>
      <c r="O74" s="63">
        <v>0.54166666666666663</v>
      </c>
      <c r="P74" s="63">
        <v>0.4232456140350877</v>
      </c>
      <c r="Q74" s="63">
        <v>0.41263940520446096</v>
      </c>
    </row>
    <row r="75" spans="1:17" x14ac:dyDescent="0.4">
      <c r="A75" s="65">
        <v>72</v>
      </c>
      <c r="B75" s="62">
        <v>-3.907985046680551E-14</v>
      </c>
      <c r="C75" s="62">
        <v>-1.8092523364261809E-16</v>
      </c>
      <c r="D75" s="67">
        <v>2</v>
      </c>
      <c r="E75" s="63">
        <v>0.33333333333333331</v>
      </c>
      <c r="F75" s="63">
        <v>0.33333333333333331</v>
      </c>
      <c r="G75" s="63">
        <v>0.29260450160771706</v>
      </c>
      <c r="H75" s="63">
        <v>0.17041800643086816</v>
      </c>
      <c r="I75" s="64">
        <v>8174.9084249084253</v>
      </c>
      <c r="J75" s="64">
        <v>-7755.9748427672957</v>
      </c>
      <c r="K75" s="63">
        <v>0.1111111111111111</v>
      </c>
      <c r="L75" s="63">
        <v>0.1111111111111111</v>
      </c>
      <c r="M75" s="63">
        <v>0.24758842443729903</v>
      </c>
      <c r="N75" s="63">
        <v>0.24866023579849947</v>
      </c>
      <c r="O75" s="63">
        <v>0.54112554112554112</v>
      </c>
      <c r="P75" s="63">
        <v>0.42672413793103448</v>
      </c>
      <c r="Q75" s="63">
        <v>0.41391941391941389</v>
      </c>
    </row>
    <row r="76" spans="1:17" x14ac:dyDescent="0.4">
      <c r="A76" s="65">
        <v>73</v>
      </c>
      <c r="B76" s="62">
        <v>-3.5527136788005009E-14</v>
      </c>
      <c r="C76" s="62">
        <v>-1.6222436889500003E-16</v>
      </c>
      <c r="D76" s="67">
        <v>2</v>
      </c>
      <c r="E76" s="63">
        <v>0.33333333333333331</v>
      </c>
      <c r="F76" s="63">
        <v>0.33333333333333331</v>
      </c>
      <c r="G76" s="63">
        <v>0.29312169312169312</v>
      </c>
      <c r="H76" s="63">
        <v>0.17089947089947091</v>
      </c>
      <c r="I76" s="64">
        <v>8197.2924187725639</v>
      </c>
      <c r="J76" s="64">
        <v>-7707.1207430340555</v>
      </c>
      <c r="K76" s="63">
        <v>0.1095890410958904</v>
      </c>
      <c r="L76" s="63">
        <v>0.1095890410958904</v>
      </c>
      <c r="M76" s="63">
        <v>0.24656084656084656</v>
      </c>
      <c r="N76" s="63">
        <v>0.24656084656084656</v>
      </c>
      <c r="O76" s="63">
        <v>0.5429184549356223</v>
      </c>
      <c r="P76" s="63">
        <v>0.42489270386266093</v>
      </c>
      <c r="Q76" s="63">
        <v>0.41335740072202165</v>
      </c>
    </row>
    <row r="77" spans="1:17" x14ac:dyDescent="0.4">
      <c r="A77" s="65">
        <v>74</v>
      </c>
      <c r="B77" s="62">
        <v>-3.6193270602780103E-14</v>
      </c>
      <c r="C77" s="62">
        <v>-1.6303275046297345E-16</v>
      </c>
      <c r="D77" s="67">
        <v>2</v>
      </c>
      <c r="E77" s="63">
        <v>0.33333333333333331</v>
      </c>
      <c r="F77" s="63">
        <v>0.33333333333333331</v>
      </c>
      <c r="G77" s="63">
        <v>0.29304029304029305</v>
      </c>
      <c r="H77" s="63">
        <v>0.1695447409733124</v>
      </c>
      <c r="I77" s="64">
        <v>8187.8571428571431</v>
      </c>
      <c r="J77" s="64">
        <v>-7691.358024691358</v>
      </c>
      <c r="K77" s="63">
        <v>0.10810810810810811</v>
      </c>
      <c r="L77" s="63">
        <v>0.10810810810810811</v>
      </c>
      <c r="M77" s="63">
        <v>0.24646781789638933</v>
      </c>
      <c r="N77" s="63">
        <v>0.24594453165881738</v>
      </c>
      <c r="O77" s="63">
        <v>0.54564755838641188</v>
      </c>
      <c r="P77" s="63">
        <v>0.42553191489361702</v>
      </c>
      <c r="Q77" s="63">
        <v>0.41785714285714287</v>
      </c>
    </row>
    <row r="78" spans="1:17" x14ac:dyDescent="0.4">
      <c r="A78" s="65">
        <v>75</v>
      </c>
      <c r="B78" s="62">
        <v>-3.5527136788005009E-14</v>
      </c>
      <c r="C78" s="62">
        <v>-1.5789838572446671E-16</v>
      </c>
      <c r="D78" s="67">
        <v>2</v>
      </c>
      <c r="E78" s="63">
        <v>0.33333333333333331</v>
      </c>
      <c r="F78" s="63">
        <v>0.33333333333333331</v>
      </c>
      <c r="G78" s="63">
        <v>0.2930232558139535</v>
      </c>
      <c r="H78" s="63">
        <v>0.17054263565891473</v>
      </c>
      <c r="I78" s="64">
        <v>8202.4691358024684</v>
      </c>
      <c r="J78" s="64">
        <v>-7713.939393939394</v>
      </c>
      <c r="K78" s="63">
        <v>0.10666666666666667</v>
      </c>
      <c r="L78" s="63">
        <v>0.10666666666666667</v>
      </c>
      <c r="M78" s="63">
        <v>0.24754521963824289</v>
      </c>
      <c r="N78" s="63">
        <v>0.24702842377260981</v>
      </c>
      <c r="O78" s="63">
        <v>0.54279749478079331</v>
      </c>
      <c r="P78" s="63">
        <v>0.42468619246861927</v>
      </c>
      <c r="Q78" s="63">
        <v>0.41446208112874777</v>
      </c>
    </row>
    <row r="79" spans="1:17" x14ac:dyDescent="0.4">
      <c r="A79" s="65">
        <v>76</v>
      </c>
      <c r="B79" s="62">
        <v>-3.5527136788005009E-14</v>
      </c>
      <c r="C79" s="62">
        <v>-1.5582077538598687E-16</v>
      </c>
      <c r="D79" s="67">
        <v>2</v>
      </c>
      <c r="E79" s="63">
        <v>0.33333333333333331</v>
      </c>
      <c r="F79" s="63">
        <v>0.33333333333333331</v>
      </c>
      <c r="G79" s="63">
        <v>0.2932098765432099</v>
      </c>
      <c r="H79" s="63">
        <v>0.17078189300411523</v>
      </c>
      <c r="I79" s="64">
        <v>8259.8245614035095</v>
      </c>
      <c r="J79" s="64">
        <v>-7695.4819277108436</v>
      </c>
      <c r="K79" s="63">
        <v>0.10964912280701754</v>
      </c>
      <c r="L79" s="63">
        <v>0.10964912280701754</v>
      </c>
      <c r="M79" s="63">
        <v>0.24639917695473251</v>
      </c>
      <c r="N79" s="63">
        <v>0.24742798353909465</v>
      </c>
      <c r="O79" s="63">
        <v>0.54279749478079331</v>
      </c>
      <c r="P79" s="63">
        <v>0.42411642411642414</v>
      </c>
      <c r="Q79" s="63">
        <v>0.41403508771929826</v>
      </c>
    </row>
    <row r="80" spans="1:17" x14ac:dyDescent="0.4">
      <c r="A80" s="65">
        <v>77</v>
      </c>
      <c r="B80" s="62">
        <v>-3.3750779948604759E-14</v>
      </c>
      <c r="C80" s="62">
        <v>-1.4610727250478251E-16</v>
      </c>
      <c r="D80" s="67">
        <v>2</v>
      </c>
      <c r="E80" s="63">
        <v>0.33333333333333331</v>
      </c>
      <c r="F80" s="63">
        <v>0.33333333333333331</v>
      </c>
      <c r="G80" s="63">
        <v>0.29312977099236642</v>
      </c>
      <c r="H80" s="63">
        <v>0.16946564885496182</v>
      </c>
      <c r="I80" s="64">
        <v>8280.3819444444453</v>
      </c>
      <c r="J80" s="64">
        <v>-7678.3783783783783</v>
      </c>
      <c r="K80" s="63">
        <v>0.10822510822510822</v>
      </c>
      <c r="L80" s="63">
        <v>0.10822510822510822</v>
      </c>
      <c r="M80" s="63">
        <v>0.24783715012722646</v>
      </c>
      <c r="N80" s="63">
        <v>0.24580152671755726</v>
      </c>
      <c r="O80" s="63">
        <v>0.5462012320328542</v>
      </c>
      <c r="P80" s="63">
        <v>0.42236024844720499</v>
      </c>
      <c r="Q80" s="63">
        <v>0.41840277777777779</v>
      </c>
    </row>
    <row r="81" spans="1:17" x14ac:dyDescent="0.4">
      <c r="A81" s="65">
        <v>78</v>
      </c>
      <c r="B81" s="62">
        <v>-3.5527136788005009E-14</v>
      </c>
      <c r="C81" s="62">
        <v>-1.518253708889103E-16</v>
      </c>
      <c r="D81" s="67">
        <v>2</v>
      </c>
      <c r="E81" s="63">
        <v>0.33333333333333331</v>
      </c>
      <c r="F81" s="63">
        <v>0.33333333333333331</v>
      </c>
      <c r="G81" s="63">
        <v>0.29343434343434344</v>
      </c>
      <c r="H81" s="63">
        <v>0.16969696969696971</v>
      </c>
      <c r="I81" s="64">
        <v>8303.4423407917384</v>
      </c>
      <c r="J81" s="64">
        <v>-7734.8214285714284</v>
      </c>
      <c r="K81" s="63">
        <v>0.1111111111111111</v>
      </c>
      <c r="L81" s="63">
        <v>0.1111111111111111</v>
      </c>
      <c r="M81" s="63">
        <v>0.24797979797979797</v>
      </c>
      <c r="N81" s="63">
        <v>0.24545454545454545</v>
      </c>
      <c r="O81" s="63">
        <v>0.54582484725050917</v>
      </c>
      <c r="P81" s="63">
        <v>0.42181069958847739</v>
      </c>
      <c r="Q81" s="63">
        <v>0.41824440619621345</v>
      </c>
    </row>
    <row r="82" spans="1:17" x14ac:dyDescent="0.4">
      <c r="A82" s="65">
        <v>79</v>
      </c>
      <c r="B82" s="62">
        <v>-3.3750779948604759E-14</v>
      </c>
      <c r="C82" s="62">
        <v>-1.424083542135222E-16</v>
      </c>
      <c r="D82" s="67">
        <v>2</v>
      </c>
      <c r="E82" s="63">
        <v>0.33333333333333331</v>
      </c>
      <c r="F82" s="63">
        <v>0.33333333333333331</v>
      </c>
      <c r="G82" s="63">
        <v>0.29341317365269459</v>
      </c>
      <c r="H82" s="63">
        <v>0.17015968063872255</v>
      </c>
      <c r="I82" s="64">
        <v>8297.4489795918362</v>
      </c>
      <c r="J82" s="64">
        <v>-7711.1436950146626</v>
      </c>
      <c r="K82" s="63">
        <v>0.10970464135021098</v>
      </c>
      <c r="L82" s="63">
        <v>0.10970464135021098</v>
      </c>
      <c r="M82" s="63">
        <v>0.24800399201596807</v>
      </c>
      <c r="N82" s="63">
        <v>0.24500998003992017</v>
      </c>
      <c r="O82" s="63">
        <v>0.54325955734406439</v>
      </c>
      <c r="P82" s="63">
        <v>0.42566191446028512</v>
      </c>
      <c r="Q82" s="63">
        <v>0.41666666666666669</v>
      </c>
    </row>
    <row r="83" spans="1:17" x14ac:dyDescent="0.4">
      <c r="A83" s="65">
        <v>80</v>
      </c>
      <c r="B83" s="62">
        <v>-3.5527136788005009E-14</v>
      </c>
      <c r="C83" s="62">
        <v>-1.4802973661668753E-16</v>
      </c>
      <c r="D83" s="67">
        <v>2</v>
      </c>
      <c r="E83" s="63">
        <v>0.33333333333333331</v>
      </c>
      <c r="F83" s="63">
        <v>0.33333333333333331</v>
      </c>
      <c r="G83" s="63">
        <v>0.29365079365079366</v>
      </c>
      <c r="H83" s="63">
        <v>0.17063492063492064</v>
      </c>
      <c r="I83" s="64">
        <v>8309.45945945946</v>
      </c>
      <c r="J83" s="64">
        <v>-7726.1627906976746</v>
      </c>
      <c r="K83" s="63">
        <v>0.1125</v>
      </c>
      <c r="L83" s="63">
        <v>0.1125</v>
      </c>
      <c r="M83" s="63">
        <v>0.24801587301587302</v>
      </c>
      <c r="N83" s="63">
        <v>0.24454365079365079</v>
      </c>
      <c r="O83" s="63">
        <v>0.54600000000000004</v>
      </c>
      <c r="P83" s="63">
        <v>0.42393509127789047</v>
      </c>
      <c r="Q83" s="63">
        <v>0.41554054054054052</v>
      </c>
    </row>
    <row r="84" spans="1:17" x14ac:dyDescent="0.4">
      <c r="A84" s="65">
        <v>81</v>
      </c>
      <c r="B84" s="62">
        <v>-3.5527136788005009E-14</v>
      </c>
      <c r="C84" s="62">
        <v>-1.4620220900413584E-16</v>
      </c>
      <c r="D84" s="67">
        <v>2</v>
      </c>
      <c r="E84" s="63">
        <v>0.33333333333333331</v>
      </c>
      <c r="F84" s="63">
        <v>0.33333333333333331</v>
      </c>
      <c r="G84" s="63">
        <v>0.29380185456320157</v>
      </c>
      <c r="H84" s="63">
        <v>0.17179111761835042</v>
      </c>
      <c r="I84" s="64">
        <v>8291.5282392026584</v>
      </c>
      <c r="J84" s="64">
        <v>-7701.420454545455</v>
      </c>
      <c r="K84" s="63">
        <v>0.1111111111111111</v>
      </c>
      <c r="L84" s="63">
        <v>0.1111111111111111</v>
      </c>
      <c r="M84" s="63">
        <v>0.24743777452415813</v>
      </c>
      <c r="N84" s="63">
        <v>0.24597364568081992</v>
      </c>
      <c r="O84" s="63">
        <v>0.5483234714003945</v>
      </c>
      <c r="P84" s="63">
        <v>0.42261904761904762</v>
      </c>
      <c r="Q84" s="63">
        <v>0.41196013289036543</v>
      </c>
    </row>
    <row r="85" spans="1:17" x14ac:dyDescent="0.4">
      <c r="A85" s="65">
        <v>82</v>
      </c>
      <c r="B85" s="62">
        <v>-2.8421709430404007E-14</v>
      </c>
      <c r="C85" s="62">
        <v>-1.1553540418863419E-16</v>
      </c>
      <c r="D85" s="67">
        <v>2</v>
      </c>
      <c r="E85" s="63">
        <v>0.33333333333333331</v>
      </c>
      <c r="F85" s="63">
        <v>0.33333333333333331</v>
      </c>
      <c r="G85" s="63">
        <v>0.29414610546686021</v>
      </c>
      <c r="H85" s="63">
        <v>0.17174649250120949</v>
      </c>
      <c r="I85" s="64">
        <v>8288.6513157894733</v>
      </c>
      <c r="J85" s="64">
        <v>-7720.5633802816901</v>
      </c>
      <c r="K85" s="63">
        <v>0.11382113821138211</v>
      </c>
      <c r="L85" s="63">
        <v>0.11382113821138211</v>
      </c>
      <c r="M85" s="63">
        <v>0.24818577648766327</v>
      </c>
      <c r="N85" s="63">
        <v>0.24479922593130141</v>
      </c>
      <c r="O85" s="63">
        <v>0.55165692007797273</v>
      </c>
      <c r="P85" s="63">
        <v>0.42094861660079053</v>
      </c>
      <c r="Q85" s="63">
        <v>0.41282894736842107</v>
      </c>
    </row>
    <row r="86" spans="1:17" x14ac:dyDescent="0.4">
      <c r="A86" s="65">
        <v>83</v>
      </c>
      <c r="B86" s="62">
        <v>-2.1316282072803006E-14</v>
      </c>
      <c r="C86" s="62">
        <v>-8.560755852531328E-17</v>
      </c>
      <c r="D86" s="67">
        <v>2</v>
      </c>
      <c r="E86" s="63">
        <v>0.33333333333333331</v>
      </c>
      <c r="F86" s="63">
        <v>0.33333333333333331</v>
      </c>
      <c r="G86" s="63">
        <v>0.29442843419788667</v>
      </c>
      <c r="H86" s="63">
        <v>0.17195004803073968</v>
      </c>
      <c r="I86" s="64">
        <v>8317.6182707993466</v>
      </c>
      <c r="J86" s="64">
        <v>-7755.3072625698323</v>
      </c>
      <c r="K86" s="63">
        <v>0.11646586345381527</v>
      </c>
      <c r="L86" s="63">
        <v>0.11646586345381527</v>
      </c>
      <c r="M86" s="63">
        <v>0.24831892411143131</v>
      </c>
      <c r="N86" s="63">
        <v>0.24543707973102785</v>
      </c>
      <c r="O86" s="63">
        <v>0.55125725338491294</v>
      </c>
      <c r="P86" s="63">
        <v>0.42074363992172209</v>
      </c>
      <c r="Q86" s="63">
        <v>0.41272430668841764</v>
      </c>
    </row>
    <row r="87" spans="1:17" x14ac:dyDescent="0.4">
      <c r="A87" s="65">
        <v>84</v>
      </c>
      <c r="B87" s="62">
        <v>-1.6875389974302379E-14</v>
      </c>
      <c r="C87" s="62">
        <v>-6.6965833231358645E-17</v>
      </c>
      <c r="D87" s="67">
        <v>2</v>
      </c>
      <c r="E87" s="63">
        <v>0.33333333333333331</v>
      </c>
      <c r="F87" s="63">
        <v>0.33333333333333331</v>
      </c>
      <c r="G87" s="63">
        <v>0.29392212725546057</v>
      </c>
      <c r="H87" s="63">
        <v>0.17236467236467237</v>
      </c>
      <c r="I87" s="64">
        <v>8305.3311793214871</v>
      </c>
      <c r="J87" s="64">
        <v>-7750.4132231404956</v>
      </c>
      <c r="K87" s="63">
        <v>0.11507936507936507</v>
      </c>
      <c r="L87" s="63">
        <v>0.11507936507936507</v>
      </c>
      <c r="M87" s="63">
        <v>0.24691358024691357</v>
      </c>
      <c r="N87" s="63">
        <v>0.24596391263057929</v>
      </c>
      <c r="O87" s="63">
        <v>0.55192307692307696</v>
      </c>
      <c r="P87" s="63">
        <v>0.41891891891891891</v>
      </c>
      <c r="Q87" s="63">
        <v>0.41033925686591277</v>
      </c>
    </row>
    <row r="88" spans="1:17" x14ac:dyDescent="0.4">
      <c r="A88" s="65">
        <v>85</v>
      </c>
      <c r="B88" s="62">
        <v>-1.5987211554602254E-14</v>
      </c>
      <c r="C88" s="62">
        <v>-6.2694947272950016E-17</v>
      </c>
      <c r="D88" s="67">
        <v>2</v>
      </c>
      <c r="E88" s="63">
        <v>0.33333333333333331</v>
      </c>
      <c r="F88" s="63">
        <v>0.33333333333333331</v>
      </c>
      <c r="G88" s="63">
        <v>0.29384109073812881</v>
      </c>
      <c r="H88" s="63">
        <v>0.17207334273624825</v>
      </c>
      <c r="I88" s="64">
        <v>8259.36</v>
      </c>
      <c r="J88" s="64">
        <v>-7700.8196721311479</v>
      </c>
      <c r="K88" s="63">
        <v>0.11372549019607843</v>
      </c>
      <c r="L88" s="63">
        <v>0.11372549019607843</v>
      </c>
      <c r="M88" s="63">
        <v>0.24635637047484721</v>
      </c>
      <c r="N88" s="63">
        <v>0.24682651622002821</v>
      </c>
      <c r="O88" s="63">
        <v>0.55152671755725191</v>
      </c>
      <c r="P88" s="63">
        <v>0.41904761904761906</v>
      </c>
      <c r="Q88" s="63">
        <v>0.41120000000000001</v>
      </c>
    </row>
    <row r="89" spans="1:17" x14ac:dyDescent="0.4">
      <c r="A89" s="65">
        <v>86</v>
      </c>
      <c r="B89" s="62">
        <v>-1.5987211554602254E-14</v>
      </c>
      <c r="C89" s="62">
        <v>-6.1965936258148271E-17</v>
      </c>
      <c r="D89" s="67">
        <v>2</v>
      </c>
      <c r="E89" s="63">
        <v>0.33333333333333331</v>
      </c>
      <c r="F89" s="63">
        <v>0.33333333333333331</v>
      </c>
      <c r="G89" s="63">
        <v>0.29381682938168296</v>
      </c>
      <c r="H89" s="63">
        <v>0.17154811715481172</v>
      </c>
      <c r="I89" s="64">
        <v>8253.6392405063289</v>
      </c>
      <c r="J89" s="64">
        <v>-7677.5067750677508</v>
      </c>
      <c r="K89" s="63">
        <v>0.11627906976744186</v>
      </c>
      <c r="L89" s="63">
        <v>0.11627906976744186</v>
      </c>
      <c r="M89" s="63">
        <v>0.24500232450023246</v>
      </c>
      <c r="N89" s="63">
        <v>0.24593212459321245</v>
      </c>
      <c r="O89" s="63">
        <v>0.5540796963946869</v>
      </c>
      <c r="P89" s="63">
        <v>0.42155009451795838</v>
      </c>
      <c r="Q89" s="63">
        <v>0.41297468354430378</v>
      </c>
    </row>
    <row r="90" spans="1:17" x14ac:dyDescent="0.4">
      <c r="A90" s="65">
        <v>87</v>
      </c>
      <c r="B90" s="62">
        <v>-1.4210854715202004E-14</v>
      </c>
      <c r="C90" s="62">
        <v>-5.4447719215333345E-17</v>
      </c>
      <c r="D90" s="67">
        <v>2</v>
      </c>
      <c r="E90" s="63">
        <v>0.33333333333333331</v>
      </c>
      <c r="F90" s="63">
        <v>0.33333333333333331</v>
      </c>
      <c r="G90" s="63">
        <v>0.29368372521899494</v>
      </c>
      <c r="H90" s="63">
        <v>0.17104656523743661</v>
      </c>
      <c r="I90" s="64">
        <v>8264.2072213500778</v>
      </c>
      <c r="J90" s="64">
        <v>-7679.2452830188677</v>
      </c>
      <c r="K90" s="63">
        <v>0.11494252873563218</v>
      </c>
      <c r="L90" s="63">
        <v>0.11494252873563218</v>
      </c>
      <c r="M90" s="63">
        <v>0.24481327800829875</v>
      </c>
      <c r="N90" s="63">
        <v>0.24435223605348086</v>
      </c>
      <c r="O90" s="63">
        <v>0.55743879472693036</v>
      </c>
      <c r="P90" s="63">
        <v>0.42075471698113209</v>
      </c>
      <c r="Q90" s="63">
        <v>0.41444270015698587</v>
      </c>
    </row>
    <row r="91" spans="1:17" x14ac:dyDescent="0.4">
      <c r="A91" s="65">
        <v>88</v>
      </c>
      <c r="B91" s="62">
        <v>-1.4210854715202004E-14</v>
      </c>
      <c r="C91" s="62">
        <v>-5.3828995133340925E-17</v>
      </c>
      <c r="D91" s="67">
        <v>2</v>
      </c>
      <c r="E91" s="63">
        <v>0.33333333333333331</v>
      </c>
      <c r="F91" s="63">
        <v>0.33333333333333331</v>
      </c>
      <c r="G91" s="63">
        <v>0.29417122040072857</v>
      </c>
      <c r="H91" s="63">
        <v>0.16985428051001822</v>
      </c>
      <c r="I91" s="64">
        <v>8239.0092879256972</v>
      </c>
      <c r="J91" s="64">
        <v>-7667.2922252010721</v>
      </c>
      <c r="K91" s="63">
        <v>0.11363636363636363</v>
      </c>
      <c r="L91" s="63">
        <v>0.11363636363636363</v>
      </c>
      <c r="M91" s="63">
        <v>0.24453551912568305</v>
      </c>
      <c r="N91" s="63">
        <v>0.24590163934426229</v>
      </c>
      <c r="O91" s="63">
        <v>0.55679702048417135</v>
      </c>
      <c r="P91" s="63">
        <v>0.42037037037037039</v>
      </c>
      <c r="Q91" s="63">
        <v>0.41950464396284831</v>
      </c>
    </row>
    <row r="92" spans="1:17" x14ac:dyDescent="0.4">
      <c r="A92" s="65">
        <v>89</v>
      </c>
      <c r="B92" s="62">
        <v>-1.4210854715202004E-14</v>
      </c>
      <c r="C92" s="62">
        <v>-5.3224174963303385E-17</v>
      </c>
      <c r="D92" s="67">
        <v>2</v>
      </c>
      <c r="E92" s="63">
        <v>0.33333333333333331</v>
      </c>
      <c r="F92" s="63">
        <v>0.33333333333333331</v>
      </c>
      <c r="G92" s="63">
        <v>0.29414414414414414</v>
      </c>
      <c r="H92" s="63">
        <v>0.16981981981981981</v>
      </c>
      <c r="I92" s="64">
        <v>8256.2021439509954</v>
      </c>
      <c r="J92" s="64">
        <v>-7663.3952254641908</v>
      </c>
      <c r="K92" s="63">
        <v>0.11235955056179775</v>
      </c>
      <c r="L92" s="63">
        <v>0.11235955056179775</v>
      </c>
      <c r="M92" s="63">
        <v>0.24549549549549549</v>
      </c>
      <c r="N92" s="63">
        <v>0.24594594594594596</v>
      </c>
      <c r="O92" s="63">
        <v>0.55596330275229355</v>
      </c>
      <c r="P92" s="63">
        <v>0.42124542124542125</v>
      </c>
      <c r="Q92" s="63">
        <v>0.41960183767228176</v>
      </c>
    </row>
    <row r="93" spans="1:17" x14ac:dyDescent="0.4">
      <c r="A93" s="65">
        <v>90</v>
      </c>
      <c r="B93" s="62">
        <v>-1.4210854715202004E-14</v>
      </c>
      <c r="C93" s="62">
        <v>-5.2632795241488905E-17</v>
      </c>
      <c r="D93" s="67">
        <v>2</v>
      </c>
      <c r="E93" s="63">
        <v>0.33333333333333331</v>
      </c>
      <c r="F93" s="63">
        <v>0.33333333333333331</v>
      </c>
      <c r="G93" s="63">
        <v>0.29417000445037828</v>
      </c>
      <c r="H93" s="63">
        <v>0.17044948820649755</v>
      </c>
      <c r="I93" s="64">
        <v>8225.7186081694399</v>
      </c>
      <c r="J93" s="64">
        <v>-7647.258485639687</v>
      </c>
      <c r="K93" s="63">
        <v>0.1111111111111111</v>
      </c>
      <c r="L93" s="63">
        <v>0.1111111111111111</v>
      </c>
      <c r="M93" s="63">
        <v>0.24477080551846908</v>
      </c>
      <c r="N93" s="63">
        <v>0.24699599465954605</v>
      </c>
      <c r="O93" s="63">
        <v>0.55636363636363639</v>
      </c>
      <c r="P93" s="63">
        <v>0.41981981981981981</v>
      </c>
      <c r="Q93" s="63">
        <v>0.41754916792738278</v>
      </c>
    </row>
    <row r="94" spans="1:17" x14ac:dyDescent="0.4">
      <c r="A94" s="65">
        <v>91</v>
      </c>
      <c r="B94" s="62">
        <v>-1.4210854715202004E-14</v>
      </c>
      <c r="C94" s="62">
        <v>-5.2054412876197816E-17</v>
      </c>
      <c r="D94" s="67">
        <v>2</v>
      </c>
      <c r="E94" s="63">
        <v>0.33333333333333331</v>
      </c>
      <c r="F94" s="63">
        <v>0.33333333333333331</v>
      </c>
      <c r="G94" s="63">
        <v>0.29331574318381703</v>
      </c>
      <c r="H94" s="63">
        <v>0.17062445030782761</v>
      </c>
      <c r="I94" s="64">
        <v>8212.2938530734627</v>
      </c>
      <c r="J94" s="64">
        <v>-7647.1649484536083</v>
      </c>
      <c r="K94" s="63">
        <v>0.10989010989010989</v>
      </c>
      <c r="L94" s="63">
        <v>0.10989010989010989</v>
      </c>
      <c r="M94" s="63">
        <v>0.24450307827616535</v>
      </c>
      <c r="N94" s="63">
        <v>0.24802110817941952</v>
      </c>
      <c r="O94" s="63">
        <v>0.5539568345323741</v>
      </c>
      <c r="P94" s="63">
        <v>0.42021276595744683</v>
      </c>
      <c r="Q94" s="63">
        <v>0.41529235382308843</v>
      </c>
    </row>
    <row r="95" spans="1:17" x14ac:dyDescent="0.4">
      <c r="A95" s="65">
        <v>92</v>
      </c>
      <c r="B95" s="62">
        <v>-1.4210854715202004E-14</v>
      </c>
      <c r="C95" s="62">
        <v>-5.1488604040586971E-17</v>
      </c>
      <c r="D95" s="67">
        <v>2</v>
      </c>
      <c r="E95" s="63">
        <v>0.33333333333333331</v>
      </c>
      <c r="F95" s="63">
        <v>0.33333333333333331</v>
      </c>
      <c r="G95" s="63">
        <v>0.2932461873638344</v>
      </c>
      <c r="H95" s="63">
        <v>0.16993464052287582</v>
      </c>
      <c r="I95" s="64">
        <v>8202.0802377414566</v>
      </c>
      <c r="J95" s="64">
        <v>-7631.2820512820517</v>
      </c>
      <c r="K95" s="63">
        <v>0.10869565217391304</v>
      </c>
      <c r="L95" s="63">
        <v>0.10869565217391304</v>
      </c>
      <c r="M95" s="63">
        <v>0.24444444444444444</v>
      </c>
      <c r="N95" s="63">
        <v>0.24749455337690632</v>
      </c>
      <c r="O95" s="63">
        <v>0.55436720142602491</v>
      </c>
      <c r="P95" s="63">
        <v>0.42077464788732394</v>
      </c>
      <c r="Q95" s="63">
        <v>0.41753343239227342</v>
      </c>
    </row>
    <row r="96" spans="1:17" x14ac:dyDescent="0.4">
      <c r="A96" s="65">
        <v>93</v>
      </c>
      <c r="B96" s="62">
        <v>-1.4210854715202004E-14</v>
      </c>
      <c r="C96" s="62">
        <v>-5.0934963136924744E-17</v>
      </c>
      <c r="D96" s="67">
        <v>2</v>
      </c>
      <c r="E96" s="63">
        <v>0.33333333333333331</v>
      </c>
      <c r="F96" s="63">
        <v>0.33333333333333331</v>
      </c>
      <c r="G96" s="63">
        <v>0.2924731182795699</v>
      </c>
      <c r="H96" s="63">
        <v>0.16989247311827957</v>
      </c>
      <c r="I96" s="64">
        <v>8165.4411764705883</v>
      </c>
      <c r="J96" s="64">
        <v>-7604.5569620253164</v>
      </c>
      <c r="K96" s="63">
        <v>0.10752688172043011</v>
      </c>
      <c r="L96" s="63">
        <v>0.10752688172043011</v>
      </c>
      <c r="M96" s="63">
        <v>0.24387096774193548</v>
      </c>
      <c r="N96" s="63">
        <v>0.24688172043010753</v>
      </c>
      <c r="O96" s="63">
        <v>0.55026455026455023</v>
      </c>
      <c r="P96" s="63">
        <v>0.42160278745644597</v>
      </c>
      <c r="Q96" s="63">
        <v>0.41617647058823531</v>
      </c>
    </row>
    <row r="97" spans="1:17" x14ac:dyDescent="0.4">
      <c r="A97" s="65">
        <v>94</v>
      </c>
      <c r="B97" s="62">
        <v>-1.4210854715202004E-14</v>
      </c>
      <c r="C97" s="62">
        <v>-5.0393101826957459E-17</v>
      </c>
      <c r="D97" s="67">
        <v>2</v>
      </c>
      <c r="E97" s="63">
        <v>0.33333333333333331</v>
      </c>
      <c r="F97" s="63">
        <v>0.33333333333333331</v>
      </c>
      <c r="G97" s="63">
        <v>0.29230769230769232</v>
      </c>
      <c r="H97" s="63">
        <v>0.16965811965811967</v>
      </c>
      <c r="I97" s="64">
        <v>8167.105263157895</v>
      </c>
      <c r="J97" s="64">
        <v>-7630.9823677581862</v>
      </c>
      <c r="K97" s="63">
        <v>0.1099290780141844</v>
      </c>
      <c r="L97" s="63">
        <v>0.1099290780141844</v>
      </c>
      <c r="M97" s="63">
        <v>0.24358974358974358</v>
      </c>
      <c r="N97" s="63">
        <v>0.24658119658119659</v>
      </c>
      <c r="O97" s="63">
        <v>0.5491228070175439</v>
      </c>
      <c r="P97" s="63">
        <v>0.42114384748700173</v>
      </c>
      <c r="Q97" s="63">
        <v>0.41666666666666669</v>
      </c>
    </row>
    <row r="98" spans="1:17" x14ac:dyDescent="0.4">
      <c r="A98" s="65">
        <v>95</v>
      </c>
      <c r="B98" s="62">
        <v>-1.4210854715202004E-14</v>
      </c>
      <c r="C98" s="62">
        <v>-4.9862648123515803E-17</v>
      </c>
      <c r="D98" s="67">
        <v>2</v>
      </c>
      <c r="E98" s="63">
        <v>0.33333333333333331</v>
      </c>
      <c r="F98" s="63">
        <v>0.33333333333333331</v>
      </c>
      <c r="G98" s="63">
        <v>0.29245680573114202</v>
      </c>
      <c r="H98" s="63">
        <v>0.17067003792667509</v>
      </c>
      <c r="I98" s="64">
        <v>8189.9135446685877</v>
      </c>
      <c r="J98" s="64">
        <v>-7661.7283950617284</v>
      </c>
      <c r="K98" s="63">
        <v>0.10877192982456141</v>
      </c>
      <c r="L98" s="63">
        <v>0.10877192982456141</v>
      </c>
      <c r="M98" s="63">
        <v>0.24441635061104089</v>
      </c>
      <c r="N98" s="63">
        <v>0.24652338811630847</v>
      </c>
      <c r="O98" s="63">
        <v>0.55172413793103448</v>
      </c>
      <c r="P98" s="63">
        <v>0.41709401709401711</v>
      </c>
      <c r="Q98" s="63">
        <v>0.41354466858789624</v>
      </c>
    </row>
    <row r="99" spans="1:17" x14ac:dyDescent="0.4">
      <c r="A99" s="65">
        <v>96</v>
      </c>
      <c r="B99" s="62">
        <v>-1.4210854715202004E-14</v>
      </c>
      <c r="C99" s="62">
        <v>-4.9343245538895844E-17</v>
      </c>
      <c r="D99" s="67">
        <v>2</v>
      </c>
      <c r="E99" s="63">
        <v>0.33333333333333331</v>
      </c>
      <c r="F99" s="63">
        <v>0.33333333333333331</v>
      </c>
      <c r="G99" s="63">
        <v>0.29171868497711195</v>
      </c>
      <c r="H99" s="63">
        <v>0.17103620474406991</v>
      </c>
      <c r="I99" s="64">
        <v>8201.5691868758913</v>
      </c>
      <c r="J99" s="64">
        <v>-7680.048661800487</v>
      </c>
      <c r="K99" s="63">
        <v>0.1076388888888889</v>
      </c>
      <c r="L99" s="63">
        <v>0.1076388888888889</v>
      </c>
      <c r="M99" s="63">
        <v>0.24427798585101956</v>
      </c>
      <c r="N99" s="63">
        <v>0.2459425717852684</v>
      </c>
      <c r="O99" s="63">
        <v>0.55025553662691651</v>
      </c>
      <c r="P99" s="63">
        <v>0.41624365482233505</v>
      </c>
      <c r="Q99" s="63">
        <v>0.41084165477888729</v>
      </c>
    </row>
    <row r="100" spans="1:17" x14ac:dyDescent="0.4">
      <c r="A100" s="65">
        <v>97</v>
      </c>
      <c r="B100" s="62">
        <v>-1.4210854715202004E-14</v>
      </c>
      <c r="C100" s="62">
        <v>-4.8834552285917538E-17</v>
      </c>
      <c r="D100" s="67">
        <v>2</v>
      </c>
      <c r="E100" s="63">
        <v>0.33333333333333331</v>
      </c>
      <c r="F100" s="63">
        <v>0.33333333333333331</v>
      </c>
      <c r="G100" s="63">
        <v>0.29166666666666669</v>
      </c>
      <c r="H100" s="63">
        <v>0.17120462046204621</v>
      </c>
      <c r="I100" s="64">
        <v>8186.9872701555869</v>
      </c>
      <c r="J100" s="64">
        <v>-7658.0722891566265</v>
      </c>
      <c r="K100" s="63">
        <v>0.10652920962199312</v>
      </c>
      <c r="L100" s="63">
        <v>0.10652920962199312</v>
      </c>
      <c r="M100" s="63">
        <v>0.24381188118811881</v>
      </c>
      <c r="N100" s="63">
        <v>0.24628712871287128</v>
      </c>
      <c r="O100" s="63">
        <v>0.54991539763113362</v>
      </c>
      <c r="P100" s="63">
        <v>0.41708542713567837</v>
      </c>
      <c r="Q100" s="63">
        <v>0.41018387553041019</v>
      </c>
    </row>
    <row r="101" spans="1:17" x14ac:dyDescent="0.4">
      <c r="A101" s="65">
        <v>98</v>
      </c>
      <c r="B101" s="62">
        <v>-1.7763568394002505E-14</v>
      </c>
      <c r="C101" s="62">
        <v>-6.042030065987247E-17</v>
      </c>
      <c r="D101" s="67">
        <v>2</v>
      </c>
      <c r="E101" s="63">
        <v>0.33333333333333331</v>
      </c>
      <c r="F101" s="63">
        <v>0.33333333333333331</v>
      </c>
      <c r="G101" s="63">
        <v>0.29161554192229039</v>
      </c>
      <c r="H101" s="63">
        <v>0.17137014314928425</v>
      </c>
      <c r="I101" s="64">
        <v>8184.1514726507712</v>
      </c>
      <c r="J101" s="64">
        <v>-7673.7470167064439</v>
      </c>
      <c r="K101" s="63">
        <v>0.10544217687074831</v>
      </c>
      <c r="L101" s="63">
        <v>0.10544217687074831</v>
      </c>
      <c r="M101" s="63">
        <v>0.24335378323108384</v>
      </c>
      <c r="N101" s="63">
        <v>0.24498977505112474</v>
      </c>
      <c r="O101" s="63">
        <v>0.55294117647058827</v>
      </c>
      <c r="P101" s="63">
        <v>0.41736227045075125</v>
      </c>
      <c r="Q101" s="63">
        <v>0.40953716690042075</v>
      </c>
    </row>
    <row r="102" spans="1:17" x14ac:dyDescent="0.4">
      <c r="A102" s="65">
        <v>99</v>
      </c>
      <c r="B102" s="62">
        <v>-1.7763568394002505E-14</v>
      </c>
      <c r="C102" s="62">
        <v>-5.9809994592601025E-17</v>
      </c>
      <c r="D102" s="67">
        <v>2</v>
      </c>
      <c r="E102" s="63">
        <v>0.33333333333333331</v>
      </c>
      <c r="F102" s="63">
        <v>0.33333333333333331</v>
      </c>
      <c r="G102" s="63">
        <v>0.29197080291970801</v>
      </c>
      <c r="H102" s="63">
        <v>0.17193836171938362</v>
      </c>
      <c r="I102" s="64">
        <v>8160.416666666667</v>
      </c>
      <c r="J102" s="64">
        <v>-7644.8113207547167</v>
      </c>
      <c r="K102" s="63">
        <v>0.10437710437710437</v>
      </c>
      <c r="L102" s="63">
        <v>0.10437710437710437</v>
      </c>
      <c r="M102" s="63">
        <v>0.24371451743714517</v>
      </c>
      <c r="N102" s="63">
        <v>0.24452554744525548</v>
      </c>
      <c r="O102" s="63">
        <v>0.55574043261231276</v>
      </c>
      <c r="P102" s="63">
        <v>0.41791044776119401</v>
      </c>
      <c r="Q102" s="63">
        <v>0.40833333333333333</v>
      </c>
    </row>
    <row r="103" spans="1:17" x14ac:dyDescent="0.4">
      <c r="A103" s="65">
        <v>100</v>
      </c>
      <c r="B103" s="62">
        <v>-1.7763568394002505E-14</v>
      </c>
      <c r="C103" s="62">
        <v>-5.9211894646675015E-17</v>
      </c>
      <c r="D103" s="67">
        <v>2</v>
      </c>
      <c r="E103" s="63">
        <v>0.33333333333333331</v>
      </c>
      <c r="F103" s="63">
        <v>0.33333333333333331</v>
      </c>
      <c r="G103" s="63">
        <v>0.29201764941837144</v>
      </c>
      <c r="H103" s="63">
        <v>0.1712795828319294</v>
      </c>
      <c r="I103" s="64">
        <v>8208.5164835164833</v>
      </c>
      <c r="J103" s="64">
        <v>-7697.6580796252929</v>
      </c>
      <c r="K103" s="63">
        <v>0.10333333333333333</v>
      </c>
      <c r="L103" s="63">
        <v>0.10333333333333333</v>
      </c>
      <c r="M103" s="63">
        <v>0.2438828720417168</v>
      </c>
      <c r="N103" s="63">
        <v>0.24428399518652227</v>
      </c>
      <c r="O103" s="63">
        <v>0.55756578947368418</v>
      </c>
      <c r="P103" s="63">
        <v>0.4154351395730706</v>
      </c>
      <c r="Q103" s="63">
        <v>0.4107142857142857</v>
      </c>
    </row>
    <row r="104" spans="1:17" x14ac:dyDescent="0.4">
      <c r="A104" s="65">
        <v>101</v>
      </c>
      <c r="B104" s="62">
        <v>-1.7763568394002505E-14</v>
      </c>
      <c r="C104" s="62">
        <v>-5.8625638264034663E-17</v>
      </c>
      <c r="D104" s="67">
        <v>2</v>
      </c>
      <c r="E104" s="63">
        <v>0.33333333333333331</v>
      </c>
      <c r="F104" s="63">
        <v>0.33333333333333331</v>
      </c>
      <c r="G104" s="63">
        <v>0.29236276849642007</v>
      </c>
      <c r="H104" s="63">
        <v>0.17064439140811455</v>
      </c>
      <c r="I104" s="64">
        <v>8195.2380952380954</v>
      </c>
      <c r="J104" s="64">
        <v>-7684.1491841491843</v>
      </c>
      <c r="K104" s="63">
        <v>0.10231023102310231</v>
      </c>
      <c r="L104" s="63">
        <v>0.10231023102310231</v>
      </c>
      <c r="M104" s="63">
        <v>0.24502784407319014</v>
      </c>
      <c r="N104" s="63">
        <v>0.24343675417661098</v>
      </c>
      <c r="O104" s="63">
        <v>0.55681818181818177</v>
      </c>
      <c r="P104" s="63">
        <v>0.41666666666666669</v>
      </c>
      <c r="Q104" s="63">
        <v>0.41360544217687073</v>
      </c>
    </row>
    <row r="105" spans="1:17" x14ac:dyDescent="0.4">
      <c r="A105" s="65">
        <v>102</v>
      </c>
      <c r="B105" s="62">
        <v>-1.7763568394002505E-14</v>
      </c>
      <c r="C105" s="62">
        <v>-5.8050877104583352E-17</v>
      </c>
      <c r="D105" s="67">
        <v>2</v>
      </c>
      <c r="E105" s="63">
        <v>0.33333333333333331</v>
      </c>
      <c r="F105" s="63">
        <v>0.33333333333333331</v>
      </c>
      <c r="G105" s="63">
        <v>0.29235618597320723</v>
      </c>
      <c r="H105" s="63">
        <v>0.17060677698975571</v>
      </c>
      <c r="I105" s="64">
        <v>8177.8975741239892</v>
      </c>
      <c r="J105" s="64">
        <v>-7651.9630484988456</v>
      </c>
      <c r="K105" s="63">
        <v>0.10130718954248366</v>
      </c>
      <c r="L105" s="63">
        <v>0.10130718954248366</v>
      </c>
      <c r="M105" s="63">
        <v>0.24507486209613868</v>
      </c>
      <c r="N105" s="63">
        <v>0.24310480693459416</v>
      </c>
      <c r="O105" s="63">
        <v>0.55787781350482313</v>
      </c>
      <c r="P105" s="63">
        <v>0.41653160453808752</v>
      </c>
      <c r="Q105" s="63">
        <v>0.4137466307277628</v>
      </c>
    </row>
    <row r="106" spans="1:17" x14ac:dyDescent="0.4">
      <c r="A106" s="65">
        <v>103</v>
      </c>
      <c r="B106" s="62">
        <v>-1.7763568394002505E-14</v>
      </c>
      <c r="C106" s="62">
        <v>-5.7487276355995156E-17</v>
      </c>
      <c r="D106" s="67">
        <v>2</v>
      </c>
      <c r="E106" s="63">
        <v>0.33333333333333331</v>
      </c>
      <c r="F106" s="63">
        <v>0.33333333333333331</v>
      </c>
      <c r="G106" s="63">
        <v>0.29220524872698783</v>
      </c>
      <c r="H106" s="63">
        <v>0.17038777908343125</v>
      </c>
      <c r="I106" s="64">
        <v>8200.6702412868635</v>
      </c>
      <c r="J106" s="64">
        <v>-7662.0689655172409</v>
      </c>
      <c r="K106" s="63">
        <v>0.10355987055016182</v>
      </c>
      <c r="L106" s="63">
        <v>0.10355987055016182</v>
      </c>
      <c r="M106" s="63">
        <v>0.24598511555033295</v>
      </c>
      <c r="N106" s="63">
        <v>0.24206815511163338</v>
      </c>
      <c r="O106" s="63">
        <v>0.55891719745222934</v>
      </c>
      <c r="P106" s="63">
        <v>0.41585760517799353</v>
      </c>
      <c r="Q106" s="63">
        <v>0.41420911528150134</v>
      </c>
    </row>
    <row r="107" spans="1:17" x14ac:dyDescent="0.4">
      <c r="A107" s="65">
        <v>104</v>
      </c>
      <c r="B107" s="62">
        <v>-1.4210854715202004E-14</v>
      </c>
      <c r="C107" s="62">
        <v>-4.5547611266673087E-17</v>
      </c>
      <c r="D107" s="67">
        <v>2</v>
      </c>
      <c r="E107" s="63">
        <v>0.33333333333333331</v>
      </c>
      <c r="F107" s="63">
        <v>0.33333333333333331</v>
      </c>
      <c r="G107" s="63">
        <v>0.29229578010065815</v>
      </c>
      <c r="H107" s="63">
        <v>0.17034456058846303</v>
      </c>
      <c r="I107" s="64">
        <v>8223.311258278145</v>
      </c>
      <c r="J107" s="64">
        <v>-7686.818181818182</v>
      </c>
      <c r="K107" s="63">
        <v>0.10256410256410256</v>
      </c>
      <c r="L107" s="63">
        <v>0.10256410256410256</v>
      </c>
      <c r="M107" s="63">
        <v>0.24622531939605111</v>
      </c>
      <c r="N107" s="63">
        <v>0.24428958575300039</v>
      </c>
      <c r="O107" s="63">
        <v>0.55817610062893086</v>
      </c>
      <c r="P107" s="63">
        <v>0.41521394611727419</v>
      </c>
      <c r="Q107" s="63">
        <v>0.41456953642384103</v>
      </c>
    </row>
    <row r="108" spans="1:17" x14ac:dyDescent="0.4">
      <c r="A108" s="65">
        <v>105</v>
      </c>
      <c r="B108" s="62">
        <v>-1.4210854715202004E-14</v>
      </c>
      <c r="C108" s="62">
        <v>-4.5113824492704774E-17</v>
      </c>
      <c r="D108" s="67">
        <v>2</v>
      </c>
      <c r="E108" s="63">
        <v>0.33333333333333331</v>
      </c>
      <c r="F108" s="63">
        <v>0.33333333333333331</v>
      </c>
      <c r="G108" s="63">
        <v>0.29204892966360857</v>
      </c>
      <c r="H108" s="63">
        <v>0.16934250764525993</v>
      </c>
      <c r="I108" s="64">
        <v>8218.8481675392668</v>
      </c>
      <c r="J108" s="64">
        <v>-7675.3950338600453</v>
      </c>
      <c r="K108" s="63">
        <v>0.10158730158730159</v>
      </c>
      <c r="L108" s="63">
        <v>0.10158730158730159</v>
      </c>
      <c r="M108" s="63">
        <v>0.24541284403669725</v>
      </c>
      <c r="N108" s="63">
        <v>0.24273700305810397</v>
      </c>
      <c r="O108" s="63">
        <v>0.55919003115264798</v>
      </c>
      <c r="P108" s="63">
        <v>0.41574803149606299</v>
      </c>
      <c r="Q108" s="63">
        <v>0.41753926701570682</v>
      </c>
    </row>
    <row r="109" spans="1:17" x14ac:dyDescent="0.4">
      <c r="A109" s="65">
        <v>106</v>
      </c>
      <c r="B109" s="62">
        <v>-7.1054273576010019E-15</v>
      </c>
      <c r="C109" s="62">
        <v>-2.2344111187424535E-17</v>
      </c>
      <c r="D109" s="67">
        <v>2</v>
      </c>
      <c r="E109" s="63">
        <v>0.33333333333333331</v>
      </c>
      <c r="F109" s="63">
        <v>0.33333333333333331</v>
      </c>
      <c r="G109" s="63">
        <v>0.29228430254656024</v>
      </c>
      <c r="H109" s="63">
        <v>0.16951729380463701</v>
      </c>
      <c r="I109" s="64">
        <v>8218.2054616384921</v>
      </c>
      <c r="J109" s="64">
        <v>-7661.8834080717488</v>
      </c>
      <c r="K109" s="63">
        <v>0.10377358490566038</v>
      </c>
      <c r="L109" s="63">
        <v>0.10377358490566038</v>
      </c>
      <c r="M109" s="63">
        <v>0.24553401748384646</v>
      </c>
      <c r="N109" s="63">
        <v>0.24287343215507412</v>
      </c>
      <c r="O109" s="63">
        <v>0.55727554179566563</v>
      </c>
      <c r="P109" s="63">
        <v>0.41471048513302033</v>
      </c>
      <c r="Q109" s="63">
        <v>0.4174252275682705</v>
      </c>
    </row>
    <row r="110" spans="1:17" x14ac:dyDescent="0.4">
      <c r="A110" s="65">
        <v>107</v>
      </c>
      <c r="B110" s="62">
        <v>-7.1054273576010019E-15</v>
      </c>
      <c r="C110" s="62">
        <v>-2.2135287718383183E-17</v>
      </c>
      <c r="D110" s="67">
        <v>2</v>
      </c>
      <c r="E110" s="63">
        <v>0.33333333333333331</v>
      </c>
      <c r="F110" s="63">
        <v>0.33333333333333331</v>
      </c>
      <c r="G110" s="63">
        <v>0.29176029962546818</v>
      </c>
      <c r="H110" s="63">
        <v>0.16891385767790262</v>
      </c>
      <c r="I110" s="64">
        <v>8221.5661103979455</v>
      </c>
      <c r="J110" s="64">
        <v>-7642.5720620842576</v>
      </c>
      <c r="K110" s="63">
        <v>0.1059190031152648</v>
      </c>
      <c r="L110" s="63">
        <v>0.1059190031152648</v>
      </c>
      <c r="M110" s="63">
        <v>0.24644194756554308</v>
      </c>
      <c r="N110" s="63">
        <v>0.24044943820224718</v>
      </c>
      <c r="O110" s="63">
        <v>0.55927051671732519</v>
      </c>
      <c r="P110" s="63">
        <v>0.41277258566978192</v>
      </c>
      <c r="Q110" s="63">
        <v>0.41848523748395378</v>
      </c>
    </row>
    <row r="111" spans="1:17" x14ac:dyDescent="0.4">
      <c r="A111" s="65">
        <v>108</v>
      </c>
      <c r="B111" s="62">
        <v>-7.1054273576010019E-15</v>
      </c>
      <c r="C111" s="62">
        <v>-2.1930331350620375E-17</v>
      </c>
      <c r="D111" s="67">
        <v>2</v>
      </c>
      <c r="E111" s="63">
        <v>0.33333333333333331</v>
      </c>
      <c r="F111" s="63">
        <v>0.33333333333333331</v>
      </c>
      <c r="G111" s="63">
        <v>0.29208103130755064</v>
      </c>
      <c r="H111" s="63">
        <v>0.16795580110497238</v>
      </c>
      <c r="I111" s="64">
        <v>8213.4930643127373</v>
      </c>
      <c r="J111" s="64">
        <v>-7645.6140350877195</v>
      </c>
      <c r="K111" s="63">
        <v>0.10493827160493827</v>
      </c>
      <c r="L111" s="63">
        <v>0.10493827160493827</v>
      </c>
      <c r="M111" s="63">
        <v>0.24567219152854511</v>
      </c>
      <c r="N111" s="63">
        <v>0.23904235727440148</v>
      </c>
      <c r="O111" s="63">
        <v>0.56071964017991005</v>
      </c>
      <c r="P111" s="63">
        <v>0.41294298921417566</v>
      </c>
      <c r="Q111" s="63">
        <v>0.42118537200504413</v>
      </c>
    </row>
    <row r="112" spans="1:17" x14ac:dyDescent="0.4">
      <c r="A112" s="65">
        <v>109</v>
      </c>
      <c r="B112" s="62">
        <v>-7.1054273576010019E-15</v>
      </c>
      <c r="C112" s="62">
        <v>-2.1729135650155969E-17</v>
      </c>
      <c r="D112" s="67">
        <v>2</v>
      </c>
      <c r="E112" s="63">
        <v>0.33333333333333331</v>
      </c>
      <c r="F112" s="63">
        <v>0.33333333333333331</v>
      </c>
      <c r="G112" s="63">
        <v>0.29239766081871343</v>
      </c>
      <c r="H112" s="63">
        <v>0.16739766081871346</v>
      </c>
      <c r="I112" s="64">
        <v>8202.625</v>
      </c>
      <c r="J112" s="64">
        <v>-7647.1615720524014</v>
      </c>
      <c r="K112" s="63">
        <v>0.10397553516819572</v>
      </c>
      <c r="L112" s="63">
        <v>0.10397553516819572</v>
      </c>
      <c r="M112" s="63">
        <v>0.24524853801169591</v>
      </c>
      <c r="N112" s="63">
        <v>0.23940058479532164</v>
      </c>
      <c r="O112" s="63">
        <v>0.56184798807749625</v>
      </c>
      <c r="P112" s="63">
        <v>0.41068702290076337</v>
      </c>
      <c r="Q112" s="63">
        <v>0.42375000000000002</v>
      </c>
    </row>
    <row r="113" spans="1:17" x14ac:dyDescent="0.4">
      <c r="A113" s="65">
        <v>110</v>
      </c>
      <c r="B113" s="62">
        <v>-7.1054273576010019E-15</v>
      </c>
      <c r="C113" s="62">
        <v>-2.1531598053336369E-17</v>
      </c>
      <c r="D113" s="67">
        <v>2</v>
      </c>
      <c r="E113" s="63">
        <v>0.33333333333333331</v>
      </c>
      <c r="F113" s="63">
        <v>0.33333333333333331</v>
      </c>
      <c r="G113" s="63">
        <v>0.29248011569052784</v>
      </c>
      <c r="H113" s="63">
        <v>0.16775126536514823</v>
      </c>
      <c r="I113" s="64">
        <v>8193.695920889988</v>
      </c>
      <c r="J113" s="64">
        <v>-7614.2241379310344</v>
      </c>
      <c r="K113" s="63">
        <v>0.10303030303030303</v>
      </c>
      <c r="L113" s="63">
        <v>0.10303030303030303</v>
      </c>
      <c r="M113" s="63">
        <v>0.24656543745480838</v>
      </c>
      <c r="N113" s="63">
        <v>0.23933477946493131</v>
      </c>
      <c r="O113" s="63">
        <v>0.56158357771260992</v>
      </c>
      <c r="P113" s="63">
        <v>0.41087613293051362</v>
      </c>
      <c r="Q113" s="63">
        <v>0.42274412855377008</v>
      </c>
    </row>
    <row r="114" spans="1:17" x14ac:dyDescent="0.4">
      <c r="A114" s="65">
        <v>111</v>
      </c>
      <c r="B114" s="62">
        <v>-7.1054273576010019E-15</v>
      </c>
      <c r="C114" s="62">
        <v>-2.1337619692495501E-17</v>
      </c>
      <c r="D114" s="67">
        <v>2</v>
      </c>
      <c r="E114" s="63">
        <v>0.33333333333333331</v>
      </c>
      <c r="F114" s="63">
        <v>0.33333333333333331</v>
      </c>
      <c r="G114" s="63">
        <v>0.29175550817341861</v>
      </c>
      <c r="H114" s="63">
        <v>0.16666666666666666</v>
      </c>
      <c r="I114" s="64">
        <v>8196.2241169305726</v>
      </c>
      <c r="J114" s="64">
        <v>-7627.7185501066097</v>
      </c>
      <c r="K114" s="63">
        <v>0.1021021021021021</v>
      </c>
      <c r="L114" s="63">
        <v>0.1021021021021021</v>
      </c>
      <c r="M114" s="63">
        <v>0.24591329068941009</v>
      </c>
      <c r="N114" s="63">
        <v>0.23987206823027718</v>
      </c>
      <c r="O114" s="63">
        <v>0.55924855491329484</v>
      </c>
      <c r="P114" s="63">
        <v>0.41037037037037039</v>
      </c>
      <c r="Q114" s="63">
        <v>0.42509135200974424</v>
      </c>
    </row>
    <row r="115" spans="1:17" x14ac:dyDescent="0.4">
      <c r="A115" s="65">
        <v>112</v>
      </c>
      <c r="B115" s="62">
        <v>-7.1054273576010019E-15</v>
      </c>
      <c r="C115" s="62">
        <v>-2.1147105230955362E-17</v>
      </c>
      <c r="D115" s="67">
        <v>2</v>
      </c>
      <c r="E115" s="63">
        <v>0.33333333333333331</v>
      </c>
      <c r="F115" s="63">
        <v>0.33333333333333331</v>
      </c>
      <c r="G115" s="63">
        <v>0.29228070175438597</v>
      </c>
      <c r="H115" s="63">
        <v>0.16701754385964912</v>
      </c>
      <c r="I115" s="64">
        <v>8179.3517406962783</v>
      </c>
      <c r="J115" s="64">
        <v>-7640.9663865546217</v>
      </c>
      <c r="K115" s="63">
        <v>0.10119047619047619</v>
      </c>
      <c r="L115" s="63">
        <v>0.10119047619047619</v>
      </c>
      <c r="M115" s="63">
        <v>0.24491228070175439</v>
      </c>
      <c r="N115" s="63">
        <v>0.24140350877192981</v>
      </c>
      <c r="O115" s="63">
        <v>0.56160458452722062</v>
      </c>
      <c r="P115" s="63">
        <v>0.40988372093023256</v>
      </c>
      <c r="Q115" s="63">
        <v>0.42376950780312123</v>
      </c>
    </row>
    <row r="116" spans="1:17" x14ac:dyDescent="0.4">
      <c r="A116" s="65">
        <v>113</v>
      </c>
      <c r="B116" s="62">
        <v>-3.5527136788005009E-15</v>
      </c>
      <c r="C116" s="62">
        <v>-1.0479981353393808E-17</v>
      </c>
      <c r="D116" s="67">
        <v>2</v>
      </c>
      <c r="E116" s="63">
        <v>0.33333333333333331</v>
      </c>
      <c r="F116" s="63">
        <v>0.33333333333333331</v>
      </c>
      <c r="G116" s="63">
        <v>0.29223267154301635</v>
      </c>
      <c r="H116" s="63">
        <v>0.16649251132009751</v>
      </c>
      <c r="I116" s="64">
        <v>8198.9272943980923</v>
      </c>
      <c r="J116" s="64">
        <v>-7650.2092050209203</v>
      </c>
      <c r="K116" s="63">
        <v>0.10029498525073746</v>
      </c>
      <c r="L116" s="63">
        <v>0.10029498525073746</v>
      </c>
      <c r="M116" s="63">
        <v>0.24486241727621039</v>
      </c>
      <c r="N116" s="63">
        <v>0.24103099965168931</v>
      </c>
      <c r="O116" s="63">
        <v>0.56187766714082499</v>
      </c>
      <c r="P116" s="63">
        <v>0.41184971098265893</v>
      </c>
      <c r="Q116" s="63">
        <v>0.42550655542312277</v>
      </c>
    </row>
    <row r="117" spans="1:17" x14ac:dyDescent="0.4">
      <c r="A117" s="65">
        <v>114</v>
      </c>
      <c r="B117" s="62">
        <v>-7.1054273576010019E-15</v>
      </c>
      <c r="C117" s="62">
        <v>-2.077610338479825E-17</v>
      </c>
      <c r="D117" s="67">
        <v>2</v>
      </c>
      <c r="E117" s="63">
        <v>0.33333333333333331</v>
      </c>
      <c r="F117" s="63">
        <v>0.33333333333333331</v>
      </c>
      <c r="G117" s="63">
        <v>0.2929188255613126</v>
      </c>
      <c r="H117" s="63">
        <v>0.16718480138169256</v>
      </c>
      <c r="I117" s="64">
        <v>8198.5849056603765</v>
      </c>
      <c r="J117" s="64">
        <v>-7678.3057851239673</v>
      </c>
      <c r="K117" s="63">
        <v>9.9415204678362568E-2</v>
      </c>
      <c r="L117" s="63">
        <v>9.9415204678362568E-2</v>
      </c>
      <c r="M117" s="63">
        <v>0.24455958549222798</v>
      </c>
      <c r="N117" s="63">
        <v>0.24145077720207253</v>
      </c>
      <c r="O117" s="63">
        <v>0.56214689265536721</v>
      </c>
      <c r="P117" s="63">
        <v>0.413447782546495</v>
      </c>
      <c r="Q117" s="63">
        <v>0.42334905660377359</v>
      </c>
    </row>
    <row r="118" spans="1:17" x14ac:dyDescent="0.4">
      <c r="A118" s="65">
        <v>115</v>
      </c>
      <c r="B118" s="62">
        <v>-7.1054273576010019E-15</v>
      </c>
      <c r="C118" s="62">
        <v>-2.0595441616234788E-17</v>
      </c>
      <c r="D118" s="67">
        <v>2</v>
      </c>
      <c r="E118" s="63">
        <v>0.33333333333333331</v>
      </c>
      <c r="F118" s="63">
        <v>0.33333333333333331</v>
      </c>
      <c r="G118" s="63">
        <v>0.29286694101508914</v>
      </c>
      <c r="H118" s="63">
        <v>0.16666666666666666</v>
      </c>
      <c r="I118" s="64">
        <v>8201.7564402810312</v>
      </c>
      <c r="J118" s="64">
        <v>-7671.1934156378602</v>
      </c>
      <c r="K118" s="63">
        <v>9.8550724637681164E-2</v>
      </c>
      <c r="L118" s="63">
        <v>9.8550724637681164E-2</v>
      </c>
      <c r="M118" s="63">
        <v>0.2448559670781893</v>
      </c>
      <c r="N118" s="63">
        <v>0.24074074074074073</v>
      </c>
      <c r="O118" s="63">
        <v>0.56302521008403361</v>
      </c>
      <c r="P118" s="63">
        <v>0.4131054131054131</v>
      </c>
      <c r="Q118" s="63">
        <v>0.42505854800936765</v>
      </c>
    </row>
    <row r="119" spans="1:17" x14ac:dyDescent="0.4">
      <c r="A119" s="65">
        <v>116</v>
      </c>
      <c r="B119" s="62">
        <v>-7.1054273576010019E-15</v>
      </c>
      <c r="C119" s="62">
        <v>-2.0417894705750005E-17</v>
      </c>
      <c r="D119" s="67">
        <v>2</v>
      </c>
      <c r="E119" s="63">
        <v>0.33333333333333331</v>
      </c>
      <c r="F119" s="63">
        <v>0.33333333333333331</v>
      </c>
      <c r="G119" s="63">
        <v>0.29285714285714287</v>
      </c>
      <c r="H119" s="63">
        <v>0.16632653061224489</v>
      </c>
      <c r="I119" s="64">
        <v>8201.0452961672472</v>
      </c>
      <c r="J119" s="64">
        <v>-7658.8957055214723</v>
      </c>
      <c r="K119" s="63">
        <v>9.7701149425287362E-2</v>
      </c>
      <c r="L119" s="63">
        <v>9.7701149425287362E-2</v>
      </c>
      <c r="M119" s="63">
        <v>0.24557823129251702</v>
      </c>
      <c r="N119" s="63">
        <v>0.24047619047619048</v>
      </c>
      <c r="O119" s="63">
        <v>0.56371191135734067</v>
      </c>
      <c r="P119" s="63">
        <v>0.4115983026874116</v>
      </c>
      <c r="Q119" s="63">
        <v>0.42624854819976771</v>
      </c>
    </row>
    <row r="120" spans="1:17" x14ac:dyDescent="0.4">
      <c r="A120" s="65">
        <v>117</v>
      </c>
      <c r="B120" s="62">
        <v>-7.1054273576010019E-15</v>
      </c>
      <c r="C120" s="62">
        <v>-2.024338278518804E-17</v>
      </c>
      <c r="D120" s="67">
        <v>2</v>
      </c>
      <c r="E120" s="63">
        <v>0.33333333333333331</v>
      </c>
      <c r="F120" s="63">
        <v>0.33333333333333331</v>
      </c>
      <c r="G120" s="63">
        <v>0.29318488529014847</v>
      </c>
      <c r="H120" s="63">
        <v>0.16632928475033737</v>
      </c>
      <c r="I120" s="64">
        <v>8222.6697353279633</v>
      </c>
      <c r="J120" s="64">
        <v>-7710.3448275862065</v>
      </c>
      <c r="K120" s="63">
        <v>9.686609686609686E-2</v>
      </c>
      <c r="L120" s="63">
        <v>9.686609686609686E-2</v>
      </c>
      <c r="M120" s="63">
        <v>0.24595141700404857</v>
      </c>
      <c r="N120" s="63">
        <v>0.24055330634278002</v>
      </c>
      <c r="O120" s="63">
        <v>0.56515775034293558</v>
      </c>
      <c r="P120" s="63">
        <v>0.4109396914446003</v>
      </c>
      <c r="Q120" s="63">
        <v>0.42692750287686998</v>
      </c>
    </row>
    <row r="121" spans="1:17" x14ac:dyDescent="0.4">
      <c r="A121" s="65">
        <v>118</v>
      </c>
      <c r="B121" s="62">
        <v>-7.1054273576010019E-15</v>
      </c>
      <c r="C121" s="62">
        <v>-2.0071828693788141E-17</v>
      </c>
      <c r="D121" s="67">
        <v>2</v>
      </c>
      <c r="E121" s="63">
        <v>0.33333333333333331</v>
      </c>
      <c r="F121" s="63">
        <v>0.33333333333333331</v>
      </c>
      <c r="G121" s="63">
        <v>0.29354730859244399</v>
      </c>
      <c r="H121" s="63">
        <v>0.16616516215312604</v>
      </c>
      <c r="I121" s="64">
        <v>8248.0637813211852</v>
      </c>
      <c r="J121" s="64">
        <v>-7717.9074446680079</v>
      </c>
      <c r="K121" s="63">
        <v>9.6045197740112997E-2</v>
      </c>
      <c r="L121" s="63">
        <v>9.6045197740112997E-2</v>
      </c>
      <c r="M121" s="63">
        <v>0.24607154797726513</v>
      </c>
      <c r="N121" s="63">
        <v>0.24105650284185892</v>
      </c>
      <c r="O121" s="63">
        <v>0.56385869565217395</v>
      </c>
      <c r="P121" s="63">
        <v>0.41192787794729541</v>
      </c>
      <c r="Q121" s="63">
        <v>0.42824601366742598</v>
      </c>
    </row>
    <row r="122" spans="1:17" x14ac:dyDescent="0.4">
      <c r="A122" s="65">
        <v>119</v>
      </c>
      <c r="B122" s="62">
        <v>-7.1054273576010019E-15</v>
      </c>
      <c r="C122" s="62">
        <v>-1.9903157864428577E-17</v>
      </c>
      <c r="D122" s="67">
        <v>2</v>
      </c>
      <c r="E122" s="63">
        <v>0.33333333333333331</v>
      </c>
      <c r="F122" s="63">
        <v>0.33333333333333331</v>
      </c>
      <c r="G122" s="63">
        <v>0.29386401326699835</v>
      </c>
      <c r="H122" s="63">
        <v>0.16683250414593698</v>
      </c>
      <c r="I122" s="64">
        <v>8244.3566591422114</v>
      </c>
      <c r="J122" s="64">
        <v>-7739.9602385685885</v>
      </c>
      <c r="K122" s="63">
        <v>9.5238095238095233E-2</v>
      </c>
      <c r="L122" s="63">
        <v>9.5238095238095233E-2</v>
      </c>
      <c r="M122" s="63">
        <v>0.2470978441127695</v>
      </c>
      <c r="N122" s="63">
        <v>0.24112769485903815</v>
      </c>
      <c r="O122" s="63">
        <v>0.56375838926174493</v>
      </c>
      <c r="P122" s="63">
        <v>0.41127922971114167</v>
      </c>
      <c r="Q122" s="63">
        <v>0.4255079006772009</v>
      </c>
    </row>
    <row r="123" spans="1:17" x14ac:dyDescent="0.4">
      <c r="A123" s="65">
        <v>120</v>
      </c>
      <c r="B123" s="62">
        <v>-5.773159728050814E-15</v>
      </c>
      <c r="C123" s="62">
        <v>-1.6036554800141149E-17</v>
      </c>
      <c r="D123" s="67">
        <v>2</v>
      </c>
      <c r="E123" s="63">
        <v>0.33333333333333331</v>
      </c>
      <c r="F123" s="63">
        <v>0.33333333333333331</v>
      </c>
      <c r="G123" s="63">
        <v>0.29376854599406527</v>
      </c>
      <c r="H123" s="63">
        <v>0.16716122650840751</v>
      </c>
      <c r="I123" s="64">
        <v>8234.4556677890014</v>
      </c>
      <c r="J123" s="64">
        <v>-7734.9112426035499</v>
      </c>
      <c r="K123" s="63">
        <v>9.4444444444444442E-2</v>
      </c>
      <c r="L123" s="63">
        <v>9.4444444444444442E-2</v>
      </c>
      <c r="M123" s="63">
        <v>0.24695021430926475</v>
      </c>
      <c r="N123" s="63">
        <v>0.24167490933069569</v>
      </c>
      <c r="O123" s="63">
        <v>0.56341789052069424</v>
      </c>
      <c r="P123" s="63">
        <v>0.40927694406548432</v>
      </c>
      <c r="Q123" s="63">
        <v>0.42424242424242425</v>
      </c>
    </row>
    <row r="124" spans="1:17" x14ac:dyDescent="0.4">
      <c r="A124" s="65">
        <v>121</v>
      </c>
      <c r="B124" s="62">
        <v>-7.1054273576010019E-15</v>
      </c>
      <c r="C124" s="62">
        <v>-1.9574180048487609E-17</v>
      </c>
      <c r="D124" s="67">
        <v>2</v>
      </c>
      <c r="E124" s="63">
        <v>0.33333333333333331</v>
      </c>
      <c r="F124" s="63">
        <v>0.33333333333333331</v>
      </c>
      <c r="G124" s="63">
        <v>0.29400196656833827</v>
      </c>
      <c r="H124" s="63">
        <v>0.16715830875122911</v>
      </c>
      <c r="I124" s="64">
        <v>8242.5863991081387</v>
      </c>
      <c r="J124" s="64">
        <v>-7733.1372549019607</v>
      </c>
      <c r="K124" s="63">
        <v>9.366391184573003E-2</v>
      </c>
      <c r="L124" s="63">
        <v>9.366391184573003E-2</v>
      </c>
      <c r="M124" s="63">
        <v>0.24647656506063587</v>
      </c>
      <c r="N124" s="63">
        <v>0.24090462143559488</v>
      </c>
      <c r="O124" s="63">
        <v>0.56515957446808507</v>
      </c>
      <c r="P124" s="63">
        <v>0.40952380952380951</v>
      </c>
      <c r="Q124" s="63">
        <v>0.42474916387959866</v>
      </c>
    </row>
    <row r="125" spans="1:17" x14ac:dyDescent="0.4">
      <c r="A125" s="65">
        <v>122</v>
      </c>
      <c r="B125" s="62">
        <v>-7.1054273576010019E-15</v>
      </c>
      <c r="C125" s="62">
        <v>-1.9413735949729513E-17</v>
      </c>
      <c r="D125" s="67">
        <v>2</v>
      </c>
      <c r="E125" s="63">
        <v>0.33333333333333331</v>
      </c>
      <c r="F125" s="63">
        <v>0.33333333333333331</v>
      </c>
      <c r="G125" s="63">
        <v>0.29390681003584229</v>
      </c>
      <c r="H125" s="63">
        <v>0.16715542521994134</v>
      </c>
      <c r="I125" s="64">
        <v>8238.1374722838136</v>
      </c>
      <c r="J125" s="64">
        <v>-7734.5029239766081</v>
      </c>
      <c r="K125" s="63">
        <v>9.2896174863387984E-2</v>
      </c>
      <c r="L125" s="63">
        <v>9.2896174863387984E-2</v>
      </c>
      <c r="M125" s="63">
        <v>0.2469859889214728</v>
      </c>
      <c r="N125" s="63">
        <v>0.24079504724666015</v>
      </c>
      <c r="O125" s="63">
        <v>0.56464379947229548</v>
      </c>
      <c r="P125" s="63">
        <v>0.40866035182679294</v>
      </c>
      <c r="Q125" s="63">
        <v>0.42461197339246121</v>
      </c>
    </row>
    <row r="126" spans="1:17" x14ac:dyDescent="0.4">
      <c r="A126" s="65">
        <v>123</v>
      </c>
      <c r="B126" s="62">
        <v>-5.3290705182007514E-15</v>
      </c>
      <c r="C126" s="62">
        <v>-1.4441925523579274E-17</v>
      </c>
      <c r="D126" s="67">
        <v>2</v>
      </c>
      <c r="E126" s="63">
        <v>0.33333333333333331</v>
      </c>
      <c r="F126" s="63">
        <v>0.33333333333333331</v>
      </c>
      <c r="G126" s="63">
        <v>0.29356611703847396</v>
      </c>
      <c r="H126" s="63">
        <v>0.16682832201745879</v>
      </c>
      <c r="I126" s="64">
        <v>8232.8193832599118</v>
      </c>
      <c r="J126" s="64">
        <v>-7717.635658914729</v>
      </c>
      <c r="K126" s="63">
        <v>9.2140921409214094E-2</v>
      </c>
      <c r="L126" s="63">
        <v>9.2140921409214094E-2</v>
      </c>
      <c r="M126" s="63">
        <v>0.24636275460717749</v>
      </c>
      <c r="N126" s="63">
        <v>0.23957322987390883</v>
      </c>
      <c r="O126" s="63">
        <v>0.56561679790026242</v>
      </c>
      <c r="P126" s="63">
        <v>0.40890688259109309</v>
      </c>
      <c r="Q126" s="63">
        <v>0.42511013215859028</v>
      </c>
    </row>
    <row r="127" spans="1:17" x14ac:dyDescent="0.4">
      <c r="A127" s="65">
        <v>124</v>
      </c>
      <c r="B127" s="62">
        <v>0</v>
      </c>
      <c r="C127" s="62">
        <v>0</v>
      </c>
      <c r="D127" s="67">
        <v>2</v>
      </c>
      <c r="E127" s="63">
        <v>0.33333333333333331</v>
      </c>
      <c r="F127" s="63">
        <v>0.33333333333333331</v>
      </c>
      <c r="G127" s="63">
        <v>0.29330771693884083</v>
      </c>
      <c r="H127" s="63">
        <v>0.16554594940762088</v>
      </c>
      <c r="I127" s="64">
        <v>8241.7030567685597</v>
      </c>
      <c r="J127" s="64">
        <v>-7710.251450676983</v>
      </c>
      <c r="K127" s="63">
        <v>9.1397849462365593E-2</v>
      </c>
      <c r="L127" s="63">
        <v>9.1397849462365593E-2</v>
      </c>
      <c r="M127" s="63">
        <v>0.24591738712776176</v>
      </c>
      <c r="N127" s="63">
        <v>0.23983349343579891</v>
      </c>
      <c r="O127" s="63">
        <v>0.56640625</v>
      </c>
      <c r="P127" s="63">
        <v>0.40720961281708945</v>
      </c>
      <c r="Q127" s="63">
        <v>0.42903930131004364</v>
      </c>
    </row>
    <row r="128" spans="1:17" x14ac:dyDescent="0.4">
      <c r="A128" s="65">
        <v>125</v>
      </c>
      <c r="B128" s="62">
        <v>0</v>
      </c>
      <c r="C128" s="62">
        <v>0</v>
      </c>
      <c r="D128" s="67">
        <v>2</v>
      </c>
      <c r="E128" s="63">
        <v>0.33333333333333331</v>
      </c>
      <c r="F128" s="63">
        <v>0.33333333333333331</v>
      </c>
      <c r="G128" s="63">
        <v>0.29349904397705545</v>
      </c>
      <c r="H128" s="63">
        <v>0.16602931803696622</v>
      </c>
      <c r="I128" s="64">
        <v>8251.0314875135718</v>
      </c>
      <c r="J128" s="64">
        <v>-7723.6084452975047</v>
      </c>
      <c r="K128" s="63">
        <v>9.3333333333333338E-2</v>
      </c>
      <c r="L128" s="63">
        <v>9.3333333333333338E-2</v>
      </c>
      <c r="M128" s="63">
        <v>0.24633524537922244</v>
      </c>
      <c r="N128" s="63">
        <v>0.23900573613766729</v>
      </c>
      <c r="O128" s="63">
        <v>0.5666235446313066</v>
      </c>
      <c r="P128" s="63">
        <v>0.40799999999999997</v>
      </c>
      <c r="Q128" s="63">
        <v>0.42779587404994573</v>
      </c>
    </row>
    <row r="129" spans="1:17" x14ac:dyDescent="0.4">
      <c r="A129" s="65">
        <v>126</v>
      </c>
      <c r="B129" s="62">
        <v>-1.7763568394002505E-15</v>
      </c>
      <c r="C129" s="62">
        <v>-4.6993567179900803E-18</v>
      </c>
      <c r="D129" s="67">
        <v>2</v>
      </c>
      <c r="E129" s="63">
        <v>0.33333333333333331</v>
      </c>
      <c r="F129" s="63">
        <v>0.33333333333333331</v>
      </c>
      <c r="G129" s="63">
        <v>0.2932449494949495</v>
      </c>
      <c r="H129" s="63">
        <v>0.16571969696969696</v>
      </c>
      <c r="I129" s="64">
        <v>8264.6932185145324</v>
      </c>
      <c r="J129" s="64">
        <v>-7731.6190476190477</v>
      </c>
      <c r="K129" s="63">
        <v>9.2592592592592587E-2</v>
      </c>
      <c r="L129" s="63">
        <v>9.2592592592592587E-2</v>
      </c>
      <c r="M129" s="63">
        <v>0.24589646464646464</v>
      </c>
      <c r="N129" s="63">
        <v>0.23958333333333334</v>
      </c>
      <c r="O129" s="63">
        <v>0.56482670089858789</v>
      </c>
      <c r="P129" s="63">
        <v>0.40579710144927539</v>
      </c>
      <c r="Q129" s="63">
        <v>0.42841765339074273</v>
      </c>
    </row>
    <row r="130" spans="1:17" x14ac:dyDescent="0.4">
      <c r="A130" s="65">
        <v>127</v>
      </c>
      <c r="B130" s="62">
        <v>-3.5527136788005009E-15</v>
      </c>
      <c r="C130" s="62">
        <v>-9.3247078183740181E-18</v>
      </c>
      <c r="D130" s="67">
        <v>2</v>
      </c>
      <c r="E130" s="63">
        <v>0.33333333333333331</v>
      </c>
      <c r="F130" s="63">
        <v>0.33333333333333331</v>
      </c>
      <c r="G130" s="63">
        <v>0.29350893697083724</v>
      </c>
      <c r="H130" s="63">
        <v>0.16556914393226718</v>
      </c>
      <c r="I130" s="64">
        <v>8294.9786324786328</v>
      </c>
      <c r="J130" s="64">
        <v>-7737.310606060606</v>
      </c>
      <c r="K130" s="63">
        <v>9.1863517060367453E-2</v>
      </c>
      <c r="L130" s="63">
        <v>9.1863517060367453E-2</v>
      </c>
      <c r="M130" s="63">
        <v>0.24553151458137348</v>
      </c>
      <c r="N130" s="63">
        <v>0.24020068987143306</v>
      </c>
      <c r="O130" s="63">
        <v>0.56704980842911878</v>
      </c>
      <c r="P130" s="63">
        <v>0.40600522193211486</v>
      </c>
      <c r="Q130" s="63">
        <v>0.42948717948717946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27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468</vt:i4>
      </vt:variant>
    </vt:vector>
  </HeadingPairs>
  <TitlesOfParts>
    <vt:vector size="511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りくと</vt:lpstr>
      <vt:lpstr>ただ</vt:lpstr>
      <vt:lpstr>れんたろう</vt:lpstr>
      <vt:lpstr>まっつん</vt:lpstr>
      <vt:lpstr>のり</vt:lpstr>
      <vt:lpstr>ぱぱ</vt:lpstr>
      <vt:lpstr>ほたに</vt:lpstr>
      <vt:lpstr>いっしー</vt:lpstr>
      <vt:lpstr>いっしー2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いっしー!アガリ数</vt:lpstr>
      <vt:lpstr>だいち!アガリ数</vt:lpstr>
      <vt:lpstr>たかの!アガリ数</vt:lpstr>
      <vt:lpstr>ただ!アガリ数</vt:lpstr>
      <vt:lpstr>のり!アガリ数</vt:lpstr>
      <vt:lpstr>ぱぱ!アガリ数</vt:lpstr>
      <vt:lpstr>ほたに!アガリ数</vt:lpstr>
      <vt:lpstr>まっつん!アガリ数</vt:lpstr>
      <vt:lpstr>りくと!アガリ数</vt:lpstr>
      <vt:lpstr>れんたろう!アガリ数</vt:lpstr>
      <vt:lpstr>全体!アガリ数</vt:lpstr>
      <vt:lpstr>アガリ数</vt:lpstr>
      <vt:lpstr>いっしー!アガリ率</vt:lpstr>
      <vt:lpstr>だいち!アガリ率</vt:lpstr>
      <vt:lpstr>たかの!アガリ率</vt:lpstr>
      <vt:lpstr>ただ!アガリ率</vt:lpstr>
      <vt:lpstr>のり!アガリ率</vt:lpstr>
      <vt:lpstr>ぱぱ!アガリ率</vt:lpstr>
      <vt:lpstr>ほたに!アガリ率</vt:lpstr>
      <vt:lpstr>まっつん!アガリ率</vt:lpstr>
      <vt:lpstr>りくと!アガリ率</vt:lpstr>
      <vt:lpstr>れんたろう!アガリ率</vt:lpstr>
      <vt:lpstr>全体!アガリ率</vt:lpstr>
      <vt:lpstr>アガリ率</vt:lpstr>
      <vt:lpstr>いっしー!チョンボ数</vt:lpstr>
      <vt:lpstr>だいち!チョンボ数</vt:lpstr>
      <vt:lpstr>たかの!チョンボ数</vt:lpstr>
      <vt:lpstr>ただ!チョンボ数</vt:lpstr>
      <vt:lpstr>のり!チョンボ数</vt:lpstr>
      <vt:lpstr>ぱぱ!チョンボ数</vt:lpstr>
      <vt:lpstr>ほたに!チョンボ数</vt:lpstr>
      <vt:lpstr>まっつん!チョンボ数</vt:lpstr>
      <vt:lpstr>りくと!チョンボ数</vt:lpstr>
      <vt:lpstr>れんたろう!チョンボ数</vt:lpstr>
      <vt:lpstr>全体!チョンボ数</vt:lpstr>
      <vt:lpstr>チョンボ数</vt:lpstr>
      <vt:lpstr>いっしー!チョンボ率</vt:lpstr>
      <vt:lpstr>だいち!チョンボ率</vt:lpstr>
      <vt:lpstr>たかの!チョンボ率</vt:lpstr>
      <vt:lpstr>ただ!チョンボ率</vt:lpstr>
      <vt:lpstr>のり!チョンボ率</vt:lpstr>
      <vt:lpstr>ぱぱ!チョンボ率</vt:lpstr>
      <vt:lpstr>ほたに!チョンボ率</vt:lpstr>
      <vt:lpstr>まっつん!チョンボ率</vt:lpstr>
      <vt:lpstr>りくと!チョンボ率</vt:lpstr>
      <vt:lpstr>れんたろう!チョンボ率</vt:lpstr>
      <vt:lpstr>全体!チョンボ率</vt:lpstr>
      <vt:lpstr>チョンボ率</vt:lpstr>
      <vt:lpstr>いっしー!ツモ数</vt:lpstr>
      <vt:lpstr>だいち!ツモ数</vt:lpstr>
      <vt:lpstr>たかの!ツモ数</vt:lpstr>
      <vt:lpstr>ただ!ツモ数</vt:lpstr>
      <vt:lpstr>のり!ツモ数</vt:lpstr>
      <vt:lpstr>ぱぱ!ツモ数</vt:lpstr>
      <vt:lpstr>ほたに!ツモ数</vt:lpstr>
      <vt:lpstr>まっつん!ツモ数</vt:lpstr>
      <vt:lpstr>りくと!ツモ数</vt:lpstr>
      <vt:lpstr>れんたろう!ツモ数</vt:lpstr>
      <vt:lpstr>全体!ツモ数</vt:lpstr>
      <vt:lpstr>ツモ数</vt:lpstr>
      <vt:lpstr>いっしー!ツモ率</vt:lpstr>
      <vt:lpstr>だいち!ツモ率</vt:lpstr>
      <vt:lpstr>たかの!ツモ率</vt:lpstr>
      <vt:lpstr>ただ!ツモ率</vt:lpstr>
      <vt:lpstr>のり!ツモ率</vt:lpstr>
      <vt:lpstr>ぱぱ!ツモ率</vt:lpstr>
      <vt:lpstr>ほたに!ツモ率</vt:lpstr>
      <vt:lpstr>まっつん!ツモ率</vt:lpstr>
      <vt:lpstr>りくと!ツモ率</vt:lpstr>
      <vt:lpstr>れんたろう!ツモ率</vt:lpstr>
      <vt:lpstr>全体!ツモ率</vt:lpstr>
      <vt:lpstr>ツモ率</vt:lpstr>
      <vt:lpstr>いっしー!トップ数</vt:lpstr>
      <vt:lpstr>だいち!トップ数</vt:lpstr>
      <vt:lpstr>たかの!トップ数</vt:lpstr>
      <vt:lpstr>ただ!トップ数</vt:lpstr>
      <vt:lpstr>のり!トップ数</vt:lpstr>
      <vt:lpstr>ぱぱ!トップ数</vt:lpstr>
      <vt:lpstr>ほたに!トップ数</vt:lpstr>
      <vt:lpstr>まっつん!トップ数</vt:lpstr>
      <vt:lpstr>りくと!トップ数</vt:lpstr>
      <vt:lpstr>れんたろう!トップ数</vt:lpstr>
      <vt:lpstr>全体!トップ数</vt:lpstr>
      <vt:lpstr>トップ数</vt:lpstr>
      <vt:lpstr>いっしー!トップ率</vt:lpstr>
      <vt:lpstr>だいち!トップ率</vt:lpstr>
      <vt:lpstr>たかの!トップ率</vt:lpstr>
      <vt:lpstr>ただ!トップ率</vt:lpstr>
      <vt:lpstr>のり!トップ率</vt:lpstr>
      <vt:lpstr>ぱぱ!トップ率</vt:lpstr>
      <vt:lpstr>ほたに!トップ率</vt:lpstr>
      <vt:lpstr>まっつん!トップ率</vt:lpstr>
      <vt:lpstr>りくと!トップ率</vt:lpstr>
      <vt:lpstr>れんたろう!トップ率</vt:lpstr>
      <vt:lpstr>全体!トップ率</vt:lpstr>
      <vt:lpstr>トップ率</vt:lpstr>
      <vt:lpstr>いっしー!ふっとばし数</vt:lpstr>
      <vt:lpstr>だいち!ふっとばし数</vt:lpstr>
      <vt:lpstr>たかの!ふっとばし数</vt:lpstr>
      <vt:lpstr>ただ!ふっとばし数</vt:lpstr>
      <vt:lpstr>のり!ふっとばし数</vt:lpstr>
      <vt:lpstr>ぱぱ!ふっとばし数</vt:lpstr>
      <vt:lpstr>ほたに!ふっとばし数</vt:lpstr>
      <vt:lpstr>まっつん!ふっとばし数</vt:lpstr>
      <vt:lpstr>りくと!ふっとばし数</vt:lpstr>
      <vt:lpstr>れんたろう!ふっとばし数</vt:lpstr>
      <vt:lpstr>全体!ふっとばし数</vt:lpstr>
      <vt:lpstr>ふっとばし数</vt:lpstr>
      <vt:lpstr>いっしー!ふっとばし率</vt:lpstr>
      <vt:lpstr>だいち!ふっとばし率</vt:lpstr>
      <vt:lpstr>たかの!ふっとばし率</vt:lpstr>
      <vt:lpstr>ただ!ふっとばし率</vt:lpstr>
      <vt:lpstr>のり!ふっとばし率</vt:lpstr>
      <vt:lpstr>ぱぱ!ふっとばし率</vt:lpstr>
      <vt:lpstr>ほたに!ふっとばし率</vt:lpstr>
      <vt:lpstr>まっつん!ふっとばし率</vt:lpstr>
      <vt:lpstr>りくと!ふっとばし率</vt:lpstr>
      <vt:lpstr>れんたろう!ふっとばし率</vt:lpstr>
      <vt:lpstr>全体!ふっとばし率</vt:lpstr>
      <vt:lpstr>ふっとばし率</vt:lpstr>
      <vt:lpstr>いっしー!ふっとび数</vt:lpstr>
      <vt:lpstr>だいち!ふっとび数</vt:lpstr>
      <vt:lpstr>たかの!ふっとび数</vt:lpstr>
      <vt:lpstr>ただ!ふっとび数</vt:lpstr>
      <vt:lpstr>のり!ふっとび数</vt:lpstr>
      <vt:lpstr>ぱぱ!ふっとび数</vt:lpstr>
      <vt:lpstr>ほたに!ふっとび数</vt:lpstr>
      <vt:lpstr>まっつん!ふっとび数</vt:lpstr>
      <vt:lpstr>りくと!ふっとび数</vt:lpstr>
      <vt:lpstr>れんたろう!ふっとび数</vt:lpstr>
      <vt:lpstr>全体!ふっとび数</vt:lpstr>
      <vt:lpstr>ふっとび数</vt:lpstr>
      <vt:lpstr>いっしー!ふっとび率</vt:lpstr>
      <vt:lpstr>だいち!ふっとび率</vt:lpstr>
      <vt:lpstr>たかの!ふっとび率</vt:lpstr>
      <vt:lpstr>ただ!ふっとび率</vt:lpstr>
      <vt:lpstr>のり!ふっとび率</vt:lpstr>
      <vt:lpstr>ぱぱ!ふっとび率</vt:lpstr>
      <vt:lpstr>ほたに!ふっとび率</vt:lpstr>
      <vt:lpstr>まっつん!ふっとび率</vt:lpstr>
      <vt:lpstr>りくと!ふっとび率</vt:lpstr>
      <vt:lpstr>れんたろう!ふっとび率</vt:lpstr>
      <vt:lpstr>全体!ふっとび率</vt:lpstr>
      <vt:lpstr>ふっとび率</vt:lpstr>
      <vt:lpstr>いっしー!ラス数</vt:lpstr>
      <vt:lpstr>だいち!ラス数</vt:lpstr>
      <vt:lpstr>たかの!ラス数</vt:lpstr>
      <vt:lpstr>ただ!ラス数</vt:lpstr>
      <vt:lpstr>のり!ラス数</vt:lpstr>
      <vt:lpstr>ぱぱ!ラス数</vt:lpstr>
      <vt:lpstr>ほたに!ラス数</vt:lpstr>
      <vt:lpstr>まっつん!ラス数</vt:lpstr>
      <vt:lpstr>りくと!ラス数</vt:lpstr>
      <vt:lpstr>れんたろう!ラス数</vt:lpstr>
      <vt:lpstr>全体!ラス数</vt:lpstr>
      <vt:lpstr>ラス数</vt:lpstr>
      <vt:lpstr>いっしー!ラス率</vt:lpstr>
      <vt:lpstr>だいち!ラス率</vt:lpstr>
      <vt:lpstr>たかの!ラス率</vt:lpstr>
      <vt:lpstr>ただ!ラス率</vt:lpstr>
      <vt:lpstr>のり!ラス率</vt:lpstr>
      <vt:lpstr>ぱぱ!ラス率</vt:lpstr>
      <vt:lpstr>ほたに!ラス率</vt:lpstr>
      <vt:lpstr>まっつん!ラス率</vt:lpstr>
      <vt:lpstr>りくと!ラス率</vt:lpstr>
      <vt:lpstr>れんたろう!ラス率</vt:lpstr>
      <vt:lpstr>全体!ラス率</vt:lpstr>
      <vt:lpstr>ラス率</vt:lpstr>
      <vt:lpstr>いっしー!リーチ数</vt:lpstr>
      <vt:lpstr>だいち!リーチ数</vt:lpstr>
      <vt:lpstr>たかの!リーチ数</vt:lpstr>
      <vt:lpstr>ただ!リーチ数</vt:lpstr>
      <vt:lpstr>のり!リーチ数</vt:lpstr>
      <vt:lpstr>ぱぱ!リーチ数</vt:lpstr>
      <vt:lpstr>ほたに!リーチ数</vt:lpstr>
      <vt:lpstr>まっつん!リーチ数</vt:lpstr>
      <vt:lpstr>りくと!リーチ数</vt:lpstr>
      <vt:lpstr>れんたろう!リーチ数</vt:lpstr>
      <vt:lpstr>全体!リーチ数</vt:lpstr>
      <vt:lpstr>リーチ数</vt:lpstr>
      <vt:lpstr>いっしー!リーチ成功数</vt:lpstr>
      <vt:lpstr>だいち!リーチ成功数</vt:lpstr>
      <vt:lpstr>たかの!リーチ成功数</vt:lpstr>
      <vt:lpstr>ただ!リーチ成功数</vt:lpstr>
      <vt:lpstr>のり!リーチ成功数</vt:lpstr>
      <vt:lpstr>ぱぱ!リーチ成功数</vt:lpstr>
      <vt:lpstr>ほたに!リーチ成功数</vt:lpstr>
      <vt:lpstr>まっつん!リーチ成功数</vt:lpstr>
      <vt:lpstr>りくと!リーチ成功数</vt:lpstr>
      <vt:lpstr>れんたろう!リーチ成功数</vt:lpstr>
      <vt:lpstr>全体!リーチ成功数</vt:lpstr>
      <vt:lpstr>リーチ成功数</vt:lpstr>
      <vt:lpstr>いっしー!リーチ成功率</vt:lpstr>
      <vt:lpstr>だいち!リーチ成功率</vt:lpstr>
      <vt:lpstr>たかの!リーチ成功率</vt:lpstr>
      <vt:lpstr>ただ!リーチ成功率</vt:lpstr>
      <vt:lpstr>のり!リーチ成功率</vt:lpstr>
      <vt:lpstr>ぱぱ!リーチ成功率</vt:lpstr>
      <vt:lpstr>ほたに!リーチ成功率</vt:lpstr>
      <vt:lpstr>まっつん!リーチ成功率</vt:lpstr>
      <vt:lpstr>りくと!リーチ成功率</vt:lpstr>
      <vt:lpstr>れんたろう!リーチ成功率</vt:lpstr>
      <vt:lpstr>全体!リーチ成功率</vt:lpstr>
      <vt:lpstr>リーチ成功率</vt:lpstr>
      <vt:lpstr>いっしー!リーチ率</vt:lpstr>
      <vt:lpstr>だいち!リーチ率</vt:lpstr>
      <vt:lpstr>たかの!リーチ率</vt:lpstr>
      <vt:lpstr>ただ!リーチ率</vt:lpstr>
      <vt:lpstr>のり!リーチ率</vt:lpstr>
      <vt:lpstr>ぱぱ!リーチ率</vt:lpstr>
      <vt:lpstr>ほたに!リーチ率</vt:lpstr>
      <vt:lpstr>まっつん!リーチ率</vt:lpstr>
      <vt:lpstr>りくと!リーチ率</vt:lpstr>
      <vt:lpstr>れんたろう!リーチ率</vt:lpstr>
      <vt:lpstr>全体!リーチ率</vt:lpstr>
      <vt:lpstr>リーチ率</vt:lpstr>
      <vt:lpstr>いっしー!ロン数</vt:lpstr>
      <vt:lpstr>だいち!ロン数</vt:lpstr>
      <vt:lpstr>たかの!ロン数</vt:lpstr>
      <vt:lpstr>ただ!ロン数</vt:lpstr>
      <vt:lpstr>のり!ロン数</vt:lpstr>
      <vt:lpstr>ぱぱ!ロン数</vt:lpstr>
      <vt:lpstr>ほたに!ロン数</vt:lpstr>
      <vt:lpstr>まっつん!ロン数</vt:lpstr>
      <vt:lpstr>りくと!ロン数</vt:lpstr>
      <vt:lpstr>れんたろう!ロン数</vt:lpstr>
      <vt:lpstr>全体!ロン数</vt:lpstr>
      <vt:lpstr>ロン数</vt:lpstr>
      <vt:lpstr>いっしー!ロン率</vt:lpstr>
      <vt:lpstr>だいち!ロン率</vt:lpstr>
      <vt:lpstr>たかの!ロン率</vt:lpstr>
      <vt:lpstr>ただ!ロン率</vt:lpstr>
      <vt:lpstr>のり!ロン率</vt:lpstr>
      <vt:lpstr>ぱぱ!ロン率</vt:lpstr>
      <vt:lpstr>ほたに!ロン率</vt:lpstr>
      <vt:lpstr>まっつん!ロン率</vt:lpstr>
      <vt:lpstr>りくと!ロン率</vt:lpstr>
      <vt:lpstr>れんたろう!ロン率</vt:lpstr>
      <vt:lpstr>全体!ロン率</vt:lpstr>
      <vt:lpstr>ロン率</vt:lpstr>
      <vt:lpstr>いっしー!逆転数</vt:lpstr>
      <vt:lpstr>だいち!逆転数</vt:lpstr>
      <vt:lpstr>たかの!逆転数</vt:lpstr>
      <vt:lpstr>ただ!逆転数</vt:lpstr>
      <vt:lpstr>のり!逆転数</vt:lpstr>
      <vt:lpstr>ぱぱ!逆転数</vt:lpstr>
      <vt:lpstr>ほたに!逆転数</vt:lpstr>
      <vt:lpstr>まっつん!逆転数</vt:lpstr>
      <vt:lpstr>りくと!逆転数</vt:lpstr>
      <vt:lpstr>れんたろう!逆転数</vt:lpstr>
      <vt:lpstr>全体!逆転数</vt:lpstr>
      <vt:lpstr>逆転数</vt:lpstr>
      <vt:lpstr>いっしー!逆転率</vt:lpstr>
      <vt:lpstr>だいち!逆転率</vt:lpstr>
      <vt:lpstr>たかの!逆転率</vt:lpstr>
      <vt:lpstr>ただ!逆転率</vt:lpstr>
      <vt:lpstr>のり!逆転率</vt:lpstr>
      <vt:lpstr>ぱぱ!逆転率</vt:lpstr>
      <vt:lpstr>ほたに!逆転率</vt:lpstr>
      <vt:lpstr>まっつん!逆転率</vt:lpstr>
      <vt:lpstr>りくと!逆転率</vt:lpstr>
      <vt:lpstr>れんたろう!逆転率</vt:lpstr>
      <vt:lpstr>全体!逆転率</vt:lpstr>
      <vt:lpstr>逆転率</vt:lpstr>
      <vt:lpstr>いっしー!最大ドラ数</vt:lpstr>
      <vt:lpstr>だいち!最大ドラ数</vt:lpstr>
      <vt:lpstr>たかの!最大ドラ数</vt:lpstr>
      <vt:lpstr>ただ!最大ドラ数</vt:lpstr>
      <vt:lpstr>のり!最大ドラ数</vt:lpstr>
      <vt:lpstr>ぱぱ!最大ドラ数</vt:lpstr>
      <vt:lpstr>ほたに!最大ドラ数</vt:lpstr>
      <vt:lpstr>まっつん!最大ドラ数</vt:lpstr>
      <vt:lpstr>りくと!最大ドラ数</vt:lpstr>
      <vt:lpstr>れんたろう!最大ドラ数</vt:lpstr>
      <vt:lpstr>全体!最大ドラ数</vt:lpstr>
      <vt:lpstr>最大ドラ数</vt:lpstr>
      <vt:lpstr>いっしー!最大点数</vt:lpstr>
      <vt:lpstr>だいち!最大点数</vt:lpstr>
      <vt:lpstr>たかの!最大点数</vt:lpstr>
      <vt:lpstr>ただ!最大点数</vt:lpstr>
      <vt:lpstr>のり!最大点数</vt:lpstr>
      <vt:lpstr>ぱぱ!最大点数</vt:lpstr>
      <vt:lpstr>ほたに!最大点数</vt:lpstr>
      <vt:lpstr>まっつん!最大点数</vt:lpstr>
      <vt:lpstr>りくと!最大点数</vt:lpstr>
      <vt:lpstr>れんたろう!最大点数</vt:lpstr>
      <vt:lpstr>全体!最大点数</vt:lpstr>
      <vt:lpstr>最大点数</vt:lpstr>
      <vt:lpstr>いっしー!総局数</vt:lpstr>
      <vt:lpstr>だいち!総局数</vt:lpstr>
      <vt:lpstr>たかの!総局数</vt:lpstr>
      <vt:lpstr>ただ!総局数</vt:lpstr>
      <vt:lpstr>のり!総局数</vt:lpstr>
      <vt:lpstr>ぱぱ!総局数</vt:lpstr>
      <vt:lpstr>ほたに!総局数</vt:lpstr>
      <vt:lpstr>まっつん!総局数</vt:lpstr>
      <vt:lpstr>りくと!総局数</vt:lpstr>
      <vt:lpstr>れんたろう!総局数</vt:lpstr>
      <vt:lpstr>全体!総局数</vt:lpstr>
      <vt:lpstr>総局数</vt:lpstr>
      <vt:lpstr>いっしー!対戦数</vt:lpstr>
      <vt:lpstr>だいち!対戦数</vt:lpstr>
      <vt:lpstr>たかの!対戦数</vt:lpstr>
      <vt:lpstr>ただ!対戦数</vt:lpstr>
      <vt:lpstr>のり!対戦数</vt:lpstr>
      <vt:lpstr>ぱぱ!対戦数</vt:lpstr>
      <vt:lpstr>ほたに!対戦数</vt:lpstr>
      <vt:lpstr>まっつん!対戦数</vt:lpstr>
      <vt:lpstr>りくと!対戦数</vt:lpstr>
      <vt:lpstr>れんたろう!対戦数</vt:lpstr>
      <vt:lpstr>全体!対戦数</vt:lpstr>
      <vt:lpstr>対戦数</vt:lpstr>
      <vt:lpstr>いっしー!通算スコア</vt:lpstr>
      <vt:lpstr>だいち!通算スコア</vt:lpstr>
      <vt:lpstr>たかの!通算スコア</vt:lpstr>
      <vt:lpstr>ただ!通算スコア</vt:lpstr>
      <vt:lpstr>のり!通算スコア</vt:lpstr>
      <vt:lpstr>ぱぱ!通算スコア</vt:lpstr>
      <vt:lpstr>ほたに!通算スコア</vt:lpstr>
      <vt:lpstr>まっつん!通算スコア</vt:lpstr>
      <vt:lpstr>りくと!通算スコア</vt:lpstr>
      <vt:lpstr>れんたろう!通算スコア</vt:lpstr>
      <vt:lpstr>全体!通算スコア</vt:lpstr>
      <vt:lpstr>通算スコア</vt:lpstr>
      <vt:lpstr>いっしー!副露数</vt:lpstr>
      <vt:lpstr>だいち!副露数</vt:lpstr>
      <vt:lpstr>たかの!副露数</vt:lpstr>
      <vt:lpstr>ただ!副露数</vt:lpstr>
      <vt:lpstr>のり!副露数</vt:lpstr>
      <vt:lpstr>ぱぱ!副露数</vt:lpstr>
      <vt:lpstr>ほたに!副露数</vt:lpstr>
      <vt:lpstr>まっつん!副露数</vt:lpstr>
      <vt:lpstr>りくと!副露数</vt:lpstr>
      <vt:lpstr>れんたろう!副露数</vt:lpstr>
      <vt:lpstr>全体!副露数</vt:lpstr>
      <vt:lpstr>副露数</vt:lpstr>
      <vt:lpstr>いっしー!副露成功数</vt:lpstr>
      <vt:lpstr>だいち!副露成功数</vt:lpstr>
      <vt:lpstr>たかの!副露成功数</vt:lpstr>
      <vt:lpstr>ただ!副露成功数</vt:lpstr>
      <vt:lpstr>のり!副露成功数</vt:lpstr>
      <vt:lpstr>ぱぱ!副露成功数</vt:lpstr>
      <vt:lpstr>ほたに!副露成功数</vt:lpstr>
      <vt:lpstr>まっつん!副露成功数</vt:lpstr>
      <vt:lpstr>りくと!副露成功数</vt:lpstr>
      <vt:lpstr>れんたろう!副露成功数</vt:lpstr>
      <vt:lpstr>全体!副露成功数</vt:lpstr>
      <vt:lpstr>副露成功数</vt:lpstr>
      <vt:lpstr>いっしー!副露成功率</vt:lpstr>
      <vt:lpstr>だいち!副露成功率</vt:lpstr>
      <vt:lpstr>たかの!副露成功率</vt:lpstr>
      <vt:lpstr>ただ!副露成功率</vt:lpstr>
      <vt:lpstr>のり!副露成功率</vt:lpstr>
      <vt:lpstr>ぱぱ!副露成功率</vt:lpstr>
      <vt:lpstr>ほたに!副露成功率</vt:lpstr>
      <vt:lpstr>まっつん!副露成功率</vt:lpstr>
      <vt:lpstr>りくと!副露成功率</vt:lpstr>
      <vt:lpstr>れんたろう!副露成功率</vt:lpstr>
      <vt:lpstr>全体!副露成功率</vt:lpstr>
      <vt:lpstr>副露成功率</vt:lpstr>
      <vt:lpstr>いっしー!副露率</vt:lpstr>
      <vt:lpstr>だいち!副露率</vt:lpstr>
      <vt:lpstr>たかの!副露率</vt:lpstr>
      <vt:lpstr>ただ!副露率</vt:lpstr>
      <vt:lpstr>のり!副露率</vt:lpstr>
      <vt:lpstr>ぱぱ!副露率</vt:lpstr>
      <vt:lpstr>ほたに!副露率</vt:lpstr>
      <vt:lpstr>まっつん!副露率</vt:lpstr>
      <vt:lpstr>りくと!副露率</vt:lpstr>
      <vt:lpstr>れんたろう!副露率</vt:lpstr>
      <vt:lpstr>全体!副露率</vt:lpstr>
      <vt:lpstr>副露率</vt:lpstr>
      <vt:lpstr>いっしー!平均アガリ点</vt:lpstr>
      <vt:lpstr>だいち!平均アガリ点</vt:lpstr>
      <vt:lpstr>たかの!平均アガリ点</vt:lpstr>
      <vt:lpstr>ただ!平均アガリ点</vt:lpstr>
      <vt:lpstr>のり!平均アガリ点</vt:lpstr>
      <vt:lpstr>ぱぱ!平均アガリ点</vt:lpstr>
      <vt:lpstr>ほたに!平均アガリ点</vt:lpstr>
      <vt:lpstr>まっつん!平均アガリ点</vt:lpstr>
      <vt:lpstr>りくと!平均アガリ点</vt:lpstr>
      <vt:lpstr>れんたろう!平均アガリ点</vt:lpstr>
      <vt:lpstr>全体!平均アガリ点</vt:lpstr>
      <vt:lpstr>平均アガリ点</vt:lpstr>
      <vt:lpstr>いっしー!平均スコア</vt:lpstr>
      <vt:lpstr>だいち!平均スコア</vt:lpstr>
      <vt:lpstr>たかの!平均スコア</vt:lpstr>
      <vt:lpstr>ただ!平均スコア</vt:lpstr>
      <vt:lpstr>のり!平均スコア</vt:lpstr>
      <vt:lpstr>ぱぱ!平均スコア</vt:lpstr>
      <vt:lpstr>ほたに!平均スコア</vt:lpstr>
      <vt:lpstr>まっつん!平均スコア</vt:lpstr>
      <vt:lpstr>りくと!平均スコア</vt:lpstr>
      <vt:lpstr>れんたろう!平均スコア</vt:lpstr>
      <vt:lpstr>全体!平均スコア</vt:lpstr>
      <vt:lpstr>平均スコア</vt:lpstr>
      <vt:lpstr>いっしー!平均順位</vt:lpstr>
      <vt:lpstr>だいち!平均順位</vt:lpstr>
      <vt:lpstr>たかの!平均順位</vt:lpstr>
      <vt:lpstr>ただ!平均順位</vt:lpstr>
      <vt:lpstr>のり!平均順位</vt:lpstr>
      <vt:lpstr>ぱぱ!平均順位</vt:lpstr>
      <vt:lpstr>ほたに!平均順位</vt:lpstr>
      <vt:lpstr>まっつん!平均順位</vt:lpstr>
      <vt:lpstr>りくと!平均順位</vt:lpstr>
      <vt:lpstr>れんたろう!平均順位</vt:lpstr>
      <vt:lpstr>全体!平均順位</vt:lpstr>
      <vt:lpstr>平均順位</vt:lpstr>
      <vt:lpstr>いっしー!平均放銃点</vt:lpstr>
      <vt:lpstr>だいち!平均放銃点</vt:lpstr>
      <vt:lpstr>たかの!平均放銃点</vt:lpstr>
      <vt:lpstr>ただ!平均放銃点</vt:lpstr>
      <vt:lpstr>のり!平均放銃点</vt:lpstr>
      <vt:lpstr>ぱぱ!平均放銃点</vt:lpstr>
      <vt:lpstr>ほたに!平均放銃点</vt:lpstr>
      <vt:lpstr>まっつん!平均放銃点</vt:lpstr>
      <vt:lpstr>りくと!平均放銃点</vt:lpstr>
      <vt:lpstr>れんたろう!平均放銃点</vt:lpstr>
      <vt:lpstr>全体!平均放銃点</vt:lpstr>
      <vt:lpstr>平均放銃点</vt:lpstr>
      <vt:lpstr>いっしー!放銃数</vt:lpstr>
      <vt:lpstr>だいち!放銃数</vt:lpstr>
      <vt:lpstr>たかの!放銃数</vt:lpstr>
      <vt:lpstr>ただ!放銃数</vt:lpstr>
      <vt:lpstr>のり!放銃数</vt:lpstr>
      <vt:lpstr>ぱぱ!放銃数</vt:lpstr>
      <vt:lpstr>ほたに!放銃数</vt:lpstr>
      <vt:lpstr>まっつん!放銃数</vt:lpstr>
      <vt:lpstr>りくと!放銃数</vt:lpstr>
      <vt:lpstr>れんたろう!放銃数</vt:lpstr>
      <vt:lpstr>全体!放銃数</vt:lpstr>
      <vt:lpstr>放銃数</vt:lpstr>
      <vt:lpstr>いっしー!放銃率</vt:lpstr>
      <vt:lpstr>だいち!放銃率</vt:lpstr>
      <vt:lpstr>たかの!放銃率</vt:lpstr>
      <vt:lpstr>ただ!放銃率</vt:lpstr>
      <vt:lpstr>のり!放銃率</vt:lpstr>
      <vt:lpstr>ぱぱ!放銃率</vt:lpstr>
      <vt:lpstr>ほたに!放銃率</vt:lpstr>
      <vt:lpstr>まっつん!放銃率</vt:lpstr>
      <vt:lpstr>りくと!放銃率</vt:lpstr>
      <vt:lpstr>れんたろう!放銃率</vt:lpstr>
      <vt:lpstr>全体!放銃率</vt:lpstr>
      <vt:lpstr>放銃率</vt:lpstr>
      <vt:lpstr>いっしー!連続アガリ</vt:lpstr>
      <vt:lpstr>だいち!連続アガリ</vt:lpstr>
      <vt:lpstr>たかの!連続アガリ</vt:lpstr>
      <vt:lpstr>ただ!連続アガリ</vt:lpstr>
      <vt:lpstr>のり!連続アガリ</vt:lpstr>
      <vt:lpstr>ぱぱ!連続アガリ</vt:lpstr>
      <vt:lpstr>ほたに!連続アガリ</vt:lpstr>
      <vt:lpstr>まっつん!連続アガリ</vt:lpstr>
      <vt:lpstr>りくと!連続アガリ</vt:lpstr>
      <vt:lpstr>れんたろう!連続アガリ</vt:lpstr>
      <vt:lpstr>全体!連続アガリ</vt:lpstr>
      <vt:lpstr>連続アガリ</vt:lpstr>
      <vt:lpstr>いっしー!連続無放銃</vt:lpstr>
      <vt:lpstr>だいち!連続無放銃</vt:lpstr>
      <vt:lpstr>たかの!連続無放銃</vt:lpstr>
      <vt:lpstr>ただ!連続無放銃</vt:lpstr>
      <vt:lpstr>のり!連続無放銃</vt:lpstr>
      <vt:lpstr>ぱぱ!連続無放銃</vt:lpstr>
      <vt:lpstr>ほたに!連続無放銃</vt:lpstr>
      <vt:lpstr>まっつん!連続無放銃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2019-10-23T14:26:02Z</dcterms:modified>
</cp:coreProperties>
</file>