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768D786B-59D2-4588-A21D-3AC1BAC03DAD}" xr6:coauthVersionLast="41" xr6:coauthVersionMax="41" xr10:uidLastSave="{00000000-0000-0000-0000-000000000000}"/>
  <bookViews>
    <workbookView xWindow="-120" yWindow="-120" windowWidth="29040" windowHeight="1644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203" r:id="rId6"/>
    <sheet name="たかの" sheetId="6205" r:id="rId7"/>
    <sheet name="だいち" sheetId="6207" r:id="rId8"/>
    <sheet name="ただ" sheetId="6209" r:id="rId9"/>
    <sheet name="りくと" sheetId="6211" r:id="rId10"/>
    <sheet name="れんたろう" sheetId="6213" r:id="rId11"/>
    <sheet name="まっつん" sheetId="6215" r:id="rId12"/>
    <sheet name="のり" sheetId="6217" r:id="rId13"/>
    <sheet name="ぱぱ" sheetId="6219" r:id="rId14"/>
    <sheet name="ほたに" sheetId="6221" r:id="rId15"/>
    <sheet name="いっしー" sheetId="6223" r:id="rId16"/>
    <sheet name="ともき" sheetId="6225" r:id="rId17"/>
    <sheet name="たか" sheetId="6227" r:id="rId18"/>
    <sheet name="ゆう" sheetId="6229" r:id="rId19"/>
    <sheet name="ゆう2" sheetId="6230" state="hidden" r:id="rId20"/>
    <sheet name="たか2" sheetId="6228" state="hidden" r:id="rId21"/>
    <sheet name="ともき2" sheetId="6226" state="hidden" r:id="rId22"/>
    <sheet name="いっしー2" sheetId="6224" state="hidden" r:id="rId23"/>
    <sheet name="ほたに2" sheetId="6222" state="hidden" r:id="rId24"/>
    <sheet name="ぱぱ2" sheetId="6220" state="hidden" r:id="rId25"/>
    <sheet name="のり2" sheetId="6218" state="hidden" r:id="rId26"/>
    <sheet name="まっつん2" sheetId="6216" state="hidden" r:id="rId27"/>
    <sheet name="れんたろう2" sheetId="6214" state="hidden" r:id="rId28"/>
    <sheet name="りくと2" sheetId="6212" state="hidden" r:id="rId29"/>
    <sheet name="ただ2" sheetId="6210" state="hidden" r:id="rId30"/>
    <sheet name="だいち2" sheetId="6208" state="hidden" r:id="rId31"/>
    <sheet name="たかの2" sheetId="6206" state="hidden" r:id="rId32"/>
    <sheet name="全体2" sheetId="620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215" l="1"/>
  <c r="O16" i="6225"/>
  <c r="O16" i="6227" l="1"/>
  <c r="O23" i="6205"/>
  <c r="O20" i="6215" l="1"/>
  <c r="O16" i="6229"/>
  <c r="O18" i="6227"/>
  <c r="O15" i="6205" l="1"/>
  <c r="O22" i="6225"/>
  <c r="O19" i="6227" l="1"/>
  <c r="O15" i="6229"/>
  <c r="O17" i="6229"/>
  <c r="C30" i="6229"/>
  <c r="B25" i="6229"/>
  <c r="C16" i="6229"/>
  <c r="B15" i="6229"/>
  <c r="H47" i="6229" s="1"/>
  <c r="B14" i="6229"/>
  <c r="B24" i="6229" s="1"/>
  <c r="B13" i="6229"/>
  <c r="C13" i="6229" s="1"/>
  <c r="O12" i="6229"/>
  <c r="C12" i="6229"/>
  <c r="O11" i="6229"/>
  <c r="C11" i="6229"/>
  <c r="O10" i="6229"/>
  <c r="C10" i="6229"/>
  <c r="C9" i="6229"/>
  <c r="C8" i="6229"/>
  <c r="O7" i="6229"/>
  <c r="C7" i="6229"/>
  <c r="O6" i="6229"/>
  <c r="B6" i="6229"/>
  <c r="O5" i="6229"/>
  <c r="B5" i="6229"/>
  <c r="O4" i="6229"/>
  <c r="O3" i="6229"/>
  <c r="O2" i="6229"/>
  <c r="O16" i="6217"/>
  <c r="O15" i="6227"/>
  <c r="O17" i="6227"/>
  <c r="C30" i="6227"/>
  <c r="B25" i="6227"/>
  <c r="C16" i="6227"/>
  <c r="B15" i="6227"/>
  <c r="H47" i="6227" s="1"/>
  <c r="B14" i="6227"/>
  <c r="C14" i="6227" s="1"/>
  <c r="B13" i="6227"/>
  <c r="C13" i="6227" s="1"/>
  <c r="O12" i="6227"/>
  <c r="C12" i="6227"/>
  <c r="O11" i="6227"/>
  <c r="C11" i="6227"/>
  <c r="O10" i="6227"/>
  <c r="C10" i="6227"/>
  <c r="C9" i="6227"/>
  <c r="C8" i="6227"/>
  <c r="O7" i="6227"/>
  <c r="C7" i="6227"/>
  <c r="O6" i="6227"/>
  <c r="B6" i="6227"/>
  <c r="O5" i="6227"/>
  <c r="B5" i="6227"/>
  <c r="O4" i="6227"/>
  <c r="O3" i="6227"/>
  <c r="O2" i="6227"/>
  <c r="O15" i="6203"/>
  <c r="H8" i="6229" l="1"/>
  <c r="H2" i="6229"/>
  <c r="H17" i="6229"/>
  <c r="H40" i="6229"/>
  <c r="H7" i="6229"/>
  <c r="H20" i="6229"/>
  <c r="C34" i="6229"/>
  <c r="H35" i="6229"/>
  <c r="H3" i="6229"/>
  <c r="C20" i="6229"/>
  <c r="B22" i="6229"/>
  <c r="B24" i="6227"/>
  <c r="H26" i="6229"/>
  <c r="C40" i="6229"/>
  <c r="H28" i="6229"/>
  <c r="H15" i="6229"/>
  <c r="H11" i="6229"/>
  <c r="H13" i="6229"/>
  <c r="H5" i="6229"/>
  <c r="H41" i="6229"/>
  <c r="C17" i="6229"/>
  <c r="H32" i="6229"/>
  <c r="C14" i="6229"/>
  <c r="H12" i="6229"/>
  <c r="C35" i="6229"/>
  <c r="C42" i="6229"/>
  <c r="H36" i="6229"/>
  <c r="H43" i="6229"/>
  <c r="C44" i="6229"/>
  <c r="H6" i="6229"/>
  <c r="H14" i="6229"/>
  <c r="H16" i="6229"/>
  <c r="C15" i="6229"/>
  <c r="C21" i="6229"/>
  <c r="H37" i="6229"/>
  <c r="H45" i="6229"/>
  <c r="H23" i="6229"/>
  <c r="H30" i="6229"/>
  <c r="C36" i="6229"/>
  <c r="H10" i="6229"/>
  <c r="H19" i="6229"/>
  <c r="H24" i="6229"/>
  <c r="H31" i="6229"/>
  <c r="C39" i="6229"/>
  <c r="H48" i="6229"/>
  <c r="H49" i="6229"/>
  <c r="H50" i="6229"/>
  <c r="H51" i="6229"/>
  <c r="H18" i="6229"/>
  <c r="C18" i="6229"/>
  <c r="H27" i="6229"/>
  <c r="C32" i="6229"/>
  <c r="C38" i="6229"/>
  <c r="C43" i="6229"/>
  <c r="H4" i="6229"/>
  <c r="H22" i="6229"/>
  <c r="H33" i="6229"/>
  <c r="H39" i="6229"/>
  <c r="H44" i="6229"/>
  <c r="H52" i="6229"/>
  <c r="H21" i="6229"/>
  <c r="H25" i="6229"/>
  <c r="H9" i="6229"/>
  <c r="C33" i="6229"/>
  <c r="C37" i="6229"/>
  <c r="C41" i="6229"/>
  <c r="H46" i="6229"/>
  <c r="C19" i="6229"/>
  <c r="B23" i="6229"/>
  <c r="H29" i="6229"/>
  <c r="H34" i="6229"/>
  <c r="H38" i="6229"/>
  <c r="H42" i="6229"/>
  <c r="H24" i="6227"/>
  <c r="H15" i="6227"/>
  <c r="C21" i="6227"/>
  <c r="H14" i="6227"/>
  <c r="C39" i="6227"/>
  <c r="H40" i="6227"/>
  <c r="H19" i="6227"/>
  <c r="H41" i="6227"/>
  <c r="H9" i="6227"/>
  <c r="H10" i="6227"/>
  <c r="H31" i="6227"/>
  <c r="H26" i="6227"/>
  <c r="H6" i="6227"/>
  <c r="H20" i="6227"/>
  <c r="H35" i="6227"/>
  <c r="C42" i="6227"/>
  <c r="C35" i="6227"/>
  <c r="C44" i="6227"/>
  <c r="C40" i="6227"/>
  <c r="C17" i="6227"/>
  <c r="H2" i="6227"/>
  <c r="H8" i="6227"/>
  <c r="H17" i="6227"/>
  <c r="H28" i="6227"/>
  <c r="H36" i="6227"/>
  <c r="H45" i="6227"/>
  <c r="H4" i="6227"/>
  <c r="H3" i="6227"/>
  <c r="B22" i="6227"/>
  <c r="C34" i="6227"/>
  <c r="H11" i="6227"/>
  <c r="H21" i="6227"/>
  <c r="H7" i="6227"/>
  <c r="H23" i="6227"/>
  <c r="H29" i="6227"/>
  <c r="C36" i="6227"/>
  <c r="H48" i="6227"/>
  <c r="H49" i="6227"/>
  <c r="H50" i="6227"/>
  <c r="H18" i="6227"/>
  <c r="C18" i="6227"/>
  <c r="H32" i="6227"/>
  <c r="H37" i="6227"/>
  <c r="H43" i="6227"/>
  <c r="H51" i="6227"/>
  <c r="H12" i="6227"/>
  <c r="H27" i="6227"/>
  <c r="C32" i="6227"/>
  <c r="C38" i="6227"/>
  <c r="C43" i="6227"/>
  <c r="H5" i="6227"/>
  <c r="H16" i="6227"/>
  <c r="C15" i="6227"/>
  <c r="C20" i="6227"/>
  <c r="H33" i="6227"/>
  <c r="H39" i="6227"/>
  <c r="H44" i="6227"/>
  <c r="H52" i="6227"/>
  <c r="H22" i="6227"/>
  <c r="H25" i="6227"/>
  <c r="H13" i="6227"/>
  <c r="C33" i="6227"/>
  <c r="C37" i="6227"/>
  <c r="C41" i="6227"/>
  <c r="H46" i="6227"/>
  <c r="C19" i="6227"/>
  <c r="B23" i="6227"/>
  <c r="H30" i="6227"/>
  <c r="H34" i="6227"/>
  <c r="H38" i="6227"/>
  <c r="H42" i="6227"/>
  <c r="O21" i="6225" l="1"/>
  <c r="O16" i="6207"/>
  <c r="O22" i="6209" l="1"/>
  <c r="O17" i="6225"/>
  <c r="O20" i="6225"/>
  <c r="O22" i="6211"/>
  <c r="O23" i="6219" l="1"/>
  <c r="O15" i="6225"/>
  <c r="O23" i="6213" l="1"/>
  <c r="O19" i="6225"/>
  <c r="O18" i="6225"/>
  <c r="C30" i="6225"/>
  <c r="B25" i="6225"/>
  <c r="B24" i="6225"/>
  <c r="C16" i="6225"/>
  <c r="B15" i="6225"/>
  <c r="H47" i="6225" s="1"/>
  <c r="B14" i="6225"/>
  <c r="C14" i="6225" s="1"/>
  <c r="B13" i="6225"/>
  <c r="C13" i="6225" s="1"/>
  <c r="O12" i="6225"/>
  <c r="C12" i="6225"/>
  <c r="O11" i="6225"/>
  <c r="C11" i="6225"/>
  <c r="O10" i="6225"/>
  <c r="C10" i="6225"/>
  <c r="C9" i="6225"/>
  <c r="C8" i="6225"/>
  <c r="O7" i="6225"/>
  <c r="C7" i="6225"/>
  <c r="O6" i="6225"/>
  <c r="B6" i="6225"/>
  <c r="O5" i="6225"/>
  <c r="B5" i="6225"/>
  <c r="O4" i="6225"/>
  <c r="O3" i="6225"/>
  <c r="O2" i="6225"/>
  <c r="O18" i="6217"/>
  <c r="O25" i="6203"/>
  <c r="H22" i="6225" l="1"/>
  <c r="C17" i="6225"/>
  <c r="C34" i="6225"/>
  <c r="H15" i="6225"/>
  <c r="H16" i="6225"/>
  <c r="H35" i="6225"/>
  <c r="H2" i="6225"/>
  <c r="C40" i="6225"/>
  <c r="H10" i="6225"/>
  <c r="H32" i="6225"/>
  <c r="H5" i="6225"/>
  <c r="C18" i="6225"/>
  <c r="H40" i="6225"/>
  <c r="H13" i="6225"/>
  <c r="H8" i="6225"/>
  <c r="H18" i="6225"/>
  <c r="H20" i="6225"/>
  <c r="H41" i="6225"/>
  <c r="H27" i="6225"/>
  <c r="C35" i="6225"/>
  <c r="C42" i="6225"/>
  <c r="H14" i="6225"/>
  <c r="H28" i="6225"/>
  <c r="H43" i="6225"/>
  <c r="H25" i="6225"/>
  <c r="C44" i="6225"/>
  <c r="H30" i="6225"/>
  <c r="C36" i="6225"/>
  <c r="H3" i="6225"/>
  <c r="H4" i="6225"/>
  <c r="H21" i="6225"/>
  <c r="H12" i="6225"/>
  <c r="H37" i="6225"/>
  <c r="H45" i="6225"/>
  <c r="H6" i="6225"/>
  <c r="H19" i="6225"/>
  <c r="H36" i="6225"/>
  <c r="C15" i="6225"/>
  <c r="C21" i="6225"/>
  <c r="H9" i="6225"/>
  <c r="B22" i="6225"/>
  <c r="H31" i="6225"/>
  <c r="C39" i="6225"/>
  <c r="H48" i="6225"/>
  <c r="H49" i="6225"/>
  <c r="H50" i="6225"/>
  <c r="H51" i="6225"/>
  <c r="H24" i="6225"/>
  <c r="H17" i="6225"/>
  <c r="C32" i="6225"/>
  <c r="C38" i="6225"/>
  <c r="C43" i="6225"/>
  <c r="H7" i="6225"/>
  <c r="C20" i="6225"/>
  <c r="H33" i="6225"/>
  <c r="H39" i="6225"/>
  <c r="H44" i="6225"/>
  <c r="H52" i="6225"/>
  <c r="H23" i="6225"/>
  <c r="H26" i="6225"/>
  <c r="H11" i="6225"/>
  <c r="C33" i="6225"/>
  <c r="C37" i="6225"/>
  <c r="C41" i="6225"/>
  <c r="H46" i="6225"/>
  <c r="C19" i="6225"/>
  <c r="B23" i="6225"/>
  <c r="H29" i="6225"/>
  <c r="H34" i="6225"/>
  <c r="H38" i="6225"/>
  <c r="H42" i="6225"/>
  <c r="O16" i="6215" l="1"/>
  <c r="O17" i="6223"/>
  <c r="O23" i="6207"/>
  <c r="O16" i="6223"/>
  <c r="O15" i="6223"/>
  <c r="C30" i="6223"/>
  <c r="B25" i="6223"/>
  <c r="C16" i="6223"/>
  <c r="B15" i="6223"/>
  <c r="H47" i="6223" s="1"/>
  <c r="B14" i="6223"/>
  <c r="C14" i="6223" s="1"/>
  <c r="C13" i="6223"/>
  <c r="B13" i="6223"/>
  <c r="O12" i="6223"/>
  <c r="C12" i="6223"/>
  <c r="O11" i="6223"/>
  <c r="C11" i="6223"/>
  <c r="O10" i="6223"/>
  <c r="C10" i="6223"/>
  <c r="C9" i="6223"/>
  <c r="C8" i="6223"/>
  <c r="O7" i="6223"/>
  <c r="C7" i="6223"/>
  <c r="O6" i="6223"/>
  <c r="B6" i="6223"/>
  <c r="O5" i="6223"/>
  <c r="B5" i="6223"/>
  <c r="O4" i="6223"/>
  <c r="O3" i="6223"/>
  <c r="O2" i="6223"/>
  <c r="O20" i="6217"/>
  <c r="O26" i="6203"/>
  <c r="B24" i="6223" l="1"/>
  <c r="H27" i="6223"/>
  <c r="H17" i="6223"/>
  <c r="H14" i="6223"/>
  <c r="H4" i="6223"/>
  <c r="H28" i="6223"/>
  <c r="C35" i="6223"/>
  <c r="C18" i="6223"/>
  <c r="C36" i="6223"/>
  <c r="H23" i="6223"/>
  <c r="C39" i="6223"/>
  <c r="H40" i="6223"/>
  <c r="H30" i="6223"/>
  <c r="H18" i="6223"/>
  <c r="H7" i="6223"/>
  <c r="H31" i="6223"/>
  <c r="H25" i="6223"/>
  <c r="C44" i="6223"/>
  <c r="H6" i="6223"/>
  <c r="C40" i="6223"/>
  <c r="H2" i="6223"/>
  <c r="H19" i="6223"/>
  <c r="H32" i="6223"/>
  <c r="H3" i="6223"/>
  <c r="H16" i="6223"/>
  <c r="H45" i="6223"/>
  <c r="H9" i="6223"/>
  <c r="C21" i="6223"/>
  <c r="H8" i="6223"/>
  <c r="H12" i="6223"/>
  <c r="B22" i="6223"/>
  <c r="C17" i="6223"/>
  <c r="C34" i="6223"/>
  <c r="H13" i="6223"/>
  <c r="H20" i="6223"/>
  <c r="H35" i="6223"/>
  <c r="H48" i="6223"/>
  <c r="H36" i="6223"/>
  <c r="H41" i="6223"/>
  <c r="H49" i="6223"/>
  <c r="C42" i="6223"/>
  <c r="H50" i="6223"/>
  <c r="H37" i="6223"/>
  <c r="H43" i="6223"/>
  <c r="H51" i="6223"/>
  <c r="H10" i="6223"/>
  <c r="H15" i="6223"/>
  <c r="H26" i="6223"/>
  <c r="C32" i="6223"/>
  <c r="C38" i="6223"/>
  <c r="C43" i="6223"/>
  <c r="H11" i="6223"/>
  <c r="H22" i="6223"/>
  <c r="C15" i="6223"/>
  <c r="C20" i="6223"/>
  <c r="H33" i="6223"/>
  <c r="H39" i="6223"/>
  <c r="H44" i="6223"/>
  <c r="H52" i="6223"/>
  <c r="H21" i="6223"/>
  <c r="H24" i="6223"/>
  <c r="H5" i="6223"/>
  <c r="C33" i="6223"/>
  <c r="C37" i="6223"/>
  <c r="C41" i="6223"/>
  <c r="H46" i="6223"/>
  <c r="C19" i="6223"/>
  <c r="B23" i="6223"/>
  <c r="H29" i="6223"/>
  <c r="H34" i="6223"/>
  <c r="H38" i="6223"/>
  <c r="H42" i="6223"/>
  <c r="O22" i="6205" l="1"/>
  <c r="O16" i="6213"/>
  <c r="O15" i="6213" l="1"/>
  <c r="O19" i="6221"/>
  <c r="O15" i="6211" l="1"/>
  <c r="O22" i="6217"/>
  <c r="O16" i="6221" l="1"/>
  <c r="O23" i="6211"/>
  <c r="O21" i="6205" l="1"/>
  <c r="O17" i="6207"/>
  <c r="O15" i="6217"/>
  <c r="O23" i="6217"/>
  <c r="O19" i="6215" l="1"/>
  <c r="O18" i="6219"/>
  <c r="O17" i="6209" l="1"/>
  <c r="O17" i="6215"/>
  <c r="O19" i="6217"/>
  <c r="O21" i="6217"/>
  <c r="O16" i="6205" l="1"/>
  <c r="O17" i="6219"/>
  <c r="O19" i="6219"/>
  <c r="O18" i="6211"/>
  <c r="O20" i="6209" l="1"/>
  <c r="O20" i="6213"/>
  <c r="O19" i="6213" l="1"/>
  <c r="O22" i="6207"/>
  <c r="O25" i="6217"/>
  <c r="O17" i="6221"/>
  <c r="O15" i="6221"/>
  <c r="O21" i="6219"/>
  <c r="O15" i="6209" l="1"/>
  <c r="O21" i="6209"/>
  <c r="O18" i="6221"/>
  <c r="O20" i="6221"/>
  <c r="C30" i="6221"/>
  <c r="B25" i="6221"/>
  <c r="C16" i="6221"/>
  <c r="B15" i="6221"/>
  <c r="H52" i="6221" s="1"/>
  <c r="B14" i="6221"/>
  <c r="B24" i="6221" s="1"/>
  <c r="B13" i="6221"/>
  <c r="C13" i="6221" s="1"/>
  <c r="O12" i="6221"/>
  <c r="C12" i="6221"/>
  <c r="O11" i="6221"/>
  <c r="C11" i="6221"/>
  <c r="O10" i="6221"/>
  <c r="C10" i="6221"/>
  <c r="C9" i="6221"/>
  <c r="C8" i="6221"/>
  <c r="O7" i="6221"/>
  <c r="C7" i="6221"/>
  <c r="O6" i="6221"/>
  <c r="B6" i="6221"/>
  <c r="O5" i="6221"/>
  <c r="B5" i="6221"/>
  <c r="O4" i="6221"/>
  <c r="O3" i="6221"/>
  <c r="O2" i="6221"/>
  <c r="O21" i="6215"/>
  <c r="O15" i="6215"/>
  <c r="O16" i="6203"/>
  <c r="H12" i="6221" l="1"/>
  <c r="H14" i="6221"/>
  <c r="C32" i="6221"/>
  <c r="H7" i="6221"/>
  <c r="H10" i="6221"/>
  <c r="H16" i="6221"/>
  <c r="H34" i="6221"/>
  <c r="H40" i="6221"/>
  <c r="H47" i="6221"/>
  <c r="H8" i="6221"/>
  <c r="H2" i="6221"/>
  <c r="H13" i="6221"/>
  <c r="H36" i="6221"/>
  <c r="C19" i="6221"/>
  <c r="H17" i="6221"/>
  <c r="C21" i="6221"/>
  <c r="C40" i="6221"/>
  <c r="C14" i="6221"/>
  <c r="H42" i="6221"/>
  <c r="H4" i="6221"/>
  <c r="H44" i="6221"/>
  <c r="H29" i="6221"/>
  <c r="H3" i="6221"/>
  <c r="H11" i="6221"/>
  <c r="C17" i="6221"/>
  <c r="H32" i="6221"/>
  <c r="C44" i="6221"/>
  <c r="C36" i="6221"/>
  <c r="H51" i="6221"/>
  <c r="C15" i="6221"/>
  <c r="H27" i="6221"/>
  <c r="H38" i="6221"/>
  <c r="H6" i="6221"/>
  <c r="H22" i="6221"/>
  <c r="H25" i="6221"/>
  <c r="H9" i="6221"/>
  <c r="C33" i="6221"/>
  <c r="C37" i="6221"/>
  <c r="C41" i="6221"/>
  <c r="H46" i="6221"/>
  <c r="H5" i="6221"/>
  <c r="H20" i="6221"/>
  <c r="H23" i="6221"/>
  <c r="H26" i="6221"/>
  <c r="H30" i="6221"/>
  <c r="C34" i="6221"/>
  <c r="C38" i="6221"/>
  <c r="C42" i="6221"/>
  <c r="H48" i="6221"/>
  <c r="B23" i="6221"/>
  <c r="C20" i="6221"/>
  <c r="H35" i="6221"/>
  <c r="H39" i="6221"/>
  <c r="H43" i="6221"/>
  <c r="H49" i="6221"/>
  <c r="H18" i="6221"/>
  <c r="H21" i="6221"/>
  <c r="H24" i="6221"/>
  <c r="H15" i="6221"/>
  <c r="H31" i="6221"/>
  <c r="C35" i="6221"/>
  <c r="C39" i="6221"/>
  <c r="C43" i="6221"/>
  <c r="H50" i="6221"/>
  <c r="H19" i="6221"/>
  <c r="C18" i="6221"/>
  <c r="B22" i="6221"/>
  <c r="H28" i="6221"/>
  <c r="H33" i="6221"/>
  <c r="H37" i="6221"/>
  <c r="H41" i="6221"/>
  <c r="H45" i="6221"/>
  <c r="O20" i="6207" l="1"/>
  <c r="O19" i="6211"/>
  <c r="O18" i="6207" l="1"/>
  <c r="O22" i="6215"/>
  <c r="O24" i="6215"/>
  <c r="O17" i="6205"/>
  <c r="O16" i="6209"/>
  <c r="O16" i="6211"/>
  <c r="O21" i="6211"/>
  <c r="O19" i="6205"/>
  <c r="O18" i="6209"/>
  <c r="O15" i="6207"/>
  <c r="O20" i="6219"/>
  <c r="O22" i="6219"/>
  <c r="O22" i="6213" l="1"/>
  <c r="O18" i="6213"/>
  <c r="O15" i="6219"/>
  <c r="O16" i="6219"/>
  <c r="C30" i="6219"/>
  <c r="B25" i="6219"/>
  <c r="B24" i="6219"/>
  <c r="C16" i="6219"/>
  <c r="B15" i="6219"/>
  <c r="H52" i="6219" s="1"/>
  <c r="B14" i="6219"/>
  <c r="C14" i="6219" s="1"/>
  <c r="B13" i="6219"/>
  <c r="C13" i="6219" s="1"/>
  <c r="O12" i="6219"/>
  <c r="C12" i="6219"/>
  <c r="O11" i="6219"/>
  <c r="C11" i="6219"/>
  <c r="O10" i="6219"/>
  <c r="C10" i="6219"/>
  <c r="C9" i="6219"/>
  <c r="C8" i="6219"/>
  <c r="O7" i="6219"/>
  <c r="C7" i="6219"/>
  <c r="O6" i="6219"/>
  <c r="B6" i="6219"/>
  <c r="O5" i="6219"/>
  <c r="B5" i="6219"/>
  <c r="O4" i="6219"/>
  <c r="O3" i="6219"/>
  <c r="O2" i="6219"/>
  <c r="O17" i="6203"/>
  <c r="O17" i="6217"/>
  <c r="O24" i="6217"/>
  <c r="C30" i="6217"/>
  <c r="B25" i="6217"/>
  <c r="C16" i="6217"/>
  <c r="B15" i="6217"/>
  <c r="H52" i="6217" s="1"/>
  <c r="B14" i="6217"/>
  <c r="B24" i="6217" s="1"/>
  <c r="B13" i="6217"/>
  <c r="C13" i="6217" s="1"/>
  <c r="O12" i="6217"/>
  <c r="C12" i="6217"/>
  <c r="O11" i="6217"/>
  <c r="C11" i="6217"/>
  <c r="O10" i="6217"/>
  <c r="C10" i="6217"/>
  <c r="C9" i="6217"/>
  <c r="C8" i="6217"/>
  <c r="O7" i="6217"/>
  <c r="C7" i="6217"/>
  <c r="O6" i="6217"/>
  <c r="B6" i="6217"/>
  <c r="O5" i="6217"/>
  <c r="B5" i="6217"/>
  <c r="O4" i="6217"/>
  <c r="O3" i="6217"/>
  <c r="O2" i="6217"/>
  <c r="O20" i="6203"/>
  <c r="C14" i="6217" l="1"/>
  <c r="C20" i="6217"/>
  <c r="H4" i="6219"/>
  <c r="C15" i="6219"/>
  <c r="C41" i="6219"/>
  <c r="C19" i="6219"/>
  <c r="H35" i="6219"/>
  <c r="H43" i="6219"/>
  <c r="H48" i="6219"/>
  <c r="H2" i="6219"/>
  <c r="H6" i="6219"/>
  <c r="H24" i="6219"/>
  <c r="H17" i="6219"/>
  <c r="H18" i="6219"/>
  <c r="H31" i="6219"/>
  <c r="C34" i="6219"/>
  <c r="C38" i="6219"/>
  <c r="C42" i="6219"/>
  <c r="H49" i="6219"/>
  <c r="H9" i="6219"/>
  <c r="H22" i="6219"/>
  <c r="H28" i="6219"/>
  <c r="H47" i="6219"/>
  <c r="B23" i="6219"/>
  <c r="C20" i="6219"/>
  <c r="H36" i="6219"/>
  <c r="H40" i="6219"/>
  <c r="H44" i="6219"/>
  <c r="H50" i="6219"/>
  <c r="C33" i="6219"/>
  <c r="H8" i="6219"/>
  <c r="H16" i="6219"/>
  <c r="H13" i="6219"/>
  <c r="H27" i="6219"/>
  <c r="H14" i="6219"/>
  <c r="H32" i="6219"/>
  <c r="C35" i="6219"/>
  <c r="C39" i="6219"/>
  <c r="C43" i="6219"/>
  <c r="H51" i="6219"/>
  <c r="H11" i="6219"/>
  <c r="C37" i="6219"/>
  <c r="H39" i="6219"/>
  <c r="H7" i="6219"/>
  <c r="H21" i="6219"/>
  <c r="C17" i="6219"/>
  <c r="C21" i="6219"/>
  <c r="H33" i="6219"/>
  <c r="H37" i="6219"/>
  <c r="H41" i="6219"/>
  <c r="H45" i="6219"/>
  <c r="H20" i="6219"/>
  <c r="H26" i="6219"/>
  <c r="H12" i="6219"/>
  <c r="H30" i="6219"/>
  <c r="H3" i="6219"/>
  <c r="H10" i="6219"/>
  <c r="H25" i="6219"/>
  <c r="H15" i="6219"/>
  <c r="H19" i="6219"/>
  <c r="C32" i="6219"/>
  <c r="C36" i="6219"/>
  <c r="C40" i="6219"/>
  <c r="C44" i="6219"/>
  <c r="H5" i="6219"/>
  <c r="H23" i="6219"/>
  <c r="C18" i="6219"/>
  <c r="B22" i="6219"/>
  <c r="H29" i="6219"/>
  <c r="H34" i="6219"/>
  <c r="H38" i="6219"/>
  <c r="H42" i="6219"/>
  <c r="H46" i="6219"/>
  <c r="H16" i="6217"/>
  <c r="H10" i="6217"/>
  <c r="H24" i="6217"/>
  <c r="C34" i="6217"/>
  <c r="C40" i="6217"/>
  <c r="H9" i="6217"/>
  <c r="H46" i="6217"/>
  <c r="H2" i="6217"/>
  <c r="H26" i="6217"/>
  <c r="C36" i="6217"/>
  <c r="H49" i="6217"/>
  <c r="H3" i="6217"/>
  <c r="H12" i="6217"/>
  <c r="C18" i="6217"/>
  <c r="H31" i="6217"/>
  <c r="H38" i="6217"/>
  <c r="H5" i="6217"/>
  <c r="H15" i="6217"/>
  <c r="H32" i="6217"/>
  <c r="C38" i="6217"/>
  <c r="H13" i="6217"/>
  <c r="H42" i="6217"/>
  <c r="H4" i="6217"/>
  <c r="H17" i="6217"/>
  <c r="C15" i="6217"/>
  <c r="B22" i="6217"/>
  <c r="C32" i="6217"/>
  <c r="C42" i="6217"/>
  <c r="H7" i="6217"/>
  <c r="H11" i="6217"/>
  <c r="H25" i="6217"/>
  <c r="H30" i="6217"/>
  <c r="H35" i="6217"/>
  <c r="C44" i="6217"/>
  <c r="H27" i="6217"/>
  <c r="H29" i="6217"/>
  <c r="H8" i="6217"/>
  <c r="C33" i="6217"/>
  <c r="C37" i="6217"/>
  <c r="C41" i="6217"/>
  <c r="H47" i="6217"/>
  <c r="C19" i="6217"/>
  <c r="B23" i="6217"/>
  <c r="H33" i="6217"/>
  <c r="H20" i="6217"/>
  <c r="H39" i="6217"/>
  <c r="H43" i="6217"/>
  <c r="H48" i="6217"/>
  <c r="H44" i="6217"/>
  <c r="H36" i="6217"/>
  <c r="H40" i="6217"/>
  <c r="H50" i="6217"/>
  <c r="H23" i="6217"/>
  <c r="H18" i="6217"/>
  <c r="H28" i="6217"/>
  <c r="H14" i="6217"/>
  <c r="H19" i="6217"/>
  <c r="C35" i="6217"/>
  <c r="C39" i="6217"/>
  <c r="C43" i="6217"/>
  <c r="H51" i="6217"/>
  <c r="H6" i="6217"/>
  <c r="H22" i="6217"/>
  <c r="C17" i="6217"/>
  <c r="C21" i="6217"/>
  <c r="H34" i="6217"/>
  <c r="H37" i="6217"/>
  <c r="H41" i="6217"/>
  <c r="H45" i="6217"/>
  <c r="H21" i="6217"/>
  <c r="O23" i="6215" l="1"/>
  <c r="O18" i="6215"/>
  <c r="C30" i="6215"/>
  <c r="B25" i="6215"/>
  <c r="C16" i="6215"/>
  <c r="B15" i="6215"/>
  <c r="H52" i="6215" s="1"/>
  <c r="B14" i="6215"/>
  <c r="B24" i="6215" s="1"/>
  <c r="C13" i="6215"/>
  <c r="B13" i="6215"/>
  <c r="O12" i="6215"/>
  <c r="C12" i="6215"/>
  <c r="O11" i="6215"/>
  <c r="C11" i="6215"/>
  <c r="O10" i="6215"/>
  <c r="C10" i="6215"/>
  <c r="C9" i="6215"/>
  <c r="C8" i="6215"/>
  <c r="O7" i="6215"/>
  <c r="C7" i="6215"/>
  <c r="O6" i="6215"/>
  <c r="B6" i="6215"/>
  <c r="O5" i="6215"/>
  <c r="B5" i="6215"/>
  <c r="O4" i="6215"/>
  <c r="O3" i="6215"/>
  <c r="O2" i="6215"/>
  <c r="O21" i="6213"/>
  <c r="O17" i="6213"/>
  <c r="C30" i="6213"/>
  <c r="B25" i="6213"/>
  <c r="B24" i="6213"/>
  <c r="C16" i="6213"/>
  <c r="B15" i="6213"/>
  <c r="H48" i="6213" s="1"/>
  <c r="B14" i="6213"/>
  <c r="C14" i="6213" s="1"/>
  <c r="B13" i="6213"/>
  <c r="C13" i="6213" s="1"/>
  <c r="O12" i="6213"/>
  <c r="C12" i="6213"/>
  <c r="O11" i="6213"/>
  <c r="C11" i="6213"/>
  <c r="O10" i="6213"/>
  <c r="C10" i="6213"/>
  <c r="C9" i="6213"/>
  <c r="C8" i="6213"/>
  <c r="O7" i="6213"/>
  <c r="C7" i="6213"/>
  <c r="O6" i="6213"/>
  <c r="B6" i="6213"/>
  <c r="O5" i="6213"/>
  <c r="B5" i="6213"/>
  <c r="O4" i="6213"/>
  <c r="O3" i="6213"/>
  <c r="O2" i="6213"/>
  <c r="O18" i="6203"/>
  <c r="O20" i="6211"/>
  <c r="O17" i="6211"/>
  <c r="C30" i="6211"/>
  <c r="B25" i="6211"/>
  <c r="C16" i="6211"/>
  <c r="B15" i="6211"/>
  <c r="H49" i="6211" s="1"/>
  <c r="B14" i="6211"/>
  <c r="B24" i="6211" s="1"/>
  <c r="B13" i="6211"/>
  <c r="C13" i="6211" s="1"/>
  <c r="O12" i="6211"/>
  <c r="C12" i="6211"/>
  <c r="O11" i="6211"/>
  <c r="C11" i="6211"/>
  <c r="O10" i="6211"/>
  <c r="C10" i="6211"/>
  <c r="C9" i="6211"/>
  <c r="C8" i="6211"/>
  <c r="O7" i="6211"/>
  <c r="C7" i="6211"/>
  <c r="O6" i="6211"/>
  <c r="B6" i="6211"/>
  <c r="O5" i="6211"/>
  <c r="B5" i="6211"/>
  <c r="O4" i="6211"/>
  <c r="O3" i="6211"/>
  <c r="O2" i="6211"/>
  <c r="O21" i="6203"/>
  <c r="O23" i="6203"/>
  <c r="C14" i="6211" l="1"/>
  <c r="H10" i="6211"/>
  <c r="C14" i="6215"/>
  <c r="C15" i="6215"/>
  <c r="H11" i="6215"/>
  <c r="H22" i="6215"/>
  <c r="H32" i="6215"/>
  <c r="H9" i="6215"/>
  <c r="C33" i="6215"/>
  <c r="C37" i="6215"/>
  <c r="C41" i="6215"/>
  <c r="H47" i="6215"/>
  <c r="C19" i="6215"/>
  <c r="B23" i="6215"/>
  <c r="H33" i="6215"/>
  <c r="H36" i="6215"/>
  <c r="H40" i="6215"/>
  <c r="H43" i="6215"/>
  <c r="H48" i="6215"/>
  <c r="H7" i="6215"/>
  <c r="H3" i="6215"/>
  <c r="H29" i="6215"/>
  <c r="H18" i="6215"/>
  <c r="H20" i="6215"/>
  <c r="H21" i="6215"/>
  <c r="C34" i="6215"/>
  <c r="C38" i="6215"/>
  <c r="C42" i="6215"/>
  <c r="H49" i="6215"/>
  <c r="H8" i="6215"/>
  <c r="C20" i="6215"/>
  <c r="H37" i="6215"/>
  <c r="H41" i="6215"/>
  <c r="H44" i="6215"/>
  <c r="H50" i="6215"/>
  <c r="H23" i="6215"/>
  <c r="H19" i="6215"/>
  <c r="H31" i="6215"/>
  <c r="H13" i="6215"/>
  <c r="H34" i="6215"/>
  <c r="C35" i="6215"/>
  <c r="C39" i="6215"/>
  <c r="C43" i="6215"/>
  <c r="H51" i="6215"/>
  <c r="H30" i="6215"/>
  <c r="H2" i="6215"/>
  <c r="H6" i="6215"/>
  <c r="H17" i="6215"/>
  <c r="C17" i="6215"/>
  <c r="C21" i="6215"/>
  <c r="H26" i="6215"/>
  <c r="H38" i="6215"/>
  <c r="H27" i="6215"/>
  <c r="H45" i="6215"/>
  <c r="H16" i="6215"/>
  <c r="H14" i="6215"/>
  <c r="H24" i="6215"/>
  <c r="C32" i="6215"/>
  <c r="C36" i="6215"/>
  <c r="C40" i="6215"/>
  <c r="C44" i="6215"/>
  <c r="H5" i="6215"/>
  <c r="H10" i="6215"/>
  <c r="H4" i="6215"/>
  <c r="H12" i="6215"/>
  <c r="H15" i="6215"/>
  <c r="H28" i="6215"/>
  <c r="C18" i="6215"/>
  <c r="B22" i="6215"/>
  <c r="H25" i="6215"/>
  <c r="H35" i="6215"/>
  <c r="H39" i="6215"/>
  <c r="H42" i="6215"/>
  <c r="H46" i="6215"/>
  <c r="H10" i="6213"/>
  <c r="H30" i="6213"/>
  <c r="H3" i="6213"/>
  <c r="H42" i="6213"/>
  <c r="H18" i="6213"/>
  <c r="C17" i="6213"/>
  <c r="H21" i="6213"/>
  <c r="H19" i="6213"/>
  <c r="H24" i="6213"/>
  <c r="C18" i="6213"/>
  <c r="C40" i="6213"/>
  <c r="H6" i="6213"/>
  <c r="H15" i="6213"/>
  <c r="H20" i="6213"/>
  <c r="B22" i="6213"/>
  <c r="C42" i="6213"/>
  <c r="H27" i="6213"/>
  <c r="H44" i="6213"/>
  <c r="C35" i="6213"/>
  <c r="H49" i="6213"/>
  <c r="H50" i="6213"/>
  <c r="H26" i="6213"/>
  <c r="H5" i="6213"/>
  <c r="H11" i="6213"/>
  <c r="C36" i="6213"/>
  <c r="H51" i="6213"/>
  <c r="H28" i="6213"/>
  <c r="H16" i="6213"/>
  <c r="H38" i="6213"/>
  <c r="H12" i="6213"/>
  <c r="H13" i="6213"/>
  <c r="H29" i="6213"/>
  <c r="H17" i="6213"/>
  <c r="C32" i="6213"/>
  <c r="C43" i="6213"/>
  <c r="C15" i="6213"/>
  <c r="H40" i="6213"/>
  <c r="H52" i="6213"/>
  <c r="H2" i="6213"/>
  <c r="H4" i="6213"/>
  <c r="H25" i="6213"/>
  <c r="H32" i="6213"/>
  <c r="H33" i="6213"/>
  <c r="C34" i="6213"/>
  <c r="C39" i="6213"/>
  <c r="C44" i="6213"/>
  <c r="H14" i="6213"/>
  <c r="C38" i="6213"/>
  <c r="H7" i="6213"/>
  <c r="C20" i="6213"/>
  <c r="H35" i="6213"/>
  <c r="H45" i="6213"/>
  <c r="H9" i="6213"/>
  <c r="C21" i="6213"/>
  <c r="H34" i="6213"/>
  <c r="H37" i="6213"/>
  <c r="H41" i="6213"/>
  <c r="H46" i="6213"/>
  <c r="H31" i="6213"/>
  <c r="H22" i="6213"/>
  <c r="H8" i="6213"/>
  <c r="C33" i="6213"/>
  <c r="C37" i="6213"/>
  <c r="C41" i="6213"/>
  <c r="H47" i="6213"/>
  <c r="C19" i="6213"/>
  <c r="B23" i="6213"/>
  <c r="H23" i="6213"/>
  <c r="H36" i="6213"/>
  <c r="H39" i="6213"/>
  <c r="H43" i="6213"/>
  <c r="H35" i="6211"/>
  <c r="H22" i="6211"/>
  <c r="C20" i="6211"/>
  <c r="H30" i="6211"/>
  <c r="C21" i="6211"/>
  <c r="H48" i="6211"/>
  <c r="H6" i="6211"/>
  <c r="C39" i="6211"/>
  <c r="H36" i="6211"/>
  <c r="H4" i="6211"/>
  <c r="H31" i="6211"/>
  <c r="H15" i="6211"/>
  <c r="H37" i="6211"/>
  <c r="H42" i="6211"/>
  <c r="H50" i="6211"/>
  <c r="H46" i="6211"/>
  <c r="H51" i="6211"/>
  <c r="H12" i="6211"/>
  <c r="B22" i="6211"/>
  <c r="H32" i="6211"/>
  <c r="H43" i="6211"/>
  <c r="H21" i="6211"/>
  <c r="B23" i="6211"/>
  <c r="H18" i="6211"/>
  <c r="H33" i="6211"/>
  <c r="H38" i="6211"/>
  <c r="H44" i="6211"/>
  <c r="H16" i="6211"/>
  <c r="H29" i="6211"/>
  <c r="C15" i="6211"/>
  <c r="H41" i="6211"/>
  <c r="C40" i="6211"/>
  <c r="C17" i="6211"/>
  <c r="H3" i="6211"/>
  <c r="H9" i="6211"/>
  <c r="C18" i="6211"/>
  <c r="H14" i="6211"/>
  <c r="C32" i="6211"/>
  <c r="H39" i="6211"/>
  <c r="C43" i="6211"/>
  <c r="H5" i="6211"/>
  <c r="H13" i="6211"/>
  <c r="C44" i="6211"/>
  <c r="H26" i="6211"/>
  <c r="H2" i="6211"/>
  <c r="C35" i="6211"/>
  <c r="H8" i="6211"/>
  <c r="H17" i="6211"/>
  <c r="C36" i="6211"/>
  <c r="H7" i="6211"/>
  <c r="H23" i="6211"/>
  <c r="C19" i="6211"/>
  <c r="H34" i="6211"/>
  <c r="H40" i="6211"/>
  <c r="H45" i="6211"/>
  <c r="H52" i="6211"/>
  <c r="H25" i="6211"/>
  <c r="H27" i="6211"/>
  <c r="H11" i="6211"/>
  <c r="C33" i="6211"/>
  <c r="C37" i="6211"/>
  <c r="C41" i="6211"/>
  <c r="H47" i="6211"/>
  <c r="H24" i="6211"/>
  <c r="H19" i="6211"/>
  <c r="H28" i="6211"/>
  <c r="H20" i="6211"/>
  <c r="C34" i="6211"/>
  <c r="C38" i="6211"/>
  <c r="C42" i="6211"/>
  <c r="O23" i="6209" l="1"/>
  <c r="O19" i="6209"/>
  <c r="C30" i="6209"/>
  <c r="B25" i="6209"/>
  <c r="C16" i="6209"/>
  <c r="B15" i="6209"/>
  <c r="H48" i="6209" s="1"/>
  <c r="B14" i="6209"/>
  <c r="B24" i="6209" s="1"/>
  <c r="B13" i="6209"/>
  <c r="C13" i="6209" s="1"/>
  <c r="O12" i="6209"/>
  <c r="C12" i="6209"/>
  <c r="O11" i="6209"/>
  <c r="C11" i="6209"/>
  <c r="O10" i="6209"/>
  <c r="C10" i="6209"/>
  <c r="C9" i="6209"/>
  <c r="C8" i="6209"/>
  <c r="O7" i="6209"/>
  <c r="C7" i="6209"/>
  <c r="O6" i="6209"/>
  <c r="B6" i="6209"/>
  <c r="O5" i="6209"/>
  <c r="B5" i="6209"/>
  <c r="O4" i="6209"/>
  <c r="O3" i="6209"/>
  <c r="O2" i="6209"/>
  <c r="O21" i="6207"/>
  <c r="O19" i="6207"/>
  <c r="C30" i="6207"/>
  <c r="B25" i="6207"/>
  <c r="C16" i="6207"/>
  <c r="B15" i="6207"/>
  <c r="H52" i="6207" s="1"/>
  <c r="B14" i="6207"/>
  <c r="B24" i="6207" s="1"/>
  <c r="B13" i="6207"/>
  <c r="C13" i="6207" s="1"/>
  <c r="O12" i="6207"/>
  <c r="C12" i="6207"/>
  <c r="O11" i="6207"/>
  <c r="C11" i="6207"/>
  <c r="O10" i="6207"/>
  <c r="C10" i="6207"/>
  <c r="C9" i="6207"/>
  <c r="C8" i="6207"/>
  <c r="O7" i="6207"/>
  <c r="C7" i="6207"/>
  <c r="O6" i="6207"/>
  <c r="B6" i="6207"/>
  <c r="O5" i="6207"/>
  <c r="B5" i="6207"/>
  <c r="O4" i="6207"/>
  <c r="O3" i="6207"/>
  <c r="O2" i="6207"/>
  <c r="O19" i="6203"/>
  <c r="O18" i="6205"/>
  <c r="O20" i="6205"/>
  <c r="C30" i="6205"/>
  <c r="B25" i="6205"/>
  <c r="C16" i="6205"/>
  <c r="B15" i="6205"/>
  <c r="H4" i="6205" s="1"/>
  <c r="B14" i="6205"/>
  <c r="B24" i="6205" s="1"/>
  <c r="B13" i="6205"/>
  <c r="C13" i="6205" s="1"/>
  <c r="O12" i="6205"/>
  <c r="C12" i="6205"/>
  <c r="O11" i="6205"/>
  <c r="C11" i="6205"/>
  <c r="O10" i="6205"/>
  <c r="C10" i="6205"/>
  <c r="C9" i="6205"/>
  <c r="C8" i="6205"/>
  <c r="O7" i="6205"/>
  <c r="C7" i="6205"/>
  <c r="O6" i="6205"/>
  <c r="B6" i="6205"/>
  <c r="O5" i="6205"/>
  <c r="B5" i="6205"/>
  <c r="O4" i="6205"/>
  <c r="O3" i="6205"/>
  <c r="O2" i="6205"/>
  <c r="O22" i="6203"/>
  <c r="O24" i="6203"/>
  <c r="C30" i="6203"/>
  <c r="B25" i="6203"/>
  <c r="C16" i="6203"/>
  <c r="B15" i="6203"/>
  <c r="H52" i="6203" s="1"/>
  <c r="B14" i="6203"/>
  <c r="B24" i="6203" s="1"/>
  <c r="B13" i="6203"/>
  <c r="C13" i="6203" s="1"/>
  <c r="O12" i="6203"/>
  <c r="C12" i="6203"/>
  <c r="O11" i="6203"/>
  <c r="C11" i="6203"/>
  <c r="O10" i="6203"/>
  <c r="C10" i="6203"/>
  <c r="C9" i="6203"/>
  <c r="C8" i="6203"/>
  <c r="O7" i="6203"/>
  <c r="C7" i="6203"/>
  <c r="O6" i="6203"/>
  <c r="B6" i="6203"/>
  <c r="O5" i="6203"/>
  <c r="B5" i="6203"/>
  <c r="O4" i="6203"/>
  <c r="O3" i="6203"/>
  <c r="O2" i="6203"/>
  <c r="C14" i="6209" l="1"/>
  <c r="C14" i="6207"/>
  <c r="H2" i="6205"/>
  <c r="H28" i="6209"/>
  <c r="H30" i="6209"/>
  <c r="H33" i="6209"/>
  <c r="H7" i="6209"/>
  <c r="H37" i="6209"/>
  <c r="H27" i="6205"/>
  <c r="H23" i="6209"/>
  <c r="C14" i="6205"/>
  <c r="H8" i="6205"/>
  <c r="C14" i="6203"/>
  <c r="H24" i="6209"/>
  <c r="H14" i="6209"/>
  <c r="C39" i="6209"/>
  <c r="C21" i="6209"/>
  <c r="H12" i="6209"/>
  <c r="H6" i="6209"/>
  <c r="H11" i="6209"/>
  <c r="B22" i="6209"/>
  <c r="H20" i="6209"/>
  <c r="H41" i="6209"/>
  <c r="H5" i="6209"/>
  <c r="H31" i="6209"/>
  <c r="H34" i="6209"/>
  <c r="C40" i="6209"/>
  <c r="H10" i="6209"/>
  <c r="C44" i="6209"/>
  <c r="H15" i="6209"/>
  <c r="H16" i="6209"/>
  <c r="H22" i="6209"/>
  <c r="H8" i="6209"/>
  <c r="H18" i="6209"/>
  <c r="H36" i="6209"/>
  <c r="H46" i="6209"/>
  <c r="C36" i="6209"/>
  <c r="H2" i="6209"/>
  <c r="H3" i="6209"/>
  <c r="C17" i="6209"/>
  <c r="C34" i="6209"/>
  <c r="C18" i="6209"/>
  <c r="H32" i="6209"/>
  <c r="C35" i="6209"/>
  <c r="H49" i="6209"/>
  <c r="H42" i="6209"/>
  <c r="H50" i="6209"/>
  <c r="C42" i="6209"/>
  <c r="H51" i="6209"/>
  <c r="H38" i="6209"/>
  <c r="H44" i="6209"/>
  <c r="H19" i="6209"/>
  <c r="H17" i="6209"/>
  <c r="H13" i="6209"/>
  <c r="C32" i="6209"/>
  <c r="C38" i="6209"/>
  <c r="C43" i="6209"/>
  <c r="H4" i="6209"/>
  <c r="H21" i="6209"/>
  <c r="C15" i="6209"/>
  <c r="C20" i="6209"/>
  <c r="H35" i="6209"/>
  <c r="H40" i="6209"/>
  <c r="H45" i="6209"/>
  <c r="H52" i="6209"/>
  <c r="H29" i="6209"/>
  <c r="H25" i="6209"/>
  <c r="H9" i="6209"/>
  <c r="C33" i="6209"/>
  <c r="C37" i="6209"/>
  <c r="C41" i="6209"/>
  <c r="H47" i="6209"/>
  <c r="C19" i="6209"/>
  <c r="B23" i="6209"/>
  <c r="H26" i="6209"/>
  <c r="H27" i="6209"/>
  <c r="H39" i="6209"/>
  <c r="H43" i="6209"/>
  <c r="H11" i="6203"/>
  <c r="H34" i="6207"/>
  <c r="H19" i="6207"/>
  <c r="H30" i="6207"/>
  <c r="H27" i="6207"/>
  <c r="H9" i="6207"/>
  <c r="C17" i="6207"/>
  <c r="H38" i="6207"/>
  <c r="H2" i="6207"/>
  <c r="H17" i="6207"/>
  <c r="H3" i="6207"/>
  <c r="H44" i="6207"/>
  <c r="H7" i="6207"/>
  <c r="H24" i="6207"/>
  <c r="C34" i="6207"/>
  <c r="H25" i="6207"/>
  <c r="C42" i="6207"/>
  <c r="H46" i="6207"/>
  <c r="C19" i="6207"/>
  <c r="H28" i="6207"/>
  <c r="C36" i="6207"/>
  <c r="C44" i="6207"/>
  <c r="H40" i="6207"/>
  <c r="H48" i="6207"/>
  <c r="C38" i="6207"/>
  <c r="H49" i="6207"/>
  <c r="H13" i="6207"/>
  <c r="C15" i="6207"/>
  <c r="C21" i="6207"/>
  <c r="H35" i="6207"/>
  <c r="H42" i="6207"/>
  <c r="H16" i="6207"/>
  <c r="H4" i="6207"/>
  <c r="C20" i="6207"/>
  <c r="H10" i="6207"/>
  <c r="H6" i="6207"/>
  <c r="H11" i="6207"/>
  <c r="H23" i="6207"/>
  <c r="H20" i="6207"/>
  <c r="H14" i="6207"/>
  <c r="C32" i="6207"/>
  <c r="C40" i="6207"/>
  <c r="H5" i="6207"/>
  <c r="H32" i="6207"/>
  <c r="H21" i="6207"/>
  <c r="H8" i="6207"/>
  <c r="C33" i="6207"/>
  <c r="C37" i="6207"/>
  <c r="C41" i="6207"/>
  <c r="H47" i="6207"/>
  <c r="B23" i="6207"/>
  <c r="H37" i="6207"/>
  <c r="H41" i="6207"/>
  <c r="H45" i="6207"/>
  <c r="H50" i="6207"/>
  <c r="H18" i="6207"/>
  <c r="H15" i="6207"/>
  <c r="H33" i="6207"/>
  <c r="H12" i="6207"/>
  <c r="H22" i="6207"/>
  <c r="C35" i="6207"/>
  <c r="C39" i="6207"/>
  <c r="C43" i="6207"/>
  <c r="H51" i="6207"/>
  <c r="H31" i="6207"/>
  <c r="C18" i="6207"/>
  <c r="B22" i="6207"/>
  <c r="H26" i="6207"/>
  <c r="H36" i="6207"/>
  <c r="H39" i="6207"/>
  <c r="H43" i="6207"/>
  <c r="H29" i="6207"/>
  <c r="H19" i="6205"/>
  <c r="H17" i="6205"/>
  <c r="H31" i="6205"/>
  <c r="H3" i="6205"/>
  <c r="H5" i="6205"/>
  <c r="H38" i="6205"/>
  <c r="C18" i="6205"/>
  <c r="C38" i="6205"/>
  <c r="H7" i="6205"/>
  <c r="C19" i="6205"/>
  <c r="H41" i="6205"/>
  <c r="H26" i="6205"/>
  <c r="H14" i="6205"/>
  <c r="H42" i="6205"/>
  <c r="B22" i="6205"/>
  <c r="H33" i="6205"/>
  <c r="C42" i="6205"/>
  <c r="B23" i="6205"/>
  <c r="H45" i="6205"/>
  <c r="H9" i="6205"/>
  <c r="H18" i="6205"/>
  <c r="C15" i="6205"/>
  <c r="H30" i="6205"/>
  <c r="C34" i="6205"/>
  <c r="H47" i="6205"/>
  <c r="H34" i="6205"/>
  <c r="H12" i="6205"/>
  <c r="H6" i="6205"/>
  <c r="H21" i="6205"/>
  <c r="H37" i="6205"/>
  <c r="H52" i="6205"/>
  <c r="H28" i="6205"/>
  <c r="H23" i="6205"/>
  <c r="H13" i="6205"/>
  <c r="C33" i="6205"/>
  <c r="C37" i="6205"/>
  <c r="C41" i="6205"/>
  <c r="H46" i="6205"/>
  <c r="H48" i="6205"/>
  <c r="C20" i="6205"/>
  <c r="H35" i="6205"/>
  <c r="H39" i="6205"/>
  <c r="H43" i="6205"/>
  <c r="H49" i="6205"/>
  <c r="H20" i="6205"/>
  <c r="H22" i="6205"/>
  <c r="H29" i="6205"/>
  <c r="H15" i="6205"/>
  <c r="H32" i="6205"/>
  <c r="C35" i="6205"/>
  <c r="C39" i="6205"/>
  <c r="C43" i="6205"/>
  <c r="H50" i="6205"/>
  <c r="C17" i="6205"/>
  <c r="C21" i="6205"/>
  <c r="H25" i="6205"/>
  <c r="H36" i="6205"/>
  <c r="H40" i="6205"/>
  <c r="H44" i="6205"/>
  <c r="H51" i="6205"/>
  <c r="H10" i="6205"/>
  <c r="H16" i="6205"/>
  <c r="H11" i="6205"/>
  <c r="H24" i="6205"/>
  <c r="C32" i="6205"/>
  <c r="C36" i="6205"/>
  <c r="C40" i="6205"/>
  <c r="C44" i="6205"/>
  <c r="H24" i="6203"/>
  <c r="H6" i="6203"/>
  <c r="C17" i="6203"/>
  <c r="H3" i="6203"/>
  <c r="C20" i="6203"/>
  <c r="C21" i="6203"/>
  <c r="H4" i="6203"/>
  <c r="C15" i="6203"/>
  <c r="H10" i="6203"/>
  <c r="H12" i="6203"/>
  <c r="H2" i="6203"/>
  <c r="H8" i="6203"/>
  <c r="H7" i="6203"/>
  <c r="H23" i="6203"/>
  <c r="H36" i="6203"/>
  <c r="H25" i="6203"/>
  <c r="H9" i="6203"/>
  <c r="C33" i="6203"/>
  <c r="C37" i="6203"/>
  <c r="C41" i="6203"/>
  <c r="H47" i="6203"/>
  <c r="C19" i="6203"/>
  <c r="B23" i="6203"/>
  <c r="H29" i="6203"/>
  <c r="H30" i="6203"/>
  <c r="H41" i="6203"/>
  <c r="H44" i="6203"/>
  <c r="H48" i="6203"/>
  <c r="H26" i="6203"/>
  <c r="H17" i="6203"/>
  <c r="H22" i="6203"/>
  <c r="H18" i="6203"/>
  <c r="C34" i="6203"/>
  <c r="C38" i="6203"/>
  <c r="C42" i="6203"/>
  <c r="H49" i="6203"/>
  <c r="H39" i="6203"/>
  <c r="H42" i="6203"/>
  <c r="H45" i="6203"/>
  <c r="H50" i="6203"/>
  <c r="H20" i="6203"/>
  <c r="H15" i="6203"/>
  <c r="H37" i="6203"/>
  <c r="H13" i="6203"/>
  <c r="H21" i="6203"/>
  <c r="C35" i="6203"/>
  <c r="C39" i="6203"/>
  <c r="C43" i="6203"/>
  <c r="H51" i="6203"/>
  <c r="H31" i="6203"/>
  <c r="H32" i="6203"/>
  <c r="H33" i="6203"/>
  <c r="H46" i="6203"/>
  <c r="H16" i="6203"/>
  <c r="H19" i="6203"/>
  <c r="H14" i="6203"/>
  <c r="H28" i="6203"/>
  <c r="C32" i="6203"/>
  <c r="C36" i="6203"/>
  <c r="C40" i="6203"/>
  <c r="C44" i="6203"/>
  <c r="H5" i="6203"/>
  <c r="H35" i="6203"/>
  <c r="C18" i="6203"/>
  <c r="B22" i="6203"/>
  <c r="H27" i="6203"/>
  <c r="H38" i="6203"/>
  <c r="H40" i="6203"/>
  <c r="H43" i="6203"/>
  <c r="H34" i="6203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<sst xmlns="http://schemas.openxmlformats.org/spreadsheetml/2006/main" count="3803" uniqueCount="290">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</sst>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全体!$K$2:$K$800</c:f>
              <c:numCache>
                <c:formatCode>General</c:formatCode>
                <c:ptCount val="7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</c:numCache>
            </c:numRef>
          </c:xVal>
          <c:yVal>
            <c:numRef>
              <c:f>全体!$L$2:$L$800</c:f>
              <c:numCache>
                <c:formatCode>\+0.0;\-0.0;\±0</c:formatCode>
                <c:ptCount val="799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AF-46FD-9A3F-1146CF253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-27.672955974842768</c:v>
                </c:pt>
                <c:pt idx="1">
                  <c:v>10.217113665389528</c:v>
                </c:pt>
                <c:pt idx="2">
                  <c:v>-6.7750677506775068</c:v>
                </c:pt>
                <c:pt idx="3">
                  <c:v>10.014306151645208</c:v>
                </c:pt>
                <c:pt idx="4">
                  <c:v>3.1007751937984498</c:v>
                </c:pt>
                <c:pt idx="5">
                  <c:v>16.483516483516482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DA-497F-849E-F563F1C3E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150</c:v>
                </c:pt>
                <c:pt idx="1">
                  <c:v>331</c:v>
                </c:pt>
                <c:pt idx="2">
                  <c:v>388</c:v>
                </c:pt>
                <c:pt idx="3">
                  <c:v>350</c:v>
                </c:pt>
                <c:pt idx="4">
                  <c:v>313</c:v>
                </c:pt>
                <c:pt idx="5">
                  <c:v>205</c:v>
                </c:pt>
                <c:pt idx="6">
                  <c:v>108</c:v>
                </c:pt>
                <c:pt idx="7">
                  <c:v>55</c:v>
                </c:pt>
                <c:pt idx="8">
                  <c:v>27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71-4D91-B3C5-69B0DDC07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たかの!$L$2:$L$73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FB-4DCC-BF68-6097E06699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1797.1830985915492</c:v>
                </c:pt>
                <c:pt idx="1">
                  <c:v>-1605.7142857142858</c:v>
                </c:pt>
                <c:pt idx="2">
                  <c:v>-1730.8823529411766</c:v>
                </c:pt>
                <c:pt idx="3">
                  <c:v>-882.8125</c:v>
                </c:pt>
                <c:pt idx="4">
                  <c:v>-480.95238095238096</c:v>
                </c:pt>
                <c:pt idx="5">
                  <c:v>-2350.909090909091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A1-469C-A3E0-2D280E348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23</c:v>
                </c:pt>
                <c:pt idx="1">
                  <c:v>37</c:v>
                </c:pt>
                <c:pt idx="2">
                  <c:v>36</c:v>
                </c:pt>
                <c:pt idx="3">
                  <c:v>25</c:v>
                </c:pt>
                <c:pt idx="4">
                  <c:v>19</c:v>
                </c:pt>
                <c:pt idx="5">
                  <c:v>14</c:v>
                </c:pt>
                <c:pt idx="6">
                  <c:v>10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79-42E5-90AF-8EFB4B3F6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だいち!$K$2:$K$157</c:f>
              <c:numCache>
                <c:formatCode>General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だいち!$L$2:$L$157</c:f>
              <c:numCache>
                <c:formatCode>\+0.0;\-0.0;\±0</c:formatCode>
                <c:ptCount val="156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B4-445A-9F2B-2BD10F067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1201.2987012987012</c:v>
                </c:pt>
                <c:pt idx="1">
                  <c:v>1026.4900662251655</c:v>
                </c:pt>
                <c:pt idx="2">
                  <c:v>773.10344827586209</c:v>
                </c:pt>
                <c:pt idx="3">
                  <c:v>150.37037037037038</c:v>
                </c:pt>
                <c:pt idx="4">
                  <c:v>2001.6</c:v>
                </c:pt>
                <c:pt idx="5">
                  <c:v>1746.0784313725489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D7-4E08-B0C3-E9FCB2D11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40</c:v>
                </c:pt>
                <c:pt idx="1">
                  <c:v>79</c:v>
                </c:pt>
                <c:pt idx="2">
                  <c:v>90</c:v>
                </c:pt>
                <c:pt idx="3">
                  <c:v>79</c:v>
                </c:pt>
                <c:pt idx="4">
                  <c:v>62</c:v>
                </c:pt>
                <c:pt idx="5">
                  <c:v>40</c:v>
                </c:pt>
                <c:pt idx="6">
                  <c:v>21</c:v>
                </c:pt>
                <c:pt idx="7">
                  <c:v>6</c:v>
                </c:pt>
                <c:pt idx="8">
                  <c:v>10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96-4737-9B87-12D68E9B0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ただ!$K$2:$K$140</c:f>
              <c:numCache>
                <c:formatCode>General</c:formatCode>
                <c:ptCount val="1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</c:numCache>
            </c:numRef>
          </c:xVal>
          <c:yVal>
            <c:numRef>
              <c:f>ただ!$L$2:$L$140</c:f>
              <c:numCache>
                <c:formatCode>\+0.0;\-0.0;\±0</c:formatCode>
                <c:ptCount val="13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06-4AFF-8F1D-7418CC48F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-1574.4525547445255</c:v>
                </c:pt>
                <c:pt idx="1">
                  <c:v>1482.962962962963</c:v>
                </c:pt>
                <c:pt idx="2">
                  <c:v>-216.93548387096774</c:v>
                </c:pt>
                <c:pt idx="3">
                  <c:v>323.72881355932202</c:v>
                </c:pt>
                <c:pt idx="4">
                  <c:v>-931.48148148148152</c:v>
                </c:pt>
                <c:pt idx="5">
                  <c:v>1419.5652173913043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53-41E6-ADC6-C0981328B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24</c:v>
                </c:pt>
                <c:pt idx="1">
                  <c:v>57</c:v>
                </c:pt>
                <c:pt idx="2">
                  <c:v>72</c:v>
                </c:pt>
                <c:pt idx="3">
                  <c:v>76</c:v>
                </c:pt>
                <c:pt idx="4">
                  <c:v>52</c:v>
                </c:pt>
                <c:pt idx="5">
                  <c:v>38</c:v>
                </c:pt>
                <c:pt idx="6">
                  <c:v>12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D-4EAC-A0B5-638561FBA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りくと!$L$2:$L$93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AD-4A55-8AAE-4A3301ECE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-144.44444444444446</c:v>
                </c:pt>
                <c:pt idx="1">
                  <c:v>-1234.4444444444443</c:v>
                </c:pt>
                <c:pt idx="2">
                  <c:v>597.61904761904759</c:v>
                </c:pt>
                <c:pt idx="3">
                  <c:v>-551.80722891566268</c:v>
                </c:pt>
                <c:pt idx="4">
                  <c:v>-2937.1794871794873</c:v>
                </c:pt>
                <c:pt idx="5">
                  <c:v>-1372.0588235294117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35-4447-8797-3C2D912EB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15</c:v>
                </c:pt>
                <c:pt idx="1">
                  <c:v>39</c:v>
                </c:pt>
                <c:pt idx="2">
                  <c:v>49</c:v>
                </c:pt>
                <c:pt idx="3">
                  <c:v>32</c:v>
                </c:pt>
                <c:pt idx="4">
                  <c:v>35</c:v>
                </c:pt>
                <c:pt idx="5">
                  <c:v>22</c:v>
                </c:pt>
                <c:pt idx="6">
                  <c:v>13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FB-43B4-9AFD-8541E539F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れんたろう!$K$2:$K$110</c:f>
              <c:numCache>
                <c:formatCode>General</c:formatCode>
                <c:ptCount val="1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</c:numCache>
            </c:numRef>
          </c:xVal>
          <c:yVal>
            <c:numRef>
              <c:f>れんたろう!$L$2:$L$110</c:f>
              <c:numCache>
                <c:formatCode>\+0.0;\-0.0;\±0</c:formatCode>
                <c:ptCount val="10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99-4A1B-B9AE-5506534CC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1200</c:v>
                </c:pt>
                <c:pt idx="1">
                  <c:v>-1207.5471698113208</c:v>
                </c:pt>
                <c:pt idx="2">
                  <c:v>-156.70103092783506</c:v>
                </c:pt>
                <c:pt idx="3">
                  <c:v>2504.3010752688174</c:v>
                </c:pt>
                <c:pt idx="4">
                  <c:v>864.28571428571433</c:v>
                </c:pt>
                <c:pt idx="5">
                  <c:v>472.05882352941177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A5-42ED-92C6-A34040CF3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31</c:v>
                </c:pt>
                <c:pt idx="3">
                  <c:v>48</c:v>
                </c:pt>
                <c:pt idx="4">
                  <c:v>57</c:v>
                </c:pt>
                <c:pt idx="5">
                  <c:v>28</c:v>
                </c:pt>
                <c:pt idx="6">
                  <c:v>21</c:v>
                </c:pt>
                <c:pt idx="7">
                  <c:v>16</c:v>
                </c:pt>
                <c:pt idx="8">
                  <c:v>6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6E-46BC-8F00-71C4FA84F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まっつん!$L$2:$L$125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54-463B-97BC-8AD857DBE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35.772357723577237</c:v>
                </c:pt>
                <c:pt idx="1">
                  <c:v>236.66666666666666</c:v>
                </c:pt>
                <c:pt idx="2">
                  <c:v>420.17543859649123</c:v>
                </c:pt>
                <c:pt idx="3">
                  <c:v>163.8095238095238</c:v>
                </c:pt>
                <c:pt idx="4">
                  <c:v>-112.76595744680851</c:v>
                </c:pt>
                <c:pt idx="5">
                  <c:v>-1169.5121951219512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63-493F-A4C6-2C366B882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18</c:v>
                </c:pt>
                <c:pt idx="1">
                  <c:v>50</c:v>
                </c:pt>
                <c:pt idx="2">
                  <c:v>60</c:v>
                </c:pt>
                <c:pt idx="3">
                  <c:v>52</c:v>
                </c:pt>
                <c:pt idx="4">
                  <c:v>40</c:v>
                </c:pt>
                <c:pt idx="5">
                  <c:v>32</c:v>
                </c:pt>
                <c:pt idx="6">
                  <c:v>14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E2-4F99-9BEB-7C79ABA81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のり!$L$2:$L$57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B5-43EB-9C1B-BAC38B7D9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-2096.3636363636365</c:v>
                </c:pt>
                <c:pt idx="1">
                  <c:v>-261.81818181818181</c:v>
                </c:pt>
                <c:pt idx="2">
                  <c:v>-1358.4905660377358</c:v>
                </c:pt>
                <c:pt idx="3">
                  <c:v>-2133.3333333333335</c:v>
                </c:pt>
                <c:pt idx="4">
                  <c:v>-1854.3478260869565</c:v>
                </c:pt>
                <c:pt idx="5">
                  <c:v>-1846.1538461538462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A6-4B49-9F80-D5EB66A85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10</c:v>
                </c:pt>
                <c:pt idx="1">
                  <c:v>24</c:v>
                </c:pt>
                <c:pt idx="2">
                  <c:v>25</c:v>
                </c:pt>
                <c:pt idx="3">
                  <c:v>16</c:v>
                </c:pt>
                <c:pt idx="4">
                  <c:v>17</c:v>
                </c:pt>
                <c:pt idx="5">
                  <c:v>8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0-48AE-8D5A-A54003C50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72-471A-9C5A-79B6686D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7E-475B-A9CC-3F35AC167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DA-42C8-914B-DEB604A4D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4F-4046-BDBD-C03B601A6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F-40A9-9051-36A6D7DDB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3D-476F-85D2-99B55E2E3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BC-4FA1-84BF-75F8101F7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A4-4AAD-A4C6-1DA683755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7-42B7-9A59-DF9D78F0B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ともき!$L$2:$L$12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E4-4AD9-83A3-8416BA9DE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-620</c:v>
                </c:pt>
                <c:pt idx="1">
                  <c:v>380</c:v>
                </c:pt>
                <c:pt idx="2">
                  <c:v>-750</c:v>
                </c:pt>
                <c:pt idx="3">
                  <c:v>1910</c:v>
                </c:pt>
                <c:pt idx="4">
                  <c:v>1222.2222222222222</c:v>
                </c:pt>
                <c:pt idx="5">
                  <c:v>4775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8-4D50-AADC-C5D12AA76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95-401B-B841-59A3C9966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5F-4733-84F6-2676C6A61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C9-441C-A0EA-7D71B7D25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E1-4EEA-90E1-FFC820745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2-4AD1-BCE5-D61B39D26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51-464B-A10B-C2DC5C8CF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05-4B2D-B8A0-E406ABDE9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ゆう2!$B$1:$B$2</c:f>
              <c:strCache>
                <c:ptCount val="2"/>
                <c:pt idx="0">
                  <c:v>ゆう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973799150320701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ゆう2!$C$1:$C$2</c:f>
              <c:strCache>
                <c:ptCount val="2"/>
                <c:pt idx="0">
                  <c:v>ゆう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ゆう2!$C$3:$C$8</c:f>
              <c:numCache>
                <c:formatCode>\+0.0;\-0.0;\±0</c:formatCode>
                <c:ptCount val="6"/>
                <c:pt idx="1">
                  <c:v>1.3</c:v>
                </c:pt>
                <c:pt idx="2">
                  <c:v>-4.5999999999999996</c:v>
                </c:pt>
                <c:pt idx="3">
                  <c:v>-22.133333333333336</c:v>
                </c:pt>
                <c:pt idx="4">
                  <c:v>-9.8500000000000014</c:v>
                </c:pt>
                <c:pt idx="5">
                  <c:v>-16.160000000000004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23283101543947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ゆう2!$D$1:$D$2</c:f>
              <c:strCache>
                <c:ptCount val="2"/>
                <c:pt idx="0">
                  <c:v>ゆう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ゆう2!$E$1:$E$2</c:f>
              <c:strCache>
                <c:ptCount val="2"/>
                <c:pt idx="0">
                  <c:v>ゆう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ゆう2!$F$1:$F$2</c:f>
              <c:strCache>
                <c:ptCount val="2"/>
                <c:pt idx="0">
                  <c:v>ゆう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ゆう2!$G$1:$G$2</c:f>
              <c:strCache>
                <c:ptCount val="2"/>
                <c:pt idx="0">
                  <c:v>ゆう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ゆう2!$G$3:$G$8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549266247379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ゆう2!$H$1:$H$2</c:f>
              <c:strCache>
                <c:ptCount val="2"/>
                <c:pt idx="0">
                  <c:v>ゆう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473794549266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ゆう2!$I$1:$I$2</c:f>
              <c:strCache>
                <c:ptCount val="2"/>
                <c:pt idx="0">
                  <c:v>ゆう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ゆう2!$I$3:$I$8</c:f>
              <c:numCache>
                <c:formatCode>0</c:formatCode>
                <c:ptCount val="6"/>
                <c:pt idx="1">
                  <c:v>10000</c:v>
                </c:pt>
                <c:pt idx="2">
                  <c:v>10666.666666666666</c:v>
                </c:pt>
                <c:pt idx="3">
                  <c:v>10666.666666666666</c:v>
                </c:pt>
                <c:pt idx="4">
                  <c:v>10400</c:v>
                </c:pt>
                <c:pt idx="5">
                  <c:v>8512.5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74.63141840366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ゆう2!$J$1:$J$2</c:f>
              <c:strCache>
                <c:ptCount val="2"/>
                <c:pt idx="0">
                  <c:v>ゆう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ゆう2!$J$3:$J$8</c:f>
              <c:numCache>
                <c:formatCode>0</c:formatCode>
                <c:ptCount val="6"/>
                <c:pt idx="1">
                  <c:v>-7700</c:v>
                </c:pt>
                <c:pt idx="2">
                  <c:v>-3050</c:v>
                </c:pt>
                <c:pt idx="3">
                  <c:v>-7316.666666666667</c:v>
                </c:pt>
                <c:pt idx="4">
                  <c:v>-7316.666666666667</c:v>
                </c:pt>
                <c:pt idx="5">
                  <c:v>-7987.5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79.26267281105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ゆう2!$K$1:$K$2</c:f>
              <c:strCache>
                <c:ptCount val="2"/>
                <c:pt idx="0">
                  <c:v>ゆう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98496240601503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ゆう2!$L$1:$L$2</c:f>
              <c:strCache>
                <c:ptCount val="2"/>
                <c:pt idx="0">
                  <c:v>ゆう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ゆう2!$L$3:$L$8</c:f>
              <c:numCache>
                <c:formatCode>0.0%</c:formatCode>
                <c:ptCount val="6"/>
                <c:pt idx="1">
                  <c:v>0.5714285714285714</c:v>
                </c:pt>
                <c:pt idx="2">
                  <c:v>0.3888888888888889</c:v>
                </c:pt>
                <c:pt idx="3">
                  <c:v>0.33333333333333331</c:v>
                </c:pt>
                <c:pt idx="4">
                  <c:v>0.4</c:v>
                </c:pt>
                <c:pt idx="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7861635220125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ゆう2!$M$1:$M$2</c:f>
              <c:strCache>
                <c:ptCount val="2"/>
                <c:pt idx="0">
                  <c:v>ゆう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ゆう2!$M$3:$M$8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0.13333333333333333</c:v>
                </c:pt>
                <c:pt idx="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7313566936208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ゆう2!$N$1:$N$2</c:f>
              <c:strCache>
                <c:ptCount val="2"/>
                <c:pt idx="0">
                  <c:v>ゆう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ゆう2!$N$3:$N$8</c:f>
              <c:numCache>
                <c:formatCode>0.0%</c:formatCode>
                <c:ptCount val="6"/>
                <c:pt idx="1">
                  <c:v>0.25</c:v>
                </c:pt>
                <c:pt idx="2">
                  <c:v>0.2857142857142857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4587688734030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ゆう2!$O$1:$O$2</c:f>
              <c:strCache>
                <c:ptCount val="2"/>
                <c:pt idx="0">
                  <c:v>ゆう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9631093544137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ゆう2!$P$1:$P$2</c:f>
              <c:strCache>
                <c:ptCount val="2"/>
                <c:pt idx="0">
                  <c:v>ゆう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ゆう2!$P$3:$P$8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0.4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2806304016268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B9DD1BA-4FB2-4E8C-B6D6-710AF58626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E7B62B9-7D53-4677-983C-E0BD44BAEE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0E8E295-1E93-4275-88BA-7AB8F4A1E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E4D8FFA-45DB-4EA5-AA4D-3AD9E2C0D1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0E8E7D7-D60E-4621-8723-CC724A430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4E95114-8BD1-4230-85C8-631D33F8B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1DA84B-2EA4-43FD-9912-A021E23B5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C35B407-1571-4175-9137-D89F422DD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62132CE-EE6E-48BF-B38D-5CE45D9BB4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D7BE2A1-4286-4EC4-96EC-D36A3920F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4E51E9E-B36C-4C64-B2E2-916AA37073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DC9F759-5301-46CF-B723-87A3642EF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8E721B-6746-4CB8-9450-92D7A422C6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612CA93-165F-4B64-8261-AD676CB59F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445301D-CA04-47CE-9E28-04D07BE995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6115E24-3D3A-4372-BDCD-A3D7C65CD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923ADB5-0BEE-4653-B165-C58A295113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DEB4E40-DFF7-4995-B8F8-43579CB998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5AA61A-FAEE-476E-94C3-011B2021AB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D53A65D-D8DB-48CE-8560-25317A4D5C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1C2F944-2EE7-4B7C-98AF-43EBFF0FB4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084B773-8D26-434E-83FD-C834496D92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42CB51D-AE39-4FCE-9092-EEB959D26F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BF54F35-ED50-4C08-88C1-5F1F9E335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6797505-D452-4AB3-BD18-CF257D596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6AD2915-673D-41BA-8EEB-711D245140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0C2CDF3-B4D8-4AA0-997C-61F93DD3D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B519D73-4E46-4302-B1B1-C7CDB36EE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BF4F2D1-71F1-4547-955B-C76EA3490E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DD15F09-872A-492A-B0FC-F92A6767AC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C3A807E-29F2-4A57-9122-93E33DF791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E5001DC-7268-4BC3-9DE1-0D7C3047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1EB7C75-1CAD-4E36-B1B5-76C01A367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F640B71-436A-4E06-8E5F-01D3E3BF00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8495091-0BDB-43DB-A910-5D2F7F1242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8F857C2-5C88-4E41-AD5D-4937B0A41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1CA282D-FB7C-47D2-8A8E-8A49B6531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3EE4025-148F-41BE-8DC5-1389A9F5CA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B391E80-ACCB-448E-98C4-3C28BB599B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56AB537-A9CB-4E7F-AD68-263FD4A286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0092CC2-70B9-4D98-97E9-EF0F1E50F7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78762FB-3A5B-49B5-B015-9F77CB22E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83"/>
  <sheetViews>
    <sheetView workbookViewId="0"/>
  </sheetViews>
  <sheetFormatPr defaultColWidth="9" defaultRowHeight="18.75" x14ac:dyDescent="0.4"/>
  <cols>
    <col min="1" max="1" width="19.125" style="28" customWidth="1"/>
    <col min="2" max="2" width="19.1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218</v>
      </c>
      <c r="B2" s="29">
        <v>43735.624351851853</v>
      </c>
      <c r="C2" s="28" t="s">
        <v>128</v>
      </c>
      <c r="D2" s="28" t="s">
        <v>129</v>
      </c>
    </row>
    <row r="3" spans="1:12" x14ac:dyDescent="0.4">
      <c r="A3" s="28" t="s">
        <v>219</v>
      </c>
      <c r="B3" s="29">
        <v>43735.624351851853</v>
      </c>
      <c r="C3" s="28" t="s">
        <v>128</v>
      </c>
    </row>
    <row r="4" spans="1:12" x14ac:dyDescent="0.4">
      <c r="A4" s="28" t="s">
        <v>220</v>
      </c>
      <c r="B4" s="29">
        <v>43735.624351851853</v>
      </c>
      <c r="C4" s="28" t="s">
        <v>128</v>
      </c>
    </row>
    <row r="5" spans="1:12" x14ac:dyDescent="0.4">
      <c r="A5" s="28" t="s">
        <v>221</v>
      </c>
      <c r="B5" s="29">
        <v>43736.046932870369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">
      <c r="A6" s="28" t="s">
        <v>222</v>
      </c>
      <c r="B6" s="29">
        <v>43737.059895833336</v>
      </c>
      <c r="C6" s="28" t="s">
        <v>128</v>
      </c>
      <c r="D6" s="28" t="s">
        <v>129</v>
      </c>
      <c r="E6" s="28" t="s">
        <v>173</v>
      </c>
    </row>
    <row r="7" spans="1:12" x14ac:dyDescent="0.4">
      <c r="A7" s="28" t="s">
        <v>223</v>
      </c>
      <c r="B7" s="29">
        <v>43739.000706018516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">
      <c r="A8" s="28" t="s">
        <v>227</v>
      </c>
      <c r="B8" s="29">
        <v>43741.94121527778</v>
      </c>
      <c r="C8" s="28" t="s">
        <v>128</v>
      </c>
    </row>
    <row r="9" spans="1:12" x14ac:dyDescent="0.4">
      <c r="A9" s="28" t="s">
        <v>229</v>
      </c>
      <c r="B9" s="29">
        <v>43739.660624999997</v>
      </c>
      <c r="C9" s="28" t="s">
        <v>129</v>
      </c>
      <c r="D9" s="28" t="s">
        <v>173</v>
      </c>
      <c r="E9" s="28" t="s">
        <v>128</v>
      </c>
    </row>
    <row r="10" spans="1:12" x14ac:dyDescent="0.4">
      <c r="A10" s="28" t="s">
        <v>230</v>
      </c>
      <c r="B10" s="29">
        <v>43740.021921296298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">
      <c r="A11" s="28" t="s">
        <v>231</v>
      </c>
      <c r="B11" s="29">
        <v>43741.94121527778</v>
      </c>
      <c r="C11" s="28" t="s">
        <v>128</v>
      </c>
    </row>
    <row r="12" spans="1:12" x14ac:dyDescent="0.4">
      <c r="A12" s="28" t="s">
        <v>232</v>
      </c>
      <c r="B12" s="29">
        <v>43744.941354166665</v>
      </c>
      <c r="C12" s="28" t="s">
        <v>128</v>
      </c>
      <c r="D12" s="28" t="s">
        <v>129</v>
      </c>
      <c r="E12" s="28" t="s">
        <v>173</v>
      </c>
    </row>
    <row r="13" spans="1:12" x14ac:dyDescent="0.4">
      <c r="A13" s="28" t="s">
        <v>233</v>
      </c>
      <c r="B13" s="29">
        <v>43744.941354166665</v>
      </c>
      <c r="C13" s="28" t="s">
        <v>128</v>
      </c>
      <c r="D13" s="28" t="s">
        <v>129</v>
      </c>
    </row>
    <row r="14" spans="1:12" x14ac:dyDescent="0.4">
      <c r="A14" s="28" t="s">
        <v>234</v>
      </c>
      <c r="B14" s="29">
        <v>43743.104375000003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">
      <c r="A15" s="28" t="s">
        <v>235</v>
      </c>
      <c r="B15" s="29">
        <v>43744.941354166665</v>
      </c>
      <c r="C15" s="28" t="s">
        <v>128</v>
      </c>
      <c r="D15" s="28" t="s">
        <v>129</v>
      </c>
    </row>
    <row r="16" spans="1:12" x14ac:dyDescent="0.4">
      <c r="A16" s="28" t="s">
        <v>236</v>
      </c>
      <c r="B16" s="29">
        <v>43743.786203703705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">
      <c r="A17" s="28" t="s">
        <v>237</v>
      </c>
      <c r="B17" s="29">
        <v>43745.016377314816</v>
      </c>
      <c r="C17" s="28" t="s">
        <v>128</v>
      </c>
      <c r="D17" s="28" t="s">
        <v>129</v>
      </c>
    </row>
    <row r="18" spans="1:12" x14ac:dyDescent="0.4">
      <c r="A18" s="28" t="s">
        <v>238</v>
      </c>
      <c r="B18" s="29">
        <v>43745.531828703701</v>
      </c>
      <c r="C18" s="28" t="s">
        <v>128</v>
      </c>
    </row>
    <row r="19" spans="1:12" x14ac:dyDescent="0.4">
      <c r="A19" s="28" t="s">
        <v>239</v>
      </c>
      <c r="B19" s="29">
        <v>43748.019456018519</v>
      </c>
      <c r="C19" s="28" t="s">
        <v>128</v>
      </c>
    </row>
    <row r="20" spans="1:12" x14ac:dyDescent="0.4">
      <c r="A20" s="28" t="s">
        <v>240</v>
      </c>
      <c r="B20" s="29">
        <v>43747.02511574074</v>
      </c>
      <c r="C20" s="28" t="s">
        <v>128</v>
      </c>
      <c r="D20" s="28" t="s">
        <v>129</v>
      </c>
    </row>
    <row r="21" spans="1:12" x14ac:dyDescent="0.4">
      <c r="A21" s="28" t="s">
        <v>241</v>
      </c>
      <c r="B21" s="29">
        <v>43747.024814814817</v>
      </c>
      <c r="C21" s="28" t="s">
        <v>128</v>
      </c>
    </row>
    <row r="22" spans="1:12" x14ac:dyDescent="0.4">
      <c r="A22" s="28" t="s">
        <v>242</v>
      </c>
      <c r="B22" s="29">
        <v>43748.018101851849</v>
      </c>
      <c r="C22" s="28" t="s">
        <v>128</v>
      </c>
      <c r="D22" s="28" t="s">
        <v>129</v>
      </c>
      <c r="E22" s="28" t="s">
        <v>173</v>
      </c>
    </row>
    <row r="23" spans="1:12" x14ac:dyDescent="0.4">
      <c r="A23" s="28" t="s">
        <v>243</v>
      </c>
      <c r="B23" s="29">
        <v>43812.011736111112</v>
      </c>
      <c r="C23" s="28" t="s">
        <v>128</v>
      </c>
    </row>
    <row r="24" spans="1:12" x14ac:dyDescent="0.4">
      <c r="A24" s="28" t="s">
        <v>244</v>
      </c>
      <c r="B24" s="29">
        <v>43750.503020833334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">
      <c r="A25" s="28" t="s">
        <v>245</v>
      </c>
      <c r="B25" s="29">
        <v>43753.56559027778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">
      <c r="A26" s="28" t="s">
        <v>246</v>
      </c>
      <c r="B26" s="29">
        <v>43753.56559027778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">
      <c r="A27" s="28" t="s">
        <v>247</v>
      </c>
      <c r="B27" s="29">
        <v>43753.56559027778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">
      <c r="A28" s="28" t="s">
        <v>248</v>
      </c>
      <c r="B28" s="29">
        <v>43812.011736111112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">
      <c r="A29" s="28" t="s">
        <v>200</v>
      </c>
      <c r="B29" s="29">
        <v>43762.714826388888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">
      <c r="A30" s="28" t="s">
        <v>201</v>
      </c>
      <c r="B30" s="29">
        <v>43762.714826388888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">
      <c r="A31" s="28" t="s">
        <v>202</v>
      </c>
      <c r="B31" s="29">
        <v>43762.714826388888</v>
      </c>
      <c r="C31" s="28" t="s">
        <v>128</v>
      </c>
      <c r="D31" s="28" t="s">
        <v>129</v>
      </c>
      <c r="E31" s="28" t="s">
        <v>173</v>
      </c>
    </row>
    <row r="32" spans="1:12" x14ac:dyDescent="0.4">
      <c r="A32" s="28" t="s">
        <v>204</v>
      </c>
      <c r="B32" s="29">
        <v>43762.714826388888</v>
      </c>
      <c r="C32" s="28" t="s">
        <v>128</v>
      </c>
      <c r="D32" s="28" t="s">
        <v>129</v>
      </c>
      <c r="E32" s="28" t="s">
        <v>173</v>
      </c>
    </row>
    <row r="33" spans="1:9" x14ac:dyDescent="0.4">
      <c r="A33" s="28" t="s">
        <v>205</v>
      </c>
      <c r="B33" s="29">
        <v>43762.714826388888</v>
      </c>
      <c r="C33" s="28" t="s">
        <v>128</v>
      </c>
      <c r="D33" s="28" t="s">
        <v>129</v>
      </c>
      <c r="E33" s="28" t="s">
        <v>173</v>
      </c>
    </row>
    <row r="34" spans="1:9" x14ac:dyDescent="0.4">
      <c r="A34" s="28" t="s">
        <v>206</v>
      </c>
      <c r="B34" s="29">
        <v>43762.714826388888</v>
      </c>
      <c r="C34" s="28" t="s">
        <v>128</v>
      </c>
      <c r="D34" s="28" t="s">
        <v>129</v>
      </c>
      <c r="E34" s="28" t="s">
        <v>173</v>
      </c>
    </row>
    <row r="35" spans="1:9" x14ac:dyDescent="0.4">
      <c r="A35" s="28" t="s">
        <v>207</v>
      </c>
      <c r="B35" s="29">
        <v>43762.714826388888</v>
      </c>
      <c r="C35" s="28" t="s">
        <v>128</v>
      </c>
      <c r="D35" s="28" t="s">
        <v>129</v>
      </c>
      <c r="E35" s="28" t="s">
        <v>173</v>
      </c>
    </row>
    <row r="36" spans="1:9" x14ac:dyDescent="0.4">
      <c r="A36" s="28" t="s">
        <v>208</v>
      </c>
      <c r="B36" s="29">
        <v>43763.368263888886</v>
      </c>
      <c r="C36" s="28" t="s">
        <v>128</v>
      </c>
      <c r="D36" s="28" t="s">
        <v>129</v>
      </c>
    </row>
    <row r="37" spans="1:9" x14ac:dyDescent="0.4">
      <c r="A37" s="28" t="s">
        <v>209</v>
      </c>
      <c r="B37" s="29">
        <v>43763.368263888886</v>
      </c>
      <c r="C37" s="28" t="s">
        <v>128</v>
      </c>
      <c r="D37" s="28" t="s">
        <v>129</v>
      </c>
      <c r="E37" s="28" t="s">
        <v>173</v>
      </c>
    </row>
    <row r="38" spans="1:9" x14ac:dyDescent="0.4">
      <c r="A38" s="28" t="s">
        <v>210</v>
      </c>
      <c r="B38" s="29">
        <v>43764.955659722225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">
      <c r="A39" s="28" t="s">
        <v>211</v>
      </c>
      <c r="B39" s="29">
        <v>43765.064502314817</v>
      </c>
      <c r="C39" s="28" t="s">
        <v>128</v>
      </c>
      <c r="D39" s="28" t="s">
        <v>129</v>
      </c>
      <c r="E39" s="28" t="s">
        <v>173</v>
      </c>
    </row>
    <row r="40" spans="1:9" x14ac:dyDescent="0.4">
      <c r="A40" s="28" t="s">
        <v>212</v>
      </c>
      <c r="B40" s="29">
        <v>43767.744305555556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">
      <c r="A41" s="28" t="s">
        <v>213</v>
      </c>
      <c r="B41" s="29">
        <v>43767.744305555556</v>
      </c>
      <c r="C41" s="28" t="s">
        <v>128</v>
      </c>
    </row>
    <row r="42" spans="1:9" x14ac:dyDescent="0.4">
      <c r="A42" s="28" t="s">
        <v>214</v>
      </c>
      <c r="B42" s="29">
        <v>43767.744305555556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">
      <c r="A43" s="28" t="s">
        <v>215</v>
      </c>
      <c r="B43" s="29">
        <v>43768.428414351853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">
      <c r="A44" s="28" t="s">
        <v>216</v>
      </c>
      <c r="B44" s="29">
        <v>43769.787280092591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">
      <c r="A45" s="28" t="s">
        <v>217</v>
      </c>
      <c r="B45" s="29">
        <v>43774.96366898148</v>
      </c>
      <c r="C45" s="28" t="s">
        <v>128</v>
      </c>
      <c r="D45" s="28" t="s">
        <v>129</v>
      </c>
    </row>
    <row r="46" spans="1:9" x14ac:dyDescent="0.4">
      <c r="A46" s="28" t="s">
        <v>249</v>
      </c>
      <c r="B46" s="29">
        <v>43774.96366898148</v>
      </c>
      <c r="C46" s="28" t="s">
        <v>128</v>
      </c>
      <c r="D46" s="28" t="s">
        <v>129</v>
      </c>
    </row>
    <row r="47" spans="1:9" x14ac:dyDescent="0.4">
      <c r="A47" s="28" t="s">
        <v>250</v>
      </c>
      <c r="B47" s="29">
        <v>43774.96366898148</v>
      </c>
      <c r="C47" s="28" t="s">
        <v>128</v>
      </c>
    </row>
    <row r="48" spans="1:9" x14ac:dyDescent="0.4">
      <c r="A48" s="28" t="s">
        <v>251</v>
      </c>
      <c r="B48" s="29">
        <v>43774.96366898148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">
      <c r="A49" s="28" t="s">
        <v>252</v>
      </c>
      <c r="B49" s="29">
        <v>43774.96366898148</v>
      </c>
      <c r="C49" s="28" t="s">
        <v>128</v>
      </c>
      <c r="D49" s="28" t="s">
        <v>129</v>
      </c>
    </row>
    <row r="50" spans="1:9" x14ac:dyDescent="0.4">
      <c r="A50" s="28" t="s">
        <v>253</v>
      </c>
      <c r="B50" s="29">
        <v>43774.96366898148</v>
      </c>
      <c r="C50" s="28" t="s">
        <v>128</v>
      </c>
    </row>
    <row r="51" spans="1:9" x14ac:dyDescent="0.4">
      <c r="A51" s="28" t="s">
        <v>254</v>
      </c>
      <c r="B51" s="29">
        <v>43775.020810185182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">
      <c r="A52" s="28" t="s">
        <v>255</v>
      </c>
      <c r="B52" s="29">
        <v>43788.617604166669</v>
      </c>
      <c r="C52" s="28" t="s">
        <v>128</v>
      </c>
      <c r="D52" s="28" t="s">
        <v>129</v>
      </c>
    </row>
    <row r="53" spans="1:9" x14ac:dyDescent="0.4">
      <c r="A53" s="28" t="s">
        <v>256</v>
      </c>
      <c r="B53" s="29">
        <v>43788.617604166669</v>
      </c>
      <c r="C53" s="28" t="s">
        <v>128</v>
      </c>
    </row>
    <row r="54" spans="1:9" x14ac:dyDescent="0.4">
      <c r="A54" s="28" t="s">
        <v>257</v>
      </c>
      <c r="B54" s="29">
        <v>43788.617604166669</v>
      </c>
      <c r="C54" s="28" t="s">
        <v>128</v>
      </c>
      <c r="D54" s="28" t="s">
        <v>129</v>
      </c>
    </row>
    <row r="55" spans="1:9" x14ac:dyDescent="0.4">
      <c r="A55" s="28" t="s">
        <v>258</v>
      </c>
      <c r="B55" s="29">
        <v>43788.617604166669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">
      <c r="A56" s="28" t="s">
        <v>259</v>
      </c>
      <c r="B56" s="29">
        <v>43788.617604166669</v>
      </c>
      <c r="C56" s="28" t="s">
        <v>128</v>
      </c>
    </row>
    <row r="57" spans="1:9" x14ac:dyDescent="0.4">
      <c r="A57" s="28" t="s">
        <v>260</v>
      </c>
      <c r="B57" s="29">
        <v>43788.617604166669</v>
      </c>
      <c r="C57" s="28" t="s">
        <v>128</v>
      </c>
    </row>
    <row r="58" spans="1:9" x14ac:dyDescent="0.4">
      <c r="A58" s="28" t="s">
        <v>261</v>
      </c>
      <c r="B58" s="29">
        <v>43788.617604166669</v>
      </c>
      <c r="C58" s="28" t="s">
        <v>128</v>
      </c>
      <c r="D58" s="28" t="s">
        <v>129</v>
      </c>
    </row>
    <row r="59" spans="1:9" x14ac:dyDescent="0.4">
      <c r="A59" s="28" t="s">
        <v>262</v>
      </c>
      <c r="B59" s="29">
        <v>43788.617604166669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">
      <c r="A60" s="28" t="s">
        <v>263</v>
      </c>
      <c r="B60" s="29">
        <v>43788.617604166669</v>
      </c>
      <c r="C60" s="28" t="s">
        <v>128</v>
      </c>
    </row>
    <row r="61" spans="1:9" x14ac:dyDescent="0.4">
      <c r="A61" s="28" t="s">
        <v>264</v>
      </c>
      <c r="B61" s="29">
        <v>43812.011736111112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">
      <c r="A62" s="28" t="s">
        <v>265</v>
      </c>
      <c r="B62" s="29">
        <v>43812.011736111112</v>
      </c>
      <c r="C62" s="28" t="s">
        <v>128</v>
      </c>
    </row>
    <row r="63" spans="1:9" x14ac:dyDescent="0.4">
      <c r="A63" s="28" t="s">
        <v>266</v>
      </c>
      <c r="B63" s="29">
        <v>43812.011736111112</v>
      </c>
      <c r="C63" s="28" t="s">
        <v>128</v>
      </c>
    </row>
    <row r="64" spans="1:9" x14ac:dyDescent="0.4">
      <c r="A64" s="28" t="s">
        <v>267</v>
      </c>
      <c r="B64" s="29">
        <v>43812.011736111112</v>
      </c>
      <c r="C64" s="28" t="s">
        <v>128</v>
      </c>
      <c r="D64" s="28" t="s">
        <v>129</v>
      </c>
    </row>
    <row r="65" spans="1:12" x14ac:dyDescent="0.4">
      <c r="A65" s="28" t="s">
        <v>268</v>
      </c>
      <c r="B65" s="29">
        <v>43812.011747685188</v>
      </c>
      <c r="C65" s="28" t="s">
        <v>128</v>
      </c>
      <c r="D65" s="28" t="s">
        <v>129</v>
      </c>
      <c r="E65" s="28" t="s">
        <v>173</v>
      </c>
    </row>
    <row r="66" spans="1:12" x14ac:dyDescent="0.4">
      <c r="A66" s="28" t="s">
        <v>269</v>
      </c>
      <c r="B66" s="29">
        <v>43812.011747685188</v>
      </c>
      <c r="C66" s="28" t="s">
        <v>128</v>
      </c>
    </row>
    <row r="67" spans="1:12" x14ac:dyDescent="0.4">
      <c r="A67" s="28" t="s">
        <v>270</v>
      </c>
      <c r="B67" s="29">
        <v>43812.011747685188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">
      <c r="A68" s="28" t="s">
        <v>271</v>
      </c>
      <c r="B68" s="29">
        <v>43812.011747685188</v>
      </c>
      <c r="C68" s="28" t="s">
        <v>128</v>
      </c>
      <c r="D68" s="28" t="s">
        <v>129</v>
      </c>
      <c r="E68" s="28" t="s">
        <v>173</v>
      </c>
    </row>
    <row r="69" spans="1:12" x14ac:dyDescent="0.4">
      <c r="A69" s="28" t="s">
        <v>272</v>
      </c>
      <c r="B69" s="29">
        <v>43812.011747685188</v>
      </c>
      <c r="C69" s="28" t="s">
        <v>128</v>
      </c>
      <c r="D69" s="28" t="s">
        <v>129</v>
      </c>
      <c r="E69" s="28" t="s">
        <v>173</v>
      </c>
    </row>
    <row r="70" spans="1:12" x14ac:dyDescent="0.4">
      <c r="A70" s="28" t="s">
        <v>273</v>
      </c>
      <c r="B70" s="29">
        <v>43812.011747685188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">
      <c r="A71" s="28" t="s">
        <v>275</v>
      </c>
      <c r="B71" s="29">
        <v>43812.011747685188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">
      <c r="A72" s="28" t="s">
        <v>276</v>
      </c>
      <c r="B72" s="29">
        <v>43812.011747685188</v>
      </c>
      <c r="C72" s="28" t="s">
        <v>128</v>
      </c>
      <c r="D72" s="28" t="s">
        <v>129</v>
      </c>
    </row>
    <row r="73" spans="1:12" x14ac:dyDescent="0.4">
      <c r="A73" s="28" t="s">
        <v>277</v>
      </c>
      <c r="B73" s="29">
        <v>43812.011747685188</v>
      </c>
      <c r="C73" s="28" t="s">
        <v>128</v>
      </c>
    </row>
    <row r="74" spans="1:12" x14ac:dyDescent="0.4">
      <c r="A74" s="28" t="s">
        <v>278</v>
      </c>
      <c r="B74" s="29">
        <v>43812.011747685188</v>
      </c>
      <c r="C74" s="28" t="s">
        <v>128</v>
      </c>
    </row>
    <row r="75" spans="1:12" x14ac:dyDescent="0.4">
      <c r="A75" s="28" t="s">
        <v>279</v>
      </c>
      <c r="B75" s="29">
        <v>43812.011747685188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">
      <c r="A76" s="28" t="s">
        <v>282</v>
      </c>
      <c r="B76" s="29">
        <v>43812.011747685188</v>
      </c>
      <c r="C76" s="28" t="s">
        <v>128</v>
      </c>
    </row>
    <row r="77" spans="1:12" x14ac:dyDescent="0.4">
      <c r="A77" s="28" t="s">
        <v>283</v>
      </c>
      <c r="B77" s="29">
        <v>43812.011747685188</v>
      </c>
      <c r="C77" s="28" t="s">
        <v>128</v>
      </c>
      <c r="D77" s="28" t="s">
        <v>129</v>
      </c>
    </row>
    <row r="78" spans="1:12" x14ac:dyDescent="0.4">
      <c r="A78" s="28" t="s">
        <v>285</v>
      </c>
      <c r="B78" s="29">
        <v>43812.011747685188</v>
      </c>
      <c r="C78" s="28" t="s">
        <v>128</v>
      </c>
      <c r="D78" s="28" t="s">
        <v>129</v>
      </c>
      <c r="E78" s="28" t="s">
        <v>173</v>
      </c>
    </row>
    <row r="79" spans="1:12" x14ac:dyDescent="0.4">
      <c r="A79" s="28" t="s">
        <v>284</v>
      </c>
      <c r="B79" s="29">
        <v>43812.011747685188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">
      <c r="A80" s="28" t="s">
        <v>286</v>
      </c>
      <c r="B80" s="29">
        <v>43812.940081018518</v>
      </c>
      <c r="C80" s="28" t="s">
        <v>128</v>
      </c>
    </row>
    <row r="81" spans="1:5" x14ac:dyDescent="0.4">
      <c r="A81" s="28" t="s">
        <v>287</v>
      </c>
      <c r="B81" s="29">
        <v>43813.051678240743</v>
      </c>
      <c r="C81" s="28" t="s">
        <v>128</v>
      </c>
      <c r="D81" s="28" t="s">
        <v>129</v>
      </c>
      <c r="E81" s="28" t="s">
        <v>173</v>
      </c>
    </row>
    <row r="82" spans="1:5" x14ac:dyDescent="0.4">
      <c r="A82" s="28" t="s">
        <v>288</v>
      </c>
      <c r="B82" s="29">
        <v>43815.960185185184</v>
      </c>
      <c r="C82" s="28" t="s">
        <v>128</v>
      </c>
    </row>
    <row r="83" spans="1:5" x14ac:dyDescent="0.4">
      <c r="A83" s="28" t="s">
        <v>289</v>
      </c>
      <c r="B83" s="29">
        <v>43816.119837962964</v>
      </c>
      <c r="C83" s="28" t="s">
        <v>128</v>
      </c>
      <c r="D83" s="28" t="s">
        <v>129</v>
      </c>
      <c r="E83" s="28" t="s">
        <v>173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798</v>
      </c>
    </row>
    <row r="2" spans="1:2" x14ac:dyDescent="0.4">
      <c r="A2" t="s">
        <v>161</v>
      </c>
      <c r="B2">
        <v>71</v>
      </c>
    </row>
    <row r="3" spans="1:2" x14ac:dyDescent="0.4">
      <c r="A3" t="s">
        <v>126</v>
      </c>
      <c r="B3">
        <v>155</v>
      </c>
    </row>
    <row r="4" spans="1:2" x14ac:dyDescent="0.4">
      <c r="A4" t="s">
        <v>127</v>
      </c>
      <c r="B4">
        <v>138</v>
      </c>
    </row>
    <row r="5" spans="1:2" x14ac:dyDescent="0.4">
      <c r="A5" t="s">
        <v>172</v>
      </c>
      <c r="B5">
        <v>91</v>
      </c>
    </row>
    <row r="6" spans="1:2" x14ac:dyDescent="0.4">
      <c r="A6" t="s">
        <v>170</v>
      </c>
      <c r="B6">
        <v>108</v>
      </c>
    </row>
    <row r="7" spans="1:2" x14ac:dyDescent="0.4">
      <c r="A7" t="s">
        <v>171</v>
      </c>
      <c r="B7">
        <v>123</v>
      </c>
    </row>
    <row r="8" spans="1:2" x14ac:dyDescent="0.4">
      <c r="A8" t="s">
        <v>197</v>
      </c>
      <c r="B8">
        <v>55</v>
      </c>
    </row>
    <row r="9" spans="1:2" x14ac:dyDescent="0.4">
      <c r="A9" t="s">
        <v>196</v>
      </c>
      <c r="B9">
        <v>25</v>
      </c>
    </row>
    <row r="10" spans="1:2" x14ac:dyDescent="0.4">
      <c r="A10" t="s">
        <v>228</v>
      </c>
      <c r="B10">
        <v>7</v>
      </c>
    </row>
    <row r="11" spans="1:2" x14ac:dyDescent="0.4">
      <c r="A11" t="s">
        <v>203</v>
      </c>
      <c r="B11">
        <v>2</v>
      </c>
    </row>
    <row r="12" spans="1:2" x14ac:dyDescent="0.4">
      <c r="A12" t="s">
        <v>274</v>
      </c>
      <c r="B12">
        <v>10</v>
      </c>
    </row>
    <row r="13" spans="1:2" x14ac:dyDescent="0.4">
      <c r="A13" t="s">
        <v>281</v>
      </c>
      <c r="B13">
        <v>8</v>
      </c>
    </row>
    <row r="14" spans="1:2" x14ac:dyDescent="0.4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">
      <c r="A2" s="68" t="s">
        <v>154</v>
      </c>
      <c r="B2" s="166"/>
      <c r="C2" s="167"/>
      <c r="D2" s="166"/>
      <c r="E2" s="167"/>
      <c r="F2" s="162">
        <v>0.9827328302496352</v>
      </c>
      <c r="G2" s="163"/>
      <c r="H2" s="162">
        <v>0.89950287933350681</v>
      </c>
      <c r="I2" s="163"/>
      <c r="J2" s="162">
        <v>0.93345001015580176</v>
      </c>
      <c r="K2" s="163"/>
      <c r="L2" s="162">
        <v>0.80451889569721613</v>
      </c>
      <c r="M2" s="163"/>
      <c r="N2" s="162">
        <v>0.63339623266360967</v>
      </c>
      <c r="O2" s="163"/>
      <c r="P2" s="162">
        <v>0.26274034127918827</v>
      </c>
      <c r="Q2" s="163"/>
      <c r="R2" s="162">
        <v>3.3764284077550527E-3</v>
      </c>
      <c r="S2" s="163"/>
      <c r="T2" s="162">
        <v>0.45238365558460658</v>
      </c>
      <c r="U2" s="163"/>
      <c r="V2" s="162">
        <v>0.70223796232534863</v>
      </c>
      <c r="W2" s="163"/>
      <c r="X2" s="162">
        <v>-0.37038182398976677</v>
      </c>
      <c r="Y2" s="163"/>
      <c r="Z2" s="162">
        <v>0.62165946485970713</v>
      </c>
      <c r="AA2" s="163"/>
      <c r="AB2" s="162">
        <v>0.54526794756642649</v>
      </c>
      <c r="AC2" s="163"/>
      <c r="AD2" s="162">
        <v>8.2329716644695461E-2</v>
      </c>
      <c r="AE2" s="163"/>
      <c r="AF2" s="162">
        <v>0.4436705506670498</v>
      </c>
      <c r="AG2" s="163"/>
    </row>
    <row r="3" spans="1:33" x14ac:dyDescent="0.4">
      <c r="A3" s="70">
        <v>1</v>
      </c>
      <c r="B3" s="71" t="s">
        <v>126</v>
      </c>
      <c r="C3" s="72">
        <v>1213.8000000000002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10770.901639344262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">
      <c r="A4" s="78">
        <v>2</v>
      </c>
      <c r="B4" s="79" t="s">
        <v>170</v>
      </c>
      <c r="C4" s="80">
        <v>471.10000000000019</v>
      </c>
      <c r="D4" s="81" t="s">
        <v>203</v>
      </c>
      <c r="E4" s="93">
        <v>13.1</v>
      </c>
      <c r="F4" s="81" t="s">
        <v>274</v>
      </c>
      <c r="G4" s="82">
        <v>1.7</v>
      </c>
      <c r="H4" s="81" t="s">
        <v>274</v>
      </c>
      <c r="I4" s="83">
        <v>0.5</v>
      </c>
      <c r="J4" s="81" t="s">
        <v>274</v>
      </c>
      <c r="K4" s="83">
        <v>0.2</v>
      </c>
      <c r="L4" s="81" t="s">
        <v>274</v>
      </c>
      <c r="M4" s="84">
        <v>0.37777777777777777</v>
      </c>
      <c r="N4" s="81" t="s">
        <v>274</v>
      </c>
      <c r="O4" s="84">
        <v>0.12222222222222222</v>
      </c>
      <c r="P4" s="81" t="s">
        <v>281</v>
      </c>
      <c r="Q4" s="85">
        <v>9534.6153846153848</v>
      </c>
      <c r="R4" s="81" t="s">
        <v>171</v>
      </c>
      <c r="S4" s="85">
        <v>-7233.5766423357663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0.65625</v>
      </c>
      <c r="AB4" s="81" t="s">
        <v>274</v>
      </c>
      <c r="AC4" s="84">
        <v>0.72727272727272729</v>
      </c>
      <c r="AD4" s="81" t="s">
        <v>170</v>
      </c>
      <c r="AE4" s="84">
        <v>0.51229508196721307</v>
      </c>
      <c r="AF4" s="81" t="s">
        <v>141</v>
      </c>
      <c r="AG4" s="88">
        <v>149100</v>
      </c>
    </row>
    <row r="5" spans="1:33" x14ac:dyDescent="0.4">
      <c r="A5" s="78">
        <v>3</v>
      </c>
      <c r="B5" s="79" t="s">
        <v>281</v>
      </c>
      <c r="C5" s="80">
        <v>106.5</v>
      </c>
      <c r="D5" s="81" t="s">
        <v>274</v>
      </c>
      <c r="E5" s="93">
        <v>8.61</v>
      </c>
      <c r="F5" s="81" t="s">
        <v>281</v>
      </c>
      <c r="G5" s="82">
        <v>1.75</v>
      </c>
      <c r="H5" s="81" t="s">
        <v>203</v>
      </c>
      <c r="I5" s="83">
        <v>0.5</v>
      </c>
      <c r="J5" s="81" t="s">
        <v>126</v>
      </c>
      <c r="K5" s="83">
        <v>0.25806451612903225</v>
      </c>
      <c r="L5" s="81" t="s">
        <v>281</v>
      </c>
      <c r="M5" s="84">
        <v>0.37681159420289856</v>
      </c>
      <c r="N5" s="81" t="s">
        <v>126</v>
      </c>
      <c r="O5" s="84">
        <v>0.13307086614173227</v>
      </c>
      <c r="P5" s="81" t="s">
        <v>280</v>
      </c>
      <c r="Q5" s="85">
        <v>8512.5</v>
      </c>
      <c r="R5" s="81" t="s">
        <v>172</v>
      </c>
      <c r="S5" s="85">
        <v>-7539.4366197183099</v>
      </c>
      <c r="T5" s="81" t="s">
        <v>126</v>
      </c>
      <c r="U5" s="83">
        <v>4.5161290322580643E-2</v>
      </c>
      <c r="V5" s="81" t="s">
        <v>274</v>
      </c>
      <c r="W5" s="84">
        <v>0.35555555555555557</v>
      </c>
      <c r="X5" s="81" t="s">
        <v>127</v>
      </c>
      <c r="Y5" s="84">
        <v>0.29818496110630943</v>
      </c>
      <c r="Z5" s="81" t="s">
        <v>126</v>
      </c>
      <c r="AA5" s="84">
        <v>0.59882005899705015</v>
      </c>
      <c r="AB5" s="81" t="s">
        <v>126</v>
      </c>
      <c r="AC5" s="84">
        <v>0.49146757679180886</v>
      </c>
      <c r="AD5" s="81" t="s">
        <v>274</v>
      </c>
      <c r="AE5" s="84">
        <v>0.47058823529411764</v>
      </c>
      <c r="AF5" s="81" t="s">
        <v>170</v>
      </c>
      <c r="AG5" s="88">
        <v>122100</v>
      </c>
    </row>
    <row r="6" spans="1:33" x14ac:dyDescent="0.4">
      <c r="A6" s="78">
        <v>4</v>
      </c>
      <c r="B6" s="79" t="s">
        <v>274</v>
      </c>
      <c r="C6" s="80">
        <v>86.1</v>
      </c>
      <c r="D6" s="81" t="s">
        <v>126</v>
      </c>
      <c r="E6" s="93">
        <v>7.8309677419354848</v>
      </c>
      <c r="F6" s="81" t="s">
        <v>126</v>
      </c>
      <c r="G6" s="82">
        <v>1.8129032258064517</v>
      </c>
      <c r="H6" s="81" t="s">
        <v>126</v>
      </c>
      <c r="I6" s="83">
        <v>0.44516129032258067</v>
      </c>
      <c r="J6" s="81" t="s">
        <v>127</v>
      </c>
      <c r="K6" s="83">
        <v>0.29710144927536231</v>
      </c>
      <c r="L6" s="81" t="s">
        <v>126</v>
      </c>
      <c r="M6" s="84">
        <v>0.34173228346456691</v>
      </c>
      <c r="N6" s="81" t="s">
        <v>171</v>
      </c>
      <c r="O6" s="84">
        <v>0.13672654690618763</v>
      </c>
      <c r="P6" s="81" t="s">
        <v>196</v>
      </c>
      <c r="Q6" s="85">
        <v>8385.7142857142862</v>
      </c>
      <c r="R6" s="81" t="s">
        <v>126</v>
      </c>
      <c r="S6" s="85">
        <v>-7683.4319526627223</v>
      </c>
      <c r="T6" s="81" t="s">
        <v>171</v>
      </c>
      <c r="U6" s="83">
        <v>6.5040650406504072E-2</v>
      </c>
      <c r="V6" s="81" t="s">
        <v>170</v>
      </c>
      <c r="W6" s="84">
        <v>0.31626848691695109</v>
      </c>
      <c r="X6" s="81" t="s">
        <v>161</v>
      </c>
      <c r="Y6" s="84">
        <v>0.25278219395866453</v>
      </c>
      <c r="Z6" s="81" t="s">
        <v>196</v>
      </c>
      <c r="AA6" s="84">
        <v>0.59677419354838712</v>
      </c>
      <c r="AB6" s="81" t="s">
        <v>281</v>
      </c>
      <c r="AC6" s="84">
        <v>0.45454545454545453</v>
      </c>
      <c r="AD6" s="81" t="s">
        <v>172</v>
      </c>
      <c r="AE6" s="84">
        <v>0.46478873239436619</v>
      </c>
      <c r="AF6" s="81" t="s">
        <v>171</v>
      </c>
      <c r="AG6" s="88">
        <v>101400</v>
      </c>
    </row>
    <row r="7" spans="1:33" x14ac:dyDescent="0.4">
      <c r="A7" s="78">
        <v>5</v>
      </c>
      <c r="B7" s="79" t="s">
        <v>127</v>
      </c>
      <c r="C7" s="80">
        <v>61.099999999999817</v>
      </c>
      <c r="D7" s="81" t="s">
        <v>170</v>
      </c>
      <c r="E7" s="93">
        <v>4.3620370370370392</v>
      </c>
      <c r="F7" s="81" t="s">
        <v>170</v>
      </c>
      <c r="G7" s="82">
        <v>1.8981481481481481</v>
      </c>
      <c r="H7" s="81" t="s">
        <v>228</v>
      </c>
      <c r="I7" s="83">
        <v>0.42857142857142855</v>
      </c>
      <c r="J7" s="81" t="s">
        <v>171</v>
      </c>
      <c r="K7" s="83">
        <v>0.30081300813008133</v>
      </c>
      <c r="L7" s="81" t="s">
        <v>127</v>
      </c>
      <c r="M7" s="84">
        <v>0.30337078651685395</v>
      </c>
      <c r="N7" s="81" t="s">
        <v>161</v>
      </c>
      <c r="O7" s="84">
        <v>0.15580286168521462</v>
      </c>
      <c r="P7" s="81" t="s">
        <v>141</v>
      </c>
      <c r="Q7" s="85">
        <v>8374.6314184036601</v>
      </c>
      <c r="R7" s="81" t="s">
        <v>141</v>
      </c>
      <c r="S7" s="85">
        <v>-7779.2626728110599</v>
      </c>
      <c r="T7" s="81" t="s">
        <v>161</v>
      </c>
      <c r="U7" s="83">
        <v>7.0422535211267609E-2</v>
      </c>
      <c r="V7" s="81" t="s">
        <v>172</v>
      </c>
      <c r="W7" s="84">
        <v>0.27849740932642486</v>
      </c>
      <c r="X7" s="81" t="s">
        <v>126</v>
      </c>
      <c r="Y7" s="84">
        <v>0.23070866141732282</v>
      </c>
      <c r="Z7" s="81" t="s">
        <v>141</v>
      </c>
      <c r="AA7" s="84">
        <v>0.55458768873403019</v>
      </c>
      <c r="AB7" s="81" t="s">
        <v>171</v>
      </c>
      <c r="AC7" s="84">
        <v>0.43636363636363634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">
      <c r="A8" s="78">
        <v>6</v>
      </c>
      <c r="B8" s="79" t="s">
        <v>203</v>
      </c>
      <c r="C8" s="80">
        <v>26.2</v>
      </c>
      <c r="D8" s="81" t="s">
        <v>127</v>
      </c>
      <c r="E8" s="93">
        <v>0.44275362318840444</v>
      </c>
      <c r="F8" s="81" t="s">
        <v>127</v>
      </c>
      <c r="G8" s="82">
        <v>1.9565217391304348</v>
      </c>
      <c r="H8" s="81" t="s">
        <v>170</v>
      </c>
      <c r="I8" s="83">
        <v>0.40740740740740738</v>
      </c>
      <c r="J8" s="81" t="s">
        <v>170</v>
      </c>
      <c r="K8" s="83">
        <v>0.30555555555555558</v>
      </c>
      <c r="L8" s="81" t="s">
        <v>141</v>
      </c>
      <c r="M8" s="84">
        <v>0.29454926624737948</v>
      </c>
      <c r="N8" s="81" t="s">
        <v>141</v>
      </c>
      <c r="O8" s="84">
        <v>0.16247379454926625</v>
      </c>
      <c r="P8" s="81" t="s">
        <v>127</v>
      </c>
      <c r="Q8" s="85">
        <v>8363.5327635327631</v>
      </c>
      <c r="R8" s="81" t="s">
        <v>161</v>
      </c>
      <c r="S8" s="85">
        <v>-7934.6938775510207</v>
      </c>
      <c r="T8" s="81" t="s">
        <v>172</v>
      </c>
      <c r="U8" s="83">
        <v>7.6923076923076927E-2</v>
      </c>
      <c r="V8" s="81" t="s">
        <v>171</v>
      </c>
      <c r="W8" s="84">
        <v>0.27045908183632733</v>
      </c>
      <c r="X8" s="81" t="s">
        <v>197</v>
      </c>
      <c r="Y8" s="84">
        <v>0.22958057395143489</v>
      </c>
      <c r="Z8" s="81" t="s">
        <v>170</v>
      </c>
      <c r="AA8" s="84">
        <v>0.5539568345323741</v>
      </c>
      <c r="AB8" s="81" t="s">
        <v>197</v>
      </c>
      <c r="AC8" s="84">
        <v>0.42307692307692307</v>
      </c>
      <c r="AD8" s="81" t="s">
        <v>171</v>
      </c>
      <c r="AE8" s="84">
        <v>0.44522968197879859</v>
      </c>
      <c r="AF8" s="81" t="s">
        <v>127</v>
      </c>
      <c r="AG8" s="88">
        <v>91800</v>
      </c>
    </row>
    <row r="9" spans="1:33" x14ac:dyDescent="0.4">
      <c r="A9" s="78">
        <v>7</v>
      </c>
      <c r="B9" s="79" t="s">
        <v>141</v>
      </c>
      <c r="C9" s="80">
        <v>-4.9737991503207013E-14</v>
      </c>
      <c r="D9" s="81" t="s">
        <v>141</v>
      </c>
      <c r="E9" s="93">
        <v>-6.232831015439475E-17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141</v>
      </c>
      <c r="K9" s="83">
        <v>0.33333333333333331</v>
      </c>
      <c r="L9" s="81" t="s">
        <v>171</v>
      </c>
      <c r="M9" s="84">
        <v>0.28243512974051899</v>
      </c>
      <c r="N9" s="81" t="s">
        <v>170</v>
      </c>
      <c r="O9" s="84">
        <v>0.17406143344709898</v>
      </c>
      <c r="P9" s="81" t="s">
        <v>171</v>
      </c>
      <c r="Q9" s="85">
        <v>8295.4063604240291</v>
      </c>
      <c r="R9" s="81" t="s">
        <v>127</v>
      </c>
      <c r="S9" s="85">
        <v>-7936.4485981308408</v>
      </c>
      <c r="T9" s="81" t="s">
        <v>141</v>
      </c>
      <c r="U9" s="83">
        <v>9.3984962406015032E-2</v>
      </c>
      <c r="V9" s="81" t="s">
        <v>126</v>
      </c>
      <c r="W9" s="84">
        <v>0.26692913385826772</v>
      </c>
      <c r="X9" s="81" t="s">
        <v>141</v>
      </c>
      <c r="Y9" s="84">
        <v>0.22731356693620844</v>
      </c>
      <c r="Z9" s="81" t="s">
        <v>171</v>
      </c>
      <c r="AA9" s="84">
        <v>0.54981549815498154</v>
      </c>
      <c r="AB9" s="81" t="s">
        <v>141</v>
      </c>
      <c r="AC9" s="84">
        <v>0.41963109354413702</v>
      </c>
      <c r="AD9" s="81" t="s">
        <v>197</v>
      </c>
      <c r="AE9" s="84">
        <v>0.44444444444444442</v>
      </c>
      <c r="AF9" s="81" t="s">
        <v>161</v>
      </c>
      <c r="AG9" s="88">
        <v>86900</v>
      </c>
    </row>
    <row r="10" spans="1:33" x14ac:dyDescent="0.4">
      <c r="A10" s="78">
        <v>8</v>
      </c>
      <c r="B10" s="79" t="s">
        <v>171</v>
      </c>
      <c r="C10" s="80">
        <v>-36.999999999999986</v>
      </c>
      <c r="D10" s="81" t="s">
        <v>171</v>
      </c>
      <c r="E10" s="93">
        <v>-0.30081300813008116</v>
      </c>
      <c r="F10" s="81" t="s">
        <v>196</v>
      </c>
      <c r="G10" s="82">
        <v>2.04</v>
      </c>
      <c r="H10" s="81" t="s">
        <v>127</v>
      </c>
      <c r="I10" s="83">
        <v>0.34057971014492755</v>
      </c>
      <c r="J10" s="81" t="s">
        <v>281</v>
      </c>
      <c r="K10" s="83">
        <v>0.375</v>
      </c>
      <c r="L10" s="81" t="s">
        <v>170</v>
      </c>
      <c r="M10" s="84">
        <v>0.27758816837315131</v>
      </c>
      <c r="N10" s="81" t="s">
        <v>196</v>
      </c>
      <c r="O10" s="84">
        <v>0.17499999999999999</v>
      </c>
      <c r="P10" s="81" t="s">
        <v>126</v>
      </c>
      <c r="Q10" s="85">
        <v>8153.2258064516127</v>
      </c>
      <c r="R10" s="81" t="s">
        <v>280</v>
      </c>
      <c r="S10" s="85">
        <v>-7987.5</v>
      </c>
      <c r="T10" s="81" t="s">
        <v>274</v>
      </c>
      <c r="U10" s="83">
        <v>0.1</v>
      </c>
      <c r="V10" s="81" t="s">
        <v>203</v>
      </c>
      <c r="W10" s="84">
        <v>0.26666666666666666</v>
      </c>
      <c r="X10" s="81" t="s">
        <v>171</v>
      </c>
      <c r="Y10" s="84">
        <v>0.21956087824351297</v>
      </c>
      <c r="Z10" s="81" t="s">
        <v>172</v>
      </c>
      <c r="AA10" s="84">
        <v>0.5488372093023256</v>
      </c>
      <c r="AB10" s="81" t="s">
        <v>172</v>
      </c>
      <c r="AC10" s="84">
        <v>0.41025641025641024</v>
      </c>
      <c r="AD10" s="81" t="s">
        <v>141</v>
      </c>
      <c r="AE10" s="84">
        <v>0.44280630401626841</v>
      </c>
      <c r="AF10" s="81" t="s">
        <v>197</v>
      </c>
      <c r="AG10" s="88">
        <v>85100</v>
      </c>
    </row>
    <row r="11" spans="1:33" x14ac:dyDescent="0.4">
      <c r="A11" s="78">
        <v>9</v>
      </c>
      <c r="B11" s="79" t="s">
        <v>196</v>
      </c>
      <c r="C11" s="80">
        <v>-45.7</v>
      </c>
      <c r="D11" s="81" t="s">
        <v>196</v>
      </c>
      <c r="E11" s="93">
        <v>-1.8280000000000001</v>
      </c>
      <c r="F11" s="81" t="s">
        <v>171</v>
      </c>
      <c r="G11" s="82">
        <v>2.0569105691056913</v>
      </c>
      <c r="H11" s="81" t="s">
        <v>141</v>
      </c>
      <c r="I11" s="83">
        <v>0.33333333333333331</v>
      </c>
      <c r="J11" s="81" t="s">
        <v>172</v>
      </c>
      <c r="K11" s="83">
        <v>0.38461538461538464</v>
      </c>
      <c r="L11" s="81" t="s">
        <v>172</v>
      </c>
      <c r="M11" s="84">
        <v>0.27590673575129532</v>
      </c>
      <c r="N11" s="81" t="s">
        <v>197</v>
      </c>
      <c r="O11" s="84">
        <v>0.18101545253863136</v>
      </c>
      <c r="P11" s="81" t="s">
        <v>197</v>
      </c>
      <c r="Q11" s="85">
        <v>7968.3760683760684</v>
      </c>
      <c r="R11" s="81" t="s">
        <v>274</v>
      </c>
      <c r="S11" s="85">
        <v>-7990.909090909091</v>
      </c>
      <c r="T11" s="81" t="s">
        <v>170</v>
      </c>
      <c r="U11" s="83">
        <v>0.10185185185185185</v>
      </c>
      <c r="V11" s="81" t="s">
        <v>196</v>
      </c>
      <c r="W11" s="84">
        <v>0.25833333333333336</v>
      </c>
      <c r="X11" s="81" t="s">
        <v>172</v>
      </c>
      <c r="Y11" s="84">
        <v>0.20207253886010362</v>
      </c>
      <c r="Z11" s="81" t="s">
        <v>197</v>
      </c>
      <c r="AA11" s="84">
        <v>0.54081632653061229</v>
      </c>
      <c r="AB11" s="81" t="s">
        <v>161</v>
      </c>
      <c r="AC11" s="84">
        <v>0.39622641509433965</v>
      </c>
      <c r="AD11" s="81" t="s">
        <v>126</v>
      </c>
      <c r="AE11" s="84">
        <v>0.41705069124423966</v>
      </c>
      <c r="AF11" s="81" t="s">
        <v>281</v>
      </c>
      <c r="AG11" s="88">
        <v>70900</v>
      </c>
    </row>
    <row r="12" spans="1:33" x14ac:dyDescent="0.4">
      <c r="A12" s="78">
        <v>10</v>
      </c>
      <c r="B12" s="79" t="s">
        <v>280</v>
      </c>
      <c r="C12" s="80">
        <v>-80.800000000000011</v>
      </c>
      <c r="D12" s="81" t="s">
        <v>172</v>
      </c>
      <c r="E12" s="93">
        <v>-6.4109890109890104</v>
      </c>
      <c r="F12" s="81" t="s">
        <v>228</v>
      </c>
      <c r="G12" s="82">
        <v>2.1428571428571428</v>
      </c>
      <c r="H12" s="81" t="s">
        <v>161</v>
      </c>
      <c r="I12" s="83">
        <v>0.30985915492957744</v>
      </c>
      <c r="J12" s="81" t="s">
        <v>196</v>
      </c>
      <c r="K12" s="83">
        <v>0.4</v>
      </c>
      <c r="L12" s="81" t="s">
        <v>161</v>
      </c>
      <c r="M12" s="84">
        <v>0.27344992050874406</v>
      </c>
      <c r="N12" s="81" t="s">
        <v>172</v>
      </c>
      <c r="O12" s="84">
        <v>0.18393782383419688</v>
      </c>
      <c r="P12" s="81" t="s">
        <v>172</v>
      </c>
      <c r="Q12" s="85">
        <v>7712.6760563380285</v>
      </c>
      <c r="R12" s="81" t="s">
        <v>203</v>
      </c>
      <c r="S12" s="85">
        <v>-8000</v>
      </c>
      <c r="T12" s="81" t="s">
        <v>196</v>
      </c>
      <c r="U12" s="83">
        <v>0.12</v>
      </c>
      <c r="V12" s="81" t="s">
        <v>141</v>
      </c>
      <c r="W12" s="84">
        <v>0.25786163522012578</v>
      </c>
      <c r="X12" s="81" t="s">
        <v>170</v>
      </c>
      <c r="Y12" s="84">
        <v>0.17064846416382254</v>
      </c>
      <c r="Z12" s="81" t="s">
        <v>228</v>
      </c>
      <c r="AA12" s="84">
        <v>0.53333333333333333</v>
      </c>
      <c r="AB12" s="81" t="s">
        <v>127</v>
      </c>
      <c r="AC12" s="84">
        <v>0.38260869565217392</v>
      </c>
      <c r="AD12" s="81" t="s">
        <v>161</v>
      </c>
      <c r="AE12" s="84">
        <v>0.41279069767441862</v>
      </c>
      <c r="AF12" s="81" t="s">
        <v>172</v>
      </c>
      <c r="AG12" s="88">
        <v>69500</v>
      </c>
    </row>
    <row r="13" spans="1:33" x14ac:dyDescent="0.4">
      <c r="A13" s="78">
        <v>11</v>
      </c>
      <c r="B13" s="79" t="s">
        <v>228</v>
      </c>
      <c r="C13" s="80">
        <v>-104.80000000000001</v>
      </c>
      <c r="D13" s="81" t="s">
        <v>161</v>
      </c>
      <c r="E13" s="93">
        <v>-6.8549295774647927</v>
      </c>
      <c r="F13" s="81" t="s">
        <v>161</v>
      </c>
      <c r="G13" s="82">
        <v>2.1549295774647885</v>
      </c>
      <c r="H13" s="81" t="s">
        <v>171</v>
      </c>
      <c r="I13" s="83">
        <v>0.24390243902439024</v>
      </c>
      <c r="J13" s="81" t="s">
        <v>280</v>
      </c>
      <c r="K13" s="83">
        <v>0.4</v>
      </c>
      <c r="L13" s="81" t="s">
        <v>196</v>
      </c>
      <c r="M13" s="84">
        <v>0.26250000000000001</v>
      </c>
      <c r="N13" s="81" t="s">
        <v>127</v>
      </c>
      <c r="O13" s="84">
        <v>0.18496110630942092</v>
      </c>
      <c r="P13" s="81" t="s">
        <v>228</v>
      </c>
      <c r="Q13" s="85">
        <v>7473.333333333333</v>
      </c>
      <c r="R13" s="81" t="s">
        <v>170</v>
      </c>
      <c r="S13" s="85">
        <v>-8109.1503267973858</v>
      </c>
      <c r="T13" s="81" t="s">
        <v>127</v>
      </c>
      <c r="U13" s="83">
        <v>0.13043478260869565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161</v>
      </c>
      <c r="AA13" s="84">
        <v>0.52127659574468088</v>
      </c>
      <c r="AB13" s="81" t="s">
        <v>170</v>
      </c>
      <c r="AC13" s="84">
        <v>0.37333333333333335</v>
      </c>
      <c r="AD13" s="81" t="s">
        <v>127</v>
      </c>
      <c r="AE13" s="84">
        <v>0.41025641025641024</v>
      </c>
      <c r="AF13" s="81" t="s">
        <v>274</v>
      </c>
      <c r="AG13" s="88">
        <v>65900</v>
      </c>
    </row>
    <row r="14" spans="1:33" x14ac:dyDescent="0.4">
      <c r="A14" s="78">
        <v>12</v>
      </c>
      <c r="B14" s="79" t="s">
        <v>161</v>
      </c>
      <c r="C14" s="80">
        <v>-486.70000000000027</v>
      </c>
      <c r="D14" s="81" t="s">
        <v>197</v>
      </c>
      <c r="E14" s="93">
        <v>-11.389090909090909</v>
      </c>
      <c r="F14" s="81" t="s">
        <v>172</v>
      </c>
      <c r="G14" s="82">
        <v>2.1648351648351647</v>
      </c>
      <c r="H14" s="81" t="s">
        <v>172</v>
      </c>
      <c r="I14" s="83">
        <v>0.21978021978021978</v>
      </c>
      <c r="J14" s="81" t="s">
        <v>161</v>
      </c>
      <c r="K14" s="83">
        <v>0.46478873239436619</v>
      </c>
      <c r="L14" s="81" t="s">
        <v>197</v>
      </c>
      <c r="M14" s="84">
        <v>0.25827814569536423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-8185.3658536585363</v>
      </c>
      <c r="T14" s="81" t="s">
        <v>197</v>
      </c>
      <c r="U14" s="83">
        <v>0.18181818181818182</v>
      </c>
      <c r="V14" s="81" t="s">
        <v>127</v>
      </c>
      <c r="W14" s="84">
        <v>0.23422644770959378</v>
      </c>
      <c r="X14" s="81" t="s">
        <v>196</v>
      </c>
      <c r="Y14" s="84">
        <v>0.15</v>
      </c>
      <c r="Z14" s="81" t="s">
        <v>127</v>
      </c>
      <c r="AA14" s="84">
        <v>0.50184501845018448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">
      <c r="A15" s="78">
        <v>13</v>
      </c>
      <c r="B15" s="79" t="s">
        <v>172</v>
      </c>
      <c r="C15" s="80">
        <v>-583.4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197</v>
      </c>
      <c r="K15" s="83">
        <v>0.47272727272727272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274</v>
      </c>
      <c r="Q15" s="85">
        <v>7147.0588235294117</v>
      </c>
      <c r="R15" s="81" t="s">
        <v>281</v>
      </c>
      <c r="S15" s="85">
        <v>-8437.5</v>
      </c>
      <c r="T15" s="81" t="s">
        <v>280</v>
      </c>
      <c r="U15" s="83">
        <v>0.2</v>
      </c>
      <c r="V15" s="81" t="s">
        <v>197</v>
      </c>
      <c r="W15" s="84">
        <v>0.21633554083885209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">
      <c r="A16" s="78">
        <v>14</v>
      </c>
      <c r="B16" s="79" t="s">
        <v>197</v>
      </c>
      <c r="C16" s="80">
        <v>-626.4</v>
      </c>
      <c r="D16" s="81" t="s">
        <v>280</v>
      </c>
      <c r="E16" s="93">
        <v>-16.160000000000004</v>
      </c>
      <c r="F16" s="81" t="s">
        <v>197</v>
      </c>
      <c r="G16" s="82">
        <v>2.290909090909091</v>
      </c>
      <c r="H16" s="81" t="s">
        <v>197</v>
      </c>
      <c r="I16" s="83">
        <v>0.18181818181818182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161</v>
      </c>
      <c r="Q16" s="85">
        <v>6958.7209302325582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0.1494435612082671</v>
      </c>
      <c r="X16" s="81" t="s">
        <v>274</v>
      </c>
      <c r="Y16" s="84">
        <v>0.12222222222222222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1CC48-E7E6-4782-BC70-674DC74438B5}">
  <sheetPr codeName="Sheet4"/>
  <dimension ref="A1:Q80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798</v>
      </c>
      <c r="C2" s="155"/>
      <c r="E2" s="58" t="s">
        <v>66</v>
      </c>
      <c r="F2" s="55" t="s">
        <v>22</v>
      </c>
      <c r="G2" s="43">
        <v>1488</v>
      </c>
      <c r="H2" s="128">
        <f>IF(B$15=0,0,G2/B$15)</f>
        <v>0.75648195221148962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-27.672955974842768</v>
      </c>
      <c r="P2" s="114">
        <v>795</v>
      </c>
      <c r="Q2" s="98">
        <v>-22000</v>
      </c>
    </row>
    <row r="3" spans="1:17" x14ac:dyDescent="0.4">
      <c r="A3" s="51" t="s">
        <v>8</v>
      </c>
      <c r="B3" s="156">
        <v>6678</v>
      </c>
      <c r="C3" s="157"/>
      <c r="E3" s="59" t="s">
        <v>72</v>
      </c>
      <c r="F3" s="56" t="s">
        <v>27</v>
      </c>
      <c r="G3" s="44">
        <v>1054</v>
      </c>
      <c r="H3" s="129">
        <f>IF(B$15=0,0,G3/B$15)</f>
        <v>0.53584138281647176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10.217113665389528</v>
      </c>
      <c r="P3" s="115">
        <v>783</v>
      </c>
      <c r="Q3" s="99">
        <v>8000</v>
      </c>
    </row>
    <row r="4" spans="1:17" x14ac:dyDescent="0.4">
      <c r="A4" s="51" t="s">
        <v>6</v>
      </c>
      <c r="B4" s="158">
        <v>-4.9737991503207013E-14</v>
      </c>
      <c r="C4" s="159"/>
      <c r="E4" s="59" t="s">
        <v>64</v>
      </c>
      <c r="F4" s="56" t="s">
        <v>20</v>
      </c>
      <c r="G4" s="44">
        <v>921</v>
      </c>
      <c r="H4" s="129">
        <f>IF(B$15=0,0,G4/B$15)</f>
        <v>0.46822572445348248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-6.7750677506775068</v>
      </c>
      <c r="P4" s="115">
        <v>738</v>
      </c>
      <c r="Q4" s="99">
        <v>-5000</v>
      </c>
    </row>
    <row r="5" spans="1:17" x14ac:dyDescent="0.4">
      <c r="A5" s="51" t="s">
        <v>7</v>
      </c>
      <c r="B5" s="160">
        <f>IF(B$2=0,0,B$4/B$2)</f>
        <v>-6.232831015439475E-17</v>
      </c>
      <c r="C5" s="161"/>
      <c r="E5" s="59" t="s">
        <v>166</v>
      </c>
      <c r="F5" s="56" t="s">
        <v>167</v>
      </c>
      <c r="G5" s="44">
        <v>770</v>
      </c>
      <c r="H5" s="129">
        <f>IF(B$15=0,0,G5/B$15)</f>
        <v>0.3914590747330961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10.014306151645208</v>
      </c>
      <c r="P5" s="115">
        <v>699</v>
      </c>
      <c r="Q5" s="99">
        <v>7000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609</v>
      </c>
      <c r="H6" s="129">
        <f>IF(B$15=0,0,G6/B$15)</f>
        <v>0.30960854092526691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3.1007751937984498</v>
      </c>
      <c r="P6" s="115">
        <v>645</v>
      </c>
      <c r="Q6" s="99">
        <v>2000</v>
      </c>
    </row>
    <row r="7" spans="1:17" x14ac:dyDescent="0.4">
      <c r="A7" s="51" t="s">
        <v>2</v>
      </c>
      <c r="B7" s="44">
        <v>266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570</v>
      </c>
      <c r="H7" s="129">
        <f>IF(B$15=0,0,G7/B$15)</f>
        <v>0.28978139298423994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16.483516483516482</v>
      </c>
      <c r="P7" s="116">
        <v>546</v>
      </c>
      <c r="Q7" s="100">
        <v>9000</v>
      </c>
    </row>
    <row r="8" spans="1:17" x14ac:dyDescent="0.4">
      <c r="A8" s="51" t="s">
        <v>3</v>
      </c>
      <c r="B8" s="44">
        <v>266</v>
      </c>
      <c r="C8" s="37">
        <f t="shared" si="1"/>
        <v>0.33333333333333331</v>
      </c>
      <c r="E8" s="59" t="s">
        <v>69</v>
      </c>
      <c r="F8" s="56" t="s">
        <v>24</v>
      </c>
      <c r="G8" s="44">
        <v>282</v>
      </c>
      <c r="H8" s="129">
        <f>IF(B$15=0,0,G8/B$15)</f>
        <v>0.14336553126588714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266</v>
      </c>
      <c r="C9" s="38">
        <f t="shared" si="1"/>
        <v>0.33333333333333331</v>
      </c>
      <c r="E9" s="59" t="s">
        <v>89</v>
      </c>
      <c r="F9" s="56" t="s">
        <v>44</v>
      </c>
      <c r="G9" s="44">
        <v>262</v>
      </c>
      <c r="H9" s="129">
        <f>IF(B$15=0,0,G9/B$15)</f>
        <v>0.13319776309100154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75</v>
      </c>
      <c r="C10" s="40">
        <f t="shared" si="1"/>
        <v>9.3984962406015032E-2</v>
      </c>
      <c r="E10" s="59" t="s">
        <v>65</v>
      </c>
      <c r="F10" s="56" t="s">
        <v>21</v>
      </c>
      <c r="G10" s="44">
        <v>212</v>
      </c>
      <c r="H10" s="129">
        <f>IF(B$15=0,0,G10/B$15)</f>
        <v>0.1077783426537875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-2.1823308270676702</v>
      </c>
      <c r="P10" s="114">
        <v>266</v>
      </c>
      <c r="Q10" s="102">
        <v>-580.50000000000023</v>
      </c>
    </row>
    <row r="11" spans="1:17" x14ac:dyDescent="0.4">
      <c r="A11" s="54" t="s">
        <v>121</v>
      </c>
      <c r="B11" s="47">
        <v>1722</v>
      </c>
      <c r="C11" s="42">
        <f>IF(B$3=0,0,B11/B$3)</f>
        <v>0.25786163522012578</v>
      </c>
      <c r="E11" s="59" t="s">
        <v>70</v>
      </c>
      <c r="F11" s="56" t="s">
        <v>25</v>
      </c>
      <c r="G11" s="44">
        <v>181</v>
      </c>
      <c r="H11" s="129">
        <f>IF(B$15=0,0,G11/B$15)</f>
        <v>9.2018301982714795E-2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0.90413533834586479</v>
      </c>
      <c r="P11" s="115">
        <v>266</v>
      </c>
      <c r="Q11" s="103">
        <v>240.50000000000003</v>
      </c>
    </row>
    <row r="12" spans="1:17" x14ac:dyDescent="0.4">
      <c r="A12" s="51" t="s">
        <v>118</v>
      </c>
      <c r="B12" s="44">
        <v>1518</v>
      </c>
      <c r="C12" s="37">
        <f>IF(B$3=0,0,B12/B$3)</f>
        <v>0.22731356693620844</v>
      </c>
      <c r="E12" s="59" t="s">
        <v>71</v>
      </c>
      <c r="F12" s="56" t="s">
        <v>26</v>
      </c>
      <c r="G12" s="44">
        <v>158</v>
      </c>
      <c r="H12" s="129">
        <f>IF(B$15=0,0,G12/B$15)</f>
        <v>8.0325368581596335E-2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1.2781954887218041</v>
      </c>
      <c r="P12" s="116">
        <v>266</v>
      </c>
      <c r="Q12" s="104">
        <v>339.99999999999989</v>
      </c>
    </row>
    <row r="13" spans="1:17" x14ac:dyDescent="0.4">
      <c r="A13" s="50" t="s">
        <v>123</v>
      </c>
      <c r="B13" s="43">
        <f>B19</f>
        <v>955</v>
      </c>
      <c r="C13" s="35">
        <f>IF(B$11=0,0,B13/B$11)</f>
        <v>0.55458768873403019</v>
      </c>
      <c r="E13" s="59" t="s">
        <v>86</v>
      </c>
      <c r="F13" s="56" t="s">
        <v>41</v>
      </c>
      <c r="G13" s="44">
        <v>104</v>
      </c>
      <c r="H13" s="129">
        <f>IF(B$15=0,0,G13/B$15)</f>
        <v>5.2872394509405188E-2</v>
      </c>
      <c r="I13" s="90">
        <v>5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637</v>
      </c>
      <c r="C14" s="35">
        <f>IF(B$12=0,0,B14/B$12)</f>
        <v>0.41963109354413702</v>
      </c>
      <c r="E14" s="59" t="s">
        <v>83</v>
      </c>
      <c r="F14" s="56" t="s">
        <v>38</v>
      </c>
      <c r="G14" s="44">
        <v>99</v>
      </c>
      <c r="H14" s="129">
        <f>IF(B$15=0,0,G14/B$15)</f>
        <v>5.0330452465683781E-2</v>
      </c>
      <c r="I14" s="90">
        <v>8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1967</v>
      </c>
      <c r="C15" s="35">
        <f>IF(B$3=0,0,B15/B$3)</f>
        <v>0.29454926624737948</v>
      </c>
      <c r="E15" s="59" t="s">
        <v>78</v>
      </c>
      <c r="F15" s="56" t="s">
        <v>33</v>
      </c>
      <c r="G15" s="44">
        <v>47</v>
      </c>
      <c r="H15" s="129">
        <f>IF(B$15=0,0,G15/B$15)</f>
        <v>2.3894255210981191E-2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">
      <c r="A16" s="51" t="s">
        <v>13</v>
      </c>
      <c r="B16" s="44">
        <v>1085</v>
      </c>
      <c r="C16" s="37">
        <f>IF(B$3=0,0,B16/B$3)</f>
        <v>0.16247379454926625</v>
      </c>
      <c r="E16" s="59" t="s">
        <v>162</v>
      </c>
      <c r="F16" s="56" t="s">
        <v>163</v>
      </c>
      <c r="G16" s="44">
        <v>46</v>
      </c>
      <c r="H16" s="129">
        <f>IF(B$15=0,0,G16/B$15)</f>
        <v>2.3385866802236911E-2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1" t="s">
        <v>12</v>
      </c>
      <c r="B17" s="44">
        <v>871</v>
      </c>
      <c r="C17" s="37">
        <f>IF(B$15=0,0,B17/B$15)</f>
        <v>0.44280630401626841</v>
      </c>
      <c r="E17" s="59" t="s">
        <v>81</v>
      </c>
      <c r="F17" s="56" t="s">
        <v>36</v>
      </c>
      <c r="G17" s="44">
        <v>40</v>
      </c>
      <c r="H17" s="129">
        <f>IF(B$15=0,0,G17/B$15)</f>
        <v>2.0335536349771224E-2</v>
      </c>
      <c r="I17" s="90">
        <v>5</v>
      </c>
      <c r="K17" s="36">
        <v>15</v>
      </c>
      <c r="L17" s="95">
        <v>0</v>
      </c>
      <c r="N17" s="111" t="s">
        <v>197</v>
      </c>
      <c r="O17" s="121">
        <f>IF(P17=0,0,Q17/P17)</f>
        <v>17.083636363636352</v>
      </c>
      <c r="P17" s="115">
        <v>110</v>
      </c>
      <c r="Q17" s="103">
        <v>1879.1999999999987</v>
      </c>
    </row>
    <row r="18" spans="1:17" x14ac:dyDescent="0.4">
      <c r="A18" s="51" t="s">
        <v>11</v>
      </c>
      <c r="B18" s="44">
        <v>1096</v>
      </c>
      <c r="C18" s="37">
        <f>IF(B$15=0,0,B18/B$15)</f>
        <v>0.55719369598373159</v>
      </c>
      <c r="E18" s="59" t="s">
        <v>91</v>
      </c>
      <c r="F18" s="56" t="s">
        <v>46</v>
      </c>
      <c r="G18" s="44">
        <v>28</v>
      </c>
      <c r="H18" s="129">
        <f>IF(B$15=0,0,G18/B$15)</f>
        <v>1.4234875444839857E-2</v>
      </c>
      <c r="I18" s="90">
        <v>6</v>
      </c>
      <c r="K18" s="36">
        <v>16</v>
      </c>
      <c r="L18" s="95">
        <v>-28.2</v>
      </c>
      <c r="N18" s="111" t="s">
        <v>172</v>
      </c>
      <c r="O18" s="121">
        <f>IF(P18=0,0,Q18/P18)</f>
        <v>9.6164835164835125</v>
      </c>
      <c r="P18" s="115">
        <v>182</v>
      </c>
      <c r="Q18" s="103">
        <v>1750.1999999999994</v>
      </c>
    </row>
    <row r="19" spans="1:17" x14ac:dyDescent="0.4">
      <c r="A19" s="51" t="s">
        <v>195</v>
      </c>
      <c r="B19" s="44">
        <v>955</v>
      </c>
      <c r="C19" s="37">
        <f>IF(B$15=0,0,B19/B$15)</f>
        <v>0.48551093035078802</v>
      </c>
      <c r="E19" s="59" t="s">
        <v>79</v>
      </c>
      <c r="F19" s="56" t="s">
        <v>34</v>
      </c>
      <c r="G19" s="44">
        <v>25</v>
      </c>
      <c r="H19" s="129">
        <f>IF(B$15=0,0,G19/B$15)</f>
        <v>1.2709710218607015E-2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7.218987341772146</v>
      </c>
      <c r="P19" s="115">
        <v>158</v>
      </c>
      <c r="Q19" s="103">
        <v>1140.599999999999</v>
      </c>
    </row>
    <row r="20" spans="1:17" x14ac:dyDescent="0.4">
      <c r="A20" s="51" t="s">
        <v>193</v>
      </c>
      <c r="B20" s="44">
        <v>637</v>
      </c>
      <c r="C20" s="37">
        <f>IF(B$15=0,0,B20/B$15)</f>
        <v>0.32384341637010677</v>
      </c>
      <c r="E20" s="59" t="s">
        <v>75</v>
      </c>
      <c r="F20" s="56" t="s">
        <v>30</v>
      </c>
      <c r="G20" s="44">
        <v>15</v>
      </c>
      <c r="H20" s="129">
        <f>IF(B$15=0,0,G20/B$15)</f>
        <v>7.6258261311642093E-3</v>
      </c>
      <c r="I20" s="90">
        <v>5</v>
      </c>
      <c r="K20" s="36">
        <v>18</v>
      </c>
      <c r="L20" s="95">
        <v>0</v>
      </c>
      <c r="N20" s="111" t="s">
        <v>196</v>
      </c>
      <c r="O20" s="121">
        <f>IF(P20=0,0,Q20/P20)</f>
        <v>2.742</v>
      </c>
      <c r="P20" s="115">
        <v>50</v>
      </c>
      <c r="Q20" s="103">
        <v>137.1</v>
      </c>
    </row>
    <row r="21" spans="1:17" x14ac:dyDescent="0.4">
      <c r="A21" s="51" t="s">
        <v>194</v>
      </c>
      <c r="B21" s="44">
        <v>375</v>
      </c>
      <c r="C21" s="37">
        <f>IF(B$15=0,0,B21/B$15)</f>
        <v>0.19064565327910524</v>
      </c>
      <c r="E21" s="59" t="s">
        <v>92</v>
      </c>
      <c r="F21" s="56" t="s">
        <v>47</v>
      </c>
      <c r="G21" s="44">
        <v>11</v>
      </c>
      <c r="H21" s="129">
        <f>IF(B$15=0,0,G21/B$15)</f>
        <v>5.5922724961870868E-3</v>
      </c>
      <c r="I21" s="90">
        <v>5</v>
      </c>
      <c r="K21" s="36">
        <v>19</v>
      </c>
      <c r="L21" s="95">
        <v>-22.4</v>
      </c>
      <c r="N21" s="111" t="s">
        <v>171</v>
      </c>
      <c r="O21" s="121">
        <f>IF(P21=0,0,Q21/P21)</f>
        <v>0.45121951219512163</v>
      </c>
      <c r="P21" s="115">
        <v>246</v>
      </c>
      <c r="Q21" s="103">
        <v>110.99999999999991</v>
      </c>
    </row>
    <row r="22" spans="1:17" x14ac:dyDescent="0.4">
      <c r="A22" s="51" t="s">
        <v>5</v>
      </c>
      <c r="B22" s="48">
        <f>IF(B$15=0,0,C22/B$15)</f>
        <v>8374.6314184036601</v>
      </c>
      <c r="C22" s="39">
        <v>16472900</v>
      </c>
      <c r="E22" s="59" t="s">
        <v>85</v>
      </c>
      <c r="F22" s="56" t="s">
        <v>40</v>
      </c>
      <c r="G22" s="44">
        <v>9</v>
      </c>
      <c r="H22" s="129">
        <f>IF(B$15=0,0,G22/B$15)</f>
        <v>4.5754956786985259E-3</v>
      </c>
      <c r="I22" s="90">
        <v>5</v>
      </c>
      <c r="K22" s="36">
        <v>20</v>
      </c>
      <c r="L22" s="95">
        <v>-61.199999999999996</v>
      </c>
      <c r="N22" s="111" t="s">
        <v>127</v>
      </c>
      <c r="O22" s="121">
        <f>IF(P22=0,0,Q22/P22)</f>
        <v>-0.66413043478261291</v>
      </c>
      <c r="P22" s="115">
        <v>276</v>
      </c>
      <c r="Q22" s="103">
        <v>-183.30000000000118</v>
      </c>
    </row>
    <row r="23" spans="1:17" x14ac:dyDescent="0.4">
      <c r="A23" s="52" t="s">
        <v>177</v>
      </c>
      <c r="B23" s="136">
        <f>IF($B$15-B$14=0,0,C23/($B$15-B$14))</f>
        <v>8998.9473684210534</v>
      </c>
      <c r="C23" s="137">
        <v>11968600</v>
      </c>
      <c r="E23" s="59" t="s">
        <v>73</v>
      </c>
      <c r="F23" s="56" t="s">
        <v>28</v>
      </c>
      <c r="G23" s="44">
        <v>8</v>
      </c>
      <c r="H23" s="129">
        <f>IF(B$15=0,0,G23/B$15)</f>
        <v>4.0671072699542451E-3</v>
      </c>
      <c r="I23" s="90">
        <v>3</v>
      </c>
      <c r="K23" s="36">
        <v>21</v>
      </c>
      <c r="L23" s="95">
        <v>7.1054273576010019E-15</v>
      </c>
      <c r="N23" s="111" t="s">
        <v>170</v>
      </c>
      <c r="O23" s="121">
        <f>IF(P23=0,0,Q23/P23)</f>
        <v>-6.5430555555555499</v>
      </c>
      <c r="P23" s="115">
        <v>216</v>
      </c>
      <c r="Q23" s="103">
        <v>-1413.2999999999988</v>
      </c>
    </row>
    <row r="24" spans="1:17" x14ac:dyDescent="0.4">
      <c r="A24" s="52" t="s">
        <v>178</v>
      </c>
      <c r="B24" s="136">
        <f>IF(B$14=0,0,C24/B$14)</f>
        <v>7071.1145996860287</v>
      </c>
      <c r="C24" s="137">
        <v>4504300</v>
      </c>
      <c r="E24" s="59" t="s">
        <v>74</v>
      </c>
      <c r="F24" s="56" t="s">
        <v>29</v>
      </c>
      <c r="G24" s="44">
        <v>8</v>
      </c>
      <c r="H24" s="129">
        <f>IF(B$15=0,0,G24/B$15)</f>
        <v>4.0671072699542451E-3</v>
      </c>
      <c r="I24" s="90">
        <v>5</v>
      </c>
      <c r="K24" s="36">
        <v>22</v>
      </c>
      <c r="L24" s="95">
        <v>-25.099999999999994</v>
      </c>
      <c r="N24" s="111" t="s">
        <v>126</v>
      </c>
      <c r="O24" s="121">
        <f>IF(P24=0,0,Q24/P24)</f>
        <v>-11.746451612903222</v>
      </c>
      <c r="P24" s="115">
        <v>310</v>
      </c>
      <c r="Q24" s="103">
        <v>-3641.3999999999987</v>
      </c>
    </row>
    <row r="25" spans="1:17" x14ac:dyDescent="0.4">
      <c r="A25" s="52" t="s">
        <v>176</v>
      </c>
      <c r="B25" s="136">
        <f>IF(B$16=0,0,C25/B$16)</f>
        <v>-7779.2626728110599</v>
      </c>
      <c r="C25" s="137">
        <v>-8440500</v>
      </c>
      <c r="E25" s="59" t="s">
        <v>84</v>
      </c>
      <c r="F25" s="56" t="s">
        <v>39</v>
      </c>
      <c r="G25" s="44">
        <v>7</v>
      </c>
      <c r="H25" s="129">
        <f>IF(B$15=0,0,G25/B$15)</f>
        <v>3.5587188612099642E-3</v>
      </c>
      <c r="I25" s="90">
        <v>4</v>
      </c>
      <c r="K25" s="36">
        <v>23</v>
      </c>
      <c r="L25" s="95">
        <v>-26.799999999999994</v>
      </c>
      <c r="N25" s="111" t="s">
        <v>274</v>
      </c>
      <c r="O25" s="121">
        <f>IF(P25=0,0,Q25/P25)</f>
        <v>-12.915000000000003</v>
      </c>
      <c r="P25" s="115">
        <v>20</v>
      </c>
      <c r="Q25" s="103">
        <v>-258.30000000000007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6</v>
      </c>
      <c r="H26" s="129">
        <f>IF(B$15=0,0,G26/B$15)</f>
        <v>3.0503304524656838E-3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">
      <c r="A27" s="51" t="s">
        <v>165</v>
      </c>
      <c r="B27" s="44">
        <v>31</v>
      </c>
      <c r="C27" s="131">
        <v>1</v>
      </c>
      <c r="E27" s="59" t="s">
        <v>88</v>
      </c>
      <c r="F27" s="56" t="s">
        <v>43</v>
      </c>
      <c r="G27" s="44">
        <v>5</v>
      </c>
      <c r="H27" s="129">
        <f>IF(B$15=0,0,G27/B$15)</f>
        <v>2.541942043721403E-3</v>
      </c>
      <c r="I27" s="90">
        <v>4</v>
      </c>
      <c r="K27" s="36">
        <v>25</v>
      </c>
      <c r="L27" s="95">
        <v>15.000000000000007</v>
      </c>
    </row>
    <row r="28" spans="1:17" x14ac:dyDescent="0.4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4</v>
      </c>
      <c r="H28" s="129">
        <f>IF(B$15=0,0,G28/B$15)</f>
        <v>2.0335536349771225E-3</v>
      </c>
      <c r="I28" s="90">
        <v>5</v>
      </c>
      <c r="K28" s="36">
        <v>26</v>
      </c>
      <c r="L28" s="95">
        <v>0.60000000000000675</v>
      </c>
    </row>
    <row r="29" spans="1:17" x14ac:dyDescent="0.4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2.0335536349771225E-3</v>
      </c>
      <c r="I29" s="90">
        <v>4</v>
      </c>
      <c r="K29" s="36">
        <v>27</v>
      </c>
      <c r="L29" s="95">
        <v>6.7723604502134549E-15</v>
      </c>
    </row>
    <row r="30" spans="1:17" x14ac:dyDescent="0.4">
      <c r="A30" s="53" t="s">
        <v>139</v>
      </c>
      <c r="B30" s="61">
        <v>18</v>
      </c>
      <c r="C30" s="40">
        <f>IF(B$3=0,0,B30/B$3)</f>
        <v>2.6954177897574125E-3</v>
      </c>
      <c r="E30" s="59" t="s">
        <v>95</v>
      </c>
      <c r="F30" s="56" t="s">
        <v>50</v>
      </c>
      <c r="G30" s="44">
        <v>4</v>
      </c>
      <c r="H30" s="129">
        <f>IF(B$15=0,0,G30/B$15)</f>
        <v>2.0335536349771225E-3</v>
      </c>
      <c r="I30" s="90">
        <v>4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3</v>
      </c>
      <c r="H31" s="129">
        <f>IF(B$15=0,0,G31/B$15)</f>
        <v>1.5251652262328419E-3</v>
      </c>
      <c r="I31" s="90">
        <v>4</v>
      </c>
      <c r="K31" s="36">
        <v>29</v>
      </c>
      <c r="L31" s="95">
        <v>-2.3999999999999915</v>
      </c>
    </row>
    <row r="32" spans="1:17" x14ac:dyDescent="0.4">
      <c r="A32" s="86" t="s">
        <v>183</v>
      </c>
      <c r="B32" s="144">
        <v>150</v>
      </c>
      <c r="C32" s="141">
        <f>IF(B$15=0,0,B32/B$15)</f>
        <v>7.6258261311642095E-2</v>
      </c>
      <c r="E32" s="59" t="s">
        <v>97</v>
      </c>
      <c r="F32" s="56" t="s">
        <v>52</v>
      </c>
      <c r="G32" s="44">
        <v>1</v>
      </c>
      <c r="H32" s="129">
        <f>IF(B$15=0,0,G32/B$15)</f>
        <v>5.0838840874428064E-4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1" t="s">
        <v>179</v>
      </c>
      <c r="B33" s="44">
        <v>331</v>
      </c>
      <c r="C33" s="37">
        <f t="shared" ref="C33:C44" si="2">IF(B$15=0,0,B33/B$15)</f>
        <v>0.16827656329435689</v>
      </c>
      <c r="E33" s="59" t="s">
        <v>101</v>
      </c>
      <c r="F33" s="56" t="s">
        <v>56</v>
      </c>
      <c r="G33" s="44">
        <v>1</v>
      </c>
      <c r="H33" s="129">
        <f>IF(B$15=0,0,G33/B$15)</f>
        <v>5.0838840874428064E-4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1" t="s">
        <v>180</v>
      </c>
      <c r="B34" s="145">
        <v>388</v>
      </c>
      <c r="C34" s="37">
        <f>IF(B$15=0,0,B34/B$15)</f>
        <v>0.19725470259278088</v>
      </c>
      <c r="E34" s="59" t="s">
        <v>106</v>
      </c>
      <c r="F34" s="56" t="s">
        <v>113</v>
      </c>
      <c r="G34" s="44">
        <v>1</v>
      </c>
      <c r="H34" s="129">
        <f>IF(B$15=0,0,G34/B$15)</f>
        <v>5.0838840874428064E-4</v>
      </c>
      <c r="I34" s="90">
        <v>2</v>
      </c>
      <c r="K34" s="36">
        <v>32</v>
      </c>
      <c r="L34" s="95">
        <v>47.300000000000004</v>
      </c>
    </row>
    <row r="35" spans="1:12" x14ac:dyDescent="0.4">
      <c r="A35" s="51" t="s">
        <v>181</v>
      </c>
      <c r="B35" s="145">
        <v>350</v>
      </c>
      <c r="C35" s="37">
        <f t="shared" si="2"/>
        <v>0.17793594306049823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51" t="s">
        <v>182</v>
      </c>
      <c r="B36" s="145">
        <v>313</v>
      </c>
      <c r="C36" s="37">
        <f t="shared" si="2"/>
        <v>0.15912557193695984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184</v>
      </c>
      <c r="B37" s="145">
        <v>205</v>
      </c>
      <c r="C37" s="37">
        <f t="shared" si="2"/>
        <v>0.10421962379257753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185</v>
      </c>
      <c r="B38" s="145">
        <v>108</v>
      </c>
      <c r="C38" s="37">
        <f t="shared" si="2"/>
        <v>5.4905948144382308E-2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186</v>
      </c>
      <c r="B39" s="145">
        <v>55</v>
      </c>
      <c r="C39" s="37">
        <f t="shared" si="2"/>
        <v>2.7961362480935434E-2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187</v>
      </c>
      <c r="B40" s="145">
        <v>27</v>
      </c>
      <c r="C40" s="37">
        <f t="shared" si="2"/>
        <v>1.3726487036095577E-2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188</v>
      </c>
      <c r="B41" s="145">
        <v>7</v>
      </c>
      <c r="C41" s="37">
        <f t="shared" si="2"/>
        <v>3.5587188612099642E-3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189</v>
      </c>
      <c r="B42" s="145">
        <v>6</v>
      </c>
      <c r="C42" s="37">
        <f t="shared" si="2"/>
        <v>3.0503304524656838E-3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1" t="s">
        <v>190</v>
      </c>
      <c r="B43" s="145">
        <v>6</v>
      </c>
      <c r="C43" s="37">
        <f t="shared" si="2"/>
        <v>3.0503304524656838E-3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A44" s="53" t="s">
        <v>191</v>
      </c>
      <c r="B44" s="140">
        <v>21</v>
      </c>
      <c r="C44" s="40">
        <f t="shared" si="2"/>
        <v>1.0676156583629894E-2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  <row r="582" spans="11:12" x14ac:dyDescent="0.4">
      <c r="K582" s="36">
        <v>580</v>
      </c>
      <c r="L582" s="95">
        <v>25.899999999999945</v>
      </c>
    </row>
    <row r="583" spans="11:12" x14ac:dyDescent="0.4">
      <c r="K583" s="36">
        <v>581</v>
      </c>
      <c r="L583" s="95">
        <v>2.7999999999999439</v>
      </c>
    </row>
    <row r="584" spans="11:12" x14ac:dyDescent="0.4">
      <c r="K584" s="36">
        <v>582</v>
      </c>
      <c r="L584" s="95">
        <v>-5.595524044110789E-14</v>
      </c>
    </row>
    <row r="585" spans="11:12" x14ac:dyDescent="0.4">
      <c r="K585" s="36">
        <v>583</v>
      </c>
      <c r="L585" s="95">
        <v>-12.900000000000055</v>
      </c>
    </row>
    <row r="586" spans="11:12" x14ac:dyDescent="0.4">
      <c r="K586" s="36">
        <v>584</v>
      </c>
      <c r="L586" s="95">
        <v>32.299999999999947</v>
      </c>
    </row>
    <row r="587" spans="11:12" x14ac:dyDescent="0.4">
      <c r="K587" s="36">
        <v>585</v>
      </c>
      <c r="L587" s="95">
        <v>-4.9737991503207013E-14</v>
      </c>
    </row>
    <row r="588" spans="11:12" x14ac:dyDescent="0.4">
      <c r="K588" s="36">
        <v>586</v>
      </c>
      <c r="L588" s="95">
        <v>35.99999999999995</v>
      </c>
    </row>
    <row r="589" spans="11:12" x14ac:dyDescent="0.4">
      <c r="K589" s="36">
        <v>587</v>
      </c>
      <c r="L589" s="95">
        <v>-12.800000000000047</v>
      </c>
    </row>
    <row r="590" spans="11:12" x14ac:dyDescent="0.4">
      <c r="K590" s="36">
        <v>588</v>
      </c>
      <c r="L590" s="95">
        <v>-4.6185277824406512E-14</v>
      </c>
    </row>
    <row r="591" spans="11:12" x14ac:dyDescent="0.4">
      <c r="K591" s="36">
        <v>589</v>
      </c>
      <c r="L591" s="95">
        <v>20.399999999999952</v>
      </c>
    </row>
    <row r="592" spans="11:12" x14ac:dyDescent="0.4">
      <c r="K592" s="36">
        <v>590</v>
      </c>
      <c r="L592" s="95">
        <v>-30.700000000000049</v>
      </c>
    </row>
    <row r="593" spans="11:12" x14ac:dyDescent="0.4">
      <c r="K593" s="36">
        <v>591</v>
      </c>
      <c r="L593" s="95">
        <v>-4.9737991503207013E-14</v>
      </c>
    </row>
    <row r="594" spans="11:12" x14ac:dyDescent="0.4">
      <c r="K594" s="36">
        <v>592</v>
      </c>
      <c r="L594" s="95">
        <v>-60.300000000000047</v>
      </c>
    </row>
    <row r="595" spans="11:12" x14ac:dyDescent="0.4">
      <c r="K595" s="36">
        <v>593</v>
      </c>
      <c r="L595" s="95">
        <v>-0.3000000000000469</v>
      </c>
    </row>
    <row r="596" spans="11:12" x14ac:dyDescent="0.4">
      <c r="K596" s="36">
        <v>594</v>
      </c>
      <c r="L596" s="95">
        <v>-4.6906922790412864E-14</v>
      </c>
    </row>
    <row r="597" spans="11:12" x14ac:dyDescent="0.4">
      <c r="K597" s="36">
        <v>595</v>
      </c>
      <c r="L597" s="95">
        <v>-45.600000000000051</v>
      </c>
    </row>
    <row r="598" spans="11:12" x14ac:dyDescent="0.4">
      <c r="K598" s="36">
        <v>596</v>
      </c>
      <c r="L598" s="95">
        <v>9.5999999999999517</v>
      </c>
    </row>
    <row r="599" spans="11:12" x14ac:dyDescent="0.4">
      <c r="K599" s="36">
        <v>597</v>
      </c>
      <c r="L599" s="95">
        <v>-4.7961634663806763E-14</v>
      </c>
    </row>
    <row r="600" spans="11:12" x14ac:dyDescent="0.4">
      <c r="K600" s="36">
        <v>598</v>
      </c>
      <c r="L600" s="95">
        <v>28.899999999999949</v>
      </c>
    </row>
    <row r="601" spans="11:12" x14ac:dyDescent="0.4">
      <c r="K601" s="36">
        <v>599</v>
      </c>
      <c r="L601" s="95">
        <v>27.899999999999949</v>
      </c>
    </row>
    <row r="602" spans="11:12" x14ac:dyDescent="0.4">
      <c r="K602" s="36">
        <v>600</v>
      </c>
      <c r="L602" s="95">
        <v>-4.9737991503207013E-14</v>
      </c>
    </row>
    <row r="603" spans="11:12" x14ac:dyDescent="0.4">
      <c r="K603" s="36">
        <v>601</v>
      </c>
      <c r="L603" s="95">
        <v>-31.50000000000005</v>
      </c>
    </row>
    <row r="604" spans="11:12" x14ac:dyDescent="0.4">
      <c r="K604" s="36">
        <v>602</v>
      </c>
      <c r="L604" s="95">
        <v>-38.400000000000048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33.49999999999995</v>
      </c>
    </row>
    <row r="607" spans="11:12" x14ac:dyDescent="0.4">
      <c r="K607" s="36">
        <v>605</v>
      </c>
      <c r="L607" s="95">
        <v>0.6999999999999531</v>
      </c>
    </row>
    <row r="608" spans="11:12" x14ac:dyDescent="0.4">
      <c r="K608" s="36">
        <v>606</v>
      </c>
      <c r="L608" s="95">
        <v>-4.6851411639181606E-14</v>
      </c>
    </row>
    <row r="609" spans="11:12" x14ac:dyDescent="0.4">
      <c r="K609" s="36">
        <v>607</v>
      </c>
      <c r="L609" s="95">
        <v>11.999999999999954</v>
      </c>
    </row>
    <row r="610" spans="11:12" x14ac:dyDescent="0.4">
      <c r="K610" s="36">
        <v>608</v>
      </c>
      <c r="L610" s="95">
        <v>38.299999999999955</v>
      </c>
    </row>
    <row r="611" spans="11:12" x14ac:dyDescent="0.4">
      <c r="K611" s="36">
        <v>609</v>
      </c>
      <c r="L611" s="95">
        <v>-4.2632564145606011E-14</v>
      </c>
    </row>
    <row r="612" spans="11:12" x14ac:dyDescent="0.4">
      <c r="K612" s="36">
        <v>610</v>
      </c>
      <c r="L612" s="95">
        <v>7.3999999999999577</v>
      </c>
    </row>
    <row r="613" spans="11:12" x14ac:dyDescent="0.4">
      <c r="K613" s="36">
        <v>611</v>
      </c>
      <c r="L613" s="95">
        <v>26.799999999999955</v>
      </c>
    </row>
    <row r="614" spans="11:12" x14ac:dyDescent="0.4">
      <c r="K614" s="36">
        <v>612</v>
      </c>
      <c r="L614" s="95">
        <v>-4.6185277824406512E-14</v>
      </c>
    </row>
    <row r="615" spans="11:12" x14ac:dyDescent="0.4">
      <c r="K615" s="36">
        <v>613</v>
      </c>
      <c r="L615" s="95">
        <v>-26.800000000000047</v>
      </c>
    </row>
    <row r="616" spans="11:12" x14ac:dyDescent="0.4">
      <c r="K616" s="36">
        <v>614</v>
      </c>
      <c r="L616" s="95">
        <v>-5.3000000000000469</v>
      </c>
    </row>
    <row r="617" spans="11:12" x14ac:dyDescent="0.4">
      <c r="K617" s="36">
        <v>615</v>
      </c>
      <c r="L617" s="95">
        <v>-4.7073456244106637E-14</v>
      </c>
    </row>
    <row r="618" spans="11:12" x14ac:dyDescent="0.4">
      <c r="K618" s="36">
        <v>616</v>
      </c>
      <c r="L618" s="95">
        <v>-20.200000000000045</v>
      </c>
    </row>
    <row r="619" spans="11:12" x14ac:dyDescent="0.4">
      <c r="K619" s="36">
        <v>617</v>
      </c>
      <c r="L619" s="95">
        <v>-28.900000000000045</v>
      </c>
    </row>
    <row r="620" spans="11:12" x14ac:dyDescent="0.4">
      <c r="K620" s="36">
        <v>618</v>
      </c>
      <c r="L620" s="95">
        <v>-4.6185277824406512E-14</v>
      </c>
    </row>
    <row r="621" spans="11:12" x14ac:dyDescent="0.4">
      <c r="K621" s="36">
        <v>619</v>
      </c>
      <c r="L621" s="95">
        <v>-22.600000000000048</v>
      </c>
    </row>
    <row r="622" spans="11:12" x14ac:dyDescent="0.4">
      <c r="K622" s="36">
        <v>620</v>
      </c>
      <c r="L622" s="95">
        <v>-20.000000000000046</v>
      </c>
    </row>
    <row r="623" spans="11:12" x14ac:dyDescent="0.4">
      <c r="K623" s="36">
        <v>621</v>
      </c>
      <c r="L623" s="95">
        <v>-4.6185277824406512E-14</v>
      </c>
    </row>
    <row r="624" spans="11:12" x14ac:dyDescent="0.4">
      <c r="K624" s="36">
        <v>622</v>
      </c>
      <c r="L624" s="95">
        <v>42.299999999999955</v>
      </c>
    </row>
    <row r="625" spans="11:12" x14ac:dyDescent="0.4">
      <c r="K625" s="36">
        <v>623</v>
      </c>
      <c r="L625" s="95">
        <v>46.999999999999957</v>
      </c>
    </row>
    <row r="626" spans="11:12" x14ac:dyDescent="0.4">
      <c r="K626" s="36">
        <v>624</v>
      </c>
      <c r="L626" s="95">
        <v>-4.2632564145606011E-14</v>
      </c>
    </row>
    <row r="627" spans="11:12" x14ac:dyDescent="0.4">
      <c r="K627" s="36">
        <v>625</v>
      </c>
      <c r="L627" s="95">
        <v>-21.600000000000044</v>
      </c>
    </row>
    <row r="628" spans="11:12" x14ac:dyDescent="0.4">
      <c r="K628" s="36">
        <v>626</v>
      </c>
      <c r="L628" s="95">
        <v>0.59999999999995524</v>
      </c>
    </row>
    <row r="629" spans="11:12" x14ac:dyDescent="0.4">
      <c r="K629" s="36">
        <v>627</v>
      </c>
      <c r="L629" s="95">
        <v>-4.4741987892393809E-14</v>
      </c>
    </row>
    <row r="630" spans="11:12" x14ac:dyDescent="0.4">
      <c r="K630" s="36">
        <v>628</v>
      </c>
      <c r="L630" s="95">
        <v>1.0999999999999552</v>
      </c>
    </row>
    <row r="631" spans="11:12" x14ac:dyDescent="0.4">
      <c r="K631" s="36">
        <v>629</v>
      </c>
      <c r="L631" s="95">
        <v>-47.400000000000048</v>
      </c>
    </row>
    <row r="632" spans="11:12" x14ac:dyDescent="0.4">
      <c r="K632" s="36">
        <v>630</v>
      </c>
      <c r="L632" s="95">
        <v>-4.9737991503207013E-14</v>
      </c>
    </row>
    <row r="633" spans="11:12" x14ac:dyDescent="0.4">
      <c r="K633" s="36">
        <v>631</v>
      </c>
      <c r="L633" s="95">
        <v>-55.50000000000005</v>
      </c>
    </row>
    <row r="634" spans="11:12" x14ac:dyDescent="0.4">
      <c r="K634" s="36">
        <v>632</v>
      </c>
      <c r="L634" s="95">
        <v>-66.200000000000045</v>
      </c>
    </row>
    <row r="635" spans="11:12" x14ac:dyDescent="0.4">
      <c r="K635" s="36">
        <v>633</v>
      </c>
      <c r="L635" s="95">
        <v>-4.2632564145606011E-14</v>
      </c>
    </row>
    <row r="636" spans="11:12" x14ac:dyDescent="0.4">
      <c r="K636" s="36">
        <v>634</v>
      </c>
      <c r="L636" s="95">
        <v>54.19999999999996</v>
      </c>
    </row>
    <row r="637" spans="11:12" x14ac:dyDescent="0.4">
      <c r="K637" s="36">
        <v>635</v>
      </c>
      <c r="L637" s="95">
        <v>48.69999999999996</v>
      </c>
    </row>
    <row r="638" spans="11:12" x14ac:dyDescent="0.4">
      <c r="K638" s="36">
        <v>636</v>
      </c>
      <c r="L638" s="95">
        <v>-4.2632564145606011E-14</v>
      </c>
    </row>
    <row r="639" spans="11:12" x14ac:dyDescent="0.4">
      <c r="K639" s="36">
        <v>637</v>
      </c>
      <c r="L639" s="95">
        <v>15.699999999999957</v>
      </c>
    </row>
    <row r="640" spans="11:12" x14ac:dyDescent="0.4">
      <c r="K640" s="36">
        <v>638</v>
      </c>
      <c r="L640" s="95">
        <v>18.299999999999958</v>
      </c>
    </row>
    <row r="641" spans="11:12" x14ac:dyDescent="0.4">
      <c r="K641" s="36">
        <v>639</v>
      </c>
      <c r="L641" s="95">
        <v>-4.2632564145606011E-14</v>
      </c>
    </row>
    <row r="642" spans="11:12" x14ac:dyDescent="0.4">
      <c r="K642" s="36">
        <v>640</v>
      </c>
      <c r="L642" s="95">
        <v>26.799999999999958</v>
      </c>
    </row>
    <row r="643" spans="11:12" x14ac:dyDescent="0.4">
      <c r="K643" s="36">
        <v>641</v>
      </c>
      <c r="L643" s="95">
        <v>-14.900000000000045</v>
      </c>
    </row>
    <row r="644" spans="11:12" x14ac:dyDescent="0.4">
      <c r="K644" s="36">
        <v>642</v>
      </c>
      <c r="L644" s="95">
        <v>-4.4408920985006262E-14</v>
      </c>
    </row>
    <row r="645" spans="11:12" x14ac:dyDescent="0.4">
      <c r="K645" s="36">
        <v>643</v>
      </c>
      <c r="L645" s="95">
        <v>57.799999999999955</v>
      </c>
    </row>
    <row r="646" spans="11:12" x14ac:dyDescent="0.4">
      <c r="K646" s="36">
        <v>644</v>
      </c>
      <c r="L646" s="95">
        <v>45.199999999999953</v>
      </c>
    </row>
    <row r="647" spans="11:12" x14ac:dyDescent="0.4">
      <c r="K647" s="36">
        <v>645</v>
      </c>
      <c r="L647" s="95">
        <v>-4.9737991503207013E-14</v>
      </c>
    </row>
    <row r="648" spans="11:12" x14ac:dyDescent="0.4">
      <c r="K648" s="36">
        <v>646</v>
      </c>
      <c r="L648" s="95">
        <v>-4.5000000000000497</v>
      </c>
    </row>
    <row r="649" spans="11:12" x14ac:dyDescent="0.4">
      <c r="K649" s="36">
        <v>647</v>
      </c>
      <c r="L649" s="95">
        <v>-28.80000000000005</v>
      </c>
    </row>
    <row r="650" spans="11:12" x14ac:dyDescent="0.4">
      <c r="K650" s="36">
        <v>648</v>
      </c>
      <c r="L650" s="95">
        <v>-4.9737991503207013E-14</v>
      </c>
    </row>
    <row r="651" spans="11:12" x14ac:dyDescent="0.4">
      <c r="K651" s="36">
        <v>649</v>
      </c>
      <c r="L651" s="95">
        <v>-19.700000000000049</v>
      </c>
    </row>
    <row r="652" spans="11:12" x14ac:dyDescent="0.4">
      <c r="K652" s="36">
        <v>650</v>
      </c>
      <c r="L652" s="95">
        <v>-1.6000000000000476</v>
      </c>
    </row>
    <row r="653" spans="11:12" x14ac:dyDescent="0.4">
      <c r="K653" s="36">
        <v>651</v>
      </c>
      <c r="L653" s="95">
        <v>-4.75175454539567E-14</v>
      </c>
    </row>
    <row r="654" spans="11:12" x14ac:dyDescent="0.4">
      <c r="K654" s="36">
        <v>652</v>
      </c>
      <c r="L654" s="95">
        <v>-46.800000000000047</v>
      </c>
    </row>
    <row r="655" spans="11:12" x14ac:dyDescent="0.4">
      <c r="K655" s="36">
        <v>653</v>
      </c>
      <c r="L655" s="95">
        <v>29.599999999999959</v>
      </c>
    </row>
    <row r="656" spans="11:12" x14ac:dyDescent="0.4">
      <c r="K656" s="36">
        <v>654</v>
      </c>
      <c r="L656" s="95">
        <v>-4.2632564145606011E-14</v>
      </c>
    </row>
    <row r="657" spans="11:12" x14ac:dyDescent="0.4">
      <c r="K657" s="36">
        <v>655</v>
      </c>
      <c r="L657" s="95">
        <v>36.799999999999955</v>
      </c>
    </row>
    <row r="658" spans="11:12" x14ac:dyDescent="0.4">
      <c r="K658" s="36">
        <v>656</v>
      </c>
      <c r="L658" s="95">
        <v>0.89999999999995595</v>
      </c>
    </row>
    <row r="659" spans="11:12" x14ac:dyDescent="0.4">
      <c r="K659" s="36">
        <v>657</v>
      </c>
      <c r="L659" s="95">
        <v>-4.4075854077618715E-14</v>
      </c>
    </row>
    <row r="660" spans="11:12" x14ac:dyDescent="0.4">
      <c r="K660" s="36">
        <v>658</v>
      </c>
      <c r="L660" s="95">
        <v>0.5999999999999559</v>
      </c>
    </row>
    <row r="661" spans="11:12" x14ac:dyDescent="0.4">
      <c r="K661" s="36">
        <v>659</v>
      </c>
      <c r="L661" s="95">
        <v>18.699999999999957</v>
      </c>
    </row>
    <row r="662" spans="11:12" x14ac:dyDescent="0.4">
      <c r="K662" s="36">
        <v>660</v>
      </c>
      <c r="L662" s="95">
        <v>-4.2632564145606011E-14</v>
      </c>
    </row>
    <row r="663" spans="11:12" x14ac:dyDescent="0.4">
      <c r="K663" s="36">
        <v>661</v>
      </c>
      <c r="L663" s="95">
        <v>-18.500000000000043</v>
      </c>
    </row>
    <row r="664" spans="11:12" x14ac:dyDescent="0.4">
      <c r="K664" s="36">
        <v>662</v>
      </c>
      <c r="L664" s="95">
        <v>-63.600000000000044</v>
      </c>
    </row>
    <row r="665" spans="11:12" x14ac:dyDescent="0.4">
      <c r="K665" s="36">
        <v>663</v>
      </c>
      <c r="L665" s="95">
        <v>-4.2632564145606011E-14</v>
      </c>
    </row>
    <row r="666" spans="11:12" x14ac:dyDescent="0.4">
      <c r="K666" s="36">
        <v>664</v>
      </c>
      <c r="L666" s="95">
        <v>35.19999999999996</v>
      </c>
    </row>
    <row r="667" spans="11:12" x14ac:dyDescent="0.4">
      <c r="K667" s="36">
        <v>665</v>
      </c>
      <c r="L667" s="95">
        <v>-11.500000000000043</v>
      </c>
    </row>
    <row r="668" spans="11:12" x14ac:dyDescent="0.4">
      <c r="K668" s="36">
        <v>666</v>
      </c>
      <c r="L668" s="95">
        <v>-4.2632564145606011E-14</v>
      </c>
    </row>
    <row r="669" spans="11:12" x14ac:dyDescent="0.4">
      <c r="K669" s="36">
        <v>667</v>
      </c>
      <c r="L669" s="95">
        <v>28.899999999999956</v>
      </c>
    </row>
    <row r="670" spans="11:12" x14ac:dyDescent="0.4">
      <c r="K670" s="36">
        <v>668</v>
      </c>
      <c r="L670" s="95">
        <v>25.399999999999956</v>
      </c>
    </row>
    <row r="671" spans="11:12" x14ac:dyDescent="0.4">
      <c r="K671" s="36">
        <v>669</v>
      </c>
      <c r="L671" s="95">
        <v>-4.2632564145606011E-14</v>
      </c>
    </row>
    <row r="672" spans="11:12" x14ac:dyDescent="0.4">
      <c r="K672" s="36">
        <v>670</v>
      </c>
      <c r="L672" s="95">
        <v>3.2999999999999572</v>
      </c>
    </row>
    <row r="673" spans="11:12" x14ac:dyDescent="0.4">
      <c r="K673" s="36">
        <v>671</v>
      </c>
      <c r="L673" s="95">
        <v>22.699999999999957</v>
      </c>
    </row>
    <row r="674" spans="11:12" x14ac:dyDescent="0.4">
      <c r="K674" s="36">
        <v>672</v>
      </c>
      <c r="L674" s="95">
        <v>-4.2632564145606011E-14</v>
      </c>
    </row>
    <row r="675" spans="11:12" x14ac:dyDescent="0.4">
      <c r="K675" s="36">
        <v>673</v>
      </c>
      <c r="L675" s="95">
        <v>8.9999999999999574</v>
      </c>
    </row>
    <row r="676" spans="11:12" x14ac:dyDescent="0.4">
      <c r="K676" s="36">
        <v>674</v>
      </c>
      <c r="L676" s="95">
        <v>-43.600000000000044</v>
      </c>
    </row>
    <row r="677" spans="11:12" x14ac:dyDescent="0.4">
      <c r="K677" s="36">
        <v>675</v>
      </c>
      <c r="L677" s="95">
        <v>-4.2632564145606011E-14</v>
      </c>
    </row>
    <row r="678" spans="11:12" x14ac:dyDescent="0.4">
      <c r="K678" s="36">
        <v>676</v>
      </c>
      <c r="L678" s="95">
        <v>27.399999999999956</v>
      </c>
    </row>
    <row r="679" spans="11:12" x14ac:dyDescent="0.4">
      <c r="K679" s="36">
        <v>677</v>
      </c>
      <c r="L679" s="95">
        <v>41.999999999999957</v>
      </c>
    </row>
    <row r="680" spans="11:12" x14ac:dyDescent="0.4">
      <c r="K680" s="36">
        <v>678</v>
      </c>
      <c r="L680" s="95">
        <v>-4.2632564145606011E-14</v>
      </c>
    </row>
    <row r="681" spans="11:12" x14ac:dyDescent="0.4">
      <c r="K681" s="36">
        <v>679</v>
      </c>
      <c r="L681" s="95">
        <v>-22.300000000000043</v>
      </c>
    </row>
    <row r="682" spans="11:12" x14ac:dyDescent="0.4">
      <c r="K682" s="36">
        <v>680</v>
      </c>
      <c r="L682" s="95">
        <v>-17.100000000000044</v>
      </c>
    </row>
    <row r="683" spans="11:12" x14ac:dyDescent="0.4">
      <c r="K683" s="36">
        <v>681</v>
      </c>
      <c r="L683" s="95">
        <v>-4.2632564145606011E-14</v>
      </c>
    </row>
    <row r="684" spans="11:12" x14ac:dyDescent="0.4">
      <c r="K684" s="36">
        <v>682</v>
      </c>
      <c r="L684" s="95">
        <v>-5.0000000000000426</v>
      </c>
    </row>
    <row r="685" spans="11:12" x14ac:dyDescent="0.4">
      <c r="K685" s="36">
        <v>683</v>
      </c>
      <c r="L685" s="95">
        <v>19.999999999999957</v>
      </c>
    </row>
    <row r="686" spans="11:12" x14ac:dyDescent="0.4">
      <c r="K686" s="36">
        <v>684</v>
      </c>
      <c r="L686" s="95">
        <v>-4.2632564145606011E-14</v>
      </c>
    </row>
    <row r="687" spans="11:12" x14ac:dyDescent="0.4">
      <c r="K687" s="36">
        <v>685</v>
      </c>
      <c r="L687" s="95">
        <v>47.499999999999957</v>
      </c>
    </row>
    <row r="688" spans="11:12" x14ac:dyDescent="0.4">
      <c r="K688" s="36">
        <v>686</v>
      </c>
      <c r="L688" s="95">
        <v>45.499999999999957</v>
      </c>
    </row>
    <row r="689" spans="11:12" x14ac:dyDescent="0.4">
      <c r="K689" s="36">
        <v>687</v>
      </c>
      <c r="L689" s="95">
        <v>-4.2632564145606011E-14</v>
      </c>
    </row>
    <row r="690" spans="11:12" x14ac:dyDescent="0.4">
      <c r="K690" s="36">
        <v>688</v>
      </c>
      <c r="L690" s="95">
        <v>4.1999999999999575</v>
      </c>
    </row>
    <row r="691" spans="11:12" x14ac:dyDescent="0.4">
      <c r="K691" s="36">
        <v>689</v>
      </c>
      <c r="L691" s="95">
        <v>26.199999999999957</v>
      </c>
    </row>
    <row r="692" spans="11:12" x14ac:dyDescent="0.4">
      <c r="K692" s="36">
        <v>690</v>
      </c>
      <c r="L692" s="95">
        <v>-4.2632564145606011E-14</v>
      </c>
    </row>
    <row r="693" spans="11:12" x14ac:dyDescent="0.4">
      <c r="K693" s="36">
        <v>691</v>
      </c>
      <c r="L693" s="95">
        <v>46.19999999999996</v>
      </c>
    </row>
    <row r="694" spans="11:12" x14ac:dyDescent="0.4">
      <c r="K694" s="36">
        <v>692</v>
      </c>
      <c r="L694" s="95">
        <v>-5.3000000000000398</v>
      </c>
    </row>
    <row r="695" spans="11:12" x14ac:dyDescent="0.4">
      <c r="K695" s="36">
        <v>693</v>
      </c>
      <c r="L695" s="95">
        <v>-3.9968028886505635E-14</v>
      </c>
    </row>
    <row r="696" spans="11:12" x14ac:dyDescent="0.4">
      <c r="K696" s="36">
        <v>694</v>
      </c>
      <c r="L696" s="95">
        <v>5.5999999999999597</v>
      </c>
    </row>
    <row r="697" spans="11:12" x14ac:dyDescent="0.4">
      <c r="K697" s="36">
        <v>695</v>
      </c>
      <c r="L697" s="95">
        <v>23.19999999999996</v>
      </c>
    </row>
    <row r="698" spans="11:12" x14ac:dyDescent="0.4">
      <c r="K698" s="36">
        <v>696</v>
      </c>
      <c r="L698" s="95">
        <v>-3.907985046680551E-14</v>
      </c>
    </row>
    <row r="699" spans="11:12" x14ac:dyDescent="0.4">
      <c r="K699" s="36">
        <v>697</v>
      </c>
      <c r="L699" s="95">
        <v>3.8999999999999608</v>
      </c>
    </row>
    <row r="700" spans="11:12" x14ac:dyDescent="0.4">
      <c r="K700" s="36">
        <v>698</v>
      </c>
      <c r="L700" s="95">
        <v>-36.30000000000004</v>
      </c>
    </row>
    <row r="701" spans="11:12" x14ac:dyDescent="0.4">
      <c r="K701" s="36">
        <v>699</v>
      </c>
      <c r="L701" s="95">
        <v>-4.2632564145606011E-14</v>
      </c>
    </row>
    <row r="702" spans="11:12" x14ac:dyDescent="0.4">
      <c r="K702" s="36">
        <v>700</v>
      </c>
      <c r="L702" s="95">
        <v>-7.0000000000000426</v>
      </c>
    </row>
    <row r="703" spans="11:12" x14ac:dyDescent="0.4">
      <c r="K703" s="36">
        <v>701</v>
      </c>
      <c r="L703" s="95">
        <v>-35.700000000000045</v>
      </c>
    </row>
    <row r="704" spans="11:12" x14ac:dyDescent="0.4">
      <c r="K704" s="36">
        <v>702</v>
      </c>
      <c r="L704" s="95">
        <v>-4.2632564145606011E-14</v>
      </c>
    </row>
    <row r="705" spans="11:12" x14ac:dyDescent="0.4">
      <c r="K705" s="36">
        <v>703</v>
      </c>
      <c r="L705" s="95">
        <v>-7.1000000000000423</v>
      </c>
    </row>
    <row r="706" spans="11:12" x14ac:dyDescent="0.4">
      <c r="K706" s="36">
        <v>704</v>
      </c>
      <c r="L706" s="95">
        <v>17.599999999999959</v>
      </c>
    </row>
    <row r="707" spans="11:12" x14ac:dyDescent="0.4">
      <c r="K707" s="36">
        <v>705</v>
      </c>
      <c r="L707" s="95">
        <v>-4.2632564145606011E-14</v>
      </c>
    </row>
    <row r="708" spans="11:12" x14ac:dyDescent="0.4">
      <c r="K708" s="36">
        <v>706</v>
      </c>
      <c r="L708" s="95">
        <v>32.999999999999957</v>
      </c>
    </row>
    <row r="709" spans="11:12" x14ac:dyDescent="0.4">
      <c r="K709" s="36">
        <v>707</v>
      </c>
      <c r="L709" s="95">
        <v>33.099999999999959</v>
      </c>
    </row>
    <row r="710" spans="11:12" x14ac:dyDescent="0.4">
      <c r="K710" s="36">
        <v>708</v>
      </c>
      <c r="L710" s="95">
        <v>-4.2632564145606011E-14</v>
      </c>
    </row>
    <row r="711" spans="11:12" x14ac:dyDescent="0.4">
      <c r="K711" s="36">
        <v>709</v>
      </c>
      <c r="L711" s="95">
        <v>-12.100000000000042</v>
      </c>
    </row>
    <row r="712" spans="11:12" x14ac:dyDescent="0.4">
      <c r="K712" s="36">
        <v>710</v>
      </c>
      <c r="L712" s="95">
        <v>-12.800000000000042</v>
      </c>
    </row>
    <row r="713" spans="11:12" x14ac:dyDescent="0.4">
      <c r="K713" s="36">
        <v>711</v>
      </c>
      <c r="L713" s="95">
        <v>-4.0856207306205761E-14</v>
      </c>
    </row>
    <row r="714" spans="11:12" x14ac:dyDescent="0.4">
      <c r="K714" s="36">
        <v>712</v>
      </c>
      <c r="L714" s="95">
        <v>-13.800000000000042</v>
      </c>
    </row>
    <row r="715" spans="11:12" x14ac:dyDescent="0.4">
      <c r="K715" s="36">
        <v>713</v>
      </c>
      <c r="L715" s="95">
        <v>0.49999999999995914</v>
      </c>
    </row>
    <row r="716" spans="11:12" x14ac:dyDescent="0.4">
      <c r="K716" s="36">
        <v>714</v>
      </c>
      <c r="L716" s="95">
        <v>-4.0856207306205761E-14</v>
      </c>
    </row>
    <row r="717" spans="11:12" x14ac:dyDescent="0.4">
      <c r="K717" s="36">
        <v>715</v>
      </c>
      <c r="L717" s="95">
        <v>-2.8000000000000407</v>
      </c>
    </row>
    <row r="718" spans="11:12" x14ac:dyDescent="0.4">
      <c r="K718" s="36">
        <v>716</v>
      </c>
      <c r="L718" s="95">
        <v>-15.700000000000042</v>
      </c>
    </row>
    <row r="719" spans="11:12" x14ac:dyDescent="0.4">
      <c r="K719" s="36">
        <v>717</v>
      </c>
      <c r="L719" s="95">
        <v>-4.2632564145606011E-14</v>
      </c>
    </row>
    <row r="720" spans="11:12" x14ac:dyDescent="0.4">
      <c r="K720" s="36">
        <v>718</v>
      </c>
      <c r="L720" s="95">
        <v>10.199999999999957</v>
      </c>
    </row>
    <row r="721" spans="11:12" x14ac:dyDescent="0.4">
      <c r="K721" s="36">
        <v>719</v>
      </c>
      <c r="L721" s="95">
        <v>-37.700000000000045</v>
      </c>
    </row>
    <row r="722" spans="11:12" x14ac:dyDescent="0.4">
      <c r="K722" s="36">
        <v>720</v>
      </c>
      <c r="L722" s="95">
        <v>-4.2632564145606011E-14</v>
      </c>
    </row>
    <row r="723" spans="11:12" x14ac:dyDescent="0.4">
      <c r="K723" s="36">
        <v>721</v>
      </c>
      <c r="L723" s="95">
        <v>-30.900000000000041</v>
      </c>
    </row>
    <row r="724" spans="11:12" x14ac:dyDescent="0.4">
      <c r="K724" s="36">
        <v>722</v>
      </c>
      <c r="L724" s="95">
        <v>-9.2000000000000419</v>
      </c>
    </row>
    <row r="725" spans="11:12" x14ac:dyDescent="0.4">
      <c r="K725" s="36">
        <v>723</v>
      </c>
      <c r="L725" s="95">
        <v>-4.2632564145606011E-14</v>
      </c>
    </row>
    <row r="726" spans="11:12" x14ac:dyDescent="0.4">
      <c r="K726" s="36">
        <v>724</v>
      </c>
      <c r="L726" s="95">
        <v>-49.500000000000043</v>
      </c>
    </row>
    <row r="727" spans="11:12" x14ac:dyDescent="0.4">
      <c r="K727" s="36">
        <v>725</v>
      </c>
      <c r="L727" s="95">
        <v>-56.900000000000041</v>
      </c>
    </row>
    <row r="728" spans="11:12" x14ac:dyDescent="0.4">
      <c r="K728" s="36">
        <v>726</v>
      </c>
      <c r="L728" s="95">
        <v>-4.2632564145606011E-14</v>
      </c>
    </row>
    <row r="729" spans="11:12" x14ac:dyDescent="0.4">
      <c r="K729" s="36">
        <v>727</v>
      </c>
      <c r="L729" s="95">
        <v>-36.400000000000041</v>
      </c>
    </row>
    <row r="730" spans="11:12" x14ac:dyDescent="0.4">
      <c r="K730" s="36">
        <v>728</v>
      </c>
      <c r="L730" s="95">
        <v>-32.700000000000038</v>
      </c>
    </row>
    <row r="731" spans="11:12" x14ac:dyDescent="0.4">
      <c r="K731" s="36">
        <v>729</v>
      </c>
      <c r="L731" s="95">
        <v>-3.5527136788005009E-14</v>
      </c>
    </row>
    <row r="732" spans="11:12" x14ac:dyDescent="0.4">
      <c r="K732" s="36">
        <v>730</v>
      </c>
      <c r="L732" s="95">
        <v>34.999999999999964</v>
      </c>
    </row>
    <row r="733" spans="11:12" x14ac:dyDescent="0.4">
      <c r="K733" s="36">
        <v>731</v>
      </c>
      <c r="L733" s="95">
        <v>-1.3000000000000327</v>
      </c>
    </row>
    <row r="734" spans="11:12" x14ac:dyDescent="0.4">
      <c r="K734" s="36">
        <v>732</v>
      </c>
      <c r="L734" s="95">
        <v>-3.2640556923979602E-14</v>
      </c>
    </row>
    <row r="735" spans="11:12" x14ac:dyDescent="0.4">
      <c r="K735" s="36">
        <v>733</v>
      </c>
      <c r="L735" s="95">
        <v>-16.600000000000033</v>
      </c>
    </row>
    <row r="736" spans="11:12" x14ac:dyDescent="0.4">
      <c r="K736" s="36">
        <v>734</v>
      </c>
      <c r="L736" s="95">
        <v>-14.600000000000033</v>
      </c>
    </row>
    <row r="737" spans="11:12" x14ac:dyDescent="0.4">
      <c r="K737" s="36">
        <v>735</v>
      </c>
      <c r="L737" s="95">
        <v>-3.3750779948604759E-14</v>
      </c>
    </row>
    <row r="738" spans="11:12" x14ac:dyDescent="0.4">
      <c r="K738" s="36">
        <v>736</v>
      </c>
      <c r="L738" s="95">
        <v>45.899999999999963</v>
      </c>
    </row>
    <row r="739" spans="11:12" x14ac:dyDescent="0.4">
      <c r="K739" s="36">
        <v>737</v>
      </c>
      <c r="L739" s="95">
        <v>10.499999999999964</v>
      </c>
    </row>
    <row r="740" spans="11:12" x14ac:dyDescent="0.4">
      <c r="K740" s="36">
        <v>738</v>
      </c>
      <c r="L740" s="95">
        <v>-3.5527136788005009E-14</v>
      </c>
    </row>
    <row r="741" spans="11:12" x14ac:dyDescent="0.4">
      <c r="K741" s="36">
        <v>739</v>
      </c>
      <c r="L741" s="95">
        <v>45.599999999999966</v>
      </c>
    </row>
    <row r="742" spans="11:12" x14ac:dyDescent="0.4">
      <c r="K742" s="36">
        <v>740</v>
      </c>
      <c r="L742" s="95">
        <v>57.199999999999967</v>
      </c>
    </row>
    <row r="743" spans="11:12" x14ac:dyDescent="0.4">
      <c r="K743" s="36">
        <v>741</v>
      </c>
      <c r="L743" s="95">
        <v>-3.5527136788005009E-14</v>
      </c>
    </row>
    <row r="744" spans="11:12" x14ac:dyDescent="0.4">
      <c r="K744" s="36">
        <v>742</v>
      </c>
      <c r="L744" s="95">
        <v>11.399999999999965</v>
      </c>
    </row>
    <row r="745" spans="11:12" x14ac:dyDescent="0.4">
      <c r="K745" s="36">
        <v>743</v>
      </c>
      <c r="L745" s="95">
        <v>49.499999999999964</v>
      </c>
    </row>
    <row r="746" spans="11:12" x14ac:dyDescent="0.4">
      <c r="K746" s="36">
        <v>744</v>
      </c>
      <c r="L746" s="95">
        <v>-3.5527136788005009E-14</v>
      </c>
    </row>
    <row r="747" spans="11:12" x14ac:dyDescent="0.4">
      <c r="K747" s="36">
        <v>745</v>
      </c>
      <c r="L747" s="95">
        <v>-3.8000000000000353</v>
      </c>
    </row>
    <row r="748" spans="11:12" x14ac:dyDescent="0.4">
      <c r="K748" s="36">
        <v>746</v>
      </c>
      <c r="L748" s="95">
        <v>-28.300000000000036</v>
      </c>
    </row>
    <row r="749" spans="11:12" x14ac:dyDescent="0.4">
      <c r="K749" s="36">
        <v>747</v>
      </c>
      <c r="L749" s="95">
        <v>-3.5527136788005009E-14</v>
      </c>
    </row>
    <row r="750" spans="11:12" x14ac:dyDescent="0.4">
      <c r="K750" s="36">
        <v>748</v>
      </c>
      <c r="L750" s="95">
        <v>42.499999999999964</v>
      </c>
    </row>
    <row r="751" spans="11:12" x14ac:dyDescent="0.4">
      <c r="K751" s="36">
        <v>749</v>
      </c>
      <c r="L751" s="95">
        <v>-3.9000000000000341</v>
      </c>
    </row>
    <row r="752" spans="11:12" x14ac:dyDescent="0.4">
      <c r="K752" s="36">
        <v>750</v>
      </c>
      <c r="L752" s="95">
        <v>-3.4194869158454821E-14</v>
      </c>
    </row>
    <row r="753" spans="11:12" x14ac:dyDescent="0.4">
      <c r="K753" s="36">
        <v>751</v>
      </c>
      <c r="L753" s="95">
        <v>-25.200000000000035</v>
      </c>
    </row>
    <row r="754" spans="11:12" x14ac:dyDescent="0.4">
      <c r="K754" s="36">
        <v>752</v>
      </c>
      <c r="L754" s="95">
        <v>1.7999999999999652</v>
      </c>
    </row>
    <row r="755" spans="11:12" x14ac:dyDescent="0.4">
      <c r="K755" s="36">
        <v>753</v>
      </c>
      <c r="L755" s="95">
        <v>-3.4861002973229915E-14</v>
      </c>
    </row>
    <row r="756" spans="11:12" x14ac:dyDescent="0.4">
      <c r="K756" s="36">
        <v>754</v>
      </c>
      <c r="L756" s="95">
        <v>44.399999999999963</v>
      </c>
    </row>
    <row r="757" spans="11:12" x14ac:dyDescent="0.4">
      <c r="K757" s="36">
        <v>755</v>
      </c>
      <c r="L757" s="95">
        <v>2.9999999999999645</v>
      </c>
    </row>
    <row r="758" spans="11:12" x14ac:dyDescent="0.4">
      <c r="K758" s="36">
        <v>756</v>
      </c>
      <c r="L758" s="95">
        <v>-3.5527136788005009E-14</v>
      </c>
    </row>
    <row r="759" spans="11:12" x14ac:dyDescent="0.4">
      <c r="K759" s="36">
        <v>757</v>
      </c>
      <c r="L759" s="95">
        <v>26.199999999999964</v>
      </c>
    </row>
    <row r="760" spans="11:12" x14ac:dyDescent="0.4">
      <c r="K760" s="36">
        <v>758</v>
      </c>
      <c r="L760" s="95">
        <v>-15.400000000000038</v>
      </c>
    </row>
    <row r="761" spans="11:12" x14ac:dyDescent="0.4">
      <c r="K761" s="36">
        <v>759</v>
      </c>
      <c r="L761" s="95">
        <v>-3.730349362740526E-14</v>
      </c>
    </row>
    <row r="762" spans="11:12" x14ac:dyDescent="0.4">
      <c r="K762" s="36">
        <v>760</v>
      </c>
      <c r="L762" s="95">
        <v>0.89999999999996272</v>
      </c>
    </row>
    <row r="763" spans="11:12" x14ac:dyDescent="0.4">
      <c r="K763" s="36">
        <v>761</v>
      </c>
      <c r="L763" s="95">
        <v>41.799999999999962</v>
      </c>
    </row>
    <row r="764" spans="11:12" x14ac:dyDescent="0.4">
      <c r="K764" s="36">
        <v>762</v>
      </c>
      <c r="L764" s="95">
        <v>-3.5527136788005009E-14</v>
      </c>
    </row>
    <row r="765" spans="11:12" x14ac:dyDescent="0.4">
      <c r="K765" s="36">
        <v>763</v>
      </c>
      <c r="L765" s="95">
        <v>34.499999999999964</v>
      </c>
    </row>
    <row r="766" spans="11:12" x14ac:dyDescent="0.4">
      <c r="K766" s="36">
        <v>764</v>
      </c>
      <c r="L766" s="95">
        <v>29.099999999999966</v>
      </c>
    </row>
    <row r="767" spans="11:12" x14ac:dyDescent="0.4">
      <c r="K767" s="36">
        <v>765</v>
      </c>
      <c r="L767" s="95">
        <v>-3.5527136788005009E-14</v>
      </c>
    </row>
    <row r="768" spans="11:12" x14ac:dyDescent="0.4">
      <c r="K768" s="36">
        <v>766</v>
      </c>
      <c r="L768" s="95">
        <v>2.3999999999999644</v>
      </c>
    </row>
    <row r="769" spans="11:12" x14ac:dyDescent="0.4">
      <c r="K769" s="36">
        <v>767</v>
      </c>
      <c r="L769" s="95">
        <v>16.999999999999964</v>
      </c>
    </row>
    <row r="770" spans="11:12" x14ac:dyDescent="0.4">
      <c r="K770" s="36">
        <v>768</v>
      </c>
      <c r="L770" s="95">
        <v>-3.5527136788005009E-14</v>
      </c>
    </row>
    <row r="771" spans="11:12" x14ac:dyDescent="0.4">
      <c r="K771" s="36">
        <v>769</v>
      </c>
      <c r="L771" s="95">
        <v>-7.2000000000000357</v>
      </c>
    </row>
    <row r="772" spans="11:12" x14ac:dyDescent="0.4">
      <c r="K772" s="36">
        <v>770</v>
      </c>
      <c r="L772" s="95">
        <v>-42.80000000000004</v>
      </c>
    </row>
    <row r="773" spans="11:12" x14ac:dyDescent="0.4">
      <c r="K773" s="36">
        <v>771</v>
      </c>
      <c r="L773" s="95">
        <v>-4.2632564145606011E-14</v>
      </c>
    </row>
    <row r="774" spans="11:12" x14ac:dyDescent="0.4">
      <c r="K774" s="36">
        <v>772</v>
      </c>
      <c r="L774" s="95">
        <v>-26.700000000000042</v>
      </c>
    </row>
    <row r="775" spans="11:12" x14ac:dyDescent="0.4">
      <c r="K775" s="36">
        <v>773</v>
      </c>
      <c r="L775" s="95">
        <v>-34.80000000000004</v>
      </c>
    </row>
    <row r="776" spans="11:12" x14ac:dyDescent="0.4">
      <c r="K776" s="36">
        <v>774</v>
      </c>
      <c r="L776" s="95">
        <v>-4.2632564145606011E-14</v>
      </c>
    </row>
    <row r="777" spans="11:12" x14ac:dyDescent="0.4">
      <c r="K777" s="36">
        <v>775</v>
      </c>
      <c r="L777" s="95">
        <v>-19.000000000000043</v>
      </c>
    </row>
    <row r="778" spans="11:12" x14ac:dyDescent="0.4">
      <c r="K778" s="36">
        <v>776</v>
      </c>
      <c r="L778" s="95">
        <v>-4.2632564145606011E-14</v>
      </c>
    </row>
    <row r="779" spans="11:12" x14ac:dyDescent="0.4">
      <c r="K779" s="36">
        <v>777</v>
      </c>
      <c r="L779" s="95">
        <v>-4.2632564145606011E-14</v>
      </c>
    </row>
    <row r="780" spans="11:12" x14ac:dyDescent="0.4">
      <c r="K780" s="36">
        <v>778</v>
      </c>
      <c r="L780" s="95">
        <v>6.599999999999957</v>
      </c>
    </row>
    <row r="781" spans="11:12" x14ac:dyDescent="0.4">
      <c r="K781" s="36">
        <v>779</v>
      </c>
      <c r="L781" s="95">
        <v>-18.200000000000045</v>
      </c>
    </row>
    <row r="782" spans="11:12" x14ac:dyDescent="0.4">
      <c r="K782" s="36">
        <v>780</v>
      </c>
      <c r="L782" s="95">
        <v>-4.6185277824406512E-14</v>
      </c>
    </row>
    <row r="783" spans="11:12" x14ac:dyDescent="0.4">
      <c r="K783" s="36">
        <v>781</v>
      </c>
      <c r="L783" s="95">
        <v>-36.600000000000051</v>
      </c>
    </row>
    <row r="784" spans="11:12" x14ac:dyDescent="0.4">
      <c r="K784" s="36">
        <v>782</v>
      </c>
      <c r="L784" s="95">
        <v>1.7999999999999474</v>
      </c>
    </row>
    <row r="785" spans="11:12" x14ac:dyDescent="0.4">
      <c r="K785" s="36">
        <v>783</v>
      </c>
      <c r="L785" s="95">
        <v>-5.262457136723242E-14</v>
      </c>
    </row>
    <row r="786" spans="11:12" x14ac:dyDescent="0.4">
      <c r="K786" s="36">
        <v>784</v>
      </c>
      <c r="L786" s="95">
        <v>23.499999999999947</v>
      </c>
    </row>
    <row r="787" spans="11:12" x14ac:dyDescent="0.4">
      <c r="K787" s="36">
        <v>785</v>
      </c>
      <c r="L787" s="95">
        <v>29.899999999999949</v>
      </c>
    </row>
    <row r="788" spans="11:12" x14ac:dyDescent="0.4">
      <c r="K788" s="36">
        <v>786</v>
      </c>
      <c r="L788" s="95">
        <v>-4.9737991503207013E-14</v>
      </c>
    </row>
    <row r="789" spans="11:12" x14ac:dyDescent="0.4">
      <c r="K789" s="36">
        <v>787</v>
      </c>
      <c r="L789" s="95">
        <v>36.199999999999953</v>
      </c>
    </row>
    <row r="790" spans="11:12" x14ac:dyDescent="0.4">
      <c r="K790" s="36">
        <v>788</v>
      </c>
      <c r="L790" s="95">
        <v>9.8999999999999524</v>
      </c>
    </row>
    <row r="791" spans="11:12" x14ac:dyDescent="0.4">
      <c r="K791" s="36">
        <v>789</v>
      </c>
      <c r="L791" s="95">
        <v>-4.7961634663806763E-14</v>
      </c>
    </row>
    <row r="792" spans="11:12" x14ac:dyDescent="0.4">
      <c r="K792" s="36">
        <v>790</v>
      </c>
      <c r="L792" s="95">
        <v>-32.50000000000005</v>
      </c>
    </row>
    <row r="793" spans="11:12" x14ac:dyDescent="0.4">
      <c r="K793" s="36">
        <v>791</v>
      </c>
      <c r="L793" s="95">
        <v>-30.400000000000048</v>
      </c>
    </row>
    <row r="794" spans="11:12" x14ac:dyDescent="0.4">
      <c r="K794" s="36">
        <v>792</v>
      </c>
      <c r="L794" s="95">
        <v>-4.9737991503207013E-14</v>
      </c>
    </row>
    <row r="795" spans="11:12" x14ac:dyDescent="0.4">
      <c r="K795" s="36">
        <v>793</v>
      </c>
      <c r="L795" s="95">
        <v>42.399999999999949</v>
      </c>
    </row>
    <row r="796" spans="11:12" x14ac:dyDescent="0.4">
      <c r="K796" s="36">
        <v>794</v>
      </c>
      <c r="L796" s="95">
        <v>34.099999999999952</v>
      </c>
    </row>
    <row r="797" spans="11:12" x14ac:dyDescent="0.4">
      <c r="K797" s="36">
        <v>795</v>
      </c>
      <c r="L797" s="95">
        <v>-4.9737991503207013E-14</v>
      </c>
    </row>
    <row r="798" spans="11:12" x14ac:dyDescent="0.4">
      <c r="K798" s="36">
        <v>796</v>
      </c>
      <c r="L798" s="95">
        <v>32.899999999999949</v>
      </c>
    </row>
    <row r="799" spans="11:12" x14ac:dyDescent="0.4">
      <c r="K799" s="36">
        <v>797</v>
      </c>
      <c r="L799" s="95">
        <v>37.099999999999952</v>
      </c>
    </row>
    <row r="800" spans="11:12" x14ac:dyDescent="0.4">
      <c r="K800" s="36">
        <v>798</v>
      </c>
      <c r="L800" s="95">
        <v>-4.9737991503207013E-14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72A77-7817-468C-8E63-00EB0E0E6E09}">
  <sheetPr codeName="Sheet7"/>
  <dimension ref="A1:Q7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71</v>
      </c>
      <c r="C2" s="155"/>
      <c r="E2" s="58" t="s">
        <v>66</v>
      </c>
      <c r="F2" s="55" t="s">
        <v>22</v>
      </c>
      <c r="G2" s="43">
        <v>127</v>
      </c>
      <c r="H2" s="128">
        <f>IF(B$15=0,0,G2/B$15)</f>
        <v>0.73837209302325579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1797.1830985915492</v>
      </c>
      <c r="P2" s="114">
        <v>71</v>
      </c>
      <c r="Q2" s="98">
        <v>127600</v>
      </c>
    </row>
    <row r="3" spans="1:17" x14ac:dyDescent="0.4">
      <c r="A3" s="51" t="s">
        <v>8</v>
      </c>
      <c r="B3" s="156">
        <v>629</v>
      </c>
      <c r="C3" s="157"/>
      <c r="E3" s="59" t="s">
        <v>72</v>
      </c>
      <c r="F3" s="56" t="s">
        <v>27</v>
      </c>
      <c r="G3" s="44">
        <v>94</v>
      </c>
      <c r="H3" s="129">
        <f>IF(B$15=0,0,G3/B$15)</f>
        <v>0.54651162790697672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-1605.7142857142858</v>
      </c>
      <c r="P3" s="115">
        <v>70</v>
      </c>
      <c r="Q3" s="99">
        <v>-112400</v>
      </c>
    </row>
    <row r="4" spans="1:17" x14ac:dyDescent="0.4">
      <c r="A4" s="51" t="s">
        <v>6</v>
      </c>
      <c r="B4" s="158">
        <v>-486.70000000000027</v>
      </c>
      <c r="C4" s="159"/>
      <c r="E4" s="59" t="s">
        <v>166</v>
      </c>
      <c r="F4" s="56" t="s">
        <v>167</v>
      </c>
      <c r="G4" s="44">
        <v>68</v>
      </c>
      <c r="H4" s="129">
        <f>IF(B$15=0,0,G4/B$15)</f>
        <v>0.39534883720930231</v>
      </c>
      <c r="I4" s="90">
        <v>5</v>
      </c>
      <c r="K4" s="36">
        <v>2</v>
      </c>
      <c r="L4" s="95">
        <v>19.899999999999999</v>
      </c>
      <c r="N4" s="111" t="s">
        <v>132</v>
      </c>
      <c r="O4" s="118">
        <f t="shared" si="0"/>
        <v>-1730.8823529411766</v>
      </c>
      <c r="P4" s="115">
        <v>68</v>
      </c>
      <c r="Q4" s="99">
        <v>-117700</v>
      </c>
    </row>
    <row r="5" spans="1:17" x14ac:dyDescent="0.4">
      <c r="A5" s="51" t="s">
        <v>7</v>
      </c>
      <c r="B5" s="160">
        <f>IF(B$2=0,0,B$4/B$2)</f>
        <v>-6.8549295774647927</v>
      </c>
      <c r="C5" s="161"/>
      <c r="E5" s="59" t="s">
        <v>64</v>
      </c>
      <c r="F5" s="56" t="s">
        <v>20</v>
      </c>
      <c r="G5" s="44">
        <v>47</v>
      </c>
      <c r="H5" s="129">
        <f>IF(B$15=0,0,G5/B$15)</f>
        <v>0.27325581395348836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-882.8125</v>
      </c>
      <c r="P5" s="115">
        <v>64</v>
      </c>
      <c r="Q5" s="99">
        <v>-56500</v>
      </c>
    </row>
    <row r="6" spans="1:17" x14ac:dyDescent="0.4">
      <c r="A6" s="51" t="s">
        <v>1</v>
      </c>
      <c r="B6" s="150">
        <f>IF(B$2=0,0,(B$7*1+B$8*2+B$9*3)/B$2)</f>
        <v>2.1549295774647885</v>
      </c>
      <c r="C6" s="151"/>
      <c r="E6" s="59" t="s">
        <v>68</v>
      </c>
      <c r="F6" s="56" t="s">
        <v>12</v>
      </c>
      <c r="G6" s="44">
        <v>47</v>
      </c>
      <c r="H6" s="129">
        <f>IF(B$15=0,0,G6/B$15)</f>
        <v>0.27325581395348836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-480.95238095238096</v>
      </c>
      <c r="P6" s="115">
        <v>63</v>
      </c>
      <c r="Q6" s="99">
        <v>-30300</v>
      </c>
    </row>
    <row r="7" spans="1:17" x14ac:dyDescent="0.4">
      <c r="A7" s="51" t="s">
        <v>2</v>
      </c>
      <c r="B7" s="44">
        <v>22</v>
      </c>
      <c r="C7" s="37">
        <f t="shared" ref="C7:C10" si="1">IF(B$2=0,0,B7/B$2)</f>
        <v>0.30985915492957744</v>
      </c>
      <c r="E7" s="59" t="s">
        <v>67</v>
      </c>
      <c r="F7" s="56" t="s">
        <v>23</v>
      </c>
      <c r="G7" s="44">
        <v>32</v>
      </c>
      <c r="H7" s="129">
        <f>IF(B$15=0,0,G7/B$15)</f>
        <v>0.18604651162790697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-2350.909090909091</v>
      </c>
      <c r="P7" s="116">
        <v>55</v>
      </c>
      <c r="Q7" s="100">
        <v>-129300</v>
      </c>
    </row>
    <row r="8" spans="1:17" x14ac:dyDescent="0.4">
      <c r="A8" s="51" t="s">
        <v>3</v>
      </c>
      <c r="B8" s="44">
        <v>16</v>
      </c>
      <c r="C8" s="37">
        <f t="shared" si="1"/>
        <v>0.22535211267605634</v>
      </c>
      <c r="E8" s="59" t="s">
        <v>69</v>
      </c>
      <c r="F8" s="56" t="s">
        <v>24</v>
      </c>
      <c r="G8" s="44">
        <v>32</v>
      </c>
      <c r="H8" s="129">
        <f>IF(B$15=0,0,G8/B$15)</f>
        <v>0.18604651162790697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33</v>
      </c>
      <c r="C9" s="38">
        <f t="shared" si="1"/>
        <v>0.46478873239436619</v>
      </c>
      <c r="E9" s="59" t="s">
        <v>71</v>
      </c>
      <c r="F9" s="56" t="s">
        <v>26</v>
      </c>
      <c r="G9" s="44">
        <v>21</v>
      </c>
      <c r="H9" s="129">
        <f>IF(B$15=0,0,G9/B$15)</f>
        <v>0.12209302325581395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5</v>
      </c>
      <c r="C10" s="40">
        <f t="shared" si="1"/>
        <v>7.0422535211267609E-2</v>
      </c>
      <c r="E10" s="59" t="s">
        <v>70</v>
      </c>
      <c r="F10" s="56" t="s">
        <v>25</v>
      </c>
      <c r="G10" s="44">
        <v>20</v>
      </c>
      <c r="H10" s="129">
        <f>IF(B$15=0,0,G10/B$15)</f>
        <v>0.11627906976744186</v>
      </c>
      <c r="I10" s="90">
        <v>4</v>
      </c>
      <c r="K10" s="36">
        <v>8</v>
      </c>
      <c r="L10" s="95">
        <v>-76.900000000000006</v>
      </c>
      <c r="N10" s="110" t="s">
        <v>157</v>
      </c>
      <c r="O10" s="120">
        <f>IF(P10=0,0,Q10/P10)</f>
        <v>-11.592592592592593</v>
      </c>
      <c r="P10" s="114">
        <v>27</v>
      </c>
      <c r="Q10" s="102">
        <v>-313</v>
      </c>
    </row>
    <row r="11" spans="1:17" x14ac:dyDescent="0.4">
      <c r="A11" s="54" t="s">
        <v>121</v>
      </c>
      <c r="B11" s="47">
        <v>94</v>
      </c>
      <c r="C11" s="42">
        <f>IF(B$3=0,0,B11/B$3)</f>
        <v>0.1494435612082671</v>
      </c>
      <c r="E11" s="59" t="s">
        <v>83</v>
      </c>
      <c r="F11" s="56" t="s">
        <v>38</v>
      </c>
      <c r="G11" s="44">
        <v>14</v>
      </c>
      <c r="H11" s="129">
        <f>IF(B$15=0,0,G11/B$15)</f>
        <v>8.1395348837209308E-2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-8.1105263157894729</v>
      </c>
      <c r="P11" s="115">
        <v>19</v>
      </c>
      <c r="Q11" s="103">
        <v>-154.1</v>
      </c>
    </row>
    <row r="12" spans="1:17" x14ac:dyDescent="0.4">
      <c r="A12" s="51" t="s">
        <v>118</v>
      </c>
      <c r="B12" s="44">
        <v>159</v>
      </c>
      <c r="C12" s="37">
        <f>IF(B$3=0,0,B12/B$3)</f>
        <v>0.25278219395866453</v>
      </c>
      <c r="E12" s="59" t="s">
        <v>65</v>
      </c>
      <c r="F12" s="56" t="s">
        <v>21</v>
      </c>
      <c r="G12" s="44">
        <v>10</v>
      </c>
      <c r="H12" s="129">
        <f>IF(B$15=0,0,G12/B$15)</f>
        <v>5.8139534883720929E-2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-0.78399999999999959</v>
      </c>
      <c r="P12" s="116">
        <v>25</v>
      </c>
      <c r="Q12" s="104">
        <v>-19.599999999999991</v>
      </c>
    </row>
    <row r="13" spans="1:17" x14ac:dyDescent="0.4">
      <c r="A13" s="50" t="s">
        <v>123</v>
      </c>
      <c r="B13" s="43">
        <f>B19</f>
        <v>49</v>
      </c>
      <c r="C13" s="35">
        <f>IF(B$11=0,0,B13/B$11)</f>
        <v>0.52127659574468088</v>
      </c>
      <c r="E13" s="59" t="s">
        <v>89</v>
      </c>
      <c r="F13" s="56" t="s">
        <v>44</v>
      </c>
      <c r="G13" s="44">
        <v>9</v>
      </c>
      <c r="H13" s="129">
        <f>IF(B$15=0,0,G13/B$15)</f>
        <v>5.232558139534884E-2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63</v>
      </c>
      <c r="C14" s="35">
        <f>IF(B$12=0,0,B14/B$12)</f>
        <v>0.39622641509433965</v>
      </c>
      <c r="E14" s="59" t="s">
        <v>81</v>
      </c>
      <c r="F14" s="56" t="s">
        <v>36</v>
      </c>
      <c r="G14" s="44">
        <v>8</v>
      </c>
      <c r="H14" s="129">
        <f>IF(B$15=0,0,G14/B$15)</f>
        <v>4.6511627906976744E-2</v>
      </c>
      <c r="I14" s="90">
        <v>2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172</v>
      </c>
      <c r="C15" s="35">
        <f>IF(B$3=0,0,B15/B$3)</f>
        <v>0.27344992050874406</v>
      </c>
      <c r="E15" s="59" t="s">
        <v>86</v>
      </c>
      <c r="F15" s="56" t="s">
        <v>41</v>
      </c>
      <c r="G15" s="44">
        <v>5</v>
      </c>
      <c r="H15" s="129">
        <f>IF(B$15=0,0,G15/B$15)</f>
        <v>2.9069767441860465E-2</v>
      </c>
      <c r="I15" s="90">
        <v>11</v>
      </c>
      <c r="K15" s="36">
        <v>13</v>
      </c>
      <c r="L15" s="95">
        <v>-66.2</v>
      </c>
      <c r="N15" s="110" t="s">
        <v>274</v>
      </c>
      <c r="O15" s="120">
        <f>IF(P15=0,0,Q15/P15)</f>
        <v>51.55</v>
      </c>
      <c r="P15" s="114">
        <v>2</v>
      </c>
      <c r="Q15" s="102">
        <v>103.1</v>
      </c>
    </row>
    <row r="16" spans="1:17" x14ac:dyDescent="0.4">
      <c r="A16" s="51" t="s">
        <v>13</v>
      </c>
      <c r="B16" s="44">
        <v>98</v>
      </c>
      <c r="C16" s="37">
        <f>IF(B$3=0,0,B16/B$3)</f>
        <v>0.15580286168521462</v>
      </c>
      <c r="E16" s="59" t="s">
        <v>79</v>
      </c>
      <c r="F16" s="56" t="s">
        <v>34</v>
      </c>
      <c r="G16" s="44">
        <v>3</v>
      </c>
      <c r="H16" s="129">
        <f>IF(B$15=0,0,G16/B$15)</f>
        <v>1.7441860465116279E-2</v>
      </c>
      <c r="I16" s="90">
        <v>4</v>
      </c>
      <c r="K16" s="36">
        <v>14</v>
      </c>
      <c r="L16" s="95">
        <v>-51.1</v>
      </c>
      <c r="N16" s="111" t="s">
        <v>196</v>
      </c>
      <c r="O16" s="121">
        <f>IF(P16=0,0,Q16/P16)</f>
        <v>7.4333333333333345</v>
      </c>
      <c r="P16" s="115">
        <v>6</v>
      </c>
      <c r="Q16" s="103">
        <v>44.600000000000009</v>
      </c>
    </row>
    <row r="17" spans="1:17" x14ac:dyDescent="0.4">
      <c r="A17" s="51" t="s">
        <v>12</v>
      </c>
      <c r="B17" s="44">
        <v>71</v>
      </c>
      <c r="C17" s="37">
        <f>IF(B$15=0,0,B17/B$15)</f>
        <v>0.41279069767441862</v>
      </c>
      <c r="E17" s="59" t="s">
        <v>91</v>
      </c>
      <c r="F17" s="56" t="s">
        <v>46</v>
      </c>
      <c r="G17" s="44">
        <v>3</v>
      </c>
      <c r="H17" s="129">
        <f>IF(B$15=0,0,G17/B$15)</f>
        <v>1.7441860465116279E-2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>IF(P17=0,0,Q17/P17)</f>
        <v>1.7280000000000002</v>
      </c>
      <c r="P17" s="115">
        <v>25</v>
      </c>
      <c r="Q17" s="103">
        <v>43.2</v>
      </c>
    </row>
    <row r="18" spans="1:17" x14ac:dyDescent="0.4">
      <c r="A18" s="51" t="s">
        <v>11</v>
      </c>
      <c r="B18" s="44">
        <v>101</v>
      </c>
      <c r="C18" s="37">
        <f>IF(B$15=0,0,B18/B$15)</f>
        <v>0.58720930232558144</v>
      </c>
      <c r="E18" s="59" t="s">
        <v>74</v>
      </c>
      <c r="F18" s="56" t="s">
        <v>29</v>
      </c>
      <c r="G18" s="44">
        <v>2</v>
      </c>
      <c r="H18" s="129">
        <f>IF(B$15=0,0,G18/B$15)</f>
        <v>1.1627906976744186E-2</v>
      </c>
      <c r="I18" s="90">
        <v>1</v>
      </c>
      <c r="K18" s="36">
        <v>16</v>
      </c>
      <c r="L18" s="95">
        <v>-70.600000000000009</v>
      </c>
      <c r="N18" s="111" t="s">
        <v>127</v>
      </c>
      <c r="O18" s="121">
        <f>IF(P18=0,0,Q18/P18)</f>
        <v>-3.0250000000000017</v>
      </c>
      <c r="P18" s="115">
        <v>28</v>
      </c>
      <c r="Q18" s="103">
        <v>-84.700000000000045</v>
      </c>
    </row>
    <row r="19" spans="1:17" x14ac:dyDescent="0.4">
      <c r="A19" s="51" t="s">
        <v>195</v>
      </c>
      <c r="B19" s="44">
        <v>49</v>
      </c>
      <c r="C19" s="37">
        <f>IF(B$15=0,0,B19/B$15)</f>
        <v>0.28488372093023256</v>
      </c>
      <c r="E19" s="59" t="s">
        <v>88</v>
      </c>
      <c r="F19" s="56" t="s">
        <v>43</v>
      </c>
      <c r="G19" s="44">
        <v>2</v>
      </c>
      <c r="H19" s="129">
        <f>IF(B$15=0,0,G19/B$15)</f>
        <v>1.1627906976744186E-2</v>
      </c>
      <c r="I19" s="90">
        <v>1</v>
      </c>
      <c r="K19" s="36">
        <v>17</v>
      </c>
      <c r="L19" s="95">
        <v>-65.2</v>
      </c>
      <c r="N19" s="111" t="s">
        <v>172</v>
      </c>
      <c r="O19" s="121">
        <f>IF(P19=0,0,Q19/P19)</f>
        <v>-6.0625000000000036</v>
      </c>
      <c r="P19" s="115">
        <v>16</v>
      </c>
      <c r="Q19" s="103">
        <v>-97.000000000000057</v>
      </c>
    </row>
    <row r="20" spans="1:17" x14ac:dyDescent="0.4">
      <c r="A20" s="51" t="s">
        <v>193</v>
      </c>
      <c r="B20" s="44">
        <v>63</v>
      </c>
      <c r="C20" s="37">
        <f>IF(B$15=0,0,B20/B$15)</f>
        <v>0.36627906976744184</v>
      </c>
      <c r="E20" s="59" t="s">
        <v>75</v>
      </c>
      <c r="F20" s="56" t="s">
        <v>30</v>
      </c>
      <c r="G20" s="44">
        <v>1</v>
      </c>
      <c r="H20" s="129">
        <f>IF(B$15=0,0,G20/B$15)</f>
        <v>5.8139534883720929E-3</v>
      </c>
      <c r="I20" s="90">
        <v>6</v>
      </c>
      <c r="K20" s="36">
        <v>18</v>
      </c>
      <c r="L20" s="95">
        <v>-80.2</v>
      </c>
      <c r="N20" s="111" t="s">
        <v>126</v>
      </c>
      <c r="O20" s="121">
        <f>IF(P20=0,0,Q20/P20)</f>
        <v>-11.200000000000001</v>
      </c>
      <c r="P20" s="115">
        <v>35</v>
      </c>
      <c r="Q20" s="103">
        <v>-392.00000000000006</v>
      </c>
    </row>
    <row r="21" spans="1:17" x14ac:dyDescent="0.4">
      <c r="A21" s="51" t="s">
        <v>194</v>
      </c>
      <c r="B21" s="44">
        <v>60</v>
      </c>
      <c r="C21" s="37">
        <f>IF(B$15=0,0,B21/B$15)</f>
        <v>0.34883720930232559</v>
      </c>
      <c r="E21" s="59" t="s">
        <v>77</v>
      </c>
      <c r="F21" s="56" t="s">
        <v>32</v>
      </c>
      <c r="G21" s="44">
        <v>1</v>
      </c>
      <c r="H21" s="129">
        <f>IF(B$15=0,0,G21/B$15)</f>
        <v>5.8139534883720929E-3</v>
      </c>
      <c r="I21" s="90">
        <v>2</v>
      </c>
      <c r="K21" s="36">
        <v>19</v>
      </c>
      <c r="L21" s="95">
        <v>-115.1</v>
      </c>
      <c r="N21" s="111" t="s">
        <v>197</v>
      </c>
      <c r="O21" s="121">
        <f>IF(P21=0,0,Q21/P21)</f>
        <v>-32.455555555555549</v>
      </c>
      <c r="P21" s="115">
        <v>9</v>
      </c>
      <c r="Q21" s="103">
        <v>-292.09999999999997</v>
      </c>
    </row>
    <row r="22" spans="1:17" x14ac:dyDescent="0.4">
      <c r="A22" s="51" t="s">
        <v>5</v>
      </c>
      <c r="B22" s="48">
        <f>IF(B$15=0,0,C22/B$15)</f>
        <v>6958.7209302325582</v>
      </c>
      <c r="C22" s="39">
        <v>1196900</v>
      </c>
      <c r="E22" s="59" t="s">
        <v>78</v>
      </c>
      <c r="F22" s="56" t="s">
        <v>33</v>
      </c>
      <c r="G22" s="44">
        <v>1</v>
      </c>
      <c r="H22" s="129">
        <f>IF(B$15=0,0,G22/B$15)</f>
        <v>5.8139534883720929E-3</v>
      </c>
      <c r="I22" s="90">
        <v>10</v>
      </c>
      <c r="K22" s="36">
        <v>20</v>
      </c>
      <c r="L22" s="95">
        <v>-88.8</v>
      </c>
      <c r="N22" s="111" t="s">
        <v>170</v>
      </c>
      <c r="O22" s="121">
        <f>IF(P22=0,0,Q22/P22)</f>
        <v>-37.36</v>
      </c>
      <c r="P22" s="115">
        <v>20</v>
      </c>
      <c r="Q22" s="103">
        <v>-747.19999999999993</v>
      </c>
    </row>
    <row r="23" spans="1:17" x14ac:dyDescent="0.4">
      <c r="A23" s="52" t="s">
        <v>177</v>
      </c>
      <c r="B23" s="136">
        <f>IF($B$15-B$14=0,0,C23/($B$15-B$14))</f>
        <v>7444.9541284403667</v>
      </c>
      <c r="C23" s="137">
        <v>811500</v>
      </c>
      <c r="E23" s="59" t="s">
        <v>84</v>
      </c>
      <c r="F23" s="56" t="s">
        <v>39</v>
      </c>
      <c r="G23" s="44">
        <v>1</v>
      </c>
      <c r="H23" s="129">
        <f>IF(B$15=0,0,G23/B$15)</f>
        <v>5.8139534883720929E-3</v>
      </c>
      <c r="I23" s="90">
        <v>3</v>
      </c>
      <c r="K23" s="36">
        <v>21</v>
      </c>
      <c r="L23" s="95">
        <v>-111.4</v>
      </c>
      <c r="N23" s="111" t="s">
        <v>281</v>
      </c>
      <c r="O23" s="121">
        <f>IF(P23=0,0,Q23/P23)</f>
        <v>-38</v>
      </c>
      <c r="P23" s="115">
        <v>1</v>
      </c>
      <c r="Q23" s="103">
        <v>-38</v>
      </c>
    </row>
    <row r="24" spans="1:17" x14ac:dyDescent="0.4">
      <c r="A24" s="52" t="s">
        <v>178</v>
      </c>
      <c r="B24" s="136">
        <f>IF(B$14=0,0,C24/B$14)</f>
        <v>6117.4603174603171</v>
      </c>
      <c r="C24" s="137">
        <v>385400</v>
      </c>
      <c r="E24" s="59" t="s">
        <v>87</v>
      </c>
      <c r="F24" s="56" t="s">
        <v>42</v>
      </c>
      <c r="G24" s="44">
        <v>1</v>
      </c>
      <c r="H24" s="129">
        <f>IF(B$15=0,0,G24/B$15)</f>
        <v>5.8139534883720929E-3</v>
      </c>
      <c r="I24" s="90">
        <v>3</v>
      </c>
      <c r="K24" s="36">
        <v>22</v>
      </c>
      <c r="L24" s="95">
        <v>-142.80000000000001</v>
      </c>
    </row>
    <row r="25" spans="1:17" x14ac:dyDescent="0.4">
      <c r="A25" s="52" t="s">
        <v>176</v>
      </c>
      <c r="B25" s="136">
        <f>IF(B$16=0,0,C25/B$16)</f>
        <v>-7934.6938775510207</v>
      </c>
      <c r="C25" s="137">
        <v>-777600</v>
      </c>
      <c r="E25" s="59" t="s">
        <v>93</v>
      </c>
      <c r="F25" s="56" t="s">
        <v>48</v>
      </c>
      <c r="G25" s="44">
        <v>1</v>
      </c>
      <c r="H25" s="129">
        <f>IF(B$15=0,0,G25/B$15)</f>
        <v>5.8139534883720929E-3</v>
      </c>
      <c r="I25" s="90">
        <v>1</v>
      </c>
      <c r="K25" s="36">
        <v>23</v>
      </c>
      <c r="L25" s="95">
        <v>-80.900000000000006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">
      <c r="A27" s="51" t="s">
        <v>165</v>
      </c>
      <c r="B27" s="44">
        <v>32</v>
      </c>
      <c r="C27" s="131">
        <v>4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">
      <c r="A29" s="54" t="s">
        <v>192</v>
      </c>
      <c r="B29" s="146">
        <v>86900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">
      <c r="A30" s="53" t="s">
        <v>139</v>
      </c>
      <c r="B30" s="61">
        <v>2</v>
      </c>
      <c r="C30" s="40">
        <f>IF(B$3=0,0,B30/B$3)</f>
        <v>3.1796502384737681E-3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">
      <c r="A32" s="86" t="s">
        <v>183</v>
      </c>
      <c r="B32" s="144">
        <v>23</v>
      </c>
      <c r="C32" s="141">
        <f>IF(B$15=0,0,B32/B$15)</f>
        <v>0.13372093023255813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">
      <c r="A33" s="51" t="s">
        <v>179</v>
      </c>
      <c r="B33" s="44">
        <v>37</v>
      </c>
      <c r="C33" s="37">
        <f t="shared" ref="C33:C44" si="2">IF(B$15=0,0,B33/B$15)</f>
        <v>0.21511627906976744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1" t="s">
        <v>180</v>
      </c>
      <c r="B34" s="145">
        <v>36</v>
      </c>
      <c r="C34" s="37">
        <f>IF(B$15=0,0,B34/B$15)</f>
        <v>0.20930232558139536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">
      <c r="A35" s="51" t="s">
        <v>181</v>
      </c>
      <c r="B35" s="145">
        <v>25</v>
      </c>
      <c r="C35" s="37">
        <f t="shared" si="2"/>
        <v>0.14534883720930233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51" t="s">
        <v>182</v>
      </c>
      <c r="B36" s="145">
        <v>19</v>
      </c>
      <c r="C36" s="37">
        <f t="shared" si="2"/>
        <v>0.11046511627906977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184</v>
      </c>
      <c r="B37" s="145">
        <v>14</v>
      </c>
      <c r="C37" s="37">
        <f t="shared" si="2"/>
        <v>8.1395348837209308E-2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185</v>
      </c>
      <c r="B38" s="145">
        <v>10</v>
      </c>
      <c r="C38" s="37">
        <f t="shared" si="2"/>
        <v>5.8139534883720929E-2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186</v>
      </c>
      <c r="B39" s="145">
        <v>6</v>
      </c>
      <c r="C39" s="37">
        <f t="shared" si="2"/>
        <v>3.4883720930232558E-2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187</v>
      </c>
      <c r="B40" s="145">
        <v>1</v>
      </c>
      <c r="C40" s="37">
        <f t="shared" si="2"/>
        <v>5.8139534883720929E-3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A44" s="53" t="s">
        <v>191</v>
      </c>
      <c r="B44" s="140">
        <v>1</v>
      </c>
      <c r="C44" s="40">
        <f t="shared" si="2"/>
        <v>5.8139534883720929E-3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  <row r="59" spans="5:12" x14ac:dyDescent="0.4">
      <c r="K59" s="36">
        <v>57</v>
      </c>
      <c r="L59" s="95">
        <v>-389.2000000000001</v>
      </c>
    </row>
    <row r="60" spans="5:12" x14ac:dyDescent="0.4">
      <c r="K60" s="36">
        <v>58</v>
      </c>
      <c r="L60" s="95">
        <v>-436.00000000000011</v>
      </c>
    </row>
    <row r="61" spans="5:12" x14ac:dyDescent="0.4">
      <c r="K61" s="36">
        <v>59</v>
      </c>
      <c r="L61" s="95">
        <v>-399.2000000000001</v>
      </c>
    </row>
    <row r="62" spans="5:12" x14ac:dyDescent="0.4">
      <c r="K62" s="36">
        <v>60</v>
      </c>
      <c r="L62" s="95">
        <v>-444.30000000000013</v>
      </c>
    </row>
    <row r="63" spans="5:12" x14ac:dyDescent="0.4">
      <c r="K63" s="36">
        <v>61</v>
      </c>
      <c r="L63" s="95">
        <v>-491.00000000000011</v>
      </c>
    </row>
    <row r="64" spans="5:12" x14ac:dyDescent="0.4">
      <c r="K64" s="36">
        <v>62</v>
      </c>
      <c r="L64" s="95">
        <v>-482.00000000000011</v>
      </c>
    </row>
    <row r="65" spans="11:12" x14ac:dyDescent="0.4">
      <c r="K65" s="36">
        <v>63</v>
      </c>
      <c r="L65" s="95">
        <v>-522.20000000000016</v>
      </c>
    </row>
    <row r="66" spans="11:12" x14ac:dyDescent="0.4">
      <c r="K66" s="36">
        <v>64</v>
      </c>
      <c r="L66" s="95">
        <v>-550.9000000000002</v>
      </c>
    </row>
    <row r="67" spans="11:12" x14ac:dyDescent="0.4">
      <c r="K67" s="36">
        <v>65</v>
      </c>
      <c r="L67" s="95">
        <v>-526.20000000000016</v>
      </c>
    </row>
    <row r="68" spans="11:12" x14ac:dyDescent="0.4">
      <c r="K68" s="36">
        <v>66</v>
      </c>
      <c r="L68" s="95">
        <v>-497.90000000000015</v>
      </c>
    </row>
    <row r="69" spans="11:12" x14ac:dyDescent="0.4">
      <c r="K69" s="36">
        <v>67</v>
      </c>
      <c r="L69" s="95">
        <v>-494.00000000000017</v>
      </c>
    </row>
    <row r="70" spans="11:12" x14ac:dyDescent="0.4">
      <c r="K70" s="36">
        <v>68</v>
      </c>
      <c r="L70" s="95">
        <v>-513.00000000000023</v>
      </c>
    </row>
    <row r="71" spans="11:12" x14ac:dyDescent="0.4">
      <c r="K71" s="36">
        <v>69</v>
      </c>
      <c r="L71" s="95">
        <v>-482.60000000000025</v>
      </c>
    </row>
    <row r="72" spans="11:12" x14ac:dyDescent="0.4">
      <c r="K72" s="36">
        <v>70</v>
      </c>
      <c r="L72" s="95">
        <v>-490.90000000000026</v>
      </c>
    </row>
    <row r="73" spans="11:12" x14ac:dyDescent="0.4">
      <c r="K73" s="36">
        <v>71</v>
      </c>
      <c r="L73" s="95">
        <v>-486.70000000000027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915BD-8358-459A-BFFE-321CEB6BF6F0}">
  <sheetPr codeName="Sheet9"/>
  <dimension ref="A1:Q15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155</v>
      </c>
      <c r="C2" s="155"/>
      <c r="E2" s="58" t="s">
        <v>66</v>
      </c>
      <c r="F2" s="55" t="s">
        <v>22</v>
      </c>
      <c r="G2" s="43">
        <v>294</v>
      </c>
      <c r="H2" s="128">
        <f>IF(B$15=0,0,G2/B$15)</f>
        <v>0.67741935483870963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1201.2987012987012</v>
      </c>
      <c r="P2" s="114">
        <v>154</v>
      </c>
      <c r="Q2" s="98">
        <v>185000</v>
      </c>
    </row>
    <row r="3" spans="1:17" x14ac:dyDescent="0.4">
      <c r="A3" s="51" t="s">
        <v>8</v>
      </c>
      <c r="B3" s="156">
        <v>1270</v>
      </c>
      <c r="C3" s="157"/>
      <c r="E3" s="59" t="s">
        <v>72</v>
      </c>
      <c r="F3" s="56" t="s">
        <v>27</v>
      </c>
      <c r="G3" s="44">
        <v>228</v>
      </c>
      <c r="H3" s="129">
        <f>IF(B$15=0,0,G3/B$15)</f>
        <v>0.52534562211981561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1026.4900662251655</v>
      </c>
      <c r="P3" s="115">
        <v>151</v>
      </c>
      <c r="Q3" s="99">
        <v>155000</v>
      </c>
    </row>
    <row r="4" spans="1:17" x14ac:dyDescent="0.4">
      <c r="A4" s="51" t="s">
        <v>6</v>
      </c>
      <c r="B4" s="158">
        <v>1213.8000000000002</v>
      </c>
      <c r="C4" s="159"/>
      <c r="E4" s="59" t="s">
        <v>64</v>
      </c>
      <c r="F4" s="56" t="s">
        <v>20</v>
      </c>
      <c r="G4" s="44">
        <v>193</v>
      </c>
      <c r="H4" s="129">
        <f>IF(B$15=0,0,G4/B$15)</f>
        <v>0.4447004608294931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773.10344827586209</v>
      </c>
      <c r="P4" s="115">
        <v>145</v>
      </c>
      <c r="Q4" s="99">
        <v>112100</v>
      </c>
    </row>
    <row r="5" spans="1:17" x14ac:dyDescent="0.4">
      <c r="A5" s="51" t="s">
        <v>7</v>
      </c>
      <c r="B5" s="160">
        <f>IF(B$2=0,0,B$4/B$2)</f>
        <v>7.8309677419354848</v>
      </c>
      <c r="C5" s="161"/>
      <c r="E5" s="59" t="s">
        <v>166</v>
      </c>
      <c r="F5" s="56" t="s">
        <v>167</v>
      </c>
      <c r="G5" s="44">
        <v>164</v>
      </c>
      <c r="H5" s="129">
        <f>IF(B$15=0,0,G5/B$15)</f>
        <v>0.37788018433179721</v>
      </c>
      <c r="I5" s="90">
        <v>9</v>
      </c>
      <c r="K5" s="36">
        <v>3</v>
      </c>
      <c r="L5" s="95">
        <v>40.400000000000006</v>
      </c>
      <c r="N5" s="111" t="s">
        <v>133</v>
      </c>
      <c r="O5" s="118">
        <f t="shared" si="0"/>
        <v>150.37037037037038</v>
      </c>
      <c r="P5" s="115">
        <v>135</v>
      </c>
      <c r="Q5" s="99">
        <v>20300</v>
      </c>
    </row>
    <row r="6" spans="1:17" x14ac:dyDescent="0.4">
      <c r="A6" s="51" t="s">
        <v>1</v>
      </c>
      <c r="B6" s="150">
        <f>IF(B$2=0,0,(B$7*1+B$8*2+B$9*3)/B$2)</f>
        <v>1.8129032258064517</v>
      </c>
      <c r="C6" s="151"/>
      <c r="E6" s="59" t="s">
        <v>68</v>
      </c>
      <c r="F6" s="56" t="s">
        <v>12</v>
      </c>
      <c r="G6" s="44">
        <v>120</v>
      </c>
      <c r="H6" s="129">
        <f>IF(B$15=0,0,G6/B$15)</f>
        <v>0.27649769585253459</v>
      </c>
      <c r="I6" s="90">
        <v>9</v>
      </c>
      <c r="K6" s="36">
        <v>4</v>
      </c>
      <c r="L6" s="95">
        <v>101.60000000000001</v>
      </c>
      <c r="N6" s="111" t="s">
        <v>134</v>
      </c>
      <c r="O6" s="118">
        <f t="shared" si="0"/>
        <v>2001.6</v>
      </c>
      <c r="P6" s="115">
        <v>125</v>
      </c>
      <c r="Q6" s="99">
        <v>250200</v>
      </c>
    </row>
    <row r="7" spans="1:17" x14ac:dyDescent="0.4">
      <c r="A7" s="51" t="s">
        <v>2</v>
      </c>
      <c r="B7" s="44">
        <v>69</v>
      </c>
      <c r="C7" s="37">
        <f t="shared" ref="C7:C10" si="1">IF(B$2=0,0,B7/B$2)</f>
        <v>0.44516129032258067</v>
      </c>
      <c r="E7" s="59" t="s">
        <v>67</v>
      </c>
      <c r="F7" s="56" t="s">
        <v>23</v>
      </c>
      <c r="G7" s="44">
        <v>110</v>
      </c>
      <c r="H7" s="129">
        <f>IF(B$15=0,0,G7/B$15)</f>
        <v>0.25345622119815669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1746.0784313725489</v>
      </c>
      <c r="P7" s="116">
        <v>102</v>
      </c>
      <c r="Q7" s="100">
        <v>178100</v>
      </c>
    </row>
    <row r="8" spans="1:17" x14ac:dyDescent="0.4">
      <c r="A8" s="51" t="s">
        <v>3</v>
      </c>
      <c r="B8" s="44">
        <v>46</v>
      </c>
      <c r="C8" s="37">
        <f t="shared" si="1"/>
        <v>0.29677419354838708</v>
      </c>
      <c r="E8" s="59" t="s">
        <v>89</v>
      </c>
      <c r="F8" s="56" t="s">
        <v>44</v>
      </c>
      <c r="G8" s="44">
        <v>61</v>
      </c>
      <c r="H8" s="129">
        <f>IF(B$15=0,0,G8/B$15)</f>
        <v>0.14055299539170507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40</v>
      </c>
      <c r="C9" s="38">
        <f t="shared" si="1"/>
        <v>0.25806451612903225</v>
      </c>
      <c r="E9" s="59" t="s">
        <v>69</v>
      </c>
      <c r="F9" s="56" t="s">
        <v>24</v>
      </c>
      <c r="G9" s="44">
        <v>57</v>
      </c>
      <c r="H9" s="129">
        <f>IF(B$15=0,0,G9/B$15)</f>
        <v>0.1313364055299539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7</v>
      </c>
      <c r="C10" s="40">
        <f t="shared" si="1"/>
        <v>4.5161290322580643E-2</v>
      </c>
      <c r="E10" s="59" t="s">
        <v>65</v>
      </c>
      <c r="F10" s="56" t="s">
        <v>21</v>
      </c>
      <c r="G10" s="44">
        <v>49</v>
      </c>
      <c r="H10" s="129">
        <f>IF(B$15=0,0,G10/B$15)</f>
        <v>0.11290322580645161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12.337777777777772</v>
      </c>
      <c r="P10" s="114">
        <v>45</v>
      </c>
      <c r="Q10" s="102">
        <v>555.1999999999997</v>
      </c>
    </row>
    <row r="11" spans="1:17" x14ac:dyDescent="0.4">
      <c r="A11" s="54" t="s">
        <v>121</v>
      </c>
      <c r="B11" s="47">
        <v>339</v>
      </c>
      <c r="C11" s="42">
        <f>IF(B$3=0,0,B11/B$3)</f>
        <v>0.26692913385826772</v>
      </c>
      <c r="E11" s="59" t="s">
        <v>71</v>
      </c>
      <c r="F11" s="56" t="s">
        <v>26</v>
      </c>
      <c r="G11" s="44">
        <v>30</v>
      </c>
      <c r="H11" s="129">
        <f>IF(B$15=0,0,G11/B$15)</f>
        <v>6.9124423963133647E-2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2.6132075471698109</v>
      </c>
      <c r="P11" s="115">
        <v>53</v>
      </c>
      <c r="Q11" s="103">
        <v>138.49999999999997</v>
      </c>
    </row>
    <row r="12" spans="1:17" x14ac:dyDescent="0.4">
      <c r="A12" s="51" t="s">
        <v>118</v>
      </c>
      <c r="B12" s="44">
        <v>293</v>
      </c>
      <c r="C12" s="37">
        <f>IF(B$3=0,0,B12/B$3)</f>
        <v>0.23070866141732282</v>
      </c>
      <c r="E12" s="59" t="s">
        <v>86</v>
      </c>
      <c r="F12" s="56" t="s">
        <v>41</v>
      </c>
      <c r="G12" s="44">
        <v>29</v>
      </c>
      <c r="H12" s="129">
        <f>IF(B$15=0,0,G12/B$15)</f>
        <v>6.6820276497695855E-2</v>
      </c>
      <c r="I12" s="90">
        <v>3</v>
      </c>
      <c r="K12" s="36">
        <v>10</v>
      </c>
      <c r="L12" s="95">
        <v>158.19999999999999</v>
      </c>
      <c r="N12" s="112" t="s">
        <v>159</v>
      </c>
      <c r="O12" s="122">
        <f>IF(P12=0,0,Q12/P12)</f>
        <v>9.1245614035087712</v>
      </c>
      <c r="P12" s="116">
        <v>57</v>
      </c>
      <c r="Q12" s="104">
        <v>520.09999999999991</v>
      </c>
    </row>
    <row r="13" spans="1:17" x14ac:dyDescent="0.4">
      <c r="A13" s="50" t="s">
        <v>123</v>
      </c>
      <c r="B13" s="43">
        <f>B19</f>
        <v>203</v>
      </c>
      <c r="C13" s="35">
        <f>IF(B$11=0,0,B13/B$11)</f>
        <v>0.59882005899705015</v>
      </c>
      <c r="E13" s="59" t="s">
        <v>70</v>
      </c>
      <c r="F13" s="56" t="s">
        <v>25</v>
      </c>
      <c r="G13" s="44">
        <v>24</v>
      </c>
      <c r="H13" s="129">
        <f>IF(B$15=0,0,G13/B$15)</f>
        <v>5.5299539170506916E-2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144</v>
      </c>
      <c r="C14" s="35">
        <f>IF(B$12=0,0,B14/B$12)</f>
        <v>0.49146757679180886</v>
      </c>
      <c r="E14" s="59" t="s">
        <v>83</v>
      </c>
      <c r="F14" s="56" t="s">
        <v>38</v>
      </c>
      <c r="G14" s="44">
        <v>21</v>
      </c>
      <c r="H14" s="129">
        <f>IF(B$15=0,0,G14/B$15)</f>
        <v>4.8387096774193547E-2</v>
      </c>
      <c r="I14" s="90">
        <v>9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434</v>
      </c>
      <c r="C15" s="35">
        <f>IF(B$3=0,0,B15/B$3)</f>
        <v>0.34173228346456691</v>
      </c>
      <c r="E15" s="59" t="s">
        <v>78</v>
      </c>
      <c r="F15" s="56" t="s">
        <v>33</v>
      </c>
      <c r="G15" s="44">
        <v>15</v>
      </c>
      <c r="H15" s="129">
        <f>IF(B$15=0,0,G15/B$15)</f>
        <v>3.4562211981566823E-2</v>
      </c>
      <c r="I15" s="90">
        <v>3</v>
      </c>
      <c r="K15" s="36">
        <v>13</v>
      </c>
      <c r="L15" s="95">
        <v>206.39999999999998</v>
      </c>
      <c r="N15" s="110" t="s">
        <v>196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">
      <c r="A16" s="51" t="s">
        <v>13</v>
      </c>
      <c r="B16" s="44">
        <v>169</v>
      </c>
      <c r="C16" s="37">
        <f>IF(B$3=0,0,B16/B$3)</f>
        <v>0.13307086614173227</v>
      </c>
      <c r="E16" s="59" t="s">
        <v>162</v>
      </c>
      <c r="F16" s="56" t="s">
        <v>163</v>
      </c>
      <c r="G16" s="44">
        <v>13</v>
      </c>
      <c r="H16" s="129">
        <f>IF(B$15=0,0,G16/B$15)</f>
        <v>2.9953917050691243E-2</v>
      </c>
      <c r="I16" s="90">
        <v>2</v>
      </c>
      <c r="K16" s="36">
        <v>14</v>
      </c>
      <c r="L16" s="95">
        <v>240.09999999999997</v>
      </c>
      <c r="N16" s="111" t="s">
        <v>274</v>
      </c>
      <c r="O16" s="121">
        <f>IF(P16=0,0,Q16/P16)</f>
        <v>29.949999999999996</v>
      </c>
      <c r="P16" s="115">
        <v>2</v>
      </c>
      <c r="Q16" s="103">
        <v>59.899999999999991</v>
      </c>
    </row>
    <row r="17" spans="1:17" x14ac:dyDescent="0.4">
      <c r="A17" s="51" t="s">
        <v>12</v>
      </c>
      <c r="B17" s="44">
        <v>181</v>
      </c>
      <c r="C17" s="37">
        <f>IF(B$15=0,0,B17/B$15)</f>
        <v>0.41705069124423966</v>
      </c>
      <c r="E17" s="59" t="s">
        <v>81</v>
      </c>
      <c r="F17" s="56" t="s">
        <v>36</v>
      </c>
      <c r="G17" s="44">
        <v>6</v>
      </c>
      <c r="H17" s="129">
        <f>IF(B$15=0,0,G17/B$15)</f>
        <v>1.3824884792626729E-2</v>
      </c>
      <c r="I17" s="90">
        <v>10</v>
      </c>
      <c r="K17" s="36">
        <v>15</v>
      </c>
      <c r="L17" s="95">
        <v>269.49999999999994</v>
      </c>
      <c r="N17" s="111" t="s">
        <v>197</v>
      </c>
      <c r="O17" s="121">
        <f>IF(P17=0,0,Q17/P17)</f>
        <v>27.288235294117644</v>
      </c>
      <c r="P17" s="115">
        <v>17</v>
      </c>
      <c r="Q17" s="103">
        <v>463.9</v>
      </c>
    </row>
    <row r="18" spans="1:17" x14ac:dyDescent="0.4">
      <c r="A18" s="51" t="s">
        <v>11</v>
      </c>
      <c r="B18" s="44">
        <v>253</v>
      </c>
      <c r="C18" s="37">
        <f>IF(B$15=0,0,B18/B$15)</f>
        <v>0.58294930875576034</v>
      </c>
      <c r="E18" s="59" t="s">
        <v>75</v>
      </c>
      <c r="F18" s="56" t="s">
        <v>30</v>
      </c>
      <c r="G18" s="44">
        <v>5</v>
      </c>
      <c r="H18" s="129">
        <f>IF(B$15=0,0,G18/B$15)</f>
        <v>1.1520737327188941E-2</v>
      </c>
      <c r="I18" s="90">
        <v>4</v>
      </c>
      <c r="K18" s="36">
        <v>16</v>
      </c>
      <c r="L18" s="95">
        <v>323.69999999999993</v>
      </c>
      <c r="N18" s="111" t="s">
        <v>171</v>
      </c>
      <c r="O18" s="121">
        <f>IF(P18=0,0,Q18/P18)</f>
        <v>12.944642857142856</v>
      </c>
      <c r="P18" s="115">
        <v>56</v>
      </c>
      <c r="Q18" s="103">
        <v>724.9</v>
      </c>
    </row>
    <row r="19" spans="1:17" x14ac:dyDescent="0.4">
      <c r="A19" s="51" t="s">
        <v>195</v>
      </c>
      <c r="B19" s="44">
        <v>203</v>
      </c>
      <c r="C19" s="37">
        <f>IF(B$15=0,0,B19/B$15)</f>
        <v>0.46774193548387094</v>
      </c>
      <c r="E19" s="59" t="s">
        <v>91</v>
      </c>
      <c r="F19" s="56" t="s">
        <v>46</v>
      </c>
      <c r="G19" s="44">
        <v>4</v>
      </c>
      <c r="H19" s="129">
        <f>IF(B$15=0,0,G19/B$15)</f>
        <v>9.2165898617511521E-3</v>
      </c>
      <c r="I19" s="90">
        <v>7</v>
      </c>
      <c r="K19" s="36">
        <v>17</v>
      </c>
      <c r="L19" s="95">
        <v>359.09999999999991</v>
      </c>
      <c r="N19" s="111" t="s">
        <v>127</v>
      </c>
      <c r="O19" s="121">
        <f>IF(P19=0,0,Q19/P19)</f>
        <v>12.341935483870968</v>
      </c>
      <c r="P19" s="115">
        <v>93</v>
      </c>
      <c r="Q19" s="103">
        <v>1147.8</v>
      </c>
    </row>
    <row r="20" spans="1:17" x14ac:dyDescent="0.4">
      <c r="A20" s="51" t="s">
        <v>193</v>
      </c>
      <c r="B20" s="44">
        <v>144</v>
      </c>
      <c r="C20" s="37">
        <f>IF(B$15=0,0,B20/B$15)</f>
        <v>0.33179723502304148</v>
      </c>
      <c r="E20" s="59" t="s">
        <v>77</v>
      </c>
      <c r="F20" s="56" t="s">
        <v>32</v>
      </c>
      <c r="G20" s="44">
        <v>3</v>
      </c>
      <c r="H20" s="129">
        <f>IF(B$15=0,0,G20/B$15)</f>
        <v>6.9124423963133645E-3</v>
      </c>
      <c r="I20" s="90">
        <v>1</v>
      </c>
      <c r="K20" s="36">
        <v>18</v>
      </c>
      <c r="L20" s="95">
        <v>352.39999999999992</v>
      </c>
      <c r="N20" s="111" t="s">
        <v>172</v>
      </c>
      <c r="O20" s="121">
        <f>IF(P20=0,0,Q20/P20)</f>
        <v>12.148214285714285</v>
      </c>
      <c r="P20" s="115">
        <v>56</v>
      </c>
      <c r="Q20" s="103">
        <v>680.3</v>
      </c>
    </row>
    <row r="21" spans="1:17" x14ac:dyDescent="0.4">
      <c r="A21" s="51" t="s">
        <v>194</v>
      </c>
      <c r="B21" s="44">
        <v>87</v>
      </c>
      <c r="C21" s="37">
        <f>IF(B$15=0,0,B21/B$15)</f>
        <v>0.20046082949308755</v>
      </c>
      <c r="E21" s="59" t="s">
        <v>84</v>
      </c>
      <c r="F21" s="56" t="s">
        <v>39</v>
      </c>
      <c r="G21" s="44">
        <v>3</v>
      </c>
      <c r="H21" s="129">
        <f>IF(B$15=0,0,G21/B$15)</f>
        <v>6.9124423963133645E-3</v>
      </c>
      <c r="I21" s="90">
        <v>2</v>
      </c>
      <c r="K21" s="36">
        <v>19</v>
      </c>
      <c r="L21" s="95">
        <v>383.19999999999993</v>
      </c>
      <c r="N21" s="111" t="s">
        <v>161</v>
      </c>
      <c r="O21" s="121">
        <f>IF(P21=0,0,Q21/P21)</f>
        <v>11.755555555555556</v>
      </c>
      <c r="P21" s="115">
        <v>36</v>
      </c>
      <c r="Q21" s="103">
        <v>423.20000000000005</v>
      </c>
    </row>
    <row r="22" spans="1:17" x14ac:dyDescent="0.4">
      <c r="A22" s="51" t="s">
        <v>5</v>
      </c>
      <c r="B22" s="48">
        <f>IF(B$15=0,0,C22/B$15)</f>
        <v>8153.2258064516127</v>
      </c>
      <c r="C22" s="39">
        <v>3538500</v>
      </c>
      <c r="E22" s="59" t="s">
        <v>92</v>
      </c>
      <c r="F22" s="56" t="s">
        <v>47</v>
      </c>
      <c r="G22" s="44">
        <v>3</v>
      </c>
      <c r="H22" s="129">
        <f>IF(B$15=0,0,G22/B$15)</f>
        <v>6.9124423963133645E-3</v>
      </c>
      <c r="I22" s="90">
        <v>4</v>
      </c>
      <c r="K22" s="36">
        <v>20</v>
      </c>
      <c r="L22" s="95">
        <v>365.49999999999994</v>
      </c>
      <c r="N22" s="111" t="s">
        <v>170</v>
      </c>
      <c r="O22" s="121">
        <f>IF(P22=0,0,Q22/P22)</f>
        <v>-2.5707317073170728</v>
      </c>
      <c r="P22" s="115">
        <v>41</v>
      </c>
      <c r="Q22" s="103">
        <v>-105.39999999999998</v>
      </c>
    </row>
    <row r="23" spans="1:17" x14ac:dyDescent="0.4">
      <c r="A23" s="52" t="s">
        <v>177</v>
      </c>
      <c r="B23" s="136">
        <f>IF($B$15-B$14=0,0,C23/($B$15-B$14))</f>
        <v>8606.8965517241377</v>
      </c>
      <c r="C23" s="137">
        <v>2496000</v>
      </c>
      <c r="E23" s="59" t="s">
        <v>74</v>
      </c>
      <c r="F23" s="56" t="s">
        <v>29</v>
      </c>
      <c r="G23" s="44">
        <v>2</v>
      </c>
      <c r="H23" s="129">
        <f>IF(B$15=0,0,G23/B$15)</f>
        <v>4.608294930875576E-3</v>
      </c>
      <c r="I23" s="90">
        <v>4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">
      <c r="A24" s="52" t="s">
        <v>178</v>
      </c>
      <c r="B24" s="136">
        <f>IF(B$14=0,0,C24/B$14)</f>
        <v>7239.583333333333</v>
      </c>
      <c r="C24" s="137">
        <v>1042500</v>
      </c>
      <c r="E24" s="59" t="s">
        <v>79</v>
      </c>
      <c r="F24" s="56" t="s">
        <v>34</v>
      </c>
      <c r="G24" s="44">
        <v>2</v>
      </c>
      <c r="H24" s="129">
        <f>IF(B$15=0,0,G24/B$15)</f>
        <v>4.608294930875576E-3</v>
      </c>
      <c r="I24" s="90">
        <v>9</v>
      </c>
      <c r="K24" s="36">
        <v>22</v>
      </c>
      <c r="L24" s="95">
        <v>414.2999999999999</v>
      </c>
    </row>
    <row r="25" spans="1:17" x14ac:dyDescent="0.4">
      <c r="A25" s="52" t="s">
        <v>176</v>
      </c>
      <c r="B25" s="136">
        <f>IF(B$16=0,0,C25/B$16)</f>
        <v>-7683.4319526627223</v>
      </c>
      <c r="C25" s="137">
        <v>-1298500</v>
      </c>
      <c r="E25" s="59" t="s">
        <v>85</v>
      </c>
      <c r="F25" s="56" t="s">
        <v>40</v>
      </c>
      <c r="G25" s="44">
        <v>2</v>
      </c>
      <c r="H25" s="129">
        <f>IF(B$15=0,0,G25/B$15)</f>
        <v>4.608294930875576E-3</v>
      </c>
      <c r="I25" s="90">
        <v>4</v>
      </c>
      <c r="K25" s="36">
        <v>23</v>
      </c>
      <c r="L25" s="95">
        <v>356.2999999999999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88</v>
      </c>
      <c r="F26" s="56" t="s">
        <v>43</v>
      </c>
      <c r="G26" s="44">
        <v>2</v>
      </c>
      <c r="H26" s="129">
        <f>IF(B$15=0,0,G26/B$15)</f>
        <v>4.608294930875576E-3</v>
      </c>
      <c r="I26" s="90">
        <v>2</v>
      </c>
      <c r="K26" s="36">
        <v>24</v>
      </c>
      <c r="L26" s="95">
        <v>329.89999999999992</v>
      </c>
    </row>
    <row r="27" spans="1:17" x14ac:dyDescent="0.4">
      <c r="A27" s="51" t="s">
        <v>165</v>
      </c>
      <c r="B27" s="44">
        <v>43</v>
      </c>
      <c r="C27" s="131">
        <v>0</v>
      </c>
      <c r="E27" s="59" t="s">
        <v>95</v>
      </c>
      <c r="F27" s="56" t="s">
        <v>50</v>
      </c>
      <c r="G27" s="44">
        <v>2</v>
      </c>
      <c r="H27" s="129">
        <f>IF(B$15=0,0,G27/B$15)</f>
        <v>4.608294930875576E-3</v>
      </c>
      <c r="I27" s="90">
        <v>2</v>
      </c>
      <c r="K27" s="36">
        <v>25</v>
      </c>
      <c r="L27" s="95">
        <v>294.99999999999994</v>
      </c>
    </row>
    <row r="28" spans="1:17" x14ac:dyDescent="0.4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2.304147465437788E-3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2.304147465437788E-3</v>
      </c>
      <c r="I29" s="90">
        <v>1</v>
      </c>
      <c r="K29" s="36">
        <v>27</v>
      </c>
      <c r="L29" s="95">
        <v>362.4</v>
      </c>
    </row>
    <row r="30" spans="1:17" x14ac:dyDescent="0.4">
      <c r="A30" s="53" t="s">
        <v>139</v>
      </c>
      <c r="B30" s="61">
        <v>1</v>
      </c>
      <c r="C30" s="40">
        <f>IF(B$3=0,0,B30/B$3)</f>
        <v>7.874015748031496E-4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A32" s="86" t="s">
        <v>183</v>
      </c>
      <c r="B32" s="144">
        <v>40</v>
      </c>
      <c r="C32" s="141">
        <f>IF(B$15=0,0,B32/B$15)</f>
        <v>9.2165898617511524E-2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1" t="s">
        <v>179</v>
      </c>
      <c r="B33" s="44">
        <v>79</v>
      </c>
      <c r="C33" s="37">
        <f t="shared" ref="C33:C44" si="2">IF(B$15=0,0,B33/B$15)</f>
        <v>0.18202764976958524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1" t="s">
        <v>180</v>
      </c>
      <c r="B34" s="145">
        <v>90</v>
      </c>
      <c r="C34" s="37">
        <f>IF(B$15=0,0,B34/B$15)</f>
        <v>0.20737327188940091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349.39999999999992</v>
      </c>
    </row>
    <row r="35" spans="1:12" x14ac:dyDescent="0.4">
      <c r="A35" s="51" t="s">
        <v>181</v>
      </c>
      <c r="B35" s="145">
        <v>79</v>
      </c>
      <c r="C35" s="37">
        <f t="shared" si="2"/>
        <v>0.18202764976958524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51" t="s">
        <v>182</v>
      </c>
      <c r="B36" s="145">
        <v>62</v>
      </c>
      <c r="C36" s="37">
        <f t="shared" si="2"/>
        <v>0.14285714285714285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184</v>
      </c>
      <c r="B37" s="145">
        <v>40</v>
      </c>
      <c r="C37" s="37">
        <f t="shared" si="2"/>
        <v>9.2165898617511524E-2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185</v>
      </c>
      <c r="B38" s="145">
        <v>21</v>
      </c>
      <c r="C38" s="37">
        <f t="shared" si="2"/>
        <v>4.8387096774193547E-2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186</v>
      </c>
      <c r="B39" s="145">
        <v>6</v>
      </c>
      <c r="C39" s="37">
        <f t="shared" si="2"/>
        <v>1.3824884792626729E-2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187</v>
      </c>
      <c r="B40" s="145">
        <v>10</v>
      </c>
      <c r="C40" s="37">
        <f t="shared" si="2"/>
        <v>2.3041474654377881E-2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188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1" t="s">
        <v>190</v>
      </c>
      <c r="B43" s="145">
        <v>1</v>
      </c>
      <c r="C43" s="37">
        <f t="shared" si="2"/>
        <v>2.304147465437788E-3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A44" s="53" t="s">
        <v>191</v>
      </c>
      <c r="B44" s="140">
        <v>6</v>
      </c>
      <c r="C44" s="40">
        <f t="shared" si="2"/>
        <v>1.3824884792626729E-2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  <row r="124" spans="11:12" x14ac:dyDescent="0.4">
      <c r="K124" s="36">
        <v>122</v>
      </c>
      <c r="L124" s="95">
        <v>1110.2</v>
      </c>
    </row>
    <row r="125" spans="11:12" x14ac:dyDescent="0.4">
      <c r="K125" s="36">
        <v>123</v>
      </c>
      <c r="L125" s="95">
        <v>1077.4000000000001</v>
      </c>
    </row>
    <row r="126" spans="11:12" x14ac:dyDescent="0.4">
      <c r="K126" s="36">
        <v>124</v>
      </c>
      <c r="L126" s="95">
        <v>1103.7</v>
      </c>
    </row>
    <row r="127" spans="11:12" x14ac:dyDescent="0.4">
      <c r="K127" s="36">
        <v>125</v>
      </c>
      <c r="L127" s="95">
        <v>1125.2</v>
      </c>
    </row>
    <row r="128" spans="11:12" x14ac:dyDescent="0.4">
      <c r="K128" s="36">
        <v>126</v>
      </c>
      <c r="L128" s="95">
        <v>1116.5</v>
      </c>
    </row>
    <row r="129" spans="11:12" x14ac:dyDescent="0.4">
      <c r="K129" s="36">
        <v>127</v>
      </c>
      <c r="L129" s="95">
        <v>1093.9000000000001</v>
      </c>
    </row>
    <row r="130" spans="11:12" x14ac:dyDescent="0.4">
      <c r="K130" s="36">
        <v>128</v>
      </c>
      <c r="L130" s="95">
        <v>1098.6000000000001</v>
      </c>
    </row>
    <row r="131" spans="11:12" x14ac:dyDescent="0.4">
      <c r="K131" s="36">
        <v>129</v>
      </c>
      <c r="L131" s="95">
        <v>1120.8000000000002</v>
      </c>
    </row>
    <row r="132" spans="11:12" x14ac:dyDescent="0.4">
      <c r="K132" s="36">
        <v>130</v>
      </c>
      <c r="L132" s="95">
        <v>1072.3000000000002</v>
      </c>
    </row>
    <row r="133" spans="11:12" x14ac:dyDescent="0.4">
      <c r="K133" s="36">
        <v>131</v>
      </c>
      <c r="L133" s="95">
        <v>1138.5000000000002</v>
      </c>
    </row>
    <row r="134" spans="11:12" x14ac:dyDescent="0.4">
      <c r="K134" s="36">
        <v>132</v>
      </c>
      <c r="L134" s="95">
        <v>1192.7000000000003</v>
      </c>
    </row>
    <row r="135" spans="11:12" x14ac:dyDescent="0.4">
      <c r="K135" s="36">
        <v>133</v>
      </c>
      <c r="L135" s="95">
        <v>1208.4000000000003</v>
      </c>
    </row>
    <row r="136" spans="11:12" x14ac:dyDescent="0.4">
      <c r="K136" s="36">
        <v>134</v>
      </c>
      <c r="L136" s="95">
        <v>1166.7000000000003</v>
      </c>
    </row>
    <row r="137" spans="11:12" x14ac:dyDescent="0.4">
      <c r="K137" s="36">
        <v>135</v>
      </c>
      <c r="L137" s="95">
        <v>1154.1000000000004</v>
      </c>
    </row>
    <row r="138" spans="11:12" x14ac:dyDescent="0.4">
      <c r="K138" s="36">
        <v>136</v>
      </c>
      <c r="L138" s="95">
        <v>1129.8000000000004</v>
      </c>
    </row>
    <row r="139" spans="11:12" x14ac:dyDescent="0.4">
      <c r="K139" s="36">
        <v>137</v>
      </c>
      <c r="L139" s="95">
        <v>1111.1000000000004</v>
      </c>
    </row>
    <row r="140" spans="11:12" x14ac:dyDescent="0.4">
      <c r="K140" s="36">
        <v>138</v>
      </c>
      <c r="L140" s="95">
        <v>1174.7000000000003</v>
      </c>
    </row>
    <row r="141" spans="11:12" x14ac:dyDescent="0.4">
      <c r="K141" s="36">
        <v>139</v>
      </c>
      <c r="L141" s="95">
        <v>1218.3000000000002</v>
      </c>
    </row>
    <row r="142" spans="11:12" x14ac:dyDescent="0.4">
      <c r="K142" s="36">
        <v>140</v>
      </c>
      <c r="L142" s="95">
        <v>1245.7000000000003</v>
      </c>
    </row>
    <row r="143" spans="11:12" x14ac:dyDescent="0.4">
      <c r="K143" s="36">
        <v>141</v>
      </c>
      <c r="L143" s="95">
        <v>1262.8000000000002</v>
      </c>
    </row>
    <row r="144" spans="11:12" x14ac:dyDescent="0.4">
      <c r="K144" s="36">
        <v>142</v>
      </c>
      <c r="L144" s="95">
        <v>1242.8000000000002</v>
      </c>
    </row>
    <row r="145" spans="11:12" x14ac:dyDescent="0.4">
      <c r="K145" s="36">
        <v>143</v>
      </c>
      <c r="L145" s="95">
        <v>1197.3000000000002</v>
      </c>
    </row>
    <row r="146" spans="11:12" x14ac:dyDescent="0.4">
      <c r="K146" s="36">
        <v>144</v>
      </c>
      <c r="L146" s="95">
        <v>1171.1000000000001</v>
      </c>
    </row>
    <row r="147" spans="11:12" x14ac:dyDescent="0.4">
      <c r="K147" s="36">
        <v>145</v>
      </c>
      <c r="L147" s="95">
        <v>1175.0000000000002</v>
      </c>
    </row>
    <row r="148" spans="11:12" x14ac:dyDescent="0.4">
      <c r="K148" s="36">
        <v>146</v>
      </c>
      <c r="L148" s="95">
        <v>1172.2000000000003</v>
      </c>
    </row>
    <row r="149" spans="11:12" x14ac:dyDescent="0.4">
      <c r="K149" s="36">
        <v>147</v>
      </c>
      <c r="L149" s="95">
        <v>1141.3000000000002</v>
      </c>
    </row>
    <row r="150" spans="11:12" x14ac:dyDescent="0.4">
      <c r="K150" s="36">
        <v>148</v>
      </c>
      <c r="L150" s="95">
        <v>1145.0000000000002</v>
      </c>
    </row>
    <row r="151" spans="11:12" x14ac:dyDescent="0.4">
      <c r="K151" s="36">
        <v>149</v>
      </c>
      <c r="L151" s="95">
        <v>1159.6000000000001</v>
      </c>
    </row>
    <row r="152" spans="11:12" x14ac:dyDescent="0.4">
      <c r="K152" s="36">
        <v>150</v>
      </c>
      <c r="L152" s="95">
        <v>1171.0000000000002</v>
      </c>
    </row>
    <row r="153" spans="11:12" x14ac:dyDescent="0.4">
      <c r="K153" s="36">
        <v>151</v>
      </c>
      <c r="L153" s="95">
        <v>1213.5000000000002</v>
      </c>
    </row>
    <row r="154" spans="11:12" x14ac:dyDescent="0.4">
      <c r="K154" s="36">
        <v>152</v>
      </c>
      <c r="L154" s="95">
        <v>1248.0000000000002</v>
      </c>
    </row>
    <row r="155" spans="11:12" x14ac:dyDescent="0.4">
      <c r="K155" s="36">
        <v>153</v>
      </c>
      <c r="L155" s="95">
        <v>1250.4000000000003</v>
      </c>
    </row>
    <row r="156" spans="11:12" x14ac:dyDescent="0.4">
      <c r="K156" s="36">
        <v>154</v>
      </c>
      <c r="L156" s="95">
        <v>1223.7000000000003</v>
      </c>
    </row>
    <row r="157" spans="11:12" x14ac:dyDescent="0.4">
      <c r="K157" s="36">
        <v>155</v>
      </c>
      <c r="L157" s="95">
        <v>1213.8000000000002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8EF2B-E1DB-4B51-8E41-D8AB0F4C3E60}">
  <sheetPr codeName="Sheet11"/>
  <dimension ref="A1:Q14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138</v>
      </c>
      <c r="C2" s="155"/>
      <c r="E2" s="58" t="s">
        <v>66</v>
      </c>
      <c r="F2" s="55" t="s">
        <v>22</v>
      </c>
      <c r="G2" s="43">
        <v>283</v>
      </c>
      <c r="H2" s="128">
        <f>IF(B$15=0,0,G2/B$15)</f>
        <v>0.80626780626780625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-1574.4525547445255</v>
      </c>
      <c r="P2" s="114">
        <v>137</v>
      </c>
      <c r="Q2" s="98">
        <v>-215700</v>
      </c>
    </row>
    <row r="3" spans="1:17" x14ac:dyDescent="0.4">
      <c r="A3" s="51" t="s">
        <v>8</v>
      </c>
      <c r="B3" s="156">
        <v>1157</v>
      </c>
      <c r="C3" s="157"/>
      <c r="E3" s="59" t="s">
        <v>72</v>
      </c>
      <c r="F3" s="56" t="s">
        <v>27</v>
      </c>
      <c r="G3" s="44">
        <v>199</v>
      </c>
      <c r="H3" s="129">
        <f>IF(B$15=0,0,G3/B$15)</f>
        <v>0.5669515669515669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1482.962962962963</v>
      </c>
      <c r="P3" s="115">
        <v>135</v>
      </c>
      <c r="Q3" s="99">
        <v>200200</v>
      </c>
    </row>
    <row r="4" spans="1:17" x14ac:dyDescent="0.4">
      <c r="A4" s="51" t="s">
        <v>6</v>
      </c>
      <c r="B4" s="158">
        <v>61.099999999999817</v>
      </c>
      <c r="C4" s="159"/>
      <c r="E4" s="59" t="s">
        <v>166</v>
      </c>
      <c r="F4" s="56" t="s">
        <v>167</v>
      </c>
      <c r="G4" s="44">
        <v>137</v>
      </c>
      <c r="H4" s="129">
        <f>IF(B$15=0,0,G4/B$15)</f>
        <v>0.3903133903133903</v>
      </c>
      <c r="I4" s="90">
        <v>7</v>
      </c>
      <c r="K4" s="36">
        <v>2</v>
      </c>
      <c r="L4" s="95">
        <v>-34.299999999999997</v>
      </c>
      <c r="N4" s="111" t="s">
        <v>132</v>
      </c>
      <c r="O4" s="118">
        <f t="shared" si="0"/>
        <v>-216.93548387096774</v>
      </c>
      <c r="P4" s="115">
        <v>124</v>
      </c>
      <c r="Q4" s="99">
        <v>-26900</v>
      </c>
    </row>
    <row r="5" spans="1:17" x14ac:dyDescent="0.4">
      <c r="A5" s="51" t="s">
        <v>7</v>
      </c>
      <c r="B5" s="160">
        <f>IF(B$2=0,0,B$4/B$2)</f>
        <v>0.44275362318840444</v>
      </c>
      <c r="C5" s="161"/>
      <c r="E5" s="59" t="s">
        <v>64</v>
      </c>
      <c r="F5" s="56" t="s">
        <v>20</v>
      </c>
      <c r="G5" s="44">
        <v>136</v>
      </c>
      <c r="H5" s="129">
        <f>IF(B$15=0,0,G5/B$15)</f>
        <v>0.38746438746438744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323.72881355932202</v>
      </c>
      <c r="P5" s="115">
        <v>118</v>
      </c>
      <c r="Q5" s="99">
        <v>38200</v>
      </c>
    </row>
    <row r="6" spans="1:17" x14ac:dyDescent="0.4">
      <c r="A6" s="51" t="s">
        <v>1</v>
      </c>
      <c r="B6" s="150">
        <f>IF(B$2=0,0,(B$7*1+B$8*2+B$9*3)/B$2)</f>
        <v>1.9565217391304348</v>
      </c>
      <c r="C6" s="151"/>
      <c r="E6" s="59" t="s">
        <v>68</v>
      </c>
      <c r="F6" s="56" t="s">
        <v>12</v>
      </c>
      <c r="G6" s="44">
        <v>97</v>
      </c>
      <c r="H6" s="129">
        <f>IF(B$15=0,0,G6/B$15)</f>
        <v>0.27635327635327633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-931.48148148148152</v>
      </c>
      <c r="P6" s="115">
        <v>108</v>
      </c>
      <c r="Q6" s="99">
        <v>-100600</v>
      </c>
    </row>
    <row r="7" spans="1:17" x14ac:dyDescent="0.4">
      <c r="A7" s="51" t="s">
        <v>2</v>
      </c>
      <c r="B7" s="44">
        <v>47</v>
      </c>
      <c r="C7" s="37">
        <f t="shared" ref="C7:C10" si="1">IF(B$2=0,0,B7/B$2)</f>
        <v>0.34057971014492755</v>
      </c>
      <c r="E7" s="59" t="s">
        <v>67</v>
      </c>
      <c r="F7" s="56" t="s">
        <v>23</v>
      </c>
      <c r="G7" s="44">
        <v>73</v>
      </c>
      <c r="H7" s="129">
        <f>IF(B$15=0,0,G7/B$15)</f>
        <v>0.20797720797720798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1419.5652173913043</v>
      </c>
      <c r="P7" s="116">
        <v>92</v>
      </c>
      <c r="Q7" s="100">
        <v>130600</v>
      </c>
    </row>
    <row r="8" spans="1:17" x14ac:dyDescent="0.4">
      <c r="A8" s="51" t="s">
        <v>3</v>
      </c>
      <c r="B8" s="44">
        <v>50</v>
      </c>
      <c r="C8" s="37">
        <f t="shared" si="1"/>
        <v>0.36231884057971014</v>
      </c>
      <c r="E8" s="59" t="s">
        <v>69</v>
      </c>
      <c r="F8" s="56" t="s">
        <v>24</v>
      </c>
      <c r="G8" s="44">
        <v>41</v>
      </c>
      <c r="H8" s="129">
        <f>IF(B$15=0,0,G8/B$15)</f>
        <v>0.11680911680911681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41</v>
      </c>
      <c r="C9" s="38">
        <f t="shared" si="1"/>
        <v>0.29710144927536231</v>
      </c>
      <c r="E9" s="59" t="s">
        <v>89</v>
      </c>
      <c r="F9" s="56" t="s">
        <v>44</v>
      </c>
      <c r="G9" s="44">
        <v>41</v>
      </c>
      <c r="H9" s="129">
        <f>IF(B$15=0,0,G9/B$15)</f>
        <v>0.11680911680911681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18</v>
      </c>
      <c r="C10" s="40">
        <f t="shared" si="1"/>
        <v>0.13043478260869565</v>
      </c>
      <c r="E10" s="59" t="s">
        <v>70</v>
      </c>
      <c r="F10" s="56" t="s">
        <v>25</v>
      </c>
      <c r="G10" s="44">
        <v>35</v>
      </c>
      <c r="H10" s="129">
        <f>IF(B$15=0,0,G10/B$15)</f>
        <v>9.9715099715099717E-2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1.371052631578948</v>
      </c>
      <c r="P10" s="114">
        <v>38</v>
      </c>
      <c r="Q10" s="102">
        <v>52.100000000000023</v>
      </c>
    </row>
    <row r="11" spans="1:17" x14ac:dyDescent="0.4">
      <c r="A11" s="54" t="s">
        <v>121</v>
      </c>
      <c r="B11" s="47">
        <v>271</v>
      </c>
      <c r="C11" s="42">
        <f>IF(B$3=0,0,B11/B$3)</f>
        <v>0.23422644770959378</v>
      </c>
      <c r="E11" s="59" t="s">
        <v>71</v>
      </c>
      <c r="F11" s="56" t="s">
        <v>26</v>
      </c>
      <c r="G11" s="44">
        <v>34</v>
      </c>
      <c r="H11" s="129">
        <f>IF(B$15=0,0,G11/B$15)</f>
        <v>9.686609686609686E-2</v>
      </c>
      <c r="I11" s="90">
        <v>4</v>
      </c>
      <c r="K11" s="36">
        <v>9</v>
      </c>
      <c r="L11" s="95">
        <v>-83.699999999999989</v>
      </c>
      <c r="N11" s="111" t="s">
        <v>158</v>
      </c>
      <c r="O11" s="121">
        <f>IF(P11=0,0,Q11/P11)</f>
        <v>4.8382978723404273</v>
      </c>
      <c r="P11" s="115">
        <v>47</v>
      </c>
      <c r="Q11" s="103">
        <v>227.40000000000006</v>
      </c>
    </row>
    <row r="12" spans="1:17" x14ac:dyDescent="0.4">
      <c r="A12" s="51" t="s">
        <v>118</v>
      </c>
      <c r="B12" s="44">
        <v>345</v>
      </c>
      <c r="C12" s="37">
        <f>IF(B$3=0,0,B12/B$3)</f>
        <v>0.29818496110630943</v>
      </c>
      <c r="E12" s="59" t="s">
        <v>65</v>
      </c>
      <c r="F12" s="56" t="s">
        <v>21</v>
      </c>
      <c r="G12" s="44">
        <v>30</v>
      </c>
      <c r="H12" s="129">
        <f>IF(B$15=0,0,G12/B$15)</f>
        <v>8.5470085470085472E-2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-4.1207547169811329</v>
      </c>
      <c r="P12" s="116">
        <v>53</v>
      </c>
      <c r="Q12" s="104">
        <v>-218.40000000000003</v>
      </c>
    </row>
    <row r="13" spans="1:17" x14ac:dyDescent="0.4">
      <c r="A13" s="50" t="s">
        <v>123</v>
      </c>
      <c r="B13" s="43">
        <f>B19</f>
        <v>136</v>
      </c>
      <c r="C13" s="35">
        <f>IF(B$11=0,0,B13/B$11)</f>
        <v>0.50184501845018448</v>
      </c>
      <c r="E13" s="59" t="s">
        <v>86</v>
      </c>
      <c r="F13" s="56" t="s">
        <v>41</v>
      </c>
      <c r="G13" s="44">
        <v>24</v>
      </c>
      <c r="H13" s="129">
        <f>IF(B$15=0,0,G13/B$15)</f>
        <v>6.8376068376068383E-2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132</v>
      </c>
      <c r="C14" s="35">
        <f>IF(B$12=0,0,B14/B$12)</f>
        <v>0.38260869565217392</v>
      </c>
      <c r="E14" s="59" t="s">
        <v>83</v>
      </c>
      <c r="F14" s="56" t="s">
        <v>38</v>
      </c>
      <c r="G14" s="44">
        <v>19</v>
      </c>
      <c r="H14" s="129">
        <f>IF(B$15=0,0,G14/B$15)</f>
        <v>5.4131054131054131E-2</v>
      </c>
      <c r="I14" s="90">
        <v>6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351</v>
      </c>
      <c r="C15" s="35">
        <f>IF(B$3=0,0,B15/B$3)</f>
        <v>0.30337078651685395</v>
      </c>
      <c r="E15" s="59" t="s">
        <v>91</v>
      </c>
      <c r="F15" s="56" t="s">
        <v>46</v>
      </c>
      <c r="G15" s="44">
        <v>11</v>
      </c>
      <c r="H15" s="129">
        <f>IF(B$15=0,0,G15/B$15)</f>
        <v>3.1339031339031341E-2</v>
      </c>
      <c r="I15" s="90">
        <v>2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1" t="s">
        <v>13</v>
      </c>
      <c r="B16" s="44">
        <v>214</v>
      </c>
      <c r="C16" s="37">
        <f>IF(B$3=0,0,B16/B$3)</f>
        <v>0.18496110630942092</v>
      </c>
      <c r="E16" s="59" t="s">
        <v>78</v>
      </c>
      <c r="F16" s="56" t="s">
        <v>33</v>
      </c>
      <c r="G16" s="44">
        <v>10</v>
      </c>
      <c r="H16" s="129">
        <f>IF(B$15=0,0,G16/B$15)</f>
        <v>2.8490028490028491E-2</v>
      </c>
      <c r="I16" s="90">
        <v>5</v>
      </c>
      <c r="K16" s="36">
        <v>14</v>
      </c>
      <c r="L16" s="95">
        <v>-138.4</v>
      </c>
      <c r="N16" s="111" t="s">
        <v>172</v>
      </c>
      <c r="O16" s="121">
        <f>IF(P16=0,0,Q16/P16)</f>
        <v>17.456249999999994</v>
      </c>
      <c r="P16" s="115">
        <v>48</v>
      </c>
      <c r="Q16" s="103">
        <v>837.89999999999964</v>
      </c>
    </row>
    <row r="17" spans="1:17" x14ac:dyDescent="0.4">
      <c r="A17" s="51" t="s">
        <v>12</v>
      </c>
      <c r="B17" s="44">
        <v>144</v>
      </c>
      <c r="C17" s="37">
        <f>IF(B$15=0,0,B17/B$15)</f>
        <v>0.41025641025641024</v>
      </c>
      <c r="E17" s="59" t="s">
        <v>81</v>
      </c>
      <c r="F17" s="56" t="s">
        <v>36</v>
      </c>
      <c r="G17" s="44">
        <v>8</v>
      </c>
      <c r="H17" s="129">
        <f>IF(B$15=0,0,G17/B$15)</f>
        <v>2.2792022792022793E-2</v>
      </c>
      <c r="I17" s="90">
        <v>4</v>
      </c>
      <c r="K17" s="36">
        <v>15</v>
      </c>
      <c r="L17" s="95">
        <v>-144.30000000000001</v>
      </c>
      <c r="N17" s="111" t="s">
        <v>197</v>
      </c>
      <c r="O17" s="121">
        <f>IF(P17=0,0,Q17/P17)</f>
        <v>16.62857142857143</v>
      </c>
      <c r="P17" s="115">
        <v>14</v>
      </c>
      <c r="Q17" s="103">
        <v>232.8</v>
      </c>
    </row>
    <row r="18" spans="1:17" x14ac:dyDescent="0.4">
      <c r="A18" s="51" t="s">
        <v>11</v>
      </c>
      <c r="B18" s="44">
        <v>207</v>
      </c>
      <c r="C18" s="37">
        <f>IF(B$15=0,0,B18/B$15)</f>
        <v>0.58974358974358976</v>
      </c>
      <c r="E18" s="59" t="s">
        <v>79</v>
      </c>
      <c r="F18" s="56" t="s">
        <v>34</v>
      </c>
      <c r="G18" s="44">
        <v>6</v>
      </c>
      <c r="H18" s="129">
        <f>IF(B$15=0,0,G18/B$15)</f>
        <v>1.7094017094017096E-2</v>
      </c>
      <c r="I18" s="90">
        <v>5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">
      <c r="A19" s="51" t="s">
        <v>195</v>
      </c>
      <c r="B19" s="44">
        <v>136</v>
      </c>
      <c r="C19" s="37">
        <f>IF(B$15=0,0,B19/B$15)</f>
        <v>0.38746438746438744</v>
      </c>
      <c r="E19" s="59" t="s">
        <v>162</v>
      </c>
      <c r="F19" s="56" t="s">
        <v>163</v>
      </c>
      <c r="G19" s="44">
        <v>5</v>
      </c>
      <c r="H19" s="129">
        <f>IF(B$15=0,0,G19/B$15)</f>
        <v>1.4245014245014245E-2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3.0249999999999995</v>
      </c>
      <c r="P19" s="115">
        <v>28</v>
      </c>
      <c r="Q19" s="103">
        <v>84.699999999999989</v>
      </c>
    </row>
    <row r="20" spans="1:17" x14ac:dyDescent="0.4">
      <c r="A20" s="51" t="s">
        <v>193</v>
      </c>
      <c r="B20" s="44">
        <v>132</v>
      </c>
      <c r="C20" s="37">
        <f>IF(B$15=0,0,B20/B$15)</f>
        <v>0.37606837606837606</v>
      </c>
      <c r="E20" s="59" t="s">
        <v>92</v>
      </c>
      <c r="F20" s="56" t="s">
        <v>47</v>
      </c>
      <c r="G20" s="44">
        <v>3</v>
      </c>
      <c r="H20" s="129">
        <f>IF(B$15=0,0,G20/B$15)</f>
        <v>8.5470085470085479E-3</v>
      </c>
      <c r="I20" s="90">
        <v>2</v>
      </c>
      <c r="K20" s="36">
        <v>18</v>
      </c>
      <c r="L20" s="95">
        <v>-112.90000000000002</v>
      </c>
      <c r="N20" s="111" t="s">
        <v>170</v>
      </c>
      <c r="O20" s="121">
        <f>IF(P20=0,0,Q20/P20)</f>
        <v>0.66000000000000569</v>
      </c>
      <c r="P20" s="115">
        <v>40</v>
      </c>
      <c r="Q20" s="103">
        <v>26.400000000000226</v>
      </c>
    </row>
    <row r="21" spans="1:17" x14ac:dyDescent="0.4">
      <c r="A21" s="51" t="s">
        <v>194</v>
      </c>
      <c r="B21" s="44">
        <v>83</v>
      </c>
      <c r="C21" s="37">
        <f>IF(B$15=0,0,B21/B$15)</f>
        <v>0.23646723646723647</v>
      </c>
      <c r="E21" s="59" t="s">
        <v>74</v>
      </c>
      <c r="F21" s="56" t="s">
        <v>29</v>
      </c>
      <c r="G21" s="44">
        <v>2</v>
      </c>
      <c r="H21" s="129">
        <f>IF(B$15=0,0,G21/B$15)</f>
        <v>5.6980056980056983E-3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-1.1651162790697653</v>
      </c>
      <c r="P21" s="115">
        <v>43</v>
      </c>
      <c r="Q21" s="103">
        <v>-50.099999999999909</v>
      </c>
    </row>
    <row r="22" spans="1:17" x14ac:dyDescent="0.4">
      <c r="A22" s="51" t="s">
        <v>5</v>
      </c>
      <c r="B22" s="48">
        <f>IF(B$15=0,0,C22/B$15)</f>
        <v>8363.5327635327631</v>
      </c>
      <c r="C22" s="39">
        <v>2935600</v>
      </c>
      <c r="E22" s="59" t="s">
        <v>75</v>
      </c>
      <c r="F22" s="56" t="s">
        <v>30</v>
      </c>
      <c r="G22" s="44">
        <v>2</v>
      </c>
      <c r="H22" s="129">
        <f>IF(B$15=0,0,G22/B$15)</f>
        <v>5.6980056980056983E-3</v>
      </c>
      <c r="I22" s="90">
        <v>7</v>
      </c>
      <c r="K22" s="36">
        <v>20</v>
      </c>
      <c r="L22" s="95">
        <v>-96.000000000000028</v>
      </c>
      <c r="N22" s="111" t="s">
        <v>274</v>
      </c>
      <c r="O22" s="121">
        <f>IF(P22=0,0,Q22/P22)</f>
        <v>-6.2333333333333316</v>
      </c>
      <c r="P22" s="115">
        <v>3</v>
      </c>
      <c r="Q22" s="103">
        <v>-18.699999999999996</v>
      </c>
    </row>
    <row r="23" spans="1:17" x14ac:dyDescent="0.4">
      <c r="A23" s="52" t="s">
        <v>177</v>
      </c>
      <c r="B23" s="136">
        <f>IF($B$15-B$14=0,0,C23/($B$15-B$14))</f>
        <v>8981.278538812785</v>
      </c>
      <c r="C23" s="137">
        <v>1966900</v>
      </c>
      <c r="E23" s="59" t="s">
        <v>73</v>
      </c>
      <c r="F23" s="56" t="s">
        <v>28</v>
      </c>
      <c r="G23" s="44">
        <v>1</v>
      </c>
      <c r="H23" s="129">
        <f>IF(B$15=0,0,G23/B$15)</f>
        <v>2.8490028490028491E-3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-12.341935483870968</v>
      </c>
      <c r="P23" s="115">
        <v>93</v>
      </c>
      <c r="Q23" s="103">
        <v>-1147.8</v>
      </c>
    </row>
    <row r="24" spans="1:17" x14ac:dyDescent="0.4">
      <c r="A24" s="52" t="s">
        <v>178</v>
      </c>
      <c r="B24" s="136">
        <f>IF(B$14=0,0,C24/B$14)</f>
        <v>7338.636363636364</v>
      </c>
      <c r="C24" s="137">
        <v>968700</v>
      </c>
      <c r="E24" s="59" t="s">
        <v>77</v>
      </c>
      <c r="F24" s="56" t="s">
        <v>32</v>
      </c>
      <c r="G24" s="44">
        <v>1</v>
      </c>
      <c r="H24" s="129">
        <f>IF(B$15=0,0,G24/B$15)</f>
        <v>2.8490028490028491E-3</v>
      </c>
      <c r="I24" s="90">
        <v>5</v>
      </c>
      <c r="K24" s="36">
        <v>22</v>
      </c>
      <c r="L24" s="95">
        <v>-38.400000000000034</v>
      </c>
    </row>
    <row r="25" spans="1:17" x14ac:dyDescent="0.4">
      <c r="A25" s="52" t="s">
        <v>176</v>
      </c>
      <c r="B25" s="136">
        <f>IF(B$16=0,0,C25/B$16)</f>
        <v>-7936.4485981308408</v>
      </c>
      <c r="C25" s="137">
        <v>-1698400</v>
      </c>
      <c r="E25" s="59" t="s">
        <v>84</v>
      </c>
      <c r="F25" s="56" t="s">
        <v>39</v>
      </c>
      <c r="G25" s="44">
        <v>1</v>
      </c>
      <c r="H25" s="129">
        <f>IF(B$15=0,0,G25/B$15)</f>
        <v>2.8490028490028491E-3</v>
      </c>
      <c r="I25" s="90">
        <v>5</v>
      </c>
      <c r="K25" s="36">
        <v>23</v>
      </c>
      <c r="L25" s="95">
        <v>-37.600000000000037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2.8490028490028491E-3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51" t="s">
        <v>165</v>
      </c>
      <c r="B27" s="44">
        <v>30</v>
      </c>
      <c r="C27" s="131">
        <v>3</v>
      </c>
      <c r="E27" s="59" t="s">
        <v>95</v>
      </c>
      <c r="F27" s="56" t="s">
        <v>50</v>
      </c>
      <c r="G27" s="44">
        <v>1</v>
      </c>
      <c r="H27" s="129">
        <f>IF(B$15=0,0,G27/B$15)</f>
        <v>2.8490028490028491E-3</v>
      </c>
      <c r="I27" s="90">
        <v>3</v>
      </c>
      <c r="K27" s="36">
        <v>25</v>
      </c>
      <c r="L27" s="95">
        <v>-10.700000000000038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A30" s="53" t="s">
        <v>139</v>
      </c>
      <c r="B30" s="61">
        <v>4</v>
      </c>
      <c r="C30" s="40">
        <f>IF(B$3=0,0,B30/B$3)</f>
        <v>3.4572169403630079E-3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">
      <c r="A32" s="86" t="s">
        <v>183</v>
      </c>
      <c r="B32" s="144">
        <v>24</v>
      </c>
      <c r="C32" s="141">
        <f>IF(B$15=0,0,B32/B$15)</f>
        <v>6.8376068376068383E-2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63.499999999999957</v>
      </c>
    </row>
    <row r="33" spans="1:12" x14ac:dyDescent="0.4">
      <c r="A33" s="51" t="s">
        <v>179</v>
      </c>
      <c r="B33" s="44">
        <v>57</v>
      </c>
      <c r="C33" s="37">
        <f t="shared" ref="C33:C44" si="2">IF(B$15=0,0,B33/B$15)</f>
        <v>0.1623931623931624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">
      <c r="A34" s="51" t="s">
        <v>180</v>
      </c>
      <c r="B34" s="145">
        <v>72</v>
      </c>
      <c r="C34" s="37">
        <f>IF(B$15=0,0,B34/B$15)</f>
        <v>0.20512820512820512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A35" s="51" t="s">
        <v>181</v>
      </c>
      <c r="B35" s="145">
        <v>76</v>
      </c>
      <c r="C35" s="37">
        <f t="shared" si="2"/>
        <v>0.21652421652421652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51" t="s">
        <v>182</v>
      </c>
      <c r="B36" s="145">
        <v>52</v>
      </c>
      <c r="C36" s="37">
        <f t="shared" si="2"/>
        <v>0.14814814814814814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184</v>
      </c>
      <c r="B37" s="145">
        <v>38</v>
      </c>
      <c r="C37" s="37">
        <f t="shared" si="2"/>
        <v>0.10826210826210826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185</v>
      </c>
      <c r="B38" s="145">
        <v>12</v>
      </c>
      <c r="C38" s="37">
        <f t="shared" si="2"/>
        <v>3.4188034188034191E-2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186</v>
      </c>
      <c r="B39" s="145">
        <v>8</v>
      </c>
      <c r="C39" s="37">
        <f t="shared" si="2"/>
        <v>2.2792022792022793E-2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187</v>
      </c>
      <c r="B40" s="145">
        <v>5</v>
      </c>
      <c r="C40" s="37">
        <f t="shared" si="2"/>
        <v>1.4245014245014245E-2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188</v>
      </c>
      <c r="B41" s="145">
        <v>1</v>
      </c>
      <c r="C41" s="37">
        <f t="shared" si="2"/>
        <v>2.8490028490028491E-3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189</v>
      </c>
      <c r="B42" s="145">
        <v>2</v>
      </c>
      <c r="C42" s="37">
        <f t="shared" si="2"/>
        <v>5.6980056980056983E-3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A44" s="53" t="s">
        <v>191</v>
      </c>
      <c r="B44" s="140">
        <v>4</v>
      </c>
      <c r="C44" s="40">
        <f t="shared" si="2"/>
        <v>1.1396011396011397E-2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  <row r="118" spans="11:12" x14ac:dyDescent="0.4">
      <c r="K118" s="36">
        <v>116</v>
      </c>
      <c r="L118" s="95">
        <v>141.49999999999977</v>
      </c>
    </row>
    <row r="119" spans="11:12" x14ac:dyDescent="0.4">
      <c r="K119" s="36">
        <v>117</v>
      </c>
      <c r="L119" s="95">
        <v>94.499999999999773</v>
      </c>
    </row>
    <row r="120" spans="11:12" x14ac:dyDescent="0.4">
      <c r="K120" s="36">
        <v>118</v>
      </c>
      <c r="L120" s="95">
        <v>93.899999999999778</v>
      </c>
    </row>
    <row r="121" spans="11:12" x14ac:dyDescent="0.4">
      <c r="K121" s="36">
        <v>119</v>
      </c>
      <c r="L121" s="95">
        <v>141.29999999999978</v>
      </c>
    </row>
    <row r="122" spans="11:12" x14ac:dyDescent="0.4">
      <c r="K122" s="36">
        <v>120</v>
      </c>
      <c r="L122" s="95">
        <v>130.5999999999998</v>
      </c>
    </row>
    <row r="123" spans="11:12" x14ac:dyDescent="0.4">
      <c r="K123" s="36">
        <v>121</v>
      </c>
      <c r="L123" s="95">
        <v>125.0999999999998</v>
      </c>
    </row>
    <row r="124" spans="11:12" x14ac:dyDescent="0.4">
      <c r="K124" s="36">
        <v>122</v>
      </c>
      <c r="L124" s="95">
        <v>127.69999999999979</v>
      </c>
    </row>
    <row r="125" spans="11:12" x14ac:dyDescent="0.4">
      <c r="K125" s="36">
        <v>123</v>
      </c>
      <c r="L125" s="95">
        <v>154.4999999999998</v>
      </c>
    </row>
    <row r="126" spans="11:12" x14ac:dyDescent="0.4">
      <c r="K126" s="36">
        <v>124</v>
      </c>
      <c r="L126" s="95">
        <v>172.5999999999998</v>
      </c>
    </row>
    <row r="127" spans="11:12" x14ac:dyDescent="0.4">
      <c r="K127" s="36">
        <v>125</v>
      </c>
      <c r="L127" s="95">
        <v>119.9999999999998</v>
      </c>
    </row>
    <row r="128" spans="11:12" x14ac:dyDescent="0.4">
      <c r="K128" s="36">
        <v>126</v>
      </c>
      <c r="L128" s="95">
        <v>77.999999999999801</v>
      </c>
    </row>
    <row r="129" spans="11:12" x14ac:dyDescent="0.4">
      <c r="K129" s="36">
        <v>127</v>
      </c>
      <c r="L129" s="95">
        <v>83.199999999999804</v>
      </c>
    </row>
    <row r="130" spans="11:12" x14ac:dyDescent="0.4">
      <c r="K130" s="36">
        <v>128</v>
      </c>
      <c r="L130" s="95">
        <v>31.699999999999804</v>
      </c>
    </row>
    <row r="131" spans="11:12" x14ac:dyDescent="0.4">
      <c r="K131" s="36">
        <v>129</v>
      </c>
      <c r="L131" s="95">
        <v>24.699999999999804</v>
      </c>
    </row>
    <row r="132" spans="11:12" x14ac:dyDescent="0.4">
      <c r="K132" s="36">
        <v>130</v>
      </c>
      <c r="L132" s="95">
        <v>11.799999999999804</v>
      </c>
    </row>
    <row r="133" spans="11:12" x14ac:dyDescent="0.4">
      <c r="K133" s="36">
        <v>131</v>
      </c>
      <c r="L133" s="95">
        <v>33.499999999999801</v>
      </c>
    </row>
    <row r="134" spans="11:12" x14ac:dyDescent="0.4">
      <c r="K134" s="36">
        <v>132</v>
      </c>
      <c r="L134" s="95">
        <v>90.399999999999807</v>
      </c>
    </row>
    <row r="135" spans="11:12" x14ac:dyDescent="0.4">
      <c r="K135" s="36">
        <v>133</v>
      </c>
      <c r="L135" s="95">
        <v>91.299999999999812</v>
      </c>
    </row>
    <row r="136" spans="11:12" x14ac:dyDescent="0.4">
      <c r="K136" s="36">
        <v>134</v>
      </c>
      <c r="L136" s="95">
        <v>55.699999999999811</v>
      </c>
    </row>
    <row r="137" spans="11:12" x14ac:dyDescent="0.4">
      <c r="K137" s="36">
        <v>135</v>
      </c>
      <c r="L137" s="95">
        <v>47.59999999999981</v>
      </c>
    </row>
    <row r="138" spans="11:12" x14ac:dyDescent="0.4">
      <c r="K138" s="36">
        <v>136</v>
      </c>
      <c r="L138" s="95">
        <v>22.799999999999809</v>
      </c>
    </row>
    <row r="139" spans="11:12" x14ac:dyDescent="0.4">
      <c r="K139" s="36">
        <v>137</v>
      </c>
      <c r="L139" s="95">
        <v>58.999999999999815</v>
      </c>
    </row>
    <row r="140" spans="11:12" x14ac:dyDescent="0.4">
      <c r="K140" s="36">
        <v>138</v>
      </c>
      <c r="L140" s="95">
        <v>61.099999999999817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86F38-4290-4F0F-BFFD-89C134DC8A11}">
  <sheetPr codeName="Sheet13"/>
  <dimension ref="A1:Q9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91</v>
      </c>
      <c r="C2" s="155"/>
      <c r="E2" s="58" t="s">
        <v>66</v>
      </c>
      <c r="F2" s="55" t="s">
        <v>22</v>
      </c>
      <c r="G2" s="43">
        <v>167</v>
      </c>
      <c r="H2" s="128">
        <f>IF(B$15=0,0,G2/B$15)</f>
        <v>0.784037558685446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-144.44444444444446</v>
      </c>
      <c r="P2" s="114">
        <v>90</v>
      </c>
      <c r="Q2" s="98">
        <v>-13000</v>
      </c>
    </row>
    <row r="3" spans="1:17" x14ac:dyDescent="0.4">
      <c r="A3" s="51" t="s">
        <v>8</v>
      </c>
      <c r="B3" s="156">
        <v>772</v>
      </c>
      <c r="C3" s="157"/>
      <c r="E3" s="59" t="s">
        <v>64</v>
      </c>
      <c r="F3" s="56" t="s">
        <v>20</v>
      </c>
      <c r="G3" s="44">
        <v>119</v>
      </c>
      <c r="H3" s="129">
        <f>IF(B$15=0,0,G3/B$15)</f>
        <v>0.55868544600938963</v>
      </c>
      <c r="I3" s="90">
        <v>6</v>
      </c>
      <c r="K3" s="36">
        <v>1</v>
      </c>
      <c r="L3" s="95">
        <v>-37.799999999999997</v>
      </c>
      <c r="N3" s="111" t="s">
        <v>131</v>
      </c>
      <c r="O3" s="118">
        <f t="shared" si="0"/>
        <v>-1234.4444444444443</v>
      </c>
      <c r="P3" s="115">
        <v>90</v>
      </c>
      <c r="Q3" s="99">
        <v>-111100</v>
      </c>
    </row>
    <row r="4" spans="1:17" x14ac:dyDescent="0.4">
      <c r="A4" s="51" t="s">
        <v>6</v>
      </c>
      <c r="B4" s="158">
        <v>-583.4</v>
      </c>
      <c r="C4" s="159"/>
      <c r="E4" s="59" t="s">
        <v>72</v>
      </c>
      <c r="F4" s="56" t="s">
        <v>27</v>
      </c>
      <c r="G4" s="44">
        <v>108</v>
      </c>
      <c r="H4" s="129">
        <f>IF(B$15=0,0,G4/B$15)</f>
        <v>0.50704225352112675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597.61904761904759</v>
      </c>
      <c r="P4" s="115">
        <v>84</v>
      </c>
      <c r="Q4" s="99">
        <v>50200</v>
      </c>
    </row>
    <row r="5" spans="1:17" x14ac:dyDescent="0.4">
      <c r="A5" s="51" t="s">
        <v>7</v>
      </c>
      <c r="B5" s="160">
        <f>IF(B$2=0,0,B$4/B$2)</f>
        <v>-6.4109890109890104</v>
      </c>
      <c r="C5" s="161"/>
      <c r="E5" s="59" t="s">
        <v>166</v>
      </c>
      <c r="F5" s="56" t="s">
        <v>167</v>
      </c>
      <c r="G5" s="44">
        <v>89</v>
      </c>
      <c r="H5" s="129">
        <f>IF(B$15=0,0,G5/B$15)</f>
        <v>0.41784037558685444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-551.80722891566268</v>
      </c>
      <c r="P5" s="115">
        <v>83</v>
      </c>
      <c r="Q5" s="99">
        <v>-45800</v>
      </c>
    </row>
    <row r="6" spans="1:17" x14ac:dyDescent="0.4">
      <c r="A6" s="51" t="s">
        <v>1</v>
      </c>
      <c r="B6" s="150">
        <f>IF(B$2=0,0,(B$7*1+B$8*2+B$9*3)/B$2)</f>
        <v>2.1648351648351647</v>
      </c>
      <c r="C6" s="151"/>
      <c r="E6" s="59" t="s">
        <v>68</v>
      </c>
      <c r="F6" s="56" t="s">
        <v>12</v>
      </c>
      <c r="G6" s="44">
        <v>72</v>
      </c>
      <c r="H6" s="129">
        <f>IF(B$15=0,0,G6/B$15)</f>
        <v>0.3380281690140845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-2937.1794871794873</v>
      </c>
      <c r="P6" s="115">
        <v>78</v>
      </c>
      <c r="Q6" s="99">
        <v>-229100</v>
      </c>
    </row>
    <row r="7" spans="1:17" x14ac:dyDescent="0.4">
      <c r="A7" s="51" t="s">
        <v>2</v>
      </c>
      <c r="B7" s="44">
        <v>20</v>
      </c>
      <c r="C7" s="37">
        <f t="shared" ref="C7:C10" si="1">IF(B$2=0,0,B7/B$2)</f>
        <v>0.21978021978021978</v>
      </c>
      <c r="E7" s="59" t="s">
        <v>67</v>
      </c>
      <c r="F7" s="56" t="s">
        <v>23</v>
      </c>
      <c r="G7" s="44">
        <v>62</v>
      </c>
      <c r="H7" s="129">
        <f>IF(B$15=0,0,G7/B$15)</f>
        <v>0.29107981220657275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-1372.0588235294117</v>
      </c>
      <c r="P7" s="116">
        <v>68</v>
      </c>
      <c r="Q7" s="100">
        <v>-93300</v>
      </c>
    </row>
    <row r="8" spans="1:17" x14ac:dyDescent="0.4">
      <c r="A8" s="51" t="s">
        <v>3</v>
      </c>
      <c r="B8" s="44">
        <v>36</v>
      </c>
      <c r="C8" s="37">
        <f t="shared" si="1"/>
        <v>0.39560439560439559</v>
      </c>
      <c r="E8" s="59" t="s">
        <v>69</v>
      </c>
      <c r="F8" s="56" t="s">
        <v>24</v>
      </c>
      <c r="G8" s="44">
        <v>30</v>
      </c>
      <c r="H8" s="129">
        <f>IF(B$15=0,0,G8/B$15)</f>
        <v>0.14084507042253522</v>
      </c>
      <c r="I8" s="90">
        <v>7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35</v>
      </c>
      <c r="C9" s="38">
        <f t="shared" si="1"/>
        <v>0.38461538461538464</v>
      </c>
      <c r="E9" s="59" t="s">
        <v>70</v>
      </c>
      <c r="F9" s="56" t="s">
        <v>25</v>
      </c>
      <c r="G9" s="44">
        <v>26</v>
      </c>
      <c r="H9" s="129">
        <f>IF(B$15=0,0,G9/B$15)</f>
        <v>0.12206572769953052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7</v>
      </c>
      <c r="C10" s="40">
        <f t="shared" si="1"/>
        <v>7.6923076923076927E-2</v>
      </c>
      <c r="E10" s="59" t="s">
        <v>65</v>
      </c>
      <c r="F10" s="56" t="s">
        <v>21</v>
      </c>
      <c r="G10" s="44">
        <v>25</v>
      </c>
      <c r="H10" s="129">
        <f>IF(B$15=0,0,G10/B$15)</f>
        <v>0.11737089201877934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-5.00810810810811</v>
      </c>
      <c r="P10" s="114">
        <v>37</v>
      </c>
      <c r="Q10" s="102">
        <v>-185.30000000000007</v>
      </c>
    </row>
    <row r="11" spans="1:17" x14ac:dyDescent="0.4">
      <c r="A11" s="54" t="s">
        <v>121</v>
      </c>
      <c r="B11" s="47">
        <v>215</v>
      </c>
      <c r="C11" s="42">
        <f>IF(B$3=0,0,B11/B$3)</f>
        <v>0.27849740932642486</v>
      </c>
      <c r="E11" s="59" t="s">
        <v>89</v>
      </c>
      <c r="F11" s="56" t="s">
        <v>44</v>
      </c>
      <c r="G11" s="44">
        <v>25</v>
      </c>
      <c r="H11" s="129">
        <f>IF(B$15=0,0,G11/B$15)</f>
        <v>0.11737089201877934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-6.8115384615384631</v>
      </c>
      <c r="P11" s="115">
        <v>26</v>
      </c>
      <c r="Q11" s="103">
        <v>-177.10000000000005</v>
      </c>
    </row>
    <row r="12" spans="1:17" x14ac:dyDescent="0.4">
      <c r="A12" s="51" t="s">
        <v>118</v>
      </c>
      <c r="B12" s="44">
        <v>156</v>
      </c>
      <c r="C12" s="37">
        <f>IF(B$3=0,0,B12/B$3)</f>
        <v>0.20207253886010362</v>
      </c>
      <c r="E12" s="59" t="s">
        <v>83</v>
      </c>
      <c r="F12" s="56" t="s">
        <v>38</v>
      </c>
      <c r="G12" s="44">
        <v>11</v>
      </c>
      <c r="H12" s="129">
        <f>IF(B$15=0,0,G12/B$15)</f>
        <v>5.1643192488262914E-2</v>
      </c>
      <c r="I12" s="90">
        <v>7</v>
      </c>
      <c r="K12" s="36">
        <v>10</v>
      </c>
      <c r="L12" s="95">
        <v>-117.19999999999999</v>
      </c>
      <c r="N12" s="112" t="s">
        <v>159</v>
      </c>
      <c r="O12" s="122">
        <f>IF(P12=0,0,Q12/P12)</f>
        <v>-7.8928571428571406</v>
      </c>
      <c r="P12" s="116">
        <v>28</v>
      </c>
      <c r="Q12" s="104">
        <v>-220.99999999999994</v>
      </c>
    </row>
    <row r="13" spans="1:17" x14ac:dyDescent="0.4">
      <c r="A13" s="50" t="s">
        <v>123</v>
      </c>
      <c r="B13" s="43">
        <f>B19</f>
        <v>118</v>
      </c>
      <c r="C13" s="35">
        <f>IF(B$11=0,0,B13/B$11)</f>
        <v>0.5488372093023256</v>
      </c>
      <c r="E13" s="59" t="s">
        <v>71</v>
      </c>
      <c r="F13" s="56" t="s">
        <v>26</v>
      </c>
      <c r="G13" s="44">
        <v>9</v>
      </c>
      <c r="H13" s="129">
        <f>IF(B$15=0,0,G13/B$15)</f>
        <v>4.2253521126760563E-2</v>
      </c>
      <c r="I13" s="90">
        <v>12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64</v>
      </c>
      <c r="C14" s="35">
        <f>IF(B$12=0,0,B14/B$12)</f>
        <v>0.41025641025641024</v>
      </c>
      <c r="E14" s="59" t="s">
        <v>86</v>
      </c>
      <c r="F14" s="56" t="s">
        <v>41</v>
      </c>
      <c r="G14" s="44">
        <v>9</v>
      </c>
      <c r="H14" s="129">
        <f>IF(B$15=0,0,G14/B$15)</f>
        <v>4.2253521126760563E-2</v>
      </c>
      <c r="I14" s="90">
        <v>8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213</v>
      </c>
      <c r="C15" s="35">
        <f>IF(B$3=0,0,B15/B$3)</f>
        <v>0.27590673575129532</v>
      </c>
      <c r="E15" s="59" t="s">
        <v>78</v>
      </c>
      <c r="F15" s="56" t="s">
        <v>33</v>
      </c>
      <c r="G15" s="44">
        <v>7</v>
      </c>
      <c r="H15" s="129">
        <f>IF(B$15=0,0,G15/B$15)</f>
        <v>3.2863849765258218E-2</v>
      </c>
      <c r="I15" s="90">
        <v>4</v>
      </c>
      <c r="K15" s="36">
        <v>13</v>
      </c>
      <c r="L15" s="95">
        <v>-207.3</v>
      </c>
      <c r="N15" s="110" t="s">
        <v>197</v>
      </c>
      <c r="O15" s="120">
        <f>IF(P15=0,0,Q15/P15)</f>
        <v>24.274999999999999</v>
      </c>
      <c r="P15" s="114">
        <v>4</v>
      </c>
      <c r="Q15" s="102">
        <v>97.1</v>
      </c>
    </row>
    <row r="16" spans="1:17" x14ac:dyDescent="0.4">
      <c r="A16" s="51" t="s">
        <v>13</v>
      </c>
      <c r="B16" s="44">
        <v>142</v>
      </c>
      <c r="C16" s="37">
        <f>IF(B$3=0,0,B16/B$3)</f>
        <v>0.18393782383419688</v>
      </c>
      <c r="E16" s="59" t="s">
        <v>162</v>
      </c>
      <c r="F16" s="56" t="s">
        <v>163</v>
      </c>
      <c r="G16" s="44">
        <v>4</v>
      </c>
      <c r="H16" s="129">
        <f>IF(B$15=0,0,G16/B$15)</f>
        <v>1.8779342723004695E-2</v>
      </c>
      <c r="I16" s="90">
        <v>5</v>
      </c>
      <c r="K16" s="36">
        <v>14</v>
      </c>
      <c r="L16" s="95">
        <v>-204.8</v>
      </c>
      <c r="N16" s="111" t="s">
        <v>161</v>
      </c>
      <c r="O16" s="121">
        <f>IF(P16=0,0,Q16/P16)</f>
        <v>6.0625000000000036</v>
      </c>
      <c r="P16" s="115">
        <v>16</v>
      </c>
      <c r="Q16" s="103">
        <v>97.000000000000057</v>
      </c>
    </row>
    <row r="17" spans="1:17" x14ac:dyDescent="0.4">
      <c r="A17" s="51" t="s">
        <v>12</v>
      </c>
      <c r="B17" s="44">
        <v>99</v>
      </c>
      <c r="C17" s="37">
        <f>IF(B$15=0,0,B17/B$15)</f>
        <v>0.46478873239436619</v>
      </c>
      <c r="E17" s="59" t="s">
        <v>75</v>
      </c>
      <c r="F17" s="56" t="s">
        <v>30</v>
      </c>
      <c r="G17" s="44">
        <v>3</v>
      </c>
      <c r="H17" s="129">
        <f>IF(B$15=0,0,G17/B$15)</f>
        <v>1.4084507042253521E-2</v>
      </c>
      <c r="I17" s="90">
        <v>3</v>
      </c>
      <c r="K17" s="36">
        <v>15</v>
      </c>
      <c r="L17" s="95">
        <v>-221.5</v>
      </c>
      <c r="N17" s="111" t="s">
        <v>170</v>
      </c>
      <c r="O17" s="121">
        <f>IF(P17=0,0,Q17/P17)</f>
        <v>2.5450000000000008</v>
      </c>
      <c r="P17" s="115">
        <v>20</v>
      </c>
      <c r="Q17" s="103">
        <v>50.90000000000002</v>
      </c>
    </row>
    <row r="18" spans="1:17" x14ac:dyDescent="0.4">
      <c r="A18" s="51" t="s">
        <v>11</v>
      </c>
      <c r="B18" s="44">
        <v>114</v>
      </c>
      <c r="C18" s="37">
        <f>IF(B$15=0,0,B18/B$15)</f>
        <v>0.53521126760563376</v>
      </c>
      <c r="E18" s="59" t="s">
        <v>79</v>
      </c>
      <c r="F18" s="56" t="s">
        <v>34</v>
      </c>
      <c r="G18" s="44">
        <v>3</v>
      </c>
      <c r="H18" s="129">
        <f>IF(B$15=0,0,G18/B$15)</f>
        <v>1.4084507042253521E-2</v>
      </c>
      <c r="I18" s="90">
        <v>6</v>
      </c>
      <c r="K18" s="36">
        <v>16</v>
      </c>
      <c r="L18" s="95">
        <v>-224.3</v>
      </c>
      <c r="N18" s="111" t="s">
        <v>196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195</v>
      </c>
      <c r="B19" s="44">
        <v>118</v>
      </c>
      <c r="C19" s="37">
        <f>IF(B$15=0,0,B19/B$15)</f>
        <v>0.5539906103286385</v>
      </c>
      <c r="E19" s="59" t="s">
        <v>81</v>
      </c>
      <c r="F19" s="56" t="s">
        <v>36</v>
      </c>
      <c r="G19" s="44">
        <v>3</v>
      </c>
      <c r="H19" s="129">
        <f>IF(B$15=0,0,G19/B$15)</f>
        <v>1.4084507042253521E-2</v>
      </c>
      <c r="I19" s="90">
        <v>9</v>
      </c>
      <c r="K19" s="36">
        <v>17</v>
      </c>
      <c r="L19" s="95">
        <v>-251.4</v>
      </c>
      <c r="N19" s="111" t="s">
        <v>126</v>
      </c>
      <c r="O19" s="121">
        <f>IF(P19=0,0,Q19/P19)</f>
        <v>-12.148214285714287</v>
      </c>
      <c r="P19" s="115">
        <v>56</v>
      </c>
      <c r="Q19" s="103">
        <v>-680.30000000000007</v>
      </c>
    </row>
    <row r="20" spans="1:17" x14ac:dyDescent="0.4">
      <c r="A20" s="51" t="s">
        <v>193</v>
      </c>
      <c r="B20" s="44">
        <v>64</v>
      </c>
      <c r="C20" s="37">
        <f>IF(B$15=0,0,B20/B$15)</f>
        <v>0.30046948356807512</v>
      </c>
      <c r="E20" s="59" t="s">
        <v>91</v>
      </c>
      <c r="F20" s="56" t="s">
        <v>46</v>
      </c>
      <c r="G20" s="44">
        <v>1</v>
      </c>
      <c r="H20" s="129">
        <f>IF(B$15=0,0,G20/B$15)</f>
        <v>4.6948356807511738E-3</v>
      </c>
      <c r="I20" s="90">
        <v>9</v>
      </c>
      <c r="K20" s="36">
        <v>18</v>
      </c>
      <c r="L20" s="95">
        <v>-240</v>
      </c>
      <c r="N20" s="111" t="s">
        <v>171</v>
      </c>
      <c r="O20" s="121">
        <f>IF(P20=0,0,Q20/P20)</f>
        <v>-13.237499999999999</v>
      </c>
      <c r="P20" s="115">
        <v>24</v>
      </c>
      <c r="Q20" s="103">
        <v>-317.7</v>
      </c>
    </row>
    <row r="21" spans="1:17" x14ac:dyDescent="0.4">
      <c r="A21" s="51" t="s">
        <v>194</v>
      </c>
      <c r="B21" s="44">
        <v>31</v>
      </c>
      <c r="C21" s="37">
        <f>IF(B$15=0,0,B21/B$15)</f>
        <v>0.14553990610328638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>IF(P21=0,0,Q21/P21)</f>
        <v>-17.456249999999994</v>
      </c>
      <c r="P21" s="115">
        <v>48</v>
      </c>
      <c r="Q21" s="103">
        <v>-837.89999999999964</v>
      </c>
    </row>
    <row r="22" spans="1:17" x14ac:dyDescent="0.4">
      <c r="A22" s="51" t="s">
        <v>5</v>
      </c>
      <c r="B22" s="48">
        <f>IF(B$15=0,0,C22/B$15)</f>
        <v>7712.6760563380285</v>
      </c>
      <c r="C22" s="39">
        <v>1642800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>IF(P22=0,0,Q22/P22)</f>
        <v>-34.699999999999996</v>
      </c>
      <c r="P22" s="115">
        <v>3</v>
      </c>
      <c r="Q22" s="103">
        <v>-104.1</v>
      </c>
    </row>
    <row r="23" spans="1:17" x14ac:dyDescent="0.4">
      <c r="A23" s="52" t="s">
        <v>177</v>
      </c>
      <c r="B23" s="136">
        <f>IF($B$15-B$14=0,0,C23/($B$15-B$14))</f>
        <v>8335.5704697986585</v>
      </c>
      <c r="C23" s="137">
        <v>1242000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>IF(P23=0,0,Q23/P23)</f>
        <v>-56.6</v>
      </c>
      <c r="P23" s="115">
        <v>1</v>
      </c>
      <c r="Q23" s="103">
        <v>-56.6</v>
      </c>
    </row>
    <row r="24" spans="1:17" x14ac:dyDescent="0.4">
      <c r="A24" s="52" t="s">
        <v>178</v>
      </c>
      <c r="B24" s="136">
        <f>IF(B$14=0,0,C24/B$14)</f>
        <v>6262.5</v>
      </c>
      <c r="C24" s="137">
        <v>400800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-164.60000000000002</v>
      </c>
    </row>
    <row r="25" spans="1:17" x14ac:dyDescent="0.4">
      <c r="A25" s="52" t="s">
        <v>176</v>
      </c>
      <c r="B25" s="136">
        <f>IF(B$16=0,0,C25/B$16)</f>
        <v>-7539.4366197183099</v>
      </c>
      <c r="C25" s="137">
        <v>-1070600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51" t="s">
        <v>165</v>
      </c>
      <c r="B27" s="44">
        <v>21</v>
      </c>
      <c r="C27" s="131">
        <v>4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-163.00000000000003</v>
      </c>
    </row>
    <row r="30" spans="1:17" x14ac:dyDescent="0.4">
      <c r="A30" s="53" t="s">
        <v>139</v>
      </c>
      <c r="B30" s="61">
        <v>3</v>
      </c>
      <c r="C30" s="40">
        <f>IF(B$3=0,0,B30/B$3)</f>
        <v>3.8860103626943004E-3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">
      <c r="A32" s="86" t="s">
        <v>183</v>
      </c>
      <c r="B32" s="144">
        <v>15</v>
      </c>
      <c r="C32" s="141">
        <f>IF(B$15=0,0,B32/B$15)</f>
        <v>7.0422535211267609E-2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">
      <c r="A33" s="51" t="s">
        <v>179</v>
      </c>
      <c r="B33" s="44">
        <v>39</v>
      </c>
      <c r="C33" s="37">
        <f t="shared" ref="C33:C44" si="2">IF(B$15=0,0,B33/B$15)</f>
        <v>0.18309859154929578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">
      <c r="A34" s="51" t="s">
        <v>180</v>
      </c>
      <c r="B34" s="145">
        <v>49</v>
      </c>
      <c r="C34" s="37">
        <f>IF(B$15=0,0,B34/B$15)</f>
        <v>0.2300469483568075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">
      <c r="A35" s="51" t="s">
        <v>181</v>
      </c>
      <c r="B35" s="145">
        <v>32</v>
      </c>
      <c r="C35" s="37">
        <f t="shared" si="2"/>
        <v>0.15023474178403756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">
      <c r="A36" s="51" t="s">
        <v>182</v>
      </c>
      <c r="B36" s="145">
        <v>35</v>
      </c>
      <c r="C36" s="37">
        <f t="shared" si="2"/>
        <v>0.16431924882629109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184</v>
      </c>
      <c r="B37" s="145">
        <v>22</v>
      </c>
      <c r="C37" s="37">
        <f t="shared" si="2"/>
        <v>0.10328638497652583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">
      <c r="A38" s="51" t="s">
        <v>185</v>
      </c>
      <c r="B38" s="145">
        <v>13</v>
      </c>
      <c r="C38" s="37">
        <f t="shared" si="2"/>
        <v>6.1032863849765258E-2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">
      <c r="A39" s="51" t="s">
        <v>186</v>
      </c>
      <c r="B39" s="145">
        <v>4</v>
      </c>
      <c r="C39" s="37">
        <f t="shared" si="2"/>
        <v>1.8779342723004695E-2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">
      <c r="A40" s="51" t="s">
        <v>187</v>
      </c>
      <c r="B40" s="145">
        <v>1</v>
      </c>
      <c r="C40" s="37">
        <f t="shared" si="2"/>
        <v>4.6948356807511738E-3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">
      <c r="A42" s="51" t="s">
        <v>189</v>
      </c>
      <c r="B42" s="145">
        <v>1</v>
      </c>
      <c r="C42" s="37">
        <f t="shared" si="2"/>
        <v>4.6948356807511738E-3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">
      <c r="A43" s="51" t="s">
        <v>190</v>
      </c>
      <c r="B43" s="145">
        <v>2</v>
      </c>
      <c r="C43" s="37">
        <f t="shared" si="2"/>
        <v>9.3896713615023476E-3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  <row r="70" spans="11:12" x14ac:dyDescent="0.4">
      <c r="K70" s="36">
        <v>68</v>
      </c>
      <c r="L70" s="95">
        <v>-477.29999999999995</v>
      </c>
    </row>
    <row r="71" spans="11:12" x14ac:dyDescent="0.4">
      <c r="K71" s="36">
        <v>69</v>
      </c>
      <c r="L71" s="95">
        <v>-486.9</v>
      </c>
    </row>
    <row r="72" spans="11:12" x14ac:dyDescent="0.4">
      <c r="K72" s="36">
        <v>70</v>
      </c>
      <c r="L72" s="95">
        <v>-458</v>
      </c>
    </row>
    <row r="73" spans="11:12" x14ac:dyDescent="0.4">
      <c r="K73" s="36">
        <v>71</v>
      </c>
      <c r="L73" s="95">
        <v>-484.8</v>
      </c>
    </row>
    <row r="74" spans="11:12" x14ac:dyDescent="0.4">
      <c r="K74" s="36">
        <v>72</v>
      </c>
      <c r="L74" s="95">
        <v>-506.40000000000003</v>
      </c>
    </row>
    <row r="75" spans="11:12" x14ac:dyDescent="0.4">
      <c r="K75" s="36">
        <v>73</v>
      </c>
      <c r="L75" s="95">
        <v>-505.3</v>
      </c>
    </row>
    <row r="76" spans="11:12" x14ac:dyDescent="0.4">
      <c r="K76" s="36">
        <v>74</v>
      </c>
      <c r="L76" s="95">
        <v>-490.40000000000003</v>
      </c>
    </row>
    <row r="77" spans="11:12" x14ac:dyDescent="0.4">
      <c r="K77" s="36">
        <v>75</v>
      </c>
      <c r="L77" s="95">
        <v>-489.8</v>
      </c>
    </row>
    <row r="78" spans="11:12" x14ac:dyDescent="0.4">
      <c r="K78" s="36">
        <v>76</v>
      </c>
      <c r="L78" s="95">
        <v>-493.3</v>
      </c>
    </row>
    <row r="79" spans="11:12" x14ac:dyDescent="0.4">
      <c r="K79" s="36">
        <v>77</v>
      </c>
      <c r="L79" s="95">
        <v>-473.90000000000003</v>
      </c>
    </row>
    <row r="80" spans="11:12" x14ac:dyDescent="0.4">
      <c r="K80" s="36">
        <v>78</v>
      </c>
      <c r="L80" s="95">
        <v>-459.3</v>
      </c>
    </row>
    <row r="81" spans="11:12" x14ac:dyDescent="0.4">
      <c r="K81" s="36">
        <v>79</v>
      </c>
      <c r="L81" s="95">
        <v>-481.6</v>
      </c>
    </row>
    <row r="82" spans="11:12" x14ac:dyDescent="0.4">
      <c r="K82" s="36">
        <v>80</v>
      </c>
      <c r="L82" s="95">
        <v>-486.6</v>
      </c>
    </row>
    <row r="83" spans="11:12" x14ac:dyDescent="0.4">
      <c r="K83" s="36">
        <v>81</v>
      </c>
      <c r="L83" s="95">
        <v>-504.20000000000005</v>
      </c>
    </row>
    <row r="84" spans="11:12" x14ac:dyDescent="0.4">
      <c r="K84" s="36">
        <v>82</v>
      </c>
      <c r="L84" s="95">
        <v>-537.30000000000007</v>
      </c>
    </row>
    <row r="85" spans="11:12" x14ac:dyDescent="0.4">
      <c r="K85" s="36">
        <v>83</v>
      </c>
      <c r="L85" s="95">
        <v>-524.50000000000011</v>
      </c>
    </row>
    <row r="86" spans="11:12" x14ac:dyDescent="0.4">
      <c r="K86" s="36">
        <v>84</v>
      </c>
      <c r="L86" s="95">
        <v>-525.00000000000011</v>
      </c>
    </row>
    <row r="87" spans="11:12" x14ac:dyDescent="0.4">
      <c r="K87" s="36">
        <v>85</v>
      </c>
      <c r="L87" s="95">
        <v>-509.30000000000013</v>
      </c>
    </row>
    <row r="88" spans="11:12" x14ac:dyDescent="0.4">
      <c r="K88" s="36">
        <v>86</v>
      </c>
      <c r="L88" s="95">
        <v>-500.10000000000014</v>
      </c>
    </row>
    <row r="89" spans="11:12" x14ac:dyDescent="0.4">
      <c r="K89" s="36">
        <v>87</v>
      </c>
      <c r="L89" s="95">
        <v>-549.60000000000014</v>
      </c>
    </row>
    <row r="90" spans="11:12" x14ac:dyDescent="0.4">
      <c r="K90" s="36">
        <v>88</v>
      </c>
      <c r="L90" s="95">
        <v>-511.50000000000011</v>
      </c>
    </row>
    <row r="91" spans="11:12" x14ac:dyDescent="0.4">
      <c r="K91" s="36">
        <v>89</v>
      </c>
      <c r="L91" s="95">
        <v>-515.30000000000007</v>
      </c>
    </row>
    <row r="92" spans="11:12" x14ac:dyDescent="0.4">
      <c r="K92" s="36">
        <v>90</v>
      </c>
      <c r="L92" s="95">
        <v>-557.1</v>
      </c>
    </row>
    <row r="93" spans="11:12" x14ac:dyDescent="0.4">
      <c r="K93" s="36">
        <v>91</v>
      </c>
      <c r="L93" s="95">
        <v>-583.4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99B2A-194E-42CE-980C-5B76C29DB2E6}">
  <sheetPr codeName="Sheet15"/>
  <dimension ref="A1:Q11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108</v>
      </c>
      <c r="C2" s="155"/>
      <c r="E2" s="58" t="s">
        <v>66</v>
      </c>
      <c r="F2" s="55" t="s">
        <v>22</v>
      </c>
      <c r="G2" s="43">
        <v>206</v>
      </c>
      <c r="H2" s="128">
        <f>IF(B$15=0,0,G2/B$15)</f>
        <v>0.84426229508196726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1200</v>
      </c>
      <c r="P2" s="114">
        <v>108</v>
      </c>
      <c r="Q2" s="98">
        <v>129600</v>
      </c>
    </row>
    <row r="3" spans="1:17" x14ac:dyDescent="0.4">
      <c r="A3" s="51" t="s">
        <v>8</v>
      </c>
      <c r="B3" s="156">
        <v>879</v>
      </c>
      <c r="C3" s="157"/>
      <c r="E3" s="59" t="s">
        <v>64</v>
      </c>
      <c r="F3" s="56" t="s">
        <v>20</v>
      </c>
      <c r="G3" s="44">
        <v>138</v>
      </c>
      <c r="H3" s="129">
        <f>IF(B$15=0,0,G3/B$15)</f>
        <v>0.56557377049180324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-1207.5471698113208</v>
      </c>
      <c r="P3" s="115">
        <v>106</v>
      </c>
      <c r="Q3" s="99">
        <v>-128000</v>
      </c>
    </row>
    <row r="4" spans="1:17" x14ac:dyDescent="0.4">
      <c r="A4" s="51" t="s">
        <v>6</v>
      </c>
      <c r="B4" s="158">
        <v>471.10000000000019</v>
      </c>
      <c r="C4" s="159"/>
      <c r="E4" s="59" t="s">
        <v>72</v>
      </c>
      <c r="F4" s="56" t="s">
        <v>27</v>
      </c>
      <c r="G4" s="44">
        <v>133</v>
      </c>
      <c r="H4" s="129">
        <f>IF(B$15=0,0,G4/B$15)</f>
        <v>0.54508196721311475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-156.70103092783506</v>
      </c>
      <c r="P4" s="115">
        <v>97</v>
      </c>
      <c r="Q4" s="99">
        <v>-15200</v>
      </c>
    </row>
    <row r="5" spans="1:17" x14ac:dyDescent="0.4">
      <c r="A5" s="51" t="s">
        <v>7</v>
      </c>
      <c r="B5" s="160">
        <f>IF(B$2=0,0,B$4/B$2)</f>
        <v>4.3620370370370392</v>
      </c>
      <c r="C5" s="161"/>
      <c r="E5" s="59" t="s">
        <v>67</v>
      </c>
      <c r="F5" s="56" t="s">
        <v>23</v>
      </c>
      <c r="G5" s="44">
        <v>107</v>
      </c>
      <c r="H5" s="129">
        <f>IF(B$15=0,0,G5/B$15)</f>
        <v>0.43852459016393441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2504.3010752688174</v>
      </c>
      <c r="P5" s="115">
        <v>93</v>
      </c>
      <c r="Q5" s="99">
        <v>232900</v>
      </c>
    </row>
    <row r="6" spans="1:17" x14ac:dyDescent="0.4">
      <c r="A6" s="51" t="s">
        <v>1</v>
      </c>
      <c r="B6" s="150">
        <f>IF(B$2=0,0,(B$7*1+B$8*2+B$9*3)/B$2)</f>
        <v>1.8981481481481481</v>
      </c>
      <c r="C6" s="151"/>
      <c r="E6" s="59" t="s">
        <v>68</v>
      </c>
      <c r="F6" s="56" t="s">
        <v>12</v>
      </c>
      <c r="G6" s="44">
        <v>98</v>
      </c>
      <c r="H6" s="129">
        <f>IF(B$15=0,0,G6/B$15)</f>
        <v>0.40163934426229508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864.28571428571433</v>
      </c>
      <c r="P6" s="115">
        <v>84</v>
      </c>
      <c r="Q6" s="99">
        <v>72600</v>
      </c>
    </row>
    <row r="7" spans="1:17" x14ac:dyDescent="0.4">
      <c r="A7" s="51" t="s">
        <v>2</v>
      </c>
      <c r="B7" s="44">
        <v>44</v>
      </c>
      <c r="C7" s="37">
        <f t="shared" ref="C7:C10" si="1">IF(B$2=0,0,B7/B$2)</f>
        <v>0.40740740740740738</v>
      </c>
      <c r="E7" s="59" t="s">
        <v>166</v>
      </c>
      <c r="F7" s="56" t="s">
        <v>167</v>
      </c>
      <c r="G7" s="44">
        <v>92</v>
      </c>
      <c r="H7" s="129">
        <f>IF(B$15=0,0,G7/B$15)</f>
        <v>0.37704918032786883</v>
      </c>
      <c r="I7" s="90">
        <v>10</v>
      </c>
      <c r="K7" s="36">
        <v>5</v>
      </c>
      <c r="L7" s="95">
        <v>-118.3</v>
      </c>
      <c r="N7" s="112" t="s">
        <v>135</v>
      </c>
      <c r="O7" s="119">
        <f t="shared" si="0"/>
        <v>472.05882352941177</v>
      </c>
      <c r="P7" s="116">
        <v>68</v>
      </c>
      <c r="Q7" s="100">
        <v>32100</v>
      </c>
    </row>
    <row r="8" spans="1:17" x14ac:dyDescent="0.4">
      <c r="A8" s="51" t="s">
        <v>3</v>
      </c>
      <c r="B8" s="44">
        <v>31</v>
      </c>
      <c r="C8" s="37">
        <f t="shared" si="1"/>
        <v>0.28703703703703703</v>
      </c>
      <c r="E8" s="59" t="s">
        <v>89</v>
      </c>
      <c r="F8" s="56" t="s">
        <v>44</v>
      </c>
      <c r="G8" s="44">
        <v>57</v>
      </c>
      <c r="H8" s="129">
        <f>IF(B$15=0,0,G8/B$15)</f>
        <v>0.23360655737704919</v>
      </c>
      <c r="I8" s="90">
        <v>3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33</v>
      </c>
      <c r="C9" s="38">
        <f t="shared" si="1"/>
        <v>0.30555555555555558</v>
      </c>
      <c r="E9" s="59" t="s">
        <v>69</v>
      </c>
      <c r="F9" s="56" t="s">
        <v>24</v>
      </c>
      <c r="G9" s="44">
        <v>51</v>
      </c>
      <c r="H9" s="129">
        <f>IF(B$15=0,0,G9/B$15)</f>
        <v>0.20901639344262296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11</v>
      </c>
      <c r="C10" s="40">
        <f t="shared" si="1"/>
        <v>0.10185185185185185</v>
      </c>
      <c r="E10" s="59" t="s">
        <v>65</v>
      </c>
      <c r="F10" s="56" t="s">
        <v>21</v>
      </c>
      <c r="G10" s="44">
        <v>37</v>
      </c>
      <c r="H10" s="129">
        <f>IF(B$15=0,0,G10/B$15)</f>
        <v>0.15163934426229508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-0.913333333333333</v>
      </c>
      <c r="P10" s="114">
        <v>30</v>
      </c>
      <c r="Q10" s="102">
        <v>-27.399999999999991</v>
      </c>
    </row>
    <row r="11" spans="1:17" x14ac:dyDescent="0.4">
      <c r="A11" s="54" t="s">
        <v>121</v>
      </c>
      <c r="B11" s="47">
        <v>278</v>
      </c>
      <c r="C11" s="42">
        <f>IF(B$3=0,0,B11/B$3)</f>
        <v>0.31626848691695109</v>
      </c>
      <c r="E11" s="59" t="s">
        <v>70</v>
      </c>
      <c r="F11" s="56" t="s">
        <v>25</v>
      </c>
      <c r="G11" s="44">
        <v>26</v>
      </c>
      <c r="H11" s="129">
        <f>IF(B$15=0,0,G11/B$15)</f>
        <v>0.10655737704918032</v>
      </c>
      <c r="I11" s="90">
        <v>6</v>
      </c>
      <c r="K11" s="36">
        <v>9</v>
      </c>
      <c r="L11" s="95">
        <v>-120.99999999999999</v>
      </c>
      <c r="N11" s="111" t="s">
        <v>158</v>
      </c>
      <c r="O11" s="121">
        <f>IF(P11=0,0,Q11/P11)</f>
        <v>8.1177777777777749</v>
      </c>
      <c r="P11" s="115">
        <v>45</v>
      </c>
      <c r="Q11" s="103">
        <v>365.2999999999999</v>
      </c>
    </row>
    <row r="12" spans="1:17" x14ac:dyDescent="0.4">
      <c r="A12" s="51" t="s">
        <v>118</v>
      </c>
      <c r="B12" s="44">
        <v>150</v>
      </c>
      <c r="C12" s="37">
        <f>IF(B$3=0,0,B12/B$3)</f>
        <v>0.17064846416382254</v>
      </c>
      <c r="E12" s="59" t="s">
        <v>162</v>
      </c>
      <c r="F12" s="56" t="s">
        <v>163</v>
      </c>
      <c r="G12" s="44">
        <v>16</v>
      </c>
      <c r="H12" s="129">
        <f>IF(B$15=0,0,G12/B$15)</f>
        <v>6.5573770491803282E-2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4.036363636363637</v>
      </c>
      <c r="P12" s="116">
        <v>33</v>
      </c>
      <c r="Q12" s="104">
        <v>133.20000000000002</v>
      </c>
    </row>
    <row r="13" spans="1:17" x14ac:dyDescent="0.4">
      <c r="A13" s="50" t="s">
        <v>123</v>
      </c>
      <c r="B13" s="43">
        <f>B19</f>
        <v>154</v>
      </c>
      <c r="C13" s="35">
        <f>IF(B$11=0,0,B13/B$11)</f>
        <v>0.5539568345323741</v>
      </c>
      <c r="E13" s="59" t="s">
        <v>71</v>
      </c>
      <c r="F13" s="56" t="s">
        <v>26</v>
      </c>
      <c r="G13" s="44">
        <v>14</v>
      </c>
      <c r="H13" s="129">
        <f>IF(B$15=0,0,G13/B$15)</f>
        <v>5.737704918032787E-2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56</v>
      </c>
      <c r="C14" s="35">
        <f>IF(B$12=0,0,B14/B$12)</f>
        <v>0.37333333333333335</v>
      </c>
      <c r="E14" s="59" t="s">
        <v>86</v>
      </c>
      <c r="F14" s="56" t="s">
        <v>41</v>
      </c>
      <c r="G14" s="44">
        <v>10</v>
      </c>
      <c r="H14" s="129">
        <f>IF(B$15=0,0,G14/B$15)</f>
        <v>4.0983606557377046E-2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244</v>
      </c>
      <c r="C15" s="35">
        <f>IF(B$3=0,0,B15/B$3)</f>
        <v>0.27758816837315131</v>
      </c>
      <c r="E15" s="59" t="s">
        <v>83</v>
      </c>
      <c r="F15" s="56" t="s">
        <v>38</v>
      </c>
      <c r="G15" s="44">
        <v>7</v>
      </c>
      <c r="H15" s="129">
        <f>IF(B$15=0,0,G15/B$15)</f>
        <v>2.8688524590163935E-2</v>
      </c>
      <c r="I15" s="90">
        <v>12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1" t="s">
        <v>13</v>
      </c>
      <c r="B16" s="44">
        <v>153</v>
      </c>
      <c r="C16" s="37">
        <f>IF(B$3=0,0,B16/B$3)</f>
        <v>0.17406143344709898</v>
      </c>
      <c r="E16" s="59" t="s">
        <v>78</v>
      </c>
      <c r="F16" s="56" t="s">
        <v>33</v>
      </c>
      <c r="G16" s="44">
        <v>4</v>
      </c>
      <c r="H16" s="129">
        <f>IF(B$15=0,0,G16/B$15)</f>
        <v>1.6393442622950821E-2</v>
      </c>
      <c r="I16" s="90">
        <v>7</v>
      </c>
      <c r="K16" s="36">
        <v>14</v>
      </c>
      <c r="L16" s="95">
        <v>-86.499999999999972</v>
      </c>
      <c r="N16" s="111" t="s">
        <v>161</v>
      </c>
      <c r="O16" s="121">
        <f>IF(P16=0,0,Q16/P16)</f>
        <v>37.36</v>
      </c>
      <c r="P16" s="115">
        <v>20</v>
      </c>
      <c r="Q16" s="103">
        <v>747.19999999999993</v>
      </c>
    </row>
    <row r="17" spans="1:17" x14ac:dyDescent="0.4">
      <c r="A17" s="51" t="s">
        <v>12</v>
      </c>
      <c r="B17" s="44">
        <v>125</v>
      </c>
      <c r="C17" s="37">
        <f>IF(B$15=0,0,B17/B$15)</f>
        <v>0.51229508196721307</v>
      </c>
      <c r="E17" s="59" t="s">
        <v>81</v>
      </c>
      <c r="F17" s="56" t="s">
        <v>36</v>
      </c>
      <c r="G17" s="44">
        <v>4</v>
      </c>
      <c r="H17" s="129">
        <f>IF(B$15=0,0,G17/B$15)</f>
        <v>1.6393442622950821E-2</v>
      </c>
      <c r="I17" s="90">
        <v>7</v>
      </c>
      <c r="K17" s="36">
        <v>15</v>
      </c>
      <c r="L17" s="95">
        <v>-101.79999999999997</v>
      </c>
      <c r="N17" s="111" t="s">
        <v>171</v>
      </c>
      <c r="O17" s="121">
        <f>IF(P17=0,0,Q17/P17)</f>
        <v>10.089285714285714</v>
      </c>
      <c r="P17" s="115">
        <v>56</v>
      </c>
      <c r="Q17" s="103">
        <v>565</v>
      </c>
    </row>
    <row r="18" spans="1:17" x14ac:dyDescent="0.4">
      <c r="A18" s="51" t="s">
        <v>11</v>
      </c>
      <c r="B18" s="44">
        <v>119</v>
      </c>
      <c r="C18" s="37">
        <f>IF(B$15=0,0,B18/B$15)</f>
        <v>0.48770491803278687</v>
      </c>
      <c r="E18" s="59" t="s">
        <v>91</v>
      </c>
      <c r="F18" s="56" t="s">
        <v>46</v>
      </c>
      <c r="G18" s="44">
        <v>4</v>
      </c>
      <c r="H18" s="129">
        <f>IF(B$15=0,0,G18/B$15)</f>
        <v>1.6393442622950821E-2</v>
      </c>
      <c r="I18" s="90">
        <v>5</v>
      </c>
      <c r="K18" s="36">
        <v>16</v>
      </c>
      <c r="L18" s="95">
        <v>-63.099999999999966</v>
      </c>
      <c r="N18" s="111" t="s">
        <v>197</v>
      </c>
      <c r="O18" s="121">
        <f>IF(P18=0,0,Q18/P18)</f>
        <v>9.4086956521739165</v>
      </c>
      <c r="P18" s="115">
        <v>23</v>
      </c>
      <c r="Q18" s="103">
        <v>216.40000000000006</v>
      </c>
    </row>
    <row r="19" spans="1:17" x14ac:dyDescent="0.4">
      <c r="A19" s="51" t="s">
        <v>195</v>
      </c>
      <c r="B19" s="44">
        <v>154</v>
      </c>
      <c r="C19" s="37">
        <f>IF(B$15=0,0,B19/B$15)</f>
        <v>0.63114754098360659</v>
      </c>
      <c r="E19" s="59" t="s">
        <v>92</v>
      </c>
      <c r="F19" s="56" t="s">
        <v>47</v>
      </c>
      <c r="G19" s="44">
        <v>4</v>
      </c>
      <c r="H19" s="129">
        <f>IF(B$15=0,0,G19/B$15)</f>
        <v>1.6393442622950821E-2</v>
      </c>
      <c r="I19" s="90">
        <v>1</v>
      </c>
      <c r="K19" s="36">
        <v>17</v>
      </c>
      <c r="L19" s="95">
        <v>-55.799999999999969</v>
      </c>
      <c r="N19" s="111" t="s">
        <v>126</v>
      </c>
      <c r="O19" s="121">
        <f>IF(P19=0,0,Q19/P19)</f>
        <v>2.5707317073170706</v>
      </c>
      <c r="P19" s="115">
        <v>41</v>
      </c>
      <c r="Q19" s="103">
        <v>105.39999999999989</v>
      </c>
    </row>
    <row r="20" spans="1:17" x14ac:dyDescent="0.4">
      <c r="A20" s="51" t="s">
        <v>193</v>
      </c>
      <c r="B20" s="44">
        <v>56</v>
      </c>
      <c r="C20" s="37">
        <f>IF(B$15=0,0,B20/B$15)</f>
        <v>0.22950819672131148</v>
      </c>
      <c r="E20" s="59" t="s">
        <v>73</v>
      </c>
      <c r="F20" s="56" t="s">
        <v>28</v>
      </c>
      <c r="G20" s="44">
        <v>2</v>
      </c>
      <c r="H20" s="129">
        <f>IF(B$15=0,0,G20/B$15)</f>
        <v>8.1967213114754103E-3</v>
      </c>
      <c r="I20" s="90">
        <v>2</v>
      </c>
      <c r="K20" s="36">
        <v>18</v>
      </c>
      <c r="L20" s="95">
        <v>-24.999999999999968</v>
      </c>
      <c r="N20" s="111" t="s">
        <v>127</v>
      </c>
      <c r="O20" s="121">
        <f>IF(P20=0,0,Q20/P20)</f>
        <v>-0.66000000000000258</v>
      </c>
      <c r="P20" s="115">
        <v>40</v>
      </c>
      <c r="Q20" s="103">
        <v>-26.400000000000102</v>
      </c>
    </row>
    <row r="21" spans="1:17" x14ac:dyDescent="0.4">
      <c r="A21" s="51" t="s">
        <v>194</v>
      </c>
      <c r="B21" s="44">
        <v>34</v>
      </c>
      <c r="C21" s="37">
        <f>IF(B$15=0,0,B21/B$15)</f>
        <v>0.13934426229508196</v>
      </c>
      <c r="E21" s="59" t="s">
        <v>79</v>
      </c>
      <c r="F21" s="56" t="s">
        <v>34</v>
      </c>
      <c r="G21" s="44">
        <v>2</v>
      </c>
      <c r="H21" s="129">
        <f>IF(B$15=0,0,G21/B$15)</f>
        <v>8.1967213114754103E-3</v>
      </c>
      <c r="I21" s="90">
        <v>8</v>
      </c>
      <c r="K21" s="36">
        <v>19</v>
      </c>
      <c r="L21" s="95">
        <v>-27.799999999999969</v>
      </c>
      <c r="N21" s="111" t="s">
        <v>172</v>
      </c>
      <c r="O21" s="121">
        <f>IF(P21=0,0,Q21/P21)</f>
        <v>-2.5450000000000008</v>
      </c>
      <c r="P21" s="115">
        <v>20</v>
      </c>
      <c r="Q21" s="103">
        <v>-50.90000000000002</v>
      </c>
    </row>
    <row r="22" spans="1:17" x14ac:dyDescent="0.4">
      <c r="A22" s="51" t="s">
        <v>5</v>
      </c>
      <c r="B22" s="48">
        <f>IF(B$15=0,0,C22/B$15)</f>
        <v>10770.901639344262</v>
      </c>
      <c r="C22" s="39">
        <v>2628100</v>
      </c>
      <c r="E22" s="59" t="s">
        <v>84</v>
      </c>
      <c r="F22" s="56" t="s">
        <v>39</v>
      </c>
      <c r="G22" s="44">
        <v>2</v>
      </c>
      <c r="H22" s="129">
        <f>IF(B$15=0,0,G22/B$15)</f>
        <v>8.1967213114754103E-3</v>
      </c>
      <c r="I22" s="90">
        <v>1</v>
      </c>
      <c r="K22" s="36">
        <v>20</v>
      </c>
      <c r="L22" s="95">
        <v>-50.39999999999997</v>
      </c>
      <c r="N22" s="111" t="s">
        <v>196</v>
      </c>
      <c r="O22" s="121">
        <f>IF(P22=0,0,Q22/P22)</f>
        <v>-14.099999999999998</v>
      </c>
      <c r="P22" s="115">
        <v>8</v>
      </c>
      <c r="Q22" s="103">
        <v>-112.79999999999998</v>
      </c>
    </row>
    <row r="23" spans="1:17" x14ac:dyDescent="0.4">
      <c r="A23" s="52" t="s">
        <v>177</v>
      </c>
      <c r="B23" s="136">
        <f>IF($B$15-B$14=0,0,C23/($B$15-B$14))</f>
        <v>11428.191489361701</v>
      </c>
      <c r="C23" s="137">
        <v>2148500</v>
      </c>
      <c r="E23" s="59" t="s">
        <v>90</v>
      </c>
      <c r="F23" s="56" t="s">
        <v>45</v>
      </c>
      <c r="G23" s="44">
        <v>2</v>
      </c>
      <c r="H23" s="129">
        <f>IF(B$15=0,0,G23/B$15)</f>
        <v>8.1967213114754103E-3</v>
      </c>
      <c r="I23" s="90">
        <v>1</v>
      </c>
      <c r="K23" s="36">
        <v>21</v>
      </c>
      <c r="L23" s="95">
        <v>-59.89999999999997</v>
      </c>
      <c r="N23" s="111" t="s">
        <v>274</v>
      </c>
      <c r="O23" s="121">
        <f>IF(P23=0,0,Q23/P23)</f>
        <v>-25.316666666666666</v>
      </c>
      <c r="P23" s="115">
        <v>6</v>
      </c>
      <c r="Q23" s="103">
        <v>-151.9</v>
      </c>
    </row>
    <row r="24" spans="1:17" x14ac:dyDescent="0.4">
      <c r="A24" s="52" t="s">
        <v>178</v>
      </c>
      <c r="B24" s="136">
        <f>IF(B$14=0,0,C24/B$14)</f>
        <v>8564.2857142857138</v>
      </c>
      <c r="C24" s="137">
        <v>479600</v>
      </c>
      <c r="E24" s="59" t="s">
        <v>75</v>
      </c>
      <c r="F24" s="56" t="s">
        <v>30</v>
      </c>
      <c r="G24" s="44">
        <v>1</v>
      </c>
      <c r="H24" s="129">
        <f>IF(B$15=0,0,G24/B$15)</f>
        <v>4.0983606557377051E-3</v>
      </c>
      <c r="I24" s="90">
        <v>8</v>
      </c>
      <c r="K24" s="36">
        <v>22</v>
      </c>
      <c r="L24" s="95">
        <v>-21.799999999999969</v>
      </c>
    </row>
    <row r="25" spans="1:17" x14ac:dyDescent="0.4">
      <c r="A25" s="52" t="s">
        <v>176</v>
      </c>
      <c r="B25" s="136">
        <f>IF(B$16=0,0,C25/B$16)</f>
        <v>-8109.1503267973858</v>
      </c>
      <c r="C25" s="137">
        <v>-1240700</v>
      </c>
      <c r="E25" s="59" t="s">
        <v>77</v>
      </c>
      <c r="F25" s="56" t="s">
        <v>32</v>
      </c>
      <c r="G25" s="44">
        <v>1</v>
      </c>
      <c r="H25" s="129">
        <f>IF(B$15=0,0,G25/B$15)</f>
        <v>4.0983606557377051E-3</v>
      </c>
      <c r="I25" s="90">
        <v>3</v>
      </c>
      <c r="K25" s="36">
        <v>23</v>
      </c>
      <c r="L25" s="95">
        <v>-10.299999999999969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85</v>
      </c>
      <c r="F26" s="56" t="s">
        <v>40</v>
      </c>
      <c r="G26" s="44">
        <v>1</v>
      </c>
      <c r="H26" s="129">
        <f>IF(B$15=0,0,G26/B$15)</f>
        <v>4.0983606557377051E-3</v>
      </c>
      <c r="I26" s="90">
        <v>6</v>
      </c>
      <c r="K26" s="36">
        <v>24</v>
      </c>
      <c r="L26" s="95">
        <v>-51.39999999999997</v>
      </c>
    </row>
    <row r="27" spans="1:17" x14ac:dyDescent="0.4">
      <c r="A27" s="51" t="s">
        <v>165</v>
      </c>
      <c r="B27" s="44">
        <v>25</v>
      </c>
      <c r="C27" s="131">
        <v>5</v>
      </c>
      <c r="E27" s="59" t="s">
        <v>93</v>
      </c>
      <c r="F27" s="56" t="s">
        <v>48</v>
      </c>
      <c r="G27" s="44">
        <v>1</v>
      </c>
      <c r="H27" s="129">
        <f>IF(B$15=0,0,G27/B$15)</f>
        <v>4.0983606557377051E-3</v>
      </c>
      <c r="I27" s="90">
        <v>2</v>
      </c>
      <c r="K27" s="36">
        <v>25</v>
      </c>
      <c r="L27" s="95">
        <v>-37.699999999999974</v>
      </c>
    </row>
    <row r="28" spans="1:17" x14ac:dyDescent="0.4">
      <c r="A28" s="86" t="s">
        <v>138</v>
      </c>
      <c r="B28" s="148">
        <v>8</v>
      </c>
      <c r="C28" s="149"/>
      <c r="E28" s="59" t="s">
        <v>97</v>
      </c>
      <c r="F28" s="56" t="s">
        <v>52</v>
      </c>
      <c r="G28" s="44">
        <v>1</v>
      </c>
      <c r="H28" s="129">
        <f>IF(B$15=0,0,G28/B$15)</f>
        <v>4.0983606557377051E-3</v>
      </c>
      <c r="I28" s="90">
        <v>1</v>
      </c>
      <c r="K28" s="36">
        <v>26</v>
      </c>
      <c r="L28" s="95">
        <v>-84.999999999999972</v>
      </c>
    </row>
    <row r="29" spans="1:17" x14ac:dyDescent="0.4">
      <c r="A29" s="54" t="s">
        <v>192</v>
      </c>
      <c r="B29" s="146">
        <v>122100</v>
      </c>
      <c r="C29" s="147"/>
      <c r="E29" s="59" t="s">
        <v>74</v>
      </c>
      <c r="F29" s="56" t="s">
        <v>29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-31.499999999999972</v>
      </c>
    </row>
    <row r="30" spans="1:17" x14ac:dyDescent="0.4">
      <c r="A30" s="53" t="s">
        <v>139</v>
      </c>
      <c r="B30" s="61">
        <v>1</v>
      </c>
      <c r="C30" s="40">
        <f>IF(B$3=0,0,B30/B$3)</f>
        <v>1.1376564277588168E-3</v>
      </c>
      <c r="E30" s="59" t="s">
        <v>76</v>
      </c>
      <c r="F30" s="56" t="s">
        <v>31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A32" s="86" t="s">
        <v>183</v>
      </c>
      <c r="B32" s="144">
        <v>6</v>
      </c>
      <c r="C32" s="141">
        <f>IF(B$15=0,0,B32/B$15)</f>
        <v>2.4590163934426229E-2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">
      <c r="A33" s="51" t="s">
        <v>179</v>
      </c>
      <c r="B33" s="44">
        <v>20</v>
      </c>
      <c r="C33" s="37">
        <f t="shared" ref="C33:C44" si="2">IF(B$15=0,0,B33/B$15)</f>
        <v>8.1967213114754092E-2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73.900000000000034</v>
      </c>
    </row>
    <row r="34" spans="1:12" x14ac:dyDescent="0.4">
      <c r="A34" s="51" t="s">
        <v>180</v>
      </c>
      <c r="B34" s="145">
        <v>31</v>
      </c>
      <c r="C34" s="37">
        <f>IF(B$15=0,0,B34/B$15)</f>
        <v>0.12704918032786885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">
      <c r="A35" s="51" t="s">
        <v>181</v>
      </c>
      <c r="B35" s="145">
        <v>48</v>
      </c>
      <c r="C35" s="37">
        <f t="shared" si="2"/>
        <v>0.19672131147540983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">
      <c r="A36" s="51" t="s">
        <v>182</v>
      </c>
      <c r="B36" s="145">
        <v>57</v>
      </c>
      <c r="C36" s="37">
        <f t="shared" si="2"/>
        <v>0.23360655737704919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">
      <c r="A37" s="51" t="s">
        <v>184</v>
      </c>
      <c r="B37" s="145">
        <v>28</v>
      </c>
      <c r="C37" s="37">
        <f t="shared" si="2"/>
        <v>0.11475409836065574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185</v>
      </c>
      <c r="B38" s="145">
        <v>21</v>
      </c>
      <c r="C38" s="37">
        <f t="shared" si="2"/>
        <v>8.6065573770491802E-2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186</v>
      </c>
      <c r="B39" s="145">
        <v>16</v>
      </c>
      <c r="C39" s="37">
        <f t="shared" si="2"/>
        <v>6.5573770491803282E-2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187</v>
      </c>
      <c r="B40" s="145">
        <v>6</v>
      </c>
      <c r="C40" s="37">
        <f t="shared" si="2"/>
        <v>2.4590163934426229E-2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188</v>
      </c>
      <c r="B41" s="145">
        <v>2</v>
      </c>
      <c r="C41" s="37">
        <f t="shared" si="2"/>
        <v>8.1967213114754103E-3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189</v>
      </c>
      <c r="B42" s="145">
        <v>2</v>
      </c>
      <c r="C42" s="37">
        <f t="shared" si="2"/>
        <v>8.1967213114754103E-3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1" t="s">
        <v>190</v>
      </c>
      <c r="B43" s="145">
        <v>1</v>
      </c>
      <c r="C43" s="37">
        <f t="shared" si="2"/>
        <v>4.0983606557377051E-3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A44" s="53" t="s">
        <v>191</v>
      </c>
      <c r="B44" s="140">
        <v>6</v>
      </c>
      <c r="C44" s="40">
        <f t="shared" si="2"/>
        <v>2.4590163934426229E-2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  <row r="79" spans="11:12" x14ac:dyDescent="0.4">
      <c r="K79" s="36">
        <v>77</v>
      </c>
      <c r="L79" s="95">
        <v>368.00000000000011</v>
      </c>
    </row>
    <row r="80" spans="11:12" x14ac:dyDescent="0.4">
      <c r="K80" s="36">
        <v>78</v>
      </c>
      <c r="L80" s="95">
        <v>312.50000000000011</v>
      </c>
    </row>
    <row r="81" spans="11:12" x14ac:dyDescent="0.4">
      <c r="K81" s="36">
        <v>79</v>
      </c>
      <c r="L81" s="95">
        <v>263.80000000000013</v>
      </c>
    </row>
    <row r="82" spans="11:12" x14ac:dyDescent="0.4">
      <c r="K82" s="36">
        <v>80</v>
      </c>
      <c r="L82" s="95">
        <v>245.50000000000011</v>
      </c>
    </row>
    <row r="83" spans="11:12" x14ac:dyDescent="0.4">
      <c r="K83" s="36">
        <v>81</v>
      </c>
      <c r="L83" s="95">
        <v>200.30000000000013</v>
      </c>
    </row>
    <row r="84" spans="11:12" x14ac:dyDescent="0.4">
      <c r="K84" s="36">
        <v>82</v>
      </c>
      <c r="L84" s="95">
        <v>229.10000000000014</v>
      </c>
    </row>
    <row r="85" spans="11:12" x14ac:dyDescent="0.4">
      <c r="K85" s="36">
        <v>83</v>
      </c>
      <c r="L85" s="95">
        <v>230.70000000000013</v>
      </c>
    </row>
    <row r="86" spans="11:12" x14ac:dyDescent="0.4">
      <c r="K86" s="36">
        <v>84</v>
      </c>
      <c r="L86" s="95">
        <v>201.10000000000014</v>
      </c>
    </row>
    <row r="87" spans="11:12" x14ac:dyDescent="0.4">
      <c r="K87" s="36">
        <v>85</v>
      </c>
      <c r="L87" s="95">
        <v>200.20000000000013</v>
      </c>
    </row>
    <row r="88" spans="11:12" x14ac:dyDescent="0.4">
      <c r="K88" s="36">
        <v>86</v>
      </c>
      <c r="L88" s="95">
        <v>211.70000000000013</v>
      </c>
    </row>
    <row r="89" spans="11:12" x14ac:dyDescent="0.4">
      <c r="K89" s="36">
        <v>87</v>
      </c>
      <c r="L89" s="95">
        <v>186.30000000000013</v>
      </c>
    </row>
    <row r="90" spans="11:12" x14ac:dyDescent="0.4">
      <c r="K90" s="36">
        <v>88</v>
      </c>
      <c r="L90" s="95">
        <v>163.60000000000014</v>
      </c>
    </row>
    <row r="91" spans="11:12" x14ac:dyDescent="0.4">
      <c r="K91" s="36">
        <v>89</v>
      </c>
      <c r="L91" s="95">
        <v>188.60000000000014</v>
      </c>
    </row>
    <row r="92" spans="11:12" x14ac:dyDescent="0.4">
      <c r="K92" s="36">
        <v>90</v>
      </c>
      <c r="L92" s="95">
        <v>236.10000000000014</v>
      </c>
    </row>
    <row r="93" spans="11:12" x14ac:dyDescent="0.4">
      <c r="K93" s="36">
        <v>91</v>
      </c>
      <c r="L93" s="95">
        <v>240.30000000000013</v>
      </c>
    </row>
    <row r="94" spans="11:12" x14ac:dyDescent="0.4">
      <c r="K94" s="36">
        <v>92</v>
      </c>
      <c r="L94" s="95">
        <v>286.50000000000011</v>
      </c>
    </row>
    <row r="95" spans="11:12" x14ac:dyDescent="0.4">
      <c r="K95" s="36">
        <v>93</v>
      </c>
      <c r="L95" s="95">
        <v>263.30000000000013</v>
      </c>
    </row>
    <row r="96" spans="11:12" x14ac:dyDescent="0.4">
      <c r="K96" s="36">
        <v>94</v>
      </c>
      <c r="L96" s="95">
        <v>299.60000000000014</v>
      </c>
    </row>
    <row r="97" spans="11:12" x14ac:dyDescent="0.4">
      <c r="K97" s="36">
        <v>95</v>
      </c>
      <c r="L97" s="95">
        <v>335.30000000000013</v>
      </c>
    </row>
    <row r="98" spans="11:12" x14ac:dyDescent="0.4">
      <c r="K98" s="36">
        <v>96</v>
      </c>
      <c r="L98" s="95">
        <v>335.40000000000015</v>
      </c>
    </row>
    <row r="99" spans="11:12" x14ac:dyDescent="0.4">
      <c r="K99" s="36">
        <v>97</v>
      </c>
      <c r="L99" s="95">
        <v>334.70000000000016</v>
      </c>
    </row>
    <row r="100" spans="11:12" x14ac:dyDescent="0.4">
      <c r="K100" s="36">
        <v>98</v>
      </c>
      <c r="L100" s="95">
        <v>349.00000000000017</v>
      </c>
    </row>
    <row r="101" spans="11:12" x14ac:dyDescent="0.4">
      <c r="K101" s="36">
        <v>99</v>
      </c>
      <c r="L101" s="95">
        <v>386.70000000000016</v>
      </c>
    </row>
    <row r="102" spans="11:12" x14ac:dyDescent="0.4">
      <c r="K102" s="36">
        <v>100</v>
      </c>
      <c r="L102" s="95">
        <v>350.30000000000018</v>
      </c>
    </row>
    <row r="103" spans="11:12" x14ac:dyDescent="0.4">
      <c r="K103" s="36">
        <v>101</v>
      </c>
      <c r="L103" s="95">
        <v>344.9000000000002</v>
      </c>
    </row>
    <row r="104" spans="11:12" x14ac:dyDescent="0.4">
      <c r="K104" s="36">
        <v>102</v>
      </c>
      <c r="L104" s="95">
        <v>359.50000000000023</v>
      </c>
    </row>
    <row r="105" spans="11:12" x14ac:dyDescent="0.4">
      <c r="K105" s="36">
        <v>103</v>
      </c>
      <c r="L105" s="95">
        <v>402.30000000000024</v>
      </c>
    </row>
    <row r="106" spans="11:12" x14ac:dyDescent="0.4">
      <c r="K106" s="36">
        <v>104</v>
      </c>
      <c r="L106" s="95">
        <v>408.90000000000026</v>
      </c>
    </row>
    <row r="107" spans="11:12" x14ac:dyDescent="0.4">
      <c r="K107" s="36">
        <v>105</v>
      </c>
      <c r="L107" s="95">
        <v>372.30000000000024</v>
      </c>
    </row>
    <row r="108" spans="11:12" x14ac:dyDescent="0.4">
      <c r="K108" s="36">
        <v>106</v>
      </c>
      <c r="L108" s="95">
        <v>395.80000000000024</v>
      </c>
    </row>
    <row r="109" spans="11:12" x14ac:dyDescent="0.4">
      <c r="K109" s="36">
        <v>107</v>
      </c>
      <c r="L109" s="95">
        <v>438.20000000000022</v>
      </c>
    </row>
    <row r="110" spans="11:12" x14ac:dyDescent="0.4">
      <c r="K110" s="36">
        <v>108</v>
      </c>
      <c r="L110" s="95">
        <v>471.10000000000019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00DD3-2E88-4551-97BA-23E4816761E0}">
  <sheetPr codeName="Sheet17"/>
  <dimension ref="A1:Q12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123</v>
      </c>
      <c r="C2" s="155"/>
      <c r="E2" s="58" t="s">
        <v>66</v>
      </c>
      <c r="F2" s="55" t="s">
        <v>22</v>
      </c>
      <c r="G2" s="43">
        <v>210</v>
      </c>
      <c r="H2" s="128">
        <f>IF(B$15=0,0,G2/B$15)</f>
        <v>0.74204946996466437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35.772357723577237</v>
      </c>
      <c r="P2" s="114">
        <v>123</v>
      </c>
      <c r="Q2" s="98">
        <v>4400</v>
      </c>
    </row>
    <row r="3" spans="1:17" x14ac:dyDescent="0.4">
      <c r="A3" s="51" t="s">
        <v>8</v>
      </c>
      <c r="B3" s="156">
        <v>1002</v>
      </c>
      <c r="C3" s="157"/>
      <c r="E3" s="59" t="s">
        <v>72</v>
      </c>
      <c r="F3" s="56" t="s">
        <v>27</v>
      </c>
      <c r="G3" s="44">
        <v>159</v>
      </c>
      <c r="H3" s="129">
        <f>IF(B$15=0,0,G3/B$15)</f>
        <v>0.56183745583038869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0"/>
        <v>236.66666666666666</v>
      </c>
      <c r="P3" s="115">
        <v>120</v>
      </c>
      <c r="Q3" s="99">
        <v>28400</v>
      </c>
    </row>
    <row r="4" spans="1:17" x14ac:dyDescent="0.4">
      <c r="A4" s="51" t="s">
        <v>6</v>
      </c>
      <c r="B4" s="158">
        <v>-36.999999999999986</v>
      </c>
      <c r="C4" s="159"/>
      <c r="E4" s="59" t="s">
        <v>64</v>
      </c>
      <c r="F4" s="56" t="s">
        <v>20</v>
      </c>
      <c r="G4" s="44">
        <v>143</v>
      </c>
      <c r="H4" s="129">
        <f>IF(B$15=0,0,G4/B$15)</f>
        <v>0.5053003533568905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420.17543859649123</v>
      </c>
      <c r="P4" s="115">
        <v>114</v>
      </c>
      <c r="Q4" s="99">
        <v>47900</v>
      </c>
    </row>
    <row r="5" spans="1:17" x14ac:dyDescent="0.4">
      <c r="A5" s="51" t="s">
        <v>7</v>
      </c>
      <c r="B5" s="160">
        <f>IF(B$2=0,0,B$4/B$2)</f>
        <v>-0.30081300813008116</v>
      </c>
      <c r="C5" s="161"/>
      <c r="E5" s="59" t="s">
        <v>166</v>
      </c>
      <c r="F5" s="56" t="s">
        <v>167</v>
      </c>
      <c r="G5" s="44">
        <v>123</v>
      </c>
      <c r="H5" s="129">
        <f>IF(B$15=0,0,G5/B$15)</f>
        <v>0.43462897526501765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163.8095238095238</v>
      </c>
      <c r="P5" s="115">
        <v>105</v>
      </c>
      <c r="Q5" s="99">
        <v>17200</v>
      </c>
    </row>
    <row r="6" spans="1:17" x14ac:dyDescent="0.4">
      <c r="A6" s="51" t="s">
        <v>1</v>
      </c>
      <c r="B6" s="150">
        <f>IF(B$2=0,0,(B$7*1+B$8*2+B$9*3)/B$2)</f>
        <v>2.0569105691056913</v>
      </c>
      <c r="C6" s="151"/>
      <c r="E6" s="59" t="s">
        <v>67</v>
      </c>
      <c r="F6" s="56" t="s">
        <v>23</v>
      </c>
      <c r="G6" s="44">
        <v>100</v>
      </c>
      <c r="H6" s="129">
        <f>IF(B$15=0,0,G6/B$15)</f>
        <v>0.35335689045936397</v>
      </c>
      <c r="I6" s="90">
        <v>6</v>
      </c>
      <c r="K6" s="36">
        <v>4</v>
      </c>
      <c r="L6" s="95">
        <v>-19.3</v>
      </c>
      <c r="N6" s="111" t="s">
        <v>134</v>
      </c>
      <c r="O6" s="118">
        <f t="shared" si="0"/>
        <v>-112.76595744680851</v>
      </c>
      <c r="P6" s="115">
        <v>94</v>
      </c>
      <c r="Q6" s="99">
        <v>-10600</v>
      </c>
    </row>
    <row r="7" spans="1:17" x14ac:dyDescent="0.4">
      <c r="A7" s="51" t="s">
        <v>2</v>
      </c>
      <c r="B7" s="44">
        <v>30</v>
      </c>
      <c r="C7" s="37">
        <f t="shared" ref="C7:C10" si="1">IF(B$2=0,0,B7/B$2)</f>
        <v>0.24390243902439024</v>
      </c>
      <c r="E7" s="59" t="s">
        <v>68</v>
      </c>
      <c r="F7" s="56" t="s">
        <v>12</v>
      </c>
      <c r="G7" s="44">
        <v>91</v>
      </c>
      <c r="H7" s="129">
        <f>IF(B$15=0,0,G7/B$15)</f>
        <v>0.32155477031802121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-1169.5121951219512</v>
      </c>
      <c r="P7" s="116">
        <v>82</v>
      </c>
      <c r="Q7" s="100">
        <v>-95900</v>
      </c>
    </row>
    <row r="8" spans="1:17" x14ac:dyDescent="0.4">
      <c r="A8" s="51" t="s">
        <v>3</v>
      </c>
      <c r="B8" s="44">
        <v>56</v>
      </c>
      <c r="C8" s="37">
        <f t="shared" si="1"/>
        <v>0.45528455284552843</v>
      </c>
      <c r="E8" s="59" t="s">
        <v>69</v>
      </c>
      <c r="F8" s="56" t="s">
        <v>24</v>
      </c>
      <c r="G8" s="44">
        <v>38</v>
      </c>
      <c r="H8" s="129">
        <f>IF(B$15=0,0,G8/B$15)</f>
        <v>0.13427561837455831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37</v>
      </c>
      <c r="C9" s="38">
        <f t="shared" si="1"/>
        <v>0.30081300813008133</v>
      </c>
      <c r="E9" s="59" t="s">
        <v>89</v>
      </c>
      <c r="F9" s="56" t="s">
        <v>44</v>
      </c>
      <c r="G9" s="44">
        <v>35</v>
      </c>
      <c r="H9" s="129">
        <f>IF(B$15=0,0,G9/B$15)</f>
        <v>0.12367491166077739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1"/>
        <v>6.5040650406504072E-2</v>
      </c>
      <c r="E10" s="59" t="s">
        <v>71</v>
      </c>
      <c r="F10" s="56" t="s">
        <v>26</v>
      </c>
      <c r="G10" s="44">
        <v>27</v>
      </c>
      <c r="H10" s="129">
        <f>IF(B$15=0,0,G10/B$15)</f>
        <v>9.5406360424028266E-2</v>
      </c>
      <c r="I10" s="90">
        <v>5</v>
      </c>
      <c r="K10" s="36">
        <v>8</v>
      </c>
      <c r="L10" s="95">
        <v>-46.7</v>
      </c>
      <c r="N10" s="110" t="s">
        <v>157</v>
      </c>
      <c r="O10" s="120">
        <f>IF(P10=0,0,Q10/P10)</f>
        <v>-1.0882352941176474</v>
      </c>
      <c r="P10" s="114">
        <v>51</v>
      </c>
      <c r="Q10" s="102">
        <v>-55.500000000000014</v>
      </c>
    </row>
    <row r="11" spans="1:17" x14ac:dyDescent="0.4">
      <c r="A11" s="54" t="s">
        <v>121</v>
      </c>
      <c r="B11" s="47">
        <v>271</v>
      </c>
      <c r="C11" s="42">
        <f>IF(B$3=0,0,B11/B$3)</f>
        <v>0.27045908183632733</v>
      </c>
      <c r="E11" s="59" t="s">
        <v>65</v>
      </c>
      <c r="F11" s="56" t="s">
        <v>21</v>
      </c>
      <c r="G11" s="44">
        <v>24</v>
      </c>
      <c r="H11" s="129">
        <f>IF(B$15=0,0,G11/B$15)</f>
        <v>8.4805653710247356E-2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2.022222222222223</v>
      </c>
      <c r="P11" s="115">
        <v>36</v>
      </c>
      <c r="Q11" s="103">
        <v>72.800000000000026</v>
      </c>
    </row>
    <row r="12" spans="1:17" x14ac:dyDescent="0.4">
      <c r="A12" s="51" t="s">
        <v>118</v>
      </c>
      <c r="B12" s="44">
        <v>220</v>
      </c>
      <c r="C12" s="37">
        <f>IF(B$3=0,0,B12/B$3)</f>
        <v>0.21956087824351297</v>
      </c>
      <c r="E12" s="59" t="s">
        <v>70</v>
      </c>
      <c r="F12" s="56" t="s">
        <v>25</v>
      </c>
      <c r="G12" s="44">
        <v>22</v>
      </c>
      <c r="H12" s="129">
        <f>IF(B$15=0,0,G12/B$15)</f>
        <v>7.7738515901060068E-2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-1.5083333333333337</v>
      </c>
      <c r="P12" s="116">
        <v>36</v>
      </c>
      <c r="Q12" s="104">
        <v>-54.300000000000011</v>
      </c>
    </row>
    <row r="13" spans="1:17" x14ac:dyDescent="0.4">
      <c r="A13" s="50" t="s">
        <v>123</v>
      </c>
      <c r="B13" s="43">
        <f>B19</f>
        <v>149</v>
      </c>
      <c r="C13" s="35">
        <f>IF(B$11=0,0,B13/B$11)</f>
        <v>0.54981549815498154</v>
      </c>
      <c r="E13" s="59" t="s">
        <v>86</v>
      </c>
      <c r="F13" s="56" t="s">
        <v>41</v>
      </c>
      <c r="G13" s="44">
        <v>14</v>
      </c>
      <c r="H13" s="129">
        <f>IF(B$15=0,0,G13/B$15)</f>
        <v>4.9469964664310952E-2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96</v>
      </c>
      <c r="C14" s="35">
        <f>IF(B$12=0,0,B14/B$12)</f>
        <v>0.43636363636363634</v>
      </c>
      <c r="E14" s="59" t="s">
        <v>83</v>
      </c>
      <c r="F14" s="56" t="s">
        <v>38</v>
      </c>
      <c r="G14" s="44">
        <v>12</v>
      </c>
      <c r="H14" s="129">
        <f>IF(B$15=0,0,G14/B$15)</f>
        <v>4.2402826855123678E-2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283</v>
      </c>
      <c r="C15" s="35">
        <f>IF(B$3=0,0,B15/B$3)</f>
        <v>0.28243512974051899</v>
      </c>
      <c r="E15" s="59" t="s">
        <v>79</v>
      </c>
      <c r="F15" s="56" t="s">
        <v>34</v>
      </c>
      <c r="G15" s="44">
        <v>7</v>
      </c>
      <c r="H15" s="129">
        <f>IF(B$15=0,0,G15/B$15)</f>
        <v>2.4734982332155476E-2</v>
      </c>
      <c r="I15" s="90">
        <v>3</v>
      </c>
      <c r="K15" s="36">
        <v>13</v>
      </c>
      <c r="L15" s="95">
        <v>-68.399999999999991</v>
      </c>
      <c r="N15" s="110" t="s">
        <v>228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1" t="s">
        <v>13</v>
      </c>
      <c r="B16" s="44">
        <v>137</v>
      </c>
      <c r="C16" s="37">
        <f>IF(B$3=0,0,B16/B$3)</f>
        <v>0.13672654690618763</v>
      </c>
      <c r="E16" s="59" t="s">
        <v>162</v>
      </c>
      <c r="F16" s="56" t="s">
        <v>163</v>
      </c>
      <c r="G16" s="44">
        <v>6</v>
      </c>
      <c r="H16" s="129">
        <f>IF(B$15=0,0,G16/B$15)</f>
        <v>2.1201413427561839E-2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1" t="s">
        <v>12</v>
      </c>
      <c r="B17" s="44">
        <v>126</v>
      </c>
      <c r="C17" s="37">
        <f>IF(B$15=0,0,B17/B$15)</f>
        <v>0.44522968197879859</v>
      </c>
      <c r="E17" s="59" t="s">
        <v>73</v>
      </c>
      <c r="F17" s="56" t="s">
        <v>28</v>
      </c>
      <c r="G17" s="44">
        <v>5</v>
      </c>
      <c r="H17" s="129">
        <f>IF(B$15=0,0,G17/B$15)</f>
        <v>1.7667844522968199E-2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>IF(P17=0,0,Q17/P17)</f>
        <v>23.608333333333331</v>
      </c>
      <c r="P17" s="115">
        <v>24</v>
      </c>
      <c r="Q17" s="103">
        <v>566.59999999999991</v>
      </c>
    </row>
    <row r="18" spans="1:17" x14ac:dyDescent="0.4">
      <c r="A18" s="51" t="s">
        <v>11</v>
      </c>
      <c r="B18" s="44">
        <v>157</v>
      </c>
      <c r="C18" s="37">
        <f>IF(B$15=0,0,B18/B$15)</f>
        <v>0.55477031802120136</v>
      </c>
      <c r="E18" s="59" t="s">
        <v>81</v>
      </c>
      <c r="F18" s="56" t="s">
        <v>36</v>
      </c>
      <c r="G18" s="44">
        <v>5</v>
      </c>
      <c r="H18" s="129">
        <f>IF(B$15=0,0,G18/B$15)</f>
        <v>1.7667844522968199E-2</v>
      </c>
      <c r="I18" s="90">
        <v>6</v>
      </c>
      <c r="K18" s="36">
        <v>16</v>
      </c>
      <c r="L18" s="95">
        <v>-35.599999999999987</v>
      </c>
      <c r="N18" s="111" t="s">
        <v>172</v>
      </c>
      <c r="O18" s="121">
        <f>IF(P18=0,0,Q18/P18)</f>
        <v>13.237500000000002</v>
      </c>
      <c r="P18" s="115">
        <v>24</v>
      </c>
      <c r="Q18" s="103">
        <v>317.70000000000005</v>
      </c>
    </row>
    <row r="19" spans="1:17" x14ac:dyDescent="0.4">
      <c r="A19" s="51" t="s">
        <v>195</v>
      </c>
      <c r="B19" s="44">
        <v>149</v>
      </c>
      <c r="C19" s="37">
        <f>IF(B$15=0,0,B19/B$15)</f>
        <v>0.52650176678445226</v>
      </c>
      <c r="E19" s="59" t="s">
        <v>78</v>
      </c>
      <c r="F19" s="56" t="s">
        <v>33</v>
      </c>
      <c r="G19" s="44">
        <v>3</v>
      </c>
      <c r="H19" s="129">
        <f>IF(B$15=0,0,G19/B$15)</f>
        <v>1.0600706713780919E-2</v>
      </c>
      <c r="I19" s="90">
        <v>8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193</v>
      </c>
      <c r="B20" s="44">
        <v>96</v>
      </c>
      <c r="C20" s="37">
        <f>IF(B$15=0,0,B20/B$15)</f>
        <v>0.33922261484098942</v>
      </c>
      <c r="E20" s="59" t="s">
        <v>85</v>
      </c>
      <c r="F20" s="56" t="s">
        <v>40</v>
      </c>
      <c r="G20" s="44">
        <v>3</v>
      </c>
      <c r="H20" s="129">
        <f>IF(B$15=0,0,G20/B$15)</f>
        <v>1.0600706713780919E-2</v>
      </c>
      <c r="I20" s="90">
        <v>3</v>
      </c>
      <c r="K20" s="36">
        <v>18</v>
      </c>
      <c r="L20" s="95">
        <v>-62.399999999999991</v>
      </c>
      <c r="N20" s="111" t="s">
        <v>280</v>
      </c>
      <c r="O20" s="121">
        <f>IF(P20=0,0,Q20/P20)</f>
        <v>4.7999999999999989</v>
      </c>
      <c r="P20" s="115">
        <v>2</v>
      </c>
      <c r="Q20" s="103">
        <v>9.5999999999999979</v>
      </c>
    </row>
    <row r="21" spans="1:17" x14ac:dyDescent="0.4">
      <c r="A21" s="51" t="s">
        <v>194</v>
      </c>
      <c r="B21" s="44">
        <v>38</v>
      </c>
      <c r="C21" s="37">
        <f>IF(B$15=0,0,B21/B$15)</f>
        <v>0.13427561837455831</v>
      </c>
      <c r="E21" s="59" t="s">
        <v>91</v>
      </c>
      <c r="F21" s="56" t="s">
        <v>46</v>
      </c>
      <c r="G21" s="44">
        <v>2</v>
      </c>
      <c r="H21" s="129">
        <f>IF(B$15=0,0,G21/B$15)</f>
        <v>7.0671378091872791E-3</v>
      </c>
      <c r="I21" s="90">
        <v>8</v>
      </c>
      <c r="K21" s="36">
        <v>19</v>
      </c>
      <c r="L21" s="95">
        <v>-56.399999999999991</v>
      </c>
      <c r="N21" s="111" t="s">
        <v>127</v>
      </c>
      <c r="O21" s="121">
        <f>IF(P21=0,0,Q21/P21)</f>
        <v>1.1651162790697678</v>
      </c>
      <c r="P21" s="115">
        <v>43</v>
      </c>
      <c r="Q21" s="103">
        <v>50.100000000000016</v>
      </c>
    </row>
    <row r="22" spans="1:17" x14ac:dyDescent="0.4">
      <c r="A22" s="51" t="s">
        <v>5</v>
      </c>
      <c r="B22" s="48">
        <f>IF(B$15=0,0,C22/B$15)</f>
        <v>8295.4063604240291</v>
      </c>
      <c r="C22" s="39">
        <v>2347600</v>
      </c>
      <c r="E22" s="59" t="s">
        <v>74</v>
      </c>
      <c r="F22" s="56" t="s">
        <v>29</v>
      </c>
      <c r="G22" s="44">
        <v>1</v>
      </c>
      <c r="H22" s="129">
        <f>IF(B$15=0,0,G22/B$15)</f>
        <v>3.5335689045936395E-3</v>
      </c>
      <c r="I22" s="90">
        <v>6</v>
      </c>
      <c r="K22" s="36">
        <v>20</v>
      </c>
      <c r="L22" s="95">
        <v>-93.199999999999989</v>
      </c>
      <c r="N22" s="111" t="s">
        <v>161</v>
      </c>
      <c r="O22" s="121">
        <f>IF(P22=0,0,Q22/P22)</f>
        <v>-0.36428571428571388</v>
      </c>
      <c r="P22" s="115">
        <v>28</v>
      </c>
      <c r="Q22" s="103">
        <v>-10.199999999999989</v>
      </c>
    </row>
    <row r="23" spans="1:17" x14ac:dyDescent="0.4">
      <c r="A23" s="52" t="s">
        <v>177</v>
      </c>
      <c r="B23" s="136">
        <f>IF($B$15-B$14=0,0,C23/($B$15-B$14))</f>
        <v>9112.2994652406414</v>
      </c>
      <c r="C23" s="137">
        <v>1704000</v>
      </c>
      <c r="E23" s="59" t="s">
        <v>75</v>
      </c>
      <c r="F23" s="56" t="s">
        <v>30</v>
      </c>
      <c r="G23" s="44">
        <v>1</v>
      </c>
      <c r="H23" s="129">
        <f>IF(B$15=0,0,G23/B$15)</f>
        <v>3.5335689045936395E-3</v>
      </c>
      <c r="I23" s="90">
        <v>9</v>
      </c>
      <c r="K23" s="36">
        <v>21</v>
      </c>
      <c r="L23" s="95">
        <v>-123.69999999999999</v>
      </c>
      <c r="N23" s="111" t="s">
        <v>170</v>
      </c>
      <c r="O23" s="121">
        <f>IF(P23=0,0,Q23/P23)</f>
        <v>-10.089285714285714</v>
      </c>
      <c r="P23" s="115">
        <v>56</v>
      </c>
      <c r="Q23" s="103">
        <v>-565</v>
      </c>
    </row>
    <row r="24" spans="1:17" x14ac:dyDescent="0.4">
      <c r="A24" s="52" t="s">
        <v>178</v>
      </c>
      <c r="B24" s="136">
        <f>IF(B$14=0,0,C24/B$14)</f>
        <v>6704.166666666667</v>
      </c>
      <c r="C24" s="137">
        <v>643600</v>
      </c>
      <c r="E24" s="59" t="s">
        <v>87</v>
      </c>
      <c r="F24" s="56" t="s">
        <v>42</v>
      </c>
      <c r="G24" s="44">
        <v>1</v>
      </c>
      <c r="H24" s="129">
        <f>IF(B$15=0,0,G24/B$15)</f>
        <v>3.5335689045936395E-3</v>
      </c>
      <c r="I24" s="90">
        <v>4</v>
      </c>
      <c r="K24" s="36">
        <v>22</v>
      </c>
      <c r="L24" s="95">
        <v>-66.999999999999986</v>
      </c>
      <c r="N24" s="111" t="s">
        <v>126</v>
      </c>
      <c r="O24" s="121">
        <f>IF(P24=0,0,Q24/P24)</f>
        <v>-12.944642857142856</v>
      </c>
      <c r="P24" s="115">
        <v>56</v>
      </c>
      <c r="Q24" s="103">
        <v>-724.9</v>
      </c>
    </row>
    <row r="25" spans="1:17" x14ac:dyDescent="0.4">
      <c r="A25" s="52" t="s">
        <v>176</v>
      </c>
      <c r="B25" s="136">
        <f>IF(B$16=0,0,C25/B$16)</f>
        <v>-7233.5766423357663</v>
      </c>
      <c r="C25" s="137">
        <v>-991000</v>
      </c>
      <c r="E25" s="59" t="s">
        <v>88</v>
      </c>
      <c r="F25" s="56" t="s">
        <v>43</v>
      </c>
      <c r="G25" s="44">
        <v>1</v>
      </c>
      <c r="H25" s="129">
        <f>IF(B$15=0,0,G25/B$15)</f>
        <v>3.5335689045936395E-3</v>
      </c>
      <c r="I25" s="90">
        <v>3</v>
      </c>
      <c r="K25" s="36">
        <v>23</v>
      </c>
      <c r="L25" s="95">
        <v>-59.599999999999987</v>
      </c>
      <c r="N25" s="111" t="s">
        <v>274</v>
      </c>
      <c r="O25" s="121">
        <f>IF(P25=0,0,Q25/P25)</f>
        <v>-38.25</v>
      </c>
      <c r="P25" s="115">
        <v>2</v>
      </c>
      <c r="Q25" s="103">
        <v>-76.5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3.5335689045936395E-3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51" t="s">
        <v>165</v>
      </c>
      <c r="B27" s="44">
        <v>44</v>
      </c>
      <c r="C27" s="131">
        <v>1</v>
      </c>
      <c r="E27" s="59" t="s">
        <v>101</v>
      </c>
      <c r="F27" s="56" t="s">
        <v>56</v>
      </c>
      <c r="G27" s="44">
        <v>1</v>
      </c>
      <c r="H27" s="129">
        <f>IF(B$15=0,0,G27/B$15)</f>
        <v>3.5335689045936395E-3</v>
      </c>
      <c r="I27" s="90">
        <v>1</v>
      </c>
      <c r="K27" s="36">
        <v>25</v>
      </c>
      <c r="L27" s="95">
        <v>-41.29999999999999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4" t="s">
        <v>192</v>
      </c>
      <c r="B29" s="146">
        <v>101400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-70.199999999999989</v>
      </c>
    </row>
    <row r="30" spans="1:17" x14ac:dyDescent="0.4">
      <c r="A30" s="53" t="s">
        <v>139</v>
      </c>
      <c r="B30" s="61">
        <v>2</v>
      </c>
      <c r="C30" s="40">
        <f>IF(B$3=0,0,B30/B$3)</f>
        <v>1.996007984031936E-3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86" t="s">
        <v>183</v>
      </c>
      <c r="B32" s="144">
        <v>18</v>
      </c>
      <c r="C32" s="141">
        <f>IF(B$15=0,0,B32/B$15)</f>
        <v>6.3604240282685506E-2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">
      <c r="A33" s="51" t="s">
        <v>179</v>
      </c>
      <c r="B33" s="44">
        <v>50</v>
      </c>
      <c r="C33" s="37">
        <f t="shared" ref="C33:C44" si="2">IF(B$15=0,0,B33/B$15)</f>
        <v>0.17667844522968199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">
      <c r="A34" s="51" t="s">
        <v>180</v>
      </c>
      <c r="B34" s="145">
        <v>60</v>
      </c>
      <c r="C34" s="37">
        <f>IF(B$15=0,0,B34/B$15)</f>
        <v>0.21201413427561838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">
      <c r="A35" s="51" t="s">
        <v>181</v>
      </c>
      <c r="B35" s="145">
        <v>52</v>
      </c>
      <c r="C35" s="37">
        <f t="shared" si="2"/>
        <v>0.18374558303886926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51" t="s">
        <v>182</v>
      </c>
      <c r="B36" s="145">
        <v>40</v>
      </c>
      <c r="C36" s="37">
        <f t="shared" si="2"/>
        <v>0.14134275618374559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">
      <c r="A37" s="51" t="s">
        <v>184</v>
      </c>
      <c r="B37" s="145">
        <v>32</v>
      </c>
      <c r="C37" s="37">
        <f t="shared" si="2"/>
        <v>0.11307420494699646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185</v>
      </c>
      <c r="B38" s="145">
        <v>14</v>
      </c>
      <c r="C38" s="37">
        <f t="shared" si="2"/>
        <v>4.9469964664310952E-2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186</v>
      </c>
      <c r="B39" s="145">
        <v>7</v>
      </c>
      <c r="C39" s="37">
        <f t="shared" si="2"/>
        <v>2.4734982332155476E-2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187</v>
      </c>
      <c r="B40" s="145">
        <v>3</v>
      </c>
      <c r="C40" s="37">
        <f t="shared" si="2"/>
        <v>1.0600706713780919E-2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">
      <c r="A41" s="51" t="s">
        <v>188</v>
      </c>
      <c r="B41" s="145">
        <v>2</v>
      </c>
      <c r="C41" s="37">
        <f t="shared" si="2"/>
        <v>7.0671378091872791E-3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">
      <c r="A42" s="51" t="s">
        <v>189</v>
      </c>
      <c r="B42" s="145">
        <v>1</v>
      </c>
      <c r="C42" s="37">
        <f t="shared" si="2"/>
        <v>3.5335689045936395E-3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">
      <c r="A43" s="51" t="s">
        <v>190</v>
      </c>
      <c r="B43" s="145">
        <v>2</v>
      </c>
      <c r="C43" s="37">
        <f t="shared" si="2"/>
        <v>7.0671378091872791E-3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">
      <c r="A44" s="53" t="s">
        <v>191</v>
      </c>
      <c r="B44" s="140">
        <v>2</v>
      </c>
      <c r="C44" s="40">
        <f t="shared" si="2"/>
        <v>7.0671378091872791E-3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  <row r="95" spans="11:12" x14ac:dyDescent="0.4">
      <c r="K95" s="36">
        <v>93</v>
      </c>
      <c r="L95" s="95">
        <v>8.7999999999999901</v>
      </c>
    </row>
    <row r="96" spans="11:12" x14ac:dyDescent="0.4">
      <c r="K96" s="36">
        <v>94</v>
      </c>
      <c r="L96" s="95">
        <v>-4.1000000000000103</v>
      </c>
    </row>
    <row r="97" spans="11:12" x14ac:dyDescent="0.4">
      <c r="K97" s="36">
        <v>95</v>
      </c>
      <c r="L97" s="95">
        <v>31.899999999999991</v>
      </c>
    </row>
    <row r="98" spans="11:12" x14ac:dyDescent="0.4">
      <c r="K98" s="36">
        <v>96</v>
      </c>
      <c r="L98" s="95">
        <v>52.29999999999999</v>
      </c>
    </row>
    <row r="99" spans="11:12" x14ac:dyDescent="0.4">
      <c r="K99" s="36">
        <v>97</v>
      </c>
      <c r="L99" s="95">
        <v>13.999999999999993</v>
      </c>
    </row>
    <row r="100" spans="11:12" x14ac:dyDescent="0.4">
      <c r="K100" s="36">
        <v>98</v>
      </c>
      <c r="L100" s="95">
        <v>21.399999999999991</v>
      </c>
    </row>
    <row r="101" spans="11:12" x14ac:dyDescent="0.4">
      <c r="K101" s="36">
        <v>99</v>
      </c>
      <c r="L101" s="95">
        <v>-5.4000000000000092</v>
      </c>
    </row>
    <row r="102" spans="11:12" x14ac:dyDescent="0.4">
      <c r="K102" s="36">
        <v>100</v>
      </c>
      <c r="L102" s="95">
        <v>-25.600000000000009</v>
      </c>
    </row>
    <row r="103" spans="11:12" x14ac:dyDescent="0.4">
      <c r="K103" s="36">
        <v>101</v>
      </c>
      <c r="L103" s="95">
        <v>32.199999999999989</v>
      </c>
    </row>
    <row r="104" spans="11:12" x14ac:dyDescent="0.4">
      <c r="K104" s="36">
        <v>102</v>
      </c>
      <c r="L104" s="95">
        <v>27.699999999999989</v>
      </c>
    </row>
    <row r="105" spans="11:12" x14ac:dyDescent="0.4">
      <c r="K105" s="36">
        <v>103</v>
      </c>
      <c r="L105" s="95">
        <v>45.79999999999999</v>
      </c>
    </row>
    <row r="106" spans="11:12" x14ac:dyDescent="0.4">
      <c r="K106" s="36">
        <v>104</v>
      </c>
      <c r="L106" s="95">
        <v>122.19999999999999</v>
      </c>
    </row>
    <row r="107" spans="11:12" x14ac:dyDescent="0.4">
      <c r="K107" s="36">
        <v>105</v>
      </c>
      <c r="L107" s="95">
        <v>86.299999999999983</v>
      </c>
    </row>
    <row r="108" spans="11:12" x14ac:dyDescent="0.4">
      <c r="K108" s="36">
        <v>106</v>
      </c>
      <c r="L108" s="95">
        <v>84.299999999999983</v>
      </c>
    </row>
    <row r="109" spans="11:12" x14ac:dyDescent="0.4">
      <c r="K109" s="36">
        <v>107</v>
      </c>
      <c r="L109" s="95">
        <v>106.29999999999998</v>
      </c>
    </row>
    <row r="110" spans="11:12" x14ac:dyDescent="0.4">
      <c r="K110" s="36">
        <v>108</v>
      </c>
      <c r="L110" s="95">
        <v>99.199999999999989</v>
      </c>
    </row>
    <row r="111" spans="11:12" x14ac:dyDescent="0.4">
      <c r="K111" s="36">
        <v>109</v>
      </c>
      <c r="L111" s="95">
        <v>132.19999999999999</v>
      </c>
    </row>
    <row r="112" spans="11:12" x14ac:dyDescent="0.4">
      <c r="K112" s="36">
        <v>110</v>
      </c>
      <c r="L112" s="95">
        <v>120.1</v>
      </c>
    </row>
    <row r="113" spans="11:12" x14ac:dyDescent="0.4">
      <c r="K113" s="36">
        <v>111</v>
      </c>
      <c r="L113" s="95">
        <v>106.3</v>
      </c>
    </row>
    <row r="114" spans="11:12" x14ac:dyDescent="0.4">
      <c r="K114" s="36">
        <v>112</v>
      </c>
      <c r="L114" s="95">
        <v>104.5</v>
      </c>
    </row>
    <row r="115" spans="11:12" x14ac:dyDescent="0.4">
      <c r="K115" s="36">
        <v>113</v>
      </c>
      <c r="L115" s="95">
        <v>101.5</v>
      </c>
    </row>
    <row r="116" spans="11:12" x14ac:dyDescent="0.4">
      <c r="K116" s="36">
        <v>114</v>
      </c>
      <c r="L116" s="95">
        <v>116.9</v>
      </c>
    </row>
    <row r="117" spans="11:12" x14ac:dyDescent="0.4">
      <c r="K117" s="36">
        <v>115</v>
      </c>
      <c r="L117" s="95">
        <v>87.800000000000011</v>
      </c>
    </row>
    <row r="118" spans="11:12" x14ac:dyDescent="0.4">
      <c r="K118" s="36">
        <v>116</v>
      </c>
      <c r="L118" s="95">
        <v>70.800000000000011</v>
      </c>
    </row>
    <row r="119" spans="11:12" x14ac:dyDescent="0.4">
      <c r="K119" s="36">
        <v>117</v>
      </c>
      <c r="L119" s="95">
        <v>63.600000000000009</v>
      </c>
    </row>
    <row r="120" spans="11:12" x14ac:dyDescent="0.4">
      <c r="K120" s="36">
        <v>118</v>
      </c>
      <c r="L120" s="95">
        <v>98.4</v>
      </c>
    </row>
    <row r="121" spans="11:12" x14ac:dyDescent="0.4">
      <c r="K121" s="36">
        <v>119</v>
      </c>
      <c r="L121" s="95">
        <v>96.600000000000009</v>
      </c>
    </row>
    <row r="122" spans="11:12" x14ac:dyDescent="0.4">
      <c r="K122" s="36">
        <v>120</v>
      </c>
      <c r="L122" s="95">
        <v>66.700000000000017</v>
      </c>
    </row>
    <row r="123" spans="11:12" x14ac:dyDescent="0.4">
      <c r="K123" s="36">
        <v>121</v>
      </c>
      <c r="L123" s="95">
        <v>34.200000000000017</v>
      </c>
    </row>
    <row r="124" spans="11:12" x14ac:dyDescent="0.4">
      <c r="K124" s="36">
        <v>122</v>
      </c>
      <c r="L124" s="95">
        <v>0.10000000000001563</v>
      </c>
    </row>
    <row r="125" spans="11:12" x14ac:dyDescent="0.4">
      <c r="K125" s="36">
        <v>123</v>
      </c>
      <c r="L125" s="95">
        <v>-36.999999999999986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293ED-5AC4-4F6C-B41C-2B06912AD6CB}">
  <sheetPr codeName="Sheet19"/>
  <dimension ref="A1:Q5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55</v>
      </c>
      <c r="C2" s="155"/>
      <c r="E2" s="58" t="s">
        <v>72</v>
      </c>
      <c r="F2" s="55" t="s">
        <v>27</v>
      </c>
      <c r="G2" s="43">
        <v>75</v>
      </c>
      <c r="H2" s="128">
        <f>IF(B$15=0,0,G2/B$15)</f>
        <v>0.64102564102564108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-2096.3636363636365</v>
      </c>
      <c r="P2" s="114">
        <v>55</v>
      </c>
      <c r="Q2" s="98">
        <v>-115300</v>
      </c>
    </row>
    <row r="3" spans="1:17" x14ac:dyDescent="0.4">
      <c r="A3" s="51" t="s">
        <v>8</v>
      </c>
      <c r="B3" s="156">
        <v>453</v>
      </c>
      <c r="C3" s="157"/>
      <c r="E3" s="59" t="s">
        <v>66</v>
      </c>
      <c r="F3" s="56" t="s">
        <v>22</v>
      </c>
      <c r="G3" s="44">
        <v>74</v>
      </c>
      <c r="H3" s="129">
        <f>IF(B$15=0,0,G3/B$15)</f>
        <v>0.63247863247863245</v>
      </c>
      <c r="I3" s="90">
        <v>11</v>
      </c>
      <c r="K3" s="36">
        <v>1</v>
      </c>
      <c r="L3" s="95">
        <v>-12</v>
      </c>
      <c r="N3" s="111" t="s">
        <v>131</v>
      </c>
      <c r="O3" s="118">
        <f t="shared" si="0"/>
        <v>-261.81818181818181</v>
      </c>
      <c r="P3" s="115">
        <v>55</v>
      </c>
      <c r="Q3" s="99">
        <v>-14400</v>
      </c>
    </row>
    <row r="4" spans="1:17" x14ac:dyDescent="0.4">
      <c r="A4" s="51" t="s">
        <v>6</v>
      </c>
      <c r="B4" s="158">
        <v>-626.4</v>
      </c>
      <c r="C4" s="159"/>
      <c r="E4" s="59" t="s">
        <v>64</v>
      </c>
      <c r="F4" s="56" t="s">
        <v>20</v>
      </c>
      <c r="G4" s="44">
        <v>51</v>
      </c>
      <c r="H4" s="129">
        <f>IF(B$15=0,0,G4/B$15)</f>
        <v>0.4358974358974359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-1358.4905660377358</v>
      </c>
      <c r="P4" s="115">
        <v>53</v>
      </c>
      <c r="Q4" s="99">
        <v>-72000</v>
      </c>
    </row>
    <row r="5" spans="1:17" x14ac:dyDescent="0.4">
      <c r="A5" s="51" t="s">
        <v>7</v>
      </c>
      <c r="B5" s="160">
        <f>IF(B$2=0,0,B$4/B$2)</f>
        <v>-11.389090909090909</v>
      </c>
      <c r="C5" s="161"/>
      <c r="E5" s="59" t="s">
        <v>166</v>
      </c>
      <c r="F5" s="56" t="s">
        <v>167</v>
      </c>
      <c r="G5" s="44">
        <v>42</v>
      </c>
      <c r="H5" s="129">
        <f>IF(B$15=0,0,G5/B$15)</f>
        <v>0.35897435897435898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-2133.3333333333335</v>
      </c>
      <c r="P5" s="115">
        <v>48</v>
      </c>
      <c r="Q5" s="99">
        <v>-102400</v>
      </c>
    </row>
    <row r="6" spans="1:17" x14ac:dyDescent="0.4">
      <c r="A6" s="51" t="s">
        <v>1</v>
      </c>
      <c r="B6" s="150">
        <f>IF(B$2=0,0,(B$7*1+B$8*2+B$9*3)/B$2)</f>
        <v>2.290909090909091</v>
      </c>
      <c r="C6" s="151"/>
      <c r="E6" s="59" t="s">
        <v>67</v>
      </c>
      <c r="F6" s="56" t="s">
        <v>23</v>
      </c>
      <c r="G6" s="44">
        <v>29</v>
      </c>
      <c r="H6" s="129">
        <f>IF(B$15=0,0,G6/B$15)</f>
        <v>0.24786324786324787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-1854.3478260869565</v>
      </c>
      <c r="P6" s="115">
        <v>46</v>
      </c>
      <c r="Q6" s="99">
        <v>-85300</v>
      </c>
    </row>
    <row r="7" spans="1:17" x14ac:dyDescent="0.4">
      <c r="A7" s="51" t="s">
        <v>2</v>
      </c>
      <c r="B7" s="44">
        <v>10</v>
      </c>
      <c r="C7" s="37">
        <f t="shared" ref="C7:C10" si="1">IF(B$2=0,0,B7/B$2)</f>
        <v>0.18181818181818182</v>
      </c>
      <c r="E7" s="59" t="s">
        <v>68</v>
      </c>
      <c r="F7" s="56" t="s">
        <v>12</v>
      </c>
      <c r="G7" s="44">
        <v>29</v>
      </c>
      <c r="H7" s="129">
        <f>IF(B$15=0,0,G7/B$15)</f>
        <v>0.24786324786324787</v>
      </c>
      <c r="I7" s="90">
        <v>13</v>
      </c>
      <c r="K7" s="36">
        <v>5</v>
      </c>
      <c r="L7" s="95">
        <v>-124.3</v>
      </c>
      <c r="N7" s="112" t="s">
        <v>135</v>
      </c>
      <c r="O7" s="119">
        <f t="shared" si="0"/>
        <v>-1846.1538461538462</v>
      </c>
      <c r="P7" s="116">
        <v>39</v>
      </c>
      <c r="Q7" s="100">
        <v>-72000</v>
      </c>
    </row>
    <row r="8" spans="1:17" x14ac:dyDescent="0.4">
      <c r="A8" s="51" t="s">
        <v>3</v>
      </c>
      <c r="B8" s="44">
        <v>19</v>
      </c>
      <c r="C8" s="37">
        <f t="shared" si="1"/>
        <v>0.34545454545454546</v>
      </c>
      <c r="E8" s="59" t="s">
        <v>89</v>
      </c>
      <c r="F8" s="56" t="s">
        <v>44</v>
      </c>
      <c r="G8" s="44">
        <v>18</v>
      </c>
      <c r="H8" s="129">
        <f>IF(B$15=0,0,G8/B$15)</f>
        <v>0.15384615384615385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1"/>
        <v>0.47272727272727272</v>
      </c>
      <c r="E9" s="59" t="s">
        <v>65</v>
      </c>
      <c r="F9" s="56" t="s">
        <v>21</v>
      </c>
      <c r="G9" s="44">
        <v>14</v>
      </c>
      <c r="H9" s="129">
        <f>IF(B$15=0,0,G9/B$15)</f>
        <v>0.11965811965811966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10</v>
      </c>
      <c r="C10" s="40">
        <f t="shared" si="1"/>
        <v>0.18181818181818182</v>
      </c>
      <c r="E10" s="59" t="s">
        <v>70</v>
      </c>
      <c r="F10" s="56" t="s">
        <v>25</v>
      </c>
      <c r="G10" s="44">
        <v>12</v>
      </c>
      <c r="H10" s="129">
        <f>IF(B$15=0,0,G10/B$15)</f>
        <v>0.10256410256410256</v>
      </c>
      <c r="I10" s="90">
        <v>7</v>
      </c>
      <c r="K10" s="36">
        <v>8</v>
      </c>
      <c r="L10" s="95">
        <v>-152.6</v>
      </c>
      <c r="N10" s="110" t="s">
        <v>157</v>
      </c>
      <c r="O10" s="120">
        <f>IF(P10=0,0,Q10/P10)</f>
        <v>-19.613043478260867</v>
      </c>
      <c r="P10" s="114">
        <v>23</v>
      </c>
      <c r="Q10" s="102">
        <v>-451.09999999999997</v>
      </c>
    </row>
    <row r="11" spans="1:17" x14ac:dyDescent="0.4">
      <c r="A11" s="54" t="s">
        <v>121</v>
      </c>
      <c r="B11" s="47">
        <v>98</v>
      </c>
      <c r="C11" s="42">
        <f>IF(B$3=0,0,B11/B$3)</f>
        <v>0.21633554083885209</v>
      </c>
      <c r="E11" s="59" t="s">
        <v>71</v>
      </c>
      <c r="F11" s="56" t="s">
        <v>26</v>
      </c>
      <c r="G11" s="44">
        <v>11</v>
      </c>
      <c r="H11" s="129">
        <f>IF(B$15=0,0,G11/B$15)</f>
        <v>9.4017094017094016E-2</v>
      </c>
      <c r="I11" s="90">
        <v>7</v>
      </c>
      <c r="K11" s="36">
        <v>9</v>
      </c>
      <c r="L11" s="95">
        <v>-150.6</v>
      </c>
      <c r="N11" s="111" t="s">
        <v>158</v>
      </c>
      <c r="O11" s="121">
        <f>IF(P11=0,0,Q11/P11)</f>
        <v>-3.9999999999999991</v>
      </c>
      <c r="P11" s="115">
        <v>15</v>
      </c>
      <c r="Q11" s="103">
        <v>-59.999999999999986</v>
      </c>
    </row>
    <row r="12" spans="1:17" x14ac:dyDescent="0.4">
      <c r="A12" s="51" t="s">
        <v>118</v>
      </c>
      <c r="B12" s="44">
        <v>104</v>
      </c>
      <c r="C12" s="37">
        <f>IF(B$3=0,0,B12/B$3)</f>
        <v>0.22958057395143489</v>
      </c>
      <c r="E12" s="59" t="s">
        <v>69</v>
      </c>
      <c r="F12" s="56" t="s">
        <v>24</v>
      </c>
      <c r="G12" s="44">
        <v>9</v>
      </c>
      <c r="H12" s="129">
        <f>IF(B$15=0,0,G12/B$15)</f>
        <v>7.6923076923076927E-2</v>
      </c>
      <c r="I12" s="90">
        <v>12</v>
      </c>
      <c r="K12" s="36">
        <v>10</v>
      </c>
      <c r="L12" s="95">
        <v>-151.1</v>
      </c>
      <c r="N12" s="112" t="s">
        <v>159</v>
      </c>
      <c r="O12" s="122">
        <f>IF(P12=0,0,Q12/P12)</f>
        <v>-6.7823529411764705</v>
      </c>
      <c r="P12" s="116">
        <v>17</v>
      </c>
      <c r="Q12" s="104">
        <v>-115.3</v>
      </c>
    </row>
    <row r="13" spans="1:17" x14ac:dyDescent="0.4">
      <c r="A13" s="50" t="s">
        <v>123</v>
      </c>
      <c r="B13" s="43">
        <f>B19</f>
        <v>53</v>
      </c>
      <c r="C13" s="35">
        <f>IF(B$11=0,0,B13/B$11)</f>
        <v>0.54081632653061229</v>
      </c>
      <c r="E13" s="59" t="s">
        <v>83</v>
      </c>
      <c r="F13" s="56" t="s">
        <v>38</v>
      </c>
      <c r="G13" s="44">
        <v>8</v>
      </c>
      <c r="H13" s="129">
        <f>IF(B$15=0,0,G13/B$15)</f>
        <v>6.8376068376068383E-2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44</v>
      </c>
      <c r="C14" s="35">
        <f>IF(B$12=0,0,B14/B$12)</f>
        <v>0.42307692307692307</v>
      </c>
      <c r="E14" s="59" t="s">
        <v>86</v>
      </c>
      <c r="F14" s="56" t="s">
        <v>41</v>
      </c>
      <c r="G14" s="44">
        <v>8</v>
      </c>
      <c r="H14" s="129">
        <f>IF(B$15=0,0,G14/B$15)</f>
        <v>6.8376068376068383E-2</v>
      </c>
      <c r="I14" s="90">
        <v>1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117</v>
      </c>
      <c r="C15" s="35">
        <f>IF(B$3=0,0,B15/B$3)</f>
        <v>0.25827814569536423</v>
      </c>
      <c r="E15" s="59" t="s">
        <v>81</v>
      </c>
      <c r="F15" s="56" t="s">
        <v>36</v>
      </c>
      <c r="G15" s="44">
        <v>3</v>
      </c>
      <c r="H15" s="129">
        <f>IF(B$15=0,0,G15/B$15)</f>
        <v>2.564102564102564E-2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>IF(P15=0,0,Q15/P15)</f>
        <v>11.526666666666662</v>
      </c>
      <c r="P15" s="114">
        <v>15</v>
      </c>
      <c r="Q15" s="102">
        <v>172.89999999999992</v>
      </c>
    </row>
    <row r="16" spans="1:17" x14ac:dyDescent="0.4">
      <c r="A16" s="51" t="s">
        <v>13</v>
      </c>
      <c r="B16" s="44">
        <v>82</v>
      </c>
      <c r="C16" s="37">
        <f>IF(B$3=0,0,B16/B$3)</f>
        <v>0.18101545253863136</v>
      </c>
      <c r="E16" s="59" t="s">
        <v>91</v>
      </c>
      <c r="F16" s="56" t="s">
        <v>46</v>
      </c>
      <c r="G16" s="44">
        <v>2</v>
      </c>
      <c r="H16" s="129">
        <f>IF(B$15=0,0,G16/B$15)</f>
        <v>1.7094017094017096E-2</v>
      </c>
      <c r="I16" s="90">
        <v>4</v>
      </c>
      <c r="K16" s="36">
        <v>14</v>
      </c>
      <c r="L16" s="95">
        <v>-266.90000000000003</v>
      </c>
      <c r="N16" s="111" t="s">
        <v>280</v>
      </c>
      <c r="O16" s="121">
        <f>IF(P16=0,0,Q16/P16)</f>
        <v>2.1000000000000014</v>
      </c>
      <c r="P16" s="115">
        <v>3</v>
      </c>
      <c r="Q16" s="103">
        <v>6.3000000000000043</v>
      </c>
    </row>
    <row r="17" spans="1:17" x14ac:dyDescent="0.4">
      <c r="A17" s="51" t="s">
        <v>12</v>
      </c>
      <c r="B17" s="44">
        <v>52</v>
      </c>
      <c r="C17" s="37">
        <f>IF(B$15=0,0,B17/B$15)</f>
        <v>0.44444444444444442</v>
      </c>
      <c r="E17" s="59" t="s">
        <v>74</v>
      </c>
      <c r="F17" s="56" t="s">
        <v>29</v>
      </c>
      <c r="G17" s="44">
        <v>1</v>
      </c>
      <c r="H17" s="129">
        <f>IF(B$15=0,0,G17/B$15)</f>
        <v>8.5470085470085479E-3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>IF(P17=0,0,Q17/P17)</f>
        <v>-9.4086956521739129</v>
      </c>
      <c r="P17" s="115">
        <v>23</v>
      </c>
      <c r="Q17" s="103">
        <v>-216.4</v>
      </c>
    </row>
    <row r="18" spans="1:17" x14ac:dyDescent="0.4">
      <c r="A18" s="51" t="s">
        <v>11</v>
      </c>
      <c r="B18" s="44">
        <v>65</v>
      </c>
      <c r="C18" s="37">
        <f>IF(B$15=0,0,B18/B$15)</f>
        <v>0.55555555555555558</v>
      </c>
      <c r="E18" s="59" t="s">
        <v>78</v>
      </c>
      <c r="F18" s="56" t="s">
        <v>33</v>
      </c>
      <c r="G18" s="44">
        <v>1</v>
      </c>
      <c r="H18" s="129">
        <f>IF(B$15=0,0,G18/B$15)</f>
        <v>8.5470085470085479E-3</v>
      </c>
      <c r="I18" s="90">
        <v>9</v>
      </c>
      <c r="K18" s="36">
        <v>16</v>
      </c>
      <c r="L18" s="95">
        <v>-320.30000000000007</v>
      </c>
      <c r="N18" s="111" t="s">
        <v>274</v>
      </c>
      <c r="O18" s="121">
        <f>IF(P18=0,0,Q18/P18)</f>
        <v>-12.000000000000002</v>
      </c>
      <c r="P18" s="115">
        <v>1</v>
      </c>
      <c r="Q18" s="103">
        <v>-12.000000000000002</v>
      </c>
    </row>
    <row r="19" spans="1:17" x14ac:dyDescent="0.4">
      <c r="A19" s="51" t="s">
        <v>195</v>
      </c>
      <c r="B19" s="44">
        <v>53</v>
      </c>
      <c r="C19" s="37">
        <f>IF(B$15=0,0,B19/B$15)</f>
        <v>0.45299145299145299</v>
      </c>
      <c r="E19" s="59" t="s">
        <v>92</v>
      </c>
      <c r="F19" s="56" t="s">
        <v>47</v>
      </c>
      <c r="G19" s="44">
        <v>1</v>
      </c>
      <c r="H19" s="129">
        <f>IF(B$15=0,0,G19/B$15)</f>
        <v>8.5470085470085479E-3</v>
      </c>
      <c r="I19" s="90">
        <v>2</v>
      </c>
      <c r="K19" s="36">
        <v>17</v>
      </c>
      <c r="L19" s="95">
        <v>-352.60000000000008</v>
      </c>
      <c r="N19" s="111" t="s">
        <v>127</v>
      </c>
      <c r="O19" s="121">
        <f>IF(P19=0,0,Q19/P19)</f>
        <v>-16.62857142857143</v>
      </c>
      <c r="P19" s="115">
        <v>14</v>
      </c>
      <c r="Q19" s="103">
        <v>-232.8</v>
      </c>
    </row>
    <row r="20" spans="1:17" x14ac:dyDescent="0.4">
      <c r="A20" s="51" t="s">
        <v>193</v>
      </c>
      <c r="B20" s="44">
        <v>44</v>
      </c>
      <c r="C20" s="37">
        <f>IF(B$15=0,0,B20/B$15)</f>
        <v>0.37606837606837606</v>
      </c>
      <c r="E20" s="59" t="s">
        <v>95</v>
      </c>
      <c r="F20" s="56" t="s">
        <v>50</v>
      </c>
      <c r="G20" s="44">
        <v>1</v>
      </c>
      <c r="H20" s="129">
        <f>IF(B$15=0,0,G20/B$15)</f>
        <v>8.5470085470085479E-3</v>
      </c>
      <c r="I20" s="90">
        <v>1</v>
      </c>
      <c r="K20" s="36">
        <v>18</v>
      </c>
      <c r="L20" s="95">
        <v>-355.50000000000006</v>
      </c>
      <c r="N20" s="111" t="s">
        <v>203</v>
      </c>
      <c r="O20" s="121">
        <f>IF(P20=0,0,Q20/P20)</f>
        <v>-17.649999999999999</v>
      </c>
      <c r="P20" s="115">
        <v>2</v>
      </c>
      <c r="Q20" s="103">
        <v>-35.299999999999997</v>
      </c>
    </row>
    <row r="21" spans="1:17" x14ac:dyDescent="0.4">
      <c r="A21" s="51" t="s">
        <v>194</v>
      </c>
      <c r="B21" s="44">
        <v>20</v>
      </c>
      <c r="C21" s="37">
        <f>IF(B$15=0,0,B21/B$15)</f>
        <v>0.17094017094017094</v>
      </c>
      <c r="E21" s="59" t="s">
        <v>162</v>
      </c>
      <c r="F21" s="56" t="s">
        <v>163</v>
      </c>
      <c r="G21" s="44">
        <v>1</v>
      </c>
      <c r="H21" s="129">
        <f>IF(B$15=0,0,G21/B$15)</f>
        <v>8.5470085470085479E-3</v>
      </c>
      <c r="I21" s="90">
        <v>8</v>
      </c>
      <c r="K21" s="36">
        <v>19</v>
      </c>
      <c r="L21" s="95">
        <v>-400.60000000000008</v>
      </c>
      <c r="N21" s="111" t="s">
        <v>171</v>
      </c>
      <c r="O21" s="121">
        <f>IF(P21=0,0,Q21/P21)</f>
        <v>-23.608333333333331</v>
      </c>
      <c r="P21" s="115">
        <v>24</v>
      </c>
      <c r="Q21" s="103">
        <v>-566.59999999999991</v>
      </c>
    </row>
    <row r="22" spans="1:17" x14ac:dyDescent="0.4">
      <c r="A22" s="51" t="s">
        <v>5</v>
      </c>
      <c r="B22" s="48">
        <f>IF(B$15=0,0,C22/B$15)</f>
        <v>7968.3760683760684</v>
      </c>
      <c r="C22" s="39">
        <v>932300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>IF(P22=0,0,Q22/P22)</f>
        <v>-24.274999999999999</v>
      </c>
      <c r="P22" s="115">
        <v>4</v>
      </c>
      <c r="Q22" s="103">
        <v>-97.1</v>
      </c>
    </row>
    <row r="23" spans="1:17" x14ac:dyDescent="0.4">
      <c r="A23" s="52" t="s">
        <v>177</v>
      </c>
      <c r="B23" s="136">
        <f>IF($B$15-B$14=0,0,C23/($B$15-B$14))</f>
        <v>8380.82191780822</v>
      </c>
      <c r="C23" s="137">
        <v>611800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>IF(P23=0,0,Q23/P23)</f>
        <v>-27.288235294117648</v>
      </c>
      <c r="P23" s="115">
        <v>17</v>
      </c>
      <c r="Q23" s="103">
        <v>-463.90000000000003</v>
      </c>
    </row>
    <row r="24" spans="1:17" x14ac:dyDescent="0.4">
      <c r="A24" s="52" t="s">
        <v>178</v>
      </c>
      <c r="B24" s="136">
        <f>IF(B$14=0,0,C24/B$14)</f>
        <v>7284.090909090909</v>
      </c>
      <c r="C24" s="137">
        <v>320500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>IF(P24=0,0,Q24/P24)</f>
        <v>-60.640000000000008</v>
      </c>
      <c r="P24" s="115">
        <v>5</v>
      </c>
      <c r="Q24" s="103">
        <v>-303.20000000000005</v>
      </c>
    </row>
    <row r="25" spans="1:17" x14ac:dyDescent="0.4">
      <c r="A25" s="52" t="s">
        <v>176</v>
      </c>
      <c r="B25" s="136">
        <f>IF(B$16=0,0,C25/B$16)</f>
        <v>-8185.3658536585363</v>
      </c>
      <c r="C25" s="137">
        <v>-671200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-450.10000000000014</v>
      </c>
      <c r="N25" s="111" t="s">
        <v>228</v>
      </c>
      <c r="O25" s="121">
        <f>IF(P25=0,0,Q25/P25)</f>
        <v>-65.55</v>
      </c>
      <c r="P25" s="115">
        <v>2</v>
      </c>
      <c r="Q25" s="103">
        <v>-131.1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">
      <c r="A27" s="51" t="s">
        <v>165</v>
      </c>
      <c r="B27" s="44">
        <v>21</v>
      </c>
      <c r="C27" s="131">
        <v>21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">
      <c r="A30" s="53" t="s">
        <v>139</v>
      </c>
      <c r="B30" s="61">
        <v>3</v>
      </c>
      <c r="C30" s="40">
        <f>IF(B$3=0,0,B30/B$3)</f>
        <v>6.6225165562913907E-3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-442.60000000000014</v>
      </c>
    </row>
    <row r="32" spans="1:17" x14ac:dyDescent="0.4">
      <c r="A32" s="86" t="s">
        <v>183</v>
      </c>
      <c r="B32" s="144">
        <v>10</v>
      </c>
      <c r="C32" s="141">
        <f>IF(B$15=0,0,B32/B$15)</f>
        <v>8.5470085470085472E-2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">
      <c r="A33" s="51" t="s">
        <v>179</v>
      </c>
      <c r="B33" s="44">
        <v>24</v>
      </c>
      <c r="C33" s="37">
        <f t="shared" ref="C33:C44" si="2">IF(B$15=0,0,B33/B$15)</f>
        <v>0.20512820512820512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1" t="s">
        <v>180</v>
      </c>
      <c r="B34" s="145">
        <v>25</v>
      </c>
      <c r="C34" s="37">
        <f>IF(B$15=0,0,B34/B$15)</f>
        <v>0.21367521367521367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">
      <c r="A35" s="51" t="s">
        <v>181</v>
      </c>
      <c r="B35" s="145">
        <v>16</v>
      </c>
      <c r="C35" s="37">
        <f t="shared" si="2"/>
        <v>0.13675213675213677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51" t="s">
        <v>182</v>
      </c>
      <c r="B36" s="145">
        <v>17</v>
      </c>
      <c r="C36" s="37">
        <f t="shared" si="2"/>
        <v>0.14529914529914531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">
      <c r="A37" s="51" t="s">
        <v>184</v>
      </c>
      <c r="B37" s="145">
        <v>8</v>
      </c>
      <c r="C37" s="37">
        <f t="shared" si="2"/>
        <v>6.8376068376068383E-2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">
      <c r="A38" s="51" t="s">
        <v>185</v>
      </c>
      <c r="B38" s="145">
        <v>9</v>
      </c>
      <c r="C38" s="37">
        <f t="shared" si="2"/>
        <v>7.6923076923076927E-2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186</v>
      </c>
      <c r="B39" s="145">
        <v>5</v>
      </c>
      <c r="C39" s="37">
        <f t="shared" si="2"/>
        <v>4.2735042735042736E-2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">
      <c r="A41" s="51" t="s">
        <v>188</v>
      </c>
      <c r="B41" s="145">
        <v>1</v>
      </c>
      <c r="C41" s="37">
        <f t="shared" si="2"/>
        <v>8.5470085470085479E-3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A44" s="53" t="s">
        <v>191</v>
      </c>
      <c r="B44" s="140">
        <v>2</v>
      </c>
      <c r="C44" s="40">
        <f t="shared" si="2"/>
        <v>1.7094017094017096E-2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">
      <c r="K53" s="36">
        <v>51</v>
      </c>
      <c r="L53" s="95">
        <v>-614.70000000000005</v>
      </c>
    </row>
    <row r="54" spans="5:12" x14ac:dyDescent="0.4">
      <c r="K54" s="36">
        <v>52</v>
      </c>
      <c r="L54" s="95">
        <v>-603.1</v>
      </c>
    </row>
    <row r="55" spans="5:12" x14ac:dyDescent="0.4">
      <c r="K55" s="36">
        <v>53</v>
      </c>
      <c r="L55" s="95">
        <v>-652.6</v>
      </c>
    </row>
    <row r="56" spans="5:12" x14ac:dyDescent="0.4">
      <c r="K56" s="36">
        <v>54</v>
      </c>
      <c r="L56" s="95">
        <v>-626.4</v>
      </c>
    </row>
    <row r="57" spans="5:12" x14ac:dyDescent="0.4">
      <c r="K57" s="36">
        <v>55</v>
      </c>
      <c r="L57" s="95">
        <v>-626.4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0A294-D9BD-4815-BDDF-3EE0D617F258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4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5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12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>IF(P15=0,0,Q15/P15)</f>
        <v>60.640000000000008</v>
      </c>
      <c r="P15" s="114">
        <v>5</v>
      </c>
      <c r="Q15" s="102">
        <v>303.20000000000005</v>
      </c>
    </row>
    <row r="16" spans="1:17" x14ac:dyDescent="0.4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>IF(P16=0,0,Q16/P16)</f>
        <v>14.1</v>
      </c>
      <c r="P16" s="115">
        <v>8</v>
      </c>
      <c r="Q16" s="103">
        <v>112.8</v>
      </c>
    </row>
    <row r="17" spans="1:17" x14ac:dyDescent="0.4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8</v>
      </c>
      <c r="K17" s="36">
        <v>15</v>
      </c>
      <c r="L17" s="95">
        <v>73.7</v>
      </c>
      <c r="N17" s="111" t="s">
        <v>172</v>
      </c>
      <c r="O17" s="121">
        <f>IF(P17=0,0,Q17/P17)</f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>IF(P18=0,0,Q18/P18)</f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>IF(P19=0,0,Q19/P19)</f>
        <v>-7.4333333333333336</v>
      </c>
      <c r="P19" s="115">
        <v>6</v>
      </c>
      <c r="Q19" s="103">
        <v>-44.6</v>
      </c>
    </row>
    <row r="20" spans="1:17" x14ac:dyDescent="0.4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>IF(P20=0,0,Q20/P20)</f>
        <v>-13.5</v>
      </c>
      <c r="P20" s="115">
        <v>5</v>
      </c>
      <c r="Q20" s="103">
        <v>-67.5</v>
      </c>
    </row>
    <row r="21" spans="1:17" x14ac:dyDescent="0.4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>IF(P22=0,0,Q22/P22)</f>
        <v>-39.662500000000009</v>
      </c>
      <c r="P22" s="115">
        <v>8</v>
      </c>
      <c r="Q22" s="103">
        <v>-317.30000000000007</v>
      </c>
    </row>
    <row r="23" spans="1:17" x14ac:dyDescent="0.4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>IF(P23=0,0,Q23/P23)</f>
        <v>-58.099999999999994</v>
      </c>
      <c r="P23" s="115">
        <v>1</v>
      </c>
      <c r="Q23" s="103">
        <v>-58.099999999999994</v>
      </c>
    </row>
    <row r="24" spans="1:17" x14ac:dyDescent="0.4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">
      <c r="A33" s="51" t="s">
        <v>179</v>
      </c>
      <c r="B33" s="44">
        <v>9</v>
      </c>
      <c r="C33" s="37">
        <f t="shared" ref="C33:C44" si="2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181</v>
      </c>
      <c r="B35" s="145">
        <v>9</v>
      </c>
      <c r="C35" s="37">
        <f t="shared" si="2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">
      <c r="A36" s="51" t="s">
        <v>182</v>
      </c>
      <c r="B36" s="145">
        <v>10</v>
      </c>
      <c r="C36" s="37">
        <f t="shared" si="2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184</v>
      </c>
      <c r="B37" s="145">
        <v>12</v>
      </c>
      <c r="C37" s="37">
        <f t="shared" si="2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">
      <c r="A38" s="51" t="s">
        <v>185</v>
      </c>
      <c r="B38" s="145">
        <v>3</v>
      </c>
      <c r="C38" s="37">
        <f t="shared" si="2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2</v>
      </c>
      <c r="C39" s="37">
        <f t="shared" si="2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188</v>
      </c>
      <c r="B41" s="145">
        <v>1</v>
      </c>
      <c r="C41" s="37">
        <f t="shared" si="2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CAA7D-55BB-4D22-BB01-02D500C204C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6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4</v>
      </c>
      <c r="N15" s="110" t="s">
        <v>197</v>
      </c>
      <c r="O15" s="120">
        <f>IF(P15=0,0,Q15/P15)</f>
        <v>65.55</v>
      </c>
      <c r="P15" s="114">
        <v>2</v>
      </c>
      <c r="Q15" s="102">
        <v>131.1</v>
      </c>
    </row>
    <row r="16" spans="1:17" x14ac:dyDescent="0.4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>IF(P16=0,0,Q16/P16)</f>
        <v>56.6</v>
      </c>
      <c r="P16" s="115">
        <v>1</v>
      </c>
      <c r="Q16" s="103">
        <v>56.6</v>
      </c>
    </row>
    <row r="17" spans="1:17" x14ac:dyDescent="0.4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>IF(P17=0,0,Q17/P17)</f>
        <v>17.850000000000001</v>
      </c>
      <c r="P17" s="115">
        <v>2</v>
      </c>
      <c r="Q17" s="103">
        <v>35.700000000000003</v>
      </c>
    </row>
    <row r="18" spans="1:17" x14ac:dyDescent="0.4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>IF(P18=0,0,Q18/P18)</f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>IF(P19=0,0,Q19/P19)</f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>IF(P20=0,0,Q20/P20)</f>
        <v>-75.3</v>
      </c>
      <c r="P20" s="115">
        <v>2</v>
      </c>
      <c r="Q20" s="103">
        <v>-150.6</v>
      </c>
    </row>
    <row r="21" spans="1:17" x14ac:dyDescent="0.4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3</v>
      </c>
      <c r="C33" s="37">
        <f t="shared" ref="C33:C44" si="2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3</v>
      </c>
      <c r="C35" s="37">
        <f t="shared" si="2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4</v>
      </c>
      <c r="C36" s="37">
        <f t="shared" si="2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2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2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58BF7-DA3B-44CE-945E-A3FF965FF231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4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E32A9-87B2-444A-974A-338902985650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10</v>
      </c>
      <c r="C2" s="155"/>
      <c r="E2" s="58" t="s">
        <v>64</v>
      </c>
      <c r="F2" s="55" t="s">
        <v>20</v>
      </c>
      <c r="G2" s="43">
        <v>22</v>
      </c>
      <c r="H2" s="128">
        <f>IF(B$15=0,0,G2/B$15)</f>
        <v>0.6470588235294118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-620</v>
      </c>
      <c r="P2" s="114">
        <v>10</v>
      </c>
      <c r="Q2" s="98">
        <v>-6200</v>
      </c>
    </row>
    <row r="3" spans="1:17" x14ac:dyDescent="0.4">
      <c r="A3" s="51" t="s">
        <v>8</v>
      </c>
      <c r="B3" s="156">
        <v>90</v>
      </c>
      <c r="C3" s="157"/>
      <c r="E3" s="59" t="s">
        <v>66</v>
      </c>
      <c r="F3" s="56" t="s">
        <v>22</v>
      </c>
      <c r="G3" s="44">
        <v>19</v>
      </c>
      <c r="H3" s="129">
        <f>IF(B$15=0,0,G3/B$15)</f>
        <v>0.55882352941176472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380</v>
      </c>
      <c r="P3" s="115">
        <v>10</v>
      </c>
      <c r="Q3" s="99">
        <v>3800</v>
      </c>
    </row>
    <row r="4" spans="1:17" x14ac:dyDescent="0.4">
      <c r="A4" s="51" t="s">
        <v>6</v>
      </c>
      <c r="B4" s="158">
        <v>86.1</v>
      </c>
      <c r="C4" s="159"/>
      <c r="E4" s="59" t="s">
        <v>72</v>
      </c>
      <c r="F4" s="56" t="s">
        <v>27</v>
      </c>
      <c r="G4" s="44">
        <v>16</v>
      </c>
      <c r="H4" s="129">
        <f>IF(B$15=0,0,G4/B$15)</f>
        <v>0.47058823529411764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-750</v>
      </c>
      <c r="P4" s="115">
        <v>10</v>
      </c>
      <c r="Q4" s="99">
        <v>-7500</v>
      </c>
    </row>
    <row r="5" spans="1:17" x14ac:dyDescent="0.4">
      <c r="A5" s="51" t="s">
        <v>7</v>
      </c>
      <c r="B5" s="160">
        <f>IF(B$2=0,0,B$4/B$2)</f>
        <v>8.61</v>
      </c>
      <c r="C5" s="161"/>
      <c r="E5" s="59" t="s">
        <v>67</v>
      </c>
      <c r="F5" s="56" t="s">
        <v>23</v>
      </c>
      <c r="G5" s="44">
        <v>13</v>
      </c>
      <c r="H5" s="129">
        <f>IF(B$15=0,0,G5/B$15)</f>
        <v>0.38235294117647056</v>
      </c>
      <c r="I5" s="90">
        <v>5</v>
      </c>
      <c r="K5" s="36">
        <v>3</v>
      </c>
      <c r="L5" s="95">
        <v>20.399999999999999</v>
      </c>
      <c r="N5" s="111" t="s">
        <v>133</v>
      </c>
      <c r="O5" s="118">
        <f t="shared" si="0"/>
        <v>1910</v>
      </c>
      <c r="P5" s="115">
        <v>10</v>
      </c>
      <c r="Q5" s="99">
        <v>19100</v>
      </c>
    </row>
    <row r="6" spans="1:17" x14ac:dyDescent="0.4">
      <c r="A6" s="51" t="s">
        <v>1</v>
      </c>
      <c r="B6" s="150">
        <f>IF(B$2=0,0,(B$7*1+B$8*2+B$9*3)/B$2)</f>
        <v>1.7</v>
      </c>
      <c r="C6" s="151"/>
      <c r="E6" s="59" t="s">
        <v>68</v>
      </c>
      <c r="F6" s="56" t="s">
        <v>12</v>
      </c>
      <c r="G6" s="44">
        <v>12</v>
      </c>
      <c r="H6" s="129">
        <f>IF(B$15=0,0,G6/B$15)</f>
        <v>0.35294117647058826</v>
      </c>
      <c r="I6" s="90">
        <v>3</v>
      </c>
      <c r="K6" s="36">
        <v>4</v>
      </c>
      <c r="L6" s="95">
        <v>53.1</v>
      </c>
      <c r="N6" s="111" t="s">
        <v>134</v>
      </c>
      <c r="O6" s="118">
        <f t="shared" si="0"/>
        <v>1222.2222222222222</v>
      </c>
      <c r="P6" s="115">
        <v>9</v>
      </c>
      <c r="Q6" s="99">
        <v>11000</v>
      </c>
    </row>
    <row r="7" spans="1:17" x14ac:dyDescent="0.4">
      <c r="A7" s="51" t="s">
        <v>2</v>
      </c>
      <c r="B7" s="44">
        <v>5</v>
      </c>
      <c r="C7" s="37">
        <f t="shared" ref="C7:C10" si="1">IF(B$2=0,0,B7/B$2)</f>
        <v>0.5</v>
      </c>
      <c r="E7" s="59" t="s">
        <v>166</v>
      </c>
      <c r="F7" s="56" t="s">
        <v>167</v>
      </c>
      <c r="G7" s="44">
        <v>9</v>
      </c>
      <c r="H7" s="129">
        <f>IF(B$15=0,0,G7/B$15)</f>
        <v>0.26470588235294118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4775</v>
      </c>
      <c r="P7" s="116">
        <v>8</v>
      </c>
      <c r="Q7" s="100">
        <v>38200</v>
      </c>
    </row>
    <row r="8" spans="1:17" x14ac:dyDescent="0.4">
      <c r="A8" s="51" t="s">
        <v>3</v>
      </c>
      <c r="B8" s="44">
        <v>3</v>
      </c>
      <c r="C8" s="37">
        <f t="shared" si="1"/>
        <v>0.3</v>
      </c>
      <c r="E8" s="59" t="s">
        <v>65</v>
      </c>
      <c r="F8" s="56" t="s">
        <v>21</v>
      </c>
      <c r="G8" s="44">
        <v>6</v>
      </c>
      <c r="H8" s="129">
        <f>IF(B$15=0,0,G8/B$15)</f>
        <v>0.17647058823529413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0.2</v>
      </c>
      <c r="E9" s="59" t="s">
        <v>69</v>
      </c>
      <c r="F9" s="56" t="s">
        <v>24</v>
      </c>
      <c r="G9" s="44">
        <v>3</v>
      </c>
      <c r="H9" s="129">
        <f>IF(B$15=0,0,G9/B$15)</f>
        <v>8.8235294117647065E-2</v>
      </c>
      <c r="I9" s="90">
        <v>11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</v>
      </c>
      <c r="C10" s="40">
        <f t="shared" si="1"/>
        <v>0.1</v>
      </c>
      <c r="E10" s="59" t="s">
        <v>70</v>
      </c>
      <c r="F10" s="56" t="s">
        <v>25</v>
      </c>
      <c r="G10" s="44">
        <v>3</v>
      </c>
      <c r="H10" s="129">
        <f>IF(B$15=0,0,G10/B$15)</f>
        <v>8.8235294117647065E-2</v>
      </c>
      <c r="I10" s="90">
        <v>10</v>
      </c>
      <c r="K10" s="36">
        <v>8</v>
      </c>
      <c r="L10" s="95">
        <v>41.3</v>
      </c>
      <c r="N10" s="110" t="s">
        <v>157</v>
      </c>
      <c r="O10" s="120">
        <f>IF(P10=0,0,Q10/P10)</f>
        <v>1.3999999999999995</v>
      </c>
      <c r="P10" s="114">
        <v>2</v>
      </c>
      <c r="Q10" s="102">
        <v>2.7999999999999989</v>
      </c>
    </row>
    <row r="11" spans="1:17" x14ac:dyDescent="0.4">
      <c r="A11" s="54" t="s">
        <v>121</v>
      </c>
      <c r="B11" s="47">
        <v>32</v>
      </c>
      <c r="C11" s="42">
        <f>IF(B$3=0,0,B11/B$3)</f>
        <v>0.35555555555555557</v>
      </c>
      <c r="E11" s="59" t="s">
        <v>89</v>
      </c>
      <c r="F11" s="56" t="s">
        <v>44</v>
      </c>
      <c r="G11" s="44">
        <v>3</v>
      </c>
      <c r="H11" s="129">
        <f>IF(B$15=0,0,G11/B$15)</f>
        <v>8.8235294117647065E-2</v>
      </c>
      <c r="I11" s="90">
        <v>11</v>
      </c>
      <c r="K11" s="36">
        <v>9</v>
      </c>
      <c r="L11" s="95">
        <v>79.699999999999989</v>
      </c>
      <c r="N11" s="111" t="s">
        <v>158</v>
      </c>
      <c r="O11" s="121">
        <f>IF(P11=0,0,Q11/P11)</f>
        <v>1.6166666666666674</v>
      </c>
      <c r="P11" s="115">
        <v>6</v>
      </c>
      <c r="Q11" s="103">
        <v>9.7000000000000046</v>
      </c>
    </row>
    <row r="12" spans="1:17" x14ac:dyDescent="0.4">
      <c r="A12" s="51" t="s">
        <v>118</v>
      </c>
      <c r="B12" s="44">
        <v>11</v>
      </c>
      <c r="C12" s="37">
        <f>IF(B$3=0,0,B12/B$3)</f>
        <v>0.12222222222222222</v>
      </c>
      <c r="E12" s="59" t="s">
        <v>83</v>
      </c>
      <c r="F12" s="56" t="s">
        <v>38</v>
      </c>
      <c r="G12" s="44">
        <v>2</v>
      </c>
      <c r="H12" s="129">
        <f>IF(B$15=0,0,G12/B$15)</f>
        <v>5.8823529411764705E-2</v>
      </c>
      <c r="I12" s="90">
        <v>5</v>
      </c>
      <c r="K12" s="36">
        <v>10</v>
      </c>
      <c r="L12" s="95">
        <v>86.1</v>
      </c>
      <c r="N12" s="112" t="s">
        <v>159</v>
      </c>
      <c r="O12" s="122">
        <f>IF(P12=0,0,Q12/P12)</f>
        <v>36.799999999999997</v>
      </c>
      <c r="P12" s="116">
        <v>2</v>
      </c>
      <c r="Q12" s="104">
        <v>73.599999999999994</v>
      </c>
    </row>
    <row r="13" spans="1:17" x14ac:dyDescent="0.4">
      <c r="A13" s="50" t="s">
        <v>123</v>
      </c>
      <c r="B13" s="43">
        <f>B19</f>
        <v>21</v>
      </c>
      <c r="C13" s="35">
        <f>IF(B$11=0,0,B13/B$11)</f>
        <v>0.65625</v>
      </c>
      <c r="E13" s="59" t="s">
        <v>85</v>
      </c>
      <c r="F13" s="56" t="s">
        <v>40</v>
      </c>
      <c r="G13" s="44">
        <v>2</v>
      </c>
      <c r="H13" s="129">
        <f>IF(B$15=0,0,G13/B$15)</f>
        <v>5.8823529411764705E-2</v>
      </c>
      <c r="I13" s="90">
        <v>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8</v>
      </c>
      <c r="C14" s="35">
        <f>IF(B$12=0,0,B14/B$12)</f>
        <v>0.72727272727272729</v>
      </c>
      <c r="E14" s="59" t="s">
        <v>71</v>
      </c>
      <c r="F14" s="56" t="s">
        <v>26</v>
      </c>
      <c r="G14" s="44">
        <v>1</v>
      </c>
      <c r="H14" s="129">
        <f>IF(B$15=0,0,G14/B$15)</f>
        <v>2.9411764705882353E-2</v>
      </c>
      <c r="I14" s="90">
        <v>13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34</v>
      </c>
      <c r="C15" s="35">
        <f>IF(B$3=0,0,B15/B$3)</f>
        <v>0.37777777777777777</v>
      </c>
      <c r="E15" s="59" t="s">
        <v>75</v>
      </c>
      <c r="F15" s="56" t="s">
        <v>30</v>
      </c>
      <c r="G15" s="44">
        <v>1</v>
      </c>
      <c r="H15" s="129">
        <f>IF(B$15=0,0,G15/B$15)</f>
        <v>2.9411764705882353E-2</v>
      </c>
      <c r="I15" s="90">
        <v>1</v>
      </c>
      <c r="N15" s="110" t="s">
        <v>196</v>
      </c>
      <c r="O15" s="120">
        <f>IF(P15=0,0,Q15/P15)</f>
        <v>58.099999999999994</v>
      </c>
      <c r="P15" s="114">
        <v>1</v>
      </c>
      <c r="Q15" s="102">
        <v>58.099999999999994</v>
      </c>
    </row>
    <row r="16" spans="1:17" x14ac:dyDescent="0.4">
      <c r="A16" s="51" t="s">
        <v>13</v>
      </c>
      <c r="B16" s="44">
        <v>11</v>
      </c>
      <c r="C16" s="37">
        <f>IF(B$3=0,0,B16/B$3)</f>
        <v>0.12222222222222222</v>
      </c>
      <c r="E16" s="59" t="s">
        <v>79</v>
      </c>
      <c r="F16" s="56" t="s">
        <v>34</v>
      </c>
      <c r="G16" s="44">
        <v>1</v>
      </c>
      <c r="H16" s="129">
        <f>IF(B$15=0,0,G16/B$15)</f>
        <v>2.9411764705882353E-2</v>
      </c>
      <c r="I16" s="90">
        <v>2</v>
      </c>
      <c r="N16" s="111" t="s">
        <v>171</v>
      </c>
      <c r="O16" s="121">
        <f>IF(P16=0,0,Q16/P16)</f>
        <v>38.25</v>
      </c>
      <c r="P16" s="115">
        <v>2</v>
      </c>
      <c r="Q16" s="103">
        <v>76.5</v>
      </c>
    </row>
    <row r="17" spans="1:17" x14ac:dyDescent="0.4">
      <c r="A17" s="51" t="s">
        <v>12</v>
      </c>
      <c r="B17" s="44">
        <v>16</v>
      </c>
      <c r="C17" s="37">
        <f>IF(B$15=0,0,B17/B$15)</f>
        <v>0.47058823529411764</v>
      </c>
      <c r="E17" s="59" t="s">
        <v>86</v>
      </c>
      <c r="F17" s="56" t="s">
        <v>41</v>
      </c>
      <c r="G17" s="44">
        <v>1</v>
      </c>
      <c r="H17" s="129">
        <f>IF(B$15=0,0,G17/B$15)</f>
        <v>2.9411764705882353E-2</v>
      </c>
      <c r="I17" s="90">
        <v>10</v>
      </c>
      <c r="N17" s="111" t="s">
        <v>172</v>
      </c>
      <c r="O17" s="121">
        <f>IF(P17=0,0,Q17/P17)</f>
        <v>34.699999999999996</v>
      </c>
      <c r="P17" s="115">
        <v>3</v>
      </c>
      <c r="Q17" s="103">
        <v>104.1</v>
      </c>
    </row>
    <row r="18" spans="1:17" x14ac:dyDescent="0.4">
      <c r="A18" s="51" t="s">
        <v>11</v>
      </c>
      <c r="B18" s="44">
        <v>18</v>
      </c>
      <c r="C18" s="37">
        <f>IF(B$15=0,0,B18/B$15)</f>
        <v>0.52941176470588236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170</v>
      </c>
      <c r="O18" s="121">
        <f>IF(P18=0,0,Q18/P18)</f>
        <v>25.316666666666666</v>
      </c>
      <c r="P18" s="115">
        <v>6</v>
      </c>
      <c r="Q18" s="103">
        <v>151.9</v>
      </c>
    </row>
    <row r="19" spans="1:17" x14ac:dyDescent="0.4">
      <c r="A19" s="51" t="s">
        <v>195</v>
      </c>
      <c r="B19" s="44">
        <v>21</v>
      </c>
      <c r="C19" s="37">
        <f>IF(B$15=0,0,B19/B$15)</f>
        <v>0.61764705882352944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197</v>
      </c>
      <c r="O19" s="121">
        <f>IF(P19=0,0,Q19/P19)</f>
        <v>12.000000000000002</v>
      </c>
      <c r="P19" s="115">
        <v>1</v>
      </c>
      <c r="Q19" s="103">
        <v>12.000000000000002</v>
      </c>
    </row>
    <row r="20" spans="1:17" x14ac:dyDescent="0.4">
      <c r="A20" s="51" t="s">
        <v>193</v>
      </c>
      <c r="B20" s="44">
        <v>8</v>
      </c>
      <c r="C20" s="37">
        <f>IF(B$15=0,0,B20/B$15)</f>
        <v>0.23529411764705882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127</v>
      </c>
      <c r="O20" s="121">
        <f>IF(P20=0,0,Q20/P20)</f>
        <v>6.2333333333333343</v>
      </c>
      <c r="P20" s="115">
        <v>3</v>
      </c>
      <c r="Q20" s="103">
        <v>18.700000000000003</v>
      </c>
    </row>
    <row r="21" spans="1:17" x14ac:dyDescent="0.4">
      <c r="A21" s="51" t="s">
        <v>194</v>
      </c>
      <c r="B21" s="44">
        <v>5</v>
      </c>
      <c r="C21" s="37">
        <f>IF(B$15=0,0,B21/B$15)</f>
        <v>0.14705882352941177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>IF(P21=0,0,Q21/P21)</f>
        <v>-29.949999999999996</v>
      </c>
      <c r="P21" s="115">
        <v>2</v>
      </c>
      <c r="Q21" s="103">
        <v>-59.899999999999991</v>
      </c>
    </row>
    <row r="22" spans="1:17" x14ac:dyDescent="0.4">
      <c r="A22" s="51" t="s">
        <v>5</v>
      </c>
      <c r="B22" s="48">
        <f>IF(B$15=0,0,C22/B$15)</f>
        <v>7147.0588235294117</v>
      </c>
      <c r="C22" s="39">
        <v>243000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>IF(P22=0,0,Q22/P22)</f>
        <v>-51.55</v>
      </c>
      <c r="P22" s="115">
        <v>2</v>
      </c>
      <c r="Q22" s="103">
        <v>-103.1</v>
      </c>
    </row>
    <row r="23" spans="1:17" x14ac:dyDescent="0.4">
      <c r="A23" s="52" t="s">
        <v>177</v>
      </c>
      <c r="B23" s="136">
        <f>IF($B$15-B$14=0,0,C23/($B$15-B$14))</f>
        <v>7565.3846153846152</v>
      </c>
      <c r="C23" s="137">
        <v>196700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5787.5</v>
      </c>
      <c r="C24" s="137">
        <v>46300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">
      <c r="A25" s="52" t="s">
        <v>176</v>
      </c>
      <c r="B25" s="136">
        <f>IF(B$16=0,0,C25/B$16)</f>
        <v>-7990.909090909091</v>
      </c>
      <c r="C25" s="137">
        <v>-87900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">
      <c r="A27" s="51" t="s">
        <v>165</v>
      </c>
      <c r="B27" s="44">
        <v>20</v>
      </c>
      <c r="C27" s="131">
        <v>1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3</v>
      </c>
      <c r="C32" s="141">
        <f>IF(B$15=0,0,B32/B$15)</f>
        <v>8.8235294117647065E-2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8</v>
      </c>
      <c r="C33" s="37">
        <f t="shared" ref="C33:C44" si="2">IF(B$15=0,0,B33/B$15)</f>
        <v>0.23529411764705882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5</v>
      </c>
      <c r="C34" s="37">
        <f>IF(B$15=0,0,B34/B$15)</f>
        <v>0.14705882352941177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9</v>
      </c>
      <c r="C35" s="37">
        <f t="shared" si="2"/>
        <v>0.26470588235294118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5</v>
      </c>
      <c r="C36" s="37">
        <f t="shared" si="2"/>
        <v>0.14705882352941177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2"/>
        <v>2.9411764705882353E-2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2</v>
      </c>
      <c r="C38" s="37">
        <f t="shared" si="2"/>
        <v>5.8823529411764705E-2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1</v>
      </c>
      <c r="C39" s="37">
        <f t="shared" si="2"/>
        <v>2.9411764705882353E-2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2B415-64D6-4239-8061-2C113A86CA82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6</v>
      </c>
    </row>
    <row r="29" spans="1:17" x14ac:dyDescent="0.4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9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CEB99-3CD6-4529-A131-3D30B3F57E64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12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7D3D2-4254-46A6-80B6-AF6778164A9A}">
  <sheetPr codeName="Sheet33"/>
  <dimension ref="A1:Q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0C9A0-1CBC-40EC-8674-B117C56BC7CB}">
  <sheetPr codeName="Sheet30"/>
  <dimension ref="A1:Q1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C9C0F-4A5F-47A6-BFDD-D4367B4D6E9B}">
  <sheetPr codeName="Sheet28"/>
  <dimension ref="A1:Q1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20A8E-93FE-45E7-AF42-582BE98BA334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DA3A0-123B-4269-B4AD-D71D958B32E3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4CB33-92D4-43B8-9611-60C0ECC97065}">
  <sheetPr codeName="Sheet22"/>
  <dimension ref="A1:Q2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D05F6-C7C0-44CB-826E-4B517A1BB156}">
  <sheetPr codeName="Sheet20"/>
  <dimension ref="A1:Q5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2DF49-3D3B-4973-8D4F-9402E4AEE6CB}">
  <sheetPr codeName="Sheet18"/>
  <dimension ref="A1:Q12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E975E-E531-40D8-B950-07B820CF01FD}">
  <sheetPr codeName="Sheet16"/>
  <dimension ref="A1:Q11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63B61-4CEE-4E0D-BC08-2CAD6B2C6212}">
  <sheetPr codeName="Sheet14"/>
  <dimension ref="A1:Q9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66E17-B642-4225-BB04-B4E9BD385DDF}">
  <sheetPr codeName="Sheet12"/>
  <dimension ref="A1:Q14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AA414-FF86-4CC8-92AB-C498CA7F62ED}">
  <sheetPr codeName="Sheet10"/>
  <dimension ref="A1:Q15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3DEEC-5240-4801-BC66-B56942648D50}">
  <sheetPr codeName="Sheet8"/>
  <dimension ref="A1:Q7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F1096-36CC-4EB7-953E-9CFE8556C3F8}">
  <sheetPr codeName="Sheet6"/>
  <dimension ref="A1:Q26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2019-12-16T17:55:34Z</dcterms:modified>
</cp:coreProperties>
</file>