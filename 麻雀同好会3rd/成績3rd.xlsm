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221A35A7-01CD-419B-9083-8C968192413F}" xr6:coauthVersionLast="41" xr6:coauthVersionMax="41" xr10:uidLastSave="{00000000-0000-0000-0000-000000000000}"/>
  <bookViews>
    <workbookView xWindow="45" yWindow="3360" windowWidth="21600" windowHeight="11835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11" r:id="rId6"/>
    <sheet name="たかの" sheetId="5813" r:id="rId7"/>
    <sheet name="だいち" sheetId="5815" r:id="rId8"/>
    <sheet name="りくと" sheetId="5819" r:id="rId9"/>
    <sheet name="ただ" sheetId="5817" r:id="rId10"/>
    <sheet name="れんたろう" sheetId="5821" r:id="rId11"/>
    <sheet name="まっつん" sheetId="5823" r:id="rId12"/>
    <sheet name="のり" sheetId="5825" r:id="rId13"/>
    <sheet name="ぱぱ" sheetId="5827" r:id="rId14"/>
    <sheet name="ほたに" sheetId="5829" r:id="rId15"/>
    <sheet name="いっしー" sheetId="5831" r:id="rId16"/>
    <sheet name="いっしー2" sheetId="5832" state="hidden" r:id="rId17"/>
    <sheet name="ほたに2" sheetId="5830" state="hidden" r:id="rId18"/>
    <sheet name="ぱぱ2" sheetId="5828" state="hidden" r:id="rId19"/>
    <sheet name="のり2" sheetId="5826" state="hidden" r:id="rId20"/>
    <sheet name="まっつん2" sheetId="5824" state="hidden" r:id="rId21"/>
    <sheet name="れんたろう2" sheetId="5822" state="hidden" r:id="rId22"/>
    <sheet name="りくと2" sheetId="5820" state="hidden" r:id="rId23"/>
    <sheet name="ただ2" sheetId="5818" state="hidden" r:id="rId24"/>
    <sheet name="だいち2" sheetId="5816" state="hidden" r:id="rId25"/>
    <sheet name="たかの2" sheetId="5814" state="hidden" r:id="rId26"/>
    <sheet name="全体2" sheetId="5812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9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8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9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8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9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8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9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8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9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8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9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8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9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8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9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8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9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8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9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8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9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8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9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8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9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8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9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8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9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8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9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8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9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8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9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8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9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8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9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8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9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8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9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8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9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8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9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8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9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8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9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8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9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8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9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8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9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8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9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8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9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8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9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8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9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8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9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8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9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8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9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8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9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8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9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8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9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8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821" l="1"/>
  <c r="O17" i="5821"/>
  <c r="O15" i="5821"/>
  <c r="O17" i="5823" l="1"/>
  <c r="O17" i="5831"/>
  <c r="O22" i="5815" l="1"/>
  <c r="O16" i="5831"/>
  <c r="O15" i="5831"/>
  <c r="C29" i="5831"/>
  <c r="B26" i="5831"/>
  <c r="B25" i="5831"/>
  <c r="C20" i="5831"/>
  <c r="B17" i="5831"/>
  <c r="H50" i="5831" s="1"/>
  <c r="C16" i="5831"/>
  <c r="C15" i="5831"/>
  <c r="C14" i="5831"/>
  <c r="C13" i="5831"/>
  <c r="O12" i="5831"/>
  <c r="C12" i="5831"/>
  <c r="O11" i="5831"/>
  <c r="C11" i="5831"/>
  <c r="O10" i="5831"/>
  <c r="C10" i="5831"/>
  <c r="C9" i="5831"/>
  <c r="C8" i="5831"/>
  <c r="O7" i="5831"/>
  <c r="C7" i="5831"/>
  <c r="O6" i="5831"/>
  <c r="B6" i="5831"/>
  <c r="O5" i="5831"/>
  <c r="B5" i="5831"/>
  <c r="O4" i="5831"/>
  <c r="O3" i="5831"/>
  <c r="O2" i="5831"/>
  <c r="O17" i="5825"/>
  <c r="O24" i="5811"/>
  <c r="H19" i="5831" l="1"/>
  <c r="H31" i="5831"/>
  <c r="B23" i="5831"/>
  <c r="H25" i="5831"/>
  <c r="H17" i="5831"/>
  <c r="H14" i="5831"/>
  <c r="H35" i="5831"/>
  <c r="H3" i="5831"/>
  <c r="H36" i="5831"/>
  <c r="H44" i="5831"/>
  <c r="H9" i="5831"/>
  <c r="C17" i="5831"/>
  <c r="H29" i="5831"/>
  <c r="H47" i="5831"/>
  <c r="H39" i="5831"/>
  <c r="H43" i="5831"/>
  <c r="H4" i="5831"/>
  <c r="H5" i="5831"/>
  <c r="C18" i="5831"/>
  <c r="H6" i="5831"/>
  <c r="H2" i="5831"/>
  <c r="H21" i="5831"/>
  <c r="H51" i="5831"/>
  <c r="H11" i="5831"/>
  <c r="H18" i="5831"/>
  <c r="C19" i="5831"/>
  <c r="B24" i="5831"/>
  <c r="H37" i="5831"/>
  <c r="H45" i="5831"/>
  <c r="H52" i="5831"/>
  <c r="H12" i="5831"/>
  <c r="H7" i="5831"/>
  <c r="H10" i="5831"/>
  <c r="H15" i="5831"/>
  <c r="H22" i="5831"/>
  <c r="H26" i="5831"/>
  <c r="H30" i="5831"/>
  <c r="H38" i="5831"/>
  <c r="H46" i="5831"/>
  <c r="H23" i="5831"/>
  <c r="H27" i="5831"/>
  <c r="H32" i="5831"/>
  <c r="H40" i="5831"/>
  <c r="H48" i="5831"/>
  <c r="H13" i="5831"/>
  <c r="H16" i="5831"/>
  <c r="H8" i="5831"/>
  <c r="H33" i="5831"/>
  <c r="H41" i="5831"/>
  <c r="H49" i="5831"/>
  <c r="H20" i="5831"/>
  <c r="H24" i="5831"/>
  <c r="H28" i="5831"/>
  <c r="H34" i="5831"/>
  <c r="H42" i="5831"/>
  <c r="O21" i="5813" l="1"/>
  <c r="O16" i="5821"/>
  <c r="O19" i="5829" l="1"/>
  <c r="O15" i="5819" l="1"/>
  <c r="O20" i="5825"/>
  <c r="O16" i="5829" l="1"/>
  <c r="O22" i="5819"/>
  <c r="O20" i="5813" l="1"/>
  <c r="O16" i="5815"/>
  <c r="O15" i="5825"/>
  <c r="O19" i="5825"/>
  <c r="O22" i="5823" l="1"/>
  <c r="O17" i="5827"/>
  <c r="O16" i="5817" l="1"/>
  <c r="O18" i="5823"/>
  <c r="O22" i="5825"/>
  <c r="O16" i="5825"/>
  <c r="O16" i="5813" l="1"/>
  <c r="O19" i="5827"/>
  <c r="O18" i="5827"/>
  <c r="O17" i="5819"/>
  <c r="O19" i="5817" l="1"/>
  <c r="O21" i="5821"/>
  <c r="O19" i="5821" l="1"/>
  <c r="O21" i="5815"/>
  <c r="O23" i="5825"/>
  <c r="O17" i="5829"/>
  <c r="O15" i="5829"/>
  <c r="O20" i="5827"/>
  <c r="O15" i="5817" l="1"/>
  <c r="O18" i="5817"/>
  <c r="O18" i="5829"/>
  <c r="O20" i="5829"/>
  <c r="C29" i="5829"/>
  <c r="B26" i="5829"/>
  <c r="B25" i="5829"/>
  <c r="C20" i="5829"/>
  <c r="B17" i="5829"/>
  <c r="H51" i="5829" s="1"/>
  <c r="C16" i="5829"/>
  <c r="C15" i="5829"/>
  <c r="C14" i="5829"/>
  <c r="C13" i="5829"/>
  <c r="O12" i="5829"/>
  <c r="C12" i="5829"/>
  <c r="O11" i="5829"/>
  <c r="C11" i="5829"/>
  <c r="O10" i="5829"/>
  <c r="C10" i="5829"/>
  <c r="C9" i="5829"/>
  <c r="C8" i="5829"/>
  <c r="O7" i="5829"/>
  <c r="C7" i="5829"/>
  <c r="O6" i="5829"/>
  <c r="B6" i="5829"/>
  <c r="O5" i="5829"/>
  <c r="B5" i="5829"/>
  <c r="O4" i="5829"/>
  <c r="O3" i="5829"/>
  <c r="O2" i="5829"/>
  <c r="O20" i="5823"/>
  <c r="O15" i="5823"/>
  <c r="O16" i="5811"/>
  <c r="H20" i="5829" l="1"/>
  <c r="H6" i="5829"/>
  <c r="B24" i="5829"/>
  <c r="H5" i="5829"/>
  <c r="H7" i="5829"/>
  <c r="H44" i="5829"/>
  <c r="H8" i="5829"/>
  <c r="H36" i="5829"/>
  <c r="H2" i="5829"/>
  <c r="C19" i="5829"/>
  <c r="H37" i="5829"/>
  <c r="H26" i="5829"/>
  <c r="H45" i="5829"/>
  <c r="H11" i="5829"/>
  <c r="H52" i="5829"/>
  <c r="C17" i="5829"/>
  <c r="H29" i="5829"/>
  <c r="H17" i="5829"/>
  <c r="H3" i="5829"/>
  <c r="H12" i="5829"/>
  <c r="H22" i="5829"/>
  <c r="H23" i="5829"/>
  <c r="H15" i="5829"/>
  <c r="H30" i="5829"/>
  <c r="H38" i="5829"/>
  <c r="H46" i="5829"/>
  <c r="H21" i="5829"/>
  <c r="H31" i="5829"/>
  <c r="H39" i="5829"/>
  <c r="H47" i="5829"/>
  <c r="H27" i="5829"/>
  <c r="H48" i="5829"/>
  <c r="H10" i="5829"/>
  <c r="H18" i="5829"/>
  <c r="H14" i="5829"/>
  <c r="H41" i="5829"/>
  <c r="H13" i="5829"/>
  <c r="H25" i="5829"/>
  <c r="H28" i="5829"/>
  <c r="H34" i="5829"/>
  <c r="H42" i="5829"/>
  <c r="H50" i="5829"/>
  <c r="H24" i="5829"/>
  <c r="H32" i="5829"/>
  <c r="H40" i="5829"/>
  <c r="H33" i="5829"/>
  <c r="H49" i="5829"/>
  <c r="H4" i="5829"/>
  <c r="H16" i="5829"/>
  <c r="H19" i="5829"/>
  <c r="C18" i="5829"/>
  <c r="B23" i="5829"/>
  <c r="H9" i="5829"/>
  <c r="H35" i="5829"/>
  <c r="H43" i="5829"/>
  <c r="O17" i="5815" l="1"/>
  <c r="O20" i="5819"/>
  <c r="O18" i="5815" l="1"/>
  <c r="O19" i="5823"/>
  <c r="O23" i="5823"/>
  <c r="O17" i="5813"/>
  <c r="O20" i="5817"/>
  <c r="O16" i="5819"/>
  <c r="O19" i="5819"/>
  <c r="O19" i="5813"/>
  <c r="O17" i="5817"/>
  <c r="O15" i="5815"/>
  <c r="O21" i="5827"/>
  <c r="O22" i="5827"/>
  <c r="O22" i="5821" l="1"/>
  <c r="O16" i="5827"/>
  <c r="O15" i="5827"/>
  <c r="C29" i="5827"/>
  <c r="B26" i="5827"/>
  <c r="B25" i="5827"/>
  <c r="C20" i="5827"/>
  <c r="B17" i="5827"/>
  <c r="H5" i="5827" s="1"/>
  <c r="C16" i="5827"/>
  <c r="C15" i="5827"/>
  <c r="C14" i="5827"/>
  <c r="C13" i="5827"/>
  <c r="O12" i="5827"/>
  <c r="C12" i="5827"/>
  <c r="O11" i="5827"/>
  <c r="C11" i="5827"/>
  <c r="O10" i="5827"/>
  <c r="C10" i="5827"/>
  <c r="C9" i="5827"/>
  <c r="C8" i="5827"/>
  <c r="O7" i="5827"/>
  <c r="C7" i="5827"/>
  <c r="O6" i="5827"/>
  <c r="B6" i="5827"/>
  <c r="O5" i="5827"/>
  <c r="B5" i="5827"/>
  <c r="O4" i="5827"/>
  <c r="O3" i="5827"/>
  <c r="O2" i="5827"/>
  <c r="O15" i="5811"/>
  <c r="O18" i="5825"/>
  <c r="O21" i="5825"/>
  <c r="C29" i="5825"/>
  <c r="B26" i="5825"/>
  <c r="B25" i="5825"/>
  <c r="C20" i="5825"/>
  <c r="B17" i="5825"/>
  <c r="H52" i="5825" s="1"/>
  <c r="C16" i="5825"/>
  <c r="C15" i="5825"/>
  <c r="C14" i="5825"/>
  <c r="C13" i="5825"/>
  <c r="O12" i="5825"/>
  <c r="C12" i="5825"/>
  <c r="O11" i="5825"/>
  <c r="C11" i="5825"/>
  <c r="O10" i="5825"/>
  <c r="C10" i="5825"/>
  <c r="C9" i="5825"/>
  <c r="C8" i="5825"/>
  <c r="O7" i="5825"/>
  <c r="C7" i="5825"/>
  <c r="O6" i="5825"/>
  <c r="B6" i="5825"/>
  <c r="O5" i="5825"/>
  <c r="B5" i="5825"/>
  <c r="O4" i="5825"/>
  <c r="O3" i="5825"/>
  <c r="O2" i="5825"/>
  <c r="O21" i="5811"/>
  <c r="H23" i="5827" l="1"/>
  <c r="H11" i="5827"/>
  <c r="H52" i="5827"/>
  <c r="H21" i="5827"/>
  <c r="C17" i="5827"/>
  <c r="H32" i="5827"/>
  <c r="C19" i="5827"/>
  <c r="H38" i="5827"/>
  <c r="H10" i="5827"/>
  <c r="H16" i="5827"/>
  <c r="H46" i="5827"/>
  <c r="H40" i="5827"/>
  <c r="H4" i="5827"/>
  <c r="B24" i="5827"/>
  <c r="H48" i="5827"/>
  <c r="H15" i="5827"/>
  <c r="H13" i="5827"/>
  <c r="H31" i="5827"/>
  <c r="H39" i="5827"/>
  <c r="H47" i="5827"/>
  <c r="H49" i="5827"/>
  <c r="H14" i="5827"/>
  <c r="H27" i="5827"/>
  <c r="H34" i="5827"/>
  <c r="H42" i="5827"/>
  <c r="H50" i="5827"/>
  <c r="H6" i="5827"/>
  <c r="H33" i="5827"/>
  <c r="H24" i="5827"/>
  <c r="H28" i="5827"/>
  <c r="H29" i="5827"/>
  <c r="H35" i="5827"/>
  <c r="H43" i="5827"/>
  <c r="H51" i="5827"/>
  <c r="H18" i="5827"/>
  <c r="H8" i="5827"/>
  <c r="H7" i="5827"/>
  <c r="H20" i="5827"/>
  <c r="H22" i="5827"/>
  <c r="C18" i="5827"/>
  <c r="B23" i="5827"/>
  <c r="H12" i="5827"/>
  <c r="H36" i="5827"/>
  <c r="H44" i="5827"/>
  <c r="H19" i="5827"/>
  <c r="H2" i="5827"/>
  <c r="H26" i="5827"/>
  <c r="H41" i="5827"/>
  <c r="H3" i="5827"/>
  <c r="H9" i="5827"/>
  <c r="H25" i="5827"/>
  <c r="H17" i="5827"/>
  <c r="H30" i="5827"/>
  <c r="H37" i="5827"/>
  <c r="H45" i="5827"/>
  <c r="H9" i="5825"/>
  <c r="H4" i="5825"/>
  <c r="H3" i="5825"/>
  <c r="H6" i="5825"/>
  <c r="H30" i="5825"/>
  <c r="H2" i="5825"/>
  <c r="H44" i="5825"/>
  <c r="H7" i="5825"/>
  <c r="H16" i="5825"/>
  <c r="H24" i="5825"/>
  <c r="H10" i="5825"/>
  <c r="H27" i="5825"/>
  <c r="H14" i="5825"/>
  <c r="C17" i="5825"/>
  <c r="H36" i="5825"/>
  <c r="H15" i="5825"/>
  <c r="H13" i="5825"/>
  <c r="H31" i="5825"/>
  <c r="H38" i="5825"/>
  <c r="H46" i="5825"/>
  <c r="H17" i="5825"/>
  <c r="H32" i="5825"/>
  <c r="H39" i="5825"/>
  <c r="H47" i="5825"/>
  <c r="H25" i="5825"/>
  <c r="H20" i="5825"/>
  <c r="H12" i="5825"/>
  <c r="H34" i="5825"/>
  <c r="H41" i="5825"/>
  <c r="H49" i="5825"/>
  <c r="H28" i="5825"/>
  <c r="H40" i="5825"/>
  <c r="H23" i="5825"/>
  <c r="H26" i="5825"/>
  <c r="H29" i="5825"/>
  <c r="H18" i="5825"/>
  <c r="H42" i="5825"/>
  <c r="H50" i="5825"/>
  <c r="H33" i="5825"/>
  <c r="H48" i="5825"/>
  <c r="H11" i="5825"/>
  <c r="H5" i="5825"/>
  <c r="H19" i="5825"/>
  <c r="H21" i="5825"/>
  <c r="C18" i="5825"/>
  <c r="B23" i="5825"/>
  <c r="H8" i="5825"/>
  <c r="H35" i="5825"/>
  <c r="H43" i="5825"/>
  <c r="H51" i="5825"/>
  <c r="H22" i="5825"/>
  <c r="C19" i="5825"/>
  <c r="B24" i="5825"/>
  <c r="H37" i="5825"/>
  <c r="H45" i="5825"/>
  <c r="O21" i="5823" l="1"/>
  <c r="O16" i="5823"/>
  <c r="C29" i="5823"/>
  <c r="B26" i="5823"/>
  <c r="B25" i="5823"/>
  <c r="C20" i="5823"/>
  <c r="B17" i="5823"/>
  <c r="H52" i="5823" s="1"/>
  <c r="C16" i="5823"/>
  <c r="C15" i="5823"/>
  <c r="C14" i="5823"/>
  <c r="C13" i="5823"/>
  <c r="O12" i="5823"/>
  <c r="C12" i="5823"/>
  <c r="O11" i="5823"/>
  <c r="C11" i="5823"/>
  <c r="O10" i="5823"/>
  <c r="C10" i="5823"/>
  <c r="C9" i="5823"/>
  <c r="C8" i="5823"/>
  <c r="O7" i="5823"/>
  <c r="C7" i="5823"/>
  <c r="O6" i="5823"/>
  <c r="B6" i="5823"/>
  <c r="O5" i="5823"/>
  <c r="B5" i="5823"/>
  <c r="O4" i="5823"/>
  <c r="O3" i="5823"/>
  <c r="O2" i="5823"/>
  <c r="O20" i="5821"/>
  <c r="C29" i="5821"/>
  <c r="B26" i="5821"/>
  <c r="B25" i="5821"/>
  <c r="C20" i="5821"/>
  <c r="B17" i="5821"/>
  <c r="H52" i="5821" s="1"/>
  <c r="C16" i="5821"/>
  <c r="C15" i="5821"/>
  <c r="C14" i="5821"/>
  <c r="C13" i="5821"/>
  <c r="O12" i="5821"/>
  <c r="C12" i="5821"/>
  <c r="O11" i="5821"/>
  <c r="C11" i="5821"/>
  <c r="O10" i="5821"/>
  <c r="C10" i="5821"/>
  <c r="C9" i="5821"/>
  <c r="C8" i="5821"/>
  <c r="O7" i="5821"/>
  <c r="C7" i="5821"/>
  <c r="O6" i="5821"/>
  <c r="B6" i="5821"/>
  <c r="O5" i="5821"/>
  <c r="B5" i="5821"/>
  <c r="O4" i="5821"/>
  <c r="O3" i="5821"/>
  <c r="O2" i="5821"/>
  <c r="O17" i="5811"/>
  <c r="O21" i="5819"/>
  <c r="O18" i="5819"/>
  <c r="C29" i="5819"/>
  <c r="B26" i="5819"/>
  <c r="B25" i="5819"/>
  <c r="C20" i="5819"/>
  <c r="B17" i="5819"/>
  <c r="H52" i="5819" s="1"/>
  <c r="C16" i="5819"/>
  <c r="C15" i="5819"/>
  <c r="C14" i="5819"/>
  <c r="C13" i="5819"/>
  <c r="O12" i="5819"/>
  <c r="C12" i="5819"/>
  <c r="O11" i="5819"/>
  <c r="C11" i="5819"/>
  <c r="O10" i="5819"/>
  <c r="C10" i="5819"/>
  <c r="C9" i="5819"/>
  <c r="C8" i="5819"/>
  <c r="O7" i="5819"/>
  <c r="C7" i="5819"/>
  <c r="O6" i="5819"/>
  <c r="B6" i="5819"/>
  <c r="O5" i="5819"/>
  <c r="B5" i="5819"/>
  <c r="O4" i="5819"/>
  <c r="O3" i="5819"/>
  <c r="O2" i="5819"/>
  <c r="O19" i="5811"/>
  <c r="O20" i="5811"/>
  <c r="H24" i="5819" l="1"/>
  <c r="H6" i="5819"/>
  <c r="H18" i="5819"/>
  <c r="H7" i="5819"/>
  <c r="H10" i="5819"/>
  <c r="H48" i="5819"/>
  <c r="H31" i="5819"/>
  <c r="H47" i="5819"/>
  <c r="H4" i="5823"/>
  <c r="H28" i="5823"/>
  <c r="H20" i="5823"/>
  <c r="H12" i="5823"/>
  <c r="H9" i="5823"/>
  <c r="H10" i="5823"/>
  <c r="H7" i="5823"/>
  <c r="C17" i="5823"/>
  <c r="H24" i="5823"/>
  <c r="H19" i="5823"/>
  <c r="H14" i="5823"/>
  <c r="H22" i="5823"/>
  <c r="H40" i="5823"/>
  <c r="H47" i="5823"/>
  <c r="H17" i="5823"/>
  <c r="H33" i="5823"/>
  <c r="H41" i="5823"/>
  <c r="H48" i="5823"/>
  <c r="H2" i="5823"/>
  <c r="H34" i="5823"/>
  <c r="H8" i="5823"/>
  <c r="H25" i="5823"/>
  <c r="H15" i="5823"/>
  <c r="H35" i="5823"/>
  <c r="H42" i="5823"/>
  <c r="H50" i="5823"/>
  <c r="H23" i="5823"/>
  <c r="H13" i="5823"/>
  <c r="H30" i="5823"/>
  <c r="H31" i="5823"/>
  <c r="H36" i="5823"/>
  <c r="H43" i="5823"/>
  <c r="H51" i="5823"/>
  <c r="H3" i="5823"/>
  <c r="H29" i="5823"/>
  <c r="H21" i="5823"/>
  <c r="H49" i="5823"/>
  <c r="H6" i="5823"/>
  <c r="H18" i="5823"/>
  <c r="H26" i="5823"/>
  <c r="C18" i="5823"/>
  <c r="B23" i="5823"/>
  <c r="H11" i="5823"/>
  <c r="H37" i="5823"/>
  <c r="H44" i="5823"/>
  <c r="H16" i="5823"/>
  <c r="H32" i="5823"/>
  <c r="H38" i="5823"/>
  <c r="H45" i="5823"/>
  <c r="H5" i="5823"/>
  <c r="H27" i="5823"/>
  <c r="C19" i="5823"/>
  <c r="B24" i="5823"/>
  <c r="H39" i="5823"/>
  <c r="H46" i="5823"/>
  <c r="H20" i="5821"/>
  <c r="H12" i="5821"/>
  <c r="H2" i="5821"/>
  <c r="H40" i="5821"/>
  <c r="H15" i="5821"/>
  <c r="H47" i="5821"/>
  <c r="H6" i="5821"/>
  <c r="H48" i="5821"/>
  <c r="H10" i="5821"/>
  <c r="H18" i="5821"/>
  <c r="H24" i="5821"/>
  <c r="C17" i="5821"/>
  <c r="H16" i="5821"/>
  <c r="H17" i="5821"/>
  <c r="H39" i="5821"/>
  <c r="H49" i="5821"/>
  <c r="H9" i="5821"/>
  <c r="H19" i="5821"/>
  <c r="H13" i="5821"/>
  <c r="H34" i="5821"/>
  <c r="H42" i="5821"/>
  <c r="H50" i="5821"/>
  <c r="H29" i="5821"/>
  <c r="H27" i="5821"/>
  <c r="H30" i="5821"/>
  <c r="H32" i="5821"/>
  <c r="H35" i="5821"/>
  <c r="H43" i="5821"/>
  <c r="H51" i="5821"/>
  <c r="H31" i="5821"/>
  <c r="H5" i="5821"/>
  <c r="H23" i="5821"/>
  <c r="H25" i="5821"/>
  <c r="C18" i="5821"/>
  <c r="B23" i="5821"/>
  <c r="H8" i="5821"/>
  <c r="H36" i="5821"/>
  <c r="H44" i="5821"/>
  <c r="H14" i="5821"/>
  <c r="H3" i="5821"/>
  <c r="H33" i="5821"/>
  <c r="H4" i="5821"/>
  <c r="H11" i="5821"/>
  <c r="H28" i="5821"/>
  <c r="H21" i="5821"/>
  <c r="H22" i="5821"/>
  <c r="H37" i="5821"/>
  <c r="H45" i="5821"/>
  <c r="H7" i="5821"/>
  <c r="H41" i="5821"/>
  <c r="H26" i="5821"/>
  <c r="C19" i="5821"/>
  <c r="B24" i="5821"/>
  <c r="H38" i="5821"/>
  <c r="H46" i="5821"/>
  <c r="H3" i="5819"/>
  <c r="H8" i="5819"/>
  <c r="H12" i="5819"/>
  <c r="H19" i="5819"/>
  <c r="H22" i="5819"/>
  <c r="H14" i="5819"/>
  <c r="H28" i="5819"/>
  <c r="H32" i="5819"/>
  <c r="H13" i="5819"/>
  <c r="B24" i="5819"/>
  <c r="H37" i="5819"/>
  <c r="H15" i="5819"/>
  <c r="H16" i="5819"/>
  <c r="H39" i="5819"/>
  <c r="C17" i="5819"/>
  <c r="H38" i="5819"/>
  <c r="H2" i="5819"/>
  <c r="H4" i="5819"/>
  <c r="H25" i="5819"/>
  <c r="H9" i="5819"/>
  <c r="C19" i="5819"/>
  <c r="H40" i="5819"/>
  <c r="H26" i="5819"/>
  <c r="H29" i="5819"/>
  <c r="H33" i="5819"/>
  <c r="H41" i="5819"/>
  <c r="H49" i="5819"/>
  <c r="H34" i="5819"/>
  <c r="H42" i="5819"/>
  <c r="H50" i="5819"/>
  <c r="H17" i="5819"/>
  <c r="H27" i="5819"/>
  <c r="H30" i="5819"/>
  <c r="H35" i="5819"/>
  <c r="H43" i="5819"/>
  <c r="H51" i="5819"/>
  <c r="H21" i="5819"/>
  <c r="H23" i="5819"/>
  <c r="C18" i="5819"/>
  <c r="B23" i="5819"/>
  <c r="H11" i="5819"/>
  <c r="H36" i="5819"/>
  <c r="H44" i="5819"/>
  <c r="H20" i="5819"/>
  <c r="H45" i="5819"/>
  <c r="H5" i="5819"/>
  <c r="H46" i="5819"/>
  <c r="O22" i="5817" l="1"/>
  <c r="O21" i="5817"/>
  <c r="C29" i="5817"/>
  <c r="B26" i="5817"/>
  <c r="B25" i="5817"/>
  <c r="C20" i="5817"/>
  <c r="B17" i="5817"/>
  <c r="H52" i="5817" s="1"/>
  <c r="C16" i="5817"/>
  <c r="C15" i="5817"/>
  <c r="C14" i="5817"/>
  <c r="C13" i="5817"/>
  <c r="O12" i="5817"/>
  <c r="C12" i="5817"/>
  <c r="O11" i="5817"/>
  <c r="C11" i="5817"/>
  <c r="O10" i="5817"/>
  <c r="C10" i="5817"/>
  <c r="C9" i="5817"/>
  <c r="C8" i="5817"/>
  <c r="O7" i="5817"/>
  <c r="C7" i="5817"/>
  <c r="O6" i="5817"/>
  <c r="B6" i="5817"/>
  <c r="O5" i="5817"/>
  <c r="B5" i="5817"/>
  <c r="O4" i="5817"/>
  <c r="O3" i="5817"/>
  <c r="O2" i="5817"/>
  <c r="O20" i="5815"/>
  <c r="O19" i="5815"/>
  <c r="C29" i="5815"/>
  <c r="B26" i="5815"/>
  <c r="B25" i="5815"/>
  <c r="C20" i="5815"/>
  <c r="B17" i="5815"/>
  <c r="H52" i="5815" s="1"/>
  <c r="C16" i="5815"/>
  <c r="C15" i="5815"/>
  <c r="C14" i="5815"/>
  <c r="C13" i="5815"/>
  <c r="O12" i="5815"/>
  <c r="C12" i="5815"/>
  <c r="O11" i="5815"/>
  <c r="C11" i="5815"/>
  <c r="O10" i="5815"/>
  <c r="C10" i="5815"/>
  <c r="C9" i="5815"/>
  <c r="C8" i="5815"/>
  <c r="O7" i="5815"/>
  <c r="C7" i="5815"/>
  <c r="O6" i="5815"/>
  <c r="B6" i="5815"/>
  <c r="O5" i="5815"/>
  <c r="B5" i="5815"/>
  <c r="O4" i="5815"/>
  <c r="O3" i="5815"/>
  <c r="O2" i="5815"/>
  <c r="O18" i="5811"/>
  <c r="O18" i="5813"/>
  <c r="O15" i="5813"/>
  <c r="C29" i="5813"/>
  <c r="B26" i="5813"/>
  <c r="B25" i="5813"/>
  <c r="C20" i="5813"/>
  <c r="B17" i="5813"/>
  <c r="H51" i="5813" s="1"/>
  <c r="C16" i="5813"/>
  <c r="C15" i="5813"/>
  <c r="C14" i="5813"/>
  <c r="C13" i="5813"/>
  <c r="O12" i="5813"/>
  <c r="C12" i="5813"/>
  <c r="O11" i="5813"/>
  <c r="C11" i="5813"/>
  <c r="O10" i="5813"/>
  <c r="C10" i="5813"/>
  <c r="C9" i="5813"/>
  <c r="C8" i="5813"/>
  <c r="O7" i="5813"/>
  <c r="C7" i="5813"/>
  <c r="O6" i="5813"/>
  <c r="B6" i="5813"/>
  <c r="O5" i="5813"/>
  <c r="B5" i="5813"/>
  <c r="O4" i="5813"/>
  <c r="O3" i="5813"/>
  <c r="O2" i="5813"/>
  <c r="O22" i="5811"/>
  <c r="O23" i="5811"/>
  <c r="C29" i="5811"/>
  <c r="B26" i="5811"/>
  <c r="B25" i="5811"/>
  <c r="C20" i="5811"/>
  <c r="B17" i="5811"/>
  <c r="H52" i="5811" s="1"/>
  <c r="C16" i="5811"/>
  <c r="C15" i="5811"/>
  <c r="C14" i="5811"/>
  <c r="C13" i="5811"/>
  <c r="O12" i="5811"/>
  <c r="C12" i="5811"/>
  <c r="O11" i="5811"/>
  <c r="C11" i="5811"/>
  <c r="O10" i="5811"/>
  <c r="C10" i="5811"/>
  <c r="C9" i="5811"/>
  <c r="C8" i="5811"/>
  <c r="O7" i="5811"/>
  <c r="C7" i="5811"/>
  <c r="O6" i="5811"/>
  <c r="B6" i="5811"/>
  <c r="O5" i="5811"/>
  <c r="B5" i="5811"/>
  <c r="O4" i="5811"/>
  <c r="O3" i="5811"/>
  <c r="O2" i="5811"/>
  <c r="H6" i="5817" l="1"/>
  <c r="H13" i="5817"/>
  <c r="H25" i="5817"/>
  <c r="H11" i="5817"/>
  <c r="H3" i="5817"/>
  <c r="H5" i="5813"/>
  <c r="H47" i="5817"/>
  <c r="H19" i="5817"/>
  <c r="C17" i="5817"/>
  <c r="H10" i="5817"/>
  <c r="H18" i="5817"/>
  <c r="H2" i="5817"/>
  <c r="H9" i="5817"/>
  <c r="H15" i="5817"/>
  <c r="H39" i="5817"/>
  <c r="H16" i="5817"/>
  <c r="H21" i="5817"/>
  <c r="H40" i="5817"/>
  <c r="H48" i="5817"/>
  <c r="H29" i="5817"/>
  <c r="H31" i="5817"/>
  <c r="H34" i="5817"/>
  <c r="H41" i="5817"/>
  <c r="H49" i="5817"/>
  <c r="H14" i="5817"/>
  <c r="H35" i="5817"/>
  <c r="H42" i="5817"/>
  <c r="H50" i="5817"/>
  <c r="H17" i="5817"/>
  <c r="H20" i="5817"/>
  <c r="H32" i="5817"/>
  <c r="H22" i="5817"/>
  <c r="H43" i="5817"/>
  <c r="H51" i="5817"/>
  <c r="H7" i="5817"/>
  <c r="H24" i="5817"/>
  <c r="H26" i="5817"/>
  <c r="C18" i="5817"/>
  <c r="B23" i="5817"/>
  <c r="H8" i="5817"/>
  <c r="H36" i="5817"/>
  <c r="H44" i="5817"/>
  <c r="H23" i="5817"/>
  <c r="H5" i="5817"/>
  <c r="H12" i="5817"/>
  <c r="H28" i="5817"/>
  <c r="H30" i="5817"/>
  <c r="H33" i="5817"/>
  <c r="H37" i="5817"/>
  <c r="H45" i="5817"/>
  <c r="H4" i="5817"/>
  <c r="H27" i="5817"/>
  <c r="C19" i="5817"/>
  <c r="B24" i="5817"/>
  <c r="H38" i="5817"/>
  <c r="H46" i="5817"/>
  <c r="H25" i="5815"/>
  <c r="H3" i="5815"/>
  <c r="H4" i="5815"/>
  <c r="H26" i="5815"/>
  <c r="C17" i="5815"/>
  <c r="H37" i="5815"/>
  <c r="H2" i="5815"/>
  <c r="H31" i="5815"/>
  <c r="H45" i="5815"/>
  <c r="H12" i="5815"/>
  <c r="H5" i="5815"/>
  <c r="H10" i="5815"/>
  <c r="H6" i="5815"/>
  <c r="H11" i="5815"/>
  <c r="H21" i="5815"/>
  <c r="H24" i="5815"/>
  <c r="H14" i="5815"/>
  <c r="H27" i="5815"/>
  <c r="H39" i="5815"/>
  <c r="H47" i="5815"/>
  <c r="H16" i="5815"/>
  <c r="H20" i="5815"/>
  <c r="H40" i="5815"/>
  <c r="H48" i="5815"/>
  <c r="H32" i="5815"/>
  <c r="H33" i="5815"/>
  <c r="H34" i="5815"/>
  <c r="H41" i="5815"/>
  <c r="H49" i="5815"/>
  <c r="H9" i="5815"/>
  <c r="H22" i="5815"/>
  <c r="H13" i="5815"/>
  <c r="H35" i="5815"/>
  <c r="H42" i="5815"/>
  <c r="H50" i="5815"/>
  <c r="H23" i="5815"/>
  <c r="H18" i="5815"/>
  <c r="H19" i="5815"/>
  <c r="H28" i="5815"/>
  <c r="H43" i="5815"/>
  <c r="H51" i="5815"/>
  <c r="H7" i="5815"/>
  <c r="H29" i="5815"/>
  <c r="H30" i="5815"/>
  <c r="C18" i="5815"/>
  <c r="B23" i="5815"/>
  <c r="H8" i="5815"/>
  <c r="H36" i="5815"/>
  <c r="H44" i="5815"/>
  <c r="H15" i="5815"/>
  <c r="H17" i="5815"/>
  <c r="C19" i="5815"/>
  <c r="B24" i="5815"/>
  <c r="H38" i="5815"/>
  <c r="H46" i="5815"/>
  <c r="H15" i="5811"/>
  <c r="H2" i="5813"/>
  <c r="H19" i="5813"/>
  <c r="H10" i="5813"/>
  <c r="H29" i="5813"/>
  <c r="H3" i="5813"/>
  <c r="H31" i="5813"/>
  <c r="C19" i="5813"/>
  <c r="H36" i="5813"/>
  <c r="H8" i="5813"/>
  <c r="H26" i="5813"/>
  <c r="H6" i="5813"/>
  <c r="H11" i="5813"/>
  <c r="H14" i="5813"/>
  <c r="H37" i="5813"/>
  <c r="H44" i="5813"/>
  <c r="B24" i="5813"/>
  <c r="H45" i="5813"/>
  <c r="H4" i="5813"/>
  <c r="H17" i="5813"/>
  <c r="C17" i="5813"/>
  <c r="H52" i="5813"/>
  <c r="H20" i="5813"/>
  <c r="H16" i="5813"/>
  <c r="H38" i="5813"/>
  <c r="H46" i="5813"/>
  <c r="H24" i="5813"/>
  <c r="H32" i="5813"/>
  <c r="H39" i="5813"/>
  <c r="H47" i="5813"/>
  <c r="H30" i="5813"/>
  <c r="H48" i="5813"/>
  <c r="H18" i="5813"/>
  <c r="H12" i="5813"/>
  <c r="H41" i="5813"/>
  <c r="H25" i="5813"/>
  <c r="H28" i="5813"/>
  <c r="H15" i="5813"/>
  <c r="H34" i="5813"/>
  <c r="H42" i="5813"/>
  <c r="H50" i="5813"/>
  <c r="H27" i="5813"/>
  <c r="H21" i="5813"/>
  <c r="H40" i="5813"/>
  <c r="H7" i="5813"/>
  <c r="H33" i="5813"/>
  <c r="H49" i="5813"/>
  <c r="H9" i="5813"/>
  <c r="H22" i="5813"/>
  <c r="H23" i="5813"/>
  <c r="C18" i="5813"/>
  <c r="B23" i="5813"/>
  <c r="H13" i="5813"/>
  <c r="H35" i="5813"/>
  <c r="H43" i="5813"/>
  <c r="H4" i="5811"/>
  <c r="H21" i="5811"/>
  <c r="H11" i="5811"/>
  <c r="C17" i="5811"/>
  <c r="H41" i="5811"/>
  <c r="H48" i="5811"/>
  <c r="H2" i="5811"/>
  <c r="H23" i="5811"/>
  <c r="C19" i="5811"/>
  <c r="B24" i="5811"/>
  <c r="H10" i="5811"/>
  <c r="H6" i="5811"/>
  <c r="H12" i="5811"/>
  <c r="H22" i="5811"/>
  <c r="H17" i="5811"/>
  <c r="H14" i="5811"/>
  <c r="H19" i="5811"/>
  <c r="H40" i="5811"/>
  <c r="H47" i="5811"/>
  <c r="H35" i="5811"/>
  <c r="H29" i="5811"/>
  <c r="H31" i="5811"/>
  <c r="H32" i="5811"/>
  <c r="H49" i="5811"/>
  <c r="H3" i="5811"/>
  <c r="H8" i="5811"/>
  <c r="H20" i="5811"/>
  <c r="H13" i="5811"/>
  <c r="H36" i="5811"/>
  <c r="H42" i="5811"/>
  <c r="H50" i="5811"/>
  <c r="H18" i="5811"/>
  <c r="H51" i="5811"/>
  <c r="H24" i="5811"/>
  <c r="H26" i="5811"/>
  <c r="H27" i="5811"/>
  <c r="H43" i="5811"/>
  <c r="H7" i="5811"/>
  <c r="H28" i="5811"/>
  <c r="H33" i="5811"/>
  <c r="C18" i="5811"/>
  <c r="B23" i="5811"/>
  <c r="H9" i="5811"/>
  <c r="H37" i="5811"/>
  <c r="H44" i="5811"/>
  <c r="H16" i="5811"/>
  <c r="H34" i="5811"/>
  <c r="H25" i="5811"/>
  <c r="H30" i="5811"/>
  <c r="H38" i="5811"/>
  <c r="H45" i="5811"/>
  <c r="H5" i="5811"/>
  <c r="H39" i="5811"/>
  <c r="H46" i="5811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<sst xmlns="http://schemas.openxmlformats.org/spreadsheetml/2006/main" count="2774" uniqueCount="228">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</sst>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全体!$K$2:$K$389</c:f>
              <c:numCache>
                <c:formatCode>General</c:formatCode>
                <c:ptCount val="3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</c:numCache>
            </c:numRef>
          </c:xVal>
          <c:yVal>
            <c:numRef>
              <c:f>全体!$L$2:$L$389</c:f>
              <c:numCache>
                <c:formatCode>\+0.0;\-0.0;\±0</c:formatCode>
                <c:ptCount val="388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79-4439-8870-33D5D8ED0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-20.833333333333332</c:v>
                </c:pt>
                <c:pt idx="1">
                  <c:v>5.376344086021505</c:v>
                </c:pt>
                <c:pt idx="2">
                  <c:v>-19.607843137254903</c:v>
                </c:pt>
                <c:pt idx="3">
                  <c:v>17.857142857142858</c:v>
                </c:pt>
                <c:pt idx="4">
                  <c:v>12.578616352201259</c:v>
                </c:pt>
                <c:pt idx="5">
                  <c:v>11.494252873563218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62-4B7B-A386-67229E622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たかの!$L$2:$L$40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C-4E6F-90EC-508BA326E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1797.3684210526317</c:v>
                </c:pt>
                <c:pt idx="1">
                  <c:v>-762.16216216216219</c:v>
                </c:pt>
                <c:pt idx="2">
                  <c:v>-262.85714285714283</c:v>
                </c:pt>
                <c:pt idx="3">
                  <c:v>-2582.8571428571427</c:v>
                </c:pt>
                <c:pt idx="4">
                  <c:v>-1280</c:v>
                </c:pt>
                <c:pt idx="5">
                  <c:v>-2023.3333333333333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8D-4375-B82B-C29F9ED9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だいち!$L$2:$L$79</c:f>
              <c:numCache>
                <c:formatCode>\+0.0;\-0.0;\±0</c:formatCode>
                <c:ptCount val="78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AB-41B4-8A7E-9D77219EC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740.78947368421052</c:v>
                </c:pt>
                <c:pt idx="1">
                  <c:v>-139.72602739726028</c:v>
                </c:pt>
                <c:pt idx="2">
                  <c:v>33.333333333333336</c:v>
                </c:pt>
                <c:pt idx="3">
                  <c:v>-721.53846153846155</c:v>
                </c:pt>
                <c:pt idx="4">
                  <c:v>3000</c:v>
                </c:pt>
                <c:pt idx="5">
                  <c:v>2946.1538461538462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5-4DB8-AC04-91A42DBA4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4A-4936-ABD6-26BA5750A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432.60869565217394</c:v>
                </c:pt>
                <c:pt idx="1">
                  <c:v>-547.82608695652175</c:v>
                </c:pt>
                <c:pt idx="2">
                  <c:v>981.81818181818187</c:v>
                </c:pt>
                <c:pt idx="3">
                  <c:v>-1930.952380952381</c:v>
                </c:pt>
                <c:pt idx="4">
                  <c:v>-3119.5121951219512</c:v>
                </c:pt>
                <c:pt idx="5">
                  <c:v>-2638.8888888888887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2-4780-9D73-2130D3AC6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ただ!$L$2:$L$79</c:f>
              <c:numCache>
                <c:formatCode>\+0.0;\-0.0;\±0</c:formatCode>
                <c:ptCount val="78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AA-4400-89A7-B8AD6D28A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-2159.2105263157896</c:v>
                </c:pt>
                <c:pt idx="1">
                  <c:v>1301.3513513513512</c:v>
                </c:pt>
                <c:pt idx="2">
                  <c:v>584.28571428571433</c:v>
                </c:pt>
                <c:pt idx="3">
                  <c:v>2751.5151515151515</c:v>
                </c:pt>
                <c:pt idx="4">
                  <c:v>473.01587301587301</c:v>
                </c:pt>
                <c:pt idx="5">
                  <c:v>2048.0769230769229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C8-4D06-8CC0-3C80EFE2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れんたろう!$L$2:$L$46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05-4DC1-9422-595056523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2465.909090909091</c:v>
                </c:pt>
                <c:pt idx="1">
                  <c:v>-3007.1428571428573</c:v>
                </c:pt>
                <c:pt idx="2">
                  <c:v>1494.8717948717949</c:v>
                </c:pt>
                <c:pt idx="3">
                  <c:v>3656.7567567567567</c:v>
                </c:pt>
                <c:pt idx="4">
                  <c:v>-3011.7647058823532</c:v>
                </c:pt>
                <c:pt idx="5">
                  <c:v>34.615384615384613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A5-41FB-A751-8532F73ED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まっつん!$L$2:$L$55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59-4AE7-AC9C-D933498EA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877.35849056603774</c:v>
                </c:pt>
                <c:pt idx="1">
                  <c:v>1602</c:v>
                </c:pt>
                <c:pt idx="2">
                  <c:v>-1800</c:v>
                </c:pt>
                <c:pt idx="3">
                  <c:v>539.53488372093022</c:v>
                </c:pt>
                <c:pt idx="4">
                  <c:v>-23.684210526315791</c:v>
                </c:pt>
                <c:pt idx="5">
                  <c:v>-940.625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F-432F-BD9A-B08E9588A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のり!$L$2:$L$30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24-4A75-AC04-6D4019E2B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-3196.4285714285716</c:v>
                </c:pt>
                <c:pt idx="1">
                  <c:v>275</c:v>
                </c:pt>
                <c:pt idx="2">
                  <c:v>-714.28571428571433</c:v>
                </c:pt>
                <c:pt idx="3">
                  <c:v>-3414.8148148148148</c:v>
                </c:pt>
                <c:pt idx="4">
                  <c:v>-1742.3076923076924</c:v>
                </c:pt>
                <c:pt idx="5">
                  <c:v>-3476.1904761904761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C-41BE-ADAB-D67A815FD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4E-49F3-AD06-13ED6259B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-1321.4285714285713</c:v>
                </c:pt>
                <c:pt idx="1">
                  <c:v>800</c:v>
                </c:pt>
                <c:pt idx="2">
                  <c:v>385.71428571428572</c:v>
                </c:pt>
                <c:pt idx="3">
                  <c:v>-1492.3076923076924</c:v>
                </c:pt>
                <c:pt idx="4">
                  <c:v>6215.3846153846152</c:v>
                </c:pt>
                <c:pt idx="5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08-4A06-8ADB-F9C84B08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41-4307-B37D-8E50C2A12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37-4868-BB73-D277C5370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3A-4C52-B42E-15E47B189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8C-4B40-8AEC-110CCD27F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のり2!$B$3:$B$31</c:f>
              <c:numCache>
                <c:formatCode>\+0.0;\-0.0;\±0</c:formatCode>
                <c:ptCount val="29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のり2!$C$3:$C$31</c:f>
              <c:numCache>
                <c:formatCode>\+0.0;\-0.0;\±0</c:formatCode>
                <c:ptCount val="29"/>
                <c:pt idx="1">
                  <c:v>-12</c:v>
                </c:pt>
                <c:pt idx="2">
                  <c:v>-20.3</c:v>
                </c:pt>
                <c:pt idx="3">
                  <c:v>-11.200000000000001</c:v>
                </c:pt>
                <c:pt idx="4">
                  <c:v>-20.125</c:v>
                </c:pt>
                <c:pt idx="5">
                  <c:v>-24.86</c:v>
                </c:pt>
                <c:pt idx="6">
                  <c:v>-26.599999999999998</c:v>
                </c:pt>
                <c:pt idx="7">
                  <c:v>-14.214285714285714</c:v>
                </c:pt>
                <c:pt idx="8">
                  <c:v>-19.074999999999999</c:v>
                </c:pt>
                <c:pt idx="9">
                  <c:v>-16.733333333333334</c:v>
                </c:pt>
                <c:pt idx="10">
                  <c:v>-15.11</c:v>
                </c:pt>
                <c:pt idx="11">
                  <c:v>-15.909090909090908</c:v>
                </c:pt>
                <c:pt idx="12">
                  <c:v>-14.741666666666667</c:v>
                </c:pt>
                <c:pt idx="13">
                  <c:v>-16.738461538461539</c:v>
                </c:pt>
                <c:pt idx="14">
                  <c:v>-19.064285714285717</c:v>
                </c:pt>
                <c:pt idx="15">
                  <c:v>-18.166666666666671</c:v>
                </c:pt>
                <c:pt idx="16">
                  <c:v>-20.018750000000004</c:v>
                </c:pt>
                <c:pt idx="17">
                  <c:v>-20.74117647058824</c:v>
                </c:pt>
                <c:pt idx="18">
                  <c:v>-19.750000000000004</c:v>
                </c:pt>
                <c:pt idx="19">
                  <c:v>-21.084210526315793</c:v>
                </c:pt>
                <c:pt idx="20">
                  <c:v>-21.405000000000005</c:v>
                </c:pt>
                <c:pt idx="21">
                  <c:v>-20.176190476190481</c:v>
                </c:pt>
                <c:pt idx="22">
                  <c:v>-21.13636363636364</c:v>
                </c:pt>
                <c:pt idx="23">
                  <c:v>-19.569565217391311</c:v>
                </c:pt>
                <c:pt idx="24">
                  <c:v>-19.754166666666674</c:v>
                </c:pt>
                <c:pt idx="25">
                  <c:v>-19.532000000000004</c:v>
                </c:pt>
                <c:pt idx="26">
                  <c:v>-16.892307692307696</c:v>
                </c:pt>
                <c:pt idx="27">
                  <c:v>-15.511111111111116</c:v>
                </c:pt>
                <c:pt idx="28">
                  <c:v>-15.975000000000005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836027740982171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のり2!$D$3:$D$31</c:f>
              <c:numCache>
                <c:formatCode>0.00\ "位"</c:formatCode>
                <c:ptCount val="29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2.4285714285714284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2.5</c:v>
                </c:pt>
                <c:pt idx="15">
                  <c:v>2.4666666666666668</c:v>
                </c:pt>
                <c:pt idx="16">
                  <c:v>2.5</c:v>
                </c:pt>
                <c:pt idx="17">
                  <c:v>2.5294117647058822</c:v>
                </c:pt>
                <c:pt idx="18">
                  <c:v>2.5</c:v>
                </c:pt>
                <c:pt idx="19">
                  <c:v>2.5263157894736841</c:v>
                </c:pt>
                <c:pt idx="20">
                  <c:v>2.5499999999999998</c:v>
                </c:pt>
                <c:pt idx="21">
                  <c:v>2.5238095238095237</c:v>
                </c:pt>
                <c:pt idx="22">
                  <c:v>2.5454545454545454</c:v>
                </c:pt>
                <c:pt idx="23">
                  <c:v>2.5217391304347827</c:v>
                </c:pt>
                <c:pt idx="24">
                  <c:v>2.5416666666666665</c:v>
                </c:pt>
                <c:pt idx="25">
                  <c:v>2.56</c:v>
                </c:pt>
                <c:pt idx="26">
                  <c:v>2.5</c:v>
                </c:pt>
                <c:pt idx="27">
                  <c:v>2.4444444444444446</c:v>
                </c:pt>
                <c:pt idx="28">
                  <c:v>2.4642857142857144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のり2!$E$3:$E$31</c:f>
              <c:numCache>
                <c:formatCode>0.0%</c:formatCode>
                <c:ptCount val="2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7.6923076923076927E-2</c:v>
                </c:pt>
                <c:pt idx="27">
                  <c:v>0.1111111111111111</c:v>
                </c:pt>
                <c:pt idx="28">
                  <c:v>0.10714285714285714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のり2!$F$3:$F$31</c:f>
              <c:numCache>
                <c:formatCode>0.0%</c:formatCode>
                <c:ptCount val="29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0.5714285714285714</c:v>
                </c:pt>
                <c:pt idx="15">
                  <c:v>0.53333333333333333</c:v>
                </c:pt>
                <c:pt idx="16">
                  <c:v>0.5625</c:v>
                </c:pt>
                <c:pt idx="17">
                  <c:v>0.58823529411764708</c:v>
                </c:pt>
                <c:pt idx="18">
                  <c:v>0.55555555555555558</c:v>
                </c:pt>
                <c:pt idx="19">
                  <c:v>0.57894736842105265</c:v>
                </c:pt>
                <c:pt idx="20">
                  <c:v>0.6</c:v>
                </c:pt>
                <c:pt idx="21">
                  <c:v>0.5714285714285714</c:v>
                </c:pt>
                <c:pt idx="22">
                  <c:v>0.59090909090909094</c:v>
                </c:pt>
                <c:pt idx="23">
                  <c:v>0.56521739130434778</c:v>
                </c:pt>
                <c:pt idx="24">
                  <c:v>0.58333333333333337</c:v>
                </c:pt>
                <c:pt idx="25">
                  <c:v>0.6</c:v>
                </c:pt>
                <c:pt idx="26">
                  <c:v>0.57692307692307687</c:v>
                </c:pt>
                <c:pt idx="27">
                  <c:v>0.55555555555555558</c:v>
                </c:pt>
                <c:pt idx="28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のり2!$G$3:$G$31</c:f>
              <c:numCache>
                <c:formatCode>0.0%</c:formatCode>
                <c:ptCount val="29"/>
                <c:pt idx="1">
                  <c:v>0.33333333333333331</c:v>
                </c:pt>
                <c:pt idx="2">
                  <c:v>0.25</c:v>
                </c:pt>
                <c:pt idx="3">
                  <c:v>0.23076923076923078</c:v>
                </c:pt>
                <c:pt idx="4">
                  <c:v>0.1891891891891892</c:v>
                </c:pt>
                <c:pt idx="5">
                  <c:v>0.14893617021276595</c:v>
                </c:pt>
                <c:pt idx="6">
                  <c:v>0.12727272727272726</c:v>
                </c:pt>
                <c:pt idx="7">
                  <c:v>0.19047619047619047</c:v>
                </c:pt>
                <c:pt idx="8">
                  <c:v>0.20289855072463769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0.23711340206185566</c:v>
                </c:pt>
                <c:pt idx="13">
                  <c:v>0.22857142857142856</c:v>
                </c:pt>
                <c:pt idx="14">
                  <c:v>0.22413793103448276</c:v>
                </c:pt>
                <c:pt idx="15">
                  <c:v>0.22131147540983606</c:v>
                </c:pt>
                <c:pt idx="16">
                  <c:v>0.21875</c:v>
                </c:pt>
                <c:pt idx="17">
                  <c:v>0.22058823529411764</c:v>
                </c:pt>
                <c:pt idx="18">
                  <c:v>0.22377622377622378</c:v>
                </c:pt>
                <c:pt idx="19">
                  <c:v>0.2119205298013245</c:v>
                </c:pt>
                <c:pt idx="20">
                  <c:v>0.20382165605095542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0.21311475409836064</c:v>
                </c:pt>
                <c:pt idx="24">
                  <c:v>0.21052631578947367</c:v>
                </c:pt>
                <c:pt idx="25">
                  <c:v>0.21717171717171718</c:v>
                </c:pt>
                <c:pt idx="26">
                  <c:v>0.23076923076923078</c:v>
                </c:pt>
                <c:pt idx="27">
                  <c:v>0.23255813953488372</c:v>
                </c:pt>
                <c:pt idx="28">
                  <c:v>0.22869955156950672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86376274328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のり2!$H$3:$H$31</c:f>
              <c:numCache>
                <c:formatCode>0.0%</c:formatCode>
                <c:ptCount val="29"/>
                <c:pt idx="1">
                  <c:v>0.33333333333333331</c:v>
                </c:pt>
                <c:pt idx="2">
                  <c:v>0.25</c:v>
                </c:pt>
                <c:pt idx="3">
                  <c:v>0.19230769230769232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0.23636363636363636</c:v>
                </c:pt>
                <c:pt idx="7">
                  <c:v>0.23809523809523808</c:v>
                </c:pt>
                <c:pt idx="8">
                  <c:v>0.24637681159420291</c:v>
                </c:pt>
                <c:pt idx="9">
                  <c:v>0.25333333333333335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0.21649484536082475</c:v>
                </c:pt>
                <c:pt idx="13">
                  <c:v>0.21904761904761905</c:v>
                </c:pt>
                <c:pt idx="14">
                  <c:v>0.21551724137931033</c:v>
                </c:pt>
                <c:pt idx="15">
                  <c:v>0.20491803278688525</c:v>
                </c:pt>
                <c:pt idx="16">
                  <c:v>0.21875</c:v>
                </c:pt>
                <c:pt idx="17">
                  <c:v>0.22794117647058823</c:v>
                </c:pt>
                <c:pt idx="18">
                  <c:v>0.21678321678321677</c:v>
                </c:pt>
                <c:pt idx="19">
                  <c:v>0.2251655629139073</c:v>
                </c:pt>
                <c:pt idx="20">
                  <c:v>0.21656050955414013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0.19696969696969696</c:v>
                </c:pt>
                <c:pt idx="26">
                  <c:v>0.1875</c:v>
                </c:pt>
                <c:pt idx="27">
                  <c:v>0.19069767441860466</c:v>
                </c:pt>
                <c:pt idx="28">
                  <c:v>0.19282511210762332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465863453815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のり2!$I$3:$I$31</c:f>
              <c:numCache>
                <c:formatCode>0</c:formatCode>
                <c:ptCount val="29"/>
                <c:pt idx="1">
                  <c:v>8400</c:v>
                </c:pt>
                <c:pt idx="2">
                  <c:v>8300</c:v>
                </c:pt>
                <c:pt idx="3">
                  <c:v>9533.3333333333339</c:v>
                </c:pt>
                <c:pt idx="4">
                  <c:v>9028.5714285714294</c:v>
                </c:pt>
                <c:pt idx="5">
                  <c:v>9028.5714285714294</c:v>
                </c:pt>
                <c:pt idx="6">
                  <c:v>9028.5714285714294</c:v>
                </c:pt>
                <c:pt idx="7">
                  <c:v>10583.333333333334</c:v>
                </c:pt>
                <c:pt idx="8">
                  <c:v>9742.8571428571431</c:v>
                </c:pt>
                <c:pt idx="9">
                  <c:v>9350</c:v>
                </c:pt>
                <c:pt idx="10">
                  <c:v>8273.6842105263149</c:v>
                </c:pt>
                <c:pt idx="11">
                  <c:v>8760</c:v>
                </c:pt>
                <c:pt idx="12">
                  <c:v>8543.4782608695659</c:v>
                </c:pt>
                <c:pt idx="13">
                  <c:v>8354.1666666666661</c:v>
                </c:pt>
                <c:pt idx="14">
                  <c:v>8296.1538461538457</c:v>
                </c:pt>
                <c:pt idx="15">
                  <c:v>8133.333333333333</c:v>
                </c:pt>
                <c:pt idx="16">
                  <c:v>7917.8571428571431</c:v>
                </c:pt>
                <c:pt idx="17">
                  <c:v>7876.666666666667</c:v>
                </c:pt>
                <c:pt idx="18">
                  <c:v>7496.875</c:v>
                </c:pt>
                <c:pt idx="19">
                  <c:v>7496.875</c:v>
                </c:pt>
                <c:pt idx="20">
                  <c:v>7496.875</c:v>
                </c:pt>
                <c:pt idx="21">
                  <c:v>7562.8571428571431</c:v>
                </c:pt>
                <c:pt idx="22">
                  <c:v>7411.1111111111113</c:v>
                </c:pt>
                <c:pt idx="23">
                  <c:v>7551.2820512820517</c:v>
                </c:pt>
                <c:pt idx="24">
                  <c:v>7562.5</c:v>
                </c:pt>
                <c:pt idx="25">
                  <c:v>7330.2325581395353</c:v>
                </c:pt>
                <c:pt idx="26">
                  <c:v>7606.25</c:v>
                </c:pt>
                <c:pt idx="27">
                  <c:v>8022</c:v>
                </c:pt>
                <c:pt idx="28">
                  <c:v>8100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04.64135021096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のり2!$J$3:$J$31</c:f>
              <c:numCache>
                <c:formatCode>0</c:formatCode>
                <c:ptCount val="29"/>
                <c:pt idx="1">
                  <c:v>-9233.3333333333339</c:v>
                </c:pt>
                <c:pt idx="2">
                  <c:v>-8925</c:v>
                </c:pt>
                <c:pt idx="3">
                  <c:v>-9540</c:v>
                </c:pt>
                <c:pt idx="4">
                  <c:v>-8566.6666666666661</c:v>
                </c:pt>
                <c:pt idx="5">
                  <c:v>-8827.2727272727279</c:v>
                </c:pt>
                <c:pt idx="6">
                  <c:v>-8069.2307692307695</c:v>
                </c:pt>
                <c:pt idx="7">
                  <c:v>-8040</c:v>
                </c:pt>
                <c:pt idx="8">
                  <c:v>-10035.294117647059</c:v>
                </c:pt>
                <c:pt idx="9">
                  <c:v>-9452.6315789473683</c:v>
                </c:pt>
                <c:pt idx="10">
                  <c:v>-9452.6315789473683</c:v>
                </c:pt>
                <c:pt idx="11">
                  <c:v>-10180</c:v>
                </c:pt>
                <c:pt idx="12">
                  <c:v>-10061.904761904761</c:v>
                </c:pt>
                <c:pt idx="13">
                  <c:v>-9747.826086956522</c:v>
                </c:pt>
                <c:pt idx="14">
                  <c:v>-9804</c:v>
                </c:pt>
                <c:pt idx="15">
                  <c:v>-9804</c:v>
                </c:pt>
                <c:pt idx="16">
                  <c:v>-9821.4285714285706</c:v>
                </c:pt>
                <c:pt idx="17">
                  <c:v>-9593.5483870967746</c:v>
                </c:pt>
                <c:pt idx="18">
                  <c:v>-9593.5483870967746</c:v>
                </c:pt>
                <c:pt idx="19">
                  <c:v>-9173.5294117647063</c:v>
                </c:pt>
                <c:pt idx="20">
                  <c:v>-9173.5294117647063</c:v>
                </c:pt>
                <c:pt idx="21">
                  <c:v>-8968.5714285714294</c:v>
                </c:pt>
                <c:pt idx="22">
                  <c:v>-9052.7777777777774</c:v>
                </c:pt>
                <c:pt idx="23">
                  <c:v>-8781.5789473684217</c:v>
                </c:pt>
                <c:pt idx="24">
                  <c:v>-8781.5789473684217</c:v>
                </c:pt>
                <c:pt idx="25">
                  <c:v>-8656.4102564102559</c:v>
                </c:pt>
                <c:pt idx="26">
                  <c:v>-8656.4102564102559</c:v>
                </c:pt>
                <c:pt idx="27">
                  <c:v>-8590.2439024390242</c:v>
                </c:pt>
                <c:pt idx="28">
                  <c:v>-8318.6046511627901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15.75984990619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のり2!$K$3:$K$31</c:f>
              <c:numCache>
                <c:formatCode>0.0%</c:formatCode>
                <c:ptCount val="2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043927648578811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のり2!$L$3:$L$31</c:f>
              <c:numCache>
                <c:formatCode>0.0%</c:formatCode>
                <c:ptCount val="2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043927648578811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のり2!$M$3:$M$31</c:f>
              <c:numCache>
                <c:formatCode>0.0%</c:formatCode>
                <c:ptCount val="29"/>
                <c:pt idx="1">
                  <c:v>0.44444444444444442</c:v>
                </c:pt>
                <c:pt idx="2">
                  <c:v>0.3125</c:v>
                </c:pt>
                <c:pt idx="3">
                  <c:v>0.34615384615384615</c:v>
                </c:pt>
                <c:pt idx="4">
                  <c:v>0.27027027027027029</c:v>
                </c:pt>
                <c:pt idx="5">
                  <c:v>0.27659574468085107</c:v>
                </c:pt>
                <c:pt idx="6">
                  <c:v>0.25454545454545452</c:v>
                </c:pt>
                <c:pt idx="7">
                  <c:v>0.26984126984126983</c:v>
                </c:pt>
                <c:pt idx="8">
                  <c:v>0.27536231884057971</c:v>
                </c:pt>
                <c:pt idx="9">
                  <c:v>0.26666666666666666</c:v>
                </c:pt>
                <c:pt idx="10">
                  <c:v>0.25301204819277107</c:v>
                </c:pt>
                <c:pt idx="11">
                  <c:v>0.24444444444444444</c:v>
                </c:pt>
                <c:pt idx="12">
                  <c:v>0.24742268041237114</c:v>
                </c:pt>
                <c:pt idx="13">
                  <c:v>0.24761904761904763</c:v>
                </c:pt>
                <c:pt idx="14">
                  <c:v>0.26724137931034481</c:v>
                </c:pt>
                <c:pt idx="15">
                  <c:v>0.25409836065573771</c:v>
                </c:pt>
                <c:pt idx="16">
                  <c:v>0.2421875</c:v>
                </c:pt>
                <c:pt idx="17">
                  <c:v>0.23529411764705882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0.20238095238095238</c:v>
                </c:pt>
                <c:pt idx="22">
                  <c:v>0.2</c:v>
                </c:pt>
                <c:pt idx="23">
                  <c:v>0.20218579234972678</c:v>
                </c:pt>
                <c:pt idx="24">
                  <c:v>0.19473684210526315</c:v>
                </c:pt>
                <c:pt idx="25">
                  <c:v>0.19696969696969696</c:v>
                </c:pt>
                <c:pt idx="26">
                  <c:v>0.20192307692307693</c:v>
                </c:pt>
                <c:pt idx="27">
                  <c:v>0.2</c:v>
                </c:pt>
                <c:pt idx="28">
                  <c:v>0.19730941704035873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906703738029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のり2!$N$3:$N$31</c:f>
              <c:numCache>
                <c:formatCode>0.0%</c:formatCode>
                <c:ptCount val="29"/>
                <c:pt idx="1">
                  <c:v>0.22222222222222221</c:v>
                </c:pt>
                <c:pt idx="2">
                  <c:v>0.1875</c:v>
                </c:pt>
                <c:pt idx="3">
                  <c:v>0.23076923076923078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</c:v>
                </c:pt>
                <c:pt idx="7">
                  <c:v>0.22222222222222221</c:v>
                </c:pt>
                <c:pt idx="8">
                  <c:v>0.21739130434782608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0.23333333333333334</c:v>
                </c:pt>
                <c:pt idx="12">
                  <c:v>0.22680412371134021</c:v>
                </c:pt>
                <c:pt idx="13">
                  <c:v>0.22857142857142856</c:v>
                </c:pt>
                <c:pt idx="14">
                  <c:v>0.21551724137931033</c:v>
                </c:pt>
                <c:pt idx="15">
                  <c:v>0.22950819672131148</c:v>
                </c:pt>
                <c:pt idx="16">
                  <c:v>0.234375</c:v>
                </c:pt>
                <c:pt idx="17">
                  <c:v>0.22794117647058823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0.20202020202020202</c:v>
                </c:pt>
                <c:pt idx="26">
                  <c:v>0.20192307692307693</c:v>
                </c:pt>
                <c:pt idx="27">
                  <c:v>0.20465116279069767</c:v>
                </c:pt>
                <c:pt idx="28">
                  <c:v>0.21076233183856502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9728143342601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のり2!$O$3:$O$31</c:f>
              <c:numCache>
                <c:formatCode>0.0%</c:formatCode>
                <c:ptCount val="29"/>
                <c:pt idx="1">
                  <c:v>0.5</c:v>
                </c:pt>
                <c:pt idx="2">
                  <c:v>0.6</c:v>
                </c:pt>
                <c:pt idx="3">
                  <c:v>0.55555555555555558</c:v>
                </c:pt>
                <c:pt idx="4">
                  <c:v>0.6</c:v>
                </c:pt>
                <c:pt idx="5">
                  <c:v>0.46153846153846156</c:v>
                </c:pt>
                <c:pt idx="6">
                  <c:v>0.42857142857142855</c:v>
                </c:pt>
                <c:pt idx="7">
                  <c:v>0.47058823529411764</c:v>
                </c:pt>
                <c:pt idx="8">
                  <c:v>0.47368421052631576</c:v>
                </c:pt>
                <c:pt idx="9">
                  <c:v>0.5</c:v>
                </c:pt>
                <c:pt idx="10">
                  <c:v>0.52380952380952384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0.57692307692307687</c:v>
                </c:pt>
                <c:pt idx="14">
                  <c:v>0.5161290322580645</c:v>
                </c:pt>
                <c:pt idx="15">
                  <c:v>0.5161290322580645</c:v>
                </c:pt>
                <c:pt idx="16">
                  <c:v>0.5161290322580645</c:v>
                </c:pt>
                <c:pt idx="17">
                  <c:v>0.53125</c:v>
                </c:pt>
                <c:pt idx="18">
                  <c:v>0.51515151515151514</c:v>
                </c:pt>
                <c:pt idx="19">
                  <c:v>0.51515151515151514</c:v>
                </c:pt>
                <c:pt idx="20">
                  <c:v>0.51515151515151514</c:v>
                </c:pt>
                <c:pt idx="21">
                  <c:v>0.52941176470588236</c:v>
                </c:pt>
                <c:pt idx="22">
                  <c:v>0.51428571428571423</c:v>
                </c:pt>
                <c:pt idx="23">
                  <c:v>0.51351351351351349</c:v>
                </c:pt>
                <c:pt idx="24">
                  <c:v>0.51351351351351349</c:v>
                </c:pt>
                <c:pt idx="25">
                  <c:v>0.53846153846153844</c:v>
                </c:pt>
                <c:pt idx="26">
                  <c:v>0.5714285714285714</c:v>
                </c:pt>
                <c:pt idx="27">
                  <c:v>0.58139534883720934</c:v>
                </c:pt>
                <c:pt idx="28">
                  <c:v>0.56818181818181823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532663316582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のり2!$P$3:$P$31</c:f>
              <c:numCache>
                <c:formatCode>0.0%</c:formatCode>
                <c:ptCount val="29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0.1111111111111111</c:v>
                </c:pt>
                <c:pt idx="5">
                  <c:v>9.0909090909090912E-2</c:v>
                </c:pt>
                <c:pt idx="6">
                  <c:v>9.0909090909090912E-2</c:v>
                </c:pt>
                <c:pt idx="7">
                  <c:v>0.2857142857142857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0.42105263157894735</c:v>
                </c:pt>
                <c:pt idx="11">
                  <c:v>0.38095238095238093</c:v>
                </c:pt>
                <c:pt idx="12">
                  <c:v>0.36363636363636365</c:v>
                </c:pt>
                <c:pt idx="13">
                  <c:v>0.33333333333333331</c:v>
                </c:pt>
                <c:pt idx="14">
                  <c:v>0.36</c:v>
                </c:pt>
                <c:pt idx="15">
                  <c:v>0.35714285714285715</c:v>
                </c:pt>
                <c:pt idx="16">
                  <c:v>0.33333333333333331</c:v>
                </c:pt>
                <c:pt idx="17">
                  <c:v>0.32258064516129031</c:v>
                </c:pt>
                <c:pt idx="18">
                  <c:v>0.33333333333333331</c:v>
                </c:pt>
                <c:pt idx="19">
                  <c:v>0.33333333333333331</c:v>
                </c:pt>
                <c:pt idx="20">
                  <c:v>0.33333333333333331</c:v>
                </c:pt>
                <c:pt idx="21">
                  <c:v>0.34285714285714286</c:v>
                </c:pt>
                <c:pt idx="22">
                  <c:v>0.3611111111111111</c:v>
                </c:pt>
                <c:pt idx="23">
                  <c:v>0.34210526315789475</c:v>
                </c:pt>
                <c:pt idx="24">
                  <c:v>0.34210526315789475</c:v>
                </c:pt>
                <c:pt idx="25">
                  <c:v>0.35</c:v>
                </c:pt>
                <c:pt idx="26">
                  <c:v>0.35714285714285715</c:v>
                </c:pt>
                <c:pt idx="27">
                  <c:v>0.36363636363636365</c:v>
                </c:pt>
                <c:pt idx="28">
                  <c:v>0.36170212765957449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4639175257731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のり2!$Q$1:$Q$2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のり2!$Q$3:$Q$31</c:f>
              <c:numCache>
                <c:formatCode>0.0%</c:formatCode>
                <c:ptCount val="29"/>
                <c:pt idx="1">
                  <c:v>0.33333333333333331</c:v>
                </c:pt>
                <c:pt idx="2">
                  <c:v>0.5</c:v>
                </c:pt>
                <c:pt idx="3">
                  <c:v>0.5</c:v>
                </c:pt>
                <c:pt idx="4">
                  <c:v>0.5714285714285714</c:v>
                </c:pt>
                <c:pt idx="5">
                  <c:v>0.5714285714285714</c:v>
                </c:pt>
                <c:pt idx="6">
                  <c:v>0.5714285714285714</c:v>
                </c:pt>
                <c:pt idx="7">
                  <c:v>0.5</c:v>
                </c:pt>
                <c:pt idx="8">
                  <c:v>0.5714285714285714</c:v>
                </c:pt>
                <c:pt idx="9">
                  <c:v>0.5625</c:v>
                </c:pt>
                <c:pt idx="10">
                  <c:v>0.52631578947368418</c:v>
                </c:pt>
                <c:pt idx="11">
                  <c:v>0.5</c:v>
                </c:pt>
                <c:pt idx="12">
                  <c:v>0.47826086956521741</c:v>
                </c:pt>
                <c:pt idx="13">
                  <c:v>0.5</c:v>
                </c:pt>
                <c:pt idx="14">
                  <c:v>0.5</c:v>
                </c:pt>
                <c:pt idx="15">
                  <c:v>0.48148148148148145</c:v>
                </c:pt>
                <c:pt idx="16">
                  <c:v>0.5</c:v>
                </c:pt>
                <c:pt idx="17">
                  <c:v>0.46666666666666667</c:v>
                </c:pt>
                <c:pt idx="18">
                  <c:v>0.4375</c:v>
                </c:pt>
                <c:pt idx="19">
                  <c:v>0.4375</c:v>
                </c:pt>
                <c:pt idx="20">
                  <c:v>0.4375</c:v>
                </c:pt>
                <c:pt idx="21">
                  <c:v>0.48571428571428571</c:v>
                </c:pt>
                <c:pt idx="22">
                  <c:v>0.5</c:v>
                </c:pt>
                <c:pt idx="23">
                  <c:v>0.46153846153846156</c:v>
                </c:pt>
                <c:pt idx="24">
                  <c:v>0.45</c:v>
                </c:pt>
                <c:pt idx="25">
                  <c:v>0.44186046511627908</c:v>
                </c:pt>
                <c:pt idx="26">
                  <c:v>0.47916666666666669</c:v>
                </c:pt>
                <c:pt idx="27">
                  <c:v>0.5</c:v>
                </c:pt>
                <c:pt idx="28">
                  <c:v>0.50980392156862742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1434599156118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8"/>
      <c r="C1" s="149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50">
        <v>0</v>
      </c>
      <c r="C2" s="151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2">
        <v>0</v>
      </c>
      <c r="C3" s="153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4">
        <v>0</v>
      </c>
      <c r="C4" s="155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6">
        <f>IF(B$2=0,0,B$4/B$2)</f>
        <v>0</v>
      </c>
      <c r="C5" s="157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6">
        <f>IF(B$2=0,0,(B$7*1+B$8*2+B$9*3)/B$2)</f>
        <v>0</v>
      </c>
      <c r="C6" s="147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4">
        <v>0</v>
      </c>
      <c r="C27" s="145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2">
        <v>-1000000</v>
      </c>
      <c r="C28" s="143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36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43735.624351851853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43735.624351851853</v>
      </c>
      <c r="C3" s="28" t="s">
        <v>128</v>
      </c>
    </row>
    <row r="4" spans="1:12" x14ac:dyDescent="0.4">
      <c r="A4" s="28" t="s">
        <v>180</v>
      </c>
      <c r="B4" s="29">
        <v>43735.624351851853</v>
      </c>
      <c r="C4" s="28" t="s">
        <v>128</v>
      </c>
    </row>
    <row r="5" spans="1:12" x14ac:dyDescent="0.4">
      <c r="A5" s="28" t="s">
        <v>183</v>
      </c>
      <c r="B5" s="29">
        <v>43736.046932870369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43737.059895833336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43739.000706018516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43741.94121527778</v>
      </c>
      <c r="C8" s="28" t="s">
        <v>128</v>
      </c>
    </row>
    <row r="9" spans="1:12" x14ac:dyDescent="0.4">
      <c r="A9" s="28" t="s">
        <v>194</v>
      </c>
      <c r="B9" s="29">
        <v>43739.660624999997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43740.021921296298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43741.94121527778</v>
      </c>
      <c r="C11" s="28" t="s">
        <v>128</v>
      </c>
    </row>
    <row r="12" spans="1:12" x14ac:dyDescent="0.4">
      <c r="A12" s="28" t="s">
        <v>199</v>
      </c>
      <c r="B12" s="29">
        <v>43744.941354166665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43744.941354166665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43743.104375000003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43744.941354166665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43743.786203703705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43745.016377314816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43745.531828703701</v>
      </c>
      <c r="C18" s="28" t="s">
        <v>128</v>
      </c>
    </row>
    <row r="19" spans="1:12" x14ac:dyDescent="0.4">
      <c r="A19" s="28" t="s">
        <v>206</v>
      </c>
      <c r="B19" s="29">
        <v>43748.019456018519</v>
      </c>
      <c r="C19" s="28" t="s">
        <v>128</v>
      </c>
    </row>
    <row r="20" spans="1:12" x14ac:dyDescent="0.4">
      <c r="A20" s="28" t="s">
        <v>207</v>
      </c>
      <c r="B20" s="29">
        <v>43747.02511574074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43747.024814814817</v>
      </c>
      <c r="C21" s="28" t="s">
        <v>128</v>
      </c>
    </row>
    <row r="22" spans="1:12" x14ac:dyDescent="0.4">
      <c r="A22" s="28" t="s">
        <v>209</v>
      </c>
      <c r="B22" s="29">
        <v>43748.018101851849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43748.021782407406</v>
      </c>
      <c r="C23" s="28" t="s">
        <v>128</v>
      </c>
    </row>
    <row r="24" spans="1:12" x14ac:dyDescent="0.4">
      <c r="A24" s="28" t="s">
        <v>211</v>
      </c>
      <c r="B24" s="29">
        <v>43750.503020833334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43753.56559027778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43753.56559027778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43753.56559027778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43762.714826388888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43762.714826388888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43762.714826388888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43762.714826388888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43762.714826388888</v>
      </c>
      <c r="C32" s="28" t="s">
        <v>128</v>
      </c>
      <c r="D32" s="28" t="s">
        <v>129</v>
      </c>
      <c r="E32" s="28" t="s">
        <v>184</v>
      </c>
    </row>
    <row r="33" spans="1:5" x14ac:dyDescent="0.4">
      <c r="A33" s="28" t="s">
        <v>224</v>
      </c>
      <c r="B33" s="29">
        <v>43762.714826388888</v>
      </c>
      <c r="C33" s="28" t="s">
        <v>128</v>
      </c>
      <c r="D33" s="28" t="s">
        <v>129</v>
      </c>
      <c r="E33" s="28" t="s">
        <v>184</v>
      </c>
    </row>
    <row r="34" spans="1:5" x14ac:dyDescent="0.4">
      <c r="A34" s="28" t="s">
        <v>225</v>
      </c>
      <c r="B34" s="29">
        <v>43762.714826388888</v>
      </c>
      <c r="C34" s="28" t="s">
        <v>128</v>
      </c>
      <c r="D34" s="28" t="s">
        <v>129</v>
      </c>
      <c r="E34" s="28" t="s">
        <v>184</v>
      </c>
    </row>
    <row r="35" spans="1:5" x14ac:dyDescent="0.4">
      <c r="A35" s="28" t="s">
        <v>226</v>
      </c>
      <c r="B35" s="29">
        <v>43762.714826388888</v>
      </c>
      <c r="C35" s="28" t="s">
        <v>128</v>
      </c>
      <c r="D35" s="28" t="s">
        <v>129</v>
      </c>
      <c r="E35" s="28" t="s">
        <v>184</v>
      </c>
    </row>
    <row r="36" spans="1:5" x14ac:dyDescent="0.4">
      <c r="A36" s="28" t="s">
        <v>227</v>
      </c>
      <c r="B36" s="29">
        <v>43762.817361111112</v>
      </c>
      <c r="C36" s="28" t="s">
        <v>128</v>
      </c>
      <c r="D36" s="28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387</v>
      </c>
    </row>
    <row r="2" spans="1:2" x14ac:dyDescent="0.4">
      <c r="A2" t="s">
        <v>166</v>
      </c>
      <c r="B2">
        <v>38</v>
      </c>
    </row>
    <row r="3" spans="1:2" x14ac:dyDescent="0.4">
      <c r="A3" t="s">
        <v>126</v>
      </c>
      <c r="B3">
        <v>77</v>
      </c>
    </row>
    <row r="4" spans="1:2" x14ac:dyDescent="0.4">
      <c r="A4" t="s">
        <v>127</v>
      </c>
      <c r="B4">
        <v>77</v>
      </c>
    </row>
    <row r="5" spans="1:2" x14ac:dyDescent="0.4">
      <c r="A5" t="s">
        <v>179</v>
      </c>
      <c r="B5">
        <v>47</v>
      </c>
    </row>
    <row r="6" spans="1:2" x14ac:dyDescent="0.4">
      <c r="A6" t="s">
        <v>177</v>
      </c>
      <c r="B6">
        <v>44</v>
      </c>
    </row>
    <row r="7" spans="1:2" x14ac:dyDescent="0.4">
      <c r="A7" t="s">
        <v>178</v>
      </c>
      <c r="B7">
        <v>53</v>
      </c>
    </row>
    <row r="8" spans="1:2" x14ac:dyDescent="0.4">
      <c r="A8" t="s">
        <v>182</v>
      </c>
      <c r="B8">
        <v>28</v>
      </c>
    </row>
    <row r="9" spans="1:2" x14ac:dyDescent="0.4">
      <c r="A9" t="s">
        <v>181</v>
      </c>
      <c r="B9">
        <v>14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62">
        <v>0.98774716941247764</v>
      </c>
      <c r="G2" s="163"/>
      <c r="H2" s="162">
        <v>0.87986235751504649</v>
      </c>
      <c r="I2" s="163"/>
      <c r="J2" s="162">
        <v>0.96423100528091177</v>
      </c>
      <c r="K2" s="163"/>
      <c r="L2" s="162">
        <v>0.88515923177570432</v>
      </c>
      <c r="M2" s="163"/>
      <c r="N2" s="162">
        <v>0.56491428068980387</v>
      </c>
      <c r="O2" s="163"/>
      <c r="P2" s="162">
        <v>0.30750410625072078</v>
      </c>
      <c r="Q2" s="163"/>
      <c r="R2" s="162">
        <v>0.17918360297249711</v>
      </c>
      <c r="S2" s="163"/>
      <c r="T2" s="162">
        <v>0.23571814773768252</v>
      </c>
      <c r="U2" s="163"/>
      <c r="V2" s="162">
        <v>0.72039344725775323</v>
      </c>
      <c r="W2" s="163"/>
      <c r="X2" s="162">
        <v>0.45573892806565647</v>
      </c>
      <c r="Y2" s="163"/>
      <c r="Z2" s="162">
        <v>0.24678958413040808</v>
      </c>
      <c r="AA2" s="163"/>
      <c r="AB2" s="162">
        <v>0.10976895231906034</v>
      </c>
      <c r="AC2" s="163"/>
      <c r="AD2" s="162">
        <v>0.40289231075264836</v>
      </c>
      <c r="AE2" s="163"/>
      <c r="AF2" s="162">
        <v>-0.31150869396533792</v>
      </c>
      <c r="AG2" s="163"/>
      <c r="AH2" s="162">
        <v>0.44161656418317319</v>
      </c>
      <c r="AI2" s="163"/>
    </row>
    <row r="3" spans="1:35" x14ac:dyDescent="0.4">
      <c r="A3" s="70">
        <v>1</v>
      </c>
      <c r="B3" s="71" t="s">
        <v>126</v>
      </c>
      <c r="C3" s="72">
        <v>546.79999999999984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10155.555555555555</v>
      </c>
      <c r="R3" s="73" t="s">
        <v>181</v>
      </c>
      <c r="S3" s="77">
        <v>-6800</v>
      </c>
      <c r="T3" s="73" t="s">
        <v>166</v>
      </c>
      <c r="U3" s="75">
        <v>0</v>
      </c>
      <c r="V3" s="73" t="s">
        <v>177</v>
      </c>
      <c r="W3" s="75">
        <v>0.18181818181818182</v>
      </c>
      <c r="X3" s="73" t="s">
        <v>177</v>
      </c>
      <c r="Y3" s="76">
        <v>0.30311614730878189</v>
      </c>
      <c r="Z3" s="73" t="s">
        <v>195</v>
      </c>
      <c r="AA3" s="76">
        <v>0.35483870967741937</v>
      </c>
      <c r="AB3" s="73" t="s">
        <v>181</v>
      </c>
      <c r="AC3" s="76">
        <v>0.625</v>
      </c>
      <c r="AD3" s="73" t="s">
        <v>222</v>
      </c>
      <c r="AE3" s="76">
        <v>1</v>
      </c>
      <c r="AF3" s="73" t="s">
        <v>181</v>
      </c>
      <c r="AG3" s="76">
        <v>0.53658536585365857</v>
      </c>
      <c r="AH3" s="73" t="s">
        <v>181</v>
      </c>
      <c r="AI3" s="87">
        <v>95200</v>
      </c>
    </row>
    <row r="4" spans="1:35" x14ac:dyDescent="0.4">
      <c r="A4" s="78">
        <v>2</v>
      </c>
      <c r="B4" s="79" t="s">
        <v>127</v>
      </c>
      <c r="C4" s="80">
        <v>375.59999999999985</v>
      </c>
      <c r="D4" s="81" t="s">
        <v>126</v>
      </c>
      <c r="E4" s="93">
        <v>7.101298701298699</v>
      </c>
      <c r="F4" s="81" t="s">
        <v>126</v>
      </c>
      <c r="G4" s="82">
        <v>1.7922077922077921</v>
      </c>
      <c r="H4" s="81" t="s">
        <v>126</v>
      </c>
      <c r="I4" s="83">
        <v>0.46753246753246752</v>
      </c>
      <c r="J4" s="81" t="s">
        <v>126</v>
      </c>
      <c r="K4" s="83">
        <v>0.25974025974025972</v>
      </c>
      <c r="L4" s="81" t="s">
        <v>126</v>
      </c>
      <c r="M4" s="84">
        <v>0.33601286173633438</v>
      </c>
      <c r="N4" s="81" t="s">
        <v>178</v>
      </c>
      <c r="O4" s="84">
        <v>0.13163972286374134</v>
      </c>
      <c r="P4" s="81" t="s">
        <v>127</v>
      </c>
      <c r="Q4" s="85">
        <v>8763.7681159420281</v>
      </c>
      <c r="R4" s="81" t="s">
        <v>166</v>
      </c>
      <c r="S4" s="85">
        <v>-6845.0980392156862</v>
      </c>
      <c r="T4" s="81" t="s">
        <v>222</v>
      </c>
      <c r="U4" s="83">
        <v>0</v>
      </c>
      <c r="V4" s="81" t="s">
        <v>181</v>
      </c>
      <c r="W4" s="83">
        <v>0.14285714285714285</v>
      </c>
      <c r="X4" s="81" t="s">
        <v>179</v>
      </c>
      <c r="Y4" s="84">
        <v>0.28678304239401498</v>
      </c>
      <c r="Z4" s="81" t="s">
        <v>222</v>
      </c>
      <c r="AA4" s="84">
        <v>0.33333333333333331</v>
      </c>
      <c r="AB4" s="81" t="s">
        <v>126</v>
      </c>
      <c r="AC4" s="84">
        <v>0.61146496815286622</v>
      </c>
      <c r="AD4" s="81" t="s">
        <v>126</v>
      </c>
      <c r="AE4" s="84">
        <v>0.46621621621621623</v>
      </c>
      <c r="AF4" s="81" t="s">
        <v>182</v>
      </c>
      <c r="AG4" s="84">
        <v>0.50980392156862742</v>
      </c>
      <c r="AH4" s="81" t="s">
        <v>143</v>
      </c>
      <c r="AI4" s="88">
        <v>95200</v>
      </c>
    </row>
    <row r="5" spans="1:35" x14ac:dyDescent="0.4">
      <c r="A5" s="78">
        <v>3</v>
      </c>
      <c r="B5" s="79" t="s">
        <v>177</v>
      </c>
      <c r="C5" s="80">
        <v>107.10000000000007</v>
      </c>
      <c r="D5" s="81" t="s">
        <v>127</v>
      </c>
      <c r="E5" s="93">
        <v>4.8779220779220758</v>
      </c>
      <c r="F5" s="81" t="s">
        <v>127</v>
      </c>
      <c r="G5" s="82">
        <v>1.8441558441558441</v>
      </c>
      <c r="H5" s="81" t="s">
        <v>127</v>
      </c>
      <c r="I5" s="83">
        <v>0.42857142857142855</v>
      </c>
      <c r="J5" s="81" t="s">
        <v>178</v>
      </c>
      <c r="K5" s="83">
        <v>0.26415094339622641</v>
      </c>
      <c r="L5" s="81" t="s">
        <v>127</v>
      </c>
      <c r="M5" s="84">
        <v>0.3165137614678899</v>
      </c>
      <c r="N5" s="81" t="s">
        <v>181</v>
      </c>
      <c r="O5" s="84">
        <v>0.13380281690140844</v>
      </c>
      <c r="P5" s="81" t="s">
        <v>178</v>
      </c>
      <c r="Q5" s="85">
        <v>8558.1967213114749</v>
      </c>
      <c r="R5" s="81" t="s">
        <v>179</v>
      </c>
      <c r="S5" s="85">
        <v>-7435.3658536585363</v>
      </c>
      <c r="T5" s="81" t="s">
        <v>126</v>
      </c>
      <c r="U5" s="83">
        <v>3.896103896103896E-2</v>
      </c>
      <c r="V5" s="81" t="s">
        <v>195</v>
      </c>
      <c r="W5" s="83">
        <v>0.14285714285714285</v>
      </c>
      <c r="X5" s="81" t="s">
        <v>181</v>
      </c>
      <c r="Y5" s="84">
        <v>0.28169014084507044</v>
      </c>
      <c r="Z5" s="81" t="s">
        <v>127</v>
      </c>
      <c r="AA5" s="84">
        <v>0.3058103975535168</v>
      </c>
      <c r="AB5" s="81" t="s">
        <v>179</v>
      </c>
      <c r="AC5" s="84">
        <v>0.6</v>
      </c>
      <c r="AD5" s="81" t="s">
        <v>177</v>
      </c>
      <c r="AE5" s="84">
        <v>0.45070422535211269</v>
      </c>
      <c r="AF5" s="81" t="s">
        <v>177</v>
      </c>
      <c r="AG5" s="84">
        <v>0.46464646464646464</v>
      </c>
      <c r="AH5" s="81" t="s">
        <v>127</v>
      </c>
      <c r="AI5" s="88">
        <v>91800</v>
      </c>
    </row>
    <row r="6" spans="1:35" x14ac:dyDescent="0.4">
      <c r="A6" s="78">
        <v>4</v>
      </c>
      <c r="B6" s="79" t="s">
        <v>181</v>
      </c>
      <c r="C6" s="80">
        <v>49.900000000000006</v>
      </c>
      <c r="D6" s="81" t="s">
        <v>181</v>
      </c>
      <c r="E6" s="93">
        <v>3.5642857142857145</v>
      </c>
      <c r="F6" s="81" t="s">
        <v>177</v>
      </c>
      <c r="G6" s="82">
        <v>1.9090909090909092</v>
      </c>
      <c r="H6" s="81" t="s">
        <v>195</v>
      </c>
      <c r="I6" s="83">
        <v>0.42857142857142855</v>
      </c>
      <c r="J6" s="81" t="s">
        <v>127</v>
      </c>
      <c r="K6" s="83">
        <v>0.27272727272727271</v>
      </c>
      <c r="L6" s="81" t="s">
        <v>143</v>
      </c>
      <c r="M6" s="84">
        <v>0.2928637627432808</v>
      </c>
      <c r="N6" s="81" t="s">
        <v>126</v>
      </c>
      <c r="O6" s="84">
        <v>0.13987138263665594</v>
      </c>
      <c r="P6" s="81" t="s">
        <v>143</v>
      </c>
      <c r="Q6" s="85">
        <v>8304.6413502109699</v>
      </c>
      <c r="R6" s="81" t="s">
        <v>126</v>
      </c>
      <c r="S6" s="85">
        <v>-7580.4597701149423</v>
      </c>
      <c r="T6" s="81" t="s">
        <v>179</v>
      </c>
      <c r="U6" s="83">
        <v>4.2553191489361701E-2</v>
      </c>
      <c r="V6" s="81" t="s">
        <v>126</v>
      </c>
      <c r="W6" s="83">
        <v>0.1038961038961039</v>
      </c>
      <c r="X6" s="81" t="s">
        <v>222</v>
      </c>
      <c r="Y6" s="84">
        <v>0.26666666666666666</v>
      </c>
      <c r="Z6" s="81" t="s">
        <v>178</v>
      </c>
      <c r="AA6" s="84">
        <v>0.24942263279445728</v>
      </c>
      <c r="AB6" s="81" t="s">
        <v>178</v>
      </c>
      <c r="AC6" s="84">
        <v>0.5855855855855856</v>
      </c>
      <c r="AD6" s="81" t="s">
        <v>143</v>
      </c>
      <c r="AE6" s="84">
        <v>0.40463917525773196</v>
      </c>
      <c r="AF6" s="81" t="s">
        <v>166</v>
      </c>
      <c r="AG6" s="84">
        <v>0.44047619047619047</v>
      </c>
      <c r="AH6" s="81" t="s">
        <v>166</v>
      </c>
      <c r="AI6" s="88">
        <v>86900</v>
      </c>
    </row>
    <row r="7" spans="1:35" x14ac:dyDescent="0.4">
      <c r="A7" s="78">
        <v>5</v>
      </c>
      <c r="B7" s="79" t="s">
        <v>222</v>
      </c>
      <c r="C7" s="80">
        <v>26.2</v>
      </c>
      <c r="D7" s="81" t="s">
        <v>177</v>
      </c>
      <c r="E7" s="93">
        <v>2.4340909090909104</v>
      </c>
      <c r="F7" s="81" t="s">
        <v>181</v>
      </c>
      <c r="G7" s="82">
        <v>1.9285714285714286</v>
      </c>
      <c r="H7" s="81" t="s">
        <v>177</v>
      </c>
      <c r="I7" s="83">
        <v>0.40909090909090912</v>
      </c>
      <c r="J7" s="81" t="s">
        <v>181</v>
      </c>
      <c r="K7" s="83">
        <v>0.2857142857142857</v>
      </c>
      <c r="L7" s="81" t="s">
        <v>181</v>
      </c>
      <c r="M7" s="84">
        <v>0.28873239436619719</v>
      </c>
      <c r="N7" s="81" t="s">
        <v>166</v>
      </c>
      <c r="O7" s="84">
        <v>0.1536144578313253</v>
      </c>
      <c r="P7" s="81" t="s">
        <v>182</v>
      </c>
      <c r="Q7" s="85">
        <v>8100</v>
      </c>
      <c r="R7" s="81" t="s">
        <v>178</v>
      </c>
      <c r="S7" s="85">
        <v>-7705.2631578947367</v>
      </c>
      <c r="T7" s="81" t="s">
        <v>181</v>
      </c>
      <c r="U7" s="83">
        <v>7.1428571428571425E-2</v>
      </c>
      <c r="V7" s="81" t="s">
        <v>127</v>
      </c>
      <c r="W7" s="83">
        <v>0.1038961038961039</v>
      </c>
      <c r="X7" s="81" t="s">
        <v>178</v>
      </c>
      <c r="Y7" s="84">
        <v>0.25635103926096997</v>
      </c>
      <c r="Z7" s="81" t="s">
        <v>143</v>
      </c>
      <c r="AA7" s="84">
        <v>0.23972814334260117</v>
      </c>
      <c r="AB7" s="81" t="s">
        <v>182</v>
      </c>
      <c r="AC7" s="84">
        <v>0.56818181818181823</v>
      </c>
      <c r="AD7" s="81" t="s">
        <v>179</v>
      </c>
      <c r="AE7" s="84">
        <v>0.4</v>
      </c>
      <c r="AF7" s="81" t="s">
        <v>178</v>
      </c>
      <c r="AG7" s="84">
        <v>0.4344262295081967</v>
      </c>
      <c r="AH7" s="81" t="s">
        <v>178</v>
      </c>
      <c r="AI7" s="88">
        <v>86500</v>
      </c>
    </row>
    <row r="8" spans="1:35" x14ac:dyDescent="0.4">
      <c r="A8" s="78">
        <v>6</v>
      </c>
      <c r="B8" s="79" t="s">
        <v>178</v>
      </c>
      <c r="C8" s="80">
        <v>5.800000000000022</v>
      </c>
      <c r="D8" s="81" t="s">
        <v>178</v>
      </c>
      <c r="E8" s="93">
        <v>0.10943396226415136</v>
      </c>
      <c r="F8" s="81" t="s">
        <v>143</v>
      </c>
      <c r="G8" s="82">
        <v>2</v>
      </c>
      <c r="H8" s="81" t="s">
        <v>181</v>
      </c>
      <c r="I8" s="83">
        <v>0.35714285714285715</v>
      </c>
      <c r="J8" s="81" t="s">
        <v>177</v>
      </c>
      <c r="K8" s="83">
        <v>0.31818181818181818</v>
      </c>
      <c r="L8" s="81" t="s">
        <v>179</v>
      </c>
      <c r="M8" s="84">
        <v>0.28179551122194513</v>
      </c>
      <c r="N8" s="81" t="s">
        <v>143</v>
      </c>
      <c r="O8" s="84">
        <v>0.1646586345381526</v>
      </c>
      <c r="P8" s="81" t="s">
        <v>126</v>
      </c>
      <c r="Q8" s="85">
        <v>7844.4976076555022</v>
      </c>
      <c r="R8" s="81" t="s">
        <v>143</v>
      </c>
      <c r="S8" s="85">
        <v>-7715.7598499061914</v>
      </c>
      <c r="T8" s="81" t="s">
        <v>178</v>
      </c>
      <c r="U8" s="83">
        <v>7.5471698113207544E-2</v>
      </c>
      <c r="V8" s="81" t="s">
        <v>143</v>
      </c>
      <c r="W8" s="83">
        <v>9.0439276485788117E-2</v>
      </c>
      <c r="X8" s="81" t="s">
        <v>126</v>
      </c>
      <c r="Y8" s="84">
        <v>0.25241157556270094</v>
      </c>
      <c r="Z8" s="81" t="s">
        <v>126</v>
      </c>
      <c r="AA8" s="84">
        <v>0.23794212218649519</v>
      </c>
      <c r="AB8" s="81" t="s">
        <v>143</v>
      </c>
      <c r="AC8" s="84">
        <v>0.5653266331658291</v>
      </c>
      <c r="AD8" s="81" t="s">
        <v>127</v>
      </c>
      <c r="AE8" s="84">
        <v>0.39500000000000002</v>
      </c>
      <c r="AF8" s="81" t="s">
        <v>143</v>
      </c>
      <c r="AG8" s="84">
        <v>0.43143459915611815</v>
      </c>
      <c r="AH8" s="81" t="s">
        <v>126</v>
      </c>
      <c r="AI8" s="88">
        <v>86200</v>
      </c>
    </row>
    <row r="9" spans="1:35" x14ac:dyDescent="0.4">
      <c r="A9" s="78">
        <v>7</v>
      </c>
      <c r="B9" s="79" t="s">
        <v>143</v>
      </c>
      <c r="C9" s="80">
        <v>-7.1054273576010019E-15</v>
      </c>
      <c r="D9" s="81" t="s">
        <v>143</v>
      </c>
      <c r="E9" s="93">
        <v>-1.8360277409821711E-17</v>
      </c>
      <c r="F9" s="81" t="s">
        <v>178</v>
      </c>
      <c r="G9" s="82">
        <v>2.0754716981132075</v>
      </c>
      <c r="H9" s="81" t="s">
        <v>143</v>
      </c>
      <c r="I9" s="83">
        <v>0.33333333333333331</v>
      </c>
      <c r="J9" s="81" t="s">
        <v>143</v>
      </c>
      <c r="K9" s="83">
        <v>0.33333333333333331</v>
      </c>
      <c r="L9" s="81" t="s">
        <v>178</v>
      </c>
      <c r="M9" s="84">
        <v>0.28175519630484991</v>
      </c>
      <c r="N9" s="81" t="s">
        <v>177</v>
      </c>
      <c r="O9" s="84">
        <v>0.16713881019830029</v>
      </c>
      <c r="P9" s="81" t="s">
        <v>181</v>
      </c>
      <c r="Q9" s="85">
        <v>7782.9268292682927</v>
      </c>
      <c r="R9" s="81" t="s">
        <v>127</v>
      </c>
      <c r="S9" s="85">
        <v>-7828.688524590164</v>
      </c>
      <c r="T9" s="81" t="s">
        <v>143</v>
      </c>
      <c r="U9" s="83">
        <v>9.0439276485788117E-2</v>
      </c>
      <c r="V9" s="81" t="s">
        <v>178</v>
      </c>
      <c r="W9" s="83">
        <v>7.5471698113207544E-2</v>
      </c>
      <c r="X9" s="81" t="s">
        <v>143</v>
      </c>
      <c r="Y9" s="84">
        <v>0.24590670373802903</v>
      </c>
      <c r="Z9" s="81" t="s">
        <v>166</v>
      </c>
      <c r="AA9" s="84">
        <v>0.23493975903614459</v>
      </c>
      <c r="AB9" s="81" t="s">
        <v>127</v>
      </c>
      <c r="AC9" s="84">
        <v>0.53642384105960261</v>
      </c>
      <c r="AD9" s="81" t="s">
        <v>178</v>
      </c>
      <c r="AE9" s="84">
        <v>0.3888888888888889</v>
      </c>
      <c r="AF9" s="81" t="s">
        <v>179</v>
      </c>
      <c r="AG9" s="84">
        <v>0.4247787610619469</v>
      </c>
      <c r="AH9" s="81" t="s">
        <v>182</v>
      </c>
      <c r="AI9" s="88">
        <v>85100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-5.6078947368421055</v>
      </c>
      <c r="F10" s="81" t="s">
        <v>166</v>
      </c>
      <c r="G10" s="82">
        <v>2.1315789473684212</v>
      </c>
      <c r="H10" s="81" t="s">
        <v>166</v>
      </c>
      <c r="I10" s="83">
        <v>0.28947368421052633</v>
      </c>
      <c r="J10" s="81" t="s">
        <v>166</v>
      </c>
      <c r="K10" s="83">
        <v>0.42105263157894735</v>
      </c>
      <c r="L10" s="81" t="s">
        <v>177</v>
      </c>
      <c r="M10" s="84">
        <v>0.28045325779036828</v>
      </c>
      <c r="N10" s="81" t="s">
        <v>127</v>
      </c>
      <c r="O10" s="84">
        <v>0.18654434250764526</v>
      </c>
      <c r="P10" s="81" t="s">
        <v>179</v>
      </c>
      <c r="Q10" s="85">
        <v>7690.2654867256633</v>
      </c>
      <c r="R10" s="81" t="s">
        <v>222</v>
      </c>
      <c r="S10" s="85">
        <v>-8000</v>
      </c>
      <c r="T10" s="81" t="s">
        <v>177</v>
      </c>
      <c r="U10" s="83">
        <v>0.11363636363636363</v>
      </c>
      <c r="V10" s="81" t="s">
        <v>179</v>
      </c>
      <c r="W10" s="83">
        <v>4.2553191489361701E-2</v>
      </c>
      <c r="X10" s="81" t="s">
        <v>195</v>
      </c>
      <c r="Y10" s="84">
        <v>0.24193548387096775</v>
      </c>
      <c r="Z10" s="81" t="s">
        <v>182</v>
      </c>
      <c r="AA10" s="84">
        <v>0.21076233183856502</v>
      </c>
      <c r="AB10" s="81" t="s">
        <v>195</v>
      </c>
      <c r="AC10" s="84">
        <v>0.53333333333333333</v>
      </c>
      <c r="AD10" s="81" t="s">
        <v>182</v>
      </c>
      <c r="AE10" s="84">
        <v>0.36170212765957449</v>
      </c>
      <c r="AF10" s="81" t="s">
        <v>126</v>
      </c>
      <c r="AG10" s="84">
        <v>0.42105263157894735</v>
      </c>
      <c r="AH10" s="81" t="s">
        <v>177</v>
      </c>
      <c r="AI10" s="88">
        <v>83000</v>
      </c>
    </row>
    <row r="11" spans="1:35" x14ac:dyDescent="0.4">
      <c r="A11" s="78">
        <v>9</v>
      </c>
      <c r="B11" s="79" t="s">
        <v>166</v>
      </c>
      <c r="C11" s="80">
        <v>-213.10000000000002</v>
      </c>
      <c r="D11" s="81" t="s">
        <v>179</v>
      </c>
      <c r="E11" s="93">
        <v>-7.3659574468085092</v>
      </c>
      <c r="F11" s="81" t="s">
        <v>195</v>
      </c>
      <c r="G11" s="82">
        <v>2.1428571428571428</v>
      </c>
      <c r="H11" s="81" t="s">
        <v>179</v>
      </c>
      <c r="I11" s="83">
        <v>0.19148936170212766</v>
      </c>
      <c r="J11" s="81" t="s">
        <v>179</v>
      </c>
      <c r="K11" s="83">
        <v>0.42553191489361702</v>
      </c>
      <c r="L11" s="81" t="s">
        <v>166</v>
      </c>
      <c r="M11" s="84">
        <v>0.25301204819277107</v>
      </c>
      <c r="N11" s="81" t="s">
        <v>182</v>
      </c>
      <c r="O11" s="84">
        <v>0.19282511210762332</v>
      </c>
      <c r="P11" s="81" t="s">
        <v>195</v>
      </c>
      <c r="Q11" s="85">
        <v>7473.333333333333</v>
      </c>
      <c r="R11" s="81" t="s">
        <v>182</v>
      </c>
      <c r="S11" s="85">
        <v>-8318.6046511627901</v>
      </c>
      <c r="T11" s="81" t="s">
        <v>127</v>
      </c>
      <c r="U11" s="83">
        <v>0.14285714285714285</v>
      </c>
      <c r="V11" s="81" t="s">
        <v>182</v>
      </c>
      <c r="W11" s="83">
        <v>3.5714285714285712E-2</v>
      </c>
      <c r="X11" s="81" t="s">
        <v>127</v>
      </c>
      <c r="Y11" s="84">
        <v>0.23088685015290519</v>
      </c>
      <c r="Z11" s="81" t="s">
        <v>177</v>
      </c>
      <c r="AA11" s="84">
        <v>0.20113314447592068</v>
      </c>
      <c r="AB11" s="81" t="s">
        <v>166</v>
      </c>
      <c r="AC11" s="84">
        <v>0.5</v>
      </c>
      <c r="AD11" s="81" t="s">
        <v>166</v>
      </c>
      <c r="AE11" s="84">
        <v>0.34615384615384615</v>
      </c>
      <c r="AF11" s="81" t="s">
        <v>127</v>
      </c>
      <c r="AG11" s="84">
        <v>0.39613526570048307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179</v>
      </c>
      <c r="C12" s="80">
        <v>-346.19999999999993</v>
      </c>
      <c r="D12" s="81" t="s">
        <v>195</v>
      </c>
      <c r="E12" s="93">
        <v>-14.971428571428573</v>
      </c>
      <c r="F12" s="81" t="s">
        <v>179</v>
      </c>
      <c r="G12" s="82">
        <v>2.2340425531914891</v>
      </c>
      <c r="H12" s="81" t="s">
        <v>178</v>
      </c>
      <c r="I12" s="83">
        <v>0.18867924528301888</v>
      </c>
      <c r="J12" s="81" t="s">
        <v>182</v>
      </c>
      <c r="K12" s="83">
        <v>0.5714285714285714</v>
      </c>
      <c r="L12" s="81" t="s">
        <v>195</v>
      </c>
      <c r="M12" s="84">
        <v>0.24193548387096775</v>
      </c>
      <c r="N12" s="81" t="s">
        <v>195</v>
      </c>
      <c r="O12" s="84">
        <v>0.19354838709677419</v>
      </c>
      <c r="P12" s="81" t="s">
        <v>222</v>
      </c>
      <c r="Q12" s="85">
        <v>7385.7142857142853</v>
      </c>
      <c r="R12" s="81" t="s">
        <v>177</v>
      </c>
      <c r="S12" s="85">
        <v>-8408.4745762711864</v>
      </c>
      <c r="T12" s="81" t="s">
        <v>182</v>
      </c>
      <c r="U12" s="83">
        <v>0.17857142857142858</v>
      </c>
      <c r="V12" s="81" t="s">
        <v>166</v>
      </c>
      <c r="W12" s="83">
        <v>2.6315789473684209E-2</v>
      </c>
      <c r="X12" s="81" t="s">
        <v>182</v>
      </c>
      <c r="Y12" s="84">
        <v>0.19730941704035873</v>
      </c>
      <c r="Z12" s="81" t="s">
        <v>179</v>
      </c>
      <c r="AA12" s="84">
        <v>0.18703241895261846</v>
      </c>
      <c r="AB12" s="81" t="s">
        <v>222</v>
      </c>
      <c r="AC12" s="84">
        <v>0.5</v>
      </c>
      <c r="AD12" s="81" t="s">
        <v>181</v>
      </c>
      <c r="AE12" s="84">
        <v>0.31818181818181818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-447.30000000000013</v>
      </c>
      <c r="D13" s="81" t="s">
        <v>182</v>
      </c>
      <c r="E13" s="93">
        <v>-15.975000000000005</v>
      </c>
      <c r="F13" s="81" t="s">
        <v>182</v>
      </c>
      <c r="G13" s="82">
        <v>2.4642857142857144</v>
      </c>
      <c r="H13" s="81" t="s">
        <v>182</v>
      </c>
      <c r="I13" s="83">
        <v>0.10714285714285714</v>
      </c>
      <c r="J13" s="81" t="s">
        <v>195</v>
      </c>
      <c r="K13" s="83">
        <v>0.5714285714285714</v>
      </c>
      <c r="L13" s="81" t="s">
        <v>182</v>
      </c>
      <c r="M13" s="84">
        <v>0.22869955156950672</v>
      </c>
      <c r="N13" s="81" t="s">
        <v>179</v>
      </c>
      <c r="O13" s="84">
        <v>0.20448877805486285</v>
      </c>
      <c r="P13" s="81" t="s">
        <v>166</v>
      </c>
      <c r="Q13" s="85">
        <v>7198.8095238095239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0.15662650602409639</v>
      </c>
      <c r="Z13" s="81" t="s">
        <v>181</v>
      </c>
      <c r="AA13" s="84">
        <v>0.15492957746478872</v>
      </c>
      <c r="AB13" s="81" t="s">
        <v>177</v>
      </c>
      <c r="AC13" s="84">
        <v>0.49532710280373832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73FFE-34BE-41FE-825D-20D545555E94}">
  <sheetPr codeName="Sheet4"/>
  <dimension ref="A1:Q38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143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387</v>
      </c>
      <c r="C2" s="151"/>
      <c r="E2" s="58" t="s">
        <v>66</v>
      </c>
      <c r="F2" s="55" t="s">
        <v>22</v>
      </c>
      <c r="G2" s="43">
        <v>737</v>
      </c>
      <c r="H2" s="128">
        <f>IF(B$17=0,0,G2/B$17)</f>
        <v>0.77742616033755274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-20.833333333333332</v>
      </c>
      <c r="P2" s="114">
        <v>384</v>
      </c>
      <c r="Q2" s="98">
        <v>-8000</v>
      </c>
    </row>
    <row r="3" spans="1:17" x14ac:dyDescent="0.4">
      <c r="A3" s="51" t="s">
        <v>8</v>
      </c>
      <c r="B3" s="152">
        <v>3237</v>
      </c>
      <c r="C3" s="153"/>
      <c r="E3" s="59" t="s">
        <v>72</v>
      </c>
      <c r="F3" s="56" t="s">
        <v>27</v>
      </c>
      <c r="G3" s="44">
        <v>515</v>
      </c>
      <c r="H3" s="129">
        <f>IF(B$17=0,0,G3/B$17)</f>
        <v>0.5432489451476793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5.376344086021505</v>
      </c>
      <c r="P3" s="115">
        <v>372</v>
      </c>
      <c r="Q3" s="99">
        <v>2000</v>
      </c>
    </row>
    <row r="4" spans="1:17" x14ac:dyDescent="0.4">
      <c r="A4" s="51" t="s">
        <v>6</v>
      </c>
      <c r="B4" s="154">
        <v>-7.1054273576010019E-15</v>
      </c>
      <c r="C4" s="155"/>
      <c r="E4" s="59" t="s">
        <v>64</v>
      </c>
      <c r="F4" s="56" t="s">
        <v>20</v>
      </c>
      <c r="G4" s="44">
        <v>433</v>
      </c>
      <c r="H4" s="129">
        <f>IF(B$17=0,0,G4/B$17)</f>
        <v>0.45675105485232065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-19.607843137254903</v>
      </c>
      <c r="P4" s="115">
        <v>357</v>
      </c>
      <c r="Q4" s="99">
        <v>-7000</v>
      </c>
    </row>
    <row r="5" spans="1:17" x14ac:dyDescent="0.4">
      <c r="A5" s="51" t="s">
        <v>7</v>
      </c>
      <c r="B5" s="156">
        <f>IF(B$2=0,0,B$4/B$2)</f>
        <v>-1.8360277409821711E-17</v>
      </c>
      <c r="C5" s="157"/>
      <c r="E5" s="59" t="s">
        <v>171</v>
      </c>
      <c r="F5" s="56" t="s">
        <v>172</v>
      </c>
      <c r="G5" s="44">
        <v>366</v>
      </c>
      <c r="H5" s="129">
        <f>IF(B$17=0,0,G5/B$17)</f>
        <v>0.38607594936708861</v>
      </c>
      <c r="I5" s="90">
        <v>5</v>
      </c>
      <c r="K5" s="36">
        <v>3</v>
      </c>
      <c r="L5" s="95">
        <v>0</v>
      </c>
      <c r="N5" s="111" t="s">
        <v>133</v>
      </c>
      <c r="O5" s="118">
        <f t="shared" si="0"/>
        <v>17.857142857142858</v>
      </c>
      <c r="P5" s="115">
        <v>336</v>
      </c>
      <c r="Q5" s="99">
        <v>6000</v>
      </c>
    </row>
    <row r="6" spans="1:17" x14ac:dyDescent="0.4">
      <c r="A6" s="51" t="s">
        <v>1</v>
      </c>
      <c r="B6" s="146">
        <f>IF(B$2=0,0,(B$7*1+B$8*2+B$9*3)/B$2)</f>
        <v>2</v>
      </c>
      <c r="C6" s="147"/>
      <c r="E6" s="59" t="s">
        <v>68</v>
      </c>
      <c r="F6" s="56" t="s">
        <v>12</v>
      </c>
      <c r="G6" s="44">
        <v>295</v>
      </c>
      <c r="H6" s="129">
        <f>IF(B$17=0,0,G6/B$17)</f>
        <v>0.31118143459915609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12.578616352201259</v>
      </c>
      <c r="P6" s="115">
        <v>318</v>
      </c>
      <c r="Q6" s="99">
        <v>4000</v>
      </c>
    </row>
    <row r="7" spans="1:17" x14ac:dyDescent="0.4">
      <c r="A7" s="51" t="s">
        <v>2</v>
      </c>
      <c r="B7" s="44">
        <v>129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279</v>
      </c>
      <c r="H7" s="129">
        <f>IF(B$17=0,0,G7/B$17)</f>
        <v>0.29430379746835444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11.494252873563218</v>
      </c>
      <c r="P7" s="116">
        <v>261</v>
      </c>
      <c r="Q7" s="100">
        <v>3000</v>
      </c>
    </row>
    <row r="8" spans="1:17" x14ac:dyDescent="0.4">
      <c r="A8" s="51" t="s">
        <v>3</v>
      </c>
      <c r="B8" s="44">
        <v>129</v>
      </c>
      <c r="C8" s="37">
        <f t="shared" si="1"/>
        <v>0.33333333333333331</v>
      </c>
      <c r="E8" s="59" t="s">
        <v>69</v>
      </c>
      <c r="F8" s="56" t="s">
        <v>24</v>
      </c>
      <c r="G8" s="44">
        <v>140</v>
      </c>
      <c r="H8" s="129">
        <f>IF(B$17=0,0,G8/B$17)</f>
        <v>0.14767932489451477</v>
      </c>
      <c r="I8" s="90">
        <v>4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129</v>
      </c>
      <c r="C9" s="38">
        <f t="shared" si="1"/>
        <v>0.33333333333333331</v>
      </c>
      <c r="E9" s="59" t="s">
        <v>89</v>
      </c>
      <c r="F9" s="56" t="s">
        <v>44</v>
      </c>
      <c r="G9" s="44">
        <v>127</v>
      </c>
      <c r="H9" s="129">
        <f>IF(B$17=0,0,G9/B$17)</f>
        <v>0.1339662447257384</v>
      </c>
      <c r="I9" s="90">
        <v>5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35</v>
      </c>
      <c r="C10" s="38">
        <f t="shared" si="1"/>
        <v>9.0439276485788117E-2</v>
      </c>
      <c r="E10" s="59" t="s">
        <v>65</v>
      </c>
      <c r="F10" s="56" t="s">
        <v>21</v>
      </c>
      <c r="G10" s="44">
        <v>90</v>
      </c>
      <c r="H10" s="129">
        <f>IF(B$17=0,0,G10/B$17)</f>
        <v>9.49367088607595E-2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0.82403100775193738</v>
      </c>
      <c r="P10" s="114">
        <v>129</v>
      </c>
      <c r="Q10" s="102">
        <v>106.29999999999993</v>
      </c>
    </row>
    <row r="11" spans="1:17" x14ac:dyDescent="0.4">
      <c r="A11" s="52" t="s">
        <v>138</v>
      </c>
      <c r="B11" s="45">
        <v>35</v>
      </c>
      <c r="C11" s="38">
        <f t="shared" si="1"/>
        <v>9.0439276485788117E-2</v>
      </c>
      <c r="E11" s="59" t="s">
        <v>70</v>
      </c>
      <c r="F11" s="56" t="s">
        <v>25</v>
      </c>
      <c r="G11" s="44">
        <v>88</v>
      </c>
      <c r="H11" s="129">
        <f>IF(B$17=0,0,G11/B$17)</f>
        <v>9.2827004219409287E-2</v>
      </c>
      <c r="I11" s="90">
        <v>5</v>
      </c>
      <c r="K11" s="36">
        <v>9</v>
      </c>
      <c r="L11" s="95">
        <v>0</v>
      </c>
      <c r="N11" s="111" t="s">
        <v>163</v>
      </c>
      <c r="O11" s="121">
        <f>IF(P11=0,0,Q11/P11)</f>
        <v>0.41705426356589176</v>
      </c>
      <c r="P11" s="115">
        <v>129</v>
      </c>
      <c r="Q11" s="103">
        <v>53.80000000000004</v>
      </c>
    </row>
    <row r="12" spans="1:17" x14ac:dyDescent="0.4">
      <c r="A12" s="53" t="s">
        <v>158</v>
      </c>
      <c r="B12" s="46">
        <v>40</v>
      </c>
      <c r="C12" s="40">
        <f t="shared" si="1"/>
        <v>0.10335917312661498</v>
      </c>
      <c r="E12" s="59" t="s">
        <v>71</v>
      </c>
      <c r="F12" s="56" t="s">
        <v>26</v>
      </c>
      <c r="G12" s="44">
        <v>73</v>
      </c>
      <c r="H12" s="129">
        <f>IF(B$17=0,0,G12/B$17)</f>
        <v>7.7004219409282704E-2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-1.2410852713178293</v>
      </c>
      <c r="P12" s="116">
        <v>129</v>
      </c>
      <c r="Q12" s="104">
        <v>-160.1</v>
      </c>
    </row>
    <row r="13" spans="1:17" x14ac:dyDescent="0.4">
      <c r="A13" s="54" t="s">
        <v>121</v>
      </c>
      <c r="B13" s="47">
        <v>796</v>
      </c>
      <c r="C13" s="42">
        <f>IF(B$3=0,0,B13/B$3)</f>
        <v>0.24590670373802903</v>
      </c>
      <c r="E13" s="59" t="s">
        <v>83</v>
      </c>
      <c r="F13" s="56" t="s">
        <v>38</v>
      </c>
      <c r="G13" s="44">
        <v>53</v>
      </c>
      <c r="H13" s="129">
        <f>IF(B$17=0,0,G13/B$17)</f>
        <v>5.5907172995780588E-2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776</v>
      </c>
      <c r="C14" s="37">
        <f>IF(B$3=0,0,B14/B$3)</f>
        <v>0.23972814334260117</v>
      </c>
      <c r="E14" s="59" t="s">
        <v>86</v>
      </c>
      <c r="F14" s="56" t="s">
        <v>41</v>
      </c>
      <c r="G14" s="44">
        <v>43</v>
      </c>
      <c r="H14" s="129">
        <f>IF(B$17=0,0,G14/B$17)</f>
        <v>4.5358649789029537E-2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450</v>
      </c>
      <c r="C15" s="35">
        <f>IF(B$13=0,0,B15/B$13)</f>
        <v>0.5653266331658291</v>
      </c>
      <c r="E15" s="59" t="s">
        <v>78</v>
      </c>
      <c r="F15" s="56" t="s">
        <v>33</v>
      </c>
      <c r="G15" s="44">
        <v>23</v>
      </c>
      <c r="H15" s="129">
        <f>IF(B$17=0,0,G15/B$17)</f>
        <v>2.4261603375527425E-2</v>
      </c>
      <c r="I15" s="90">
        <v>6</v>
      </c>
      <c r="K15" s="36">
        <v>13</v>
      </c>
      <c r="L15" s="95">
        <v>-1.7</v>
      </c>
      <c r="N15" s="110" t="s">
        <v>182</v>
      </c>
      <c r="O15" s="120">
        <f>IF(P15=0,0,Q15/P15)</f>
        <v>23.962499999999988</v>
      </c>
      <c r="P15" s="114">
        <v>56</v>
      </c>
      <c r="Q15" s="102">
        <v>1341.8999999999994</v>
      </c>
    </row>
    <row r="16" spans="1:17" x14ac:dyDescent="0.4">
      <c r="A16" s="50" t="s">
        <v>124</v>
      </c>
      <c r="B16" s="43">
        <v>314</v>
      </c>
      <c r="C16" s="35">
        <f>IF(B$14=0,0,B16/B$14)</f>
        <v>0.40463917525773196</v>
      </c>
      <c r="E16" s="59" t="s">
        <v>167</v>
      </c>
      <c r="F16" s="56" t="s">
        <v>168</v>
      </c>
      <c r="G16" s="44">
        <v>19</v>
      </c>
      <c r="H16" s="129">
        <f>IF(B$17=0,0,G16/B$17)</f>
        <v>2.0042194092827006E-2</v>
      </c>
      <c r="I16" s="90">
        <v>5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948</v>
      </c>
      <c r="C17" s="35">
        <f>IF(B$3=0,0,B17/B$3)</f>
        <v>0.2928637627432808</v>
      </c>
      <c r="E17" s="59" t="s">
        <v>81</v>
      </c>
      <c r="F17" s="56" t="s">
        <v>36</v>
      </c>
      <c r="G17" s="44">
        <v>17</v>
      </c>
      <c r="H17" s="129">
        <f>IF(B$17=0,0,G17/B$17)</f>
        <v>1.7932489451476793E-2</v>
      </c>
      <c r="I17" s="90">
        <v>6</v>
      </c>
      <c r="K17" s="36">
        <v>15</v>
      </c>
      <c r="L17" s="95">
        <v>0</v>
      </c>
      <c r="N17" s="111" t="s">
        <v>179</v>
      </c>
      <c r="O17" s="121">
        <f>IF(P17=0,0,Q17/P17)</f>
        <v>11.048936170212773</v>
      </c>
      <c r="P17" s="115">
        <v>94</v>
      </c>
      <c r="Q17" s="103">
        <v>1038.6000000000006</v>
      </c>
    </row>
    <row r="18" spans="1:17" x14ac:dyDescent="0.4">
      <c r="A18" s="51" t="s">
        <v>12</v>
      </c>
      <c r="B18" s="44">
        <v>409</v>
      </c>
      <c r="C18" s="37">
        <f>IF(B$17=0,0,B18/B$17)</f>
        <v>0.43143459915611815</v>
      </c>
      <c r="E18" s="59" t="s">
        <v>79</v>
      </c>
      <c r="F18" s="56" t="s">
        <v>34</v>
      </c>
      <c r="G18" s="44">
        <v>14</v>
      </c>
      <c r="H18" s="129">
        <f>IF(B$17=0,0,G18/B$17)</f>
        <v>1.4767932489451477E-2</v>
      </c>
      <c r="I18" s="90">
        <v>5</v>
      </c>
      <c r="K18" s="36">
        <v>16</v>
      </c>
      <c r="L18" s="95">
        <v>-28.2</v>
      </c>
      <c r="N18" s="111" t="s">
        <v>166</v>
      </c>
      <c r="O18" s="121">
        <f>IF(P18=0,0,Q18/P18)</f>
        <v>8.4118421052631565</v>
      </c>
      <c r="P18" s="115">
        <v>76</v>
      </c>
      <c r="Q18" s="103">
        <v>639.29999999999984</v>
      </c>
    </row>
    <row r="19" spans="1:17" x14ac:dyDescent="0.4">
      <c r="A19" s="51" t="s">
        <v>11</v>
      </c>
      <c r="B19" s="44">
        <v>539</v>
      </c>
      <c r="C19" s="37">
        <f>IF(B$17=0,0,B19/B$17)</f>
        <v>0.56856540084388185</v>
      </c>
      <c r="E19" s="59" t="s">
        <v>91</v>
      </c>
      <c r="F19" s="56" t="s">
        <v>46</v>
      </c>
      <c r="G19" s="44">
        <v>14</v>
      </c>
      <c r="H19" s="129">
        <f>IF(B$17=0,0,G19/B$17)</f>
        <v>1.4767932489451477E-2</v>
      </c>
      <c r="I19" s="90">
        <v>4</v>
      </c>
      <c r="K19" s="36">
        <v>17</v>
      </c>
      <c r="L19" s="95">
        <v>-20.5</v>
      </c>
      <c r="N19" s="111" t="s">
        <v>178</v>
      </c>
      <c r="O19" s="121">
        <f>IF(P19=0,0,Q19/P19)</f>
        <v>-0.16415094339622713</v>
      </c>
      <c r="P19" s="115">
        <v>106</v>
      </c>
      <c r="Q19" s="103">
        <v>-17.400000000000077</v>
      </c>
    </row>
    <row r="20" spans="1:17" x14ac:dyDescent="0.4">
      <c r="A20" s="51" t="s">
        <v>13</v>
      </c>
      <c r="B20" s="44">
        <v>533</v>
      </c>
      <c r="C20" s="37">
        <f>IF(B$3=0,0,B20/B$3)</f>
        <v>0.1646586345381526</v>
      </c>
      <c r="E20" s="59" t="s">
        <v>75</v>
      </c>
      <c r="F20" s="56" t="s">
        <v>30</v>
      </c>
      <c r="G20" s="44">
        <v>6</v>
      </c>
      <c r="H20" s="129">
        <f>IF(B$17=0,0,G20/B$17)</f>
        <v>6.3291139240506328E-3</v>
      </c>
      <c r="I20" s="90">
        <v>5</v>
      </c>
      <c r="K20" s="36">
        <v>18</v>
      </c>
      <c r="L20" s="95">
        <v>0</v>
      </c>
      <c r="N20" s="111" t="s">
        <v>177</v>
      </c>
      <c r="O20" s="121">
        <f>IF(P20=0,0,Q20/P20)</f>
        <v>-3.6511363636363612</v>
      </c>
      <c r="P20" s="115">
        <v>88</v>
      </c>
      <c r="Q20" s="103">
        <v>-321.29999999999978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92</v>
      </c>
      <c r="F21" s="56" t="s">
        <v>47</v>
      </c>
      <c r="G21" s="44">
        <v>6</v>
      </c>
      <c r="H21" s="129">
        <f>IF(B$17=0,0,G21/B$17)</f>
        <v>6.3291139240506328E-3</v>
      </c>
      <c r="I21" s="90">
        <v>3</v>
      </c>
      <c r="K21" s="36">
        <v>19</v>
      </c>
      <c r="L21" s="95">
        <v>-22.4</v>
      </c>
      <c r="N21" s="111" t="s">
        <v>181</v>
      </c>
      <c r="O21" s="121">
        <f>IF(P21=0,0,Q21/P21)</f>
        <v>-5.3464285714285724</v>
      </c>
      <c r="P21" s="115">
        <v>28</v>
      </c>
      <c r="Q21" s="103">
        <v>-149.70000000000002</v>
      </c>
    </row>
    <row r="22" spans="1:17" x14ac:dyDescent="0.4">
      <c r="A22" s="51" t="s">
        <v>170</v>
      </c>
      <c r="B22" s="44">
        <v>31</v>
      </c>
      <c r="C22" s="131">
        <v>11</v>
      </c>
      <c r="E22" s="59" t="s">
        <v>74</v>
      </c>
      <c r="F22" s="56" t="s">
        <v>29</v>
      </c>
      <c r="G22" s="44">
        <v>5</v>
      </c>
      <c r="H22" s="129">
        <f>IF(B$17=0,0,G22/B$17)</f>
        <v>5.2742616033755272E-3</v>
      </c>
      <c r="I22" s="90">
        <v>4</v>
      </c>
      <c r="K22" s="36">
        <v>20</v>
      </c>
      <c r="L22" s="95">
        <v>-61.199999999999996</v>
      </c>
      <c r="N22" s="111" t="s">
        <v>127</v>
      </c>
      <c r="O22" s="121">
        <f>IF(P22=0,0,Q22/P22)</f>
        <v>-7.3168831168831243</v>
      </c>
      <c r="P22" s="115">
        <v>154</v>
      </c>
      <c r="Q22" s="103">
        <v>-1126.8000000000011</v>
      </c>
    </row>
    <row r="23" spans="1:17" x14ac:dyDescent="0.4">
      <c r="A23" s="51" t="s">
        <v>5</v>
      </c>
      <c r="B23" s="48">
        <f>IF(B$17=0,0,C23/B$17)</f>
        <v>8304.6413502109699</v>
      </c>
      <c r="C23" s="39">
        <v>7872800</v>
      </c>
      <c r="E23" s="59" t="s">
        <v>77</v>
      </c>
      <c r="F23" s="56" t="s">
        <v>32</v>
      </c>
      <c r="G23" s="44">
        <v>4</v>
      </c>
      <c r="H23" s="129">
        <f>IF(B$17=0,0,G23/B$17)</f>
        <v>4.2194092827004216E-3</v>
      </c>
      <c r="I23" s="90">
        <v>3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-10.651948051948041</v>
      </c>
      <c r="P23" s="115">
        <v>154</v>
      </c>
      <c r="Q23" s="103">
        <v>-1640.3999999999985</v>
      </c>
    </row>
    <row r="24" spans="1:17" x14ac:dyDescent="0.4">
      <c r="A24" s="52" t="s">
        <v>216</v>
      </c>
      <c r="B24" s="136">
        <f>IF($B$17-B$16=0,0,C24/($B$17-B$16))</f>
        <v>8768.927444794952</v>
      </c>
      <c r="C24" s="137">
        <v>5559500</v>
      </c>
      <c r="E24" s="59" t="s">
        <v>84</v>
      </c>
      <c r="F24" s="56" t="s">
        <v>39</v>
      </c>
      <c r="G24" s="44">
        <v>4</v>
      </c>
      <c r="H24" s="129">
        <f>IF(B$17=0,0,G24/B$17)</f>
        <v>4.2194092827004216E-3</v>
      </c>
      <c r="I24" s="90">
        <v>3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7367.1974522292994</v>
      </c>
      <c r="C25" s="137">
        <v>2313300</v>
      </c>
      <c r="E25" s="59" t="s">
        <v>85</v>
      </c>
      <c r="F25" s="56" t="s">
        <v>40</v>
      </c>
      <c r="G25" s="44">
        <v>4</v>
      </c>
      <c r="H25" s="129">
        <f>IF(B$17=0,0,G25/B$17)</f>
        <v>4.2194092827004216E-3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-7715.7598499061914</v>
      </c>
      <c r="C26" s="137">
        <v>-4112500</v>
      </c>
      <c r="E26" s="59" t="s">
        <v>88</v>
      </c>
      <c r="F26" s="56" t="s">
        <v>43</v>
      </c>
      <c r="G26" s="44">
        <v>4</v>
      </c>
      <c r="H26" s="129">
        <f>IF(B$17=0,0,G26/B$17)</f>
        <v>4.2194092827004216E-3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4">
        <v>8</v>
      </c>
      <c r="C27" s="145"/>
      <c r="E27" s="59" t="s">
        <v>95</v>
      </c>
      <c r="F27" s="56" t="s">
        <v>50</v>
      </c>
      <c r="G27" s="44">
        <v>3</v>
      </c>
      <c r="H27" s="129">
        <f>IF(B$17=0,0,G27/B$17)</f>
        <v>3.1645569620253164E-3</v>
      </c>
      <c r="I27" s="90">
        <v>4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2">
        <v>95200</v>
      </c>
      <c r="C28" s="143"/>
      <c r="E28" s="59" t="s">
        <v>73</v>
      </c>
      <c r="F28" s="56" t="s">
        <v>28</v>
      </c>
      <c r="G28" s="44">
        <v>2</v>
      </c>
      <c r="H28" s="129">
        <f>IF(B$17=0,0,G28/B$17)</f>
        <v>2.1097046413502108E-3</v>
      </c>
      <c r="I28" s="90">
        <v>2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12</v>
      </c>
      <c r="C29" s="40">
        <f>IF(B$3=0,0,B29/B$3)</f>
        <v>3.7071362372567192E-3</v>
      </c>
      <c r="E29" s="59" t="s">
        <v>87</v>
      </c>
      <c r="F29" s="56" t="s">
        <v>42</v>
      </c>
      <c r="G29" s="44">
        <v>2</v>
      </c>
      <c r="H29" s="129">
        <f>IF(B$17=0,0,G29/B$17)</f>
        <v>2.1097046413502108E-3</v>
      </c>
      <c r="I29" s="90">
        <v>3</v>
      </c>
      <c r="K29" s="36">
        <v>27</v>
      </c>
      <c r="L29" s="95">
        <v>6.7723604502134549E-15</v>
      </c>
    </row>
    <row r="30" spans="1:17" x14ac:dyDescent="0.4">
      <c r="E30" s="59" t="s">
        <v>90</v>
      </c>
      <c r="F30" s="56" t="s">
        <v>45</v>
      </c>
      <c r="G30" s="44">
        <v>2</v>
      </c>
      <c r="H30" s="129">
        <f>IF(B$17=0,0,G30/B$17)</f>
        <v>2.1097046413502108E-3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93</v>
      </c>
      <c r="F31" s="56" t="s">
        <v>48</v>
      </c>
      <c r="G31" s="44">
        <v>1</v>
      </c>
      <c r="H31" s="129">
        <f>IF(B$17=0,0,G31/B$17)</f>
        <v>1.0548523206751054E-3</v>
      </c>
      <c r="I31" s="90">
        <v>2</v>
      </c>
      <c r="K31" s="36">
        <v>29</v>
      </c>
      <c r="L31" s="95">
        <v>-2.3999999999999915</v>
      </c>
    </row>
    <row r="32" spans="1:17" x14ac:dyDescent="0.4">
      <c r="E32" s="59" t="s">
        <v>101</v>
      </c>
      <c r="F32" s="56" t="s">
        <v>56</v>
      </c>
      <c r="G32" s="44">
        <v>1</v>
      </c>
      <c r="H32" s="129">
        <f>IF(B$17=0,0,G32/B$17)</f>
        <v>1.0548523206751054E-3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76CA9-F46F-4E29-B03C-6214AF9B1FE5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166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38</v>
      </c>
      <c r="C2" s="151"/>
      <c r="E2" s="58" t="s">
        <v>66</v>
      </c>
      <c r="F2" s="55" t="s">
        <v>22</v>
      </c>
      <c r="G2" s="43">
        <v>54</v>
      </c>
      <c r="H2" s="128">
        <f>IF(B$17=0,0,G2/B$17)</f>
        <v>0.6428571428571429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1797.3684210526317</v>
      </c>
      <c r="P2" s="114">
        <v>38</v>
      </c>
      <c r="Q2" s="98">
        <v>68300</v>
      </c>
    </row>
    <row r="3" spans="1:17" x14ac:dyDescent="0.4">
      <c r="A3" s="51" t="s">
        <v>8</v>
      </c>
      <c r="B3" s="152">
        <v>332</v>
      </c>
      <c r="C3" s="153"/>
      <c r="E3" s="59" t="s">
        <v>72</v>
      </c>
      <c r="F3" s="56" t="s">
        <v>27</v>
      </c>
      <c r="G3" s="44">
        <v>43</v>
      </c>
      <c r="H3" s="129">
        <f>IF(B$17=0,0,G3/B$17)</f>
        <v>0.51190476190476186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-762.16216216216219</v>
      </c>
      <c r="P3" s="115">
        <v>37</v>
      </c>
      <c r="Q3" s="99">
        <v>-28200</v>
      </c>
    </row>
    <row r="4" spans="1:17" x14ac:dyDescent="0.4">
      <c r="A4" s="51" t="s">
        <v>6</v>
      </c>
      <c r="B4" s="154">
        <v>-213.10000000000002</v>
      </c>
      <c r="C4" s="155"/>
      <c r="E4" s="59" t="s">
        <v>171</v>
      </c>
      <c r="F4" s="56" t="s">
        <v>172</v>
      </c>
      <c r="G4" s="44">
        <v>35</v>
      </c>
      <c r="H4" s="129">
        <f>IF(B$17=0,0,G4/B$17)</f>
        <v>0.41666666666666669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-262.85714285714283</v>
      </c>
      <c r="P4" s="115">
        <v>35</v>
      </c>
      <c r="Q4" s="99">
        <v>-9200</v>
      </c>
    </row>
    <row r="5" spans="1:17" x14ac:dyDescent="0.4">
      <c r="A5" s="51" t="s">
        <v>7</v>
      </c>
      <c r="B5" s="156">
        <f>IF(B$2=0,0,B$4/B$2)</f>
        <v>-5.6078947368421055</v>
      </c>
      <c r="C5" s="157"/>
      <c r="E5" s="59" t="s">
        <v>68</v>
      </c>
      <c r="F5" s="56" t="s">
        <v>12</v>
      </c>
      <c r="G5" s="44">
        <v>26</v>
      </c>
      <c r="H5" s="129">
        <f>IF(B$17=0,0,G5/B$17)</f>
        <v>0.30952380952380953</v>
      </c>
      <c r="I5" s="90">
        <v>7</v>
      </c>
      <c r="K5" s="36">
        <v>3</v>
      </c>
      <c r="L5" s="95">
        <v>-8.3000000000000007</v>
      </c>
      <c r="N5" s="111" t="s">
        <v>133</v>
      </c>
      <c r="O5" s="118">
        <f t="shared" si="0"/>
        <v>-2582.8571428571427</v>
      </c>
      <c r="P5" s="115">
        <v>35</v>
      </c>
      <c r="Q5" s="99">
        <v>-90400</v>
      </c>
    </row>
    <row r="6" spans="1:17" x14ac:dyDescent="0.4">
      <c r="A6" s="51" t="s">
        <v>1</v>
      </c>
      <c r="B6" s="146">
        <f>IF(B$2=0,0,(B$7*1+B$8*2+B$9*3)/B$2)</f>
        <v>2.1315789473684212</v>
      </c>
      <c r="C6" s="147"/>
      <c r="E6" s="59" t="s">
        <v>64</v>
      </c>
      <c r="F6" s="56" t="s">
        <v>20</v>
      </c>
      <c r="G6" s="44">
        <v>24</v>
      </c>
      <c r="H6" s="129">
        <f>IF(B$17=0,0,G6/B$17)</f>
        <v>0.2857142857142857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-1280</v>
      </c>
      <c r="P6" s="115">
        <v>35</v>
      </c>
      <c r="Q6" s="99">
        <v>-44800</v>
      </c>
    </row>
    <row r="7" spans="1:17" x14ac:dyDescent="0.4">
      <c r="A7" s="51" t="s">
        <v>2</v>
      </c>
      <c r="B7" s="44">
        <v>11</v>
      </c>
      <c r="C7" s="37">
        <f t="shared" ref="C7:C12" si="1">IF(B$2=0,0,B7/B$2)</f>
        <v>0.28947368421052633</v>
      </c>
      <c r="E7" s="59" t="s">
        <v>69</v>
      </c>
      <c r="F7" s="56" t="s">
        <v>24</v>
      </c>
      <c r="G7" s="44">
        <v>20</v>
      </c>
      <c r="H7" s="129">
        <f>IF(B$17=0,0,G7/B$17)</f>
        <v>0.23809523809523808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-2023.3333333333333</v>
      </c>
      <c r="P7" s="116">
        <v>30</v>
      </c>
      <c r="Q7" s="100">
        <v>-60700</v>
      </c>
    </row>
    <row r="8" spans="1:17" x14ac:dyDescent="0.4">
      <c r="A8" s="51" t="s">
        <v>3</v>
      </c>
      <c r="B8" s="44">
        <v>11</v>
      </c>
      <c r="C8" s="37">
        <f t="shared" si="1"/>
        <v>0.28947368421052633</v>
      </c>
      <c r="E8" s="59" t="s">
        <v>70</v>
      </c>
      <c r="F8" s="56" t="s">
        <v>25</v>
      </c>
      <c r="G8" s="44">
        <v>14</v>
      </c>
      <c r="H8" s="129">
        <f>IF(B$17=0,0,G8/B$17)</f>
        <v>0.16666666666666666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16</v>
      </c>
      <c r="C9" s="38">
        <f t="shared" si="1"/>
        <v>0.42105263157894735</v>
      </c>
      <c r="E9" s="59" t="s">
        <v>67</v>
      </c>
      <c r="F9" s="56" t="s">
        <v>23</v>
      </c>
      <c r="G9" s="44">
        <v>10</v>
      </c>
      <c r="H9" s="129">
        <f>IF(B$17=0,0,G9/B$17)</f>
        <v>0.11904761904761904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65</v>
      </c>
      <c r="F10" s="56" t="s">
        <v>21</v>
      </c>
      <c r="G10" s="44">
        <v>8</v>
      </c>
      <c r="H10" s="129">
        <f>IF(B$17=0,0,G10/B$17)</f>
        <v>9.5238095238095233E-2</v>
      </c>
      <c r="I10" s="90">
        <v>6</v>
      </c>
      <c r="K10" s="36">
        <v>8</v>
      </c>
      <c r="L10" s="95">
        <v>-76.900000000000006</v>
      </c>
      <c r="N10" s="110" t="s">
        <v>162</v>
      </c>
      <c r="O10" s="120">
        <f>IF(P10=0,0,Q10/P10)</f>
        <v>-3.4384615384615382</v>
      </c>
      <c r="P10" s="114">
        <v>13</v>
      </c>
      <c r="Q10" s="102">
        <v>-44.699999999999996</v>
      </c>
    </row>
    <row r="11" spans="1:17" x14ac:dyDescent="0.4">
      <c r="A11" s="52" t="s">
        <v>138</v>
      </c>
      <c r="B11" s="45">
        <v>1</v>
      </c>
      <c r="C11" s="38">
        <f t="shared" si="1"/>
        <v>2.6315789473684209E-2</v>
      </c>
      <c r="E11" s="59" t="s">
        <v>71</v>
      </c>
      <c r="F11" s="56" t="s">
        <v>26</v>
      </c>
      <c r="G11" s="44">
        <v>8</v>
      </c>
      <c r="H11" s="129">
        <f>IF(B$17=0,0,G11/B$17)</f>
        <v>9.5238095238095233E-2</v>
      </c>
      <c r="I11" s="90">
        <v>4</v>
      </c>
      <c r="K11" s="36">
        <v>9</v>
      </c>
      <c r="L11" s="95">
        <v>-59.500000000000007</v>
      </c>
      <c r="N11" s="111" t="s">
        <v>163</v>
      </c>
      <c r="O11" s="121">
        <f>IF(P11=0,0,Q11/P11)</f>
        <v>-11.84</v>
      </c>
      <c r="P11" s="115">
        <v>10</v>
      </c>
      <c r="Q11" s="103">
        <v>-118.39999999999999</v>
      </c>
    </row>
    <row r="12" spans="1:17" x14ac:dyDescent="0.4">
      <c r="A12" s="53" t="s">
        <v>158</v>
      </c>
      <c r="B12" s="46">
        <v>5</v>
      </c>
      <c r="C12" s="40">
        <f t="shared" si="1"/>
        <v>0.13157894736842105</v>
      </c>
      <c r="E12" s="59" t="s">
        <v>83</v>
      </c>
      <c r="F12" s="56" t="s">
        <v>38</v>
      </c>
      <c r="G12" s="44">
        <v>8</v>
      </c>
      <c r="H12" s="129">
        <f>IF(B$17=0,0,G12/B$17)</f>
        <v>9.5238095238095233E-2</v>
      </c>
      <c r="I12" s="90">
        <v>2</v>
      </c>
      <c r="K12" s="36">
        <v>10</v>
      </c>
      <c r="L12" s="95">
        <v>-32.700000000000003</v>
      </c>
      <c r="N12" s="112" t="s">
        <v>164</v>
      </c>
      <c r="O12" s="122">
        <f>IF(P12=0,0,Q12/P12)</f>
        <v>-3.333333333333333</v>
      </c>
      <c r="P12" s="116">
        <v>15</v>
      </c>
      <c r="Q12" s="104">
        <v>-49.999999999999993</v>
      </c>
    </row>
    <row r="13" spans="1:17" x14ac:dyDescent="0.4">
      <c r="A13" s="54" t="s">
        <v>121</v>
      </c>
      <c r="B13" s="47">
        <v>52</v>
      </c>
      <c r="C13" s="42">
        <f>IF(B$3=0,0,B13/B$3)</f>
        <v>0.15662650602409639</v>
      </c>
      <c r="E13" s="59" t="s">
        <v>89</v>
      </c>
      <c r="F13" s="56" t="s">
        <v>44</v>
      </c>
      <c r="G13" s="44">
        <v>6</v>
      </c>
      <c r="H13" s="129">
        <f>IF(B$17=0,0,G13/B$17)</f>
        <v>7.1428571428571425E-2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78</v>
      </c>
      <c r="C14" s="37">
        <f>IF(B$3=0,0,B14/B$3)</f>
        <v>0.23493975903614459</v>
      </c>
      <c r="E14" s="59" t="s">
        <v>81</v>
      </c>
      <c r="F14" s="56" t="s">
        <v>36</v>
      </c>
      <c r="G14" s="44">
        <v>4</v>
      </c>
      <c r="H14" s="129">
        <f>IF(B$17=0,0,G14/B$17)</f>
        <v>4.7619047619047616E-2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26</v>
      </c>
      <c r="C15" s="35">
        <f>IF(B$13=0,0,B15/B$13)</f>
        <v>0.5</v>
      </c>
      <c r="E15" s="59" t="s">
        <v>88</v>
      </c>
      <c r="F15" s="56" t="s">
        <v>43</v>
      </c>
      <c r="G15" s="44">
        <v>2</v>
      </c>
      <c r="H15" s="129">
        <f>IF(B$17=0,0,G15/B$17)</f>
        <v>2.3809523809523808E-2</v>
      </c>
      <c r="I15" s="90">
        <v>1</v>
      </c>
      <c r="K15" s="36">
        <v>13</v>
      </c>
      <c r="L15" s="95">
        <v>-66.2</v>
      </c>
      <c r="N15" s="110" t="s">
        <v>126</v>
      </c>
      <c r="O15" s="120">
        <f>IF(P15=0,0,Q15/P15)</f>
        <v>-1.8272727272727274</v>
      </c>
      <c r="P15" s="114">
        <v>22</v>
      </c>
      <c r="Q15" s="102">
        <v>-40.200000000000003</v>
      </c>
    </row>
    <row r="16" spans="1:17" x14ac:dyDescent="0.4">
      <c r="A16" s="50" t="s">
        <v>124</v>
      </c>
      <c r="B16" s="43">
        <v>27</v>
      </c>
      <c r="C16" s="35">
        <f>IF(B$14=0,0,B16/B$14)</f>
        <v>0.34615384615384615</v>
      </c>
      <c r="E16" s="59" t="s">
        <v>91</v>
      </c>
      <c r="F16" s="56" t="s">
        <v>46</v>
      </c>
      <c r="G16" s="44">
        <v>2</v>
      </c>
      <c r="H16" s="129">
        <f>IF(B$17=0,0,G16/B$17)</f>
        <v>2.3809523809523808E-2</v>
      </c>
      <c r="I16" s="90">
        <v>2</v>
      </c>
      <c r="K16" s="36">
        <v>14</v>
      </c>
      <c r="L16" s="95">
        <v>-51.1</v>
      </c>
      <c r="N16" s="111" t="s">
        <v>181</v>
      </c>
      <c r="O16" s="121">
        <f>IF(P16=0,0,Q16/P16)</f>
        <v>-5.04</v>
      </c>
      <c r="P16" s="115">
        <v>5</v>
      </c>
      <c r="Q16" s="103">
        <v>-25.2</v>
      </c>
    </row>
    <row r="17" spans="1:17" x14ac:dyDescent="0.4">
      <c r="A17" s="50" t="s">
        <v>10</v>
      </c>
      <c r="B17" s="43">
        <f>B19+B18</f>
        <v>84</v>
      </c>
      <c r="C17" s="35">
        <f>IF(B$3=0,0,B17/B$3)</f>
        <v>0.25301204819277107</v>
      </c>
      <c r="E17" s="59" t="s">
        <v>74</v>
      </c>
      <c r="F17" s="56" t="s">
        <v>29</v>
      </c>
      <c r="G17" s="44">
        <v>1</v>
      </c>
      <c r="H17" s="129">
        <f>IF(B$17=0,0,G17/B$17)</f>
        <v>1.1904761904761904E-2</v>
      </c>
      <c r="I17" s="90">
        <v>2</v>
      </c>
      <c r="K17" s="36">
        <v>15</v>
      </c>
      <c r="L17" s="95">
        <v>-65.2</v>
      </c>
      <c r="N17" s="111" t="s">
        <v>178</v>
      </c>
      <c r="O17" s="121">
        <f>IF(P17=0,0,Q17/P17)</f>
        <v>-6.26</v>
      </c>
      <c r="P17" s="115">
        <v>10</v>
      </c>
      <c r="Q17" s="103">
        <v>-62.599999999999994</v>
      </c>
    </row>
    <row r="18" spans="1:17" x14ac:dyDescent="0.4">
      <c r="A18" s="51" t="s">
        <v>12</v>
      </c>
      <c r="B18" s="44">
        <v>37</v>
      </c>
      <c r="C18" s="37">
        <f>IF(B$17=0,0,B18/B$17)</f>
        <v>0.44047619047619047</v>
      </c>
      <c r="E18" s="59" t="s">
        <v>75</v>
      </c>
      <c r="F18" s="56" t="s">
        <v>30</v>
      </c>
      <c r="G18" s="44">
        <v>1</v>
      </c>
      <c r="H18" s="129">
        <f>IF(B$17=0,0,G18/B$17)</f>
        <v>1.1904761904761904E-2</v>
      </c>
      <c r="I18" s="90">
        <v>3</v>
      </c>
      <c r="K18" s="36">
        <v>16</v>
      </c>
      <c r="L18" s="95">
        <v>-70.600000000000009</v>
      </c>
      <c r="N18" s="111" t="s">
        <v>127</v>
      </c>
      <c r="O18" s="121">
        <f>IF(P18=0,0,Q18/P18)</f>
        <v>-7.1263157894736846</v>
      </c>
      <c r="P18" s="115">
        <v>19</v>
      </c>
      <c r="Q18" s="103">
        <v>-135.4</v>
      </c>
    </row>
    <row r="19" spans="1:17" x14ac:dyDescent="0.4">
      <c r="A19" s="51" t="s">
        <v>11</v>
      </c>
      <c r="B19" s="44">
        <v>47</v>
      </c>
      <c r="C19" s="37">
        <f>IF(B$17=0,0,B19/B$17)</f>
        <v>0.55952380952380953</v>
      </c>
      <c r="E19" s="59" t="s">
        <v>77</v>
      </c>
      <c r="F19" s="56" t="s">
        <v>32</v>
      </c>
      <c r="G19" s="44">
        <v>1</v>
      </c>
      <c r="H19" s="129">
        <f>IF(B$17=0,0,G19/B$17)</f>
        <v>1.1904761904761904E-2</v>
      </c>
      <c r="I19" s="90">
        <v>2</v>
      </c>
      <c r="K19" s="36">
        <v>17</v>
      </c>
      <c r="L19" s="95">
        <v>-65.2</v>
      </c>
      <c r="N19" s="111" t="s">
        <v>179</v>
      </c>
      <c r="O19" s="121">
        <f>IF(P19=0,0,Q19/P19)</f>
        <v>-10.390909090909092</v>
      </c>
      <c r="P19" s="115">
        <v>11</v>
      </c>
      <c r="Q19" s="103">
        <v>-114.30000000000001</v>
      </c>
    </row>
    <row r="20" spans="1:17" x14ac:dyDescent="0.4">
      <c r="A20" s="51" t="s">
        <v>13</v>
      </c>
      <c r="B20" s="44">
        <v>51</v>
      </c>
      <c r="C20" s="37">
        <f>IF(B$3=0,0,B20/B$3)</f>
        <v>0.1536144578313253</v>
      </c>
      <c r="E20" s="59" t="s">
        <v>86</v>
      </c>
      <c r="F20" s="56" t="s">
        <v>41</v>
      </c>
      <c r="G20" s="44">
        <v>1</v>
      </c>
      <c r="H20" s="129">
        <f>IF(B$17=0,0,G20/B$17)</f>
        <v>1.1904761904761904E-2</v>
      </c>
      <c r="I20" s="90">
        <v>10</v>
      </c>
      <c r="K20" s="36">
        <v>18</v>
      </c>
      <c r="L20" s="95">
        <v>-80.2</v>
      </c>
      <c r="N20" s="111" t="s">
        <v>182</v>
      </c>
      <c r="O20" s="121">
        <f>IF(P20=0,0,Q20/P20)</f>
        <v>-28.449999999999996</v>
      </c>
      <c r="P20" s="115">
        <v>4</v>
      </c>
      <c r="Q20" s="103">
        <v>-113.79999999999998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1.1904761904761904E-2</v>
      </c>
      <c r="I21" s="90">
        <v>1</v>
      </c>
      <c r="K21" s="36">
        <v>19</v>
      </c>
      <c r="L21" s="95">
        <v>-115.1</v>
      </c>
      <c r="N21" s="111" t="s">
        <v>177</v>
      </c>
      <c r="O21" s="121">
        <f>IF(P21=0,0,Q21/P21)</f>
        <v>-29.559999999999995</v>
      </c>
      <c r="P21" s="115">
        <v>5</v>
      </c>
      <c r="Q21" s="103">
        <v>-147.79999999999998</v>
      </c>
    </row>
    <row r="22" spans="1:17" x14ac:dyDescent="0.4">
      <c r="A22" s="51" t="s">
        <v>170</v>
      </c>
      <c r="B22" s="44">
        <v>23</v>
      </c>
      <c r="C22" s="131">
        <v>4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3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7198.8095238095239</v>
      </c>
      <c r="C23" s="39">
        <v>604700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7826.3157894736842</v>
      </c>
      <c r="C24" s="137">
        <v>446100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5874.0740740740739</v>
      </c>
      <c r="C25" s="137">
        <v>158600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-6845.0980392156862</v>
      </c>
      <c r="C26" s="137">
        <v>-349100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4">
        <v>6</v>
      </c>
      <c r="C27" s="145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2">
        <v>86900</v>
      </c>
      <c r="C28" s="143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6.024096385542169E-3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5D87E-AC65-4D36-BDD0-EE37AAB91B0B}">
  <sheetPr codeName="Sheet9"/>
  <dimension ref="A1:Q7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126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77</v>
      </c>
      <c r="C2" s="151"/>
      <c r="E2" s="58" t="s">
        <v>66</v>
      </c>
      <c r="F2" s="55" t="s">
        <v>22</v>
      </c>
      <c r="G2" s="43">
        <v>138</v>
      </c>
      <c r="H2" s="128">
        <f>IF(B$17=0,0,G2/B$17)</f>
        <v>0.66028708133971292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740.78947368421052</v>
      </c>
      <c r="P2" s="114">
        <v>76</v>
      </c>
      <c r="Q2" s="98">
        <v>56300</v>
      </c>
    </row>
    <row r="3" spans="1:17" x14ac:dyDescent="0.4">
      <c r="A3" s="51" t="s">
        <v>8</v>
      </c>
      <c r="B3" s="152">
        <v>622</v>
      </c>
      <c r="C3" s="153"/>
      <c r="E3" s="59" t="s">
        <v>72</v>
      </c>
      <c r="F3" s="56" t="s">
        <v>27</v>
      </c>
      <c r="G3" s="44">
        <v>105</v>
      </c>
      <c r="H3" s="129">
        <f>IF(B$17=0,0,G3/B$17)</f>
        <v>0.50239234449760761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-139.72602739726028</v>
      </c>
      <c r="P3" s="115">
        <v>73</v>
      </c>
      <c r="Q3" s="99">
        <v>-10200</v>
      </c>
    </row>
    <row r="4" spans="1:17" x14ac:dyDescent="0.4">
      <c r="A4" s="51" t="s">
        <v>6</v>
      </c>
      <c r="B4" s="154">
        <v>546.79999999999984</v>
      </c>
      <c r="C4" s="155"/>
      <c r="E4" s="59" t="s">
        <v>64</v>
      </c>
      <c r="F4" s="56" t="s">
        <v>20</v>
      </c>
      <c r="G4" s="44">
        <v>89</v>
      </c>
      <c r="H4" s="129">
        <f>IF(B$17=0,0,G4/B$17)</f>
        <v>0.42583732057416268</v>
      </c>
      <c r="I4" s="90">
        <v>8</v>
      </c>
      <c r="K4" s="36">
        <v>2</v>
      </c>
      <c r="L4" s="95">
        <v>14.400000000000006</v>
      </c>
      <c r="N4" s="111" t="s">
        <v>132</v>
      </c>
      <c r="O4" s="118">
        <f t="shared" si="0"/>
        <v>33.333333333333336</v>
      </c>
      <c r="P4" s="115">
        <v>72</v>
      </c>
      <c r="Q4" s="99">
        <v>2400</v>
      </c>
    </row>
    <row r="5" spans="1:17" x14ac:dyDescent="0.4">
      <c r="A5" s="51" t="s">
        <v>7</v>
      </c>
      <c r="B5" s="156">
        <f>IF(B$2=0,0,B$4/B$2)</f>
        <v>7.101298701298699</v>
      </c>
      <c r="C5" s="157"/>
      <c r="E5" s="59" t="s">
        <v>171</v>
      </c>
      <c r="F5" s="56" t="s">
        <v>172</v>
      </c>
      <c r="G5" s="44">
        <v>72</v>
      </c>
      <c r="H5" s="129">
        <f>IF(B$17=0,0,G5/B$17)</f>
        <v>0.34449760765550241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-721.53846153846155</v>
      </c>
      <c r="P5" s="115">
        <v>65</v>
      </c>
      <c r="Q5" s="99">
        <v>-46900</v>
      </c>
    </row>
    <row r="6" spans="1:17" x14ac:dyDescent="0.4">
      <c r="A6" s="51" t="s">
        <v>1</v>
      </c>
      <c r="B6" s="146">
        <f>IF(B$2=0,0,(B$7*1+B$8*2+B$9*3)/B$2)</f>
        <v>1.7922077922077921</v>
      </c>
      <c r="C6" s="147"/>
      <c r="E6" s="59" t="s">
        <v>68</v>
      </c>
      <c r="F6" s="56" t="s">
        <v>12</v>
      </c>
      <c r="G6" s="44">
        <v>60</v>
      </c>
      <c r="H6" s="129">
        <f>IF(B$17=0,0,G6/B$17)</f>
        <v>0.28708133971291866</v>
      </c>
      <c r="I6" s="90">
        <v>8</v>
      </c>
      <c r="K6" s="36">
        <v>4</v>
      </c>
      <c r="L6" s="95">
        <v>101.60000000000001</v>
      </c>
      <c r="N6" s="111" t="s">
        <v>134</v>
      </c>
      <c r="O6" s="118">
        <f t="shared" si="0"/>
        <v>3000</v>
      </c>
      <c r="P6" s="115">
        <v>63</v>
      </c>
      <c r="Q6" s="99">
        <v>189000</v>
      </c>
    </row>
    <row r="7" spans="1:17" x14ac:dyDescent="0.4">
      <c r="A7" s="51" t="s">
        <v>2</v>
      </c>
      <c r="B7" s="44">
        <v>36</v>
      </c>
      <c r="C7" s="37">
        <f t="shared" ref="C7:C12" si="1">IF(B$2=0,0,B7/B$2)</f>
        <v>0.46753246753246752</v>
      </c>
      <c r="E7" s="59" t="s">
        <v>67</v>
      </c>
      <c r="F7" s="56" t="s">
        <v>23</v>
      </c>
      <c r="G7" s="44">
        <v>55</v>
      </c>
      <c r="H7" s="129">
        <f>IF(B$17=0,0,G7/B$17)</f>
        <v>0.26315789473684209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2946.1538461538462</v>
      </c>
      <c r="P7" s="116">
        <v>52</v>
      </c>
      <c r="Q7" s="100">
        <v>153200</v>
      </c>
    </row>
    <row r="8" spans="1:17" x14ac:dyDescent="0.4">
      <c r="A8" s="51" t="s">
        <v>3</v>
      </c>
      <c r="B8" s="44">
        <v>21</v>
      </c>
      <c r="C8" s="37">
        <f t="shared" si="1"/>
        <v>0.27272727272727271</v>
      </c>
      <c r="E8" s="59" t="s">
        <v>89</v>
      </c>
      <c r="F8" s="56" t="s">
        <v>44</v>
      </c>
      <c r="G8" s="44">
        <v>37</v>
      </c>
      <c r="H8" s="129">
        <f>IF(B$17=0,0,G8/B$17)</f>
        <v>0.17703349282296652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20</v>
      </c>
      <c r="C9" s="38">
        <f t="shared" si="1"/>
        <v>0.25974025974025972</v>
      </c>
      <c r="E9" s="59" t="s">
        <v>69</v>
      </c>
      <c r="F9" s="56" t="s">
        <v>24</v>
      </c>
      <c r="G9" s="44">
        <v>30</v>
      </c>
      <c r="H9" s="129">
        <f>IF(B$17=0,0,G9/B$17)</f>
        <v>0.14354066985645933</v>
      </c>
      <c r="I9" s="90">
        <v>5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</v>
      </c>
      <c r="C10" s="38">
        <f t="shared" si="1"/>
        <v>3.896103896103896E-2</v>
      </c>
      <c r="E10" s="59" t="s">
        <v>65</v>
      </c>
      <c r="F10" s="56" t="s">
        <v>21</v>
      </c>
      <c r="G10" s="44">
        <v>22</v>
      </c>
      <c r="H10" s="129">
        <f>IF(B$17=0,0,G10/B$17)</f>
        <v>0.10526315789473684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11.3</v>
      </c>
      <c r="P10" s="114">
        <v>20</v>
      </c>
      <c r="Q10" s="102">
        <v>226.00000000000003</v>
      </c>
    </row>
    <row r="11" spans="1:17" x14ac:dyDescent="0.4">
      <c r="A11" s="52" t="s">
        <v>138</v>
      </c>
      <c r="B11" s="45">
        <v>8</v>
      </c>
      <c r="C11" s="38">
        <f t="shared" si="1"/>
        <v>0.1038961038961039</v>
      </c>
      <c r="E11" s="59" t="s">
        <v>71</v>
      </c>
      <c r="F11" s="56" t="s">
        <v>26</v>
      </c>
      <c r="G11" s="44">
        <v>14</v>
      </c>
      <c r="H11" s="129">
        <f>IF(B$17=0,0,G11/B$17)</f>
        <v>6.6985645933014357E-2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3.3696969696969701</v>
      </c>
      <c r="P11" s="115">
        <v>33</v>
      </c>
      <c r="Q11" s="103">
        <v>111.20000000000002</v>
      </c>
    </row>
    <row r="12" spans="1:17" x14ac:dyDescent="0.4">
      <c r="A12" s="53" t="s">
        <v>158</v>
      </c>
      <c r="B12" s="46">
        <v>9</v>
      </c>
      <c r="C12" s="40">
        <f t="shared" si="1"/>
        <v>0.11688311688311688</v>
      </c>
      <c r="E12" s="59" t="s">
        <v>70</v>
      </c>
      <c r="F12" s="56" t="s">
        <v>25</v>
      </c>
      <c r="G12" s="44">
        <v>12</v>
      </c>
      <c r="H12" s="129">
        <f>IF(B$17=0,0,G12/B$17)</f>
        <v>5.7416267942583733E-2</v>
      </c>
      <c r="I12" s="90">
        <v>11</v>
      </c>
      <c r="K12" s="36">
        <v>10</v>
      </c>
      <c r="L12" s="95">
        <v>158.19999999999999</v>
      </c>
      <c r="N12" s="112" t="s">
        <v>164</v>
      </c>
      <c r="O12" s="122">
        <f>IF(P12=0,0,Q12/P12)</f>
        <v>8.7333333333333307</v>
      </c>
      <c r="P12" s="116">
        <v>24</v>
      </c>
      <c r="Q12" s="104">
        <v>209.59999999999994</v>
      </c>
    </row>
    <row r="13" spans="1:17" x14ac:dyDescent="0.4">
      <c r="A13" s="54" t="s">
        <v>121</v>
      </c>
      <c r="B13" s="47">
        <v>157</v>
      </c>
      <c r="C13" s="42">
        <f>IF(B$3=0,0,B13/B$3)</f>
        <v>0.25241157556270094</v>
      </c>
      <c r="E13" s="59" t="s">
        <v>83</v>
      </c>
      <c r="F13" s="56" t="s">
        <v>38</v>
      </c>
      <c r="G13" s="44">
        <v>10</v>
      </c>
      <c r="H13" s="129">
        <f>IF(B$17=0,0,G13/B$17)</f>
        <v>4.784688995215311E-2</v>
      </c>
      <c r="I13" s="90">
        <v>9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148</v>
      </c>
      <c r="C14" s="37">
        <f>IF(B$3=0,0,B14/B$3)</f>
        <v>0.23794212218649519</v>
      </c>
      <c r="E14" s="59" t="s">
        <v>86</v>
      </c>
      <c r="F14" s="56" t="s">
        <v>41</v>
      </c>
      <c r="G14" s="44">
        <v>9</v>
      </c>
      <c r="H14" s="129">
        <f>IF(B$17=0,0,G14/B$17)</f>
        <v>4.3062200956937802E-2</v>
      </c>
      <c r="I14" s="90">
        <v>6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96</v>
      </c>
      <c r="C15" s="35">
        <f>IF(B$13=0,0,B15/B$13)</f>
        <v>0.61146496815286622</v>
      </c>
      <c r="E15" s="59" t="s">
        <v>167</v>
      </c>
      <c r="F15" s="56" t="s">
        <v>168</v>
      </c>
      <c r="G15" s="44">
        <v>8</v>
      </c>
      <c r="H15" s="129">
        <f>IF(B$17=0,0,G15/B$17)</f>
        <v>3.8277511961722487E-2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 t="shared" ref="O15:O22" si="2">IF(P15=0,0,Q15/P15)</f>
        <v>57.4</v>
      </c>
      <c r="P15" s="114">
        <v>4</v>
      </c>
      <c r="Q15" s="102">
        <v>229.6</v>
      </c>
    </row>
    <row r="16" spans="1:17" x14ac:dyDescent="0.4">
      <c r="A16" s="50" t="s">
        <v>124</v>
      </c>
      <c r="B16" s="43">
        <v>69</v>
      </c>
      <c r="C16" s="35">
        <f>IF(B$14=0,0,B16/B$14)</f>
        <v>0.46621621621621623</v>
      </c>
      <c r="E16" s="59" t="s">
        <v>78</v>
      </c>
      <c r="F16" s="56" t="s">
        <v>33</v>
      </c>
      <c r="G16" s="44">
        <v>7</v>
      </c>
      <c r="H16" s="129">
        <f>IF(B$17=0,0,G16/B$17)</f>
        <v>3.3492822966507178E-2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 t="shared" si="2"/>
        <v>21.962499999999991</v>
      </c>
      <c r="P16" s="115">
        <v>8</v>
      </c>
      <c r="Q16" s="103">
        <v>175.69999999999993</v>
      </c>
    </row>
    <row r="17" spans="1:17" x14ac:dyDescent="0.4">
      <c r="A17" s="50" t="s">
        <v>10</v>
      </c>
      <c r="B17" s="43">
        <f>B19+B18</f>
        <v>209</v>
      </c>
      <c r="C17" s="35">
        <f>IF(B$3=0,0,B17/B$3)</f>
        <v>0.33601286173633438</v>
      </c>
      <c r="E17" s="59" t="s">
        <v>77</v>
      </c>
      <c r="F17" s="56" t="s">
        <v>32</v>
      </c>
      <c r="G17" s="44">
        <v>3</v>
      </c>
      <c r="H17" s="129">
        <f>IF(B$17=0,0,G17/B$17)</f>
        <v>1.4354066985645933E-2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 t="shared" si="2"/>
        <v>17.467741935483872</v>
      </c>
      <c r="P17" s="115">
        <v>31</v>
      </c>
      <c r="Q17" s="103">
        <v>541.5</v>
      </c>
    </row>
    <row r="18" spans="1:17" x14ac:dyDescent="0.4">
      <c r="A18" s="51" t="s">
        <v>12</v>
      </c>
      <c r="B18" s="44">
        <v>88</v>
      </c>
      <c r="C18" s="37">
        <f>IF(B$17=0,0,B18/B$17)</f>
        <v>0.42105263157894735</v>
      </c>
      <c r="E18" s="59" t="s">
        <v>84</v>
      </c>
      <c r="F18" s="56" t="s">
        <v>39</v>
      </c>
      <c r="G18" s="44">
        <v>3</v>
      </c>
      <c r="H18" s="129">
        <f>IF(B$17=0,0,G18/B$17)</f>
        <v>1.4354066985645933E-2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 t="shared" si="2"/>
        <v>15.705000000000009</v>
      </c>
      <c r="P18" s="115">
        <v>20</v>
      </c>
      <c r="Q18" s="103">
        <v>314.10000000000019</v>
      </c>
    </row>
    <row r="19" spans="1:17" x14ac:dyDescent="0.4">
      <c r="A19" s="51" t="s">
        <v>11</v>
      </c>
      <c r="B19" s="44">
        <v>121</v>
      </c>
      <c r="C19" s="37">
        <f>IF(B$17=0,0,B19/B$17)</f>
        <v>0.57894736842105265</v>
      </c>
      <c r="E19" s="59" t="s">
        <v>88</v>
      </c>
      <c r="F19" s="56" t="s">
        <v>43</v>
      </c>
      <c r="G19" s="44">
        <v>2</v>
      </c>
      <c r="H19" s="129">
        <f>IF(B$17=0,0,G19/B$17)</f>
        <v>9.5693779904306216E-3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 t="shared" si="2"/>
        <v>8.2980769230769251</v>
      </c>
      <c r="P19" s="115">
        <v>52</v>
      </c>
      <c r="Q19" s="103">
        <v>431.50000000000011</v>
      </c>
    </row>
    <row r="20" spans="1:17" x14ac:dyDescent="0.4">
      <c r="A20" s="51" t="s">
        <v>13</v>
      </c>
      <c r="B20" s="44">
        <v>87</v>
      </c>
      <c r="C20" s="37">
        <f>IF(B$3=0,0,B20/B$3)</f>
        <v>0.13987138263665594</v>
      </c>
      <c r="E20" s="59" t="s">
        <v>92</v>
      </c>
      <c r="F20" s="56" t="s">
        <v>47</v>
      </c>
      <c r="G20" s="44">
        <v>2</v>
      </c>
      <c r="H20" s="129">
        <f>IF(B$17=0,0,G20/B$17)</f>
        <v>9.5693779904306216E-3</v>
      </c>
      <c r="I20" s="90">
        <v>2</v>
      </c>
      <c r="K20" s="36">
        <v>18</v>
      </c>
      <c r="L20" s="95">
        <v>352.39999999999992</v>
      </c>
      <c r="N20" s="111" t="s">
        <v>166</v>
      </c>
      <c r="O20" s="121">
        <f t="shared" si="2"/>
        <v>1.827272727272726</v>
      </c>
      <c r="P20" s="115">
        <v>22</v>
      </c>
      <c r="Q20" s="103">
        <v>40.199999999999974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74</v>
      </c>
      <c r="F21" s="56" t="s">
        <v>29</v>
      </c>
      <c r="G21" s="44">
        <v>1</v>
      </c>
      <c r="H21" s="129">
        <f>IF(B$17=0,0,G21/B$17)</f>
        <v>4.7846889952153108E-3</v>
      </c>
      <c r="I21" s="90">
        <v>5</v>
      </c>
      <c r="K21" s="36">
        <v>19</v>
      </c>
      <c r="L21" s="95">
        <v>383.19999999999993</v>
      </c>
      <c r="N21" s="111" t="s">
        <v>177</v>
      </c>
      <c r="O21" s="121">
        <f t="shared" si="2"/>
        <v>-1.3562500000000002</v>
      </c>
      <c r="P21" s="115">
        <v>16</v>
      </c>
      <c r="Q21" s="103">
        <v>-21.700000000000003</v>
      </c>
    </row>
    <row r="22" spans="1:17" x14ac:dyDescent="0.4">
      <c r="A22" s="51" t="s">
        <v>170</v>
      </c>
      <c r="B22" s="44">
        <v>31</v>
      </c>
      <c r="C22" s="131">
        <v>5</v>
      </c>
      <c r="E22" s="59" t="s">
        <v>75</v>
      </c>
      <c r="F22" s="56" t="s">
        <v>30</v>
      </c>
      <c r="G22" s="44">
        <v>1</v>
      </c>
      <c r="H22" s="129">
        <f>IF(B$17=0,0,G22/B$17)</f>
        <v>4.7846889952153108E-3</v>
      </c>
      <c r="I22" s="90">
        <v>6</v>
      </c>
      <c r="K22" s="36">
        <v>20</v>
      </c>
      <c r="L22" s="95">
        <v>365.49999999999994</v>
      </c>
      <c r="N22" s="111" t="s">
        <v>222</v>
      </c>
      <c r="O22" s="121">
        <f t="shared" si="2"/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7844.4976076555022</v>
      </c>
      <c r="C23" s="39">
        <v>1639500</v>
      </c>
      <c r="E23" s="59" t="s">
        <v>79</v>
      </c>
      <c r="F23" s="56" t="s">
        <v>34</v>
      </c>
      <c r="G23" s="44">
        <v>1</v>
      </c>
      <c r="H23" s="129">
        <f>IF(B$17=0,0,G23/B$17)</f>
        <v>4.7846889952153108E-3</v>
      </c>
      <c r="I23" s="90">
        <v>6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7743.5714285714284</v>
      </c>
      <c r="C24" s="137">
        <v>1084100</v>
      </c>
      <c r="E24" s="59" t="s">
        <v>81</v>
      </c>
      <c r="F24" s="56" t="s">
        <v>36</v>
      </c>
      <c r="G24" s="44">
        <v>1</v>
      </c>
      <c r="H24" s="129">
        <f>IF(B$17=0,0,G24/B$17)</f>
        <v>4.7846889952153108E-3</v>
      </c>
      <c r="I24" s="90">
        <v>9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8049.275362318841</v>
      </c>
      <c r="C25" s="137">
        <v>555400</v>
      </c>
      <c r="E25" s="59" t="s">
        <v>85</v>
      </c>
      <c r="F25" s="56" t="s">
        <v>40</v>
      </c>
      <c r="G25" s="44">
        <v>1</v>
      </c>
      <c r="H25" s="129">
        <f>IF(B$17=0,0,G25/B$17)</f>
        <v>4.7846889952153108E-3</v>
      </c>
      <c r="I25" s="90">
        <v>4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-7580.4597701149423</v>
      </c>
      <c r="C26" s="137">
        <v>-659500</v>
      </c>
      <c r="E26" s="59" t="s">
        <v>90</v>
      </c>
      <c r="F26" s="56" t="s">
        <v>45</v>
      </c>
      <c r="G26" s="44">
        <v>1</v>
      </c>
      <c r="H26" s="129">
        <f>IF(B$17=0,0,G26/B$17)</f>
        <v>4.7846889952153108E-3</v>
      </c>
      <c r="I26" s="90">
        <v>2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4">
        <v>7</v>
      </c>
      <c r="C27" s="145"/>
      <c r="E27" s="59" t="s">
        <v>91</v>
      </c>
      <c r="F27" s="56" t="s">
        <v>46</v>
      </c>
      <c r="G27" s="44">
        <v>1</v>
      </c>
      <c r="H27" s="129">
        <f>IF(B$17=0,0,G27/B$17)</f>
        <v>4.7846889952153108E-3</v>
      </c>
      <c r="I27" s="90">
        <v>7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2">
        <v>86200</v>
      </c>
      <c r="C28" s="143"/>
      <c r="E28" s="59" t="s">
        <v>95</v>
      </c>
      <c r="F28" s="56" t="s">
        <v>50</v>
      </c>
      <c r="G28" s="44">
        <v>1</v>
      </c>
      <c r="H28" s="129">
        <f>IF(B$17=0,0,G28/B$17)</f>
        <v>4.7846889952153108E-3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1.6077170418006431E-3</v>
      </c>
      <c r="E29" s="59" t="s">
        <v>73</v>
      </c>
      <c r="F29" s="56" t="s">
        <v>28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362.4</v>
      </c>
    </row>
    <row r="30" spans="1:17" x14ac:dyDescent="0.4">
      <c r="E30" s="59" t="s">
        <v>76</v>
      </c>
      <c r="F30" s="56" t="s">
        <v>31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</sheetData>
  <sortState xmlns:xlrd2="http://schemas.microsoft.com/office/spreadsheetml/2017/richdata2" ref="E2:I80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DB13E-5C74-457A-A9D6-76D1440681DB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179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47</v>
      </c>
      <c r="C2" s="151"/>
      <c r="E2" s="58" t="s">
        <v>66</v>
      </c>
      <c r="F2" s="55" t="s">
        <v>22</v>
      </c>
      <c r="G2" s="43">
        <v>83</v>
      </c>
      <c r="H2" s="128">
        <f>IF(B$17=0,0,G2/B$17)</f>
        <v>0.73451327433628322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432.60869565217394</v>
      </c>
      <c r="P2" s="114">
        <v>46</v>
      </c>
      <c r="Q2" s="98">
        <v>19900</v>
      </c>
    </row>
    <row r="3" spans="1:17" x14ac:dyDescent="0.4">
      <c r="A3" s="51" t="s">
        <v>8</v>
      </c>
      <c r="B3" s="152">
        <v>401</v>
      </c>
      <c r="C3" s="153"/>
      <c r="E3" s="59" t="s">
        <v>64</v>
      </c>
      <c r="F3" s="56" t="s">
        <v>20</v>
      </c>
      <c r="G3" s="44">
        <v>68</v>
      </c>
      <c r="H3" s="129">
        <f>IF(B$17=0,0,G3/B$17)</f>
        <v>0.60176991150442483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-547.82608695652175</v>
      </c>
      <c r="P3" s="115">
        <v>46</v>
      </c>
      <c r="Q3" s="99">
        <v>-25200</v>
      </c>
    </row>
    <row r="4" spans="1:17" x14ac:dyDescent="0.4">
      <c r="A4" s="51" t="s">
        <v>6</v>
      </c>
      <c r="B4" s="154">
        <v>-346.19999999999993</v>
      </c>
      <c r="C4" s="155"/>
      <c r="E4" s="59" t="s">
        <v>72</v>
      </c>
      <c r="F4" s="56" t="s">
        <v>27</v>
      </c>
      <c r="G4" s="44">
        <v>59</v>
      </c>
      <c r="H4" s="129">
        <f>IF(B$17=0,0,G4/B$17)</f>
        <v>0.52212389380530977</v>
      </c>
      <c r="I4" s="90">
        <v>6</v>
      </c>
      <c r="K4" s="36">
        <v>2</v>
      </c>
      <c r="L4" s="95">
        <v>-30.099999999999998</v>
      </c>
      <c r="N4" s="111" t="s">
        <v>132</v>
      </c>
      <c r="O4" s="118">
        <f t="shared" si="0"/>
        <v>981.81818181818187</v>
      </c>
      <c r="P4" s="115">
        <v>44</v>
      </c>
      <c r="Q4" s="99">
        <v>43200</v>
      </c>
    </row>
    <row r="5" spans="1:17" x14ac:dyDescent="0.4">
      <c r="A5" s="51" t="s">
        <v>7</v>
      </c>
      <c r="B5" s="156">
        <f>IF(B$2=0,0,B$4/B$2)</f>
        <v>-7.3659574468085092</v>
      </c>
      <c r="C5" s="157"/>
      <c r="E5" s="59" t="s">
        <v>171</v>
      </c>
      <c r="F5" s="56" t="s">
        <v>172</v>
      </c>
      <c r="G5" s="44">
        <v>44</v>
      </c>
      <c r="H5" s="129">
        <f>IF(B$17=0,0,G5/B$17)</f>
        <v>0.38938053097345132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-1930.952380952381</v>
      </c>
      <c r="P5" s="115">
        <v>42</v>
      </c>
      <c r="Q5" s="99">
        <v>-81100</v>
      </c>
    </row>
    <row r="6" spans="1:17" x14ac:dyDescent="0.4">
      <c r="A6" s="51" t="s">
        <v>1</v>
      </c>
      <c r="B6" s="146">
        <f>IF(B$2=0,0,(B$7*1+B$8*2+B$9*3)/B$2)</f>
        <v>2.2340425531914891</v>
      </c>
      <c r="C6" s="147"/>
      <c r="E6" s="59" t="s">
        <v>68</v>
      </c>
      <c r="F6" s="56" t="s">
        <v>12</v>
      </c>
      <c r="G6" s="44">
        <v>36</v>
      </c>
      <c r="H6" s="129">
        <f>IF(B$17=0,0,G6/B$17)</f>
        <v>0.31858407079646017</v>
      </c>
      <c r="I6" s="90">
        <v>5</v>
      </c>
      <c r="K6" s="36">
        <v>4</v>
      </c>
      <c r="L6" s="95">
        <v>-54.899999999999991</v>
      </c>
      <c r="N6" s="111" t="s">
        <v>134</v>
      </c>
      <c r="O6" s="118">
        <f t="shared" si="0"/>
        <v>-3119.5121951219512</v>
      </c>
      <c r="P6" s="115">
        <v>41</v>
      </c>
      <c r="Q6" s="99">
        <v>-127900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0.19148936170212766</v>
      </c>
      <c r="E7" s="59" t="s">
        <v>67</v>
      </c>
      <c r="F7" s="56" t="s">
        <v>23</v>
      </c>
      <c r="G7" s="44">
        <v>34</v>
      </c>
      <c r="H7" s="129">
        <f>IF(B$17=0,0,G7/B$17)</f>
        <v>0.30088495575221241</v>
      </c>
      <c r="I7" s="90">
        <v>6</v>
      </c>
      <c r="K7" s="36">
        <v>5</v>
      </c>
      <c r="L7" s="95">
        <v>-33.699999999999989</v>
      </c>
      <c r="N7" s="112" t="s">
        <v>135</v>
      </c>
      <c r="O7" s="119">
        <f t="shared" si="0"/>
        <v>-2638.8888888888887</v>
      </c>
      <c r="P7" s="116">
        <v>36</v>
      </c>
      <c r="Q7" s="100">
        <v>-95000</v>
      </c>
    </row>
    <row r="8" spans="1:17" x14ac:dyDescent="0.4">
      <c r="A8" s="51" t="s">
        <v>3</v>
      </c>
      <c r="B8" s="44">
        <v>18</v>
      </c>
      <c r="C8" s="37">
        <f t="shared" si="1"/>
        <v>0.38297872340425532</v>
      </c>
      <c r="E8" s="59" t="s">
        <v>70</v>
      </c>
      <c r="F8" s="56" t="s">
        <v>25</v>
      </c>
      <c r="G8" s="44">
        <v>18</v>
      </c>
      <c r="H8" s="129">
        <f>IF(B$17=0,0,G8/B$17)</f>
        <v>0.15929203539823009</v>
      </c>
      <c r="I8" s="90">
        <v>2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20</v>
      </c>
      <c r="C9" s="38">
        <f t="shared" si="1"/>
        <v>0.42553191489361702</v>
      </c>
      <c r="E9" s="59" t="s">
        <v>69</v>
      </c>
      <c r="F9" s="56" t="s">
        <v>24</v>
      </c>
      <c r="G9" s="44">
        <v>16</v>
      </c>
      <c r="H9" s="129">
        <f>IF(B$17=0,0,G9/B$17)</f>
        <v>0.1415929203539823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4.2553191489361701E-2</v>
      </c>
      <c r="E10" s="59" t="s">
        <v>65</v>
      </c>
      <c r="F10" s="56" t="s">
        <v>21</v>
      </c>
      <c r="G10" s="44">
        <v>12</v>
      </c>
      <c r="H10" s="129">
        <f>IF(B$17=0,0,G10/B$17)</f>
        <v>0.10619469026548672</v>
      </c>
      <c r="I10" s="90">
        <v>3</v>
      </c>
      <c r="K10" s="36">
        <v>8</v>
      </c>
      <c r="L10" s="95">
        <v>-62.999999999999993</v>
      </c>
      <c r="N10" s="110" t="s">
        <v>162</v>
      </c>
      <c r="O10" s="120">
        <f>IF(P10=0,0,Q10/P10)</f>
        <v>0.69473684210526221</v>
      </c>
      <c r="P10" s="114">
        <v>19</v>
      </c>
      <c r="Q10" s="102">
        <v>13.199999999999982</v>
      </c>
    </row>
    <row r="11" spans="1:17" x14ac:dyDescent="0.4">
      <c r="A11" s="52" t="s">
        <v>138</v>
      </c>
      <c r="B11" s="45">
        <v>2</v>
      </c>
      <c r="C11" s="38">
        <f t="shared" si="1"/>
        <v>4.2553191489361701E-2</v>
      </c>
      <c r="E11" s="59" t="s">
        <v>89</v>
      </c>
      <c r="F11" s="56" t="s">
        <v>44</v>
      </c>
      <c r="G11" s="44">
        <v>10</v>
      </c>
      <c r="H11" s="129">
        <f>IF(B$17=0,0,G11/B$17)</f>
        <v>8.8495575221238937E-2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-9.615384615384615</v>
      </c>
      <c r="P11" s="115">
        <v>13</v>
      </c>
      <c r="Q11" s="103">
        <v>-125</v>
      </c>
    </row>
    <row r="12" spans="1:17" x14ac:dyDescent="0.4">
      <c r="A12" s="53" t="s">
        <v>158</v>
      </c>
      <c r="B12" s="46">
        <v>3</v>
      </c>
      <c r="C12" s="40">
        <f t="shared" si="1"/>
        <v>6.3829787234042548E-2</v>
      </c>
      <c r="E12" s="59" t="s">
        <v>83</v>
      </c>
      <c r="F12" s="56" t="s">
        <v>38</v>
      </c>
      <c r="G12" s="44">
        <v>8</v>
      </c>
      <c r="H12" s="129">
        <f>IF(B$17=0,0,G12/B$17)</f>
        <v>7.0796460176991149E-2</v>
      </c>
      <c r="I12" s="90">
        <v>4</v>
      </c>
      <c r="K12" s="36">
        <v>10</v>
      </c>
      <c r="L12" s="95">
        <v>-117.19999999999999</v>
      </c>
      <c r="N12" s="112" t="s">
        <v>164</v>
      </c>
      <c r="O12" s="122">
        <f>IF(P12=0,0,Q12/P12)</f>
        <v>-15.626666666666667</v>
      </c>
      <c r="P12" s="116">
        <v>15</v>
      </c>
      <c r="Q12" s="104">
        <v>-234.4</v>
      </c>
    </row>
    <row r="13" spans="1:17" x14ac:dyDescent="0.4">
      <c r="A13" s="54" t="s">
        <v>121</v>
      </c>
      <c r="B13" s="47">
        <v>115</v>
      </c>
      <c r="C13" s="42">
        <f>IF(B$3=0,0,B13/B$3)</f>
        <v>0.28678304239401498</v>
      </c>
      <c r="E13" s="59" t="s">
        <v>71</v>
      </c>
      <c r="F13" s="56" t="s">
        <v>26</v>
      </c>
      <c r="G13" s="44">
        <v>5</v>
      </c>
      <c r="H13" s="129">
        <f>IF(B$17=0,0,G13/B$17)</f>
        <v>4.4247787610619468E-2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75</v>
      </c>
      <c r="C14" s="37">
        <f>IF(B$3=0,0,B14/B$3)</f>
        <v>0.18703241895261846</v>
      </c>
      <c r="E14" s="59" t="s">
        <v>78</v>
      </c>
      <c r="F14" s="56" t="s">
        <v>33</v>
      </c>
      <c r="G14" s="44">
        <v>4</v>
      </c>
      <c r="H14" s="129">
        <f>IF(B$17=0,0,G14/B$17)</f>
        <v>3.5398230088495575E-2</v>
      </c>
      <c r="I14" s="90">
        <v>1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69</v>
      </c>
      <c r="C15" s="35">
        <f>IF(B$13=0,0,B15/B$13)</f>
        <v>0.6</v>
      </c>
      <c r="E15" s="59" t="s">
        <v>86</v>
      </c>
      <c r="F15" s="56" t="s">
        <v>41</v>
      </c>
      <c r="G15" s="44">
        <v>3</v>
      </c>
      <c r="H15" s="129">
        <f>IF(B$17=0,0,G15/B$17)</f>
        <v>2.6548672566371681E-2</v>
      </c>
      <c r="I15" s="90">
        <v>9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30</v>
      </c>
      <c r="C16" s="35">
        <f>IF(B$14=0,0,B16/B$14)</f>
        <v>0.4</v>
      </c>
      <c r="E16" s="59" t="s">
        <v>75</v>
      </c>
      <c r="F16" s="56" t="s">
        <v>30</v>
      </c>
      <c r="G16" s="44">
        <v>2</v>
      </c>
      <c r="H16" s="129">
        <f>IF(B$17=0,0,G16/B$17)</f>
        <v>1.7699115044247787E-2</v>
      </c>
      <c r="I16" s="90">
        <v>2</v>
      </c>
      <c r="K16" s="36">
        <v>14</v>
      </c>
      <c r="L16" s="95">
        <v>-204.8</v>
      </c>
      <c r="N16" s="111" t="s">
        <v>166</v>
      </c>
      <c r="O16" s="121">
        <f t="shared" si="2"/>
        <v>10.390909090909091</v>
      </c>
      <c r="P16" s="115">
        <v>11</v>
      </c>
      <c r="Q16" s="103">
        <v>114.3</v>
      </c>
    </row>
    <row r="17" spans="1:17" x14ac:dyDescent="0.4">
      <c r="A17" s="50" t="s">
        <v>10</v>
      </c>
      <c r="B17" s="43">
        <f>B19+B18</f>
        <v>113</v>
      </c>
      <c r="C17" s="35">
        <f>IF(B$3=0,0,B17/B$3)</f>
        <v>0.28179551122194513</v>
      </c>
      <c r="E17" s="59" t="s">
        <v>79</v>
      </c>
      <c r="F17" s="56" t="s">
        <v>34</v>
      </c>
      <c r="G17" s="44">
        <v>2</v>
      </c>
      <c r="H17" s="129">
        <f>IF(B$17=0,0,G17/B$17)</f>
        <v>1.7699115044247787E-2</v>
      </c>
      <c r="I17" s="90">
        <v>4</v>
      </c>
      <c r="K17" s="36">
        <v>15</v>
      </c>
      <c r="L17" s="95">
        <v>-221.5</v>
      </c>
      <c r="N17" s="111" t="s">
        <v>181</v>
      </c>
      <c r="O17" s="121">
        <f t="shared" si="2"/>
        <v>3.7285714285714309</v>
      </c>
      <c r="P17" s="115">
        <v>7</v>
      </c>
      <c r="Q17" s="103">
        <v>26.100000000000016</v>
      </c>
    </row>
    <row r="18" spans="1:17" x14ac:dyDescent="0.4">
      <c r="A18" s="51" t="s">
        <v>12</v>
      </c>
      <c r="B18" s="44">
        <v>48</v>
      </c>
      <c r="C18" s="37">
        <f>IF(B$17=0,0,B18/B$17)</f>
        <v>0.4247787610619469</v>
      </c>
      <c r="E18" s="59" t="s">
        <v>81</v>
      </c>
      <c r="F18" s="56" t="s">
        <v>36</v>
      </c>
      <c r="G18" s="44">
        <v>2</v>
      </c>
      <c r="H18" s="129">
        <f>IF(B$17=0,0,G18/B$17)</f>
        <v>1.7699115044247787E-2</v>
      </c>
      <c r="I18" s="90">
        <v>7</v>
      </c>
      <c r="K18" s="36">
        <v>16</v>
      </c>
      <c r="L18" s="95">
        <v>-224.3</v>
      </c>
      <c r="N18" s="111" t="s">
        <v>177</v>
      </c>
      <c r="O18" s="121">
        <f t="shared" si="2"/>
        <v>1.0000000000000004</v>
      </c>
      <c r="P18" s="115">
        <v>6</v>
      </c>
      <c r="Q18" s="103">
        <v>6.0000000000000027</v>
      </c>
    </row>
    <row r="19" spans="1:17" x14ac:dyDescent="0.4">
      <c r="A19" s="51" t="s">
        <v>11</v>
      </c>
      <c r="B19" s="44">
        <v>65</v>
      </c>
      <c r="C19" s="37">
        <f>IF(B$17=0,0,B19/B$17)</f>
        <v>0.5752212389380531</v>
      </c>
      <c r="E19" s="59" t="s">
        <v>91</v>
      </c>
      <c r="F19" s="56" t="s">
        <v>46</v>
      </c>
      <c r="G19" s="44">
        <v>1</v>
      </c>
      <c r="H19" s="129">
        <f>IF(B$17=0,0,G19/B$17)</f>
        <v>8.8495575221238937E-3</v>
      </c>
      <c r="I19" s="90">
        <v>5</v>
      </c>
      <c r="K19" s="36">
        <v>17</v>
      </c>
      <c r="L19" s="95">
        <v>-251.4</v>
      </c>
      <c r="N19" s="111" t="s">
        <v>127</v>
      </c>
      <c r="O19" s="121">
        <f t="shared" si="2"/>
        <v>-10.948148148148144</v>
      </c>
      <c r="P19" s="115">
        <v>27</v>
      </c>
      <c r="Q19" s="103">
        <v>-295.59999999999991</v>
      </c>
    </row>
    <row r="20" spans="1:17" x14ac:dyDescent="0.4">
      <c r="A20" s="51" t="s">
        <v>13</v>
      </c>
      <c r="B20" s="44">
        <v>82</v>
      </c>
      <c r="C20" s="37">
        <f>IF(B$3=0,0,B20/B$3)</f>
        <v>0.20448877805486285</v>
      </c>
      <c r="E20" s="59" t="s">
        <v>167</v>
      </c>
      <c r="F20" s="56" t="s">
        <v>168</v>
      </c>
      <c r="G20" s="44">
        <v>1</v>
      </c>
      <c r="H20" s="129">
        <f>IF(B$17=0,0,G20/B$17)</f>
        <v>8.8495575221238937E-3</v>
      </c>
      <c r="I20" s="90">
        <v>6</v>
      </c>
      <c r="K20" s="36">
        <v>18</v>
      </c>
      <c r="L20" s="95">
        <v>-240</v>
      </c>
      <c r="N20" s="111" t="s">
        <v>126</v>
      </c>
      <c r="O20" s="121">
        <f t="shared" si="2"/>
        <v>-17.467741935483875</v>
      </c>
      <c r="P20" s="115">
        <v>31</v>
      </c>
      <c r="Q20" s="103">
        <v>-541.50000000000011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3</v>
      </c>
      <c r="K21" s="36">
        <v>19</v>
      </c>
      <c r="L21" s="95">
        <v>-218</v>
      </c>
      <c r="N21" s="111" t="s">
        <v>178</v>
      </c>
      <c r="O21" s="121">
        <f t="shared" si="2"/>
        <v>-31.71</v>
      </c>
      <c r="P21" s="115">
        <v>10</v>
      </c>
      <c r="Q21" s="103">
        <v>-317.10000000000002</v>
      </c>
    </row>
    <row r="22" spans="1:17" x14ac:dyDescent="0.4">
      <c r="A22" s="51" t="s">
        <v>170</v>
      </c>
      <c r="B22" s="44">
        <v>21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7690.2654867256633</v>
      </c>
      <c r="C23" s="39">
        <v>869000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8161.4457831325299</v>
      </c>
      <c r="C24" s="137">
        <v>677400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6386.666666666667</v>
      </c>
      <c r="C25" s="137">
        <v>191600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-7435.3658536585363</v>
      </c>
      <c r="C26" s="137">
        <v>-609700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4">
        <v>8</v>
      </c>
      <c r="C27" s="145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2">
        <v>69300</v>
      </c>
      <c r="C28" s="143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4.9875311720698253E-3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61ACC-A491-4DED-A65D-7D71CE77A3E8}">
  <sheetPr codeName="Sheet11"/>
  <dimension ref="A1:Q7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127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77</v>
      </c>
      <c r="C2" s="151"/>
      <c r="E2" s="58" t="s">
        <v>66</v>
      </c>
      <c r="F2" s="55" t="s">
        <v>22</v>
      </c>
      <c r="G2" s="43">
        <v>191</v>
      </c>
      <c r="H2" s="128">
        <f>IF(B$17=0,0,G2/B$17)</f>
        <v>0.92270531400966183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-2159.2105263157896</v>
      </c>
      <c r="P2" s="114">
        <v>76</v>
      </c>
      <c r="Q2" s="98">
        <v>-164100</v>
      </c>
    </row>
    <row r="3" spans="1:17" x14ac:dyDescent="0.4">
      <c r="A3" s="51" t="s">
        <v>8</v>
      </c>
      <c r="B3" s="152">
        <v>654</v>
      </c>
      <c r="C3" s="153"/>
      <c r="E3" s="59" t="s">
        <v>72</v>
      </c>
      <c r="F3" s="56" t="s">
        <v>27</v>
      </c>
      <c r="G3" s="44">
        <v>117</v>
      </c>
      <c r="H3" s="129">
        <f>IF(B$17=0,0,G3/B$17)</f>
        <v>0.56521739130434778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1301.3513513513512</v>
      </c>
      <c r="P3" s="115">
        <v>74</v>
      </c>
      <c r="Q3" s="99">
        <v>96300</v>
      </c>
    </row>
    <row r="4" spans="1:17" x14ac:dyDescent="0.4">
      <c r="A4" s="51" t="s">
        <v>6</v>
      </c>
      <c r="B4" s="154">
        <v>375.59999999999985</v>
      </c>
      <c r="C4" s="155"/>
      <c r="E4" s="59" t="s">
        <v>171</v>
      </c>
      <c r="F4" s="56" t="s">
        <v>172</v>
      </c>
      <c r="G4" s="44">
        <v>89</v>
      </c>
      <c r="H4" s="129">
        <f>IF(B$17=0,0,G4/B$17)</f>
        <v>0.42995169082125606</v>
      </c>
      <c r="I4" s="90">
        <v>1</v>
      </c>
      <c r="K4" s="36">
        <v>2</v>
      </c>
      <c r="L4" s="95">
        <v>-34.299999999999997</v>
      </c>
      <c r="N4" s="111" t="s">
        <v>132</v>
      </c>
      <c r="O4" s="118">
        <f t="shared" si="0"/>
        <v>584.28571428571433</v>
      </c>
      <c r="P4" s="115">
        <v>70</v>
      </c>
      <c r="Q4" s="99">
        <v>40900</v>
      </c>
    </row>
    <row r="5" spans="1:17" x14ac:dyDescent="0.4">
      <c r="A5" s="51" t="s">
        <v>7</v>
      </c>
      <c r="B5" s="156">
        <f>IF(B$2=0,0,B$4/B$2)</f>
        <v>4.8779220779220758</v>
      </c>
      <c r="C5" s="157"/>
      <c r="E5" s="59" t="s">
        <v>64</v>
      </c>
      <c r="F5" s="56" t="s">
        <v>20</v>
      </c>
      <c r="G5" s="44">
        <v>84</v>
      </c>
      <c r="H5" s="129">
        <f>IF(B$17=0,0,G5/B$17)</f>
        <v>0.40579710144927539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2751.5151515151515</v>
      </c>
      <c r="P5" s="115">
        <v>66</v>
      </c>
      <c r="Q5" s="99">
        <v>181600</v>
      </c>
    </row>
    <row r="6" spans="1:17" x14ac:dyDescent="0.4">
      <c r="A6" s="51" t="s">
        <v>1</v>
      </c>
      <c r="B6" s="146">
        <f>IF(B$2=0,0,(B$7*1+B$8*2+B$9*3)/B$2)</f>
        <v>1.8441558441558441</v>
      </c>
      <c r="C6" s="147"/>
      <c r="E6" s="59" t="s">
        <v>68</v>
      </c>
      <c r="F6" s="56" t="s">
        <v>12</v>
      </c>
      <c r="G6" s="44">
        <v>58</v>
      </c>
      <c r="H6" s="129">
        <f>IF(B$17=0,0,G6/B$17)</f>
        <v>0.28019323671497587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473.01587301587301</v>
      </c>
      <c r="P6" s="115">
        <v>63</v>
      </c>
      <c r="Q6" s="99">
        <v>29800</v>
      </c>
    </row>
    <row r="7" spans="1:17" x14ac:dyDescent="0.4">
      <c r="A7" s="51" t="s">
        <v>2</v>
      </c>
      <c r="B7" s="44">
        <v>33</v>
      </c>
      <c r="C7" s="37">
        <f t="shared" ref="C7:C12" si="1">IF(B$2=0,0,B7/B$2)</f>
        <v>0.42857142857142855</v>
      </c>
      <c r="E7" s="59" t="s">
        <v>67</v>
      </c>
      <c r="F7" s="56" t="s">
        <v>23</v>
      </c>
      <c r="G7" s="44">
        <v>51</v>
      </c>
      <c r="H7" s="129">
        <f>IF(B$17=0,0,G7/B$17)</f>
        <v>0.24637681159420291</v>
      </c>
      <c r="I7" s="90">
        <v>9</v>
      </c>
      <c r="K7" s="36">
        <v>5</v>
      </c>
      <c r="L7" s="95">
        <v>-11.299999999999994</v>
      </c>
      <c r="N7" s="112" t="s">
        <v>135</v>
      </c>
      <c r="O7" s="119">
        <f t="shared" si="0"/>
        <v>2048.0769230769229</v>
      </c>
      <c r="P7" s="116">
        <v>52</v>
      </c>
      <c r="Q7" s="100">
        <v>106500</v>
      </c>
    </row>
    <row r="8" spans="1:17" x14ac:dyDescent="0.4">
      <c r="A8" s="51" t="s">
        <v>3</v>
      </c>
      <c r="B8" s="44">
        <v>23</v>
      </c>
      <c r="C8" s="37">
        <f t="shared" si="1"/>
        <v>0.29870129870129869</v>
      </c>
      <c r="E8" s="59" t="s">
        <v>89</v>
      </c>
      <c r="F8" s="56" t="s">
        <v>44</v>
      </c>
      <c r="G8" s="44">
        <v>25</v>
      </c>
      <c r="H8" s="129">
        <f>IF(B$17=0,0,G8/B$17)</f>
        <v>0.12077294685990338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21</v>
      </c>
      <c r="C9" s="38">
        <f t="shared" si="1"/>
        <v>0.27272727272727271</v>
      </c>
      <c r="E9" s="59" t="s">
        <v>69</v>
      </c>
      <c r="F9" s="56" t="s">
        <v>24</v>
      </c>
      <c r="G9" s="44">
        <v>23</v>
      </c>
      <c r="H9" s="129">
        <f>IF(B$17=0,0,G9/B$17)</f>
        <v>0.1111111111111111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11</v>
      </c>
      <c r="C10" s="38">
        <f t="shared" si="1"/>
        <v>0.14285714285714285</v>
      </c>
      <c r="E10" s="59" t="s">
        <v>71</v>
      </c>
      <c r="F10" s="56" t="s">
        <v>26</v>
      </c>
      <c r="G10" s="44">
        <v>18</v>
      </c>
      <c r="H10" s="129">
        <f>IF(B$17=0,0,G10/B$17)</f>
        <v>8.6956521739130432E-2</v>
      </c>
      <c r="I10" s="90">
        <v>5</v>
      </c>
      <c r="K10" s="36">
        <v>8</v>
      </c>
      <c r="L10" s="95">
        <v>-56.79999999999999</v>
      </c>
      <c r="N10" s="110" t="s">
        <v>162</v>
      </c>
      <c r="O10" s="120">
        <f>IF(P10=0,0,Q10/P10)</f>
        <v>7.6444444444444457</v>
      </c>
      <c r="P10" s="114">
        <v>18</v>
      </c>
      <c r="Q10" s="102">
        <v>137.60000000000002</v>
      </c>
    </row>
    <row r="11" spans="1:17" x14ac:dyDescent="0.4">
      <c r="A11" s="52" t="s">
        <v>138</v>
      </c>
      <c r="B11" s="45">
        <v>8</v>
      </c>
      <c r="C11" s="38">
        <f t="shared" si="1"/>
        <v>0.1038961038961039</v>
      </c>
      <c r="E11" s="59" t="s">
        <v>65</v>
      </c>
      <c r="F11" s="56" t="s">
        <v>21</v>
      </c>
      <c r="G11" s="44">
        <v>17</v>
      </c>
      <c r="H11" s="129">
        <f>IF(B$17=0,0,G11/B$17)</f>
        <v>8.2125603864734303E-2</v>
      </c>
      <c r="I11" s="90">
        <v>9</v>
      </c>
      <c r="K11" s="36">
        <v>9</v>
      </c>
      <c r="L11" s="95">
        <v>-83.699999999999989</v>
      </c>
      <c r="N11" s="111" t="s">
        <v>163</v>
      </c>
      <c r="O11" s="121">
        <f>IF(P11=0,0,Q11/P11)</f>
        <v>6.6954545454545462</v>
      </c>
      <c r="P11" s="115">
        <v>22</v>
      </c>
      <c r="Q11" s="103">
        <v>147.30000000000001</v>
      </c>
    </row>
    <row r="12" spans="1:17" x14ac:dyDescent="0.4">
      <c r="A12" s="53" t="s">
        <v>158</v>
      </c>
      <c r="B12" s="46">
        <v>17</v>
      </c>
      <c r="C12" s="40">
        <f t="shared" si="1"/>
        <v>0.22077922077922077</v>
      </c>
      <c r="E12" s="59" t="s">
        <v>70</v>
      </c>
      <c r="F12" s="56" t="s">
        <v>25</v>
      </c>
      <c r="G12" s="44">
        <v>16</v>
      </c>
      <c r="H12" s="129">
        <f>IF(B$17=0,0,G12/B$17)</f>
        <v>7.7294685990338161E-2</v>
      </c>
      <c r="I12" s="90">
        <v>8</v>
      </c>
      <c r="K12" s="36">
        <v>10</v>
      </c>
      <c r="L12" s="95">
        <v>-78.399999999999991</v>
      </c>
      <c r="N12" s="112" t="s">
        <v>164</v>
      </c>
      <c r="O12" s="122">
        <f>IF(P12=0,0,Q12/P12)</f>
        <v>2.4513513513513505</v>
      </c>
      <c r="P12" s="116">
        <v>37</v>
      </c>
      <c r="Q12" s="104">
        <v>90.699999999999974</v>
      </c>
    </row>
    <row r="13" spans="1:17" x14ac:dyDescent="0.4">
      <c r="A13" s="54" t="s">
        <v>121</v>
      </c>
      <c r="B13" s="47">
        <v>151</v>
      </c>
      <c r="C13" s="42">
        <f>IF(B$3=0,0,B13/B$3)</f>
        <v>0.23088685015290519</v>
      </c>
      <c r="E13" s="59" t="s">
        <v>86</v>
      </c>
      <c r="F13" s="56" t="s">
        <v>41</v>
      </c>
      <c r="G13" s="44">
        <v>15</v>
      </c>
      <c r="H13" s="129">
        <f>IF(B$17=0,0,G13/B$17)</f>
        <v>7.2463768115942032E-2</v>
      </c>
      <c r="I13" s="90">
        <v>2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200</v>
      </c>
      <c r="C14" s="37">
        <f>IF(B$3=0,0,B14/B$3)</f>
        <v>0.3058103975535168</v>
      </c>
      <c r="E14" s="59" t="s">
        <v>83</v>
      </c>
      <c r="F14" s="56" t="s">
        <v>38</v>
      </c>
      <c r="G14" s="44">
        <v>10</v>
      </c>
      <c r="H14" s="129">
        <f>IF(B$17=0,0,G14/B$17)</f>
        <v>4.8309178743961352E-2</v>
      </c>
      <c r="I14" s="90">
        <v>8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81</v>
      </c>
      <c r="C15" s="35">
        <f>IF(B$13=0,0,B15/B$13)</f>
        <v>0.53642384105960261</v>
      </c>
      <c r="E15" s="59" t="s">
        <v>91</v>
      </c>
      <c r="F15" s="56" t="s">
        <v>46</v>
      </c>
      <c r="G15" s="44">
        <v>7</v>
      </c>
      <c r="H15" s="129">
        <f>IF(B$17=0,0,G15/B$17)</f>
        <v>3.3816425120772944E-2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79</v>
      </c>
      <c r="C16" s="35">
        <f>IF(B$14=0,0,B16/B$14)</f>
        <v>0.39500000000000002</v>
      </c>
      <c r="E16" s="59" t="s">
        <v>78</v>
      </c>
      <c r="F16" s="56" t="s">
        <v>33</v>
      </c>
      <c r="G16" s="44">
        <v>6</v>
      </c>
      <c r="H16" s="129">
        <f>IF(B$17=0,0,G16/B$17)</f>
        <v>2.8985507246376812E-2</v>
      </c>
      <c r="I16" s="90">
        <v>3</v>
      </c>
      <c r="K16" s="36">
        <v>14</v>
      </c>
      <c r="L16" s="95">
        <v>-138.4</v>
      </c>
      <c r="N16" s="111" t="s">
        <v>182</v>
      </c>
      <c r="O16" s="121">
        <f>IF(P16=0,0,Q16/P16)</f>
        <v>53.81428571428571</v>
      </c>
      <c r="P16" s="115">
        <v>7</v>
      </c>
      <c r="Q16" s="103">
        <v>376.7</v>
      </c>
    </row>
    <row r="17" spans="1:17" x14ac:dyDescent="0.4">
      <c r="A17" s="50" t="s">
        <v>10</v>
      </c>
      <c r="B17" s="43">
        <f>B19+B18</f>
        <v>207</v>
      </c>
      <c r="C17" s="35">
        <f>IF(B$3=0,0,B17/B$3)</f>
        <v>0.3165137614678899</v>
      </c>
      <c r="E17" s="59" t="s">
        <v>79</v>
      </c>
      <c r="F17" s="56" t="s">
        <v>34</v>
      </c>
      <c r="G17" s="44">
        <v>5</v>
      </c>
      <c r="H17" s="129">
        <f>IF(B$17=0,0,G17/B$17)</f>
        <v>2.4154589371980676E-2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>IF(P17=0,0,Q17/P17)</f>
        <v>19.850000000000001</v>
      </c>
      <c r="P17" s="115">
        <v>2</v>
      </c>
      <c r="Q17" s="103">
        <v>39.700000000000003</v>
      </c>
    </row>
    <row r="18" spans="1:17" x14ac:dyDescent="0.4">
      <c r="A18" s="51" t="s">
        <v>12</v>
      </c>
      <c r="B18" s="44">
        <v>82</v>
      </c>
      <c r="C18" s="37">
        <f>IF(B$17=0,0,B18/B$17)</f>
        <v>0.39613526570048307</v>
      </c>
      <c r="E18" s="59" t="s">
        <v>81</v>
      </c>
      <c r="F18" s="56" t="s">
        <v>36</v>
      </c>
      <c r="G18" s="44">
        <v>4</v>
      </c>
      <c r="H18" s="129">
        <f>IF(B$17=0,0,G18/B$17)</f>
        <v>1.932367149758454E-2</v>
      </c>
      <c r="I18" s="90">
        <v>5</v>
      </c>
      <c r="K18" s="36">
        <v>16</v>
      </c>
      <c r="L18" s="95">
        <v>-187.3</v>
      </c>
      <c r="N18" s="111" t="s">
        <v>178</v>
      </c>
      <c r="O18" s="121">
        <f>IF(P18=0,0,Q18/P18)</f>
        <v>12.731818181818188</v>
      </c>
      <c r="P18" s="115">
        <v>22</v>
      </c>
      <c r="Q18" s="103">
        <v>280.10000000000014</v>
      </c>
    </row>
    <row r="19" spans="1:17" x14ac:dyDescent="0.4">
      <c r="A19" s="51" t="s">
        <v>11</v>
      </c>
      <c r="B19" s="44">
        <v>125</v>
      </c>
      <c r="C19" s="37">
        <f>IF(B$17=0,0,B19/B$17)</f>
        <v>0.60386473429951693</v>
      </c>
      <c r="E19" s="59" t="s">
        <v>74</v>
      </c>
      <c r="F19" s="56" t="s">
        <v>29</v>
      </c>
      <c r="G19" s="44">
        <v>2</v>
      </c>
      <c r="H19" s="129">
        <f>IF(B$17=0,0,G19/B$17)</f>
        <v>9.6618357487922701E-3</v>
      </c>
      <c r="I19" s="90">
        <v>3</v>
      </c>
      <c r="K19" s="36">
        <v>17</v>
      </c>
      <c r="L19" s="95">
        <v>-179.70000000000002</v>
      </c>
      <c r="N19" s="111" t="s">
        <v>177</v>
      </c>
      <c r="O19" s="121">
        <f>IF(P19=0,0,Q19/P19)</f>
        <v>12.182608695652181</v>
      </c>
      <c r="P19" s="115">
        <v>23</v>
      </c>
      <c r="Q19" s="103">
        <v>280.20000000000016</v>
      </c>
    </row>
    <row r="20" spans="1:17" x14ac:dyDescent="0.4">
      <c r="A20" s="51" t="s">
        <v>13</v>
      </c>
      <c r="B20" s="44">
        <v>122</v>
      </c>
      <c r="C20" s="37">
        <f>IF(B$3=0,0,B20/B$3)</f>
        <v>0.18654434250764526</v>
      </c>
      <c r="E20" s="59" t="s">
        <v>84</v>
      </c>
      <c r="F20" s="56" t="s">
        <v>39</v>
      </c>
      <c r="G20" s="44">
        <v>1</v>
      </c>
      <c r="H20" s="129">
        <f>IF(B$17=0,0,G20/B$17)</f>
        <v>4.830917874396135E-3</v>
      </c>
      <c r="I20" s="90">
        <v>2</v>
      </c>
      <c r="K20" s="36">
        <v>18</v>
      </c>
      <c r="L20" s="95">
        <v>-112.90000000000002</v>
      </c>
      <c r="N20" s="111" t="s">
        <v>179</v>
      </c>
      <c r="O20" s="121">
        <f>IF(P20=0,0,Q20/P20)</f>
        <v>10.948148148148144</v>
      </c>
      <c r="P20" s="115">
        <v>27</v>
      </c>
      <c r="Q20" s="103">
        <v>295.59999999999991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92</v>
      </c>
      <c r="F21" s="56" t="s">
        <v>47</v>
      </c>
      <c r="G21" s="44">
        <v>1</v>
      </c>
      <c r="H21" s="129">
        <f>IF(B$17=0,0,G21/B$17)</f>
        <v>4.830917874396135E-3</v>
      </c>
      <c r="I21" s="90">
        <v>4</v>
      </c>
      <c r="K21" s="36">
        <v>19</v>
      </c>
      <c r="L21" s="95">
        <v>-162.40000000000003</v>
      </c>
      <c r="N21" s="111" t="s">
        <v>166</v>
      </c>
      <c r="O21" s="121">
        <f>IF(P21=0,0,Q21/P21)</f>
        <v>7.1263157894736819</v>
      </c>
      <c r="P21" s="115">
        <v>19</v>
      </c>
      <c r="Q21" s="103">
        <v>135.39999999999995</v>
      </c>
    </row>
    <row r="22" spans="1:17" x14ac:dyDescent="0.4">
      <c r="A22" s="51" t="s">
        <v>170</v>
      </c>
      <c r="B22" s="44">
        <v>23</v>
      </c>
      <c r="C22" s="131">
        <v>14</v>
      </c>
      <c r="E22" s="59" t="s">
        <v>95</v>
      </c>
      <c r="F22" s="56" t="s">
        <v>50</v>
      </c>
      <c r="G22" s="44">
        <v>1</v>
      </c>
      <c r="H22" s="129">
        <f>IF(B$17=0,0,G22/B$17)</f>
        <v>4.830917874396135E-3</v>
      </c>
      <c r="I22" s="90">
        <v>2</v>
      </c>
      <c r="K22" s="36">
        <v>20</v>
      </c>
      <c r="L22" s="95">
        <v>-96.000000000000028</v>
      </c>
      <c r="N22" s="111" t="s">
        <v>126</v>
      </c>
      <c r="O22" s="121">
        <f>IF(P22=0,0,Q22/P22)</f>
        <v>-8.2980769230769234</v>
      </c>
      <c r="P22" s="115">
        <v>52</v>
      </c>
      <c r="Q22" s="103">
        <v>-431.50000000000006</v>
      </c>
    </row>
    <row r="23" spans="1:17" x14ac:dyDescent="0.4">
      <c r="A23" s="51" t="s">
        <v>5</v>
      </c>
      <c r="B23" s="48">
        <f>IF(B$17=0,0,C23/B$17)</f>
        <v>8763.7681159420281</v>
      </c>
      <c r="C23" s="39">
        <v>1814100</v>
      </c>
      <c r="E23" s="59" t="s">
        <v>167</v>
      </c>
      <c r="F23" s="56" t="s">
        <v>168</v>
      </c>
      <c r="G23" s="44">
        <v>1</v>
      </c>
      <c r="H23" s="129">
        <f>IF(B$17=0,0,G23/B$17)</f>
        <v>4.830917874396135E-3</v>
      </c>
      <c r="I23" s="90">
        <v>7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9132.8125</v>
      </c>
      <c r="C24" s="137">
        <v>1169000</v>
      </c>
      <c r="E24" s="59" t="s">
        <v>73</v>
      </c>
      <c r="F24" s="56" t="s">
        <v>28</v>
      </c>
      <c r="G24" s="44">
        <v>0</v>
      </c>
      <c r="H24" s="129">
        <f>IF(B$17=0,0,G24/B$17)</f>
        <v>0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8165.8227848101269</v>
      </c>
      <c r="C25" s="137">
        <v>645100</v>
      </c>
      <c r="E25" s="59" t="s">
        <v>75</v>
      </c>
      <c r="F25" s="56" t="s">
        <v>30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-7828.688524590164</v>
      </c>
      <c r="C26" s="137">
        <v>-955100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4">
        <v>8</v>
      </c>
      <c r="C27" s="145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2">
        <v>91800</v>
      </c>
      <c r="C28" s="143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4.5871559633027525E-3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8DE24-429C-4E87-9B00-317105A869DD}">
  <sheetPr codeName="Sheet15"/>
  <dimension ref="A1:Q52"/>
  <sheetViews>
    <sheetView showGridLines="0" topLeftCell="C1" zoomScaleNormal="100" workbookViewId="0">
      <selection activeCell="R26" sqref="R26"/>
    </sheetView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177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44</v>
      </c>
      <c r="C2" s="151"/>
      <c r="E2" s="58" t="s">
        <v>66</v>
      </c>
      <c r="F2" s="55" t="s">
        <v>22</v>
      </c>
      <c r="G2" s="43">
        <v>87</v>
      </c>
      <c r="H2" s="128">
        <f>IF(B$17=0,0,G2/B$17)</f>
        <v>0.87878787878787878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2465.909090909091</v>
      </c>
      <c r="P2" s="114">
        <v>44</v>
      </c>
      <c r="Q2" s="98">
        <v>108500</v>
      </c>
    </row>
    <row r="3" spans="1:17" x14ac:dyDescent="0.4">
      <c r="A3" s="51" t="s">
        <v>8</v>
      </c>
      <c r="B3" s="152">
        <v>353</v>
      </c>
      <c r="C3" s="153"/>
      <c r="E3" s="59" t="s">
        <v>72</v>
      </c>
      <c r="F3" s="56" t="s">
        <v>27</v>
      </c>
      <c r="G3" s="44">
        <v>58</v>
      </c>
      <c r="H3" s="129">
        <f>IF(B$17=0,0,G3/B$17)</f>
        <v>0.58585858585858586</v>
      </c>
      <c r="I3" s="90">
        <v>3</v>
      </c>
      <c r="K3" s="36">
        <v>1</v>
      </c>
      <c r="L3" s="95">
        <v>-9.1</v>
      </c>
      <c r="N3" s="111" t="s">
        <v>131</v>
      </c>
      <c r="O3" s="118">
        <f t="shared" si="0"/>
        <v>-3007.1428571428573</v>
      </c>
      <c r="P3" s="115">
        <v>42</v>
      </c>
      <c r="Q3" s="99">
        <v>-126300</v>
      </c>
    </row>
    <row r="4" spans="1:17" x14ac:dyDescent="0.4">
      <c r="A4" s="51" t="s">
        <v>6</v>
      </c>
      <c r="B4" s="154">
        <v>107.10000000000007</v>
      </c>
      <c r="C4" s="155"/>
      <c r="E4" s="59" t="s">
        <v>64</v>
      </c>
      <c r="F4" s="56" t="s">
        <v>20</v>
      </c>
      <c r="G4" s="44">
        <v>49</v>
      </c>
      <c r="H4" s="129">
        <f>IF(B$17=0,0,G4/B$17)</f>
        <v>0.49494949494949497</v>
      </c>
      <c r="I4" s="90">
        <v>5</v>
      </c>
      <c r="K4" s="36">
        <v>2</v>
      </c>
      <c r="L4" s="95">
        <v>-67.3</v>
      </c>
      <c r="N4" s="111" t="s">
        <v>132</v>
      </c>
      <c r="O4" s="118">
        <f t="shared" si="0"/>
        <v>1494.8717948717949</v>
      </c>
      <c r="P4" s="115">
        <v>39</v>
      </c>
      <c r="Q4" s="99">
        <v>58300</v>
      </c>
    </row>
    <row r="5" spans="1:17" x14ac:dyDescent="0.4">
      <c r="A5" s="51" t="s">
        <v>7</v>
      </c>
      <c r="B5" s="156">
        <f>IF(B$2=0,0,B$4/B$2)</f>
        <v>2.4340909090909104</v>
      </c>
      <c r="C5" s="157"/>
      <c r="E5" s="59" t="s">
        <v>67</v>
      </c>
      <c r="F5" s="56" t="s">
        <v>23</v>
      </c>
      <c r="G5" s="44">
        <v>42</v>
      </c>
      <c r="H5" s="129">
        <f>IF(B$17=0,0,G5/B$17)</f>
        <v>0.42424242424242425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3656.7567567567567</v>
      </c>
      <c r="P5" s="115">
        <v>37</v>
      </c>
      <c r="Q5" s="99">
        <v>135300</v>
      </c>
    </row>
    <row r="6" spans="1:17" x14ac:dyDescent="0.4">
      <c r="A6" s="51" t="s">
        <v>1</v>
      </c>
      <c r="B6" s="146">
        <f>IF(B$2=0,0,(B$7*1+B$8*2+B$9*3)/B$2)</f>
        <v>1.9090909090909092</v>
      </c>
      <c r="C6" s="147"/>
      <c r="E6" s="59" t="s">
        <v>68</v>
      </c>
      <c r="F6" s="56" t="s">
        <v>12</v>
      </c>
      <c r="G6" s="44">
        <v>36</v>
      </c>
      <c r="H6" s="129">
        <f>IF(B$17=0,0,G6/B$17)</f>
        <v>0.36363636363636365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-3011.7647058823532</v>
      </c>
      <c r="P6" s="115">
        <v>34</v>
      </c>
      <c r="Q6" s="99">
        <v>-102400</v>
      </c>
    </row>
    <row r="7" spans="1:17" x14ac:dyDescent="0.4">
      <c r="A7" s="51" t="s">
        <v>2</v>
      </c>
      <c r="B7" s="44">
        <v>18</v>
      </c>
      <c r="C7" s="37">
        <f t="shared" ref="C7:C12" si="1">IF(B$2=0,0,B7/B$2)</f>
        <v>0.40909090909090912</v>
      </c>
      <c r="E7" s="59" t="s">
        <v>171</v>
      </c>
      <c r="F7" s="56" t="s">
        <v>172</v>
      </c>
      <c r="G7" s="44">
        <v>36</v>
      </c>
      <c r="H7" s="129">
        <f>IF(B$17=0,0,G7/B$17)</f>
        <v>0.36363636363636365</v>
      </c>
      <c r="I7" s="90">
        <v>7</v>
      </c>
      <c r="K7" s="36">
        <v>5</v>
      </c>
      <c r="L7" s="95">
        <v>-118.3</v>
      </c>
      <c r="N7" s="112" t="s">
        <v>135</v>
      </c>
      <c r="O7" s="119">
        <f t="shared" si="0"/>
        <v>34.615384615384613</v>
      </c>
      <c r="P7" s="116">
        <v>26</v>
      </c>
      <c r="Q7" s="100">
        <v>900</v>
      </c>
    </row>
    <row r="8" spans="1:17" x14ac:dyDescent="0.4">
      <c r="A8" s="51" t="s">
        <v>3</v>
      </c>
      <c r="B8" s="44">
        <v>12</v>
      </c>
      <c r="C8" s="37">
        <f t="shared" si="1"/>
        <v>0.27272727272727271</v>
      </c>
      <c r="E8" s="59" t="s">
        <v>89</v>
      </c>
      <c r="F8" s="56" t="s">
        <v>44</v>
      </c>
      <c r="G8" s="44">
        <v>24</v>
      </c>
      <c r="H8" s="129">
        <f>IF(B$17=0,0,G8/B$17)</f>
        <v>0.24242424242424243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14</v>
      </c>
      <c r="C9" s="38">
        <f t="shared" si="1"/>
        <v>0.31818181818181818</v>
      </c>
      <c r="E9" s="59" t="s">
        <v>69</v>
      </c>
      <c r="F9" s="56" t="s">
        <v>24</v>
      </c>
      <c r="G9" s="44">
        <v>21</v>
      </c>
      <c r="H9" s="129">
        <f>IF(B$17=0,0,G9/B$17)</f>
        <v>0.21212121212121213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0.11363636363636363</v>
      </c>
      <c r="E10" s="59" t="s">
        <v>65</v>
      </c>
      <c r="F10" s="56" t="s">
        <v>21</v>
      </c>
      <c r="G10" s="44">
        <v>9</v>
      </c>
      <c r="H10" s="129">
        <f>IF(B$17=0,0,G10/B$17)</f>
        <v>9.0909090909090912E-2</v>
      </c>
      <c r="I10" s="90">
        <v>8</v>
      </c>
      <c r="K10" s="36">
        <v>8</v>
      </c>
      <c r="L10" s="95">
        <v>-110.19999999999999</v>
      </c>
      <c r="N10" s="110" t="s">
        <v>162</v>
      </c>
      <c r="O10" s="120">
        <f>IF(P10=0,0,Q10/P10)</f>
        <v>7.8333333333333348</v>
      </c>
      <c r="P10" s="114">
        <v>15</v>
      </c>
      <c r="Q10" s="102">
        <v>117.50000000000003</v>
      </c>
    </row>
    <row r="11" spans="1:17" x14ac:dyDescent="0.4">
      <c r="A11" s="52" t="s">
        <v>138</v>
      </c>
      <c r="B11" s="45">
        <v>8</v>
      </c>
      <c r="C11" s="38">
        <f t="shared" si="1"/>
        <v>0.18181818181818182</v>
      </c>
      <c r="E11" s="59" t="s">
        <v>70</v>
      </c>
      <c r="F11" s="56" t="s">
        <v>25</v>
      </c>
      <c r="G11" s="44">
        <v>8</v>
      </c>
      <c r="H11" s="129">
        <f>IF(B$17=0,0,G11/B$17)</f>
        <v>8.0808080808080815E-2</v>
      </c>
      <c r="I11" s="90">
        <v>7</v>
      </c>
      <c r="K11" s="36">
        <v>9</v>
      </c>
      <c r="L11" s="95">
        <v>-120.99999999999999</v>
      </c>
      <c r="N11" s="111" t="s">
        <v>163</v>
      </c>
      <c r="O11" s="121">
        <f>IF(P11=0,0,Q11/P11)</f>
        <v>4.2421052631578942</v>
      </c>
      <c r="P11" s="115">
        <v>19</v>
      </c>
      <c r="Q11" s="103">
        <v>80.599999999999994</v>
      </c>
    </row>
    <row r="12" spans="1:17" x14ac:dyDescent="0.4">
      <c r="A12" s="53" t="s">
        <v>158</v>
      </c>
      <c r="B12" s="46">
        <v>4</v>
      </c>
      <c r="C12" s="40">
        <f t="shared" si="1"/>
        <v>9.0909090909090912E-2</v>
      </c>
      <c r="E12" s="59" t="s">
        <v>71</v>
      </c>
      <c r="F12" s="56" t="s">
        <v>26</v>
      </c>
      <c r="G12" s="44">
        <v>6</v>
      </c>
      <c r="H12" s="129">
        <f>IF(B$17=0,0,G12/B$17)</f>
        <v>6.0606060606060608E-2</v>
      </c>
      <c r="I12" s="90">
        <v>10</v>
      </c>
      <c r="K12" s="36">
        <v>10</v>
      </c>
      <c r="L12" s="95">
        <v>-113.29999999999998</v>
      </c>
      <c r="N12" s="112" t="s">
        <v>164</v>
      </c>
      <c r="O12" s="122">
        <f>IF(P12=0,0,Q12/P12)</f>
        <v>-9.1</v>
      </c>
      <c r="P12" s="116">
        <v>10</v>
      </c>
      <c r="Q12" s="104">
        <v>-91</v>
      </c>
    </row>
    <row r="13" spans="1:17" x14ac:dyDescent="0.4">
      <c r="A13" s="54" t="s">
        <v>121</v>
      </c>
      <c r="B13" s="47">
        <v>107</v>
      </c>
      <c r="C13" s="42">
        <f>IF(B$3=0,0,B13/B$3)</f>
        <v>0.30311614730878189</v>
      </c>
      <c r="E13" s="59" t="s">
        <v>83</v>
      </c>
      <c r="F13" s="56" t="s">
        <v>38</v>
      </c>
      <c r="G13" s="44">
        <v>6</v>
      </c>
      <c r="H13" s="129">
        <f>IF(B$17=0,0,G13/B$17)</f>
        <v>6.0606060606060608E-2</v>
      </c>
      <c r="I13" s="90">
        <v>6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71</v>
      </c>
      <c r="C14" s="37">
        <f>IF(B$3=0,0,B14/B$3)</f>
        <v>0.20113314447592068</v>
      </c>
      <c r="E14" s="59" t="s">
        <v>167</v>
      </c>
      <c r="F14" s="56" t="s">
        <v>168</v>
      </c>
      <c r="G14" s="44">
        <v>4</v>
      </c>
      <c r="H14" s="129">
        <f>IF(B$17=0,0,G14/B$17)</f>
        <v>4.0404040404040407E-2</v>
      </c>
      <c r="I14" s="90">
        <v>1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53</v>
      </c>
      <c r="C15" s="35">
        <f>IF(B$13=0,0,B15/B$13)</f>
        <v>0.49532710280373832</v>
      </c>
      <c r="E15" s="59" t="s">
        <v>86</v>
      </c>
      <c r="F15" s="56" t="s">
        <v>41</v>
      </c>
      <c r="G15" s="44">
        <v>3</v>
      </c>
      <c r="H15" s="129">
        <f>IF(B$17=0,0,G15/B$17)</f>
        <v>3.0303030303030304E-2</v>
      </c>
      <c r="I15" s="90">
        <v>8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32</v>
      </c>
      <c r="C16" s="35">
        <f>IF(B$14=0,0,B16/B$14)</f>
        <v>0.45070422535211269</v>
      </c>
      <c r="E16" s="59" t="s">
        <v>92</v>
      </c>
      <c r="F16" s="56" t="s">
        <v>47</v>
      </c>
      <c r="G16" s="44">
        <v>3</v>
      </c>
      <c r="H16" s="129">
        <f>IF(B$17=0,0,G16/B$17)</f>
        <v>3.0303030303030304E-2</v>
      </c>
      <c r="I16" s="90">
        <v>1</v>
      </c>
      <c r="K16" s="36">
        <v>14</v>
      </c>
      <c r="L16" s="95">
        <v>-86.499999999999972</v>
      </c>
      <c r="N16" s="111" t="s">
        <v>166</v>
      </c>
      <c r="O16" s="121">
        <f>IF(P16=0,0,Q16/P16)</f>
        <v>29.560000000000002</v>
      </c>
      <c r="P16" s="115">
        <v>5</v>
      </c>
      <c r="Q16" s="103">
        <v>147.80000000000001</v>
      </c>
    </row>
    <row r="17" spans="1:17" x14ac:dyDescent="0.4">
      <c r="A17" s="50" t="s">
        <v>10</v>
      </c>
      <c r="B17" s="43">
        <f>B19+B18</f>
        <v>99</v>
      </c>
      <c r="C17" s="35">
        <f>IF(B$3=0,0,B17/B$3)</f>
        <v>0.28045325779036828</v>
      </c>
      <c r="E17" s="59" t="s">
        <v>81</v>
      </c>
      <c r="F17" s="56" t="s">
        <v>36</v>
      </c>
      <c r="G17" s="44">
        <v>2</v>
      </c>
      <c r="H17" s="129">
        <f>IF(B$17=0,0,G17/B$17)</f>
        <v>2.0202020202020204E-2</v>
      </c>
      <c r="I17" s="90">
        <v>4</v>
      </c>
      <c r="K17" s="36">
        <v>15</v>
      </c>
      <c r="L17" s="95">
        <v>-101.79999999999997</v>
      </c>
      <c r="N17" s="111" t="s">
        <v>182</v>
      </c>
      <c r="O17" s="121">
        <f>IF(P17=0,0,Q17/P17)</f>
        <v>20.7</v>
      </c>
      <c r="P17" s="115">
        <v>12</v>
      </c>
      <c r="Q17" s="103">
        <v>248.4</v>
      </c>
    </row>
    <row r="18" spans="1:17" x14ac:dyDescent="0.4">
      <c r="A18" s="51" t="s">
        <v>12</v>
      </c>
      <c r="B18" s="44">
        <v>46</v>
      </c>
      <c r="C18" s="37">
        <f>IF(B$17=0,0,B18/B$17)</f>
        <v>0.46464646464646464</v>
      </c>
      <c r="E18" s="59" t="s">
        <v>91</v>
      </c>
      <c r="F18" s="56" t="s">
        <v>46</v>
      </c>
      <c r="G18" s="44">
        <v>2</v>
      </c>
      <c r="H18" s="129">
        <f>IF(B$17=0,0,G18/B$17)</f>
        <v>2.0202020202020204E-2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>IF(P18=0,0,Q18/P18)</f>
        <v>14.204761904761906</v>
      </c>
      <c r="P18" s="115">
        <v>21</v>
      </c>
      <c r="Q18" s="103">
        <v>298.3</v>
      </c>
    </row>
    <row r="19" spans="1:17" x14ac:dyDescent="0.4">
      <c r="A19" s="51" t="s">
        <v>11</v>
      </c>
      <c r="B19" s="44">
        <v>53</v>
      </c>
      <c r="C19" s="37">
        <f>IF(B$17=0,0,B19/B$17)</f>
        <v>0.53535353535353536</v>
      </c>
      <c r="E19" s="59" t="s">
        <v>75</v>
      </c>
      <c r="F19" s="56" t="s">
        <v>30</v>
      </c>
      <c r="G19" s="44">
        <v>1</v>
      </c>
      <c r="H19" s="129">
        <f>IF(B$17=0,0,G19/B$17)</f>
        <v>1.0101010101010102E-2</v>
      </c>
      <c r="I19" s="90">
        <v>4</v>
      </c>
      <c r="K19" s="36">
        <v>17</v>
      </c>
      <c r="L19" s="95">
        <v>-55.799999999999969</v>
      </c>
      <c r="N19" s="111" t="s">
        <v>126</v>
      </c>
      <c r="O19" s="121">
        <f>IF(P19=0,0,Q19/P19)</f>
        <v>1.3562499999999984</v>
      </c>
      <c r="P19" s="115">
        <v>16</v>
      </c>
      <c r="Q19" s="103">
        <v>21.699999999999974</v>
      </c>
    </row>
    <row r="20" spans="1:17" x14ac:dyDescent="0.4">
      <c r="A20" s="51" t="s">
        <v>13</v>
      </c>
      <c r="B20" s="44">
        <v>59</v>
      </c>
      <c r="C20" s="37">
        <f>IF(B$3=0,0,B20/B$3)</f>
        <v>0.16713881019830029</v>
      </c>
      <c r="E20" s="59" t="s">
        <v>78</v>
      </c>
      <c r="F20" s="56" t="s">
        <v>33</v>
      </c>
      <c r="G20" s="44">
        <v>1</v>
      </c>
      <c r="H20" s="129">
        <f>IF(B$17=0,0,G20/B$17)</f>
        <v>1.0101010101010102E-2</v>
      </c>
      <c r="I20" s="90">
        <v>8</v>
      </c>
      <c r="K20" s="36">
        <v>18</v>
      </c>
      <c r="L20" s="95">
        <v>-24.999999999999968</v>
      </c>
      <c r="N20" s="111" t="s">
        <v>179</v>
      </c>
      <c r="O20" s="121">
        <f>IF(P20=0,0,Q20/P20)</f>
        <v>-1</v>
      </c>
      <c r="P20" s="115">
        <v>6</v>
      </c>
      <c r="Q20" s="103">
        <v>-6</v>
      </c>
    </row>
    <row r="21" spans="1:17" x14ac:dyDescent="0.4">
      <c r="A21" s="51" t="s">
        <v>169</v>
      </c>
      <c r="B21" s="44">
        <v>3</v>
      </c>
      <c r="C21" s="131">
        <v>1</v>
      </c>
      <c r="E21" s="59" t="s">
        <v>85</v>
      </c>
      <c r="F21" s="56" t="s">
        <v>40</v>
      </c>
      <c r="G21" s="44">
        <v>1</v>
      </c>
      <c r="H21" s="129">
        <f>IF(B$17=0,0,G21/B$17)</f>
        <v>1.0101010101010102E-2</v>
      </c>
      <c r="I21" s="90">
        <v>2</v>
      </c>
      <c r="K21" s="36">
        <v>19</v>
      </c>
      <c r="L21" s="95">
        <v>-27.799999999999969</v>
      </c>
      <c r="N21" s="111" t="s">
        <v>127</v>
      </c>
      <c r="O21" s="121">
        <f>IF(P21=0,0,Q21/P21)</f>
        <v>-12.182608695652178</v>
      </c>
      <c r="P21" s="115">
        <v>23</v>
      </c>
      <c r="Q21" s="103">
        <v>-280.2000000000001</v>
      </c>
    </row>
    <row r="22" spans="1:17" x14ac:dyDescent="0.4">
      <c r="A22" s="51" t="s">
        <v>170</v>
      </c>
      <c r="B22" s="44">
        <v>25</v>
      </c>
      <c r="C22" s="131">
        <v>7</v>
      </c>
      <c r="E22" s="59" t="s">
        <v>90</v>
      </c>
      <c r="F22" s="56" t="s">
        <v>45</v>
      </c>
      <c r="G22" s="44">
        <v>1</v>
      </c>
      <c r="H22" s="129">
        <f>IF(B$17=0,0,G22/B$17)</f>
        <v>1.0101010101010102E-2</v>
      </c>
      <c r="I22" s="90">
        <v>1</v>
      </c>
      <c r="K22" s="36">
        <v>20</v>
      </c>
      <c r="L22" s="95">
        <v>-50.39999999999997</v>
      </c>
      <c r="N22" s="111" t="s">
        <v>181</v>
      </c>
      <c r="O22" s="121">
        <f>IF(P22=0,0,Q22/P22)</f>
        <v>-76.666666666666671</v>
      </c>
      <c r="P22" s="115">
        <v>3</v>
      </c>
      <c r="Q22" s="103">
        <v>-230</v>
      </c>
    </row>
    <row r="23" spans="1:17" x14ac:dyDescent="0.4">
      <c r="A23" s="51" t="s">
        <v>5</v>
      </c>
      <c r="B23" s="48">
        <f>IF(B$17=0,0,C23/B$17)</f>
        <v>10155.555555555555</v>
      </c>
      <c r="C23" s="39">
        <v>1005400</v>
      </c>
      <c r="E23" s="59" t="s">
        <v>73</v>
      </c>
      <c r="F23" s="56" t="s">
        <v>28</v>
      </c>
      <c r="G23" s="44">
        <v>0</v>
      </c>
      <c r="H23" s="129">
        <f>IF(B$17=0,0,G23/B$17)</f>
        <v>0</v>
      </c>
      <c r="I23" s="90">
        <v>3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11398.507462686568</v>
      </c>
      <c r="C24" s="137">
        <v>763700</v>
      </c>
      <c r="E24" s="59" t="s">
        <v>74</v>
      </c>
      <c r="F24" s="56" t="s">
        <v>29</v>
      </c>
      <c r="G24" s="44">
        <v>0</v>
      </c>
      <c r="H24" s="129">
        <f>IF(B$17=0,0,G24/B$17)</f>
        <v>0</v>
      </c>
      <c r="I24" s="90">
        <v>6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7553.125</v>
      </c>
      <c r="C25" s="137">
        <v>241700</v>
      </c>
      <c r="E25" s="59" t="s">
        <v>76</v>
      </c>
      <c r="F25" s="56" t="s">
        <v>31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-8408.4745762711864</v>
      </c>
      <c r="C26" s="137">
        <v>-496100</v>
      </c>
      <c r="E26" s="59" t="s">
        <v>77</v>
      </c>
      <c r="F26" s="56" t="s">
        <v>32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4">
        <v>8</v>
      </c>
      <c r="C27" s="145"/>
      <c r="E27" s="59" t="s">
        <v>79</v>
      </c>
      <c r="F27" s="56" t="s">
        <v>34</v>
      </c>
      <c r="G27" s="44">
        <v>0</v>
      </c>
      <c r="H27" s="129">
        <f>IF(B$17=0,0,G27/B$17)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2">
        <v>83000</v>
      </c>
      <c r="C28" s="143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E30" s="59" t="s">
        <v>84</v>
      </c>
      <c r="F30" s="56" t="s">
        <v>39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-10.999999999999972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-16.499999999999972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73.900000000000034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96.100000000000037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112.00000000000004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3B3EA-4ECE-4268-AE67-E9D72DB6C43B}">
  <sheetPr codeName="Sheet17"/>
  <dimension ref="A1:Q5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178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53</v>
      </c>
      <c r="C2" s="151"/>
      <c r="E2" s="58" t="s">
        <v>66</v>
      </c>
      <c r="F2" s="55" t="s">
        <v>22</v>
      </c>
      <c r="G2" s="43">
        <v>94</v>
      </c>
      <c r="H2" s="128">
        <f>IF(B$17=0,0,G2/B$17)</f>
        <v>0.77049180327868849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877.35849056603774</v>
      </c>
      <c r="P2" s="114">
        <v>53</v>
      </c>
      <c r="Q2" s="98">
        <v>46500</v>
      </c>
    </row>
    <row r="3" spans="1:17" x14ac:dyDescent="0.4">
      <c r="A3" s="51" t="s">
        <v>8</v>
      </c>
      <c r="B3" s="152">
        <v>433</v>
      </c>
      <c r="C3" s="153"/>
      <c r="E3" s="59" t="s">
        <v>72</v>
      </c>
      <c r="F3" s="56" t="s">
        <v>27</v>
      </c>
      <c r="G3" s="44">
        <v>80</v>
      </c>
      <c r="H3" s="129">
        <f>IF(B$17=0,0,G3/B$17)</f>
        <v>0.65573770491803274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1602</v>
      </c>
      <c r="P3" s="115">
        <v>50</v>
      </c>
      <c r="Q3" s="99">
        <v>80100</v>
      </c>
    </row>
    <row r="4" spans="1:17" x14ac:dyDescent="0.4">
      <c r="A4" s="51" t="s">
        <v>6</v>
      </c>
      <c r="B4" s="154">
        <v>5.800000000000022</v>
      </c>
      <c r="C4" s="155"/>
      <c r="E4" s="59" t="s">
        <v>64</v>
      </c>
      <c r="F4" s="56" t="s">
        <v>20</v>
      </c>
      <c r="G4" s="44">
        <v>61</v>
      </c>
      <c r="H4" s="129">
        <f>IF(B$17=0,0,G4/B$17)</f>
        <v>0.5</v>
      </c>
      <c r="I4" s="90">
        <v>4</v>
      </c>
      <c r="K4" s="36">
        <v>2</v>
      </c>
      <c r="L4" s="95">
        <v>8.1000000000000014</v>
      </c>
      <c r="N4" s="111" t="s">
        <v>132</v>
      </c>
      <c r="O4" s="118">
        <f t="shared" si="0"/>
        <v>-1800</v>
      </c>
      <c r="P4" s="115">
        <v>47</v>
      </c>
      <c r="Q4" s="99">
        <v>-84600</v>
      </c>
    </row>
    <row r="5" spans="1:17" x14ac:dyDescent="0.4">
      <c r="A5" s="51" t="s">
        <v>7</v>
      </c>
      <c r="B5" s="156">
        <f>IF(B$2=0,0,B$4/B$2)</f>
        <v>0.10943396226415136</v>
      </c>
      <c r="C5" s="157"/>
      <c r="E5" s="59" t="s">
        <v>171</v>
      </c>
      <c r="F5" s="56" t="s">
        <v>172</v>
      </c>
      <c r="G5" s="44">
        <v>52</v>
      </c>
      <c r="H5" s="129">
        <f>IF(B$17=0,0,G5/B$17)</f>
        <v>0.42622950819672129</v>
      </c>
      <c r="I5" s="90">
        <v>2</v>
      </c>
      <c r="K5" s="36">
        <v>3</v>
      </c>
      <c r="L5" s="95">
        <v>25.8</v>
      </c>
      <c r="N5" s="111" t="s">
        <v>133</v>
      </c>
      <c r="O5" s="118">
        <f t="shared" si="0"/>
        <v>539.53488372093022</v>
      </c>
      <c r="P5" s="115">
        <v>43</v>
      </c>
      <c r="Q5" s="99">
        <v>23200</v>
      </c>
    </row>
    <row r="6" spans="1:17" x14ac:dyDescent="0.4">
      <c r="A6" s="51" t="s">
        <v>1</v>
      </c>
      <c r="B6" s="146">
        <f>IF(B$2=0,0,(B$7*1+B$8*2+B$9*3)/B$2)</f>
        <v>2.0754716981132075</v>
      </c>
      <c r="C6" s="147"/>
      <c r="E6" s="59" t="s">
        <v>67</v>
      </c>
      <c r="F6" s="56" t="s">
        <v>23</v>
      </c>
      <c r="G6" s="44">
        <v>50</v>
      </c>
      <c r="H6" s="129">
        <f>IF(B$17=0,0,G6/B$17)</f>
        <v>0.4098360655737705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-23.684210526315791</v>
      </c>
      <c r="P6" s="115">
        <v>38</v>
      </c>
      <c r="Q6" s="99">
        <v>-900</v>
      </c>
    </row>
    <row r="7" spans="1:17" x14ac:dyDescent="0.4">
      <c r="A7" s="51" t="s">
        <v>2</v>
      </c>
      <c r="B7" s="44">
        <v>10</v>
      </c>
      <c r="C7" s="37">
        <f t="shared" ref="C7:C12" si="1">IF(B$2=0,0,B7/B$2)</f>
        <v>0.18867924528301888</v>
      </c>
      <c r="E7" s="59" t="s">
        <v>68</v>
      </c>
      <c r="F7" s="56" t="s">
        <v>12</v>
      </c>
      <c r="G7" s="44">
        <v>40</v>
      </c>
      <c r="H7" s="129">
        <f>IF(B$17=0,0,G7/B$17)</f>
        <v>0.32786885245901637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-940.625</v>
      </c>
      <c r="P7" s="116">
        <v>32</v>
      </c>
      <c r="Q7" s="100">
        <v>-30100</v>
      </c>
    </row>
    <row r="8" spans="1:17" x14ac:dyDescent="0.4">
      <c r="A8" s="51" t="s">
        <v>3</v>
      </c>
      <c r="B8" s="44">
        <v>29</v>
      </c>
      <c r="C8" s="37">
        <f t="shared" si="1"/>
        <v>0.54716981132075471</v>
      </c>
      <c r="E8" s="59" t="s">
        <v>69</v>
      </c>
      <c r="F8" s="56" t="s">
        <v>24</v>
      </c>
      <c r="G8" s="44">
        <v>17</v>
      </c>
      <c r="H8" s="129">
        <f>IF(B$17=0,0,G8/B$17)</f>
        <v>0.13934426229508196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14</v>
      </c>
      <c r="C9" s="38">
        <f t="shared" si="1"/>
        <v>0.26415094339622641</v>
      </c>
      <c r="E9" s="59" t="s">
        <v>70</v>
      </c>
      <c r="F9" s="56" t="s">
        <v>25</v>
      </c>
      <c r="G9" s="44">
        <v>10</v>
      </c>
      <c r="H9" s="129">
        <f>IF(B$17=0,0,G9/B$17)</f>
        <v>8.1967213114754092E-2</v>
      </c>
      <c r="I9" s="90">
        <v>6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7.5471698113207544E-2</v>
      </c>
      <c r="E10" s="59" t="s">
        <v>71</v>
      </c>
      <c r="F10" s="56" t="s">
        <v>26</v>
      </c>
      <c r="G10" s="44">
        <v>10</v>
      </c>
      <c r="H10" s="129">
        <f>IF(B$17=0,0,G10/B$17)</f>
        <v>8.1967213114754092E-2</v>
      </c>
      <c r="I10" s="90">
        <v>6</v>
      </c>
      <c r="K10" s="36">
        <v>8</v>
      </c>
      <c r="L10" s="95">
        <v>-46.7</v>
      </c>
      <c r="N10" s="110" t="s">
        <v>162</v>
      </c>
      <c r="O10" s="120">
        <f>IF(P10=0,0,Q10/P10)</f>
        <v>1.5619047619047617</v>
      </c>
      <c r="P10" s="114">
        <v>21</v>
      </c>
      <c r="Q10" s="102">
        <v>32.799999999999997</v>
      </c>
    </row>
    <row r="11" spans="1:17" x14ac:dyDescent="0.4">
      <c r="A11" s="52" t="s">
        <v>138</v>
      </c>
      <c r="B11" s="45">
        <v>4</v>
      </c>
      <c r="C11" s="38">
        <f t="shared" si="1"/>
        <v>7.5471698113207544E-2</v>
      </c>
      <c r="E11" s="59" t="s">
        <v>89</v>
      </c>
      <c r="F11" s="56" t="s">
        <v>44</v>
      </c>
      <c r="G11" s="44">
        <v>10</v>
      </c>
      <c r="H11" s="129">
        <f>IF(B$17=0,0,G11/B$17)</f>
        <v>8.1967213114754092E-2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3.0142857142857147</v>
      </c>
      <c r="P11" s="115">
        <v>14</v>
      </c>
      <c r="Q11" s="103">
        <v>42.2</v>
      </c>
    </row>
    <row r="12" spans="1:17" x14ac:dyDescent="0.4">
      <c r="A12" s="53" t="s">
        <v>158</v>
      </c>
      <c r="B12" s="46">
        <v>1</v>
      </c>
      <c r="C12" s="40">
        <f t="shared" si="1"/>
        <v>1.8867924528301886E-2</v>
      </c>
      <c r="E12" s="59" t="s">
        <v>65</v>
      </c>
      <c r="F12" s="56" t="s">
        <v>21</v>
      </c>
      <c r="G12" s="44">
        <v>9</v>
      </c>
      <c r="H12" s="129">
        <f>IF(B$17=0,0,G12/B$17)</f>
        <v>7.3770491803278687E-2</v>
      </c>
      <c r="I12" s="90">
        <v>10</v>
      </c>
      <c r="K12" s="36">
        <v>10</v>
      </c>
      <c r="L12" s="95">
        <v>-146.69999999999999</v>
      </c>
      <c r="N12" s="112" t="s">
        <v>164</v>
      </c>
      <c r="O12" s="122">
        <f>IF(P12=0,0,Q12/P12)</f>
        <v>-3.8444444444444437</v>
      </c>
      <c r="P12" s="116">
        <v>18</v>
      </c>
      <c r="Q12" s="104">
        <v>-69.199999999999989</v>
      </c>
    </row>
    <row r="13" spans="1:17" x14ac:dyDescent="0.4">
      <c r="A13" s="54" t="s">
        <v>121</v>
      </c>
      <c r="B13" s="47">
        <v>111</v>
      </c>
      <c r="C13" s="42">
        <f>IF(B$3=0,0,B13/B$3)</f>
        <v>0.25635103926096997</v>
      </c>
      <c r="E13" s="59" t="s">
        <v>79</v>
      </c>
      <c r="F13" s="56" t="s">
        <v>34</v>
      </c>
      <c r="G13" s="44">
        <v>5</v>
      </c>
      <c r="H13" s="129">
        <f>IF(B$17=0,0,G13/B$17)</f>
        <v>4.0983606557377046E-2</v>
      </c>
      <c r="I13" s="90">
        <v>2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108</v>
      </c>
      <c r="C14" s="37">
        <f>IF(B$3=0,0,B14/B$3)</f>
        <v>0.24942263279445728</v>
      </c>
      <c r="E14" s="59" t="s">
        <v>86</v>
      </c>
      <c r="F14" s="56" t="s">
        <v>41</v>
      </c>
      <c r="G14" s="44">
        <v>5</v>
      </c>
      <c r="H14" s="129">
        <f>IF(B$17=0,0,G14/B$17)</f>
        <v>4.0983606557377046E-2</v>
      </c>
      <c r="I14" s="90">
        <v>7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65</v>
      </c>
      <c r="C15" s="35">
        <f>IF(B$13=0,0,B15/B$13)</f>
        <v>0.5855855855855856</v>
      </c>
      <c r="E15" s="59" t="s">
        <v>83</v>
      </c>
      <c r="F15" s="56" t="s">
        <v>38</v>
      </c>
      <c r="G15" s="44">
        <v>4</v>
      </c>
      <c r="H15" s="129">
        <f>IF(B$17=0,0,G15/B$17)</f>
        <v>3.2786885245901641E-2</v>
      </c>
      <c r="I15" s="90">
        <v>10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42</v>
      </c>
      <c r="C16" s="35">
        <f>IF(B$14=0,0,B16/B$14)</f>
        <v>0.3888888888888889</v>
      </c>
      <c r="E16" s="59" t="s">
        <v>167</v>
      </c>
      <c r="F16" s="56" t="s">
        <v>168</v>
      </c>
      <c r="G16" s="44">
        <v>4</v>
      </c>
      <c r="H16" s="129">
        <f>IF(B$17=0,0,G16/B$17)</f>
        <v>3.2786885245901641E-2</v>
      </c>
      <c r="I16" s="90">
        <v>3</v>
      </c>
      <c r="K16" s="36">
        <v>14</v>
      </c>
      <c r="L16" s="95">
        <v>-25.79999999999999</v>
      </c>
      <c r="N16" s="111" t="s">
        <v>179</v>
      </c>
      <c r="O16" s="121">
        <f>IF(P16=0,0,Q16/P16)</f>
        <v>31.71</v>
      </c>
      <c r="P16" s="115">
        <v>10</v>
      </c>
      <c r="Q16" s="103">
        <v>317.10000000000002</v>
      </c>
    </row>
    <row r="17" spans="1:17" x14ac:dyDescent="0.4">
      <c r="A17" s="50" t="s">
        <v>10</v>
      </c>
      <c r="B17" s="43">
        <f>B19+B18</f>
        <v>122</v>
      </c>
      <c r="C17" s="35">
        <f>IF(B$3=0,0,B17/B$3)</f>
        <v>0.28175519630484991</v>
      </c>
      <c r="E17" s="59" t="s">
        <v>78</v>
      </c>
      <c r="F17" s="56" t="s">
        <v>33</v>
      </c>
      <c r="G17" s="44">
        <v>3</v>
      </c>
      <c r="H17" s="129">
        <f>IF(B$17=0,0,G17/B$17)</f>
        <v>2.4590163934426229E-2</v>
      </c>
      <c r="I17" s="90">
        <v>4</v>
      </c>
      <c r="K17" s="36">
        <v>15</v>
      </c>
      <c r="L17" s="95">
        <v>-35.499999999999986</v>
      </c>
      <c r="N17" s="111" t="s">
        <v>222</v>
      </c>
      <c r="O17" s="121">
        <f>IF(P17=0,0,Q17/P17)</f>
        <v>27.200000000000003</v>
      </c>
      <c r="P17" s="115">
        <v>1</v>
      </c>
      <c r="Q17" s="103">
        <v>27.200000000000003</v>
      </c>
    </row>
    <row r="18" spans="1:17" x14ac:dyDescent="0.4">
      <c r="A18" s="51" t="s">
        <v>12</v>
      </c>
      <c r="B18" s="44">
        <v>53</v>
      </c>
      <c r="C18" s="37">
        <f>IF(B$17=0,0,B18/B$17)</f>
        <v>0.4344262295081967</v>
      </c>
      <c r="E18" s="59" t="s">
        <v>73</v>
      </c>
      <c r="F18" s="56" t="s">
        <v>28</v>
      </c>
      <c r="G18" s="44">
        <v>2</v>
      </c>
      <c r="H18" s="129">
        <f>IF(B$17=0,0,G18/B$17)</f>
        <v>1.6393442622950821E-2</v>
      </c>
      <c r="I18" s="90">
        <v>1</v>
      </c>
      <c r="K18" s="36">
        <v>16</v>
      </c>
      <c r="L18" s="95">
        <v>-35.599999999999987</v>
      </c>
      <c r="N18" s="111" t="s">
        <v>182</v>
      </c>
      <c r="O18" s="121">
        <f>IF(P18=0,0,Q18/P18)</f>
        <v>15.787499999999996</v>
      </c>
      <c r="P18" s="115">
        <v>16</v>
      </c>
      <c r="Q18" s="103">
        <v>252.59999999999994</v>
      </c>
    </row>
    <row r="19" spans="1:17" x14ac:dyDescent="0.4">
      <c r="A19" s="51" t="s">
        <v>11</v>
      </c>
      <c r="B19" s="44">
        <v>69</v>
      </c>
      <c r="C19" s="37">
        <f>IF(B$17=0,0,B19/B$17)</f>
        <v>0.56557377049180324</v>
      </c>
      <c r="E19" s="59" t="s">
        <v>81</v>
      </c>
      <c r="F19" s="56" t="s">
        <v>36</v>
      </c>
      <c r="G19" s="44">
        <v>1</v>
      </c>
      <c r="H19" s="129">
        <f>IF(B$17=0,0,G19/B$17)</f>
        <v>8.1967213114754103E-3</v>
      </c>
      <c r="I19" s="90">
        <v>8</v>
      </c>
      <c r="K19" s="36">
        <v>17</v>
      </c>
      <c r="L19" s="95">
        <v>-29.799999999999986</v>
      </c>
      <c r="N19" s="111" t="s">
        <v>166</v>
      </c>
      <c r="O19" s="121">
        <f>IF(P19=0,0,Q19/P19)</f>
        <v>6.26</v>
      </c>
      <c r="P19" s="115">
        <v>10</v>
      </c>
      <c r="Q19" s="103">
        <v>62.599999999999994</v>
      </c>
    </row>
    <row r="20" spans="1:17" x14ac:dyDescent="0.4">
      <c r="A20" s="51" t="s">
        <v>13</v>
      </c>
      <c r="B20" s="44">
        <v>57</v>
      </c>
      <c r="C20" s="37">
        <f>IF(B$3=0,0,B20/B$3)</f>
        <v>0.13163972286374134</v>
      </c>
      <c r="E20" s="59" t="s">
        <v>85</v>
      </c>
      <c r="F20" s="56" t="s">
        <v>40</v>
      </c>
      <c r="G20" s="44">
        <v>1</v>
      </c>
      <c r="H20" s="129">
        <f>IF(B$17=0,0,G20/B$17)</f>
        <v>8.1967213114754103E-3</v>
      </c>
      <c r="I20" s="90">
        <v>3</v>
      </c>
      <c r="K20" s="36">
        <v>18</v>
      </c>
      <c r="L20" s="95">
        <v>-62.399999999999991</v>
      </c>
      <c r="N20" s="111" t="s">
        <v>127</v>
      </c>
      <c r="O20" s="121">
        <f>IF(P20=0,0,Q20/P20)</f>
        <v>-12.731818181818182</v>
      </c>
      <c r="P20" s="115">
        <v>22</v>
      </c>
      <c r="Q20" s="103">
        <v>-280.10000000000002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87</v>
      </c>
      <c r="F21" s="56" t="s">
        <v>42</v>
      </c>
      <c r="G21" s="44">
        <v>1</v>
      </c>
      <c r="H21" s="129">
        <f>IF(B$17=0,0,G21/B$17)</f>
        <v>8.1967213114754103E-3</v>
      </c>
      <c r="I21" s="90">
        <v>2</v>
      </c>
      <c r="K21" s="36">
        <v>19</v>
      </c>
      <c r="L21" s="95">
        <v>-56.399999999999991</v>
      </c>
      <c r="N21" s="111" t="s">
        <v>177</v>
      </c>
      <c r="O21" s="121">
        <f>IF(P21=0,0,Q21/P21)</f>
        <v>-14.204761904761906</v>
      </c>
      <c r="P21" s="115">
        <v>21</v>
      </c>
      <c r="Q21" s="103">
        <v>-298.3</v>
      </c>
    </row>
    <row r="22" spans="1:17" x14ac:dyDescent="0.4">
      <c r="A22" s="51" t="s">
        <v>170</v>
      </c>
      <c r="B22" s="44">
        <v>44</v>
      </c>
      <c r="C22" s="131">
        <v>28</v>
      </c>
      <c r="E22" s="59" t="s">
        <v>91</v>
      </c>
      <c r="F22" s="56" t="s">
        <v>46</v>
      </c>
      <c r="G22" s="44">
        <v>1</v>
      </c>
      <c r="H22" s="129">
        <f>IF(B$17=0,0,G22/B$17)</f>
        <v>8.1967213114754103E-3</v>
      </c>
      <c r="I22" s="90">
        <v>6</v>
      </c>
      <c r="K22" s="36">
        <v>20</v>
      </c>
      <c r="L22" s="95">
        <v>-93.199999999999989</v>
      </c>
      <c r="N22" s="111" t="s">
        <v>181</v>
      </c>
      <c r="O22" s="121">
        <f>IF(P22=0,0,Q22/P22)</f>
        <v>-15.5</v>
      </c>
      <c r="P22" s="115">
        <v>1</v>
      </c>
      <c r="Q22" s="103">
        <v>-15.5</v>
      </c>
    </row>
    <row r="23" spans="1:17" x14ac:dyDescent="0.4">
      <c r="A23" s="51" t="s">
        <v>5</v>
      </c>
      <c r="B23" s="48">
        <f>IF(B$17=0,0,C23/B$17)</f>
        <v>8558.1967213114749</v>
      </c>
      <c r="C23" s="39">
        <v>1044100</v>
      </c>
      <c r="E23" s="59" t="s">
        <v>101</v>
      </c>
      <c r="F23" s="56" t="s">
        <v>56</v>
      </c>
      <c r="G23" s="44">
        <v>1</v>
      </c>
      <c r="H23" s="129">
        <f>IF(B$17=0,0,G23/B$17)</f>
        <v>8.1967213114754103E-3</v>
      </c>
      <c r="I23" s="90">
        <v>1</v>
      </c>
      <c r="K23" s="36">
        <v>21</v>
      </c>
      <c r="L23" s="95">
        <v>-123.69999999999999</v>
      </c>
      <c r="N23" s="111" t="s">
        <v>126</v>
      </c>
      <c r="O23" s="121">
        <f>IF(P23=0,0,Q23/P23)</f>
        <v>-15.705000000000004</v>
      </c>
      <c r="P23" s="115">
        <v>20</v>
      </c>
      <c r="Q23" s="103">
        <v>-314.10000000000008</v>
      </c>
    </row>
    <row r="24" spans="1:17" x14ac:dyDescent="0.4">
      <c r="A24" s="52" t="s">
        <v>216</v>
      </c>
      <c r="B24" s="136">
        <f>IF($B$17-B$16=0,0,C24/($B$17-B$16))</f>
        <v>9727.5</v>
      </c>
      <c r="C24" s="137">
        <v>778200</v>
      </c>
      <c r="E24" s="59" t="s">
        <v>74</v>
      </c>
      <c r="F24" s="56" t="s">
        <v>29</v>
      </c>
      <c r="G24" s="44">
        <v>0</v>
      </c>
      <c r="H24" s="129">
        <f>IF(B$17=0,0,G24/B$17)</f>
        <v>0</v>
      </c>
      <c r="I24" s="90">
        <v>6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6330.9523809523807</v>
      </c>
      <c r="C25" s="137">
        <v>265900</v>
      </c>
      <c r="E25" s="59" t="s">
        <v>75</v>
      </c>
      <c r="F25" s="56" t="s">
        <v>30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-7705.2631578947367</v>
      </c>
      <c r="C26" s="137">
        <v>-439200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4">
        <v>6</v>
      </c>
      <c r="C27" s="145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2">
        <v>86500</v>
      </c>
      <c r="C28" s="143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4.6189376443418013E-3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-70.199999999999989</v>
      </c>
    </row>
    <row r="30" spans="1:17" x14ac:dyDescent="0.4">
      <c r="E30" s="59" t="s">
        <v>84</v>
      </c>
      <c r="F30" s="56" t="s">
        <v>39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-61.29999999999999</v>
      </c>
    </row>
    <row r="31" spans="1:17" x14ac:dyDescent="0.4">
      <c r="E31" s="59" t="s">
        <v>88</v>
      </c>
      <c r="F31" s="56" t="s">
        <v>43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1A444-B1B5-4625-8856-A805D895EE8B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182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28</v>
      </c>
      <c r="C2" s="151"/>
      <c r="E2" s="58" t="s">
        <v>66</v>
      </c>
      <c r="F2" s="55" t="s">
        <v>22</v>
      </c>
      <c r="G2" s="43">
        <v>36</v>
      </c>
      <c r="H2" s="128">
        <f>IF(B$17=0,0,G2/B$17)</f>
        <v>0.70588235294117652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-3196.4285714285716</v>
      </c>
      <c r="P2" s="114">
        <v>28</v>
      </c>
      <c r="Q2" s="98">
        <v>-89500</v>
      </c>
    </row>
    <row r="3" spans="1:17" x14ac:dyDescent="0.4">
      <c r="A3" s="51" t="s">
        <v>8</v>
      </c>
      <c r="B3" s="152">
        <v>223</v>
      </c>
      <c r="C3" s="153"/>
      <c r="E3" s="59" t="s">
        <v>72</v>
      </c>
      <c r="F3" s="56" t="s">
        <v>27</v>
      </c>
      <c r="G3" s="44">
        <v>26</v>
      </c>
      <c r="H3" s="129">
        <f>IF(B$17=0,0,G3/B$17)</f>
        <v>0.50980392156862742</v>
      </c>
      <c r="I3" s="90">
        <v>8</v>
      </c>
      <c r="K3" s="36">
        <v>1</v>
      </c>
      <c r="L3" s="95">
        <v>-12</v>
      </c>
      <c r="N3" s="111" t="s">
        <v>131</v>
      </c>
      <c r="O3" s="118">
        <f t="shared" si="0"/>
        <v>275</v>
      </c>
      <c r="P3" s="115">
        <v>28</v>
      </c>
      <c r="Q3" s="99">
        <v>7700</v>
      </c>
    </row>
    <row r="4" spans="1:17" x14ac:dyDescent="0.4">
      <c r="A4" s="51" t="s">
        <v>6</v>
      </c>
      <c r="B4" s="154">
        <v>-447.30000000000013</v>
      </c>
      <c r="C4" s="155"/>
      <c r="E4" s="59" t="s">
        <v>64</v>
      </c>
      <c r="F4" s="56" t="s">
        <v>20</v>
      </c>
      <c r="G4" s="44">
        <v>23</v>
      </c>
      <c r="H4" s="129">
        <f>IF(B$17=0,0,G4/B$17)</f>
        <v>0.45098039215686275</v>
      </c>
      <c r="I4" s="90">
        <v>7</v>
      </c>
      <c r="K4" s="36">
        <v>2</v>
      </c>
      <c r="L4" s="95">
        <v>-40.6</v>
      </c>
      <c r="N4" s="111" t="s">
        <v>132</v>
      </c>
      <c r="O4" s="118">
        <f t="shared" si="0"/>
        <v>-714.28571428571433</v>
      </c>
      <c r="P4" s="115">
        <v>28</v>
      </c>
      <c r="Q4" s="99">
        <v>-20000</v>
      </c>
    </row>
    <row r="5" spans="1:17" x14ac:dyDescent="0.4">
      <c r="A5" s="51" t="s">
        <v>7</v>
      </c>
      <c r="B5" s="156">
        <f>IF(B$2=0,0,B$4/B$2)</f>
        <v>-15.975000000000005</v>
      </c>
      <c r="C5" s="157"/>
      <c r="E5" s="59" t="s">
        <v>67</v>
      </c>
      <c r="F5" s="56" t="s">
        <v>23</v>
      </c>
      <c r="G5" s="44">
        <v>17</v>
      </c>
      <c r="H5" s="129">
        <f>IF(B$17=0,0,G5/B$17)</f>
        <v>0.33333333333333331</v>
      </c>
      <c r="I5" s="90">
        <v>5</v>
      </c>
      <c r="K5" s="36">
        <v>3</v>
      </c>
      <c r="L5" s="95">
        <v>-33.6</v>
      </c>
      <c r="N5" s="111" t="s">
        <v>133</v>
      </c>
      <c r="O5" s="118">
        <f t="shared" si="0"/>
        <v>-3414.8148148148148</v>
      </c>
      <c r="P5" s="115">
        <v>27</v>
      </c>
      <c r="Q5" s="99">
        <v>-92200</v>
      </c>
    </row>
    <row r="6" spans="1:17" x14ac:dyDescent="0.4">
      <c r="A6" s="51" t="s">
        <v>1</v>
      </c>
      <c r="B6" s="146">
        <f>IF(B$2=0,0,(B$7*1+B$8*2+B$9*3)/B$2)</f>
        <v>2.4642857142857144</v>
      </c>
      <c r="C6" s="147"/>
      <c r="E6" s="59" t="s">
        <v>68</v>
      </c>
      <c r="F6" s="56" t="s">
        <v>12</v>
      </c>
      <c r="G6" s="44">
        <v>17</v>
      </c>
      <c r="H6" s="129">
        <f>IF(B$17=0,0,G6/B$17)</f>
        <v>0.33333333333333331</v>
      </c>
      <c r="I6" s="90">
        <v>3</v>
      </c>
      <c r="K6" s="36">
        <v>4</v>
      </c>
      <c r="L6" s="95">
        <v>-80.5</v>
      </c>
      <c r="N6" s="111" t="s">
        <v>134</v>
      </c>
      <c r="O6" s="118">
        <f t="shared" si="0"/>
        <v>-1742.3076923076924</v>
      </c>
      <c r="P6" s="115">
        <v>26</v>
      </c>
      <c r="Q6" s="99">
        <v>-45300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0.10714285714285714</v>
      </c>
      <c r="E7" s="59" t="s">
        <v>171</v>
      </c>
      <c r="F7" s="56" t="s">
        <v>172</v>
      </c>
      <c r="G7" s="44">
        <v>17</v>
      </c>
      <c r="H7" s="129">
        <f>IF(B$17=0,0,G7/B$17)</f>
        <v>0.33333333333333331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-3476.1904761904761</v>
      </c>
      <c r="P7" s="116">
        <v>21</v>
      </c>
      <c r="Q7" s="100">
        <v>-73000</v>
      </c>
    </row>
    <row r="8" spans="1:17" x14ac:dyDescent="0.4">
      <c r="A8" s="51" t="s">
        <v>3</v>
      </c>
      <c r="B8" s="44">
        <v>9</v>
      </c>
      <c r="C8" s="37">
        <f t="shared" si="1"/>
        <v>0.32142857142857145</v>
      </c>
      <c r="E8" s="59" t="s">
        <v>89</v>
      </c>
      <c r="F8" s="56" t="s">
        <v>44</v>
      </c>
      <c r="G8" s="44">
        <v>7</v>
      </c>
      <c r="H8" s="129">
        <f>IF(B$17=0,0,G8/B$17)</f>
        <v>0.13725490196078433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16</v>
      </c>
      <c r="C9" s="38">
        <f t="shared" si="1"/>
        <v>0.5714285714285714</v>
      </c>
      <c r="E9" s="59" t="s">
        <v>65</v>
      </c>
      <c r="F9" s="56" t="s">
        <v>21</v>
      </c>
      <c r="G9" s="44">
        <v>6</v>
      </c>
      <c r="H9" s="129">
        <f>IF(B$17=0,0,G9/B$17)</f>
        <v>0.11764705882352941</v>
      </c>
      <c r="I9" s="90">
        <v>2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0.17857142857142858</v>
      </c>
      <c r="E10" s="59" t="s">
        <v>71</v>
      </c>
      <c r="F10" s="56" t="s">
        <v>26</v>
      </c>
      <c r="G10" s="44">
        <v>5</v>
      </c>
      <c r="H10" s="129">
        <f>IF(B$17=0,0,G10/B$17)</f>
        <v>9.8039215686274508E-2</v>
      </c>
      <c r="I10" s="90">
        <v>3</v>
      </c>
      <c r="K10" s="36">
        <v>8</v>
      </c>
      <c r="L10" s="95">
        <v>-152.6</v>
      </c>
      <c r="N10" s="110" t="s">
        <v>162</v>
      </c>
      <c r="O10" s="120">
        <f>IF(P10=0,0,Q10/P10)</f>
        <v>-23.131250000000001</v>
      </c>
      <c r="P10" s="114">
        <v>16</v>
      </c>
      <c r="Q10" s="102">
        <v>-370.1</v>
      </c>
    </row>
    <row r="11" spans="1:17" x14ac:dyDescent="0.4">
      <c r="A11" s="52" t="s">
        <v>138</v>
      </c>
      <c r="B11" s="45">
        <v>1</v>
      </c>
      <c r="C11" s="38">
        <f t="shared" si="1"/>
        <v>3.5714285714285712E-2</v>
      </c>
      <c r="E11" s="59" t="s">
        <v>69</v>
      </c>
      <c r="F11" s="56" t="s">
        <v>24</v>
      </c>
      <c r="G11" s="44">
        <v>4</v>
      </c>
      <c r="H11" s="129">
        <f>IF(B$17=0,0,G11/B$17)</f>
        <v>7.8431372549019607E-2</v>
      </c>
      <c r="I11" s="90">
        <v>9</v>
      </c>
      <c r="K11" s="36">
        <v>9</v>
      </c>
      <c r="L11" s="95">
        <v>-150.6</v>
      </c>
      <c r="N11" s="111" t="s">
        <v>163</v>
      </c>
      <c r="O11" s="121">
        <f>IF(P11=0,0,Q11/P11)</f>
        <v>-7.2874999999999988</v>
      </c>
      <c r="P11" s="115">
        <v>8</v>
      </c>
      <c r="Q11" s="103">
        <v>-58.29999999999999</v>
      </c>
    </row>
    <row r="12" spans="1:17" x14ac:dyDescent="0.4">
      <c r="A12" s="53" t="s">
        <v>158</v>
      </c>
      <c r="B12" s="46">
        <v>1</v>
      </c>
      <c r="C12" s="40">
        <f t="shared" si="1"/>
        <v>3.5714285714285712E-2</v>
      </c>
      <c r="E12" s="59" t="s">
        <v>83</v>
      </c>
      <c r="F12" s="56" t="s">
        <v>38</v>
      </c>
      <c r="G12" s="44">
        <v>4</v>
      </c>
      <c r="H12" s="129">
        <f>IF(B$17=0,0,G12/B$17)</f>
        <v>7.8431372549019607E-2</v>
      </c>
      <c r="I12" s="90">
        <v>3</v>
      </c>
      <c r="K12" s="36">
        <v>10</v>
      </c>
      <c r="L12" s="95">
        <v>-151.1</v>
      </c>
      <c r="N12" s="112" t="s">
        <v>164</v>
      </c>
      <c r="O12" s="122">
        <f>IF(P12=0,0,Q12/P12)</f>
        <v>-4.7249999999999996</v>
      </c>
      <c r="P12" s="116">
        <v>4</v>
      </c>
      <c r="Q12" s="104">
        <v>-18.899999999999999</v>
      </c>
    </row>
    <row r="13" spans="1:17" x14ac:dyDescent="0.4">
      <c r="A13" s="54" t="s">
        <v>121</v>
      </c>
      <c r="B13" s="47">
        <v>44</v>
      </c>
      <c r="C13" s="42">
        <f>IF(B$3=0,0,B13/B$3)</f>
        <v>0.19730941704035873</v>
      </c>
      <c r="E13" s="59" t="s">
        <v>86</v>
      </c>
      <c r="F13" s="56" t="s">
        <v>41</v>
      </c>
      <c r="G13" s="44">
        <v>4</v>
      </c>
      <c r="H13" s="129">
        <f>IF(B$17=0,0,G13/B$17)</f>
        <v>7.8431372549019607E-2</v>
      </c>
      <c r="I13" s="90">
        <v>1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47</v>
      </c>
      <c r="C14" s="37">
        <f>IF(B$3=0,0,B14/B$3)</f>
        <v>0.21076233183856502</v>
      </c>
      <c r="E14" s="59" t="s">
        <v>70</v>
      </c>
      <c r="F14" s="56" t="s">
        <v>25</v>
      </c>
      <c r="G14" s="44">
        <v>3</v>
      </c>
      <c r="H14" s="129">
        <f>IF(B$17=0,0,G14/B$17)</f>
        <v>5.8823529411764705E-2</v>
      </c>
      <c r="I14" s="90">
        <v>10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25</v>
      </c>
      <c r="C15" s="35">
        <f>IF(B$13=0,0,B15/B$13)</f>
        <v>0.56818181818181823</v>
      </c>
      <c r="E15" s="59" t="s">
        <v>81</v>
      </c>
      <c r="F15" s="56" t="s">
        <v>36</v>
      </c>
      <c r="G15" s="44">
        <v>2</v>
      </c>
      <c r="H15" s="129">
        <f>IF(B$17=0,0,G15/B$17)</f>
        <v>3.9215686274509803E-2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17</v>
      </c>
      <c r="C16" s="35">
        <f>IF(B$14=0,0,B16/B$14)</f>
        <v>0.36170212765957449</v>
      </c>
      <c r="E16" s="59" t="s">
        <v>74</v>
      </c>
      <c r="F16" s="56" t="s">
        <v>29</v>
      </c>
      <c r="G16" s="44">
        <v>1</v>
      </c>
      <c r="H16" s="129">
        <f>IF(B$17=0,0,G16/B$17)</f>
        <v>1.9607843137254902E-2</v>
      </c>
      <c r="I16" s="90">
        <v>1</v>
      </c>
      <c r="K16" s="36">
        <v>14</v>
      </c>
      <c r="L16" s="95">
        <v>-266.90000000000003</v>
      </c>
      <c r="N16" s="111" t="s">
        <v>178</v>
      </c>
      <c r="O16" s="121">
        <f>IF(P16=0,0,Q16/P16)</f>
        <v>-15.787499999999996</v>
      </c>
      <c r="P16" s="115">
        <v>16</v>
      </c>
      <c r="Q16" s="103">
        <v>-252.59999999999994</v>
      </c>
    </row>
    <row r="17" spans="1:17" x14ac:dyDescent="0.4">
      <c r="A17" s="50" t="s">
        <v>10</v>
      </c>
      <c r="B17" s="43">
        <f>B19+B18</f>
        <v>51</v>
      </c>
      <c r="C17" s="35">
        <f>IF(B$3=0,0,B17/B$3)</f>
        <v>0.22869955156950672</v>
      </c>
      <c r="E17" s="59" t="s">
        <v>78</v>
      </c>
      <c r="F17" s="56" t="s">
        <v>33</v>
      </c>
      <c r="G17" s="44">
        <v>1</v>
      </c>
      <c r="H17" s="129">
        <f>IF(B$17=0,0,G17/B$17)</f>
        <v>1.9607843137254902E-2</v>
      </c>
      <c r="I17" s="90">
        <v>7</v>
      </c>
      <c r="K17" s="36">
        <v>15</v>
      </c>
      <c r="L17" s="95">
        <v>-272.50000000000006</v>
      </c>
      <c r="N17" s="111" t="s">
        <v>222</v>
      </c>
      <c r="O17" s="121">
        <f>IF(P17=0,0,Q17/P17)</f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12</v>
      </c>
      <c r="B18" s="44">
        <v>26</v>
      </c>
      <c r="C18" s="37">
        <f>IF(B$17=0,0,B18/B$17)</f>
        <v>0.50980392156862742</v>
      </c>
      <c r="E18" s="59" t="s">
        <v>95</v>
      </c>
      <c r="F18" s="56" t="s">
        <v>50</v>
      </c>
      <c r="G18" s="44">
        <v>1</v>
      </c>
      <c r="H18" s="129">
        <f>IF(B$17=0,0,G18/B$17)</f>
        <v>1.9607843137254902E-2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>IF(P18=0,0,Q18/P18)</f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25</v>
      </c>
      <c r="C19" s="37">
        <f>IF(B$17=0,0,B19/B$17)</f>
        <v>0.49019607843137253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3</v>
      </c>
      <c r="K19" s="36">
        <v>17</v>
      </c>
      <c r="L19" s="95">
        <v>-352.60000000000008</v>
      </c>
      <c r="N19" s="111" t="s">
        <v>126</v>
      </c>
      <c r="O19" s="121">
        <f>IF(P19=0,0,Q19/P19)</f>
        <v>-21.962500000000002</v>
      </c>
      <c r="P19" s="115">
        <v>8</v>
      </c>
      <c r="Q19" s="103">
        <v>-175.70000000000002</v>
      </c>
    </row>
    <row r="20" spans="1:17" x14ac:dyDescent="0.4">
      <c r="A20" s="51" t="s">
        <v>13</v>
      </c>
      <c r="B20" s="44">
        <v>43</v>
      </c>
      <c r="C20" s="37">
        <f>IF(B$3=0,0,B20/B$3)</f>
        <v>0.19282511210762332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7</v>
      </c>
      <c r="K20" s="36">
        <v>18</v>
      </c>
      <c r="L20" s="95">
        <v>-355.50000000000006</v>
      </c>
      <c r="N20" s="111" t="s">
        <v>179</v>
      </c>
      <c r="O20" s="121">
        <f>IF(P20=0,0,Q20/P20)</f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181</v>
      </c>
      <c r="O21" s="121">
        <f>IF(P21=0,0,Q21/P21)</f>
        <v>-52.525000000000006</v>
      </c>
      <c r="P21" s="115">
        <v>4</v>
      </c>
      <c r="Q21" s="103">
        <v>-210.10000000000002</v>
      </c>
    </row>
    <row r="22" spans="1:17" x14ac:dyDescent="0.4">
      <c r="A22" s="51" t="s">
        <v>170</v>
      </c>
      <c r="B22" s="44">
        <v>16</v>
      </c>
      <c r="C22" s="131">
        <v>3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-428.10000000000008</v>
      </c>
      <c r="N22" s="111" t="s">
        <v>127</v>
      </c>
      <c r="O22" s="121">
        <f>IF(P22=0,0,Q22/P22)</f>
        <v>-53.81428571428571</v>
      </c>
      <c r="P22" s="115">
        <v>7</v>
      </c>
      <c r="Q22" s="103">
        <v>-376.7</v>
      </c>
    </row>
    <row r="23" spans="1:17" x14ac:dyDescent="0.4">
      <c r="A23" s="51" t="s">
        <v>5</v>
      </c>
      <c r="B23" s="48">
        <f>IF(B$17=0,0,C23/B$17)</f>
        <v>8100</v>
      </c>
      <c r="C23" s="39">
        <v>413100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>IF(P23=0,0,Q23/P23)</f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8132.3529411764703</v>
      </c>
      <c r="C24" s="137">
        <v>276500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8035.2941176470586</v>
      </c>
      <c r="C25" s="137">
        <v>136600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-8318.6046511627901</v>
      </c>
      <c r="C26" s="137">
        <v>-357700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4">
        <v>6</v>
      </c>
      <c r="C27" s="145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2">
        <v>85100</v>
      </c>
      <c r="C28" s="143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4.4843049327354259E-3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-447.30000000000013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B8C71-0BB4-4819-9EBC-CCA2E9D9066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181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14</v>
      </c>
      <c r="C2" s="151"/>
      <c r="E2" s="58" t="s">
        <v>66</v>
      </c>
      <c r="F2" s="55" t="s">
        <v>22</v>
      </c>
      <c r="G2" s="43">
        <v>40</v>
      </c>
      <c r="H2" s="128">
        <f>IF(B$17=0,0,G2/B$17)</f>
        <v>0.97560975609756095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-1321.4285714285713</v>
      </c>
      <c r="P2" s="114">
        <v>14</v>
      </c>
      <c r="Q2" s="98">
        <v>-18500</v>
      </c>
    </row>
    <row r="3" spans="1:17" x14ac:dyDescent="0.4">
      <c r="A3" s="51" t="s">
        <v>8</v>
      </c>
      <c r="B3" s="152">
        <v>142</v>
      </c>
      <c r="C3" s="153"/>
      <c r="E3" s="59" t="s">
        <v>64</v>
      </c>
      <c r="F3" s="56" t="s">
        <v>20</v>
      </c>
      <c r="G3" s="44">
        <v>25</v>
      </c>
      <c r="H3" s="129">
        <f>IF(B$17=0,0,G3/B$17)</f>
        <v>0.6097560975609756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800</v>
      </c>
      <c r="P3" s="115">
        <v>14</v>
      </c>
      <c r="Q3" s="99">
        <v>11200</v>
      </c>
    </row>
    <row r="4" spans="1:17" x14ac:dyDescent="0.4">
      <c r="A4" s="51" t="s">
        <v>6</v>
      </c>
      <c r="B4" s="154">
        <v>49.900000000000006</v>
      </c>
      <c r="C4" s="155"/>
      <c r="E4" s="59" t="s">
        <v>68</v>
      </c>
      <c r="F4" s="56" t="s">
        <v>12</v>
      </c>
      <c r="G4" s="44">
        <v>17</v>
      </c>
      <c r="H4" s="129">
        <f>IF(B$17=0,0,G4/B$17)</f>
        <v>0.41463414634146339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385.71428571428572</v>
      </c>
      <c r="P4" s="115">
        <v>14</v>
      </c>
      <c r="Q4" s="99">
        <v>5400</v>
      </c>
    </row>
    <row r="5" spans="1:17" x14ac:dyDescent="0.4">
      <c r="A5" s="51" t="s">
        <v>7</v>
      </c>
      <c r="B5" s="156">
        <f>IF(B$2=0,0,B$4/B$2)</f>
        <v>3.5642857142857145</v>
      </c>
      <c r="C5" s="157"/>
      <c r="E5" s="59" t="s">
        <v>171</v>
      </c>
      <c r="F5" s="56" t="s">
        <v>172</v>
      </c>
      <c r="G5" s="44">
        <v>15</v>
      </c>
      <c r="H5" s="129">
        <f>IF(B$17=0,0,G5/B$17)</f>
        <v>0.36585365853658536</v>
      </c>
      <c r="I5" s="90">
        <v>6</v>
      </c>
      <c r="K5" s="36">
        <v>3</v>
      </c>
      <c r="L5" s="95">
        <v>76</v>
      </c>
      <c r="N5" s="111" t="s">
        <v>133</v>
      </c>
      <c r="O5" s="118">
        <f t="shared" si="0"/>
        <v>-1492.3076923076924</v>
      </c>
      <c r="P5" s="115">
        <v>13</v>
      </c>
      <c r="Q5" s="99">
        <v>-19400</v>
      </c>
    </row>
    <row r="6" spans="1:17" x14ac:dyDescent="0.4">
      <c r="A6" s="51" t="s">
        <v>1</v>
      </c>
      <c r="B6" s="146">
        <f>IF(B$2=0,0,(B$7*1+B$8*2+B$9*3)/B$2)</f>
        <v>1.9285714285714286</v>
      </c>
      <c r="C6" s="147"/>
      <c r="E6" s="59" t="s">
        <v>72</v>
      </c>
      <c r="F6" s="56" t="s">
        <v>27</v>
      </c>
      <c r="G6" s="44">
        <v>13</v>
      </c>
      <c r="H6" s="129">
        <f>IF(B$17=0,0,G6/B$17)</f>
        <v>0.31707317073170732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6215.3846153846152</v>
      </c>
      <c r="P6" s="115">
        <v>13</v>
      </c>
      <c r="Q6" s="99">
        <v>80800</v>
      </c>
    </row>
    <row r="7" spans="1:17" x14ac:dyDescent="0.4">
      <c r="A7" s="51" t="s">
        <v>2</v>
      </c>
      <c r="B7" s="44">
        <v>5</v>
      </c>
      <c r="C7" s="37">
        <f t="shared" ref="C7:C12" si="1">IF(B$2=0,0,B7/B$2)</f>
        <v>0.35714285714285715</v>
      </c>
      <c r="E7" s="59" t="s">
        <v>67</v>
      </c>
      <c r="F7" s="56" t="s">
        <v>23</v>
      </c>
      <c r="G7" s="44">
        <v>10</v>
      </c>
      <c r="H7" s="129">
        <f>IF(B$17=0,0,G7/B$17)</f>
        <v>0.24390243902439024</v>
      </c>
      <c r="I7" s="90">
        <v>10</v>
      </c>
      <c r="K7" s="36">
        <v>5</v>
      </c>
      <c r="L7" s="95">
        <v>127.9</v>
      </c>
      <c r="N7" s="112" t="s">
        <v>135</v>
      </c>
      <c r="O7" s="119">
        <f t="shared" si="0"/>
        <v>1300</v>
      </c>
      <c r="P7" s="116">
        <v>9</v>
      </c>
      <c r="Q7" s="100">
        <v>11700</v>
      </c>
    </row>
    <row r="8" spans="1:17" x14ac:dyDescent="0.4">
      <c r="A8" s="51" t="s">
        <v>3</v>
      </c>
      <c r="B8" s="44">
        <v>5</v>
      </c>
      <c r="C8" s="37">
        <f t="shared" si="1"/>
        <v>0.35714285714285715</v>
      </c>
      <c r="E8" s="59" t="s">
        <v>69</v>
      </c>
      <c r="F8" s="56" t="s">
        <v>24</v>
      </c>
      <c r="G8" s="44">
        <v>8</v>
      </c>
      <c r="H8" s="129">
        <f>IF(B$17=0,0,G8/B$17)</f>
        <v>0.1951219512195122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0.2857142857142857</v>
      </c>
      <c r="E9" s="59" t="s">
        <v>70</v>
      </c>
      <c r="F9" s="56" t="s">
        <v>25</v>
      </c>
      <c r="G9" s="44">
        <v>5</v>
      </c>
      <c r="H9" s="129">
        <f>IF(B$17=0,0,G9/B$17)</f>
        <v>0.12195121951219512</v>
      </c>
      <c r="I9" s="90">
        <v>4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7.1428571428571425E-2</v>
      </c>
      <c r="E10" s="59" t="s">
        <v>71</v>
      </c>
      <c r="F10" s="56" t="s">
        <v>26</v>
      </c>
      <c r="G10" s="44">
        <v>5</v>
      </c>
      <c r="H10" s="129">
        <f>IF(B$17=0,0,G10/B$17)</f>
        <v>0.12195121951219512</v>
      </c>
      <c r="I10" s="90">
        <v>2</v>
      </c>
      <c r="K10" s="36">
        <v>8</v>
      </c>
      <c r="L10" s="95">
        <v>124.6</v>
      </c>
      <c r="N10" s="110" t="s">
        <v>162</v>
      </c>
      <c r="O10" s="120">
        <f>IF(P10=0,0,Q10/P10)</f>
        <v>-0.85714285714285665</v>
      </c>
      <c r="P10" s="114">
        <v>7</v>
      </c>
      <c r="Q10" s="102">
        <v>-5.9999999999999964</v>
      </c>
    </row>
    <row r="11" spans="1:17" x14ac:dyDescent="0.4">
      <c r="A11" s="52" t="s">
        <v>138</v>
      </c>
      <c r="B11" s="45">
        <v>2</v>
      </c>
      <c r="C11" s="38">
        <f t="shared" si="1"/>
        <v>0.14285714285714285</v>
      </c>
      <c r="E11" s="59" t="s">
        <v>65</v>
      </c>
      <c r="F11" s="56" t="s">
        <v>21</v>
      </c>
      <c r="G11" s="44">
        <v>4</v>
      </c>
      <c r="H11" s="129">
        <f>IF(B$17=0,0,G11/B$17)</f>
        <v>9.7560975609756101E-2</v>
      </c>
      <c r="I11" s="90">
        <v>5</v>
      </c>
      <c r="K11" s="36">
        <v>9</v>
      </c>
      <c r="L11" s="95">
        <v>141.5</v>
      </c>
      <c r="N11" s="111" t="s">
        <v>163</v>
      </c>
      <c r="O11" s="121">
        <f>IF(P11=0,0,Q11/P11)</f>
        <v>11.699999999999998</v>
      </c>
      <c r="P11" s="115">
        <v>3</v>
      </c>
      <c r="Q11" s="103">
        <v>35.099999999999994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3</v>
      </c>
      <c r="H12" s="129">
        <f>IF(B$17=0,0,G12/B$17)</f>
        <v>7.3170731707317069E-2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5.1999999999999993</v>
      </c>
      <c r="P12" s="116">
        <v>4</v>
      </c>
      <c r="Q12" s="104">
        <v>20.799999999999997</v>
      </c>
    </row>
    <row r="13" spans="1:17" x14ac:dyDescent="0.4">
      <c r="A13" s="54" t="s">
        <v>121</v>
      </c>
      <c r="B13" s="47">
        <v>40</v>
      </c>
      <c r="C13" s="42">
        <f>IF(B$3=0,0,B13/B$3)</f>
        <v>0.28169014084507044</v>
      </c>
      <c r="E13" s="59" t="s">
        <v>86</v>
      </c>
      <c r="F13" s="56" t="s">
        <v>41</v>
      </c>
      <c r="G13" s="44">
        <v>2</v>
      </c>
      <c r="H13" s="129">
        <f>IF(B$17=0,0,G13/B$17)</f>
        <v>4.878048780487805E-2</v>
      </c>
      <c r="I13" s="90">
        <v>4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0.15492957746478872</v>
      </c>
      <c r="E14" s="59" t="s">
        <v>75</v>
      </c>
      <c r="F14" s="56" t="s">
        <v>30</v>
      </c>
      <c r="G14" s="44">
        <v>1</v>
      </c>
      <c r="H14" s="129">
        <f>IF(B$17=0,0,G14/B$17)</f>
        <v>2.4390243902439025E-2</v>
      </c>
      <c r="I14" s="90">
        <v>1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25</v>
      </c>
      <c r="C15" s="35">
        <f>IF(B$13=0,0,B15/B$13)</f>
        <v>0.625</v>
      </c>
      <c r="E15" s="59" t="s">
        <v>78</v>
      </c>
      <c r="F15" s="56" t="s">
        <v>33</v>
      </c>
      <c r="G15" s="44">
        <v>1</v>
      </c>
      <c r="H15" s="129">
        <f>IF(B$17=0,0,G15/B$17)</f>
        <v>2.4390243902439025E-2</v>
      </c>
      <c r="I15" s="90">
        <v>5</v>
      </c>
      <c r="K15" s="36">
        <v>13</v>
      </c>
      <c r="L15" s="95">
        <v>76.7</v>
      </c>
      <c r="N15" s="110" t="s">
        <v>177</v>
      </c>
      <c r="O15" s="120">
        <f t="shared" ref="O15:O22" si="2">IF(P15=0,0,Q15/P15)</f>
        <v>76.666666666666671</v>
      </c>
      <c r="P15" s="114">
        <v>3</v>
      </c>
      <c r="Q15" s="102">
        <v>230</v>
      </c>
    </row>
    <row r="16" spans="1:17" x14ac:dyDescent="0.4">
      <c r="A16" s="50" t="s">
        <v>124</v>
      </c>
      <c r="B16" s="43">
        <v>7</v>
      </c>
      <c r="C16" s="35">
        <f>IF(B$14=0,0,B16/B$14)</f>
        <v>0.31818181818181818</v>
      </c>
      <c r="E16" s="59" t="s">
        <v>81</v>
      </c>
      <c r="F16" s="56" t="s">
        <v>36</v>
      </c>
      <c r="G16" s="44">
        <v>1</v>
      </c>
      <c r="H16" s="129">
        <f>IF(B$17=0,0,G16/B$17)</f>
        <v>2.4390243902439025E-2</v>
      </c>
      <c r="I16" s="90">
        <v>3</v>
      </c>
      <c r="K16" s="36">
        <v>14</v>
      </c>
      <c r="L16" s="95">
        <v>49.900000000000006</v>
      </c>
      <c r="N16" s="111" t="s">
        <v>182</v>
      </c>
      <c r="O16" s="121">
        <f t="shared" si="2"/>
        <v>52.525000000000006</v>
      </c>
      <c r="P16" s="115">
        <v>4</v>
      </c>
      <c r="Q16" s="103">
        <v>210.10000000000002</v>
      </c>
    </row>
    <row r="17" spans="1:17" x14ac:dyDescent="0.4">
      <c r="A17" s="50" t="s">
        <v>10</v>
      </c>
      <c r="B17" s="43">
        <f>B19+B18</f>
        <v>41</v>
      </c>
      <c r="C17" s="35">
        <f>IF(B$3=0,0,B17/B$3)</f>
        <v>0.28873239436619719</v>
      </c>
      <c r="E17" s="59" t="s">
        <v>85</v>
      </c>
      <c r="F17" s="56" t="s">
        <v>40</v>
      </c>
      <c r="G17" s="44">
        <v>1</v>
      </c>
      <c r="H17" s="129">
        <f>IF(B$17=0,0,G17/B$17)</f>
        <v>2.4390243902439025E-2</v>
      </c>
      <c r="I17" s="90">
        <v>1</v>
      </c>
      <c r="N17" s="111" t="s">
        <v>178</v>
      </c>
      <c r="O17" s="121">
        <f t="shared" si="2"/>
        <v>15.5</v>
      </c>
      <c r="P17" s="115">
        <v>1</v>
      </c>
      <c r="Q17" s="103">
        <v>15.5</v>
      </c>
    </row>
    <row r="18" spans="1:17" x14ac:dyDescent="0.4">
      <c r="A18" s="51" t="s">
        <v>12</v>
      </c>
      <c r="B18" s="44">
        <v>22</v>
      </c>
      <c r="C18" s="37">
        <f>IF(B$17=0,0,B18/B$17)</f>
        <v>0.53658536585365857</v>
      </c>
      <c r="E18" s="59" t="s">
        <v>87</v>
      </c>
      <c r="F18" s="56" t="s">
        <v>42</v>
      </c>
      <c r="G18" s="44">
        <v>1</v>
      </c>
      <c r="H18" s="129">
        <f>IF(B$17=0,0,G18/B$17)</f>
        <v>2.4390243902439025E-2</v>
      </c>
      <c r="I18" s="90">
        <v>1</v>
      </c>
      <c r="N18" s="111" t="s">
        <v>166</v>
      </c>
      <c r="O18" s="121">
        <f t="shared" si="2"/>
        <v>5.0400000000000009</v>
      </c>
      <c r="P18" s="115">
        <v>5</v>
      </c>
      <c r="Q18" s="103">
        <v>25.200000000000003</v>
      </c>
    </row>
    <row r="19" spans="1:17" x14ac:dyDescent="0.4">
      <c r="A19" s="51" t="s">
        <v>11</v>
      </c>
      <c r="B19" s="44">
        <v>19</v>
      </c>
      <c r="C19" s="37">
        <f>IF(B$17=0,0,B19/B$17)</f>
        <v>0.46341463414634149</v>
      </c>
      <c r="E19" s="59" t="s">
        <v>167</v>
      </c>
      <c r="F19" s="56" t="s">
        <v>168</v>
      </c>
      <c r="G19" s="44">
        <v>1</v>
      </c>
      <c r="H19" s="129">
        <f>IF(B$17=0,0,G19/B$17)</f>
        <v>2.4390243902439025E-2</v>
      </c>
      <c r="I19" s="90">
        <v>4</v>
      </c>
      <c r="N19" s="111" t="s">
        <v>179</v>
      </c>
      <c r="O19" s="121">
        <f t="shared" si="2"/>
        <v>-3.7285714285714278</v>
      </c>
      <c r="P19" s="115">
        <v>7</v>
      </c>
      <c r="Q19" s="103">
        <v>-26.099999999999994</v>
      </c>
    </row>
    <row r="20" spans="1:17" x14ac:dyDescent="0.4">
      <c r="A20" s="51" t="s">
        <v>13</v>
      </c>
      <c r="B20" s="44">
        <v>19</v>
      </c>
      <c r="C20" s="37">
        <f>IF(B$3=0,0,B20/B$3)</f>
        <v>0.13380281690140844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3</v>
      </c>
      <c r="N20" s="111" t="s">
        <v>195</v>
      </c>
      <c r="O20" s="121">
        <f t="shared" si="2"/>
        <v>-17.850000000000001</v>
      </c>
      <c r="P20" s="115">
        <v>2</v>
      </c>
      <c r="Q20" s="103">
        <v>-35.700000000000003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74</v>
      </c>
      <c r="F21" s="56" t="s">
        <v>29</v>
      </c>
      <c r="G21" s="44">
        <v>0</v>
      </c>
      <c r="H21" s="129">
        <f>IF(B$17=0,0,G21/B$17)</f>
        <v>0</v>
      </c>
      <c r="I21" s="90">
        <v>6</v>
      </c>
      <c r="N21" s="111" t="s">
        <v>127</v>
      </c>
      <c r="O21" s="121">
        <f t="shared" si="2"/>
        <v>-19.850000000000001</v>
      </c>
      <c r="P21" s="115">
        <v>2</v>
      </c>
      <c r="Q21" s="103">
        <v>-39.700000000000003</v>
      </c>
    </row>
    <row r="22" spans="1:17" x14ac:dyDescent="0.4">
      <c r="A22" s="51" t="s">
        <v>170</v>
      </c>
      <c r="B22" s="44">
        <v>19</v>
      </c>
      <c r="C22" s="131">
        <v>2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N22" s="111" t="s">
        <v>126</v>
      </c>
      <c r="O22" s="121">
        <f t="shared" si="2"/>
        <v>-57.4</v>
      </c>
      <c r="P22" s="115">
        <v>4</v>
      </c>
      <c r="Q22" s="103">
        <v>-229.6</v>
      </c>
    </row>
    <row r="23" spans="1:17" x14ac:dyDescent="0.4">
      <c r="A23" s="51" t="s">
        <v>5</v>
      </c>
      <c r="B23" s="48">
        <f>IF(B$17=0,0,C23/B$17)</f>
        <v>7782.9268292682927</v>
      </c>
      <c r="C23" s="39">
        <v>319100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4</v>
      </c>
    </row>
    <row r="24" spans="1:17" x14ac:dyDescent="0.4">
      <c r="A24" s="52" t="s">
        <v>216</v>
      </c>
      <c r="B24" s="136">
        <f>IF($B$17-B$16=0,0,C24/($B$17-B$16))</f>
        <v>8170.588235294118</v>
      </c>
      <c r="C24" s="137">
        <v>277800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7</v>
      </c>
    </row>
    <row r="25" spans="1:17" x14ac:dyDescent="0.4">
      <c r="A25" s="52" t="s">
        <v>217</v>
      </c>
      <c r="B25" s="136">
        <f>IF(B$16=0,0,C25/B$16)</f>
        <v>5900</v>
      </c>
      <c r="C25" s="137">
        <v>41300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</row>
    <row r="26" spans="1:17" x14ac:dyDescent="0.4">
      <c r="A26" s="52" t="s">
        <v>215</v>
      </c>
      <c r="B26" s="136">
        <f>IF(B$20=0,0,C26/B$20)</f>
        <v>-6800</v>
      </c>
      <c r="C26" s="137">
        <v>-129200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4">
        <v>7</v>
      </c>
      <c r="C27" s="145"/>
      <c r="E27" s="59" t="s">
        <v>83</v>
      </c>
      <c r="F27" s="56" t="s">
        <v>38</v>
      </c>
      <c r="G27" s="44">
        <v>0</v>
      </c>
      <c r="H27" s="129">
        <f>IF(B$17=0,0,G27/B$17)</f>
        <v>0</v>
      </c>
      <c r="I27" s="90">
        <v>11</v>
      </c>
    </row>
    <row r="28" spans="1:17" x14ac:dyDescent="0.4">
      <c r="A28" s="54" t="s">
        <v>150</v>
      </c>
      <c r="B28" s="142">
        <v>95200</v>
      </c>
      <c r="C28" s="143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E8EFA-5FBE-4AA0-B217-74A1D86EA060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195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7</v>
      </c>
      <c r="C2" s="151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2">
        <v>62</v>
      </c>
      <c r="C3" s="153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4">
        <v>-104.80000000000001</v>
      </c>
      <c r="C4" s="155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6">
        <f>IF(B$2=0,0,B$4/B$2)</f>
        <v>-14.971428571428573</v>
      </c>
      <c r="C5" s="157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6">
        <f>IF(B$2=0,0,(B$7*1+B$8*2+B$9*3)/B$2)</f>
        <v>2.1428571428571428</v>
      </c>
      <c r="C6" s="147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6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9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3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6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7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4">
        <v>4</v>
      </c>
      <c r="C27" s="145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2">
        <v>59500</v>
      </c>
      <c r="C28" s="143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0F58B-23C7-4D1F-A96B-F1A8166E7CCD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222</v>
      </c>
      <c r="C1" s="149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2</v>
      </c>
      <c r="C2" s="151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2">
        <v>15</v>
      </c>
      <c r="C3" s="153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4">
        <v>26.2</v>
      </c>
      <c r="C4" s="155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6">
        <f>IF(B$2=0,0,B$4/B$2)</f>
        <v>13.1</v>
      </c>
      <c r="C5" s="157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6">
        <f>IF(B$2=0,0,(B$7*1+B$8*2+B$9*3)/B$2)</f>
        <v>1.5</v>
      </c>
      <c r="C6" s="147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9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3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6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7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4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4">
        <v>4</v>
      </c>
      <c r="C27" s="145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2">
        <v>52800</v>
      </c>
      <c r="C28" s="143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2E266-DC58-4F11-894D-64199DBCB0D1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B797-182E-40D3-B7D0-3B48FF81C949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C8623-AEA0-4824-A49A-696ED658C8EE}">
  <sheetPr codeName="Sheet22"/>
  <dimension ref="A1:Q1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AA8BD-E6B9-4FE1-8EB3-D751B9130B53}">
  <sheetPr codeName="Sheet20"/>
  <dimension ref="A1:Q3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DC3D4-D0EE-4DF9-9BC9-603E040143C5}">
  <sheetPr codeName="Sheet18"/>
  <dimension ref="A1:Q5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08FEB-E76D-4F7B-A1CA-83ADE021F102}">
  <sheetPr codeName="Sheet16"/>
  <dimension ref="A1:Q4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66ADB-DA61-4808-AE47-20294378A5F1}">
  <sheetPr codeName="Sheet14"/>
  <dimension ref="A1:Q5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44D86-A0A3-49D9-8E5A-A9968A83A848}">
  <sheetPr codeName="Sheet12"/>
  <dimension ref="A1:Q8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41E3B-8C72-46E0-A784-A59FBF9D4827}">
  <sheetPr codeName="Sheet10"/>
  <dimension ref="A1:Q8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5889A-3A4D-471B-9FCA-924188515693}">
  <sheetPr codeName="Sheet8"/>
  <dimension ref="A1:Q4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8B071-62ED-4098-B6CA-9EDE379C493C}">
  <sheetPr codeName="Sheet6"/>
  <dimension ref="A1:Q13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りくと</vt:lpstr>
      <vt:lpstr>ただ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2019-10-24T10:37:37Z</dcterms:modified>
</cp:coreProperties>
</file>