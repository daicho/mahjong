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ED6D7035-DC84-4C53-B0BB-8769E977BA50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11" r:id="rId6"/>
    <sheet name="たかの" sheetId="5813" r:id="rId7"/>
    <sheet name="だいち" sheetId="5815" r:id="rId8"/>
    <sheet name="りくと" sheetId="5819" r:id="rId9"/>
    <sheet name="ただ" sheetId="5817" r:id="rId10"/>
    <sheet name="れんたろう" sheetId="5821" r:id="rId11"/>
    <sheet name="まっつん" sheetId="5823" r:id="rId12"/>
    <sheet name="のり" sheetId="5825" r:id="rId13"/>
    <sheet name="ぱぱ" sheetId="5827" r:id="rId14"/>
    <sheet name="ほたに" sheetId="5829" r:id="rId15"/>
    <sheet name="いっしー" sheetId="5831" r:id="rId16"/>
    <sheet name="いっしー2" sheetId="5832" state="hidden" r:id="rId17"/>
    <sheet name="ほたに2" sheetId="5830" state="hidden" r:id="rId18"/>
    <sheet name="ぱぱ2" sheetId="5828" state="hidden" r:id="rId19"/>
    <sheet name="のり2" sheetId="5826" state="hidden" r:id="rId20"/>
    <sheet name="まっつん2" sheetId="5824" state="hidden" r:id="rId21"/>
    <sheet name="れんたろう2" sheetId="5822" state="hidden" r:id="rId22"/>
    <sheet name="りくと2" sheetId="5820" state="hidden" r:id="rId23"/>
    <sheet name="ただ2" sheetId="5818" state="hidden" r:id="rId24"/>
    <sheet name="だいち2" sheetId="5816" state="hidden" r:id="rId25"/>
    <sheet name="たかの2" sheetId="5814" state="hidden" r:id="rId26"/>
    <sheet name="全体2" sheetId="5812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9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8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9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8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9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8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9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8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9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8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9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8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9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8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9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8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9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8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9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8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9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8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9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8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9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8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9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8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9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8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9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8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9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8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9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8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9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8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9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8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9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8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9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8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9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8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9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8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9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8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9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8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9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8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9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8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9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8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9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8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9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8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9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8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9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8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9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8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9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8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9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8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9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8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9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8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9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8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821" l="1"/>
  <c r="O17" i="5821"/>
  <c r="O15" i="5821"/>
  <c r="O17" i="5823" l="1"/>
  <c r="O17" i="5831"/>
  <c r="O22" i="5815" l="1"/>
  <c r="O16" i="5831"/>
  <c r="O15" i="5831"/>
  <c r="C29" i="5831"/>
  <c r="B26" i="5831"/>
  <c r="B25" i="5831"/>
  <c r="C20" i="5831"/>
  <c r="B17" i="5831"/>
  <c r="H50" i="5831" s="1"/>
  <c r="C16" i="5831"/>
  <c r="C15" i="5831"/>
  <c r="C14" i="5831"/>
  <c r="C13" i="5831"/>
  <c r="O12" i="5831"/>
  <c r="C12" i="5831"/>
  <c r="O11" i="5831"/>
  <c r="C11" i="5831"/>
  <c r="O10" i="5831"/>
  <c r="C10" i="5831"/>
  <c r="C9" i="5831"/>
  <c r="C8" i="5831"/>
  <c r="O7" i="5831"/>
  <c r="C7" i="5831"/>
  <c r="O6" i="5831"/>
  <c r="B6" i="5831"/>
  <c r="O5" i="5831"/>
  <c r="B5" i="5831"/>
  <c r="O4" i="5831"/>
  <c r="O3" i="5831"/>
  <c r="O2" i="5831"/>
  <c r="O16" i="5825"/>
  <c r="O24" i="5811"/>
  <c r="H19" i="5831" l="1"/>
  <c r="H31" i="5831"/>
  <c r="B23" i="5831"/>
  <c r="H25" i="5831"/>
  <c r="H17" i="5831"/>
  <c r="H14" i="5831"/>
  <c r="H35" i="5831"/>
  <c r="H3" i="5831"/>
  <c r="H36" i="5831"/>
  <c r="H44" i="5831"/>
  <c r="H9" i="5831"/>
  <c r="C17" i="5831"/>
  <c r="H29" i="5831"/>
  <c r="H47" i="5831"/>
  <c r="H39" i="5831"/>
  <c r="H43" i="5831"/>
  <c r="H4" i="5831"/>
  <c r="H5" i="5831"/>
  <c r="C18" i="5831"/>
  <c r="H6" i="5831"/>
  <c r="H2" i="5831"/>
  <c r="H21" i="5831"/>
  <c r="H51" i="5831"/>
  <c r="H11" i="5831"/>
  <c r="H18" i="5831"/>
  <c r="C19" i="5831"/>
  <c r="B24" i="5831"/>
  <c r="H37" i="5831"/>
  <c r="H45" i="5831"/>
  <c r="H52" i="5831"/>
  <c r="H12" i="5831"/>
  <c r="H7" i="5831"/>
  <c r="H10" i="5831"/>
  <c r="H15" i="5831"/>
  <c r="H22" i="5831"/>
  <c r="H26" i="5831"/>
  <c r="H30" i="5831"/>
  <c r="H38" i="5831"/>
  <c r="H46" i="5831"/>
  <c r="H23" i="5831"/>
  <c r="H27" i="5831"/>
  <c r="H32" i="5831"/>
  <c r="H40" i="5831"/>
  <c r="H48" i="5831"/>
  <c r="H13" i="5831"/>
  <c r="H16" i="5831"/>
  <c r="H8" i="5831"/>
  <c r="H33" i="5831"/>
  <c r="H41" i="5831"/>
  <c r="H49" i="5831"/>
  <c r="H20" i="5831"/>
  <c r="H24" i="5831"/>
  <c r="H28" i="5831"/>
  <c r="H34" i="5831"/>
  <c r="H42" i="5831"/>
  <c r="O21" i="5813" l="1"/>
  <c r="O16" i="5821"/>
  <c r="O19" i="5829" l="1"/>
  <c r="O15" i="5819" l="1"/>
  <c r="O19" i="5825"/>
  <c r="O16" i="5829" l="1"/>
  <c r="O22" i="5819"/>
  <c r="O20" i="5813" l="1"/>
  <c r="O16" i="5815"/>
  <c r="O15" i="5825"/>
  <c r="O20" i="5825"/>
  <c r="O22" i="5823" l="1"/>
  <c r="O17" i="5827"/>
  <c r="O16" i="5817" l="1"/>
  <c r="O18" i="5823"/>
  <c r="O22" i="5825"/>
  <c r="O18" i="5825"/>
  <c r="O16" i="5813" l="1"/>
  <c r="O19" i="5827"/>
  <c r="O18" i="5827"/>
  <c r="O17" i="5819"/>
  <c r="O18" i="5817" l="1"/>
  <c r="O21" i="5821"/>
  <c r="O19" i="5821" l="1"/>
  <c r="O21" i="5815"/>
  <c r="O23" i="5825"/>
  <c r="O17" i="5829"/>
  <c r="O15" i="5829"/>
  <c r="O20" i="5827"/>
  <c r="O15" i="5817" l="1"/>
  <c r="O19" i="5817"/>
  <c r="O18" i="5829"/>
  <c r="O20" i="5829"/>
  <c r="C29" i="5829"/>
  <c r="B26" i="5829"/>
  <c r="B25" i="5829"/>
  <c r="C20" i="5829"/>
  <c r="B17" i="5829"/>
  <c r="H51" i="5829" s="1"/>
  <c r="C16" i="5829"/>
  <c r="C15" i="5829"/>
  <c r="C14" i="5829"/>
  <c r="C13" i="5829"/>
  <c r="O12" i="5829"/>
  <c r="C12" i="5829"/>
  <c r="O11" i="5829"/>
  <c r="C11" i="5829"/>
  <c r="O10" i="5829"/>
  <c r="C10" i="5829"/>
  <c r="C9" i="5829"/>
  <c r="C8" i="5829"/>
  <c r="O7" i="5829"/>
  <c r="C7" i="5829"/>
  <c r="O6" i="5829"/>
  <c r="B6" i="5829"/>
  <c r="O5" i="5829"/>
  <c r="B5" i="5829"/>
  <c r="O4" i="5829"/>
  <c r="O3" i="5829"/>
  <c r="O2" i="5829"/>
  <c r="O20" i="5823"/>
  <c r="O15" i="5823"/>
  <c r="O16" i="5811"/>
  <c r="H20" i="5829" l="1"/>
  <c r="H6" i="5829"/>
  <c r="B24" i="5829"/>
  <c r="H5" i="5829"/>
  <c r="H7" i="5829"/>
  <c r="H44" i="5829"/>
  <c r="H8" i="5829"/>
  <c r="H36" i="5829"/>
  <c r="H2" i="5829"/>
  <c r="C19" i="5829"/>
  <c r="H37" i="5829"/>
  <c r="H26" i="5829"/>
  <c r="H45" i="5829"/>
  <c r="H11" i="5829"/>
  <c r="H52" i="5829"/>
  <c r="C17" i="5829"/>
  <c r="H29" i="5829"/>
  <c r="H17" i="5829"/>
  <c r="H3" i="5829"/>
  <c r="H12" i="5829"/>
  <c r="H22" i="5829"/>
  <c r="H23" i="5829"/>
  <c r="H15" i="5829"/>
  <c r="H30" i="5829"/>
  <c r="H38" i="5829"/>
  <c r="H46" i="5829"/>
  <c r="H21" i="5829"/>
  <c r="H31" i="5829"/>
  <c r="H39" i="5829"/>
  <c r="H47" i="5829"/>
  <c r="H27" i="5829"/>
  <c r="H48" i="5829"/>
  <c r="H10" i="5829"/>
  <c r="H18" i="5829"/>
  <c r="H14" i="5829"/>
  <c r="H41" i="5829"/>
  <c r="H13" i="5829"/>
  <c r="H25" i="5829"/>
  <c r="H28" i="5829"/>
  <c r="H34" i="5829"/>
  <c r="H42" i="5829"/>
  <c r="H50" i="5829"/>
  <c r="H24" i="5829"/>
  <c r="H32" i="5829"/>
  <c r="H40" i="5829"/>
  <c r="H33" i="5829"/>
  <c r="H49" i="5829"/>
  <c r="H4" i="5829"/>
  <c r="H16" i="5829"/>
  <c r="H19" i="5829"/>
  <c r="C18" i="5829"/>
  <c r="B23" i="5829"/>
  <c r="H9" i="5829"/>
  <c r="H35" i="5829"/>
  <c r="H43" i="5829"/>
  <c r="O17" i="5815" l="1"/>
  <c r="O20" i="5819"/>
  <c r="O18" i="5815" l="1"/>
  <c r="O19" i="5823"/>
  <c r="O23" i="5823"/>
  <c r="O17" i="5813"/>
  <c r="O20" i="5817"/>
  <c r="O16" i="5819"/>
  <c r="O19" i="5819"/>
  <c r="O18" i="5813"/>
  <c r="O17" i="5817"/>
  <c r="O15" i="5815"/>
  <c r="O21" i="5827"/>
  <c r="O22" i="5827"/>
  <c r="O22" i="5821" l="1"/>
  <c r="O16" i="5827"/>
  <c r="O15" i="5827"/>
  <c r="C29" i="5827"/>
  <c r="B26" i="5827"/>
  <c r="B25" i="5827"/>
  <c r="C20" i="5827"/>
  <c r="B17" i="5827"/>
  <c r="H5" i="5827" s="1"/>
  <c r="C16" i="5827"/>
  <c r="C15" i="5827"/>
  <c r="C14" i="5827"/>
  <c r="C13" i="5827"/>
  <c r="O12" i="5827"/>
  <c r="C12" i="5827"/>
  <c r="O11" i="5827"/>
  <c r="C11" i="5827"/>
  <c r="O10" i="5827"/>
  <c r="C10" i="5827"/>
  <c r="C9" i="5827"/>
  <c r="C8" i="5827"/>
  <c r="O7" i="5827"/>
  <c r="C7" i="5827"/>
  <c r="O6" i="5827"/>
  <c r="B6" i="5827"/>
  <c r="O5" i="5827"/>
  <c r="B5" i="5827"/>
  <c r="O4" i="5827"/>
  <c r="O3" i="5827"/>
  <c r="O2" i="5827"/>
  <c r="O15" i="5811"/>
  <c r="O17" i="5825"/>
  <c r="O21" i="5825"/>
  <c r="C29" i="5825"/>
  <c r="B26" i="5825"/>
  <c r="B25" i="5825"/>
  <c r="C20" i="5825"/>
  <c r="B17" i="5825"/>
  <c r="H52" i="5825" s="1"/>
  <c r="C16" i="5825"/>
  <c r="C15" i="5825"/>
  <c r="C14" i="5825"/>
  <c r="C13" i="5825"/>
  <c r="O12" i="5825"/>
  <c r="C12" i="5825"/>
  <c r="O11" i="5825"/>
  <c r="C11" i="5825"/>
  <c r="O10" i="5825"/>
  <c r="C10" i="5825"/>
  <c r="C9" i="5825"/>
  <c r="C8" i="5825"/>
  <c r="O7" i="5825"/>
  <c r="C7" i="5825"/>
  <c r="O6" i="5825"/>
  <c r="B6" i="5825"/>
  <c r="O5" i="5825"/>
  <c r="B5" i="5825"/>
  <c r="O4" i="5825"/>
  <c r="O3" i="5825"/>
  <c r="O2" i="5825"/>
  <c r="O21" i="5811"/>
  <c r="H23" i="5827" l="1"/>
  <c r="H11" i="5827"/>
  <c r="H52" i="5827"/>
  <c r="H21" i="5827"/>
  <c r="C17" i="5827"/>
  <c r="H32" i="5827"/>
  <c r="C19" i="5827"/>
  <c r="H38" i="5827"/>
  <c r="H10" i="5827"/>
  <c r="H16" i="5827"/>
  <c r="H46" i="5827"/>
  <c r="H40" i="5827"/>
  <c r="H4" i="5827"/>
  <c r="B24" i="5827"/>
  <c r="H48" i="5827"/>
  <c r="H15" i="5827"/>
  <c r="H13" i="5827"/>
  <c r="H31" i="5827"/>
  <c r="H39" i="5827"/>
  <c r="H47" i="5827"/>
  <c r="H49" i="5827"/>
  <c r="H14" i="5827"/>
  <c r="H27" i="5827"/>
  <c r="H34" i="5827"/>
  <c r="H42" i="5827"/>
  <c r="H50" i="5827"/>
  <c r="H6" i="5827"/>
  <c r="H33" i="5827"/>
  <c r="H24" i="5827"/>
  <c r="H28" i="5827"/>
  <c r="H29" i="5827"/>
  <c r="H35" i="5827"/>
  <c r="H43" i="5827"/>
  <c r="H51" i="5827"/>
  <c r="H18" i="5827"/>
  <c r="H8" i="5827"/>
  <c r="H7" i="5827"/>
  <c r="H20" i="5827"/>
  <c r="H22" i="5827"/>
  <c r="C18" i="5827"/>
  <c r="B23" i="5827"/>
  <c r="H12" i="5827"/>
  <c r="H36" i="5827"/>
  <c r="H44" i="5827"/>
  <c r="H19" i="5827"/>
  <c r="H2" i="5827"/>
  <c r="H26" i="5827"/>
  <c r="H41" i="5827"/>
  <c r="H3" i="5827"/>
  <c r="H9" i="5827"/>
  <c r="H25" i="5827"/>
  <c r="H17" i="5827"/>
  <c r="H30" i="5827"/>
  <c r="H37" i="5827"/>
  <c r="H45" i="5827"/>
  <c r="H8" i="5825"/>
  <c r="H3" i="5825"/>
  <c r="H4" i="5825"/>
  <c r="H7" i="5825"/>
  <c r="H29" i="5825"/>
  <c r="H2" i="5825"/>
  <c r="H44" i="5825"/>
  <c r="H6" i="5825"/>
  <c r="H16" i="5825"/>
  <c r="H23" i="5825"/>
  <c r="H10" i="5825"/>
  <c r="H26" i="5825"/>
  <c r="H12" i="5825"/>
  <c r="C17" i="5825"/>
  <c r="H36" i="5825"/>
  <c r="H15" i="5825"/>
  <c r="H13" i="5825"/>
  <c r="H30" i="5825"/>
  <c r="H38" i="5825"/>
  <c r="H46" i="5825"/>
  <c r="H17" i="5825"/>
  <c r="H31" i="5825"/>
  <c r="H39" i="5825"/>
  <c r="H47" i="5825"/>
  <c r="H24" i="5825"/>
  <c r="H19" i="5825"/>
  <c r="H11" i="5825"/>
  <c r="H33" i="5825"/>
  <c r="H41" i="5825"/>
  <c r="H49" i="5825"/>
  <c r="H27" i="5825"/>
  <c r="H40" i="5825"/>
  <c r="H22" i="5825"/>
  <c r="H25" i="5825"/>
  <c r="H28" i="5825"/>
  <c r="H34" i="5825"/>
  <c r="H42" i="5825"/>
  <c r="H50" i="5825"/>
  <c r="H32" i="5825"/>
  <c r="H48" i="5825"/>
  <c r="H14" i="5825"/>
  <c r="H5" i="5825"/>
  <c r="H18" i="5825"/>
  <c r="H20" i="5825"/>
  <c r="C18" i="5825"/>
  <c r="B23" i="5825"/>
  <c r="H9" i="5825"/>
  <c r="H35" i="5825"/>
  <c r="H43" i="5825"/>
  <c r="H51" i="5825"/>
  <c r="H21" i="5825"/>
  <c r="C19" i="5825"/>
  <c r="B24" i="5825"/>
  <c r="H37" i="5825"/>
  <c r="H45" i="5825"/>
  <c r="O21" i="5823" l="1"/>
  <c r="O16" i="5823"/>
  <c r="C29" i="5823"/>
  <c r="B26" i="5823"/>
  <c r="B25" i="5823"/>
  <c r="C20" i="5823"/>
  <c r="B17" i="5823"/>
  <c r="H52" i="5823" s="1"/>
  <c r="C16" i="5823"/>
  <c r="C15" i="5823"/>
  <c r="C14" i="5823"/>
  <c r="C13" i="5823"/>
  <c r="O12" i="5823"/>
  <c r="C12" i="5823"/>
  <c r="O11" i="5823"/>
  <c r="C11" i="5823"/>
  <c r="O10" i="5823"/>
  <c r="C10" i="5823"/>
  <c r="C9" i="5823"/>
  <c r="C8" i="5823"/>
  <c r="O7" i="5823"/>
  <c r="C7" i="5823"/>
  <c r="O6" i="5823"/>
  <c r="B6" i="5823"/>
  <c r="O5" i="5823"/>
  <c r="B5" i="5823"/>
  <c r="O4" i="5823"/>
  <c r="O3" i="5823"/>
  <c r="O2" i="5823"/>
  <c r="O20" i="5821"/>
  <c r="C29" i="5821"/>
  <c r="B26" i="5821"/>
  <c r="B25" i="5821"/>
  <c r="C20" i="5821"/>
  <c r="B17" i="5821"/>
  <c r="H52" i="5821" s="1"/>
  <c r="C16" i="5821"/>
  <c r="C15" i="5821"/>
  <c r="C14" i="5821"/>
  <c r="C13" i="5821"/>
  <c r="O12" i="5821"/>
  <c r="C12" i="5821"/>
  <c r="O11" i="5821"/>
  <c r="C11" i="5821"/>
  <c r="O10" i="5821"/>
  <c r="C10" i="5821"/>
  <c r="C9" i="5821"/>
  <c r="C8" i="5821"/>
  <c r="O7" i="5821"/>
  <c r="C7" i="5821"/>
  <c r="O6" i="5821"/>
  <c r="B6" i="5821"/>
  <c r="O5" i="5821"/>
  <c r="B5" i="5821"/>
  <c r="O4" i="5821"/>
  <c r="O3" i="5821"/>
  <c r="O2" i="5821"/>
  <c r="O17" i="5811"/>
  <c r="O21" i="5819"/>
  <c r="O18" i="5819"/>
  <c r="C29" i="5819"/>
  <c r="B26" i="5819"/>
  <c r="B25" i="5819"/>
  <c r="C20" i="5819"/>
  <c r="B17" i="5819"/>
  <c r="H52" i="5819" s="1"/>
  <c r="C16" i="5819"/>
  <c r="C15" i="5819"/>
  <c r="C14" i="5819"/>
  <c r="C13" i="5819"/>
  <c r="O12" i="5819"/>
  <c r="C12" i="5819"/>
  <c r="O11" i="5819"/>
  <c r="C11" i="5819"/>
  <c r="O10" i="5819"/>
  <c r="C10" i="5819"/>
  <c r="C9" i="5819"/>
  <c r="C8" i="5819"/>
  <c r="O7" i="5819"/>
  <c r="C7" i="5819"/>
  <c r="O6" i="5819"/>
  <c r="B6" i="5819"/>
  <c r="O5" i="5819"/>
  <c r="B5" i="5819"/>
  <c r="O4" i="5819"/>
  <c r="O3" i="5819"/>
  <c r="O2" i="5819"/>
  <c r="O19" i="5811"/>
  <c r="O20" i="5811"/>
  <c r="H24" i="5819" l="1"/>
  <c r="H6" i="5819"/>
  <c r="H18" i="5819"/>
  <c r="H7" i="5819"/>
  <c r="H10" i="5819"/>
  <c r="H48" i="5819"/>
  <c r="H31" i="5819"/>
  <c r="H47" i="5819"/>
  <c r="H4" i="5823"/>
  <c r="H27" i="5823"/>
  <c r="H20" i="5823"/>
  <c r="H10" i="5823"/>
  <c r="H12" i="5823"/>
  <c r="H11" i="5823"/>
  <c r="H7" i="5823"/>
  <c r="C17" i="5823"/>
  <c r="H23" i="5823"/>
  <c r="H19" i="5823"/>
  <c r="H13" i="5823"/>
  <c r="H21" i="5823"/>
  <c r="H40" i="5823"/>
  <c r="H47" i="5823"/>
  <c r="H16" i="5823"/>
  <c r="H33" i="5823"/>
  <c r="H41" i="5823"/>
  <c r="H48" i="5823"/>
  <c r="H2" i="5823"/>
  <c r="H34" i="5823"/>
  <c r="H8" i="5823"/>
  <c r="H24" i="5823"/>
  <c r="H15" i="5823"/>
  <c r="H35" i="5823"/>
  <c r="H42" i="5823"/>
  <c r="H50" i="5823"/>
  <c r="H22" i="5823"/>
  <c r="H14" i="5823"/>
  <c r="H29" i="5823"/>
  <c r="H31" i="5823"/>
  <c r="H36" i="5823"/>
  <c r="H43" i="5823"/>
  <c r="H51" i="5823"/>
  <c r="H3" i="5823"/>
  <c r="H28" i="5823"/>
  <c r="H30" i="5823"/>
  <c r="H49" i="5823"/>
  <c r="H6" i="5823"/>
  <c r="H18" i="5823"/>
  <c r="H25" i="5823"/>
  <c r="C18" i="5823"/>
  <c r="B23" i="5823"/>
  <c r="H9" i="5823"/>
  <c r="H37" i="5823"/>
  <c r="H44" i="5823"/>
  <c r="H17" i="5823"/>
  <c r="H32" i="5823"/>
  <c r="H38" i="5823"/>
  <c r="H45" i="5823"/>
  <c r="H5" i="5823"/>
  <c r="H26" i="5823"/>
  <c r="C19" i="5823"/>
  <c r="B24" i="5823"/>
  <c r="H39" i="5823"/>
  <c r="H46" i="5823"/>
  <c r="H20" i="5821"/>
  <c r="H12" i="5821"/>
  <c r="H2" i="5821"/>
  <c r="H40" i="5821"/>
  <c r="H14" i="5821"/>
  <c r="H47" i="5821"/>
  <c r="H6" i="5821"/>
  <c r="H48" i="5821"/>
  <c r="H10" i="5821"/>
  <c r="H18" i="5821"/>
  <c r="H24" i="5821"/>
  <c r="C17" i="5821"/>
  <c r="H15" i="5821"/>
  <c r="H17" i="5821"/>
  <c r="H39" i="5821"/>
  <c r="H49" i="5821"/>
  <c r="H9" i="5821"/>
  <c r="H19" i="5821"/>
  <c r="H13" i="5821"/>
  <c r="H34" i="5821"/>
  <c r="H42" i="5821"/>
  <c r="H50" i="5821"/>
  <c r="H29" i="5821"/>
  <c r="H27" i="5821"/>
  <c r="H30" i="5821"/>
  <c r="H32" i="5821"/>
  <c r="H35" i="5821"/>
  <c r="H43" i="5821"/>
  <c r="H51" i="5821"/>
  <c r="H31" i="5821"/>
  <c r="H5" i="5821"/>
  <c r="H23" i="5821"/>
  <c r="H25" i="5821"/>
  <c r="C18" i="5821"/>
  <c r="B23" i="5821"/>
  <c r="H8" i="5821"/>
  <c r="H36" i="5821"/>
  <c r="H44" i="5821"/>
  <c r="H16" i="5821"/>
  <c r="H3" i="5821"/>
  <c r="H33" i="5821"/>
  <c r="H4" i="5821"/>
  <c r="H11" i="5821"/>
  <c r="H28" i="5821"/>
  <c r="H21" i="5821"/>
  <c r="H22" i="5821"/>
  <c r="H37" i="5821"/>
  <c r="H45" i="5821"/>
  <c r="H7" i="5821"/>
  <c r="H41" i="5821"/>
  <c r="H26" i="5821"/>
  <c r="C19" i="5821"/>
  <c r="B24" i="5821"/>
  <c r="H38" i="5821"/>
  <c r="H46" i="5821"/>
  <c r="H3" i="5819"/>
  <c r="H8" i="5819"/>
  <c r="H12" i="5819"/>
  <c r="H19" i="5819"/>
  <c r="H22" i="5819"/>
  <c r="H14" i="5819"/>
  <c r="H28" i="5819"/>
  <c r="H32" i="5819"/>
  <c r="H13" i="5819"/>
  <c r="B24" i="5819"/>
  <c r="H37" i="5819"/>
  <c r="H15" i="5819"/>
  <c r="H16" i="5819"/>
  <c r="H39" i="5819"/>
  <c r="C17" i="5819"/>
  <c r="H38" i="5819"/>
  <c r="H2" i="5819"/>
  <c r="H4" i="5819"/>
  <c r="H25" i="5819"/>
  <c r="H9" i="5819"/>
  <c r="C19" i="5819"/>
  <c r="H40" i="5819"/>
  <c r="H26" i="5819"/>
  <c r="H29" i="5819"/>
  <c r="H33" i="5819"/>
  <c r="H41" i="5819"/>
  <c r="H49" i="5819"/>
  <c r="H34" i="5819"/>
  <c r="H42" i="5819"/>
  <c r="H50" i="5819"/>
  <c r="H17" i="5819"/>
  <c r="H27" i="5819"/>
  <c r="H30" i="5819"/>
  <c r="H35" i="5819"/>
  <c r="H43" i="5819"/>
  <c r="H51" i="5819"/>
  <c r="H21" i="5819"/>
  <c r="H23" i="5819"/>
  <c r="C18" i="5819"/>
  <c r="B23" i="5819"/>
  <c r="H11" i="5819"/>
  <c r="H36" i="5819"/>
  <c r="H44" i="5819"/>
  <c r="H20" i="5819"/>
  <c r="H45" i="5819"/>
  <c r="H5" i="5819"/>
  <c r="H46" i="5819"/>
  <c r="O22" i="5817" l="1"/>
  <c r="O21" i="5817"/>
  <c r="C29" i="5817"/>
  <c r="B26" i="5817"/>
  <c r="B25" i="5817"/>
  <c r="C20" i="5817"/>
  <c r="B17" i="5817"/>
  <c r="H52" i="5817" s="1"/>
  <c r="C16" i="5817"/>
  <c r="C15" i="5817"/>
  <c r="C14" i="5817"/>
  <c r="C13" i="5817"/>
  <c r="O12" i="5817"/>
  <c r="C12" i="5817"/>
  <c r="O11" i="5817"/>
  <c r="C11" i="5817"/>
  <c r="O10" i="5817"/>
  <c r="C10" i="5817"/>
  <c r="C9" i="5817"/>
  <c r="C8" i="5817"/>
  <c r="O7" i="5817"/>
  <c r="C7" i="5817"/>
  <c r="O6" i="5817"/>
  <c r="B6" i="5817"/>
  <c r="O5" i="5817"/>
  <c r="B5" i="5817"/>
  <c r="O4" i="5817"/>
  <c r="O3" i="5817"/>
  <c r="O2" i="5817"/>
  <c r="O20" i="5815"/>
  <c r="O19" i="5815"/>
  <c r="C29" i="5815"/>
  <c r="B26" i="5815"/>
  <c r="B25" i="5815"/>
  <c r="C20" i="5815"/>
  <c r="B17" i="5815"/>
  <c r="H52" i="5815" s="1"/>
  <c r="C16" i="5815"/>
  <c r="C15" i="5815"/>
  <c r="C14" i="5815"/>
  <c r="C13" i="5815"/>
  <c r="O12" i="5815"/>
  <c r="C12" i="5815"/>
  <c r="O11" i="5815"/>
  <c r="C11" i="5815"/>
  <c r="O10" i="5815"/>
  <c r="C10" i="5815"/>
  <c r="C9" i="5815"/>
  <c r="C8" i="5815"/>
  <c r="O7" i="5815"/>
  <c r="C7" i="5815"/>
  <c r="O6" i="5815"/>
  <c r="B6" i="5815"/>
  <c r="O5" i="5815"/>
  <c r="B5" i="5815"/>
  <c r="O4" i="5815"/>
  <c r="O3" i="5815"/>
  <c r="O2" i="5815"/>
  <c r="O18" i="5811"/>
  <c r="O19" i="5813"/>
  <c r="O15" i="5813"/>
  <c r="C29" i="5813"/>
  <c r="B26" i="5813"/>
  <c r="B25" i="5813"/>
  <c r="C20" i="5813"/>
  <c r="B17" i="5813"/>
  <c r="H51" i="5813" s="1"/>
  <c r="C16" i="5813"/>
  <c r="C15" i="5813"/>
  <c r="C14" i="5813"/>
  <c r="C13" i="5813"/>
  <c r="O12" i="5813"/>
  <c r="C12" i="5813"/>
  <c r="O11" i="5813"/>
  <c r="C11" i="5813"/>
  <c r="O10" i="5813"/>
  <c r="C10" i="5813"/>
  <c r="C9" i="5813"/>
  <c r="C8" i="5813"/>
  <c r="O7" i="5813"/>
  <c r="C7" i="5813"/>
  <c r="O6" i="5813"/>
  <c r="B6" i="5813"/>
  <c r="O5" i="5813"/>
  <c r="B5" i="5813"/>
  <c r="O4" i="5813"/>
  <c r="O3" i="5813"/>
  <c r="O2" i="5813"/>
  <c r="O22" i="5811"/>
  <c r="O23" i="5811"/>
  <c r="C29" i="5811"/>
  <c r="B26" i="5811"/>
  <c r="B25" i="5811"/>
  <c r="C20" i="5811"/>
  <c r="B17" i="5811"/>
  <c r="H52" i="5811" s="1"/>
  <c r="C16" i="5811"/>
  <c r="C15" i="5811"/>
  <c r="C14" i="5811"/>
  <c r="C13" i="5811"/>
  <c r="O12" i="5811"/>
  <c r="C12" i="5811"/>
  <c r="O11" i="5811"/>
  <c r="C11" i="5811"/>
  <c r="O10" i="5811"/>
  <c r="C10" i="5811"/>
  <c r="C9" i="5811"/>
  <c r="C8" i="5811"/>
  <c r="O7" i="5811"/>
  <c r="C7" i="5811"/>
  <c r="O6" i="5811"/>
  <c r="B6" i="5811"/>
  <c r="O5" i="5811"/>
  <c r="B5" i="5811"/>
  <c r="O4" i="5811"/>
  <c r="O3" i="5811"/>
  <c r="O2" i="5811"/>
  <c r="H6" i="5817" l="1"/>
  <c r="H13" i="5817"/>
  <c r="H25" i="5817"/>
  <c r="H11" i="5817"/>
  <c r="H3" i="5817"/>
  <c r="H6" i="5813"/>
  <c r="H47" i="5817"/>
  <c r="H19" i="5817"/>
  <c r="C17" i="5817"/>
  <c r="H10" i="5817"/>
  <c r="H18" i="5817"/>
  <c r="H2" i="5817"/>
  <c r="H9" i="5817"/>
  <c r="H15" i="5817"/>
  <c r="H39" i="5817"/>
  <c r="H16" i="5817"/>
  <c r="H21" i="5817"/>
  <c r="H40" i="5817"/>
  <c r="H48" i="5817"/>
  <c r="H29" i="5817"/>
  <c r="H31" i="5817"/>
  <c r="H34" i="5817"/>
  <c r="H41" i="5817"/>
  <c r="H49" i="5817"/>
  <c r="H14" i="5817"/>
  <c r="H35" i="5817"/>
  <c r="H42" i="5817"/>
  <c r="H50" i="5817"/>
  <c r="H17" i="5817"/>
  <c r="H20" i="5817"/>
  <c r="H32" i="5817"/>
  <c r="H22" i="5817"/>
  <c r="H43" i="5817"/>
  <c r="H51" i="5817"/>
  <c r="H7" i="5817"/>
  <c r="H24" i="5817"/>
  <c r="H26" i="5817"/>
  <c r="C18" i="5817"/>
  <c r="B23" i="5817"/>
  <c r="H8" i="5817"/>
  <c r="H36" i="5817"/>
  <c r="H44" i="5817"/>
  <c r="H23" i="5817"/>
  <c r="H5" i="5817"/>
  <c r="H12" i="5817"/>
  <c r="H28" i="5817"/>
  <c r="H30" i="5817"/>
  <c r="H33" i="5817"/>
  <c r="H37" i="5817"/>
  <c r="H45" i="5817"/>
  <c r="H4" i="5817"/>
  <c r="H27" i="5817"/>
  <c r="C19" i="5817"/>
  <c r="B24" i="5817"/>
  <c r="H38" i="5817"/>
  <c r="H46" i="5817"/>
  <c r="H25" i="5815"/>
  <c r="H3" i="5815"/>
  <c r="H4" i="5815"/>
  <c r="H26" i="5815"/>
  <c r="C17" i="5815"/>
  <c r="H37" i="5815"/>
  <c r="H2" i="5815"/>
  <c r="H31" i="5815"/>
  <c r="H45" i="5815"/>
  <c r="H12" i="5815"/>
  <c r="H5" i="5815"/>
  <c r="H10" i="5815"/>
  <c r="H6" i="5815"/>
  <c r="H11" i="5815"/>
  <c r="H21" i="5815"/>
  <c r="H24" i="5815"/>
  <c r="H14" i="5815"/>
  <c r="H27" i="5815"/>
  <c r="H39" i="5815"/>
  <c r="H47" i="5815"/>
  <c r="H16" i="5815"/>
  <c r="H20" i="5815"/>
  <c r="H40" i="5815"/>
  <c r="H48" i="5815"/>
  <c r="H32" i="5815"/>
  <c r="H33" i="5815"/>
  <c r="H34" i="5815"/>
  <c r="H41" i="5815"/>
  <c r="H49" i="5815"/>
  <c r="H9" i="5815"/>
  <c r="H22" i="5815"/>
  <c r="H13" i="5815"/>
  <c r="H35" i="5815"/>
  <c r="H42" i="5815"/>
  <c r="H50" i="5815"/>
  <c r="H23" i="5815"/>
  <c r="H18" i="5815"/>
  <c r="H19" i="5815"/>
  <c r="H28" i="5815"/>
  <c r="H43" i="5815"/>
  <c r="H51" i="5815"/>
  <c r="H7" i="5815"/>
  <c r="H29" i="5815"/>
  <c r="H30" i="5815"/>
  <c r="C18" i="5815"/>
  <c r="B23" i="5815"/>
  <c r="H8" i="5815"/>
  <c r="H36" i="5815"/>
  <c r="H44" i="5815"/>
  <c r="H15" i="5815"/>
  <c r="H17" i="5815"/>
  <c r="C19" i="5815"/>
  <c r="B24" i="5815"/>
  <c r="H38" i="5815"/>
  <c r="H46" i="5815"/>
  <c r="H15" i="5811"/>
  <c r="H2" i="5813"/>
  <c r="H17" i="5813"/>
  <c r="H12" i="5813"/>
  <c r="H29" i="5813"/>
  <c r="H3" i="5813"/>
  <c r="H31" i="5813"/>
  <c r="C19" i="5813"/>
  <c r="H36" i="5813"/>
  <c r="H8" i="5813"/>
  <c r="H26" i="5813"/>
  <c r="H5" i="5813"/>
  <c r="H10" i="5813"/>
  <c r="H14" i="5813"/>
  <c r="H37" i="5813"/>
  <c r="H44" i="5813"/>
  <c r="B24" i="5813"/>
  <c r="H45" i="5813"/>
  <c r="H4" i="5813"/>
  <c r="H16" i="5813"/>
  <c r="C17" i="5813"/>
  <c r="H52" i="5813"/>
  <c r="H18" i="5813"/>
  <c r="H19" i="5813"/>
  <c r="H38" i="5813"/>
  <c r="H46" i="5813"/>
  <c r="H24" i="5813"/>
  <c r="H32" i="5813"/>
  <c r="H39" i="5813"/>
  <c r="H47" i="5813"/>
  <c r="H30" i="5813"/>
  <c r="H48" i="5813"/>
  <c r="H22" i="5813"/>
  <c r="H11" i="5813"/>
  <c r="H41" i="5813"/>
  <c r="H25" i="5813"/>
  <c r="H28" i="5813"/>
  <c r="H15" i="5813"/>
  <c r="H34" i="5813"/>
  <c r="H42" i="5813"/>
  <c r="H50" i="5813"/>
  <c r="H27" i="5813"/>
  <c r="H20" i="5813"/>
  <c r="H40" i="5813"/>
  <c r="H7" i="5813"/>
  <c r="H33" i="5813"/>
  <c r="H49" i="5813"/>
  <c r="H9" i="5813"/>
  <c r="H21" i="5813"/>
  <c r="H23" i="5813"/>
  <c r="C18" i="5813"/>
  <c r="B23" i="5813"/>
  <c r="H13" i="5813"/>
  <c r="H35" i="5813"/>
  <c r="H43" i="5813"/>
  <c r="H4" i="5811"/>
  <c r="H20" i="5811"/>
  <c r="H11" i="5811"/>
  <c r="C17" i="5811"/>
  <c r="H41" i="5811"/>
  <c r="H48" i="5811"/>
  <c r="H2" i="5811"/>
  <c r="H23" i="5811"/>
  <c r="C19" i="5811"/>
  <c r="B24" i="5811"/>
  <c r="H10" i="5811"/>
  <c r="H6" i="5811"/>
  <c r="H12" i="5811"/>
  <c r="H21" i="5811"/>
  <c r="H17" i="5811"/>
  <c r="H14" i="5811"/>
  <c r="H19" i="5811"/>
  <c r="H40" i="5811"/>
  <c r="H47" i="5811"/>
  <c r="H35" i="5811"/>
  <c r="H30" i="5811"/>
  <c r="H31" i="5811"/>
  <c r="H32" i="5811"/>
  <c r="H49" i="5811"/>
  <c r="H3" i="5811"/>
  <c r="H8" i="5811"/>
  <c r="H22" i="5811"/>
  <c r="H13" i="5811"/>
  <c r="H36" i="5811"/>
  <c r="H42" i="5811"/>
  <c r="H50" i="5811"/>
  <c r="H18" i="5811"/>
  <c r="H51" i="5811"/>
  <c r="H24" i="5811"/>
  <c r="H26" i="5811"/>
  <c r="H28" i="5811"/>
  <c r="H43" i="5811"/>
  <c r="H7" i="5811"/>
  <c r="H29" i="5811"/>
  <c r="H33" i="5811"/>
  <c r="C18" i="5811"/>
  <c r="B23" i="5811"/>
  <c r="H9" i="5811"/>
  <c r="H37" i="5811"/>
  <c r="H44" i="5811"/>
  <c r="H16" i="5811"/>
  <c r="H34" i="5811"/>
  <c r="H25" i="5811"/>
  <c r="H27" i="5811"/>
  <c r="H38" i="5811"/>
  <c r="H45" i="5811"/>
  <c r="H5" i="5811"/>
  <c r="H39" i="5811"/>
  <c r="H46" i="5811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<sst xmlns="http://schemas.openxmlformats.org/spreadsheetml/2006/main" count="2763" uniqueCount="225">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</sst>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全体!$K$2:$K$365</c:f>
              <c:numCache>
                <c:formatCode>General</c:formatCode>
                <c:ptCount val="3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</c:numCache>
            </c:numRef>
          </c:xVal>
          <c:yVal>
            <c:numRef>
              <c:f>全体!$L$2:$L$365</c:f>
              <c:numCache>
                <c:formatCode>\+0.0;\-0.0;\±0</c:formatCode>
                <c:ptCount val="36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79-4439-8870-33D5D8ED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-22.222222222222221</c:v>
                </c:pt>
                <c:pt idx="1">
                  <c:v>14.367816091954023</c:v>
                </c:pt>
                <c:pt idx="2">
                  <c:v>-29.761904761904763</c:v>
                </c:pt>
                <c:pt idx="3">
                  <c:v>28.571428571428573</c:v>
                </c:pt>
                <c:pt idx="4">
                  <c:v>10.1010101010101</c:v>
                </c:pt>
                <c:pt idx="5">
                  <c:v>4.1152263374485596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2-4B7B-A386-67229E622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C-4E6F-90EC-508BA326E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1557.5757575757575</c:v>
                </c:pt>
                <c:pt idx="1">
                  <c:v>-759.375</c:v>
                </c:pt>
                <c:pt idx="2">
                  <c:v>600</c:v>
                </c:pt>
                <c:pt idx="3">
                  <c:v>-2712.9032258064517</c:v>
                </c:pt>
                <c:pt idx="4">
                  <c:v>-1293.5483870967741</c:v>
                </c:pt>
                <c:pt idx="5">
                  <c:v>-2203.7037037037039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D-4375-B82B-C29F9ED9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だいち!$L$2:$L$77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B-41B4-8A7E-9D77219EC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625.67567567567562</c:v>
                </c:pt>
                <c:pt idx="1">
                  <c:v>308.45070422535213</c:v>
                </c:pt>
                <c:pt idx="2">
                  <c:v>141.42857142857142</c:v>
                </c:pt>
                <c:pt idx="3">
                  <c:v>-752.38095238095241</c:v>
                </c:pt>
                <c:pt idx="4">
                  <c:v>3145.9016393442621</c:v>
                </c:pt>
                <c:pt idx="5">
                  <c:v>3114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5-4DB8-AC04-91A42DBA4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A-4936-ABD6-26BA5750A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515.55555555555554</c:v>
                </c:pt>
                <c:pt idx="1">
                  <c:v>-737.77777777777783</c:v>
                </c:pt>
                <c:pt idx="2">
                  <c:v>913.95348837209303</c:v>
                </c:pt>
                <c:pt idx="3">
                  <c:v>-1904.8780487804879</c:v>
                </c:pt>
                <c:pt idx="4">
                  <c:v>-3497.5</c:v>
                </c:pt>
                <c:pt idx="5">
                  <c:v>-2371.4285714285716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2-4780-9D73-2130D3AC6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ただ!$L$2:$L$74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AA-4400-89A7-B8AD6D28A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-1595.7746478873239</c:v>
                </c:pt>
                <c:pt idx="1">
                  <c:v>1436.231884057971</c:v>
                </c:pt>
                <c:pt idx="2">
                  <c:v>436.36363636363637</c:v>
                </c:pt>
                <c:pt idx="3">
                  <c:v>2920.9677419354839</c:v>
                </c:pt>
                <c:pt idx="4">
                  <c:v>267.79661016949154</c:v>
                </c:pt>
                <c:pt idx="5">
                  <c:v>1568.75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C8-4D06-8CC0-3C80EFE2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れんたろう!$L$2:$L$43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5-4DC1-9422-59505652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1751.219512195122</c:v>
                </c:pt>
                <c:pt idx="1">
                  <c:v>-2846.1538461538462</c:v>
                </c:pt>
                <c:pt idx="2">
                  <c:v>1481.081081081081</c:v>
                </c:pt>
                <c:pt idx="3">
                  <c:v>3737.1428571428573</c:v>
                </c:pt>
                <c:pt idx="4">
                  <c:v>-2818.75</c:v>
                </c:pt>
                <c:pt idx="5">
                  <c:v>-462.5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5-41FB-A751-8532F73ED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まっつん!$L$2:$L$51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9-4AE7-AC9C-D933498EA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1173.4693877551019</c:v>
                </c:pt>
                <c:pt idx="1">
                  <c:v>1304.3478260869565</c:v>
                </c:pt>
                <c:pt idx="2">
                  <c:v>-1904.6511627906978</c:v>
                </c:pt>
                <c:pt idx="3">
                  <c:v>425.64102564102564</c:v>
                </c:pt>
                <c:pt idx="4">
                  <c:v>-32.352941176470587</c:v>
                </c:pt>
                <c:pt idx="5">
                  <c:v>-486.20689655172413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432F-BD9A-B08E9588A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のり!$L$2:$L$26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24-4A75-AC04-6D4019E2B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-3791.6666666666665</c:v>
                </c:pt>
                <c:pt idx="1">
                  <c:v>-637.5</c:v>
                </c:pt>
                <c:pt idx="2">
                  <c:v>-1729.1666666666667</c:v>
                </c:pt>
                <c:pt idx="3">
                  <c:v>-3756.521739130435</c:v>
                </c:pt>
                <c:pt idx="4">
                  <c:v>-1813.6363636363637</c:v>
                </c:pt>
                <c:pt idx="5">
                  <c:v>-3527.7777777777778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C-41BE-ADAB-D67A815FD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E-49F3-AD06-13ED6259B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-1321.4285714285713</c:v>
                </c:pt>
                <c:pt idx="1">
                  <c:v>800</c:v>
                </c:pt>
                <c:pt idx="2">
                  <c:v>385.71428571428572</c:v>
                </c:pt>
                <c:pt idx="3">
                  <c:v>-1492.3076923076924</c:v>
                </c:pt>
                <c:pt idx="4">
                  <c:v>6215.3846153846152</c:v>
                </c:pt>
                <c:pt idx="5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8-4A06-8ADB-F9C84B08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41-4307-B37D-8E50C2A1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7-4868-BB73-D277C5370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3A-4C52-B42E-15E47B189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8C-4B40-8AEC-110CCD27F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りくと2!$B$3:$B$49</c:f>
              <c:numCache>
                <c:formatCode>\+0.0;\-0.0;\±0</c:formatCode>
                <c:ptCount val="47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りくと2!$C$3:$C$49</c:f>
              <c:numCache>
                <c:formatCode>\+0.0;\-0.0;\±0</c:formatCode>
                <c:ptCount val="47"/>
                <c:pt idx="1">
                  <c:v>-37.799999999999997</c:v>
                </c:pt>
                <c:pt idx="2">
                  <c:v>-15.049999999999999</c:v>
                </c:pt>
                <c:pt idx="3">
                  <c:v>-5.8666666666666663</c:v>
                </c:pt>
                <c:pt idx="4">
                  <c:v>-13.724999999999998</c:v>
                </c:pt>
                <c:pt idx="5">
                  <c:v>-6.7399999999999975</c:v>
                </c:pt>
                <c:pt idx="6">
                  <c:v>-9.5666666666666647</c:v>
                </c:pt>
                <c:pt idx="7">
                  <c:v>-5.6428571428571415</c:v>
                </c:pt>
                <c:pt idx="8">
                  <c:v>-7.8749999999999991</c:v>
                </c:pt>
                <c:pt idx="9">
                  <c:v>-8.2444444444444436</c:v>
                </c:pt>
                <c:pt idx="10">
                  <c:v>-11.719999999999999</c:v>
                </c:pt>
                <c:pt idx="11">
                  <c:v>-16.118181818181817</c:v>
                </c:pt>
                <c:pt idx="12">
                  <c:v>-13.216666666666667</c:v>
                </c:pt>
                <c:pt idx="13">
                  <c:v>-15.946153846153846</c:v>
                </c:pt>
                <c:pt idx="14">
                  <c:v>-14.62857142857143</c:v>
                </c:pt>
                <c:pt idx="15">
                  <c:v>-14.766666666666667</c:v>
                </c:pt>
                <c:pt idx="16">
                  <c:v>-14.018750000000001</c:v>
                </c:pt>
                <c:pt idx="17">
                  <c:v>-14.788235294117648</c:v>
                </c:pt>
                <c:pt idx="18">
                  <c:v>-13.333333333333334</c:v>
                </c:pt>
                <c:pt idx="19">
                  <c:v>-11.473684210526315</c:v>
                </c:pt>
                <c:pt idx="20">
                  <c:v>-8.879999999999999</c:v>
                </c:pt>
                <c:pt idx="21">
                  <c:v>-6.3476190476190482</c:v>
                </c:pt>
                <c:pt idx="22">
                  <c:v>-7.4818181818181833</c:v>
                </c:pt>
                <c:pt idx="23">
                  <c:v>-7.073913043478262</c:v>
                </c:pt>
                <c:pt idx="24">
                  <c:v>-6.7916666666666679</c:v>
                </c:pt>
                <c:pt idx="25">
                  <c:v>-7.4000000000000012</c:v>
                </c:pt>
                <c:pt idx="26">
                  <c:v>-7.1538461538461551</c:v>
                </c:pt>
                <c:pt idx="27">
                  <c:v>-6.0370370370370381</c:v>
                </c:pt>
                <c:pt idx="28">
                  <c:v>-6.4892857142857148</c:v>
                </c:pt>
                <c:pt idx="29">
                  <c:v>-5.5137931034482763</c:v>
                </c:pt>
                <c:pt idx="30">
                  <c:v>-5.8533333333333335</c:v>
                </c:pt>
                <c:pt idx="31">
                  <c:v>-6.8580645161290317</c:v>
                </c:pt>
                <c:pt idx="32">
                  <c:v>-7.65</c:v>
                </c:pt>
                <c:pt idx="33">
                  <c:v>-7.9181818181818189</c:v>
                </c:pt>
                <c:pt idx="34">
                  <c:v>-6.9647058823529413</c:v>
                </c:pt>
                <c:pt idx="35">
                  <c:v>-7.5600000000000005</c:v>
                </c:pt>
                <c:pt idx="36">
                  <c:v>-7.0055555555555564</c:v>
                </c:pt>
                <c:pt idx="37">
                  <c:v>-7.0540540540540544</c:v>
                </c:pt>
                <c:pt idx="38">
                  <c:v>-6.4578947368421051</c:v>
                </c:pt>
                <c:pt idx="39">
                  <c:v>-5.8205128205128203</c:v>
                </c:pt>
                <c:pt idx="40">
                  <c:v>-6.7099999999999991</c:v>
                </c:pt>
                <c:pt idx="41">
                  <c:v>-6.4487804878048776</c:v>
                </c:pt>
                <c:pt idx="42">
                  <c:v>-6.4023809523809518</c:v>
                </c:pt>
                <c:pt idx="43">
                  <c:v>-6.9627906976744178</c:v>
                </c:pt>
                <c:pt idx="44">
                  <c:v>-7.5159090909090907</c:v>
                </c:pt>
                <c:pt idx="45">
                  <c:v>-7.8466666666666658</c:v>
                </c:pt>
                <c:pt idx="46">
                  <c:v>-7.6478260869565204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957418004848760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りくと2!$D$3:$D$49</c:f>
              <c:numCache>
                <c:formatCode>0.00\ "位"</c:formatCode>
                <c:ptCount val="47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2.375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2.4375</c:v>
                </c:pt>
                <c:pt idx="17">
                  <c:v>2.4705882352941178</c:v>
                </c:pt>
                <c:pt idx="18">
                  <c:v>2.4444444444444446</c:v>
                </c:pt>
                <c:pt idx="19">
                  <c:v>2.3684210526315788</c:v>
                </c:pt>
                <c:pt idx="20">
                  <c:v>2.2999999999999998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2.25</c:v>
                </c:pt>
                <c:pt idx="25">
                  <c:v>2.2799999999999998</c:v>
                </c:pt>
                <c:pt idx="26">
                  <c:v>2.2692307692307692</c:v>
                </c:pt>
                <c:pt idx="27">
                  <c:v>2.2222222222222223</c:v>
                </c:pt>
                <c:pt idx="28">
                  <c:v>2.2142857142857144</c:v>
                </c:pt>
                <c:pt idx="29">
                  <c:v>2.1724137931034484</c:v>
                </c:pt>
                <c:pt idx="30">
                  <c:v>2.2000000000000002</c:v>
                </c:pt>
                <c:pt idx="31">
                  <c:v>2.225806451612903</c:v>
                </c:pt>
                <c:pt idx="32">
                  <c:v>2.25</c:v>
                </c:pt>
                <c:pt idx="33">
                  <c:v>2.2727272727272729</c:v>
                </c:pt>
                <c:pt idx="34">
                  <c:v>2.2352941176470589</c:v>
                </c:pt>
                <c:pt idx="35">
                  <c:v>2.2571428571428571</c:v>
                </c:pt>
                <c:pt idx="36">
                  <c:v>2.2222222222222223</c:v>
                </c:pt>
                <c:pt idx="37">
                  <c:v>2.2162162162162162</c:v>
                </c:pt>
                <c:pt idx="38">
                  <c:v>2.2105263157894739</c:v>
                </c:pt>
                <c:pt idx="39">
                  <c:v>2.1794871794871793</c:v>
                </c:pt>
                <c:pt idx="40">
                  <c:v>2.2000000000000002</c:v>
                </c:pt>
                <c:pt idx="41">
                  <c:v>2.1951219512195124</c:v>
                </c:pt>
                <c:pt idx="42">
                  <c:v>2.1904761904761907</c:v>
                </c:pt>
                <c:pt idx="43">
                  <c:v>2.2093023255813953</c:v>
                </c:pt>
                <c:pt idx="44">
                  <c:v>2.2272727272727271</c:v>
                </c:pt>
                <c:pt idx="45">
                  <c:v>2.2444444444444445</c:v>
                </c:pt>
                <c:pt idx="46">
                  <c:v>2.2391304347826089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りくと2!$E$3:$E$49</c:f>
              <c:numCache>
                <c:formatCode>0.0%</c:formatCode>
                <c:ptCount val="4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0.23076923076923078</c:v>
                </c:pt>
                <c:pt idx="40">
                  <c:v>0.22500000000000001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りくと2!$F$3:$F$49</c:f>
              <c:numCache>
                <c:formatCode>0.0%</c:formatCode>
                <c:ptCount val="4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0.53333333333333333</c:v>
                </c:pt>
                <c:pt idx="16">
                  <c:v>0.5</c:v>
                </c:pt>
                <c:pt idx="17">
                  <c:v>0.52941176470588236</c:v>
                </c:pt>
                <c:pt idx="18">
                  <c:v>0.5</c:v>
                </c:pt>
                <c:pt idx="19">
                  <c:v>0.47368421052631576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0.4</c:v>
                </c:pt>
                <c:pt idx="31">
                  <c:v>0.41935483870967744</c:v>
                </c:pt>
                <c:pt idx="32">
                  <c:v>0.4375</c:v>
                </c:pt>
                <c:pt idx="33">
                  <c:v>0.45454545454545453</c:v>
                </c:pt>
                <c:pt idx="34">
                  <c:v>0.44117647058823528</c:v>
                </c:pt>
                <c:pt idx="35">
                  <c:v>0.45714285714285713</c:v>
                </c:pt>
                <c:pt idx="36">
                  <c:v>0.44444444444444442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0.42499999999999999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0.41860465116279072</c:v>
                </c:pt>
                <c:pt idx="44">
                  <c:v>0.43181818181818182</c:v>
                </c:pt>
                <c:pt idx="45">
                  <c:v>0.44444444444444442</c:v>
                </c:pt>
                <c:pt idx="46">
                  <c:v>0.43478260869565216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りくと2!$G$3:$G$49</c:f>
              <c:numCache>
                <c:formatCode>0.0%</c:formatCode>
                <c:ptCount val="47"/>
                <c:pt idx="1">
                  <c:v>9.0909090909090912E-2</c:v>
                </c:pt>
                <c:pt idx="2">
                  <c:v>0.21052631578947367</c:v>
                </c:pt>
                <c:pt idx="3">
                  <c:v>0.26666666666666666</c:v>
                </c:pt>
                <c:pt idx="4">
                  <c:v>0.28205128205128205</c:v>
                </c:pt>
                <c:pt idx="5">
                  <c:v>0.30612244897959184</c:v>
                </c:pt>
                <c:pt idx="6">
                  <c:v>0.2982456140350877</c:v>
                </c:pt>
                <c:pt idx="7">
                  <c:v>0.29850746268656714</c:v>
                </c:pt>
                <c:pt idx="8">
                  <c:v>0.26315789473684209</c:v>
                </c:pt>
                <c:pt idx="9">
                  <c:v>0.27058823529411763</c:v>
                </c:pt>
                <c:pt idx="10">
                  <c:v>0.23958333333333334</c:v>
                </c:pt>
                <c:pt idx="11">
                  <c:v>0.23</c:v>
                </c:pt>
                <c:pt idx="12">
                  <c:v>0.23636363636363636</c:v>
                </c:pt>
                <c:pt idx="13">
                  <c:v>0.23529411764705882</c:v>
                </c:pt>
                <c:pt idx="14">
                  <c:v>0.2421875</c:v>
                </c:pt>
                <c:pt idx="15">
                  <c:v>0.25362318840579712</c:v>
                </c:pt>
                <c:pt idx="16">
                  <c:v>0.26666666666666666</c:v>
                </c:pt>
                <c:pt idx="17">
                  <c:v>0.25477707006369427</c:v>
                </c:pt>
                <c:pt idx="18">
                  <c:v>0.26347305389221559</c:v>
                </c:pt>
                <c:pt idx="19">
                  <c:v>0.2768361581920904</c:v>
                </c:pt>
                <c:pt idx="20">
                  <c:v>0.28176795580110497</c:v>
                </c:pt>
                <c:pt idx="21">
                  <c:v>0.29411764705882354</c:v>
                </c:pt>
                <c:pt idx="22">
                  <c:v>0.28717948717948716</c:v>
                </c:pt>
                <c:pt idx="23">
                  <c:v>0.29207920792079206</c:v>
                </c:pt>
                <c:pt idx="24">
                  <c:v>0.29523809523809524</c:v>
                </c:pt>
                <c:pt idx="25">
                  <c:v>0.29357798165137616</c:v>
                </c:pt>
                <c:pt idx="26">
                  <c:v>0.28444444444444444</c:v>
                </c:pt>
                <c:pt idx="27">
                  <c:v>0.28755364806866951</c:v>
                </c:pt>
                <c:pt idx="28">
                  <c:v>0.2863070539419087</c:v>
                </c:pt>
                <c:pt idx="29">
                  <c:v>0.28629032258064518</c:v>
                </c:pt>
                <c:pt idx="30">
                  <c:v>0.28515625</c:v>
                </c:pt>
                <c:pt idx="31">
                  <c:v>0.28464419475655428</c:v>
                </c:pt>
                <c:pt idx="32">
                  <c:v>0.28260869565217389</c:v>
                </c:pt>
                <c:pt idx="33">
                  <c:v>0.28521126760563381</c:v>
                </c:pt>
                <c:pt idx="34">
                  <c:v>0.28474576271186441</c:v>
                </c:pt>
                <c:pt idx="35">
                  <c:v>0.2814569536423841</c:v>
                </c:pt>
                <c:pt idx="36">
                  <c:v>0.28064516129032258</c:v>
                </c:pt>
                <c:pt idx="37">
                  <c:v>0.27936507936507937</c:v>
                </c:pt>
                <c:pt idx="38">
                  <c:v>0.28048780487804881</c:v>
                </c:pt>
                <c:pt idx="39">
                  <c:v>0.28106508875739644</c:v>
                </c:pt>
                <c:pt idx="40">
                  <c:v>0.2857142857142857</c:v>
                </c:pt>
                <c:pt idx="41">
                  <c:v>0.28491620111731841</c:v>
                </c:pt>
                <c:pt idx="42">
                  <c:v>0.28415300546448086</c:v>
                </c:pt>
                <c:pt idx="43">
                  <c:v>0.28000000000000003</c:v>
                </c:pt>
                <c:pt idx="44">
                  <c:v>0.27676240208877284</c:v>
                </c:pt>
                <c:pt idx="45">
                  <c:v>0.27763496143958871</c:v>
                </c:pt>
                <c:pt idx="46">
                  <c:v>0.27848101265822783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001966568338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りくと2!$H$3:$H$49</c:f>
              <c:numCache>
                <c:formatCode>0.0%</c:formatCode>
                <c:ptCount val="47"/>
                <c:pt idx="1">
                  <c:v>0.18181818181818182</c:v>
                </c:pt>
                <c:pt idx="2">
                  <c:v>0.15789473684210525</c:v>
                </c:pt>
                <c:pt idx="3">
                  <c:v>0.2</c:v>
                </c:pt>
                <c:pt idx="4">
                  <c:v>0.20512820512820512</c:v>
                </c:pt>
                <c:pt idx="5">
                  <c:v>0.22448979591836735</c:v>
                </c:pt>
                <c:pt idx="6">
                  <c:v>0.22807017543859648</c:v>
                </c:pt>
                <c:pt idx="7">
                  <c:v>0.20895522388059701</c:v>
                </c:pt>
                <c:pt idx="8">
                  <c:v>0.21052631578947367</c:v>
                </c:pt>
                <c:pt idx="9">
                  <c:v>0.21176470588235294</c:v>
                </c:pt>
                <c:pt idx="10">
                  <c:v>0.22916666666666666</c:v>
                </c:pt>
                <c:pt idx="11">
                  <c:v>0.25</c:v>
                </c:pt>
                <c:pt idx="12">
                  <c:v>0.23636363636363636</c:v>
                </c:pt>
                <c:pt idx="13">
                  <c:v>0.24369747899159663</c:v>
                </c:pt>
                <c:pt idx="14">
                  <c:v>0.25</c:v>
                </c:pt>
                <c:pt idx="15">
                  <c:v>0.24637681159420291</c:v>
                </c:pt>
                <c:pt idx="16">
                  <c:v>0.23333333333333334</c:v>
                </c:pt>
                <c:pt idx="17">
                  <c:v>0.24203821656050956</c:v>
                </c:pt>
                <c:pt idx="18">
                  <c:v>0.22754491017964071</c:v>
                </c:pt>
                <c:pt idx="19">
                  <c:v>0.22033898305084745</c:v>
                </c:pt>
                <c:pt idx="20">
                  <c:v>0.21546961325966851</c:v>
                </c:pt>
                <c:pt idx="21">
                  <c:v>0.21390374331550802</c:v>
                </c:pt>
                <c:pt idx="22">
                  <c:v>0.21025641025641026</c:v>
                </c:pt>
                <c:pt idx="23">
                  <c:v>0.20297029702970298</c:v>
                </c:pt>
                <c:pt idx="24">
                  <c:v>0.19523809523809524</c:v>
                </c:pt>
                <c:pt idx="25">
                  <c:v>0.20183486238532111</c:v>
                </c:pt>
                <c:pt idx="26">
                  <c:v>0.19555555555555557</c:v>
                </c:pt>
                <c:pt idx="27">
                  <c:v>0.19313304721030042</c:v>
                </c:pt>
                <c:pt idx="28">
                  <c:v>0.1908713692946058</c:v>
                </c:pt>
                <c:pt idx="29">
                  <c:v>0.18951612903225806</c:v>
                </c:pt>
                <c:pt idx="30">
                  <c:v>0.19140625</c:v>
                </c:pt>
                <c:pt idx="31">
                  <c:v>0.19850187265917604</c:v>
                </c:pt>
                <c:pt idx="32">
                  <c:v>0.19565217391304349</c:v>
                </c:pt>
                <c:pt idx="33">
                  <c:v>0.19366197183098591</c:v>
                </c:pt>
                <c:pt idx="34">
                  <c:v>0.19661016949152543</c:v>
                </c:pt>
                <c:pt idx="35">
                  <c:v>0.19536423841059603</c:v>
                </c:pt>
                <c:pt idx="36">
                  <c:v>0.20322580645161289</c:v>
                </c:pt>
                <c:pt idx="37">
                  <c:v>0.2</c:v>
                </c:pt>
                <c:pt idx="38">
                  <c:v>0.19817073170731708</c:v>
                </c:pt>
                <c:pt idx="39">
                  <c:v>0.19526627218934911</c:v>
                </c:pt>
                <c:pt idx="40">
                  <c:v>0.19714285714285715</c:v>
                </c:pt>
                <c:pt idx="41">
                  <c:v>0.19553072625698323</c:v>
                </c:pt>
                <c:pt idx="42">
                  <c:v>0.19672131147540983</c:v>
                </c:pt>
                <c:pt idx="43">
                  <c:v>0.19733333333333333</c:v>
                </c:pt>
                <c:pt idx="44">
                  <c:v>0.20104438642297651</c:v>
                </c:pt>
                <c:pt idx="45">
                  <c:v>0.20308483290488433</c:v>
                </c:pt>
                <c:pt idx="46">
                  <c:v>0.20506329113924052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58308751229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りくと2!$I$3:$I$49</c:f>
              <c:numCache>
                <c:formatCode>0</c:formatCode>
                <c:ptCount val="47"/>
                <c:pt idx="1">
                  <c:v>2100</c:v>
                </c:pt>
                <c:pt idx="2">
                  <c:v>4750</c:v>
                </c:pt>
                <c:pt idx="3">
                  <c:v>5262.5</c:v>
                </c:pt>
                <c:pt idx="4">
                  <c:v>5290.909090909091</c:v>
                </c:pt>
                <c:pt idx="5">
                  <c:v>6226.666666666667</c:v>
                </c:pt>
                <c:pt idx="6">
                  <c:v>6670.588235294118</c:v>
                </c:pt>
                <c:pt idx="7">
                  <c:v>7750</c:v>
                </c:pt>
                <c:pt idx="8">
                  <c:v>7750</c:v>
                </c:pt>
                <c:pt idx="9">
                  <c:v>7686.95652173913</c:v>
                </c:pt>
                <c:pt idx="10">
                  <c:v>7686.95652173913</c:v>
                </c:pt>
                <c:pt idx="11">
                  <c:v>7686.95652173913</c:v>
                </c:pt>
                <c:pt idx="12">
                  <c:v>7769.2307692307695</c:v>
                </c:pt>
                <c:pt idx="13">
                  <c:v>7928.5714285714284</c:v>
                </c:pt>
                <c:pt idx="14">
                  <c:v>8000</c:v>
                </c:pt>
                <c:pt idx="15">
                  <c:v>7902.8571428571431</c:v>
                </c:pt>
                <c:pt idx="16">
                  <c:v>7385</c:v>
                </c:pt>
                <c:pt idx="17">
                  <c:v>7385</c:v>
                </c:pt>
                <c:pt idx="18">
                  <c:v>7393.181818181818</c:v>
                </c:pt>
                <c:pt idx="19">
                  <c:v>7220.408163265306</c:v>
                </c:pt>
                <c:pt idx="20">
                  <c:v>7464.7058823529414</c:v>
                </c:pt>
                <c:pt idx="21">
                  <c:v>7780</c:v>
                </c:pt>
                <c:pt idx="22">
                  <c:v>7778.5714285714284</c:v>
                </c:pt>
                <c:pt idx="23">
                  <c:v>7488.1355932203387</c:v>
                </c:pt>
                <c:pt idx="24">
                  <c:v>7233.8709677419356</c:v>
                </c:pt>
                <c:pt idx="25">
                  <c:v>7193.75</c:v>
                </c:pt>
                <c:pt idx="26">
                  <c:v>7193.75</c:v>
                </c:pt>
                <c:pt idx="27">
                  <c:v>7349.253731343284</c:v>
                </c:pt>
                <c:pt idx="28">
                  <c:v>7308.695652173913</c:v>
                </c:pt>
                <c:pt idx="29">
                  <c:v>7497.1830985915494</c:v>
                </c:pt>
                <c:pt idx="30">
                  <c:v>7424.6575342465758</c:v>
                </c:pt>
                <c:pt idx="31">
                  <c:v>7410.5263157894733</c:v>
                </c:pt>
                <c:pt idx="32">
                  <c:v>7312.8205128205127</c:v>
                </c:pt>
                <c:pt idx="33">
                  <c:v>7334.5679012345681</c:v>
                </c:pt>
                <c:pt idx="34">
                  <c:v>7525</c:v>
                </c:pt>
                <c:pt idx="35">
                  <c:v>7483.5294117647063</c:v>
                </c:pt>
                <c:pt idx="36">
                  <c:v>7537.9310344827591</c:v>
                </c:pt>
                <c:pt idx="37">
                  <c:v>7539.772727272727</c:v>
                </c:pt>
                <c:pt idx="38">
                  <c:v>7594.565217391304</c:v>
                </c:pt>
                <c:pt idx="39">
                  <c:v>7648.4210526315792</c:v>
                </c:pt>
                <c:pt idx="40">
                  <c:v>7463</c:v>
                </c:pt>
                <c:pt idx="41">
                  <c:v>7524.5098039215691</c:v>
                </c:pt>
                <c:pt idx="42">
                  <c:v>7549.0384615384619</c:v>
                </c:pt>
                <c:pt idx="43">
                  <c:v>7648.5714285714284</c:v>
                </c:pt>
                <c:pt idx="44">
                  <c:v>7689.6226415094343</c:v>
                </c:pt>
                <c:pt idx="45">
                  <c:v>7639.8148148148148</c:v>
                </c:pt>
                <c:pt idx="46">
                  <c:v>7719.090909090909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42.58639910813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りくと2!$J$3:$J$49</c:f>
              <c:numCache>
                <c:formatCode>0</c:formatCode>
                <c:ptCount val="47"/>
                <c:pt idx="1">
                  <c:v>-14900</c:v>
                </c:pt>
                <c:pt idx="2">
                  <c:v>-11233.333333333334</c:v>
                </c:pt>
                <c:pt idx="3">
                  <c:v>-7716.666666666667</c:v>
                </c:pt>
                <c:pt idx="4">
                  <c:v>-10275</c:v>
                </c:pt>
                <c:pt idx="5">
                  <c:v>-8127.272727272727</c:v>
                </c:pt>
                <c:pt idx="6">
                  <c:v>-8392.3076923076915</c:v>
                </c:pt>
                <c:pt idx="7">
                  <c:v>-8071.4285714285716</c:v>
                </c:pt>
                <c:pt idx="8">
                  <c:v>-7625</c:v>
                </c:pt>
                <c:pt idx="9">
                  <c:v>-7872.2222222222226</c:v>
                </c:pt>
                <c:pt idx="10">
                  <c:v>-7695.454545454545</c:v>
                </c:pt>
                <c:pt idx="11">
                  <c:v>-8256</c:v>
                </c:pt>
                <c:pt idx="12">
                  <c:v>-8015.3846153846152</c:v>
                </c:pt>
                <c:pt idx="13">
                  <c:v>-8551.7241379310344</c:v>
                </c:pt>
                <c:pt idx="14">
                  <c:v>-8203.125</c:v>
                </c:pt>
                <c:pt idx="15">
                  <c:v>-8285.2941176470595</c:v>
                </c:pt>
                <c:pt idx="16">
                  <c:v>-8214.2857142857138</c:v>
                </c:pt>
                <c:pt idx="17">
                  <c:v>-7931.5789473684208</c:v>
                </c:pt>
                <c:pt idx="18">
                  <c:v>-7931.5789473684208</c:v>
                </c:pt>
                <c:pt idx="19">
                  <c:v>-7933.333333333333</c:v>
                </c:pt>
                <c:pt idx="20">
                  <c:v>-7933.333333333333</c:v>
                </c:pt>
                <c:pt idx="21">
                  <c:v>-7832.5</c:v>
                </c:pt>
                <c:pt idx="22">
                  <c:v>-7934.1463414634145</c:v>
                </c:pt>
                <c:pt idx="23">
                  <c:v>-7934.1463414634145</c:v>
                </c:pt>
                <c:pt idx="24">
                  <c:v>-7934.1463414634145</c:v>
                </c:pt>
                <c:pt idx="25">
                  <c:v>-7665.909090909091</c:v>
                </c:pt>
                <c:pt idx="26">
                  <c:v>-7665.909090909091</c:v>
                </c:pt>
                <c:pt idx="27">
                  <c:v>-7762.2222222222226</c:v>
                </c:pt>
                <c:pt idx="28">
                  <c:v>-7678.260869565217</c:v>
                </c:pt>
                <c:pt idx="29">
                  <c:v>-7557.4468085106382</c:v>
                </c:pt>
                <c:pt idx="30">
                  <c:v>-7348.9795918367345</c:v>
                </c:pt>
                <c:pt idx="31">
                  <c:v>-7345.2830188679245</c:v>
                </c:pt>
                <c:pt idx="32">
                  <c:v>-7351.8518518518522</c:v>
                </c:pt>
                <c:pt idx="33">
                  <c:v>-7358.181818181818</c:v>
                </c:pt>
                <c:pt idx="34">
                  <c:v>-7244.8275862068967</c:v>
                </c:pt>
                <c:pt idx="35">
                  <c:v>-7257.6271186440681</c:v>
                </c:pt>
                <c:pt idx="36">
                  <c:v>-7063.4920634920636</c:v>
                </c:pt>
                <c:pt idx="37">
                  <c:v>-7063.4920634920636</c:v>
                </c:pt>
                <c:pt idx="38">
                  <c:v>-7004.6153846153848</c:v>
                </c:pt>
                <c:pt idx="39">
                  <c:v>-7019.69696969697</c:v>
                </c:pt>
                <c:pt idx="40">
                  <c:v>-7313.04347826087</c:v>
                </c:pt>
                <c:pt idx="41">
                  <c:v>-7322.8571428571431</c:v>
                </c:pt>
                <c:pt idx="42">
                  <c:v>-7341.666666666667</c:v>
                </c:pt>
                <c:pt idx="43">
                  <c:v>-7340.5405405405409</c:v>
                </c:pt>
                <c:pt idx="44">
                  <c:v>-7389.6103896103896</c:v>
                </c:pt>
                <c:pt idx="45">
                  <c:v>-7435.4430379746836</c:v>
                </c:pt>
                <c:pt idx="46">
                  <c:v>-7379.0123456790125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33.13725490196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りくと2!$K$3:$K$49</c:f>
              <c:numCache>
                <c:formatCode>0.0%</c:formatCode>
                <c:ptCount val="4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  <c:pt idx="46">
                  <c:v>4.3478260869565216E-2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6639118457300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りくと2!$L$3:$L$49</c:f>
              <c:numCache>
                <c:formatCode>0.0%</c:formatCode>
                <c:ptCount val="4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0.05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  <c:pt idx="46">
                  <c:v>4.3478260869565216E-2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6639118457300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りくと2!$M$3:$M$49</c:f>
              <c:numCache>
                <c:formatCode>0.0%</c:formatCode>
                <c:ptCount val="47"/>
                <c:pt idx="1">
                  <c:v>0.27272727272727271</c:v>
                </c:pt>
                <c:pt idx="2">
                  <c:v>0.26315789473684209</c:v>
                </c:pt>
                <c:pt idx="3">
                  <c:v>0.26666666666666666</c:v>
                </c:pt>
                <c:pt idx="4">
                  <c:v>0.25641025641025639</c:v>
                </c:pt>
                <c:pt idx="5">
                  <c:v>0.26530612244897961</c:v>
                </c:pt>
                <c:pt idx="6">
                  <c:v>0.2807017543859649</c:v>
                </c:pt>
                <c:pt idx="7">
                  <c:v>0.26865671641791045</c:v>
                </c:pt>
                <c:pt idx="8">
                  <c:v>0.25</c:v>
                </c:pt>
                <c:pt idx="9">
                  <c:v>0.24705882352941178</c:v>
                </c:pt>
                <c:pt idx="10">
                  <c:v>0.23958333333333334</c:v>
                </c:pt>
                <c:pt idx="11">
                  <c:v>0.24</c:v>
                </c:pt>
                <c:pt idx="12">
                  <c:v>0.24545454545454545</c:v>
                </c:pt>
                <c:pt idx="13">
                  <c:v>0.26050420168067229</c:v>
                </c:pt>
                <c:pt idx="14">
                  <c:v>0.25</c:v>
                </c:pt>
                <c:pt idx="15">
                  <c:v>0.25362318840579712</c:v>
                </c:pt>
                <c:pt idx="16">
                  <c:v>0.25333333333333335</c:v>
                </c:pt>
                <c:pt idx="17">
                  <c:v>0.24203821656050956</c:v>
                </c:pt>
                <c:pt idx="18">
                  <c:v>0.25149700598802394</c:v>
                </c:pt>
                <c:pt idx="19">
                  <c:v>0.24858757062146894</c:v>
                </c:pt>
                <c:pt idx="20">
                  <c:v>0.24861878453038674</c:v>
                </c:pt>
                <c:pt idx="21">
                  <c:v>0.25133689839572193</c:v>
                </c:pt>
                <c:pt idx="22">
                  <c:v>0.24615384615384617</c:v>
                </c:pt>
                <c:pt idx="23">
                  <c:v>0.25247524752475248</c:v>
                </c:pt>
                <c:pt idx="24">
                  <c:v>0.26666666666666666</c:v>
                </c:pt>
                <c:pt idx="25">
                  <c:v>0.28440366972477066</c:v>
                </c:pt>
                <c:pt idx="26">
                  <c:v>0.28000000000000003</c:v>
                </c:pt>
                <c:pt idx="27">
                  <c:v>0.27896995708154504</c:v>
                </c:pt>
                <c:pt idx="28">
                  <c:v>0.27800829875518673</c:v>
                </c:pt>
                <c:pt idx="29">
                  <c:v>0.27822580645161288</c:v>
                </c:pt>
                <c:pt idx="30">
                  <c:v>0.28125</c:v>
                </c:pt>
                <c:pt idx="31">
                  <c:v>0.2808988764044944</c:v>
                </c:pt>
                <c:pt idx="32">
                  <c:v>0.27536231884057971</c:v>
                </c:pt>
                <c:pt idx="33">
                  <c:v>0.28521126760563381</c:v>
                </c:pt>
                <c:pt idx="34">
                  <c:v>0.28135593220338984</c:v>
                </c:pt>
                <c:pt idx="35">
                  <c:v>0.27814569536423839</c:v>
                </c:pt>
                <c:pt idx="36">
                  <c:v>0.28387096774193549</c:v>
                </c:pt>
                <c:pt idx="37">
                  <c:v>0.28253968253968254</c:v>
                </c:pt>
                <c:pt idx="38">
                  <c:v>0.28963414634146339</c:v>
                </c:pt>
                <c:pt idx="39">
                  <c:v>0.29289940828402367</c:v>
                </c:pt>
                <c:pt idx="40">
                  <c:v>0.29142857142857143</c:v>
                </c:pt>
                <c:pt idx="41">
                  <c:v>0.29329608938547486</c:v>
                </c:pt>
                <c:pt idx="42">
                  <c:v>0.29234972677595628</c:v>
                </c:pt>
                <c:pt idx="43">
                  <c:v>0.28799999999999998</c:v>
                </c:pt>
                <c:pt idx="44">
                  <c:v>0.28720626631853785</c:v>
                </c:pt>
                <c:pt idx="45">
                  <c:v>0.2879177377892031</c:v>
                </c:pt>
                <c:pt idx="46">
                  <c:v>0.28607594936708863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476565060635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りくと2!$N$3:$N$49</c:f>
              <c:numCache>
                <c:formatCode>0.0%</c:formatCode>
                <c:ptCount val="47"/>
                <c:pt idx="1">
                  <c:v>0</c:v>
                </c:pt>
                <c:pt idx="2">
                  <c:v>0.26315789473684209</c:v>
                </c:pt>
                <c:pt idx="3">
                  <c:v>0.23333333333333334</c:v>
                </c:pt>
                <c:pt idx="4">
                  <c:v>0.23076923076923078</c:v>
                </c:pt>
                <c:pt idx="5">
                  <c:v>0.20408163265306123</c:v>
                </c:pt>
                <c:pt idx="6">
                  <c:v>0.21052631578947367</c:v>
                </c:pt>
                <c:pt idx="7">
                  <c:v>0.19402985074626866</c:v>
                </c:pt>
                <c:pt idx="8">
                  <c:v>0.19736842105263158</c:v>
                </c:pt>
                <c:pt idx="9">
                  <c:v>0.17647058823529413</c:v>
                </c:pt>
                <c:pt idx="10">
                  <c:v>0.15625</c:v>
                </c:pt>
                <c:pt idx="11">
                  <c:v>0.15</c:v>
                </c:pt>
                <c:pt idx="12">
                  <c:v>0.15454545454545454</c:v>
                </c:pt>
                <c:pt idx="13">
                  <c:v>0.15966386554621848</c:v>
                </c:pt>
                <c:pt idx="14">
                  <c:v>0.171875</c:v>
                </c:pt>
                <c:pt idx="15">
                  <c:v>0.18840579710144928</c:v>
                </c:pt>
                <c:pt idx="16">
                  <c:v>0.19333333333333333</c:v>
                </c:pt>
                <c:pt idx="17">
                  <c:v>0.18471337579617833</c:v>
                </c:pt>
                <c:pt idx="18">
                  <c:v>0.19161676646706588</c:v>
                </c:pt>
                <c:pt idx="19">
                  <c:v>0.19774011299435029</c:v>
                </c:pt>
                <c:pt idx="20">
                  <c:v>0.20441988950276244</c:v>
                </c:pt>
                <c:pt idx="21">
                  <c:v>0.20855614973262032</c:v>
                </c:pt>
                <c:pt idx="22">
                  <c:v>0.2</c:v>
                </c:pt>
                <c:pt idx="23">
                  <c:v>0.19801980198019803</c:v>
                </c:pt>
                <c:pt idx="24">
                  <c:v>0.19047619047619047</c:v>
                </c:pt>
                <c:pt idx="25">
                  <c:v>0.18807339449541285</c:v>
                </c:pt>
                <c:pt idx="26">
                  <c:v>0.18666666666666668</c:v>
                </c:pt>
                <c:pt idx="27">
                  <c:v>0.19313304721030042</c:v>
                </c:pt>
                <c:pt idx="28">
                  <c:v>0.18672199170124482</c:v>
                </c:pt>
                <c:pt idx="29">
                  <c:v>0.18145161290322581</c:v>
                </c:pt>
                <c:pt idx="30">
                  <c:v>0.1796875</c:v>
                </c:pt>
                <c:pt idx="31">
                  <c:v>0.1797752808988764</c:v>
                </c:pt>
                <c:pt idx="32">
                  <c:v>0.18115942028985507</c:v>
                </c:pt>
                <c:pt idx="33">
                  <c:v>0.176056338028169</c:v>
                </c:pt>
                <c:pt idx="34">
                  <c:v>0.17627118644067796</c:v>
                </c:pt>
                <c:pt idx="35">
                  <c:v>0.17218543046357615</c:v>
                </c:pt>
                <c:pt idx="36">
                  <c:v>0.17419354838709677</c:v>
                </c:pt>
                <c:pt idx="37">
                  <c:v>0.17142857142857143</c:v>
                </c:pt>
                <c:pt idx="38">
                  <c:v>0.1676829268292683</c:v>
                </c:pt>
                <c:pt idx="39">
                  <c:v>0.16568047337278108</c:v>
                </c:pt>
                <c:pt idx="40">
                  <c:v>0.16857142857142857</c:v>
                </c:pt>
                <c:pt idx="41">
                  <c:v>0.16480446927374301</c:v>
                </c:pt>
                <c:pt idx="42">
                  <c:v>0.16939890710382513</c:v>
                </c:pt>
                <c:pt idx="43">
                  <c:v>0.17599999999999999</c:v>
                </c:pt>
                <c:pt idx="44">
                  <c:v>0.18015665796344649</c:v>
                </c:pt>
                <c:pt idx="45">
                  <c:v>0.18508997429305912</c:v>
                </c:pt>
                <c:pt idx="46">
                  <c:v>0.18734177215189873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0904621435594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りくと2!$O$3:$O$49</c:f>
              <c:numCache>
                <c:formatCode>0.0%</c:formatCode>
                <c:ptCount val="47"/>
                <c:pt idx="1">
                  <c:v>0</c:v>
                </c:pt>
                <c:pt idx="2">
                  <c:v>0.4</c:v>
                </c:pt>
                <c:pt idx="3">
                  <c:v>0.625</c:v>
                </c:pt>
                <c:pt idx="4">
                  <c:v>0.7</c:v>
                </c:pt>
                <c:pt idx="5">
                  <c:v>0.69230769230769229</c:v>
                </c:pt>
                <c:pt idx="6">
                  <c:v>0.625</c:v>
                </c:pt>
                <c:pt idx="7">
                  <c:v>0.66666666666666663</c:v>
                </c:pt>
                <c:pt idx="8">
                  <c:v>0.63157894736842102</c:v>
                </c:pt>
                <c:pt idx="9">
                  <c:v>0.61904761904761907</c:v>
                </c:pt>
                <c:pt idx="10">
                  <c:v>0.56521739130434778</c:v>
                </c:pt>
                <c:pt idx="11">
                  <c:v>0.54166666666666663</c:v>
                </c:pt>
                <c:pt idx="12">
                  <c:v>0.59259259259259256</c:v>
                </c:pt>
                <c:pt idx="13">
                  <c:v>0.58064516129032262</c:v>
                </c:pt>
                <c:pt idx="14">
                  <c:v>0.59375</c:v>
                </c:pt>
                <c:pt idx="15">
                  <c:v>0.6</c:v>
                </c:pt>
                <c:pt idx="16">
                  <c:v>0.60526315789473684</c:v>
                </c:pt>
                <c:pt idx="17">
                  <c:v>0.60526315789473684</c:v>
                </c:pt>
                <c:pt idx="18">
                  <c:v>0.59523809523809523</c:v>
                </c:pt>
                <c:pt idx="19">
                  <c:v>0.59090909090909094</c:v>
                </c:pt>
                <c:pt idx="20">
                  <c:v>0.6</c:v>
                </c:pt>
                <c:pt idx="21">
                  <c:v>0.61702127659574468</c:v>
                </c:pt>
                <c:pt idx="22">
                  <c:v>0.625</c:v>
                </c:pt>
                <c:pt idx="23">
                  <c:v>0.6470588235294118</c:v>
                </c:pt>
                <c:pt idx="24">
                  <c:v>0.6071428571428571</c:v>
                </c:pt>
                <c:pt idx="25">
                  <c:v>0.58064516129032262</c:v>
                </c:pt>
                <c:pt idx="26">
                  <c:v>0.5714285714285714</c:v>
                </c:pt>
                <c:pt idx="27">
                  <c:v>0.56923076923076921</c:v>
                </c:pt>
                <c:pt idx="28">
                  <c:v>0.58208955223880599</c:v>
                </c:pt>
                <c:pt idx="29">
                  <c:v>0.59420289855072461</c:v>
                </c:pt>
                <c:pt idx="30">
                  <c:v>0.58333333333333337</c:v>
                </c:pt>
                <c:pt idx="31">
                  <c:v>0.58666666666666667</c:v>
                </c:pt>
                <c:pt idx="32">
                  <c:v>0.57894736842105265</c:v>
                </c:pt>
                <c:pt idx="33">
                  <c:v>0.58024691358024694</c:v>
                </c:pt>
                <c:pt idx="34">
                  <c:v>0.59036144578313254</c:v>
                </c:pt>
                <c:pt idx="35">
                  <c:v>0.59523809523809523</c:v>
                </c:pt>
                <c:pt idx="36">
                  <c:v>0.59090909090909094</c:v>
                </c:pt>
                <c:pt idx="37">
                  <c:v>0.5955056179775281</c:v>
                </c:pt>
                <c:pt idx="38">
                  <c:v>0.58947368421052626</c:v>
                </c:pt>
                <c:pt idx="39">
                  <c:v>0.58585858585858586</c:v>
                </c:pt>
                <c:pt idx="40">
                  <c:v>0.59803921568627449</c:v>
                </c:pt>
                <c:pt idx="41">
                  <c:v>0.6</c:v>
                </c:pt>
                <c:pt idx="42">
                  <c:v>0.60747663551401865</c:v>
                </c:pt>
                <c:pt idx="43">
                  <c:v>0.60185185185185186</c:v>
                </c:pt>
                <c:pt idx="44">
                  <c:v>0.59090909090909094</c:v>
                </c:pt>
                <c:pt idx="45">
                  <c:v>0.5892857142857143</c:v>
                </c:pt>
                <c:pt idx="46">
                  <c:v>0.59292035398230092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5159574468085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りくと2!$P$3:$P$49</c:f>
              <c:numCache>
                <c:formatCode>0.0%</c:formatCode>
                <c:ptCount val="47"/>
                <c:pt idx="1">
                  <c:v>0</c:v>
                </c:pt>
                <c:pt idx="2">
                  <c:v>0.2</c:v>
                </c:pt>
                <c:pt idx="3">
                  <c:v>0.14285714285714285</c:v>
                </c:pt>
                <c:pt idx="4">
                  <c:v>0.1111111111111111</c:v>
                </c:pt>
                <c:pt idx="5">
                  <c:v>0.2</c:v>
                </c:pt>
                <c:pt idx="6">
                  <c:v>0.25</c:v>
                </c:pt>
                <c:pt idx="7">
                  <c:v>0.23076923076923078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0.17647058823529413</c:v>
                </c:pt>
                <c:pt idx="13">
                  <c:v>0.15789473684210525</c:v>
                </c:pt>
                <c:pt idx="14">
                  <c:v>0.22727272727272727</c:v>
                </c:pt>
                <c:pt idx="15">
                  <c:v>0.26923076923076922</c:v>
                </c:pt>
                <c:pt idx="16">
                  <c:v>0.31034482758620691</c:v>
                </c:pt>
                <c:pt idx="17">
                  <c:v>0.31034482758620691</c:v>
                </c:pt>
                <c:pt idx="18">
                  <c:v>0.34375</c:v>
                </c:pt>
                <c:pt idx="19">
                  <c:v>0.4</c:v>
                </c:pt>
                <c:pt idx="20">
                  <c:v>0.40540540540540543</c:v>
                </c:pt>
                <c:pt idx="21">
                  <c:v>0.4358974358974359</c:v>
                </c:pt>
                <c:pt idx="22">
                  <c:v>0.4358974358974359</c:v>
                </c:pt>
                <c:pt idx="23">
                  <c:v>0.42499999999999999</c:v>
                </c:pt>
                <c:pt idx="24">
                  <c:v>0.42499999999999999</c:v>
                </c:pt>
                <c:pt idx="25">
                  <c:v>0.41463414634146339</c:v>
                </c:pt>
                <c:pt idx="26">
                  <c:v>0.40476190476190477</c:v>
                </c:pt>
                <c:pt idx="27">
                  <c:v>0.42222222222222222</c:v>
                </c:pt>
                <c:pt idx="28">
                  <c:v>0.42222222222222222</c:v>
                </c:pt>
                <c:pt idx="29">
                  <c:v>0.42222222222222222</c:v>
                </c:pt>
                <c:pt idx="30">
                  <c:v>0.43478260869565216</c:v>
                </c:pt>
                <c:pt idx="31">
                  <c:v>0.4375</c:v>
                </c:pt>
                <c:pt idx="32">
                  <c:v>0.44</c:v>
                </c:pt>
                <c:pt idx="33">
                  <c:v>0.44</c:v>
                </c:pt>
                <c:pt idx="34">
                  <c:v>0.42307692307692307</c:v>
                </c:pt>
                <c:pt idx="35">
                  <c:v>0.42307692307692307</c:v>
                </c:pt>
                <c:pt idx="36">
                  <c:v>0.40740740740740738</c:v>
                </c:pt>
                <c:pt idx="37">
                  <c:v>0.40740740740740738</c:v>
                </c:pt>
                <c:pt idx="38">
                  <c:v>0.4</c:v>
                </c:pt>
                <c:pt idx="39">
                  <c:v>0.4107142857142857</c:v>
                </c:pt>
                <c:pt idx="40">
                  <c:v>0.42372881355932202</c:v>
                </c:pt>
                <c:pt idx="41">
                  <c:v>0.42372881355932202</c:v>
                </c:pt>
                <c:pt idx="42">
                  <c:v>0.40322580645161288</c:v>
                </c:pt>
                <c:pt idx="43">
                  <c:v>0.39393939393939392</c:v>
                </c:pt>
                <c:pt idx="44">
                  <c:v>0.39130434782608697</c:v>
                </c:pt>
                <c:pt idx="45">
                  <c:v>0.3888888888888889</c:v>
                </c:pt>
                <c:pt idx="46">
                  <c:v>0.39189189189189189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9523809523809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りくと2!$Q$1:$Q$2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りくと2!$Q$3:$Q$49</c:f>
              <c:numCache>
                <c:formatCode>0.0%</c:formatCode>
                <c:ptCount val="47"/>
                <c:pt idx="1">
                  <c:v>1</c:v>
                </c:pt>
                <c:pt idx="2">
                  <c:v>0.25</c:v>
                </c:pt>
                <c:pt idx="3">
                  <c:v>0.25</c:v>
                </c:pt>
                <c:pt idx="4">
                  <c:v>0.18181818181818182</c:v>
                </c:pt>
                <c:pt idx="5">
                  <c:v>0.26666666666666666</c:v>
                </c:pt>
                <c:pt idx="6">
                  <c:v>0.23529411764705882</c:v>
                </c:pt>
                <c:pt idx="7">
                  <c:v>0.3</c:v>
                </c:pt>
                <c:pt idx="8">
                  <c:v>0.3</c:v>
                </c:pt>
                <c:pt idx="9">
                  <c:v>0.34782608695652173</c:v>
                </c:pt>
                <c:pt idx="10">
                  <c:v>0.34782608695652173</c:v>
                </c:pt>
                <c:pt idx="11">
                  <c:v>0.34782608695652173</c:v>
                </c:pt>
                <c:pt idx="12">
                  <c:v>0.34615384615384615</c:v>
                </c:pt>
                <c:pt idx="13">
                  <c:v>0.32142857142857145</c:v>
                </c:pt>
                <c:pt idx="14">
                  <c:v>0.35483870967741937</c:v>
                </c:pt>
                <c:pt idx="15">
                  <c:v>0.37142857142857144</c:v>
                </c:pt>
                <c:pt idx="16">
                  <c:v>0.375</c:v>
                </c:pt>
                <c:pt idx="17">
                  <c:v>0.375</c:v>
                </c:pt>
                <c:pt idx="18">
                  <c:v>0.38636363636363635</c:v>
                </c:pt>
                <c:pt idx="19">
                  <c:v>0.36734693877551022</c:v>
                </c:pt>
                <c:pt idx="20">
                  <c:v>0.35294117647058826</c:v>
                </c:pt>
                <c:pt idx="21">
                  <c:v>0.34545454545454546</c:v>
                </c:pt>
                <c:pt idx="22">
                  <c:v>0.35714285714285715</c:v>
                </c:pt>
                <c:pt idx="23">
                  <c:v>0.3728813559322034</c:v>
                </c:pt>
                <c:pt idx="24">
                  <c:v>0.37096774193548387</c:v>
                </c:pt>
                <c:pt idx="25">
                  <c:v>0.375</c:v>
                </c:pt>
                <c:pt idx="26">
                  <c:v>0.375</c:v>
                </c:pt>
                <c:pt idx="27">
                  <c:v>0.38805970149253732</c:v>
                </c:pt>
                <c:pt idx="28">
                  <c:v>0.37681159420289856</c:v>
                </c:pt>
                <c:pt idx="29">
                  <c:v>0.39436619718309857</c:v>
                </c:pt>
                <c:pt idx="30">
                  <c:v>0.38356164383561642</c:v>
                </c:pt>
                <c:pt idx="31">
                  <c:v>0.38157894736842107</c:v>
                </c:pt>
                <c:pt idx="32">
                  <c:v>0.38461538461538464</c:v>
                </c:pt>
                <c:pt idx="33">
                  <c:v>0.39506172839506171</c:v>
                </c:pt>
                <c:pt idx="34">
                  <c:v>0.39285714285714285</c:v>
                </c:pt>
                <c:pt idx="35">
                  <c:v>0.4</c:v>
                </c:pt>
                <c:pt idx="36">
                  <c:v>0.41379310344827586</c:v>
                </c:pt>
                <c:pt idx="37">
                  <c:v>0.40909090909090912</c:v>
                </c:pt>
                <c:pt idx="38">
                  <c:v>0.41304347826086957</c:v>
                </c:pt>
                <c:pt idx="39">
                  <c:v>0.42105263157894735</c:v>
                </c:pt>
                <c:pt idx="40">
                  <c:v>0.42</c:v>
                </c:pt>
                <c:pt idx="41">
                  <c:v>0.42156862745098039</c:v>
                </c:pt>
                <c:pt idx="42">
                  <c:v>0.43269230769230771</c:v>
                </c:pt>
                <c:pt idx="43">
                  <c:v>0.43809523809523809</c:v>
                </c:pt>
                <c:pt idx="44">
                  <c:v>0.43396226415094341</c:v>
                </c:pt>
                <c:pt idx="45">
                  <c:v>0.42592592592592593</c:v>
                </c:pt>
                <c:pt idx="46">
                  <c:v>0.42727272727272725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749163879598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8"/>
      <c r="C1" s="149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50">
        <v>0</v>
      </c>
      <c r="C2" s="151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2">
        <v>0</v>
      </c>
      <c r="C3" s="153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4">
        <v>0</v>
      </c>
      <c r="C4" s="155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6">
        <f>IF(B$2=0,0,B$4/B$2)</f>
        <v>0</v>
      </c>
      <c r="C5" s="157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6">
        <f>IF(B$2=0,0,(B$7*1+B$8*2+B$9*3)/B$2)</f>
        <v>0</v>
      </c>
      <c r="C6" s="147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4">
        <v>0</v>
      </c>
      <c r="C27" s="145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2">
        <v>-1000000</v>
      </c>
      <c r="C28" s="143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3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5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363</v>
      </c>
    </row>
    <row r="2" spans="1:2" x14ac:dyDescent="0.4">
      <c r="A2" t="s">
        <v>166</v>
      </c>
      <c r="B2">
        <v>33</v>
      </c>
    </row>
    <row r="3" spans="1:2" x14ac:dyDescent="0.4">
      <c r="A3" t="s">
        <v>126</v>
      </c>
      <c r="B3">
        <v>75</v>
      </c>
    </row>
    <row r="4" spans="1:2" x14ac:dyDescent="0.4">
      <c r="A4" t="s">
        <v>127</v>
      </c>
      <c r="B4">
        <v>72</v>
      </c>
    </row>
    <row r="5" spans="1:2" x14ac:dyDescent="0.4">
      <c r="A5" t="s">
        <v>179</v>
      </c>
      <c r="B5">
        <v>46</v>
      </c>
    </row>
    <row r="6" spans="1:2" x14ac:dyDescent="0.4">
      <c r="A6" t="s">
        <v>177</v>
      </c>
      <c r="B6">
        <v>41</v>
      </c>
    </row>
    <row r="7" spans="1:2" x14ac:dyDescent="0.4">
      <c r="A7" t="s">
        <v>178</v>
      </c>
      <c r="B7">
        <v>49</v>
      </c>
    </row>
    <row r="8" spans="1:2" x14ac:dyDescent="0.4">
      <c r="A8" t="s">
        <v>182</v>
      </c>
      <c r="B8">
        <v>24</v>
      </c>
    </row>
    <row r="9" spans="1:2" x14ac:dyDescent="0.4">
      <c r="A9" t="s">
        <v>181</v>
      </c>
      <c r="B9">
        <v>14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62">
        <v>0.9893157770223302</v>
      </c>
      <c r="G2" s="163"/>
      <c r="H2" s="162">
        <v>0.92766700299544647</v>
      </c>
      <c r="I2" s="163"/>
      <c r="J2" s="162">
        <v>0.98547053211521873</v>
      </c>
      <c r="K2" s="163"/>
      <c r="L2" s="162">
        <v>0.92149735964853707</v>
      </c>
      <c r="M2" s="163"/>
      <c r="N2" s="162">
        <v>0.67132571857620116</v>
      </c>
      <c r="O2" s="163"/>
      <c r="P2" s="162">
        <v>0.39948632400773243</v>
      </c>
      <c r="Q2" s="163"/>
      <c r="R2" s="162">
        <v>0.37914548887237864</v>
      </c>
      <c r="S2" s="163"/>
      <c r="T2" s="162">
        <v>0.40639300841656345</v>
      </c>
      <c r="U2" s="163"/>
      <c r="V2" s="162">
        <v>0.69665792320208941</v>
      </c>
      <c r="W2" s="163"/>
      <c r="X2" s="162">
        <v>0.44804205008866393</v>
      </c>
      <c r="Y2" s="163"/>
      <c r="Z2" s="162">
        <v>0.30921589611001188</v>
      </c>
      <c r="AA2" s="163"/>
      <c r="AB2" s="162">
        <v>0.39958852626314789</v>
      </c>
      <c r="AC2" s="163"/>
      <c r="AD2" s="162">
        <v>0.50488643254328691</v>
      </c>
      <c r="AE2" s="163"/>
      <c r="AF2" s="162">
        <v>-2.7076699042452489E-2</v>
      </c>
      <c r="AG2" s="163"/>
      <c r="AH2" s="162">
        <v>0.40301875470498405</v>
      </c>
      <c r="AI2" s="163"/>
    </row>
    <row r="3" spans="1:35" x14ac:dyDescent="0.4">
      <c r="A3" s="70">
        <v>1</v>
      </c>
      <c r="B3" s="71" t="s">
        <v>126</v>
      </c>
      <c r="C3" s="72">
        <v>601.29999999999984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10041.304347826086</v>
      </c>
      <c r="R3" s="73" t="s">
        <v>181</v>
      </c>
      <c r="S3" s="77">
        <v>-6800</v>
      </c>
      <c r="T3" s="73" t="s">
        <v>166</v>
      </c>
      <c r="U3" s="75">
        <v>0</v>
      </c>
      <c r="V3" s="73" t="s">
        <v>177</v>
      </c>
      <c r="W3" s="75">
        <v>0.17073170731707318</v>
      </c>
      <c r="X3" s="73" t="s">
        <v>177</v>
      </c>
      <c r="Y3" s="76">
        <v>0.30303030303030304</v>
      </c>
      <c r="Z3" s="73" t="s">
        <v>195</v>
      </c>
      <c r="AA3" s="76">
        <v>0.35483870967741937</v>
      </c>
      <c r="AB3" s="73" t="s">
        <v>181</v>
      </c>
      <c r="AC3" s="76">
        <v>0.625</v>
      </c>
      <c r="AD3" s="73" t="s">
        <v>222</v>
      </c>
      <c r="AE3" s="76">
        <v>1</v>
      </c>
      <c r="AF3" s="73" t="s">
        <v>181</v>
      </c>
      <c r="AG3" s="76">
        <v>0.53658536585365857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361.39999999999986</v>
      </c>
      <c r="D4" s="81" t="s">
        <v>126</v>
      </c>
      <c r="E4" s="93">
        <v>8.0173333333333314</v>
      </c>
      <c r="F4" s="81" t="s">
        <v>126</v>
      </c>
      <c r="G4" s="82">
        <v>1.76</v>
      </c>
      <c r="H4" s="81" t="s">
        <v>126</v>
      </c>
      <c r="I4" s="83">
        <v>0.48</v>
      </c>
      <c r="J4" s="81" t="s">
        <v>126</v>
      </c>
      <c r="K4" s="83">
        <v>0.24</v>
      </c>
      <c r="L4" s="81" t="s">
        <v>126</v>
      </c>
      <c r="M4" s="84">
        <v>0.33990147783251229</v>
      </c>
      <c r="N4" s="81" t="s">
        <v>181</v>
      </c>
      <c r="O4" s="84">
        <v>0.13380281690140844</v>
      </c>
      <c r="P4" s="81" t="s">
        <v>127</v>
      </c>
      <c r="Q4" s="85">
        <v>8663.1313131313127</v>
      </c>
      <c r="R4" s="81" t="s">
        <v>166</v>
      </c>
      <c r="S4" s="85">
        <v>-6820.833333333333</v>
      </c>
      <c r="T4" s="81" t="s">
        <v>222</v>
      </c>
      <c r="U4" s="83">
        <v>0</v>
      </c>
      <c r="V4" s="81" t="s">
        <v>181</v>
      </c>
      <c r="W4" s="83">
        <v>0.14285714285714285</v>
      </c>
      <c r="X4" s="81" t="s">
        <v>179</v>
      </c>
      <c r="Y4" s="84">
        <v>0.28607594936708863</v>
      </c>
      <c r="Z4" s="81" t="s">
        <v>222</v>
      </c>
      <c r="AA4" s="84">
        <v>0.33333333333333331</v>
      </c>
      <c r="AB4" s="81" t="s">
        <v>126</v>
      </c>
      <c r="AC4" s="84">
        <v>0.61290322580645162</v>
      </c>
      <c r="AD4" s="81" t="s">
        <v>126</v>
      </c>
      <c r="AE4" s="84">
        <v>0.47552447552447552</v>
      </c>
      <c r="AF4" s="81" t="s">
        <v>177</v>
      </c>
      <c r="AG4" s="84">
        <v>0.47826086956521741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177</v>
      </c>
      <c r="C5" s="80">
        <v>67.900000000000077</v>
      </c>
      <c r="D5" s="81" t="s">
        <v>127</v>
      </c>
      <c r="E5" s="93">
        <v>5.0194444444444422</v>
      </c>
      <c r="F5" s="81" t="s">
        <v>127</v>
      </c>
      <c r="G5" s="82">
        <v>1.8472222222222223</v>
      </c>
      <c r="H5" s="81" t="s">
        <v>127</v>
      </c>
      <c r="I5" s="83">
        <v>0.43055555555555558</v>
      </c>
      <c r="J5" s="81" t="s">
        <v>127</v>
      </c>
      <c r="K5" s="83">
        <v>0.27777777777777779</v>
      </c>
      <c r="L5" s="81" t="s">
        <v>127</v>
      </c>
      <c r="M5" s="84">
        <v>0.32090761750405189</v>
      </c>
      <c r="N5" s="81" t="s">
        <v>126</v>
      </c>
      <c r="O5" s="84">
        <v>0.13957307060755336</v>
      </c>
      <c r="P5" s="81" t="s">
        <v>178</v>
      </c>
      <c r="Q5" s="85">
        <v>8429.8245614035095</v>
      </c>
      <c r="R5" s="81" t="s">
        <v>179</v>
      </c>
      <c r="S5" s="85">
        <v>-7379.0123456790125</v>
      </c>
      <c r="T5" s="81" t="s">
        <v>126</v>
      </c>
      <c r="U5" s="83">
        <v>0.04</v>
      </c>
      <c r="V5" s="81" t="s">
        <v>195</v>
      </c>
      <c r="W5" s="83">
        <v>0.14285714285714285</v>
      </c>
      <c r="X5" s="81" t="s">
        <v>181</v>
      </c>
      <c r="Y5" s="84">
        <v>0.28169014084507044</v>
      </c>
      <c r="Z5" s="81" t="s">
        <v>127</v>
      </c>
      <c r="AA5" s="84">
        <v>0.31604538087520262</v>
      </c>
      <c r="AB5" s="81" t="s">
        <v>178</v>
      </c>
      <c r="AC5" s="84">
        <v>0.59405940594059403</v>
      </c>
      <c r="AD5" s="81" t="s">
        <v>177</v>
      </c>
      <c r="AE5" s="84">
        <v>0.46969696969696972</v>
      </c>
      <c r="AF5" s="81" t="s">
        <v>182</v>
      </c>
      <c r="AG5" s="84">
        <v>0.45</v>
      </c>
      <c r="AH5" s="81" t="s">
        <v>127</v>
      </c>
      <c r="AI5" s="88">
        <v>91800</v>
      </c>
    </row>
    <row r="6" spans="1:35" x14ac:dyDescent="0.4">
      <c r="A6" s="78">
        <v>4</v>
      </c>
      <c r="B6" s="79" t="s">
        <v>181</v>
      </c>
      <c r="C6" s="80">
        <v>49.900000000000006</v>
      </c>
      <c r="D6" s="81" t="s">
        <v>181</v>
      </c>
      <c r="E6" s="93">
        <v>3.5642857142857145</v>
      </c>
      <c r="F6" s="81" t="s">
        <v>177</v>
      </c>
      <c r="G6" s="82">
        <v>1.9268292682926829</v>
      </c>
      <c r="H6" s="81" t="s">
        <v>195</v>
      </c>
      <c r="I6" s="83">
        <v>0.42857142857142855</v>
      </c>
      <c r="J6" s="81" t="s">
        <v>178</v>
      </c>
      <c r="K6" s="83">
        <v>0.2857142857142857</v>
      </c>
      <c r="L6" s="81" t="s">
        <v>143</v>
      </c>
      <c r="M6" s="84">
        <v>0.29400196656833827</v>
      </c>
      <c r="N6" s="81" t="s">
        <v>178</v>
      </c>
      <c r="O6" s="84">
        <v>0.14000000000000001</v>
      </c>
      <c r="P6" s="81" t="s">
        <v>143</v>
      </c>
      <c r="Q6" s="85">
        <v>8242.5863991081387</v>
      </c>
      <c r="R6" s="81" t="s">
        <v>126</v>
      </c>
      <c r="S6" s="85">
        <v>-7528.2352941176468</v>
      </c>
      <c r="T6" s="81" t="s">
        <v>179</v>
      </c>
      <c r="U6" s="83">
        <v>4.3478260869565216E-2</v>
      </c>
      <c r="V6" s="81" t="s">
        <v>127</v>
      </c>
      <c r="W6" s="83">
        <v>0.1111111111111111</v>
      </c>
      <c r="X6" s="81" t="s">
        <v>222</v>
      </c>
      <c r="Y6" s="84">
        <v>0.26666666666666666</v>
      </c>
      <c r="Z6" s="81" t="s">
        <v>178</v>
      </c>
      <c r="AA6" s="84">
        <v>0.255</v>
      </c>
      <c r="AB6" s="81" t="s">
        <v>179</v>
      </c>
      <c r="AC6" s="84">
        <v>0.59292035398230092</v>
      </c>
      <c r="AD6" s="81" t="s">
        <v>143</v>
      </c>
      <c r="AE6" s="84">
        <v>0.40952380952380951</v>
      </c>
      <c r="AF6" s="81" t="s">
        <v>166</v>
      </c>
      <c r="AG6" s="84">
        <v>0.43835616438356162</v>
      </c>
      <c r="AH6" s="81" t="s">
        <v>166</v>
      </c>
      <c r="AI6" s="88">
        <v>86900</v>
      </c>
    </row>
    <row r="7" spans="1:35" x14ac:dyDescent="0.4">
      <c r="A7" s="78">
        <v>5</v>
      </c>
      <c r="B7" s="79" t="s">
        <v>222</v>
      </c>
      <c r="C7" s="80">
        <v>26.2</v>
      </c>
      <c r="D7" s="81" t="s">
        <v>177</v>
      </c>
      <c r="E7" s="93">
        <v>1.6560975609756117</v>
      </c>
      <c r="F7" s="81" t="s">
        <v>181</v>
      </c>
      <c r="G7" s="82">
        <v>1.9285714285714286</v>
      </c>
      <c r="H7" s="81" t="s">
        <v>177</v>
      </c>
      <c r="I7" s="83">
        <v>0.3902439024390244</v>
      </c>
      <c r="J7" s="81" t="s">
        <v>181</v>
      </c>
      <c r="K7" s="83">
        <v>0.2857142857142857</v>
      </c>
      <c r="L7" s="81" t="s">
        <v>181</v>
      </c>
      <c r="M7" s="84">
        <v>0.28873239436619719</v>
      </c>
      <c r="N7" s="81" t="s">
        <v>166</v>
      </c>
      <c r="O7" s="84">
        <v>0.16494845360824742</v>
      </c>
      <c r="P7" s="81" t="s">
        <v>126</v>
      </c>
      <c r="Q7" s="85">
        <v>7849.7584541062806</v>
      </c>
      <c r="R7" s="81" t="s">
        <v>143</v>
      </c>
      <c r="S7" s="85">
        <v>-7733.1372549019607</v>
      </c>
      <c r="T7" s="81" t="s">
        <v>181</v>
      </c>
      <c r="U7" s="83">
        <v>7.1428571428571425E-2</v>
      </c>
      <c r="V7" s="81" t="s">
        <v>126</v>
      </c>
      <c r="W7" s="83">
        <v>0.10666666666666667</v>
      </c>
      <c r="X7" s="81" t="s">
        <v>126</v>
      </c>
      <c r="Y7" s="84">
        <v>0.25451559934318557</v>
      </c>
      <c r="Z7" s="81" t="s">
        <v>143</v>
      </c>
      <c r="AA7" s="84">
        <v>0.24090462143559488</v>
      </c>
      <c r="AB7" s="81" t="s">
        <v>143</v>
      </c>
      <c r="AC7" s="84">
        <v>0.56515957446808507</v>
      </c>
      <c r="AD7" s="81" t="s">
        <v>127</v>
      </c>
      <c r="AE7" s="84">
        <v>0.4</v>
      </c>
      <c r="AF7" s="81" t="s">
        <v>178</v>
      </c>
      <c r="AG7" s="84">
        <v>0.42982456140350878</v>
      </c>
      <c r="AH7" s="81" t="s">
        <v>178</v>
      </c>
      <c r="AI7" s="88">
        <v>86500</v>
      </c>
    </row>
    <row r="8" spans="1:35" x14ac:dyDescent="0.4">
      <c r="A8" s="78">
        <v>6</v>
      </c>
      <c r="B8" s="79" t="s">
        <v>178</v>
      </c>
      <c r="C8" s="80">
        <v>7.1000000000000227</v>
      </c>
      <c r="D8" s="81" t="s">
        <v>178</v>
      </c>
      <c r="E8" s="93">
        <v>0.14489795918367393</v>
      </c>
      <c r="F8" s="81" t="s">
        <v>143</v>
      </c>
      <c r="G8" s="82">
        <v>2</v>
      </c>
      <c r="H8" s="81" t="s">
        <v>181</v>
      </c>
      <c r="I8" s="83">
        <v>0.35714285714285715</v>
      </c>
      <c r="J8" s="81" t="s">
        <v>177</v>
      </c>
      <c r="K8" s="83">
        <v>0.31707317073170732</v>
      </c>
      <c r="L8" s="81" t="s">
        <v>178</v>
      </c>
      <c r="M8" s="84">
        <v>0.28499999999999998</v>
      </c>
      <c r="N8" s="81" t="s">
        <v>177</v>
      </c>
      <c r="O8" s="84">
        <v>0.16666666666666666</v>
      </c>
      <c r="P8" s="81" t="s">
        <v>181</v>
      </c>
      <c r="Q8" s="85">
        <v>7782.9268292682927</v>
      </c>
      <c r="R8" s="81" t="s">
        <v>178</v>
      </c>
      <c r="S8" s="85">
        <v>-7757.1428571428569</v>
      </c>
      <c r="T8" s="81" t="s">
        <v>178</v>
      </c>
      <c r="U8" s="83">
        <v>8.1632653061224483E-2</v>
      </c>
      <c r="V8" s="81" t="s">
        <v>143</v>
      </c>
      <c r="W8" s="83">
        <v>9.366391184573003E-2</v>
      </c>
      <c r="X8" s="81" t="s">
        <v>178</v>
      </c>
      <c r="Y8" s="84">
        <v>0.2525</v>
      </c>
      <c r="Z8" s="81" t="s">
        <v>126</v>
      </c>
      <c r="AA8" s="84">
        <v>0.2348111658456486</v>
      </c>
      <c r="AB8" s="81" t="s">
        <v>127</v>
      </c>
      <c r="AC8" s="84">
        <v>0.5539568345323741</v>
      </c>
      <c r="AD8" s="81" t="s">
        <v>178</v>
      </c>
      <c r="AE8" s="84">
        <v>0.39215686274509803</v>
      </c>
      <c r="AF8" s="81" t="s">
        <v>179</v>
      </c>
      <c r="AG8" s="84">
        <v>0.42727272727272725</v>
      </c>
      <c r="AH8" s="81" t="s">
        <v>126</v>
      </c>
      <c r="AI8" s="88">
        <v>86200</v>
      </c>
    </row>
    <row r="9" spans="1:35" x14ac:dyDescent="0.4">
      <c r="A9" s="78">
        <v>7</v>
      </c>
      <c r="B9" s="79" t="s">
        <v>143</v>
      </c>
      <c r="C9" s="80">
        <v>-7.1054273576010019E-15</v>
      </c>
      <c r="D9" s="81" t="s">
        <v>143</v>
      </c>
      <c r="E9" s="93">
        <v>-1.9574180048487609E-17</v>
      </c>
      <c r="F9" s="81" t="s">
        <v>178</v>
      </c>
      <c r="G9" s="82">
        <v>2.0816326530612246</v>
      </c>
      <c r="H9" s="81" t="s">
        <v>143</v>
      </c>
      <c r="I9" s="83">
        <v>0.33333333333333331</v>
      </c>
      <c r="J9" s="81" t="s">
        <v>143</v>
      </c>
      <c r="K9" s="83">
        <v>0.33333333333333331</v>
      </c>
      <c r="L9" s="81" t="s">
        <v>177</v>
      </c>
      <c r="M9" s="84">
        <v>0.27878787878787881</v>
      </c>
      <c r="N9" s="81" t="s">
        <v>143</v>
      </c>
      <c r="O9" s="84">
        <v>0.16715830875122911</v>
      </c>
      <c r="P9" s="81" t="s">
        <v>179</v>
      </c>
      <c r="Q9" s="85">
        <v>7719.090909090909</v>
      </c>
      <c r="R9" s="81" t="s">
        <v>127</v>
      </c>
      <c r="S9" s="85">
        <v>-7759.130434782609</v>
      </c>
      <c r="T9" s="81" t="s">
        <v>143</v>
      </c>
      <c r="U9" s="83">
        <v>9.366391184573003E-2</v>
      </c>
      <c r="V9" s="81" t="s">
        <v>178</v>
      </c>
      <c r="W9" s="83">
        <v>8.1632653061224483E-2</v>
      </c>
      <c r="X9" s="81" t="s">
        <v>143</v>
      </c>
      <c r="Y9" s="84">
        <v>0.24647656506063587</v>
      </c>
      <c r="Z9" s="81" t="s">
        <v>166</v>
      </c>
      <c r="AA9" s="84">
        <v>0.23367697594501718</v>
      </c>
      <c r="AB9" s="81" t="s">
        <v>195</v>
      </c>
      <c r="AC9" s="84">
        <v>0.53333333333333333</v>
      </c>
      <c r="AD9" s="81" t="s">
        <v>179</v>
      </c>
      <c r="AE9" s="84">
        <v>0.39189189189189189</v>
      </c>
      <c r="AF9" s="81" t="s">
        <v>143</v>
      </c>
      <c r="AG9" s="84">
        <v>0.42474916387959866</v>
      </c>
      <c r="AH9" s="81" t="s">
        <v>182</v>
      </c>
      <c r="AI9" s="88">
        <v>85100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-5.5484848484848488</v>
      </c>
      <c r="F10" s="81" t="s">
        <v>195</v>
      </c>
      <c r="G10" s="82">
        <v>2.1428571428571428</v>
      </c>
      <c r="H10" s="81" t="s">
        <v>166</v>
      </c>
      <c r="I10" s="83">
        <v>0.27272727272727271</v>
      </c>
      <c r="J10" s="81" t="s">
        <v>166</v>
      </c>
      <c r="K10" s="83">
        <v>0.42424242424242425</v>
      </c>
      <c r="L10" s="81" t="s">
        <v>179</v>
      </c>
      <c r="M10" s="84">
        <v>0.27848101265822783</v>
      </c>
      <c r="N10" s="81" t="s">
        <v>127</v>
      </c>
      <c r="O10" s="84">
        <v>0.18638573743922204</v>
      </c>
      <c r="P10" s="81" t="s">
        <v>182</v>
      </c>
      <c r="Q10" s="85">
        <v>7562.5</v>
      </c>
      <c r="R10" s="81" t="s">
        <v>222</v>
      </c>
      <c r="S10" s="85">
        <v>-8000</v>
      </c>
      <c r="T10" s="81" t="s">
        <v>177</v>
      </c>
      <c r="U10" s="83">
        <v>0.12195121951219512</v>
      </c>
      <c r="V10" s="81" t="s">
        <v>179</v>
      </c>
      <c r="W10" s="83">
        <v>4.3478260869565216E-2</v>
      </c>
      <c r="X10" s="81" t="s">
        <v>195</v>
      </c>
      <c r="Y10" s="84">
        <v>0.24193548387096775</v>
      </c>
      <c r="Z10" s="81" t="s">
        <v>177</v>
      </c>
      <c r="AA10" s="84">
        <v>0.2</v>
      </c>
      <c r="AB10" s="81" t="s">
        <v>166</v>
      </c>
      <c r="AC10" s="84">
        <v>0.52083333333333337</v>
      </c>
      <c r="AD10" s="81" t="s">
        <v>166</v>
      </c>
      <c r="AE10" s="84">
        <v>0.35294117647058826</v>
      </c>
      <c r="AF10" s="81" t="s">
        <v>126</v>
      </c>
      <c r="AG10" s="84">
        <v>0.42028985507246375</v>
      </c>
      <c r="AH10" s="81" t="s">
        <v>177</v>
      </c>
      <c r="AI10" s="88">
        <v>83000</v>
      </c>
    </row>
    <row r="11" spans="1:35" x14ac:dyDescent="0.4">
      <c r="A11" s="78">
        <v>9</v>
      </c>
      <c r="B11" s="79" t="s">
        <v>166</v>
      </c>
      <c r="C11" s="80">
        <v>-183.10000000000002</v>
      </c>
      <c r="D11" s="81" t="s">
        <v>179</v>
      </c>
      <c r="E11" s="93">
        <v>-7.6478260869565204</v>
      </c>
      <c r="F11" s="81" t="s">
        <v>166</v>
      </c>
      <c r="G11" s="82">
        <v>2.1515151515151514</v>
      </c>
      <c r="H11" s="81" t="s">
        <v>178</v>
      </c>
      <c r="I11" s="83">
        <v>0.20408163265306123</v>
      </c>
      <c r="J11" s="81" t="s">
        <v>179</v>
      </c>
      <c r="K11" s="83">
        <v>0.43478260869565216</v>
      </c>
      <c r="L11" s="81" t="s">
        <v>166</v>
      </c>
      <c r="M11" s="84">
        <v>0.25085910652920962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177</v>
      </c>
      <c r="S11" s="85">
        <v>-8589.0909090909099</v>
      </c>
      <c r="T11" s="81" t="s">
        <v>127</v>
      </c>
      <c r="U11" s="83">
        <v>0.1388888888888889</v>
      </c>
      <c r="V11" s="81" t="s">
        <v>182</v>
      </c>
      <c r="W11" s="83">
        <v>4.1666666666666664E-2</v>
      </c>
      <c r="X11" s="81" t="s">
        <v>127</v>
      </c>
      <c r="Y11" s="84">
        <v>0.22528363047001621</v>
      </c>
      <c r="Z11" s="81" t="s">
        <v>182</v>
      </c>
      <c r="AA11" s="84">
        <v>0.2</v>
      </c>
      <c r="AB11" s="81" t="s">
        <v>182</v>
      </c>
      <c r="AC11" s="84">
        <v>0.51351351351351349</v>
      </c>
      <c r="AD11" s="81" t="s">
        <v>182</v>
      </c>
      <c r="AE11" s="84">
        <v>0.34210526315789475</v>
      </c>
      <c r="AF11" s="81" t="s">
        <v>127</v>
      </c>
      <c r="AG11" s="84">
        <v>0.37878787878787878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-351.79999999999995</v>
      </c>
      <c r="D12" s="81" t="s">
        <v>195</v>
      </c>
      <c r="E12" s="93">
        <v>-14.971428571428573</v>
      </c>
      <c r="F12" s="81" t="s">
        <v>179</v>
      </c>
      <c r="G12" s="82">
        <v>2.2391304347826089</v>
      </c>
      <c r="H12" s="81" t="s">
        <v>179</v>
      </c>
      <c r="I12" s="83">
        <v>0.19565217391304349</v>
      </c>
      <c r="J12" s="81" t="s">
        <v>195</v>
      </c>
      <c r="K12" s="83">
        <v>0.5714285714285714</v>
      </c>
      <c r="L12" s="81" t="s">
        <v>195</v>
      </c>
      <c r="M12" s="84">
        <v>0.24193548387096775</v>
      </c>
      <c r="N12" s="81" t="s">
        <v>182</v>
      </c>
      <c r="O12" s="84">
        <v>0.2</v>
      </c>
      <c r="P12" s="81" t="s">
        <v>222</v>
      </c>
      <c r="Q12" s="85">
        <v>7385.7142857142853</v>
      </c>
      <c r="R12" s="81" t="s">
        <v>182</v>
      </c>
      <c r="S12" s="85">
        <v>-8781.5789473684217</v>
      </c>
      <c r="T12" s="81" t="s">
        <v>182</v>
      </c>
      <c r="U12" s="83">
        <v>0.20833333333333334</v>
      </c>
      <c r="V12" s="81" t="s">
        <v>166</v>
      </c>
      <c r="W12" s="83">
        <v>3.0303030303030304E-2</v>
      </c>
      <c r="X12" s="81" t="s">
        <v>182</v>
      </c>
      <c r="Y12" s="84">
        <v>0.19473684210526315</v>
      </c>
      <c r="Z12" s="81" t="s">
        <v>179</v>
      </c>
      <c r="AA12" s="84">
        <v>0.18734177215189873</v>
      </c>
      <c r="AB12" s="81" t="s">
        <v>222</v>
      </c>
      <c r="AC12" s="84">
        <v>0.5</v>
      </c>
      <c r="AD12" s="81" t="s">
        <v>181</v>
      </c>
      <c r="AE12" s="84">
        <v>0.31818181818181818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-474.10000000000014</v>
      </c>
      <c r="D13" s="81" t="s">
        <v>182</v>
      </c>
      <c r="E13" s="93">
        <v>-19.754166666666674</v>
      </c>
      <c r="F13" s="81" t="s">
        <v>182</v>
      </c>
      <c r="G13" s="82">
        <v>2.5416666666666665</v>
      </c>
      <c r="H13" s="81" t="s">
        <v>182</v>
      </c>
      <c r="I13" s="83">
        <v>4.1666666666666664E-2</v>
      </c>
      <c r="J13" s="81" t="s">
        <v>182</v>
      </c>
      <c r="K13" s="83">
        <v>0.58333333333333337</v>
      </c>
      <c r="L13" s="81" t="s">
        <v>182</v>
      </c>
      <c r="M13" s="84">
        <v>0.21052631578947367</v>
      </c>
      <c r="N13" s="81" t="s">
        <v>179</v>
      </c>
      <c r="O13" s="84">
        <v>0.20506329113924052</v>
      </c>
      <c r="P13" s="81" t="s">
        <v>166</v>
      </c>
      <c r="Q13" s="85">
        <v>7316.4383561643835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0.16494845360824742</v>
      </c>
      <c r="Z13" s="81" t="s">
        <v>181</v>
      </c>
      <c r="AA13" s="84">
        <v>0.15492957746478872</v>
      </c>
      <c r="AB13" s="81" t="s">
        <v>177</v>
      </c>
      <c r="AC13" s="84">
        <v>0.47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73FFE-34BE-41FE-825D-20D545555E94}">
  <sheetPr codeName="Sheet4"/>
  <dimension ref="A1:Q36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143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363</v>
      </c>
      <c r="C2" s="151"/>
      <c r="E2" s="58" t="s">
        <v>66</v>
      </c>
      <c r="F2" s="55" t="s">
        <v>22</v>
      </c>
      <c r="G2" s="43">
        <v>685</v>
      </c>
      <c r="H2" s="128">
        <f>IF(B$17=0,0,G2/B$17)</f>
        <v>0.76365663322185062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-22.222222222222221</v>
      </c>
      <c r="P2" s="114">
        <v>360</v>
      </c>
      <c r="Q2" s="98">
        <v>-8000</v>
      </c>
    </row>
    <row r="3" spans="1:17" x14ac:dyDescent="0.4">
      <c r="A3" s="51" t="s">
        <v>8</v>
      </c>
      <c r="B3" s="152">
        <v>3051</v>
      </c>
      <c r="C3" s="153"/>
      <c r="E3" s="59" t="s">
        <v>72</v>
      </c>
      <c r="F3" s="56" t="s">
        <v>27</v>
      </c>
      <c r="G3" s="44">
        <v>486</v>
      </c>
      <c r="H3" s="129">
        <f>IF(B$17=0,0,G3/B$17)</f>
        <v>0.5418060200668896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14.367816091954023</v>
      </c>
      <c r="P3" s="115">
        <v>348</v>
      </c>
      <c r="Q3" s="99">
        <v>5000</v>
      </c>
    </row>
    <row r="4" spans="1:17" x14ac:dyDescent="0.4">
      <c r="A4" s="51" t="s">
        <v>6</v>
      </c>
      <c r="B4" s="154">
        <v>-7.1054273576010019E-15</v>
      </c>
      <c r="C4" s="155"/>
      <c r="E4" s="59" t="s">
        <v>64</v>
      </c>
      <c r="F4" s="56" t="s">
        <v>20</v>
      </c>
      <c r="G4" s="44">
        <v>410</v>
      </c>
      <c r="H4" s="129">
        <f>IF(B$17=0,0,G4/B$17)</f>
        <v>0.45707915273132665</v>
      </c>
      <c r="I4" s="90">
        <v>7</v>
      </c>
      <c r="K4" s="36">
        <v>2</v>
      </c>
      <c r="L4" s="95">
        <v>45.6</v>
      </c>
      <c r="N4" s="111" t="s">
        <v>132</v>
      </c>
      <c r="O4" s="118">
        <f t="shared" si="0"/>
        <v>-29.761904761904763</v>
      </c>
      <c r="P4" s="115">
        <v>336</v>
      </c>
      <c r="Q4" s="99">
        <v>-10000</v>
      </c>
    </row>
    <row r="5" spans="1:17" x14ac:dyDescent="0.4">
      <c r="A5" s="51" t="s">
        <v>7</v>
      </c>
      <c r="B5" s="156">
        <f>IF(B$2=0,0,B$4/B$2)</f>
        <v>-1.9574180048487609E-17</v>
      </c>
      <c r="C5" s="157"/>
      <c r="E5" s="59" t="s">
        <v>171</v>
      </c>
      <c r="F5" s="56" t="s">
        <v>172</v>
      </c>
      <c r="G5" s="44">
        <v>346</v>
      </c>
      <c r="H5" s="129">
        <f>IF(B$17=0,0,G5/B$17)</f>
        <v>0.38573021181716832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28.571428571428573</v>
      </c>
      <c r="P5" s="115">
        <v>315</v>
      </c>
      <c r="Q5" s="99">
        <v>9000</v>
      </c>
    </row>
    <row r="6" spans="1:17" x14ac:dyDescent="0.4">
      <c r="A6" s="51" t="s">
        <v>1</v>
      </c>
      <c r="B6" s="146">
        <f>IF(B$2=0,0,(B$7*1+B$8*2+B$9*3)/B$2)</f>
        <v>2</v>
      </c>
      <c r="C6" s="147"/>
      <c r="E6" s="59" t="s">
        <v>68</v>
      </c>
      <c r="F6" s="56" t="s">
        <v>12</v>
      </c>
      <c r="G6" s="44">
        <v>273</v>
      </c>
      <c r="H6" s="129">
        <f>IF(B$17=0,0,G6/B$17)</f>
        <v>0.30434782608695654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10.1010101010101</v>
      </c>
      <c r="P6" s="115">
        <v>297</v>
      </c>
      <c r="Q6" s="99">
        <v>3000</v>
      </c>
    </row>
    <row r="7" spans="1:17" x14ac:dyDescent="0.4">
      <c r="A7" s="51" t="s">
        <v>2</v>
      </c>
      <c r="B7" s="44">
        <v>121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270</v>
      </c>
      <c r="H7" s="129">
        <f>IF(B$17=0,0,G7/B$17)</f>
        <v>0.30100334448160537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4.1152263374485596</v>
      </c>
      <c r="P7" s="116">
        <v>243</v>
      </c>
      <c r="Q7" s="100">
        <v>1000</v>
      </c>
    </row>
    <row r="8" spans="1:17" x14ac:dyDescent="0.4">
      <c r="A8" s="51" t="s">
        <v>3</v>
      </c>
      <c r="B8" s="44">
        <v>121</v>
      </c>
      <c r="C8" s="37">
        <f t="shared" si="1"/>
        <v>0.33333333333333331</v>
      </c>
      <c r="E8" s="59" t="s">
        <v>69</v>
      </c>
      <c r="F8" s="56" t="s">
        <v>24</v>
      </c>
      <c r="G8" s="44">
        <v>127</v>
      </c>
      <c r="H8" s="129">
        <f>IF(B$17=0,0,G8/B$17)</f>
        <v>0.14158305462653289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121</v>
      </c>
      <c r="C9" s="38">
        <f t="shared" si="1"/>
        <v>0.33333333333333331</v>
      </c>
      <c r="E9" s="59" t="s">
        <v>89</v>
      </c>
      <c r="F9" s="56" t="s">
        <v>44</v>
      </c>
      <c r="G9" s="44">
        <v>121</v>
      </c>
      <c r="H9" s="129">
        <f>IF(B$17=0,0,G9/B$17)</f>
        <v>0.13489409141583056</v>
      </c>
      <c r="I9" s="90">
        <v>4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34</v>
      </c>
      <c r="C10" s="38">
        <f t="shared" si="1"/>
        <v>9.366391184573003E-2</v>
      </c>
      <c r="E10" s="59" t="s">
        <v>65</v>
      </c>
      <c r="F10" s="56" t="s">
        <v>21</v>
      </c>
      <c r="G10" s="44">
        <v>86</v>
      </c>
      <c r="H10" s="129">
        <f>IF(B$17=0,0,G10/B$17)</f>
        <v>9.5875139353400224E-2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1.0289256198347101</v>
      </c>
      <c r="P10" s="114">
        <v>121</v>
      </c>
      <c r="Q10" s="102">
        <v>124.49999999999991</v>
      </c>
    </row>
    <row r="11" spans="1:17" x14ac:dyDescent="0.4">
      <c r="A11" s="52" t="s">
        <v>138</v>
      </c>
      <c r="B11" s="45">
        <v>34</v>
      </c>
      <c r="C11" s="38">
        <f t="shared" si="1"/>
        <v>9.366391184573003E-2</v>
      </c>
      <c r="E11" s="59" t="s">
        <v>70</v>
      </c>
      <c r="F11" s="56" t="s">
        <v>25</v>
      </c>
      <c r="G11" s="44">
        <v>81</v>
      </c>
      <c r="H11" s="129">
        <f>IF(B$17=0,0,G11/B$17)</f>
        <v>9.0301003344481601E-2</v>
      </c>
      <c r="I11" s="90">
        <v>5</v>
      </c>
      <c r="K11" s="36">
        <v>9</v>
      </c>
      <c r="L11" s="95">
        <v>0</v>
      </c>
      <c r="N11" s="111" t="s">
        <v>163</v>
      </c>
      <c r="O11" s="121">
        <f>IF(P11=0,0,Q11/P11)</f>
        <v>0.76528925619834742</v>
      </c>
      <c r="P11" s="115">
        <v>121</v>
      </c>
      <c r="Q11" s="103">
        <v>92.600000000000037</v>
      </c>
    </row>
    <row r="12" spans="1:17" x14ac:dyDescent="0.4">
      <c r="A12" s="53" t="s">
        <v>158</v>
      </c>
      <c r="B12" s="46">
        <v>35</v>
      </c>
      <c r="C12" s="40">
        <f t="shared" si="1"/>
        <v>9.6418732782369149E-2</v>
      </c>
      <c r="E12" s="59" t="s">
        <v>71</v>
      </c>
      <c r="F12" s="56" t="s">
        <v>26</v>
      </c>
      <c r="G12" s="44">
        <v>69</v>
      </c>
      <c r="H12" s="129">
        <f>IF(B$17=0,0,G12/B$17)</f>
        <v>7.6923076923076927E-2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-1.7942148760330581</v>
      </c>
      <c r="P12" s="116">
        <v>121</v>
      </c>
      <c r="Q12" s="104">
        <v>-217.10000000000002</v>
      </c>
    </row>
    <row r="13" spans="1:17" x14ac:dyDescent="0.4">
      <c r="A13" s="54" t="s">
        <v>121</v>
      </c>
      <c r="B13" s="47">
        <v>752</v>
      </c>
      <c r="C13" s="42">
        <f>IF(B$3=0,0,B13/B$3)</f>
        <v>0.24647656506063587</v>
      </c>
      <c r="E13" s="59" t="s">
        <v>83</v>
      </c>
      <c r="F13" s="56" t="s">
        <v>38</v>
      </c>
      <c r="G13" s="44">
        <v>53</v>
      </c>
      <c r="H13" s="129">
        <f>IF(B$17=0,0,G13/B$17)</f>
        <v>5.9085841694537344E-2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735</v>
      </c>
      <c r="C14" s="37">
        <f>IF(B$3=0,0,B14/B$3)</f>
        <v>0.24090462143559488</v>
      </c>
      <c r="E14" s="59" t="s">
        <v>86</v>
      </c>
      <c r="F14" s="56" t="s">
        <v>41</v>
      </c>
      <c r="G14" s="44">
        <v>40</v>
      </c>
      <c r="H14" s="129">
        <f>IF(B$17=0,0,G14/B$17)</f>
        <v>4.4593088071348944E-2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425</v>
      </c>
      <c r="C15" s="35">
        <f>IF(B$13=0,0,B15/B$13)</f>
        <v>0.56515957446808507</v>
      </c>
      <c r="E15" s="59" t="s">
        <v>78</v>
      </c>
      <c r="F15" s="56" t="s">
        <v>33</v>
      </c>
      <c r="G15" s="44">
        <v>21</v>
      </c>
      <c r="H15" s="129">
        <f>IF(B$17=0,0,G15/B$17)</f>
        <v>2.3411371237458192E-2</v>
      </c>
      <c r="I15" s="90">
        <v>7</v>
      </c>
      <c r="K15" s="36">
        <v>13</v>
      </c>
      <c r="L15" s="95">
        <v>-1.7</v>
      </c>
      <c r="N15" s="110" t="s">
        <v>182</v>
      </c>
      <c r="O15" s="120">
        <f>IF(P15=0,0,Q15/P15)</f>
        <v>29.631249999999984</v>
      </c>
      <c r="P15" s="114">
        <v>48</v>
      </c>
      <c r="Q15" s="102">
        <v>1422.2999999999993</v>
      </c>
    </row>
    <row r="16" spans="1:17" x14ac:dyDescent="0.4">
      <c r="A16" s="50" t="s">
        <v>124</v>
      </c>
      <c r="B16" s="43">
        <v>301</v>
      </c>
      <c r="C16" s="35">
        <f>IF(B$14=0,0,B16/B$14)</f>
        <v>0.40952380952380951</v>
      </c>
      <c r="E16" s="59" t="s">
        <v>167</v>
      </c>
      <c r="F16" s="56" t="s">
        <v>168</v>
      </c>
      <c r="G16" s="44">
        <v>17</v>
      </c>
      <c r="H16" s="129">
        <f>IF(B$17=0,0,G16/B$17)</f>
        <v>1.89520624303233E-2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897</v>
      </c>
      <c r="C17" s="35">
        <f>IF(B$3=0,0,B17/B$3)</f>
        <v>0.29400196656833827</v>
      </c>
      <c r="E17" s="59" t="s">
        <v>81</v>
      </c>
      <c r="F17" s="56" t="s">
        <v>36</v>
      </c>
      <c r="G17" s="44">
        <v>16</v>
      </c>
      <c r="H17" s="129">
        <f>IF(B$17=0,0,G17/B$17)</f>
        <v>1.7837235228539576E-2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11.471739130434786</v>
      </c>
      <c r="P17" s="115">
        <v>92</v>
      </c>
      <c r="Q17" s="103">
        <v>1055.4000000000003</v>
      </c>
    </row>
    <row r="18" spans="1:17" x14ac:dyDescent="0.4">
      <c r="A18" s="51" t="s">
        <v>12</v>
      </c>
      <c r="B18" s="44">
        <v>381</v>
      </c>
      <c r="C18" s="37">
        <f>IF(B$17=0,0,B18/B$17)</f>
        <v>0.42474916387959866</v>
      </c>
      <c r="E18" s="59" t="s">
        <v>79</v>
      </c>
      <c r="F18" s="56" t="s">
        <v>34</v>
      </c>
      <c r="G18" s="44">
        <v>13</v>
      </c>
      <c r="H18" s="129">
        <f>IF(B$17=0,0,G18/B$17)</f>
        <v>1.4492753623188406E-2</v>
      </c>
      <c r="I18" s="90">
        <v>5</v>
      </c>
      <c r="K18" s="36">
        <v>16</v>
      </c>
      <c r="L18" s="95">
        <v>-28.2</v>
      </c>
      <c r="N18" s="111" t="s">
        <v>166</v>
      </c>
      <c r="O18" s="121">
        <f>IF(P18=0,0,Q18/P18)</f>
        <v>8.3227272727272741</v>
      </c>
      <c r="P18" s="115">
        <v>66</v>
      </c>
      <c r="Q18" s="103">
        <v>549.30000000000007</v>
      </c>
    </row>
    <row r="19" spans="1:17" x14ac:dyDescent="0.4">
      <c r="A19" s="51" t="s">
        <v>11</v>
      </c>
      <c r="B19" s="44">
        <v>516</v>
      </c>
      <c r="C19" s="37">
        <f>IF(B$17=0,0,B19/B$17)</f>
        <v>0.57525083612040129</v>
      </c>
      <c r="E19" s="59" t="s">
        <v>91</v>
      </c>
      <c r="F19" s="56" t="s">
        <v>46</v>
      </c>
      <c r="G19" s="44">
        <v>13</v>
      </c>
      <c r="H19" s="129">
        <f>IF(B$17=0,0,G19/B$17)</f>
        <v>1.4492753623188406E-2</v>
      </c>
      <c r="I19" s="90">
        <v>3</v>
      </c>
      <c r="K19" s="36">
        <v>17</v>
      </c>
      <c r="L19" s="95">
        <v>-20.5</v>
      </c>
      <c r="N19" s="111" t="s">
        <v>178</v>
      </c>
      <c r="O19" s="121">
        <f>IF(P19=0,0,Q19/P19)</f>
        <v>-0.21734693877551103</v>
      </c>
      <c r="P19" s="115">
        <v>98</v>
      </c>
      <c r="Q19" s="103">
        <v>-21.300000000000082</v>
      </c>
    </row>
    <row r="20" spans="1:17" x14ac:dyDescent="0.4">
      <c r="A20" s="51" t="s">
        <v>13</v>
      </c>
      <c r="B20" s="44">
        <v>510</v>
      </c>
      <c r="C20" s="37">
        <f>IF(B$3=0,0,B20/B$3)</f>
        <v>0.16715830875122911</v>
      </c>
      <c r="E20" s="59" t="s">
        <v>92</v>
      </c>
      <c r="F20" s="56" t="s">
        <v>47</v>
      </c>
      <c r="G20" s="44">
        <v>6</v>
      </c>
      <c r="H20" s="129">
        <f>IF(B$17=0,0,G20/B$17)</f>
        <v>6.688963210702341E-3</v>
      </c>
      <c r="I20" s="90">
        <v>3</v>
      </c>
      <c r="K20" s="36">
        <v>18</v>
      </c>
      <c r="L20" s="95">
        <v>0</v>
      </c>
      <c r="N20" s="111" t="s">
        <v>177</v>
      </c>
      <c r="O20" s="121">
        <f>IF(P20=0,0,Q20/P20)</f>
        <v>-2.4841463414634117</v>
      </c>
      <c r="P20" s="115">
        <v>82</v>
      </c>
      <c r="Q20" s="103">
        <v>-203.69999999999976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74</v>
      </c>
      <c r="F21" s="56" t="s">
        <v>29</v>
      </c>
      <c r="G21" s="44">
        <v>5</v>
      </c>
      <c r="H21" s="129">
        <f>IF(B$17=0,0,G21/B$17)</f>
        <v>5.5741360089186179E-3</v>
      </c>
      <c r="I21" s="90">
        <v>4</v>
      </c>
      <c r="K21" s="36">
        <v>19</v>
      </c>
      <c r="L21" s="95">
        <v>-22.4</v>
      </c>
      <c r="N21" s="111" t="s">
        <v>181</v>
      </c>
      <c r="O21" s="121">
        <f>IF(P21=0,0,Q21/P21)</f>
        <v>-5.3464285714285724</v>
      </c>
      <c r="P21" s="115">
        <v>28</v>
      </c>
      <c r="Q21" s="103">
        <v>-149.70000000000002</v>
      </c>
    </row>
    <row r="22" spans="1:17" x14ac:dyDescent="0.4">
      <c r="A22" s="51" t="s">
        <v>170</v>
      </c>
      <c r="B22" s="44">
        <v>26</v>
      </c>
      <c r="C22" s="131">
        <v>3</v>
      </c>
      <c r="E22" s="59" t="s">
        <v>75</v>
      </c>
      <c r="F22" s="56" t="s">
        <v>30</v>
      </c>
      <c r="G22" s="44">
        <v>5</v>
      </c>
      <c r="H22" s="129">
        <f>IF(B$17=0,0,G22/B$17)</f>
        <v>5.5741360089186179E-3</v>
      </c>
      <c r="I22" s="90">
        <v>4</v>
      </c>
      <c r="K22" s="36">
        <v>20</v>
      </c>
      <c r="L22" s="95">
        <v>-61.199999999999996</v>
      </c>
      <c r="N22" s="111" t="s">
        <v>127</v>
      </c>
      <c r="O22" s="121">
        <f>IF(P22=0,0,Q22/P22)</f>
        <v>-7.5291666666666748</v>
      </c>
      <c r="P22" s="115">
        <v>144</v>
      </c>
      <c r="Q22" s="103">
        <v>-1084.2000000000012</v>
      </c>
    </row>
    <row r="23" spans="1:17" x14ac:dyDescent="0.4">
      <c r="A23" s="51" t="s">
        <v>5</v>
      </c>
      <c r="B23" s="48">
        <f>IF(B$17=0,0,C23/B$17)</f>
        <v>8242.5863991081387</v>
      </c>
      <c r="C23" s="39">
        <v>7393600</v>
      </c>
      <c r="E23" s="59" t="s">
        <v>77</v>
      </c>
      <c r="F23" s="56" t="s">
        <v>32</v>
      </c>
      <c r="G23" s="44">
        <v>4</v>
      </c>
      <c r="H23" s="129">
        <f>IF(B$17=0,0,G23/B$17)</f>
        <v>4.459308807134894E-3</v>
      </c>
      <c r="I23" s="90">
        <v>3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-12.025999999999989</v>
      </c>
      <c r="P23" s="115">
        <v>150</v>
      </c>
      <c r="Q23" s="103">
        <v>-1803.8999999999985</v>
      </c>
    </row>
    <row r="24" spans="1:17" x14ac:dyDescent="0.4">
      <c r="A24" s="52" t="s">
        <v>216</v>
      </c>
      <c r="B24" s="136">
        <f>IF($B$17-B$16=0,0,C24/($B$17-B$16))</f>
        <v>8717.2818791946302</v>
      </c>
      <c r="C24" s="137">
        <v>5195500</v>
      </c>
      <c r="E24" s="59" t="s">
        <v>84</v>
      </c>
      <c r="F24" s="56" t="s">
        <v>39</v>
      </c>
      <c r="G24" s="44">
        <v>4</v>
      </c>
      <c r="H24" s="129">
        <f>IF(B$17=0,0,G24/B$17)</f>
        <v>4.459308807134894E-3</v>
      </c>
      <c r="I24" s="90">
        <v>3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7302.6578073089704</v>
      </c>
      <c r="C25" s="137">
        <v>2198100</v>
      </c>
      <c r="E25" s="59" t="s">
        <v>85</v>
      </c>
      <c r="F25" s="56" t="s">
        <v>40</v>
      </c>
      <c r="G25" s="44">
        <v>4</v>
      </c>
      <c r="H25" s="129">
        <f>IF(B$17=0,0,G25/B$17)</f>
        <v>4.459308807134894E-3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-7733.1372549019607</v>
      </c>
      <c r="C26" s="137">
        <v>-3943900</v>
      </c>
      <c r="E26" s="59" t="s">
        <v>88</v>
      </c>
      <c r="F26" s="56" t="s">
        <v>43</v>
      </c>
      <c r="G26" s="44">
        <v>4</v>
      </c>
      <c r="H26" s="129">
        <f>IF(B$17=0,0,G26/B$17)</f>
        <v>4.459308807134894E-3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4">
        <v>8</v>
      </c>
      <c r="C27" s="145"/>
      <c r="E27" s="59" t="s">
        <v>90</v>
      </c>
      <c r="F27" s="56" t="s">
        <v>45</v>
      </c>
      <c r="G27" s="44">
        <v>2</v>
      </c>
      <c r="H27" s="129">
        <f>IF(B$17=0,0,G27/B$17)</f>
        <v>2.229654403567447E-3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2">
        <v>95200</v>
      </c>
      <c r="C28" s="143"/>
      <c r="E28" s="59" t="s">
        <v>95</v>
      </c>
      <c r="F28" s="56" t="s">
        <v>50</v>
      </c>
      <c r="G28" s="44">
        <v>2</v>
      </c>
      <c r="H28" s="129">
        <f>IF(B$17=0,0,G28/B$17)</f>
        <v>2.229654403567447E-3</v>
      </c>
      <c r="I28" s="90">
        <v>3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12</v>
      </c>
      <c r="C29" s="40">
        <f>IF(B$3=0,0,B29/B$3)</f>
        <v>3.9331366764995086E-3</v>
      </c>
      <c r="E29" s="59" t="s">
        <v>73</v>
      </c>
      <c r="F29" s="56" t="s">
        <v>28</v>
      </c>
      <c r="G29" s="44">
        <v>1</v>
      </c>
      <c r="H29" s="129">
        <f>IF(B$17=0,0,G29/B$17)</f>
        <v>1.1148272017837235E-3</v>
      </c>
      <c r="I29" s="90">
        <v>2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1</v>
      </c>
      <c r="H30" s="129">
        <f>IF(B$17=0,0,G30/B$17)</f>
        <v>1.1148272017837235E-3</v>
      </c>
      <c r="I30" s="90">
        <v>2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1</v>
      </c>
      <c r="H31" s="129">
        <f>IF(B$17=0,0,G31/B$17)</f>
        <v>1.1148272017837235E-3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1.1148272017837235E-3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6CA9-F46F-4E29-B03C-6214AF9B1FE5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166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33</v>
      </c>
      <c r="C2" s="151"/>
      <c r="E2" s="58" t="s">
        <v>66</v>
      </c>
      <c r="F2" s="55" t="s">
        <v>22</v>
      </c>
      <c r="G2" s="43">
        <v>43</v>
      </c>
      <c r="H2" s="128">
        <f>IF(B$17=0,0,G2/B$17)</f>
        <v>0.58904109589041098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1557.5757575757575</v>
      </c>
      <c r="P2" s="114">
        <v>33</v>
      </c>
      <c r="Q2" s="98">
        <v>51400</v>
      </c>
    </row>
    <row r="3" spans="1:17" x14ac:dyDescent="0.4">
      <c r="A3" s="51" t="s">
        <v>8</v>
      </c>
      <c r="B3" s="152">
        <v>291</v>
      </c>
      <c r="C3" s="153"/>
      <c r="E3" s="59" t="s">
        <v>72</v>
      </c>
      <c r="F3" s="56" t="s">
        <v>27</v>
      </c>
      <c r="G3" s="44">
        <v>39</v>
      </c>
      <c r="H3" s="129">
        <f>IF(B$17=0,0,G3/B$17)</f>
        <v>0.53424657534246578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-759.375</v>
      </c>
      <c r="P3" s="115">
        <v>32</v>
      </c>
      <c r="Q3" s="99">
        <v>-24300</v>
      </c>
    </row>
    <row r="4" spans="1:17" x14ac:dyDescent="0.4">
      <c r="A4" s="51" t="s">
        <v>6</v>
      </c>
      <c r="B4" s="154">
        <v>-183.10000000000002</v>
      </c>
      <c r="C4" s="155"/>
      <c r="E4" s="59" t="s">
        <v>171</v>
      </c>
      <c r="F4" s="56" t="s">
        <v>172</v>
      </c>
      <c r="G4" s="44">
        <v>30</v>
      </c>
      <c r="H4" s="129">
        <f>IF(B$17=0,0,G4/B$17)</f>
        <v>0.41095890410958902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600</v>
      </c>
      <c r="P4" s="115">
        <v>31</v>
      </c>
      <c r="Q4" s="99">
        <v>18600</v>
      </c>
    </row>
    <row r="5" spans="1:17" x14ac:dyDescent="0.4">
      <c r="A5" s="51" t="s">
        <v>7</v>
      </c>
      <c r="B5" s="156">
        <f>IF(B$2=0,0,B$4/B$2)</f>
        <v>-5.5484848484848488</v>
      </c>
      <c r="C5" s="157"/>
      <c r="E5" s="59" t="s">
        <v>64</v>
      </c>
      <c r="F5" s="56" t="s">
        <v>20</v>
      </c>
      <c r="G5" s="44">
        <v>23</v>
      </c>
      <c r="H5" s="129">
        <f>IF(B$17=0,0,G5/B$17)</f>
        <v>0.31506849315068491</v>
      </c>
      <c r="I5" s="90">
        <v>10</v>
      </c>
      <c r="K5" s="36">
        <v>3</v>
      </c>
      <c r="L5" s="95">
        <v>-8.3000000000000007</v>
      </c>
      <c r="N5" s="111" t="s">
        <v>133</v>
      </c>
      <c r="O5" s="118">
        <f t="shared" si="0"/>
        <v>-2712.9032258064517</v>
      </c>
      <c r="P5" s="115">
        <v>31</v>
      </c>
      <c r="Q5" s="99">
        <v>-84100</v>
      </c>
    </row>
    <row r="6" spans="1:17" x14ac:dyDescent="0.4">
      <c r="A6" s="51" t="s">
        <v>1</v>
      </c>
      <c r="B6" s="146">
        <f>IF(B$2=0,0,(B$7*1+B$8*2+B$9*3)/B$2)</f>
        <v>2.1515151515151514</v>
      </c>
      <c r="C6" s="147"/>
      <c r="E6" s="59" t="s">
        <v>68</v>
      </c>
      <c r="F6" s="56" t="s">
        <v>12</v>
      </c>
      <c r="G6" s="44">
        <v>22</v>
      </c>
      <c r="H6" s="129">
        <f>IF(B$17=0,0,G6/B$17)</f>
        <v>0.30136986301369861</v>
      </c>
      <c r="I6" s="90">
        <v>6</v>
      </c>
      <c r="K6" s="36">
        <v>4</v>
      </c>
      <c r="L6" s="95">
        <v>-30.7</v>
      </c>
      <c r="N6" s="111" t="s">
        <v>134</v>
      </c>
      <c r="O6" s="118">
        <f t="shared" si="0"/>
        <v>-1293.5483870967741</v>
      </c>
      <c r="P6" s="115">
        <v>31</v>
      </c>
      <c r="Q6" s="99">
        <v>-40100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0.27272727272727271</v>
      </c>
      <c r="E7" s="59" t="s">
        <v>69</v>
      </c>
      <c r="F7" s="56" t="s">
        <v>24</v>
      </c>
      <c r="G7" s="44">
        <v>18</v>
      </c>
      <c r="H7" s="129">
        <f>IF(B$17=0,0,G7/B$17)</f>
        <v>0.24657534246575341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-2203.7037037037039</v>
      </c>
      <c r="P7" s="116">
        <v>27</v>
      </c>
      <c r="Q7" s="100">
        <v>-59500</v>
      </c>
    </row>
    <row r="8" spans="1:17" x14ac:dyDescent="0.4">
      <c r="A8" s="51" t="s">
        <v>3</v>
      </c>
      <c r="B8" s="44">
        <v>10</v>
      </c>
      <c r="C8" s="37">
        <f t="shared" si="1"/>
        <v>0.30303030303030304</v>
      </c>
      <c r="E8" s="59" t="s">
        <v>70</v>
      </c>
      <c r="F8" s="56" t="s">
        <v>25</v>
      </c>
      <c r="G8" s="44">
        <v>11</v>
      </c>
      <c r="H8" s="129">
        <f>IF(B$17=0,0,G8/B$17)</f>
        <v>0.15068493150684931</v>
      </c>
      <c r="I8" s="90">
        <v>2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0.42424242424242425</v>
      </c>
      <c r="E9" s="59" t="s">
        <v>67</v>
      </c>
      <c r="F9" s="56" t="s">
        <v>23</v>
      </c>
      <c r="G9" s="44">
        <v>10</v>
      </c>
      <c r="H9" s="129">
        <f>IF(B$17=0,0,G9/B$17)</f>
        <v>0.13698630136986301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8</v>
      </c>
      <c r="H10" s="129">
        <f>IF(B$17=0,0,G10/B$17)</f>
        <v>0.1095890410958904</v>
      </c>
      <c r="I10" s="90">
        <v>3</v>
      </c>
      <c r="K10" s="36">
        <v>8</v>
      </c>
      <c r="L10" s="95">
        <v>-76.900000000000006</v>
      </c>
      <c r="N10" s="110" t="s">
        <v>162</v>
      </c>
      <c r="O10" s="120">
        <f>IF(P10=0,0,Q10/P10)</f>
        <v>3.0636363636363639</v>
      </c>
      <c r="P10" s="114">
        <v>11</v>
      </c>
      <c r="Q10" s="102">
        <v>33.700000000000003</v>
      </c>
    </row>
    <row r="11" spans="1:17" x14ac:dyDescent="0.4">
      <c r="A11" s="52" t="s">
        <v>138</v>
      </c>
      <c r="B11" s="45">
        <v>1</v>
      </c>
      <c r="C11" s="38">
        <f t="shared" si="1"/>
        <v>3.0303030303030304E-2</v>
      </c>
      <c r="E11" s="59" t="s">
        <v>83</v>
      </c>
      <c r="F11" s="56" t="s">
        <v>38</v>
      </c>
      <c r="G11" s="44">
        <v>8</v>
      </c>
      <c r="H11" s="129">
        <f>IF(B$17=0,0,G11/B$17)</f>
        <v>0.1095890410958904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-19.425000000000001</v>
      </c>
      <c r="P11" s="115">
        <v>8</v>
      </c>
      <c r="Q11" s="103">
        <v>-155.4</v>
      </c>
    </row>
    <row r="12" spans="1:17" x14ac:dyDescent="0.4">
      <c r="A12" s="53" t="s">
        <v>158</v>
      </c>
      <c r="B12" s="46">
        <v>4</v>
      </c>
      <c r="C12" s="40">
        <f t="shared" si="1"/>
        <v>0.12121212121212122</v>
      </c>
      <c r="E12" s="59" t="s">
        <v>65</v>
      </c>
      <c r="F12" s="56" t="s">
        <v>21</v>
      </c>
      <c r="G12" s="44">
        <v>7</v>
      </c>
      <c r="H12" s="129">
        <f>IF(B$17=0,0,G12/B$17)</f>
        <v>9.5890410958904104E-2</v>
      </c>
      <c r="I12" s="90">
        <v>6</v>
      </c>
      <c r="K12" s="36">
        <v>10</v>
      </c>
      <c r="L12" s="95">
        <v>-32.700000000000003</v>
      </c>
      <c r="N12" s="112" t="s">
        <v>164</v>
      </c>
      <c r="O12" s="122">
        <f>IF(P12=0,0,Q12/P12)</f>
        <v>-4.3857142857142852</v>
      </c>
      <c r="P12" s="116">
        <v>14</v>
      </c>
      <c r="Q12" s="104">
        <v>-61.399999999999991</v>
      </c>
    </row>
    <row r="13" spans="1:17" x14ac:dyDescent="0.4">
      <c r="A13" s="54" t="s">
        <v>121</v>
      </c>
      <c r="B13" s="47">
        <v>48</v>
      </c>
      <c r="C13" s="42">
        <f>IF(B$3=0,0,B13/B$3)</f>
        <v>0.16494845360824742</v>
      </c>
      <c r="E13" s="59" t="s">
        <v>89</v>
      </c>
      <c r="F13" s="56" t="s">
        <v>44</v>
      </c>
      <c r="G13" s="44">
        <v>5</v>
      </c>
      <c r="H13" s="129">
        <f>IF(B$17=0,0,G13/B$17)</f>
        <v>6.8493150684931503E-2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68</v>
      </c>
      <c r="C14" s="37">
        <f>IF(B$3=0,0,B14/B$3)</f>
        <v>0.23367697594501718</v>
      </c>
      <c r="E14" s="59" t="s">
        <v>81</v>
      </c>
      <c r="F14" s="56" t="s">
        <v>36</v>
      </c>
      <c r="G14" s="44">
        <v>4</v>
      </c>
      <c r="H14" s="129">
        <f>IF(B$17=0,0,G14/B$17)</f>
        <v>5.4794520547945202E-2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0.52083333333333337</v>
      </c>
      <c r="E15" s="59" t="s">
        <v>88</v>
      </c>
      <c r="F15" s="56" t="s">
        <v>43</v>
      </c>
      <c r="G15" s="44">
        <v>2</v>
      </c>
      <c r="H15" s="129">
        <f>IF(B$17=0,0,G15/B$17)</f>
        <v>2.7397260273972601E-2</v>
      </c>
      <c r="I15" s="90">
        <v>1</v>
      </c>
      <c r="K15" s="36">
        <v>13</v>
      </c>
      <c r="L15" s="95">
        <v>-66.2</v>
      </c>
      <c r="N15" s="110" t="s">
        <v>126</v>
      </c>
      <c r="O15" s="120">
        <f t="shared" ref="O15:O21" si="2">IF(P15=0,0,Q15/P15)</f>
        <v>-1.8272727272727274</v>
      </c>
      <c r="P15" s="114">
        <v>22</v>
      </c>
      <c r="Q15" s="102">
        <v>-40.200000000000003</v>
      </c>
    </row>
    <row r="16" spans="1:17" x14ac:dyDescent="0.4">
      <c r="A16" s="50" t="s">
        <v>124</v>
      </c>
      <c r="B16" s="43">
        <v>24</v>
      </c>
      <c r="C16" s="35">
        <f>IF(B$14=0,0,B16/B$14)</f>
        <v>0.35294117647058826</v>
      </c>
      <c r="E16" s="59" t="s">
        <v>74</v>
      </c>
      <c r="F16" s="56" t="s">
        <v>29</v>
      </c>
      <c r="G16" s="44">
        <v>1</v>
      </c>
      <c r="H16" s="129">
        <f>IF(B$17=0,0,G16/B$17)</f>
        <v>1.3698630136986301E-2</v>
      </c>
      <c r="I16" s="90">
        <v>2</v>
      </c>
      <c r="K16" s="36">
        <v>14</v>
      </c>
      <c r="L16" s="95">
        <v>-51.1</v>
      </c>
      <c r="N16" s="111" t="s">
        <v>181</v>
      </c>
      <c r="O16" s="121">
        <f t="shared" si="2"/>
        <v>-5.04</v>
      </c>
      <c r="P16" s="115">
        <v>5</v>
      </c>
      <c r="Q16" s="103">
        <v>-25.2</v>
      </c>
    </row>
    <row r="17" spans="1:17" x14ac:dyDescent="0.4">
      <c r="A17" s="50" t="s">
        <v>10</v>
      </c>
      <c r="B17" s="43">
        <f>B19+B18</f>
        <v>73</v>
      </c>
      <c r="C17" s="35">
        <f>IF(B$3=0,0,B17/B$3)</f>
        <v>0.25085910652920962</v>
      </c>
      <c r="E17" s="59" t="s">
        <v>77</v>
      </c>
      <c r="F17" s="56" t="s">
        <v>32</v>
      </c>
      <c r="G17" s="44">
        <v>1</v>
      </c>
      <c r="H17" s="129">
        <f>IF(B$17=0,0,G17/B$17)</f>
        <v>1.3698630136986301E-2</v>
      </c>
      <c r="I17" s="90">
        <v>2</v>
      </c>
      <c r="K17" s="36">
        <v>15</v>
      </c>
      <c r="L17" s="95">
        <v>-65.2</v>
      </c>
      <c r="N17" s="111" t="s">
        <v>178</v>
      </c>
      <c r="O17" s="121">
        <f t="shared" si="2"/>
        <v>-5.3124999999999991</v>
      </c>
      <c r="P17" s="115">
        <v>8</v>
      </c>
      <c r="Q17" s="103">
        <v>-42.499999999999993</v>
      </c>
    </row>
    <row r="18" spans="1:17" x14ac:dyDescent="0.4">
      <c r="A18" s="51" t="s">
        <v>12</v>
      </c>
      <c r="B18" s="44">
        <v>32</v>
      </c>
      <c r="C18" s="37">
        <f>IF(B$17=0,0,B18/B$17)</f>
        <v>0.43835616438356162</v>
      </c>
      <c r="E18" s="59" t="s">
        <v>86</v>
      </c>
      <c r="F18" s="56" t="s">
        <v>41</v>
      </c>
      <c r="G18" s="44">
        <v>1</v>
      </c>
      <c r="H18" s="129">
        <f>IF(B$17=0,0,G18/B$17)</f>
        <v>1.3698630136986301E-2</v>
      </c>
      <c r="I18" s="90">
        <v>10</v>
      </c>
      <c r="K18" s="36">
        <v>16</v>
      </c>
      <c r="L18" s="95">
        <v>-70.600000000000009</v>
      </c>
      <c r="N18" s="111" t="s">
        <v>179</v>
      </c>
      <c r="O18" s="121">
        <f t="shared" si="2"/>
        <v>-10.390909090909092</v>
      </c>
      <c r="P18" s="115">
        <v>11</v>
      </c>
      <c r="Q18" s="103">
        <v>-114.30000000000001</v>
      </c>
    </row>
    <row r="19" spans="1:17" x14ac:dyDescent="0.4">
      <c r="A19" s="51" t="s">
        <v>11</v>
      </c>
      <c r="B19" s="44">
        <v>41</v>
      </c>
      <c r="C19" s="37">
        <f>IF(B$17=0,0,B19/B$17)</f>
        <v>0.56164383561643838</v>
      </c>
      <c r="E19" s="59" t="s">
        <v>91</v>
      </c>
      <c r="F19" s="56" t="s">
        <v>46</v>
      </c>
      <c r="G19" s="44">
        <v>1</v>
      </c>
      <c r="H19" s="129">
        <f>IF(B$17=0,0,G19/B$17)</f>
        <v>1.3698630136986301E-2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-10.6</v>
      </c>
      <c r="P19" s="115">
        <v>16</v>
      </c>
      <c r="Q19" s="103">
        <v>-169.6</v>
      </c>
    </row>
    <row r="20" spans="1:17" x14ac:dyDescent="0.4">
      <c r="A20" s="51" t="s">
        <v>13</v>
      </c>
      <c r="B20" s="44">
        <v>48</v>
      </c>
      <c r="C20" s="37">
        <f>IF(B$3=0,0,B20/B$3)</f>
        <v>0.16494845360824742</v>
      </c>
      <c r="E20" s="59" t="s">
        <v>93</v>
      </c>
      <c r="F20" s="56" t="s">
        <v>48</v>
      </c>
      <c r="G20" s="44">
        <v>1</v>
      </c>
      <c r="H20" s="129">
        <f>IF(B$17=0,0,G20/B$17)</f>
        <v>1.3698630136986301E-2</v>
      </c>
      <c r="I20" s="90">
        <v>1</v>
      </c>
      <c r="K20" s="36">
        <v>18</v>
      </c>
      <c r="L20" s="95">
        <v>-80.2</v>
      </c>
      <c r="N20" s="111" t="s">
        <v>182</v>
      </c>
      <c r="O20" s="121">
        <f t="shared" si="2"/>
        <v>-25.7</v>
      </c>
      <c r="P20" s="115">
        <v>2</v>
      </c>
      <c r="Q20" s="103">
        <v>-51.4</v>
      </c>
    </row>
    <row r="21" spans="1:17" x14ac:dyDescent="0.4">
      <c r="A21" s="51" t="s">
        <v>169</v>
      </c>
      <c r="B21" s="44">
        <v>4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3</v>
      </c>
      <c r="K21" s="36">
        <v>19</v>
      </c>
      <c r="L21" s="95">
        <v>-115.1</v>
      </c>
      <c r="N21" s="111" t="s">
        <v>177</v>
      </c>
      <c r="O21" s="121">
        <f t="shared" si="2"/>
        <v>-53.050000000000004</v>
      </c>
      <c r="P21" s="115">
        <v>2</v>
      </c>
      <c r="Q21" s="103">
        <v>-106.10000000000001</v>
      </c>
    </row>
    <row r="22" spans="1:17" x14ac:dyDescent="0.4">
      <c r="A22" s="51" t="s">
        <v>170</v>
      </c>
      <c r="B22" s="44">
        <v>23</v>
      </c>
      <c r="C22" s="131">
        <v>3</v>
      </c>
      <c r="E22" s="59" t="s">
        <v>75</v>
      </c>
      <c r="F22" s="56" t="s">
        <v>30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7316.4383561643835</v>
      </c>
      <c r="C23" s="39">
        <v>534100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7851.0204081632655</v>
      </c>
      <c r="C24" s="137">
        <v>384700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6225</v>
      </c>
      <c r="C25" s="137">
        <v>149400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-6820.833333333333</v>
      </c>
      <c r="C26" s="137">
        <v>-327400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4">
        <v>3</v>
      </c>
      <c r="C27" s="145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2">
        <v>86900</v>
      </c>
      <c r="C28" s="143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6.8728522336769758E-3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5D87E-AC65-4D36-BDD0-EE37AAB91B0B}">
  <sheetPr codeName="Sheet9"/>
  <dimension ref="A1:Q7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126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75</v>
      </c>
      <c r="C2" s="151"/>
      <c r="E2" s="58" t="s">
        <v>66</v>
      </c>
      <c r="F2" s="55" t="s">
        <v>22</v>
      </c>
      <c r="G2" s="43">
        <v>137</v>
      </c>
      <c r="H2" s="128">
        <f>IF(B$17=0,0,G2/B$17)</f>
        <v>0.66183574879227058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625.67567567567562</v>
      </c>
      <c r="P2" s="114">
        <v>74</v>
      </c>
      <c r="Q2" s="98">
        <v>46300</v>
      </c>
    </row>
    <row r="3" spans="1:17" x14ac:dyDescent="0.4">
      <c r="A3" s="51" t="s">
        <v>8</v>
      </c>
      <c r="B3" s="152">
        <v>609</v>
      </c>
      <c r="C3" s="153"/>
      <c r="E3" s="59" t="s">
        <v>72</v>
      </c>
      <c r="F3" s="56" t="s">
        <v>27</v>
      </c>
      <c r="G3" s="44">
        <v>103</v>
      </c>
      <c r="H3" s="129">
        <f>IF(B$17=0,0,G3/B$17)</f>
        <v>0.49758454106280192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308.45070422535213</v>
      </c>
      <c r="P3" s="115">
        <v>71</v>
      </c>
      <c r="Q3" s="99">
        <v>21900</v>
      </c>
    </row>
    <row r="4" spans="1:17" x14ac:dyDescent="0.4">
      <c r="A4" s="51" t="s">
        <v>6</v>
      </c>
      <c r="B4" s="154">
        <v>601.29999999999984</v>
      </c>
      <c r="C4" s="155"/>
      <c r="E4" s="59" t="s">
        <v>64</v>
      </c>
      <c r="F4" s="56" t="s">
        <v>20</v>
      </c>
      <c r="G4" s="44">
        <v>88</v>
      </c>
      <c r="H4" s="129">
        <f>IF(B$17=0,0,G4/B$17)</f>
        <v>0.4251207729468599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141.42857142857142</v>
      </c>
      <c r="P4" s="115">
        <v>70</v>
      </c>
      <c r="Q4" s="99">
        <v>9900</v>
      </c>
    </row>
    <row r="5" spans="1:17" x14ac:dyDescent="0.4">
      <c r="A5" s="51" t="s">
        <v>7</v>
      </c>
      <c r="B5" s="156">
        <f>IF(B$2=0,0,B$4/B$2)</f>
        <v>8.0173333333333314</v>
      </c>
      <c r="C5" s="157"/>
      <c r="E5" s="59" t="s">
        <v>171</v>
      </c>
      <c r="F5" s="56" t="s">
        <v>172</v>
      </c>
      <c r="G5" s="44">
        <v>72</v>
      </c>
      <c r="H5" s="129">
        <f>IF(B$17=0,0,G5/B$17)</f>
        <v>0.34782608695652173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-752.38095238095241</v>
      </c>
      <c r="P5" s="115">
        <v>63</v>
      </c>
      <c r="Q5" s="99">
        <v>-47400</v>
      </c>
    </row>
    <row r="6" spans="1:17" x14ac:dyDescent="0.4">
      <c r="A6" s="51" t="s">
        <v>1</v>
      </c>
      <c r="B6" s="146">
        <f>IF(B$2=0,0,(B$7*1+B$8*2+B$9*3)/B$2)</f>
        <v>1.76</v>
      </c>
      <c r="C6" s="147"/>
      <c r="E6" s="59" t="s">
        <v>68</v>
      </c>
      <c r="F6" s="56" t="s">
        <v>12</v>
      </c>
      <c r="G6" s="44">
        <v>59</v>
      </c>
      <c r="H6" s="129">
        <f>IF(B$17=0,0,G6/B$17)</f>
        <v>0.28502415458937197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3145.9016393442621</v>
      </c>
      <c r="P6" s="115">
        <v>61</v>
      </c>
      <c r="Q6" s="99">
        <v>191900</v>
      </c>
    </row>
    <row r="7" spans="1:17" x14ac:dyDescent="0.4">
      <c r="A7" s="51" t="s">
        <v>2</v>
      </c>
      <c r="B7" s="44">
        <v>36</v>
      </c>
      <c r="C7" s="37">
        <f t="shared" ref="C7:C12" si="1">IF(B$2=0,0,B7/B$2)</f>
        <v>0.48</v>
      </c>
      <c r="E7" s="59" t="s">
        <v>67</v>
      </c>
      <c r="F7" s="56" t="s">
        <v>23</v>
      </c>
      <c r="G7" s="44">
        <v>55</v>
      </c>
      <c r="H7" s="129">
        <f>IF(B$17=0,0,G7/B$17)</f>
        <v>0.26570048309178745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3114</v>
      </c>
      <c r="P7" s="116">
        <v>50</v>
      </c>
      <c r="Q7" s="100">
        <v>155700</v>
      </c>
    </row>
    <row r="8" spans="1:17" x14ac:dyDescent="0.4">
      <c r="A8" s="51" t="s">
        <v>3</v>
      </c>
      <c r="B8" s="44">
        <v>21</v>
      </c>
      <c r="C8" s="37">
        <f t="shared" si="1"/>
        <v>0.28000000000000003</v>
      </c>
      <c r="E8" s="59" t="s">
        <v>89</v>
      </c>
      <c r="F8" s="56" t="s">
        <v>44</v>
      </c>
      <c r="G8" s="44">
        <v>37</v>
      </c>
      <c r="H8" s="129">
        <f>IF(B$17=0,0,G8/B$17)</f>
        <v>0.17874396135265699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0.24</v>
      </c>
      <c r="E9" s="59" t="s">
        <v>69</v>
      </c>
      <c r="F9" s="56" t="s">
        <v>24</v>
      </c>
      <c r="G9" s="44">
        <v>29</v>
      </c>
      <c r="H9" s="129">
        <f>IF(B$17=0,0,G9/B$17)</f>
        <v>0.14009661835748793</v>
      </c>
      <c r="I9" s="90">
        <v>6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1"/>
        <v>0.04</v>
      </c>
      <c r="E10" s="59" t="s">
        <v>65</v>
      </c>
      <c r="F10" s="56" t="s">
        <v>21</v>
      </c>
      <c r="G10" s="44">
        <v>21</v>
      </c>
      <c r="H10" s="129">
        <f>IF(B$17=0,0,G10/B$17)</f>
        <v>0.10144927536231885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11.3</v>
      </c>
      <c r="P10" s="114">
        <v>20</v>
      </c>
      <c r="Q10" s="102">
        <v>226.00000000000003</v>
      </c>
    </row>
    <row r="11" spans="1:17" x14ac:dyDescent="0.4">
      <c r="A11" s="52" t="s">
        <v>138</v>
      </c>
      <c r="B11" s="45">
        <v>8</v>
      </c>
      <c r="C11" s="38">
        <f t="shared" si="1"/>
        <v>0.10666666666666667</v>
      </c>
      <c r="E11" s="59" t="s">
        <v>71</v>
      </c>
      <c r="F11" s="56" t="s">
        <v>26</v>
      </c>
      <c r="G11" s="44">
        <v>13</v>
      </c>
      <c r="H11" s="129">
        <f>IF(B$17=0,0,G11/B$17)</f>
        <v>6.280193236714976E-2</v>
      </c>
      <c r="I11" s="90">
        <v>10</v>
      </c>
      <c r="K11" s="36">
        <v>9</v>
      </c>
      <c r="L11" s="95">
        <v>180.89999999999998</v>
      </c>
      <c r="N11" s="111" t="s">
        <v>163</v>
      </c>
      <c r="O11" s="121">
        <f>IF(P11=0,0,Q11/P11)</f>
        <v>4.2562500000000005</v>
      </c>
      <c r="P11" s="115">
        <v>32</v>
      </c>
      <c r="Q11" s="103">
        <v>136.20000000000002</v>
      </c>
    </row>
    <row r="12" spans="1:17" x14ac:dyDescent="0.4">
      <c r="A12" s="53" t="s">
        <v>158</v>
      </c>
      <c r="B12" s="46">
        <v>9</v>
      </c>
      <c r="C12" s="40">
        <f t="shared" si="1"/>
        <v>0.12</v>
      </c>
      <c r="E12" s="59" t="s">
        <v>70</v>
      </c>
      <c r="F12" s="56" t="s">
        <v>25</v>
      </c>
      <c r="G12" s="44">
        <v>11</v>
      </c>
      <c r="H12" s="129">
        <f>IF(B$17=0,0,G12/B$17)</f>
        <v>5.3140096618357488E-2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10.395652173913041</v>
      </c>
      <c r="P12" s="116">
        <v>23</v>
      </c>
      <c r="Q12" s="104">
        <v>239.09999999999994</v>
      </c>
    </row>
    <row r="13" spans="1:17" x14ac:dyDescent="0.4">
      <c r="A13" s="54" t="s">
        <v>121</v>
      </c>
      <c r="B13" s="47">
        <v>155</v>
      </c>
      <c r="C13" s="42">
        <f>IF(B$3=0,0,B13/B$3)</f>
        <v>0.25451559934318557</v>
      </c>
      <c r="E13" s="59" t="s">
        <v>83</v>
      </c>
      <c r="F13" s="56" t="s">
        <v>38</v>
      </c>
      <c r="G13" s="44">
        <v>10</v>
      </c>
      <c r="H13" s="129">
        <f>IF(B$17=0,0,G13/B$17)</f>
        <v>4.8309178743961352E-2</v>
      </c>
      <c r="I13" s="90">
        <v>9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143</v>
      </c>
      <c r="C14" s="37">
        <f>IF(B$3=0,0,B14/B$3)</f>
        <v>0.2348111658456486</v>
      </c>
      <c r="E14" s="59" t="s">
        <v>86</v>
      </c>
      <c r="F14" s="56" t="s">
        <v>41</v>
      </c>
      <c r="G14" s="44">
        <v>9</v>
      </c>
      <c r="H14" s="129">
        <f>IF(B$17=0,0,G14/B$17)</f>
        <v>4.3478260869565216E-2</v>
      </c>
      <c r="I14" s="90">
        <v>7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95</v>
      </c>
      <c r="C15" s="35">
        <f>IF(B$13=0,0,B15/B$13)</f>
        <v>0.61290322580645162</v>
      </c>
      <c r="E15" s="59" t="s">
        <v>167</v>
      </c>
      <c r="F15" s="56" t="s">
        <v>168</v>
      </c>
      <c r="G15" s="44">
        <v>8</v>
      </c>
      <c r="H15" s="129">
        <f>IF(B$17=0,0,G15/B$17)</f>
        <v>3.864734299516908E-2</v>
      </c>
      <c r="I15" s="90">
        <v>1</v>
      </c>
      <c r="K15" s="36">
        <v>13</v>
      </c>
      <c r="L15" s="95">
        <v>206.39999999999998</v>
      </c>
      <c r="N15" s="110" t="s">
        <v>181</v>
      </c>
      <c r="O15" s="120">
        <f>IF(P15=0,0,Q15/P15)</f>
        <v>57.4</v>
      </c>
      <c r="P15" s="114">
        <v>4</v>
      </c>
      <c r="Q15" s="102">
        <v>229.6</v>
      </c>
    </row>
    <row r="16" spans="1:17" x14ac:dyDescent="0.4">
      <c r="A16" s="50" t="s">
        <v>124</v>
      </c>
      <c r="B16" s="43">
        <v>68</v>
      </c>
      <c r="C16" s="35">
        <f>IF(B$14=0,0,B16/B$14)</f>
        <v>0.47552447552447552</v>
      </c>
      <c r="E16" s="59" t="s">
        <v>78</v>
      </c>
      <c r="F16" s="56" t="s">
        <v>33</v>
      </c>
      <c r="G16" s="44">
        <v>7</v>
      </c>
      <c r="H16" s="129">
        <f>IF(B$17=0,0,G16/B$17)</f>
        <v>3.3816425120772944E-2</v>
      </c>
      <c r="I16" s="90">
        <v>1</v>
      </c>
      <c r="K16" s="36">
        <v>14</v>
      </c>
      <c r="L16" s="95">
        <v>240.09999999999997</v>
      </c>
      <c r="N16" s="111" t="s">
        <v>182</v>
      </c>
      <c r="O16" s="121">
        <f>IF(P16=0,0,Q16/P16)</f>
        <v>32.228571428571421</v>
      </c>
      <c r="P16" s="115">
        <v>7</v>
      </c>
      <c r="Q16" s="103">
        <v>225.59999999999994</v>
      </c>
    </row>
    <row r="17" spans="1:17" x14ac:dyDescent="0.4">
      <c r="A17" s="50" t="s">
        <v>10</v>
      </c>
      <c r="B17" s="43">
        <f>B19+B18</f>
        <v>207</v>
      </c>
      <c r="C17" s="35">
        <f>IF(B$3=0,0,B17/B$3)</f>
        <v>0.33990147783251229</v>
      </c>
      <c r="E17" s="59" t="s">
        <v>77</v>
      </c>
      <c r="F17" s="56" t="s">
        <v>32</v>
      </c>
      <c r="G17" s="44">
        <v>3</v>
      </c>
      <c r="H17" s="129">
        <f>IF(B$17=0,0,G17/B$17)</f>
        <v>1.4492753623188406E-2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19.07</v>
      </c>
      <c r="P17" s="115">
        <v>30</v>
      </c>
      <c r="Q17" s="103">
        <v>572.1</v>
      </c>
    </row>
    <row r="18" spans="1:17" x14ac:dyDescent="0.4">
      <c r="A18" s="51" t="s">
        <v>12</v>
      </c>
      <c r="B18" s="44">
        <v>87</v>
      </c>
      <c r="C18" s="37">
        <f>IF(B$17=0,0,B18/B$17)</f>
        <v>0.42028985507246375</v>
      </c>
      <c r="E18" s="59" t="s">
        <v>84</v>
      </c>
      <c r="F18" s="56" t="s">
        <v>39</v>
      </c>
      <c r="G18" s="44">
        <v>3</v>
      </c>
      <c r="H18" s="129">
        <f>IF(B$17=0,0,G18/B$17)</f>
        <v>1.4492753623188406E-2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18.563157894736854</v>
      </c>
      <c r="P18" s="115">
        <v>19</v>
      </c>
      <c r="Q18" s="103">
        <v>352.70000000000022</v>
      </c>
    </row>
    <row r="19" spans="1:17" x14ac:dyDescent="0.4">
      <c r="A19" s="51" t="s">
        <v>11</v>
      </c>
      <c r="B19" s="44">
        <v>120</v>
      </c>
      <c r="C19" s="37">
        <f>IF(B$17=0,0,B19/B$17)</f>
        <v>0.57971014492753625</v>
      </c>
      <c r="E19" s="59" t="s">
        <v>88</v>
      </c>
      <c r="F19" s="56" t="s">
        <v>43</v>
      </c>
      <c r="G19" s="44">
        <v>2</v>
      </c>
      <c r="H19" s="129">
        <f>IF(B$17=0,0,G19/B$17)</f>
        <v>9.6618357487922701E-3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9.3313725490196102</v>
      </c>
      <c r="P19" s="115">
        <v>51</v>
      </c>
      <c r="Q19" s="103">
        <v>475.90000000000009</v>
      </c>
    </row>
    <row r="20" spans="1:17" x14ac:dyDescent="0.4">
      <c r="A20" s="51" t="s">
        <v>13</v>
      </c>
      <c r="B20" s="44">
        <v>85</v>
      </c>
      <c r="C20" s="37">
        <f>IF(B$3=0,0,B20/B$3)</f>
        <v>0.13957307060755336</v>
      </c>
      <c r="E20" s="59" t="s">
        <v>92</v>
      </c>
      <c r="F20" s="56" t="s">
        <v>47</v>
      </c>
      <c r="G20" s="44">
        <v>2</v>
      </c>
      <c r="H20" s="129">
        <f>IF(B$17=0,0,G20/B$17)</f>
        <v>9.6618357487922701E-3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>IF(P20=0,0,Q20/P20)</f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1</v>
      </c>
      <c r="E21" s="59" t="s">
        <v>74</v>
      </c>
      <c r="F21" s="56" t="s">
        <v>29</v>
      </c>
      <c r="G21" s="44">
        <v>1</v>
      </c>
      <c r="H21" s="129">
        <f>IF(B$17=0,0,G21/B$17)</f>
        <v>4.830917874396135E-3</v>
      </c>
      <c r="I21" s="90">
        <v>5</v>
      </c>
      <c r="K21" s="36">
        <v>19</v>
      </c>
      <c r="L21" s="95">
        <v>383.19999999999993</v>
      </c>
      <c r="N21" s="111" t="s">
        <v>177</v>
      </c>
      <c r="O21" s="121">
        <f>IF(P21=0,0,Q21/P21)</f>
        <v>-1.3562500000000002</v>
      </c>
      <c r="P21" s="115">
        <v>16</v>
      </c>
      <c r="Q21" s="103">
        <v>-21.700000000000003</v>
      </c>
    </row>
    <row r="22" spans="1:17" x14ac:dyDescent="0.4">
      <c r="A22" s="51" t="s">
        <v>170</v>
      </c>
      <c r="B22" s="44">
        <v>31</v>
      </c>
      <c r="C22" s="131">
        <v>14</v>
      </c>
      <c r="E22" s="59" t="s">
        <v>75</v>
      </c>
      <c r="F22" s="56" t="s">
        <v>30</v>
      </c>
      <c r="G22" s="44">
        <v>1</v>
      </c>
      <c r="H22" s="129">
        <f>IF(B$17=0,0,G22/B$17)</f>
        <v>4.830917874396135E-3</v>
      </c>
      <c r="I22" s="90">
        <v>5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7849.7584541062806</v>
      </c>
      <c r="C23" s="39">
        <v>1624900</v>
      </c>
      <c r="E23" s="59" t="s">
        <v>79</v>
      </c>
      <c r="F23" s="56" t="s">
        <v>34</v>
      </c>
      <c r="G23" s="44">
        <v>1</v>
      </c>
      <c r="H23" s="129">
        <f>IF(B$17=0,0,G23/B$17)</f>
        <v>4.830917874396135E-3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7712.9496402877694</v>
      </c>
      <c r="C24" s="137">
        <v>1072100</v>
      </c>
      <c r="E24" s="59" t="s">
        <v>81</v>
      </c>
      <c r="F24" s="56" t="s">
        <v>36</v>
      </c>
      <c r="G24" s="44">
        <v>1</v>
      </c>
      <c r="H24" s="129">
        <f>IF(B$17=0,0,G24/B$17)</f>
        <v>4.830917874396135E-3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8129.411764705882</v>
      </c>
      <c r="C25" s="137">
        <v>552800</v>
      </c>
      <c r="E25" s="59" t="s">
        <v>85</v>
      </c>
      <c r="F25" s="56" t="s">
        <v>40</v>
      </c>
      <c r="G25" s="44">
        <v>1</v>
      </c>
      <c r="H25" s="129">
        <f>IF(B$17=0,0,G25/B$17)</f>
        <v>4.830917874396135E-3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-7528.2352941176468</v>
      </c>
      <c r="C26" s="137">
        <v>-639900</v>
      </c>
      <c r="E26" s="59" t="s">
        <v>90</v>
      </c>
      <c r="F26" s="56" t="s">
        <v>45</v>
      </c>
      <c r="G26" s="44">
        <v>1</v>
      </c>
      <c r="H26" s="129">
        <f>IF(B$17=0,0,G26/B$17)</f>
        <v>4.830917874396135E-3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4">
        <v>7</v>
      </c>
      <c r="C27" s="145"/>
      <c r="E27" s="59" t="s">
        <v>91</v>
      </c>
      <c r="F27" s="56" t="s">
        <v>46</v>
      </c>
      <c r="G27" s="44">
        <v>1</v>
      </c>
      <c r="H27" s="129">
        <f>IF(B$17=0,0,G27/B$17)</f>
        <v>4.830917874396135E-3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2">
        <v>86200</v>
      </c>
      <c r="C28" s="143"/>
      <c r="E28" s="59" t="s">
        <v>95</v>
      </c>
      <c r="F28" s="56" t="s">
        <v>50</v>
      </c>
      <c r="G28" s="44">
        <v>1</v>
      </c>
      <c r="H28" s="129">
        <f>IF(B$17=0,0,G28/B$17)</f>
        <v>4.830917874396135E-3</v>
      </c>
      <c r="I28" s="90">
        <v>2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1.6420361247947454E-3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B13E-5C74-457A-A9D6-76D1440681DB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179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46</v>
      </c>
      <c r="C2" s="151"/>
      <c r="E2" s="58" t="s">
        <v>66</v>
      </c>
      <c r="F2" s="55" t="s">
        <v>22</v>
      </c>
      <c r="G2" s="43">
        <v>79</v>
      </c>
      <c r="H2" s="128">
        <f>IF(B$17=0,0,G2/B$17)</f>
        <v>0.71818181818181814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515.55555555555554</v>
      </c>
      <c r="P2" s="114">
        <v>45</v>
      </c>
      <c r="Q2" s="98">
        <v>23200</v>
      </c>
    </row>
    <row r="3" spans="1:17" x14ac:dyDescent="0.4">
      <c r="A3" s="51" t="s">
        <v>8</v>
      </c>
      <c r="B3" s="152">
        <v>395</v>
      </c>
      <c r="C3" s="153"/>
      <c r="E3" s="59" t="s">
        <v>64</v>
      </c>
      <c r="F3" s="56" t="s">
        <v>20</v>
      </c>
      <c r="G3" s="44">
        <v>66</v>
      </c>
      <c r="H3" s="129">
        <f>IF(B$17=0,0,G3/B$17)</f>
        <v>0.6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-737.77777777777783</v>
      </c>
      <c r="P3" s="115">
        <v>45</v>
      </c>
      <c r="Q3" s="99">
        <v>-33200</v>
      </c>
    </row>
    <row r="4" spans="1:17" x14ac:dyDescent="0.4">
      <c r="A4" s="51" t="s">
        <v>6</v>
      </c>
      <c r="B4" s="154">
        <v>-351.79999999999995</v>
      </c>
      <c r="C4" s="155"/>
      <c r="E4" s="59" t="s">
        <v>72</v>
      </c>
      <c r="F4" s="56" t="s">
        <v>27</v>
      </c>
      <c r="G4" s="44">
        <v>57</v>
      </c>
      <c r="H4" s="129">
        <f>IF(B$17=0,0,G4/B$17)</f>
        <v>0.51818181818181819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913.95348837209303</v>
      </c>
      <c r="P4" s="115">
        <v>43</v>
      </c>
      <c r="Q4" s="99">
        <v>39300</v>
      </c>
    </row>
    <row r="5" spans="1:17" x14ac:dyDescent="0.4">
      <c r="A5" s="51" t="s">
        <v>7</v>
      </c>
      <c r="B5" s="156">
        <f>IF(B$2=0,0,B$4/B$2)</f>
        <v>-7.6478260869565204</v>
      </c>
      <c r="C5" s="157"/>
      <c r="E5" s="59" t="s">
        <v>171</v>
      </c>
      <c r="F5" s="56" t="s">
        <v>172</v>
      </c>
      <c r="G5" s="44">
        <v>42</v>
      </c>
      <c r="H5" s="129">
        <f>IF(B$17=0,0,G5/B$17)</f>
        <v>0.38181818181818183</v>
      </c>
      <c r="I5" s="90">
        <v>5</v>
      </c>
      <c r="K5" s="36">
        <v>3</v>
      </c>
      <c r="L5" s="95">
        <v>-17.599999999999998</v>
      </c>
      <c r="N5" s="111" t="s">
        <v>133</v>
      </c>
      <c r="O5" s="118">
        <f t="shared" si="0"/>
        <v>-1904.8780487804879</v>
      </c>
      <c r="P5" s="115">
        <v>41</v>
      </c>
      <c r="Q5" s="99">
        <v>-78100</v>
      </c>
    </row>
    <row r="6" spans="1:17" x14ac:dyDescent="0.4">
      <c r="A6" s="51" t="s">
        <v>1</v>
      </c>
      <c r="B6" s="146">
        <f>IF(B$2=0,0,(B$7*1+B$8*2+B$9*3)/B$2)</f>
        <v>2.2391304347826089</v>
      </c>
      <c r="C6" s="147"/>
      <c r="E6" s="59" t="s">
        <v>68</v>
      </c>
      <c r="F6" s="56" t="s">
        <v>12</v>
      </c>
      <c r="G6" s="44">
        <v>35</v>
      </c>
      <c r="H6" s="129">
        <f>IF(B$17=0,0,G6/B$17)</f>
        <v>0.31818181818181818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-3497.5</v>
      </c>
      <c r="P6" s="115">
        <v>40</v>
      </c>
      <c r="Q6" s="99">
        <v>-139900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0.19565217391304349</v>
      </c>
      <c r="E7" s="59" t="s">
        <v>67</v>
      </c>
      <c r="F7" s="56" t="s">
        <v>23</v>
      </c>
      <c r="G7" s="44">
        <v>34</v>
      </c>
      <c r="H7" s="129">
        <f>IF(B$17=0,0,G7/B$17)</f>
        <v>0.30909090909090908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-2371.4285714285716</v>
      </c>
      <c r="P7" s="116">
        <v>35</v>
      </c>
      <c r="Q7" s="100">
        <v>-83000</v>
      </c>
    </row>
    <row r="8" spans="1:17" x14ac:dyDescent="0.4">
      <c r="A8" s="51" t="s">
        <v>3</v>
      </c>
      <c r="B8" s="44">
        <v>17</v>
      </c>
      <c r="C8" s="37">
        <f t="shared" si="1"/>
        <v>0.36956521739130432</v>
      </c>
      <c r="E8" s="59" t="s">
        <v>70</v>
      </c>
      <c r="F8" s="56" t="s">
        <v>25</v>
      </c>
      <c r="G8" s="44">
        <v>18</v>
      </c>
      <c r="H8" s="129">
        <f>IF(B$17=0,0,G8/B$17)</f>
        <v>0.16363636363636364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0.43478260869565216</v>
      </c>
      <c r="E9" s="59" t="s">
        <v>69</v>
      </c>
      <c r="F9" s="56" t="s">
        <v>24</v>
      </c>
      <c r="G9" s="44">
        <v>16</v>
      </c>
      <c r="H9" s="129">
        <f>IF(B$17=0,0,G9/B$17)</f>
        <v>0.14545454545454545</v>
      </c>
      <c r="I9" s="90">
        <v>4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4.3478260869565216E-2</v>
      </c>
      <c r="E10" s="59" t="s">
        <v>65</v>
      </c>
      <c r="F10" s="56" t="s">
        <v>21</v>
      </c>
      <c r="G10" s="44">
        <v>12</v>
      </c>
      <c r="H10" s="129">
        <f>IF(B$17=0,0,G10/B$17)</f>
        <v>0.10909090909090909</v>
      </c>
      <c r="I10" s="90">
        <v>3</v>
      </c>
      <c r="K10" s="36">
        <v>8</v>
      </c>
      <c r="L10" s="95">
        <v>-62.999999999999993</v>
      </c>
      <c r="N10" s="110" t="s">
        <v>162</v>
      </c>
      <c r="O10" s="120">
        <f>IF(P10=0,0,Q10/P10)</f>
        <v>0.42222222222222128</v>
      </c>
      <c r="P10" s="114">
        <v>18</v>
      </c>
      <c r="Q10" s="102">
        <v>7.5999999999999828</v>
      </c>
    </row>
    <row r="11" spans="1:17" x14ac:dyDescent="0.4">
      <c r="A11" s="52" t="s">
        <v>138</v>
      </c>
      <c r="B11" s="45">
        <v>2</v>
      </c>
      <c r="C11" s="38">
        <f t="shared" si="1"/>
        <v>4.3478260869565216E-2</v>
      </c>
      <c r="E11" s="59" t="s">
        <v>89</v>
      </c>
      <c r="F11" s="56" t="s">
        <v>44</v>
      </c>
      <c r="G11" s="44">
        <v>10</v>
      </c>
      <c r="H11" s="129">
        <f>IF(B$17=0,0,G11/B$17)</f>
        <v>9.0909090909090912E-2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-9.615384615384615</v>
      </c>
      <c r="P11" s="115">
        <v>13</v>
      </c>
      <c r="Q11" s="103">
        <v>-125</v>
      </c>
    </row>
    <row r="12" spans="1:17" x14ac:dyDescent="0.4">
      <c r="A12" s="53" t="s">
        <v>158</v>
      </c>
      <c r="B12" s="46">
        <v>3</v>
      </c>
      <c r="C12" s="40">
        <f t="shared" si="1"/>
        <v>6.5217391304347824E-2</v>
      </c>
      <c r="E12" s="59" t="s">
        <v>83</v>
      </c>
      <c r="F12" s="56" t="s">
        <v>38</v>
      </c>
      <c r="G12" s="44">
        <v>8</v>
      </c>
      <c r="H12" s="129">
        <f>IF(B$17=0,0,G12/B$17)</f>
        <v>7.2727272727272724E-2</v>
      </c>
      <c r="I12" s="90">
        <v>4</v>
      </c>
      <c r="K12" s="36">
        <v>10</v>
      </c>
      <c r="L12" s="95">
        <v>-117.19999999999999</v>
      </c>
      <c r="N12" s="112" t="s">
        <v>164</v>
      </c>
      <c r="O12" s="122">
        <f>IF(P12=0,0,Q12/P12)</f>
        <v>-15.626666666666667</v>
      </c>
      <c r="P12" s="116">
        <v>15</v>
      </c>
      <c r="Q12" s="104">
        <v>-234.4</v>
      </c>
    </row>
    <row r="13" spans="1:17" x14ac:dyDescent="0.4">
      <c r="A13" s="54" t="s">
        <v>121</v>
      </c>
      <c r="B13" s="47">
        <v>113</v>
      </c>
      <c r="C13" s="42">
        <f>IF(B$3=0,0,B13/B$3)</f>
        <v>0.28607594936708863</v>
      </c>
      <c r="E13" s="59" t="s">
        <v>71</v>
      </c>
      <c r="F13" s="56" t="s">
        <v>26</v>
      </c>
      <c r="G13" s="44">
        <v>5</v>
      </c>
      <c r="H13" s="129">
        <f>IF(B$17=0,0,G13/B$17)</f>
        <v>4.5454545454545456E-2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74</v>
      </c>
      <c r="C14" s="37">
        <f>IF(B$3=0,0,B14/B$3)</f>
        <v>0.18734177215189873</v>
      </c>
      <c r="E14" s="59" t="s">
        <v>78</v>
      </c>
      <c r="F14" s="56" t="s">
        <v>33</v>
      </c>
      <c r="G14" s="44">
        <v>3</v>
      </c>
      <c r="H14" s="129">
        <f>IF(B$17=0,0,G14/B$17)</f>
        <v>2.7272727272727271E-2</v>
      </c>
      <c r="I14" s="90">
        <v>2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67</v>
      </c>
      <c r="C15" s="35">
        <f>IF(B$13=0,0,B15/B$13)</f>
        <v>0.59292035398230092</v>
      </c>
      <c r="E15" s="59" t="s">
        <v>86</v>
      </c>
      <c r="F15" s="56" t="s">
        <v>41</v>
      </c>
      <c r="G15" s="44">
        <v>3</v>
      </c>
      <c r="H15" s="129">
        <f>IF(B$17=0,0,G15/B$17)</f>
        <v>2.7272727272727271E-2</v>
      </c>
      <c r="I15" s="90">
        <v>9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29</v>
      </c>
      <c r="C16" s="35">
        <f>IF(B$14=0,0,B16/B$14)</f>
        <v>0.39189189189189189</v>
      </c>
      <c r="E16" s="59" t="s">
        <v>75</v>
      </c>
      <c r="F16" s="56" t="s">
        <v>30</v>
      </c>
      <c r="G16" s="44">
        <v>2</v>
      </c>
      <c r="H16" s="129">
        <f>IF(B$17=0,0,G16/B$17)</f>
        <v>1.8181818181818181E-2</v>
      </c>
      <c r="I16" s="90">
        <v>2</v>
      </c>
      <c r="K16" s="36">
        <v>14</v>
      </c>
      <c r="L16" s="95">
        <v>-204.8</v>
      </c>
      <c r="N16" s="111" t="s">
        <v>166</v>
      </c>
      <c r="O16" s="121">
        <f>IF(P16=0,0,Q16/P16)</f>
        <v>10.390909090909091</v>
      </c>
      <c r="P16" s="115">
        <v>11</v>
      </c>
      <c r="Q16" s="103">
        <v>114.3</v>
      </c>
    </row>
    <row r="17" spans="1:17" x14ac:dyDescent="0.4">
      <c r="A17" s="50" t="s">
        <v>10</v>
      </c>
      <c r="B17" s="43">
        <f>B19+B18</f>
        <v>110</v>
      </c>
      <c r="C17" s="35">
        <f>IF(B$3=0,0,B17/B$3)</f>
        <v>0.27848101265822783</v>
      </c>
      <c r="E17" s="59" t="s">
        <v>79</v>
      </c>
      <c r="F17" s="56" t="s">
        <v>34</v>
      </c>
      <c r="G17" s="44">
        <v>2</v>
      </c>
      <c r="H17" s="129">
        <f>IF(B$17=0,0,G17/B$17)</f>
        <v>1.8181818181818181E-2</v>
      </c>
      <c r="I17" s="90">
        <v>4</v>
      </c>
      <c r="K17" s="36">
        <v>15</v>
      </c>
      <c r="L17" s="95">
        <v>-221.5</v>
      </c>
      <c r="N17" s="111" t="s">
        <v>181</v>
      </c>
      <c r="O17" s="121">
        <f>IF(P17=0,0,Q17/P17)</f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47</v>
      </c>
      <c r="C18" s="37">
        <f>IF(B$17=0,0,B18/B$17)</f>
        <v>0.42727272727272725</v>
      </c>
      <c r="E18" s="59" t="s">
        <v>81</v>
      </c>
      <c r="F18" s="56" t="s">
        <v>36</v>
      </c>
      <c r="G18" s="44">
        <v>2</v>
      </c>
      <c r="H18" s="129">
        <f>IF(B$17=0,0,G18/B$17)</f>
        <v>1.8181818181818181E-2</v>
      </c>
      <c r="I18" s="90">
        <v>5</v>
      </c>
      <c r="K18" s="36">
        <v>16</v>
      </c>
      <c r="L18" s="95">
        <v>-224.3</v>
      </c>
      <c r="N18" s="111" t="s">
        <v>177</v>
      </c>
      <c r="O18" s="121">
        <f>IF(P18=0,0,Q18/P18)</f>
        <v>1.0000000000000004</v>
      </c>
      <c r="P18" s="115">
        <v>6</v>
      </c>
      <c r="Q18" s="103">
        <v>6.0000000000000027</v>
      </c>
    </row>
    <row r="19" spans="1:17" x14ac:dyDescent="0.4">
      <c r="A19" s="51" t="s">
        <v>11</v>
      </c>
      <c r="B19" s="44">
        <v>63</v>
      </c>
      <c r="C19" s="37">
        <f>IF(B$17=0,0,B19/B$17)</f>
        <v>0.57272727272727275</v>
      </c>
      <c r="E19" s="59" t="s">
        <v>91</v>
      </c>
      <c r="F19" s="56" t="s">
        <v>46</v>
      </c>
      <c r="G19" s="44">
        <v>1</v>
      </c>
      <c r="H19" s="129">
        <f>IF(B$17=0,0,G19/B$17)</f>
        <v>9.0909090909090905E-3</v>
      </c>
      <c r="I19" s="90">
        <v>5</v>
      </c>
      <c r="K19" s="36">
        <v>17</v>
      </c>
      <c r="L19" s="95">
        <v>-251.4</v>
      </c>
      <c r="N19" s="111" t="s">
        <v>127</v>
      </c>
      <c r="O19" s="121">
        <f>IF(P19=0,0,Q19/P19)</f>
        <v>-10.838461538461537</v>
      </c>
      <c r="P19" s="115">
        <v>26</v>
      </c>
      <c r="Q19" s="103">
        <v>-281.79999999999995</v>
      </c>
    </row>
    <row r="20" spans="1:17" x14ac:dyDescent="0.4">
      <c r="A20" s="51" t="s">
        <v>13</v>
      </c>
      <c r="B20" s="44">
        <v>81</v>
      </c>
      <c r="C20" s="37">
        <f>IF(B$3=0,0,B20/B$3)</f>
        <v>0.20506329113924052</v>
      </c>
      <c r="E20" s="59" t="s">
        <v>167</v>
      </c>
      <c r="F20" s="56" t="s">
        <v>168</v>
      </c>
      <c r="G20" s="44">
        <v>1</v>
      </c>
      <c r="H20" s="129">
        <f>IF(B$17=0,0,G20/B$17)</f>
        <v>9.0909090909090905E-3</v>
      </c>
      <c r="I20" s="90">
        <v>6</v>
      </c>
      <c r="K20" s="36">
        <v>18</v>
      </c>
      <c r="L20" s="95">
        <v>-240</v>
      </c>
      <c r="N20" s="111" t="s">
        <v>126</v>
      </c>
      <c r="O20" s="121">
        <f>IF(P20=0,0,Q20/P20)</f>
        <v>-19.070000000000004</v>
      </c>
      <c r="P20" s="115">
        <v>30</v>
      </c>
      <c r="Q20" s="103">
        <v>-572.10000000000014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3</v>
      </c>
      <c r="K21" s="36">
        <v>19</v>
      </c>
      <c r="L21" s="95">
        <v>-218</v>
      </c>
      <c r="N21" s="111" t="s">
        <v>178</v>
      </c>
      <c r="O21" s="121">
        <f>IF(P21=0,0,Q21/P21)</f>
        <v>-31.71</v>
      </c>
      <c r="P21" s="115">
        <v>10</v>
      </c>
      <c r="Q21" s="103">
        <v>-317.10000000000002</v>
      </c>
    </row>
    <row r="22" spans="1:17" x14ac:dyDescent="0.4">
      <c r="A22" s="51" t="s">
        <v>170</v>
      </c>
      <c r="B22" s="44">
        <v>21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7719.090909090909</v>
      </c>
      <c r="C23" s="39">
        <v>849100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8165.4320987654319</v>
      </c>
      <c r="C24" s="137">
        <v>661400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6472.4137931034484</v>
      </c>
      <c r="C25" s="137">
        <v>187700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-7379.0123456790125</v>
      </c>
      <c r="C26" s="137">
        <v>-597700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4">
        <v>8</v>
      </c>
      <c r="C27" s="145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2">
        <v>69300</v>
      </c>
      <c r="C28" s="143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5.0632911392405064E-3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4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1ACC-A491-4DED-A65D-7D71CE77A3E8}">
  <sheetPr codeName="Sheet11"/>
  <dimension ref="A1:Q7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127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72</v>
      </c>
      <c r="C2" s="151"/>
      <c r="E2" s="58" t="s">
        <v>66</v>
      </c>
      <c r="F2" s="55" t="s">
        <v>22</v>
      </c>
      <c r="G2" s="43">
        <v>182</v>
      </c>
      <c r="H2" s="128">
        <f>IF(B$17=0,0,G2/B$17)</f>
        <v>0.91919191919191923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-1595.7746478873239</v>
      </c>
      <c r="P2" s="114">
        <v>71</v>
      </c>
      <c r="Q2" s="98">
        <v>-113300</v>
      </c>
    </row>
    <row r="3" spans="1:17" x14ac:dyDescent="0.4">
      <c r="A3" s="51" t="s">
        <v>8</v>
      </c>
      <c r="B3" s="152">
        <v>617</v>
      </c>
      <c r="C3" s="153"/>
      <c r="E3" s="59" t="s">
        <v>72</v>
      </c>
      <c r="F3" s="56" t="s">
        <v>27</v>
      </c>
      <c r="G3" s="44">
        <v>112</v>
      </c>
      <c r="H3" s="129">
        <f>IF(B$17=0,0,G3/B$17)</f>
        <v>0.56565656565656564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1436.231884057971</v>
      </c>
      <c r="P3" s="115">
        <v>69</v>
      </c>
      <c r="Q3" s="99">
        <v>99100</v>
      </c>
    </row>
    <row r="4" spans="1:17" x14ac:dyDescent="0.4">
      <c r="A4" s="51" t="s">
        <v>6</v>
      </c>
      <c r="B4" s="154">
        <v>361.39999999999986</v>
      </c>
      <c r="C4" s="155"/>
      <c r="E4" s="59" t="s">
        <v>171</v>
      </c>
      <c r="F4" s="56" t="s">
        <v>172</v>
      </c>
      <c r="G4" s="44">
        <v>85</v>
      </c>
      <c r="H4" s="129">
        <f>IF(B$17=0,0,G4/B$17)</f>
        <v>0.42929292929292928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436.36363636363637</v>
      </c>
      <c r="P4" s="115">
        <v>66</v>
      </c>
      <c r="Q4" s="99">
        <v>28800</v>
      </c>
    </row>
    <row r="5" spans="1:17" x14ac:dyDescent="0.4">
      <c r="A5" s="51" t="s">
        <v>7</v>
      </c>
      <c r="B5" s="156">
        <f>IF(B$2=0,0,B$4/B$2)</f>
        <v>5.0194444444444422</v>
      </c>
      <c r="C5" s="157"/>
      <c r="E5" s="59" t="s">
        <v>64</v>
      </c>
      <c r="F5" s="56" t="s">
        <v>20</v>
      </c>
      <c r="G5" s="44">
        <v>79</v>
      </c>
      <c r="H5" s="129">
        <f>IF(B$17=0,0,G5/B$17)</f>
        <v>0.39898989898989901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2920.9677419354839</v>
      </c>
      <c r="P5" s="115">
        <v>62</v>
      </c>
      <c r="Q5" s="99">
        <v>181100</v>
      </c>
    </row>
    <row r="6" spans="1:17" x14ac:dyDescent="0.4">
      <c r="A6" s="51" t="s">
        <v>1</v>
      </c>
      <c r="B6" s="146">
        <f>IF(B$2=0,0,(B$7*1+B$8*2+B$9*3)/B$2)</f>
        <v>1.8472222222222223</v>
      </c>
      <c r="C6" s="147"/>
      <c r="E6" s="59" t="s">
        <v>68</v>
      </c>
      <c r="F6" s="56" t="s">
        <v>12</v>
      </c>
      <c r="G6" s="44">
        <v>53</v>
      </c>
      <c r="H6" s="129">
        <f>IF(B$17=0,0,G6/B$17)</f>
        <v>0.26767676767676768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267.79661016949154</v>
      </c>
      <c r="P6" s="115">
        <v>59</v>
      </c>
      <c r="Q6" s="99">
        <v>15800</v>
      </c>
    </row>
    <row r="7" spans="1:17" x14ac:dyDescent="0.4">
      <c r="A7" s="51" t="s">
        <v>2</v>
      </c>
      <c r="B7" s="44">
        <v>31</v>
      </c>
      <c r="C7" s="37">
        <f t="shared" ref="C7:C12" si="1">IF(B$2=0,0,B7/B$2)</f>
        <v>0.43055555555555558</v>
      </c>
      <c r="E7" s="59" t="s">
        <v>67</v>
      </c>
      <c r="F7" s="56" t="s">
        <v>23</v>
      </c>
      <c r="G7" s="44">
        <v>48</v>
      </c>
      <c r="H7" s="129">
        <f>IF(B$17=0,0,G7/B$17)</f>
        <v>0.24242424242424243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1568.75</v>
      </c>
      <c r="P7" s="116">
        <v>48</v>
      </c>
      <c r="Q7" s="100">
        <v>75300</v>
      </c>
    </row>
    <row r="8" spans="1:17" x14ac:dyDescent="0.4">
      <c r="A8" s="51" t="s">
        <v>3</v>
      </c>
      <c r="B8" s="44">
        <v>21</v>
      </c>
      <c r="C8" s="37">
        <f t="shared" si="1"/>
        <v>0.29166666666666669</v>
      </c>
      <c r="E8" s="59" t="s">
        <v>89</v>
      </c>
      <c r="F8" s="56" t="s">
        <v>44</v>
      </c>
      <c r="G8" s="44">
        <v>24</v>
      </c>
      <c r="H8" s="129">
        <f>IF(B$17=0,0,G8/B$17)</f>
        <v>0.12121212121212122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0.27777777777777779</v>
      </c>
      <c r="E9" s="59" t="s">
        <v>69</v>
      </c>
      <c r="F9" s="56" t="s">
        <v>24</v>
      </c>
      <c r="G9" s="44">
        <v>22</v>
      </c>
      <c r="H9" s="129">
        <f>IF(B$17=0,0,G9/B$17)</f>
        <v>0.1111111111111111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10</v>
      </c>
      <c r="C10" s="38">
        <f t="shared" si="1"/>
        <v>0.1388888888888889</v>
      </c>
      <c r="E10" s="59" t="s">
        <v>71</v>
      </c>
      <c r="F10" s="56" t="s">
        <v>26</v>
      </c>
      <c r="G10" s="44">
        <v>17</v>
      </c>
      <c r="H10" s="129">
        <f>IF(B$17=0,0,G10/B$17)</f>
        <v>8.5858585858585856E-2</v>
      </c>
      <c r="I10" s="90">
        <v>5</v>
      </c>
      <c r="K10" s="36">
        <v>8</v>
      </c>
      <c r="L10" s="95">
        <v>-56.79999999999999</v>
      </c>
      <c r="N10" s="110" t="s">
        <v>162</v>
      </c>
      <c r="O10" s="120">
        <f>IF(P10=0,0,Q10/P10)</f>
        <v>7.541176470588236</v>
      </c>
      <c r="P10" s="114">
        <v>17</v>
      </c>
      <c r="Q10" s="102">
        <v>128.20000000000002</v>
      </c>
    </row>
    <row r="11" spans="1:17" x14ac:dyDescent="0.4">
      <c r="A11" s="52" t="s">
        <v>138</v>
      </c>
      <c r="B11" s="45">
        <v>8</v>
      </c>
      <c r="C11" s="38">
        <f t="shared" si="1"/>
        <v>0.1111111111111111</v>
      </c>
      <c r="E11" s="59" t="s">
        <v>65</v>
      </c>
      <c r="F11" s="56" t="s">
        <v>21</v>
      </c>
      <c r="G11" s="44">
        <v>16</v>
      </c>
      <c r="H11" s="129">
        <f>IF(B$17=0,0,G11/B$17)</f>
        <v>8.0808080808080815E-2</v>
      </c>
      <c r="I11" s="90">
        <v>9</v>
      </c>
      <c r="K11" s="36">
        <v>9</v>
      </c>
      <c r="L11" s="95">
        <v>-83.699999999999989</v>
      </c>
      <c r="N11" s="111" t="s">
        <v>163</v>
      </c>
      <c r="O11" s="121">
        <f>IF(P11=0,0,Q11/P11)</f>
        <v>9.5571428571428587</v>
      </c>
      <c r="P11" s="115">
        <v>21</v>
      </c>
      <c r="Q11" s="103">
        <v>200.70000000000002</v>
      </c>
    </row>
    <row r="12" spans="1:17" x14ac:dyDescent="0.4">
      <c r="A12" s="53" t="s">
        <v>158</v>
      </c>
      <c r="B12" s="46">
        <v>15</v>
      </c>
      <c r="C12" s="40">
        <f t="shared" si="1"/>
        <v>0.20833333333333334</v>
      </c>
      <c r="E12" s="59" t="s">
        <v>70</v>
      </c>
      <c r="F12" s="56" t="s">
        <v>25</v>
      </c>
      <c r="G12" s="44">
        <v>16</v>
      </c>
      <c r="H12" s="129">
        <f>IF(B$17=0,0,G12/B$17)</f>
        <v>8.0808080808080815E-2</v>
      </c>
      <c r="I12" s="90">
        <v>6</v>
      </c>
      <c r="K12" s="36">
        <v>10</v>
      </c>
      <c r="L12" s="95">
        <v>-78.399999999999991</v>
      </c>
      <c r="N12" s="112" t="s">
        <v>164</v>
      </c>
      <c r="O12" s="122">
        <f>IF(P12=0,0,Q12/P12)</f>
        <v>0.95588235294117585</v>
      </c>
      <c r="P12" s="116">
        <v>34</v>
      </c>
      <c r="Q12" s="104">
        <v>32.499999999999979</v>
      </c>
    </row>
    <row r="13" spans="1:17" x14ac:dyDescent="0.4">
      <c r="A13" s="54" t="s">
        <v>121</v>
      </c>
      <c r="B13" s="47">
        <v>139</v>
      </c>
      <c r="C13" s="42">
        <f>IF(B$3=0,0,B13/B$3)</f>
        <v>0.22528363047001621</v>
      </c>
      <c r="E13" s="59" t="s">
        <v>86</v>
      </c>
      <c r="F13" s="56" t="s">
        <v>41</v>
      </c>
      <c r="G13" s="44">
        <v>13</v>
      </c>
      <c r="H13" s="129">
        <f>IF(B$17=0,0,G13/B$17)</f>
        <v>6.5656565656565663E-2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195</v>
      </c>
      <c r="C14" s="37">
        <f>IF(B$3=0,0,B14/B$3)</f>
        <v>0.31604538087520262</v>
      </c>
      <c r="E14" s="59" t="s">
        <v>83</v>
      </c>
      <c r="F14" s="56" t="s">
        <v>38</v>
      </c>
      <c r="G14" s="44">
        <v>10</v>
      </c>
      <c r="H14" s="129">
        <f>IF(B$17=0,0,G14/B$17)</f>
        <v>5.0505050505050504E-2</v>
      </c>
      <c r="I14" s="90">
        <v>8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77</v>
      </c>
      <c r="C15" s="35">
        <f>IF(B$13=0,0,B15/B$13)</f>
        <v>0.5539568345323741</v>
      </c>
      <c r="E15" s="59" t="s">
        <v>91</v>
      </c>
      <c r="F15" s="56" t="s">
        <v>46</v>
      </c>
      <c r="G15" s="44">
        <v>7</v>
      </c>
      <c r="H15" s="129">
        <f>IF(B$17=0,0,G15/B$17)</f>
        <v>3.5353535353535352E-2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78</v>
      </c>
      <c r="C16" s="35">
        <f>IF(B$14=0,0,B16/B$14)</f>
        <v>0.4</v>
      </c>
      <c r="E16" s="59" t="s">
        <v>78</v>
      </c>
      <c r="F16" s="56" t="s">
        <v>33</v>
      </c>
      <c r="G16" s="44">
        <v>5</v>
      </c>
      <c r="H16" s="129">
        <f>IF(B$17=0,0,G16/B$17)</f>
        <v>2.5252525252525252E-2</v>
      </c>
      <c r="I16" s="90">
        <v>4</v>
      </c>
      <c r="K16" s="36">
        <v>14</v>
      </c>
      <c r="L16" s="95">
        <v>-138.4</v>
      </c>
      <c r="N16" s="111" t="s">
        <v>182</v>
      </c>
      <c r="O16" s="121">
        <f>IF(P16=0,0,Q16/P16)</f>
        <v>52.783333333333331</v>
      </c>
      <c r="P16" s="115">
        <v>6</v>
      </c>
      <c r="Q16" s="103">
        <v>316.7</v>
      </c>
    </row>
    <row r="17" spans="1:17" x14ac:dyDescent="0.4">
      <c r="A17" s="50" t="s">
        <v>10</v>
      </c>
      <c r="B17" s="43">
        <f>B19+B18</f>
        <v>198</v>
      </c>
      <c r="C17" s="35">
        <f>IF(B$3=0,0,B17/B$3)</f>
        <v>0.32090761750405189</v>
      </c>
      <c r="E17" s="59" t="s">
        <v>79</v>
      </c>
      <c r="F17" s="56" t="s">
        <v>34</v>
      </c>
      <c r="G17" s="44">
        <v>5</v>
      </c>
      <c r="H17" s="129">
        <f>IF(B$17=0,0,G17/B$17)</f>
        <v>2.5252525252525252E-2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19.850000000000001</v>
      </c>
      <c r="P17" s="115">
        <v>2</v>
      </c>
      <c r="Q17" s="103">
        <v>39.700000000000003</v>
      </c>
    </row>
    <row r="18" spans="1:17" x14ac:dyDescent="0.4">
      <c r="A18" s="51" t="s">
        <v>12</v>
      </c>
      <c r="B18" s="44">
        <v>75</v>
      </c>
      <c r="C18" s="37">
        <f>IF(B$17=0,0,B18/B$17)</f>
        <v>0.37878787878787878</v>
      </c>
      <c r="E18" s="59" t="s">
        <v>81</v>
      </c>
      <c r="F18" s="56" t="s">
        <v>36</v>
      </c>
      <c r="G18" s="44">
        <v>3</v>
      </c>
      <c r="H18" s="129">
        <f>IF(B$17=0,0,G18/B$17)</f>
        <v>1.5151515151515152E-2</v>
      </c>
      <c r="I18" s="90">
        <v>7</v>
      </c>
      <c r="K18" s="36">
        <v>16</v>
      </c>
      <c r="L18" s="95">
        <v>-187.3</v>
      </c>
      <c r="N18" s="111" t="s">
        <v>177</v>
      </c>
      <c r="O18" s="121">
        <f>IF(P18=0,0,Q18/P18)</f>
        <v>17.805000000000007</v>
      </c>
      <c r="P18" s="115">
        <v>20</v>
      </c>
      <c r="Q18" s="103">
        <v>356.10000000000014</v>
      </c>
    </row>
    <row r="19" spans="1:17" x14ac:dyDescent="0.4">
      <c r="A19" s="51" t="s">
        <v>11</v>
      </c>
      <c r="B19" s="44">
        <v>123</v>
      </c>
      <c r="C19" s="37">
        <f>IF(B$17=0,0,B19/B$17)</f>
        <v>0.62121212121212122</v>
      </c>
      <c r="E19" s="59" t="s">
        <v>74</v>
      </c>
      <c r="F19" s="56" t="s">
        <v>29</v>
      </c>
      <c r="G19" s="44">
        <v>2</v>
      </c>
      <c r="H19" s="129">
        <f>IF(B$17=0,0,G19/B$17)</f>
        <v>1.0101010101010102E-2</v>
      </c>
      <c r="I19" s="90">
        <v>3</v>
      </c>
      <c r="K19" s="36">
        <v>17</v>
      </c>
      <c r="L19" s="95">
        <v>-179.70000000000002</v>
      </c>
      <c r="N19" s="111" t="s">
        <v>178</v>
      </c>
      <c r="O19" s="121">
        <f>IF(P19=0,0,Q19/P19)</f>
        <v>11.6952380952381</v>
      </c>
      <c r="P19" s="115">
        <v>21</v>
      </c>
      <c r="Q19" s="103">
        <v>245.60000000000011</v>
      </c>
    </row>
    <row r="20" spans="1:17" x14ac:dyDescent="0.4">
      <c r="A20" s="51" t="s">
        <v>13</v>
      </c>
      <c r="B20" s="44">
        <v>115</v>
      </c>
      <c r="C20" s="37">
        <f>IF(B$3=0,0,B20/B$3)</f>
        <v>0.18638573743922204</v>
      </c>
      <c r="E20" s="59" t="s">
        <v>84</v>
      </c>
      <c r="F20" s="56" t="s">
        <v>39</v>
      </c>
      <c r="G20" s="44">
        <v>1</v>
      </c>
      <c r="H20" s="129">
        <f>IF(B$17=0,0,G20/B$17)</f>
        <v>5.0505050505050509E-3</v>
      </c>
      <c r="I20" s="90">
        <v>2</v>
      </c>
      <c r="K20" s="36">
        <v>18</v>
      </c>
      <c r="L20" s="95">
        <v>-112.90000000000002</v>
      </c>
      <c r="N20" s="111" t="s">
        <v>179</v>
      </c>
      <c r="O20" s="121">
        <f>IF(P20=0,0,Q20/P20)</f>
        <v>10.838461538461537</v>
      </c>
      <c r="P20" s="115">
        <v>26</v>
      </c>
      <c r="Q20" s="103">
        <v>281.79999999999995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1</v>
      </c>
      <c r="H21" s="129">
        <f>IF(B$17=0,0,G21/B$17)</f>
        <v>5.0505050505050509E-3</v>
      </c>
      <c r="I21" s="90">
        <v>4</v>
      </c>
      <c r="K21" s="36">
        <v>19</v>
      </c>
      <c r="L21" s="95">
        <v>-162.40000000000003</v>
      </c>
      <c r="N21" s="111" t="s">
        <v>166</v>
      </c>
      <c r="O21" s="121">
        <f>IF(P21=0,0,Q21/P21)</f>
        <v>10.599999999999998</v>
      </c>
      <c r="P21" s="115">
        <v>16</v>
      </c>
      <c r="Q21" s="103">
        <v>169.59999999999997</v>
      </c>
    </row>
    <row r="22" spans="1:17" x14ac:dyDescent="0.4">
      <c r="A22" s="51" t="s">
        <v>170</v>
      </c>
      <c r="B22" s="44">
        <v>23</v>
      </c>
      <c r="C22" s="131">
        <v>3</v>
      </c>
      <c r="E22" s="59" t="s">
        <v>95</v>
      </c>
      <c r="F22" s="56" t="s">
        <v>50</v>
      </c>
      <c r="G22" s="44">
        <v>1</v>
      </c>
      <c r="H22" s="129">
        <f>IF(B$17=0,0,G22/B$17)</f>
        <v>5.0505050505050509E-3</v>
      </c>
      <c r="I22" s="90">
        <v>1</v>
      </c>
      <c r="K22" s="36">
        <v>20</v>
      </c>
      <c r="L22" s="95">
        <v>-96.000000000000028</v>
      </c>
      <c r="N22" s="111" t="s">
        <v>126</v>
      </c>
      <c r="O22" s="121">
        <f>IF(P22=0,0,Q22/P22)</f>
        <v>-9.3313725490196084</v>
      </c>
      <c r="P22" s="115">
        <v>51</v>
      </c>
      <c r="Q22" s="103">
        <v>-475.90000000000003</v>
      </c>
    </row>
    <row r="23" spans="1:17" x14ac:dyDescent="0.4">
      <c r="A23" s="51" t="s">
        <v>5</v>
      </c>
      <c r="B23" s="48">
        <f>IF(B$17=0,0,C23/B$17)</f>
        <v>8663.1313131313127</v>
      </c>
      <c r="C23" s="39">
        <v>1715300</v>
      </c>
      <c r="E23" s="59" t="s">
        <v>167</v>
      </c>
      <c r="F23" s="56" t="s">
        <v>168</v>
      </c>
      <c r="G23" s="44">
        <v>1</v>
      </c>
      <c r="H23" s="129">
        <f>IF(B$17=0,0,G23/B$17)</f>
        <v>5.0505050505050509E-3</v>
      </c>
      <c r="I23" s="90">
        <v>7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8930.8333333333339</v>
      </c>
      <c r="C24" s="137">
        <v>1071700</v>
      </c>
      <c r="E24" s="59" t="s">
        <v>73</v>
      </c>
      <c r="F24" s="56" t="s">
        <v>28</v>
      </c>
      <c r="G24" s="44">
        <v>0</v>
      </c>
      <c r="H24" s="129">
        <f>IF(B$17=0,0,G24/B$17)</f>
        <v>0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8251.2820512820508</v>
      </c>
      <c r="C25" s="137">
        <v>643600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6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-7759.130434782609</v>
      </c>
      <c r="C26" s="137">
        <v>-892300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4">
        <v>8</v>
      </c>
      <c r="C27" s="145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2">
        <v>91800</v>
      </c>
      <c r="C28" s="143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4.8622366288492711E-3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8DE24-429C-4E87-9B00-317105A869DD}">
  <sheetPr codeName="Sheet15"/>
  <dimension ref="A1:Q52"/>
  <sheetViews>
    <sheetView showGridLines="0" topLeftCell="C1" zoomScaleNormal="100" workbookViewId="0">
      <selection activeCell="R26" sqref="R26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177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41</v>
      </c>
      <c r="C2" s="151"/>
      <c r="E2" s="58" t="s">
        <v>66</v>
      </c>
      <c r="F2" s="55" t="s">
        <v>22</v>
      </c>
      <c r="G2" s="43">
        <v>74</v>
      </c>
      <c r="H2" s="128">
        <f>IF(B$17=0,0,G2/B$17)</f>
        <v>0.80434782608695654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1751.219512195122</v>
      </c>
      <c r="P2" s="114">
        <v>41</v>
      </c>
      <c r="Q2" s="98">
        <v>71800</v>
      </c>
    </row>
    <row r="3" spans="1:17" x14ac:dyDescent="0.4">
      <c r="A3" s="51" t="s">
        <v>8</v>
      </c>
      <c r="B3" s="152">
        <v>330</v>
      </c>
      <c r="C3" s="153"/>
      <c r="E3" s="59" t="s">
        <v>72</v>
      </c>
      <c r="F3" s="56" t="s">
        <v>27</v>
      </c>
      <c r="G3" s="44">
        <v>54</v>
      </c>
      <c r="H3" s="129">
        <f>IF(B$17=0,0,G3/B$17)</f>
        <v>0.58695652173913049</v>
      </c>
      <c r="I3" s="90">
        <v>3</v>
      </c>
      <c r="K3" s="36">
        <v>1</v>
      </c>
      <c r="L3" s="95">
        <v>-9.1</v>
      </c>
      <c r="N3" s="111" t="s">
        <v>131</v>
      </c>
      <c r="O3" s="118">
        <f t="shared" si="0"/>
        <v>-2846.1538461538462</v>
      </c>
      <c r="P3" s="115">
        <v>39</v>
      </c>
      <c r="Q3" s="99">
        <v>-111000</v>
      </c>
    </row>
    <row r="4" spans="1:17" x14ac:dyDescent="0.4">
      <c r="A4" s="51" t="s">
        <v>6</v>
      </c>
      <c r="B4" s="154">
        <v>67.900000000000077</v>
      </c>
      <c r="C4" s="155"/>
      <c r="E4" s="59" t="s">
        <v>64</v>
      </c>
      <c r="F4" s="56" t="s">
        <v>20</v>
      </c>
      <c r="G4" s="44">
        <v>44</v>
      </c>
      <c r="H4" s="129">
        <f>IF(B$17=0,0,G4/B$17)</f>
        <v>0.47826086956521741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1481.081081081081</v>
      </c>
      <c r="P4" s="115">
        <v>37</v>
      </c>
      <c r="Q4" s="99">
        <v>54800</v>
      </c>
    </row>
    <row r="5" spans="1:17" x14ac:dyDescent="0.4">
      <c r="A5" s="51" t="s">
        <v>7</v>
      </c>
      <c r="B5" s="156">
        <f>IF(B$2=0,0,B$4/B$2)</f>
        <v>1.6560975609756117</v>
      </c>
      <c r="C5" s="157"/>
      <c r="E5" s="59" t="s">
        <v>67</v>
      </c>
      <c r="F5" s="56" t="s">
        <v>23</v>
      </c>
      <c r="G5" s="44">
        <v>41</v>
      </c>
      <c r="H5" s="129">
        <f>IF(B$17=0,0,G5/B$17)</f>
        <v>0.44565217391304346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3737.1428571428573</v>
      </c>
      <c r="P5" s="115">
        <v>35</v>
      </c>
      <c r="Q5" s="99">
        <v>130800</v>
      </c>
    </row>
    <row r="6" spans="1:17" x14ac:dyDescent="0.4">
      <c r="A6" s="51" t="s">
        <v>1</v>
      </c>
      <c r="B6" s="146">
        <f>IF(B$2=0,0,(B$7*1+B$8*2+B$9*3)/B$2)</f>
        <v>1.9268292682926829</v>
      </c>
      <c r="C6" s="147"/>
      <c r="E6" s="59" t="s">
        <v>68</v>
      </c>
      <c r="F6" s="56" t="s">
        <v>12</v>
      </c>
      <c r="G6" s="44">
        <v>34</v>
      </c>
      <c r="H6" s="129">
        <f>IF(B$17=0,0,G6/B$17)</f>
        <v>0.36956521739130432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-2818.75</v>
      </c>
      <c r="P6" s="115">
        <v>32</v>
      </c>
      <c r="Q6" s="99">
        <v>-90200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0.3902439024390244</v>
      </c>
      <c r="E7" s="59" t="s">
        <v>171</v>
      </c>
      <c r="F7" s="56" t="s">
        <v>172</v>
      </c>
      <c r="G7" s="44">
        <v>34</v>
      </c>
      <c r="H7" s="129">
        <f>IF(B$17=0,0,G7/B$17)</f>
        <v>0.36956521739130432</v>
      </c>
      <c r="I7" s="90">
        <v>6</v>
      </c>
      <c r="K7" s="36">
        <v>5</v>
      </c>
      <c r="L7" s="95">
        <v>-118.3</v>
      </c>
      <c r="N7" s="112" t="s">
        <v>135</v>
      </c>
      <c r="O7" s="119">
        <f t="shared" si="0"/>
        <v>-462.5</v>
      </c>
      <c r="P7" s="116">
        <v>24</v>
      </c>
      <c r="Q7" s="100">
        <v>-11100</v>
      </c>
    </row>
    <row r="8" spans="1:17" x14ac:dyDescent="0.4">
      <c r="A8" s="51" t="s">
        <v>3</v>
      </c>
      <c r="B8" s="44">
        <v>12</v>
      </c>
      <c r="C8" s="37">
        <f t="shared" si="1"/>
        <v>0.29268292682926828</v>
      </c>
      <c r="E8" s="59" t="s">
        <v>89</v>
      </c>
      <c r="F8" s="56" t="s">
        <v>44</v>
      </c>
      <c r="G8" s="44">
        <v>22</v>
      </c>
      <c r="H8" s="129">
        <f>IF(B$17=0,0,G8/B$17)</f>
        <v>0.2391304347826087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13</v>
      </c>
      <c r="C9" s="38">
        <f t="shared" si="1"/>
        <v>0.31707317073170732</v>
      </c>
      <c r="E9" s="59" t="s">
        <v>69</v>
      </c>
      <c r="F9" s="56" t="s">
        <v>24</v>
      </c>
      <c r="G9" s="44">
        <v>18</v>
      </c>
      <c r="H9" s="129">
        <f>IF(B$17=0,0,G9/B$17)</f>
        <v>0.19565217391304349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0.12195121951219512</v>
      </c>
      <c r="E10" s="59" t="s">
        <v>65</v>
      </c>
      <c r="F10" s="56" t="s">
        <v>21</v>
      </c>
      <c r="G10" s="44">
        <v>8</v>
      </c>
      <c r="H10" s="129">
        <f>IF(B$17=0,0,G10/B$17)</f>
        <v>8.6956521739130432E-2</v>
      </c>
      <c r="I10" s="90">
        <v>8</v>
      </c>
      <c r="K10" s="36">
        <v>8</v>
      </c>
      <c r="L10" s="95">
        <v>-110.19999999999999</v>
      </c>
      <c r="N10" s="110" t="s">
        <v>162</v>
      </c>
      <c r="O10" s="120">
        <f>IF(P10=0,0,Q10/P10)</f>
        <v>5.392857142857145</v>
      </c>
      <c r="P10" s="114">
        <v>14</v>
      </c>
      <c r="Q10" s="102">
        <v>75.500000000000028</v>
      </c>
    </row>
    <row r="11" spans="1:17" x14ac:dyDescent="0.4">
      <c r="A11" s="52" t="s">
        <v>138</v>
      </c>
      <c r="B11" s="45">
        <v>7</v>
      </c>
      <c r="C11" s="38">
        <f t="shared" si="1"/>
        <v>0.17073170731707318</v>
      </c>
      <c r="E11" s="59" t="s">
        <v>70</v>
      </c>
      <c r="F11" s="56" t="s">
        <v>25</v>
      </c>
      <c r="G11" s="44">
        <v>7</v>
      </c>
      <c r="H11" s="129">
        <f>IF(B$17=0,0,G11/B$17)</f>
        <v>7.6086956521739135E-2</v>
      </c>
      <c r="I11" s="90">
        <v>7</v>
      </c>
      <c r="K11" s="36">
        <v>9</v>
      </c>
      <c r="L11" s="95">
        <v>-120.99999999999999</v>
      </c>
      <c r="N11" s="111" t="s">
        <v>163</v>
      </c>
      <c r="O11" s="121">
        <f>IF(P11=0,0,Q11/P11)</f>
        <v>2.8777777777777778</v>
      </c>
      <c r="P11" s="115">
        <v>18</v>
      </c>
      <c r="Q11" s="103">
        <v>51.8</v>
      </c>
    </row>
    <row r="12" spans="1:17" x14ac:dyDescent="0.4">
      <c r="A12" s="53" t="s">
        <v>158</v>
      </c>
      <c r="B12" s="46">
        <v>3</v>
      </c>
      <c r="C12" s="40">
        <f t="shared" si="1"/>
        <v>7.3170731707317069E-2</v>
      </c>
      <c r="E12" s="59" t="s">
        <v>71</v>
      </c>
      <c r="F12" s="56" t="s">
        <v>26</v>
      </c>
      <c r="G12" s="44">
        <v>6</v>
      </c>
      <c r="H12" s="129">
        <f>IF(B$17=0,0,G12/B$17)</f>
        <v>6.5217391304347824E-2</v>
      </c>
      <c r="I12" s="90">
        <v>9</v>
      </c>
      <c r="K12" s="36">
        <v>10</v>
      </c>
      <c r="L12" s="95">
        <v>-113.29999999999998</v>
      </c>
      <c r="N12" s="112" t="s">
        <v>164</v>
      </c>
      <c r="O12" s="122">
        <f>IF(P12=0,0,Q12/P12)</f>
        <v>-6.5999999999999988</v>
      </c>
      <c r="P12" s="116">
        <v>9</v>
      </c>
      <c r="Q12" s="104">
        <v>-59.399999999999991</v>
      </c>
    </row>
    <row r="13" spans="1:17" x14ac:dyDescent="0.4">
      <c r="A13" s="54" t="s">
        <v>121</v>
      </c>
      <c r="B13" s="47">
        <v>100</v>
      </c>
      <c r="C13" s="42">
        <f>IF(B$3=0,0,B13/B$3)</f>
        <v>0.30303030303030304</v>
      </c>
      <c r="E13" s="59" t="s">
        <v>83</v>
      </c>
      <c r="F13" s="56" t="s">
        <v>38</v>
      </c>
      <c r="G13" s="44">
        <v>6</v>
      </c>
      <c r="H13" s="129">
        <f>IF(B$17=0,0,G13/B$17)</f>
        <v>6.5217391304347824E-2</v>
      </c>
      <c r="I13" s="90">
        <v>6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66</v>
      </c>
      <c r="C14" s="37">
        <f>IF(B$3=0,0,B14/B$3)</f>
        <v>0.2</v>
      </c>
      <c r="E14" s="59" t="s">
        <v>86</v>
      </c>
      <c r="F14" s="56" t="s">
        <v>41</v>
      </c>
      <c r="G14" s="44">
        <v>3</v>
      </c>
      <c r="H14" s="129">
        <f>IF(B$17=0,0,G14/B$17)</f>
        <v>3.2608695652173912E-2</v>
      </c>
      <c r="I14" s="90">
        <v>8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47</v>
      </c>
      <c r="C15" s="35">
        <f>IF(B$13=0,0,B15/B$13)</f>
        <v>0.47</v>
      </c>
      <c r="E15" s="59" t="s">
        <v>92</v>
      </c>
      <c r="F15" s="56" t="s">
        <v>47</v>
      </c>
      <c r="G15" s="44">
        <v>3</v>
      </c>
      <c r="H15" s="129">
        <f>IF(B$17=0,0,G15/B$17)</f>
        <v>3.2608695652173912E-2</v>
      </c>
      <c r="I15" s="90">
        <v>1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31</v>
      </c>
      <c r="C16" s="35">
        <f>IF(B$14=0,0,B16/B$14)</f>
        <v>0.46969696969696972</v>
      </c>
      <c r="E16" s="59" t="s">
        <v>167</v>
      </c>
      <c r="F16" s="56" t="s">
        <v>168</v>
      </c>
      <c r="G16" s="44">
        <v>3</v>
      </c>
      <c r="H16" s="129">
        <f>IF(B$17=0,0,G16/B$17)</f>
        <v>3.2608695652173912E-2</v>
      </c>
      <c r="I16" s="90">
        <v>2</v>
      </c>
      <c r="K16" s="36">
        <v>14</v>
      </c>
      <c r="L16" s="95">
        <v>-86.499999999999972</v>
      </c>
      <c r="N16" s="111" t="s">
        <v>166</v>
      </c>
      <c r="O16" s="121">
        <f t="shared" si="2"/>
        <v>53.050000000000004</v>
      </c>
      <c r="P16" s="115">
        <v>2</v>
      </c>
      <c r="Q16" s="103">
        <v>106.10000000000001</v>
      </c>
    </row>
    <row r="17" spans="1:17" x14ac:dyDescent="0.4">
      <c r="A17" s="50" t="s">
        <v>10</v>
      </c>
      <c r="B17" s="43">
        <f>B19+B18</f>
        <v>92</v>
      </c>
      <c r="C17" s="35">
        <f>IF(B$3=0,0,B17/B$3)</f>
        <v>0.27878787878787881</v>
      </c>
      <c r="E17" s="59" t="s">
        <v>81</v>
      </c>
      <c r="F17" s="56" t="s">
        <v>36</v>
      </c>
      <c r="G17" s="44">
        <v>2</v>
      </c>
      <c r="H17" s="129">
        <f>IF(B$17=0,0,G17/B$17)</f>
        <v>2.1739130434782608E-2</v>
      </c>
      <c r="I17" s="90">
        <v>4</v>
      </c>
      <c r="K17" s="36">
        <v>15</v>
      </c>
      <c r="L17" s="95">
        <v>-101.79999999999997</v>
      </c>
      <c r="N17" s="111" t="s">
        <v>182</v>
      </c>
      <c r="O17" s="121">
        <f t="shared" si="2"/>
        <v>20.7</v>
      </c>
      <c r="P17" s="115">
        <v>12</v>
      </c>
      <c r="Q17" s="103">
        <v>248.4</v>
      </c>
    </row>
    <row r="18" spans="1:17" x14ac:dyDescent="0.4">
      <c r="A18" s="51" t="s">
        <v>12</v>
      </c>
      <c r="B18" s="44">
        <v>44</v>
      </c>
      <c r="C18" s="37">
        <f>IF(B$17=0,0,B18/B$17)</f>
        <v>0.47826086956521741</v>
      </c>
      <c r="E18" s="59" t="s">
        <v>91</v>
      </c>
      <c r="F18" s="56" t="s">
        <v>46</v>
      </c>
      <c r="G18" s="44">
        <v>2</v>
      </c>
      <c r="H18" s="129">
        <f>IF(B$17=0,0,G18/B$17)</f>
        <v>2.1739130434782608E-2</v>
      </c>
      <c r="I18" s="90">
        <v>2</v>
      </c>
      <c r="K18" s="36">
        <v>16</v>
      </c>
      <c r="L18" s="95">
        <v>-63.099999999999966</v>
      </c>
      <c r="N18" s="111" t="s">
        <v>178</v>
      </c>
      <c r="O18" s="121">
        <f t="shared" si="2"/>
        <v>14.204761904761906</v>
      </c>
      <c r="P18" s="115">
        <v>21</v>
      </c>
      <c r="Q18" s="103">
        <v>298.3</v>
      </c>
    </row>
    <row r="19" spans="1:17" x14ac:dyDescent="0.4">
      <c r="A19" s="51" t="s">
        <v>11</v>
      </c>
      <c r="B19" s="44">
        <v>48</v>
      </c>
      <c r="C19" s="37">
        <f>IF(B$17=0,0,B19/B$17)</f>
        <v>0.52173913043478259</v>
      </c>
      <c r="E19" s="59" t="s">
        <v>75</v>
      </c>
      <c r="F19" s="56" t="s">
        <v>30</v>
      </c>
      <c r="G19" s="44">
        <v>1</v>
      </c>
      <c r="H19" s="129">
        <f>IF(B$17=0,0,G19/B$17)</f>
        <v>1.0869565217391304E-2</v>
      </c>
      <c r="I19" s="90">
        <v>3</v>
      </c>
      <c r="K19" s="36">
        <v>17</v>
      </c>
      <c r="L19" s="95">
        <v>-55.799999999999969</v>
      </c>
      <c r="N19" s="111" t="s">
        <v>126</v>
      </c>
      <c r="O19" s="121">
        <f t="shared" si="2"/>
        <v>1.3562499999999984</v>
      </c>
      <c r="P19" s="115">
        <v>16</v>
      </c>
      <c r="Q19" s="103">
        <v>21.699999999999974</v>
      </c>
    </row>
    <row r="20" spans="1:17" x14ac:dyDescent="0.4">
      <c r="A20" s="51" t="s">
        <v>13</v>
      </c>
      <c r="B20" s="44">
        <v>55</v>
      </c>
      <c r="C20" s="37">
        <f>IF(B$3=0,0,B20/B$3)</f>
        <v>0.16666666666666666</v>
      </c>
      <c r="E20" s="59" t="s">
        <v>78</v>
      </c>
      <c r="F20" s="56" t="s">
        <v>33</v>
      </c>
      <c r="G20" s="44">
        <v>1</v>
      </c>
      <c r="H20" s="129">
        <f>IF(B$17=0,0,G20/B$17)</f>
        <v>1.0869565217391304E-2</v>
      </c>
      <c r="I20" s="90">
        <v>8</v>
      </c>
      <c r="K20" s="36">
        <v>18</v>
      </c>
      <c r="L20" s="95">
        <v>-24.999999999999968</v>
      </c>
      <c r="N20" s="111" t="s">
        <v>179</v>
      </c>
      <c r="O20" s="121">
        <f t="shared" si="2"/>
        <v>-1</v>
      </c>
      <c r="P20" s="115">
        <v>6</v>
      </c>
      <c r="Q20" s="103">
        <v>-6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85</v>
      </c>
      <c r="F21" s="56" t="s">
        <v>40</v>
      </c>
      <c r="G21" s="44">
        <v>1</v>
      </c>
      <c r="H21" s="129">
        <f>IF(B$17=0,0,G21/B$17)</f>
        <v>1.0869565217391304E-2</v>
      </c>
      <c r="I21" s="90">
        <v>2</v>
      </c>
      <c r="K21" s="36">
        <v>19</v>
      </c>
      <c r="L21" s="95">
        <v>-27.799999999999969</v>
      </c>
      <c r="N21" s="111" t="s">
        <v>127</v>
      </c>
      <c r="O21" s="121">
        <f t="shared" si="2"/>
        <v>-17.805000000000003</v>
      </c>
      <c r="P21" s="115">
        <v>20</v>
      </c>
      <c r="Q21" s="103">
        <v>-356.10000000000008</v>
      </c>
    </row>
    <row r="22" spans="1:17" x14ac:dyDescent="0.4">
      <c r="A22" s="51" t="s">
        <v>170</v>
      </c>
      <c r="B22" s="44">
        <v>25</v>
      </c>
      <c r="C22" s="131">
        <v>5</v>
      </c>
      <c r="E22" s="59" t="s">
        <v>90</v>
      </c>
      <c r="F22" s="56" t="s">
        <v>45</v>
      </c>
      <c r="G22" s="44">
        <v>1</v>
      </c>
      <c r="H22" s="129">
        <f>IF(B$17=0,0,G22/B$17)</f>
        <v>1.0869565217391304E-2</v>
      </c>
      <c r="I22" s="90">
        <v>1</v>
      </c>
      <c r="K22" s="36">
        <v>20</v>
      </c>
      <c r="L22" s="95">
        <v>-50.39999999999997</v>
      </c>
      <c r="N22" s="111" t="s">
        <v>181</v>
      </c>
      <c r="O22" s="121">
        <f t="shared" si="2"/>
        <v>-76.666666666666671</v>
      </c>
      <c r="P22" s="115">
        <v>3</v>
      </c>
      <c r="Q22" s="103">
        <v>-230</v>
      </c>
    </row>
    <row r="23" spans="1:17" x14ac:dyDescent="0.4">
      <c r="A23" s="51" t="s">
        <v>5</v>
      </c>
      <c r="B23" s="48">
        <f>IF(B$17=0,0,C23/B$17)</f>
        <v>10041.304347826086</v>
      </c>
      <c r="C23" s="39">
        <v>923800</v>
      </c>
      <c r="E23" s="59" t="s">
        <v>73</v>
      </c>
      <c r="F23" s="56" t="s">
        <v>28</v>
      </c>
      <c r="G23" s="44">
        <v>0</v>
      </c>
      <c r="H23" s="129">
        <f>IF(B$17=0,0,G23/B$17)</f>
        <v>0</v>
      </c>
      <c r="I23" s="90">
        <v>3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11444.262295081968</v>
      </c>
      <c r="C24" s="137">
        <v>698100</v>
      </c>
      <c r="E24" s="59" t="s">
        <v>74</v>
      </c>
      <c r="F24" s="56" t="s">
        <v>29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7280.6451612903229</v>
      </c>
      <c r="C25" s="137">
        <v>225700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-8589.0909090909099</v>
      </c>
      <c r="C26" s="137">
        <v>-472400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4">
        <v>8</v>
      </c>
      <c r="C27" s="145"/>
      <c r="E27" s="59" t="s">
        <v>79</v>
      </c>
      <c r="F27" s="56" t="s">
        <v>34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2">
        <v>83000</v>
      </c>
      <c r="C28" s="143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84</v>
      </c>
      <c r="F30" s="56" t="s">
        <v>39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-10.999999999999972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-16.499999999999972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4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3B3EA-4ECE-4268-AE67-E9D72DB6C43B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178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49</v>
      </c>
      <c r="C2" s="151"/>
      <c r="E2" s="58" t="s">
        <v>66</v>
      </c>
      <c r="F2" s="55" t="s">
        <v>22</v>
      </c>
      <c r="G2" s="43">
        <v>88</v>
      </c>
      <c r="H2" s="128">
        <f>IF(B$17=0,0,G2/B$17)</f>
        <v>0.77192982456140347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1173.4693877551019</v>
      </c>
      <c r="P2" s="114">
        <v>49</v>
      </c>
      <c r="Q2" s="98">
        <v>57500</v>
      </c>
    </row>
    <row r="3" spans="1:17" x14ac:dyDescent="0.4">
      <c r="A3" s="51" t="s">
        <v>8</v>
      </c>
      <c r="B3" s="152">
        <v>400</v>
      </c>
      <c r="C3" s="153"/>
      <c r="E3" s="59" t="s">
        <v>72</v>
      </c>
      <c r="F3" s="56" t="s">
        <v>27</v>
      </c>
      <c r="G3" s="44">
        <v>75</v>
      </c>
      <c r="H3" s="129">
        <f>IF(B$17=0,0,G3/B$17)</f>
        <v>0.65789473684210531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1304.3478260869565</v>
      </c>
      <c r="P3" s="115">
        <v>46</v>
      </c>
      <c r="Q3" s="99">
        <v>60000</v>
      </c>
    </row>
    <row r="4" spans="1:17" x14ac:dyDescent="0.4">
      <c r="A4" s="51" t="s">
        <v>6</v>
      </c>
      <c r="B4" s="154">
        <v>7.1000000000000227</v>
      </c>
      <c r="C4" s="155"/>
      <c r="E4" s="59" t="s">
        <v>64</v>
      </c>
      <c r="F4" s="56" t="s">
        <v>20</v>
      </c>
      <c r="G4" s="44">
        <v>56</v>
      </c>
      <c r="H4" s="129">
        <f>IF(B$17=0,0,G4/B$17)</f>
        <v>0.49122807017543857</v>
      </c>
      <c r="I4" s="90">
        <v>4</v>
      </c>
      <c r="K4" s="36">
        <v>2</v>
      </c>
      <c r="L4" s="95">
        <v>8.1000000000000014</v>
      </c>
      <c r="N4" s="111" t="s">
        <v>132</v>
      </c>
      <c r="O4" s="118">
        <f t="shared" si="0"/>
        <v>-1904.6511627906978</v>
      </c>
      <c r="P4" s="115">
        <v>43</v>
      </c>
      <c r="Q4" s="99">
        <v>-81900</v>
      </c>
    </row>
    <row r="5" spans="1:17" x14ac:dyDescent="0.4">
      <c r="A5" s="51" t="s">
        <v>7</v>
      </c>
      <c r="B5" s="156">
        <f>IF(B$2=0,0,B$4/B$2)</f>
        <v>0.14489795918367393</v>
      </c>
      <c r="C5" s="157"/>
      <c r="E5" s="59" t="s">
        <v>171</v>
      </c>
      <c r="F5" s="56" t="s">
        <v>172</v>
      </c>
      <c r="G5" s="44">
        <v>49</v>
      </c>
      <c r="H5" s="129">
        <f>IF(B$17=0,0,G5/B$17)</f>
        <v>0.42982456140350878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425.64102564102564</v>
      </c>
      <c r="P5" s="115">
        <v>39</v>
      </c>
      <c r="Q5" s="99">
        <v>16600</v>
      </c>
    </row>
    <row r="6" spans="1:17" x14ac:dyDescent="0.4">
      <c r="A6" s="51" t="s">
        <v>1</v>
      </c>
      <c r="B6" s="146">
        <f>IF(B$2=0,0,(B$7*1+B$8*2+B$9*3)/B$2)</f>
        <v>2.0816326530612246</v>
      </c>
      <c r="C6" s="147"/>
      <c r="E6" s="59" t="s">
        <v>67</v>
      </c>
      <c r="F6" s="56" t="s">
        <v>23</v>
      </c>
      <c r="G6" s="44">
        <v>46</v>
      </c>
      <c r="H6" s="129">
        <f>IF(B$17=0,0,G6/B$17)</f>
        <v>0.40350877192982454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-32.352941176470587</v>
      </c>
      <c r="P6" s="115">
        <v>34</v>
      </c>
      <c r="Q6" s="99">
        <v>-1100</v>
      </c>
    </row>
    <row r="7" spans="1:17" x14ac:dyDescent="0.4">
      <c r="A7" s="51" t="s">
        <v>2</v>
      </c>
      <c r="B7" s="44">
        <v>10</v>
      </c>
      <c r="C7" s="37">
        <f t="shared" ref="C7:C12" si="1">IF(B$2=0,0,B7/B$2)</f>
        <v>0.20408163265306123</v>
      </c>
      <c r="E7" s="59" t="s">
        <v>68</v>
      </c>
      <c r="F7" s="56" t="s">
        <v>12</v>
      </c>
      <c r="G7" s="44">
        <v>37</v>
      </c>
      <c r="H7" s="129">
        <f>IF(B$17=0,0,G7/B$17)</f>
        <v>0.32456140350877194</v>
      </c>
      <c r="I7" s="90">
        <v>3</v>
      </c>
      <c r="K7" s="36">
        <v>5</v>
      </c>
      <c r="L7" s="95">
        <v>-1.6000000000000014</v>
      </c>
      <c r="N7" s="112" t="s">
        <v>135</v>
      </c>
      <c r="O7" s="119">
        <f t="shared" si="0"/>
        <v>-486.20689655172413</v>
      </c>
      <c r="P7" s="116">
        <v>29</v>
      </c>
      <c r="Q7" s="100">
        <v>-14100</v>
      </c>
    </row>
    <row r="8" spans="1:17" x14ac:dyDescent="0.4">
      <c r="A8" s="51" t="s">
        <v>3</v>
      </c>
      <c r="B8" s="44">
        <v>25</v>
      </c>
      <c r="C8" s="37">
        <f t="shared" si="1"/>
        <v>0.51020408163265307</v>
      </c>
      <c r="E8" s="59" t="s">
        <v>69</v>
      </c>
      <c r="F8" s="56" t="s">
        <v>24</v>
      </c>
      <c r="G8" s="44">
        <v>13</v>
      </c>
      <c r="H8" s="129">
        <f>IF(B$17=0,0,G8/B$17)</f>
        <v>0.11403508771929824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0.2857142857142857</v>
      </c>
      <c r="E9" s="59" t="s">
        <v>89</v>
      </c>
      <c r="F9" s="56" t="s">
        <v>44</v>
      </c>
      <c r="G9" s="44">
        <v>10</v>
      </c>
      <c r="H9" s="129">
        <f>IF(B$17=0,0,G9/B$17)</f>
        <v>8.771929824561403E-2</v>
      </c>
      <c r="I9" s="90">
        <v>9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8.1632653061224483E-2</v>
      </c>
      <c r="E10" s="59" t="s">
        <v>65</v>
      </c>
      <c r="F10" s="56" t="s">
        <v>21</v>
      </c>
      <c r="G10" s="44">
        <v>9</v>
      </c>
      <c r="H10" s="129">
        <f>IF(B$17=0,0,G10/B$17)</f>
        <v>7.8947368421052627E-2</v>
      </c>
      <c r="I10" s="90">
        <v>10</v>
      </c>
      <c r="K10" s="36">
        <v>8</v>
      </c>
      <c r="L10" s="95">
        <v>-46.7</v>
      </c>
      <c r="N10" s="110" t="s">
        <v>162</v>
      </c>
      <c r="O10" s="120">
        <f>IF(P10=0,0,Q10/P10)</f>
        <v>1.7899999999999998</v>
      </c>
      <c r="P10" s="114">
        <v>20</v>
      </c>
      <c r="Q10" s="102">
        <v>35.799999999999997</v>
      </c>
    </row>
    <row r="11" spans="1:17" x14ac:dyDescent="0.4">
      <c r="A11" s="52" t="s">
        <v>138</v>
      </c>
      <c r="B11" s="45">
        <v>4</v>
      </c>
      <c r="C11" s="38">
        <f t="shared" si="1"/>
        <v>8.1632653061224483E-2</v>
      </c>
      <c r="E11" s="59" t="s">
        <v>71</v>
      </c>
      <c r="F11" s="56" t="s">
        <v>26</v>
      </c>
      <c r="G11" s="44">
        <v>9</v>
      </c>
      <c r="H11" s="129">
        <f>IF(B$17=0,0,G11/B$17)</f>
        <v>7.8947368421052627E-2</v>
      </c>
      <c r="I11" s="90">
        <v>6</v>
      </c>
      <c r="K11" s="36">
        <v>9</v>
      </c>
      <c r="L11" s="95">
        <v>-90.9</v>
      </c>
      <c r="N11" s="111" t="s">
        <v>163</v>
      </c>
      <c r="O11" s="121">
        <f>IF(P11=0,0,Q11/P11)</f>
        <v>3.3249999999999997</v>
      </c>
      <c r="P11" s="115">
        <v>12</v>
      </c>
      <c r="Q11" s="103">
        <v>39.9</v>
      </c>
    </row>
    <row r="12" spans="1:17" x14ac:dyDescent="0.4">
      <c r="A12" s="53" t="s">
        <v>158</v>
      </c>
      <c r="B12" s="46">
        <v>1</v>
      </c>
      <c r="C12" s="40">
        <f t="shared" si="1"/>
        <v>2.0408163265306121E-2</v>
      </c>
      <c r="E12" s="59" t="s">
        <v>70</v>
      </c>
      <c r="F12" s="56" t="s">
        <v>25</v>
      </c>
      <c r="G12" s="44">
        <v>8</v>
      </c>
      <c r="H12" s="129">
        <f>IF(B$17=0,0,G12/B$17)</f>
        <v>7.0175438596491224E-2</v>
      </c>
      <c r="I12" s="90">
        <v>9</v>
      </c>
      <c r="K12" s="36">
        <v>10</v>
      </c>
      <c r="L12" s="95">
        <v>-146.69999999999999</v>
      </c>
      <c r="N12" s="112" t="s">
        <v>164</v>
      </c>
      <c r="O12" s="122">
        <f>IF(P12=0,0,Q12/P12)</f>
        <v>-4.0352941176470587</v>
      </c>
      <c r="P12" s="116">
        <v>17</v>
      </c>
      <c r="Q12" s="104">
        <v>-68.599999999999994</v>
      </c>
    </row>
    <row r="13" spans="1:17" x14ac:dyDescent="0.4">
      <c r="A13" s="54" t="s">
        <v>121</v>
      </c>
      <c r="B13" s="47">
        <v>101</v>
      </c>
      <c r="C13" s="42">
        <f>IF(B$3=0,0,B13/B$3)</f>
        <v>0.2525</v>
      </c>
      <c r="E13" s="59" t="s">
        <v>86</v>
      </c>
      <c r="F13" s="56" t="s">
        <v>41</v>
      </c>
      <c r="G13" s="44">
        <v>5</v>
      </c>
      <c r="H13" s="129">
        <f>IF(B$17=0,0,G13/B$17)</f>
        <v>4.3859649122807015E-2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102</v>
      </c>
      <c r="C14" s="37">
        <f>IF(B$3=0,0,B14/B$3)</f>
        <v>0.255</v>
      </c>
      <c r="E14" s="59" t="s">
        <v>79</v>
      </c>
      <c r="F14" s="56" t="s">
        <v>34</v>
      </c>
      <c r="G14" s="44">
        <v>4</v>
      </c>
      <c r="H14" s="129">
        <f>IF(B$17=0,0,G14/B$17)</f>
        <v>3.5087719298245612E-2</v>
      </c>
      <c r="I14" s="90">
        <v>2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60</v>
      </c>
      <c r="C15" s="35">
        <f>IF(B$13=0,0,B15/B$13)</f>
        <v>0.59405940594059403</v>
      </c>
      <c r="E15" s="59" t="s">
        <v>83</v>
      </c>
      <c r="F15" s="56" t="s">
        <v>38</v>
      </c>
      <c r="G15" s="44">
        <v>4</v>
      </c>
      <c r="H15" s="129">
        <f>IF(B$17=0,0,G15/B$17)</f>
        <v>3.5087719298245612E-2</v>
      </c>
      <c r="I15" s="90">
        <v>10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40</v>
      </c>
      <c r="C16" s="35">
        <f>IF(B$14=0,0,B16/B$14)</f>
        <v>0.39215686274509803</v>
      </c>
      <c r="E16" s="59" t="s">
        <v>78</v>
      </c>
      <c r="F16" s="56" t="s">
        <v>33</v>
      </c>
      <c r="G16" s="44">
        <v>3</v>
      </c>
      <c r="H16" s="129">
        <f>IF(B$17=0,0,G16/B$17)</f>
        <v>2.6315789473684209E-2</v>
      </c>
      <c r="I16" s="90">
        <v>3</v>
      </c>
      <c r="K16" s="36">
        <v>14</v>
      </c>
      <c r="L16" s="95">
        <v>-25.79999999999999</v>
      </c>
      <c r="N16" s="111" t="s">
        <v>179</v>
      </c>
      <c r="O16" s="121">
        <f t="shared" si="2"/>
        <v>31.71</v>
      </c>
      <c r="P16" s="115">
        <v>10</v>
      </c>
      <c r="Q16" s="103">
        <v>317.10000000000002</v>
      </c>
    </row>
    <row r="17" spans="1:17" x14ac:dyDescent="0.4">
      <c r="A17" s="50" t="s">
        <v>10</v>
      </c>
      <c r="B17" s="43">
        <f>B19+B18</f>
        <v>114</v>
      </c>
      <c r="C17" s="35">
        <f>IF(B$3=0,0,B17/B$3)</f>
        <v>0.28499999999999998</v>
      </c>
      <c r="E17" s="59" t="s">
        <v>167</v>
      </c>
      <c r="F17" s="56" t="s">
        <v>168</v>
      </c>
      <c r="G17" s="44">
        <v>3</v>
      </c>
      <c r="H17" s="129">
        <f>IF(B$17=0,0,G17/B$17)</f>
        <v>2.6315789473684209E-2</v>
      </c>
      <c r="I17" s="90">
        <v>3</v>
      </c>
      <c r="K17" s="36">
        <v>15</v>
      </c>
      <c r="L17" s="95">
        <v>-35.499999999999986</v>
      </c>
      <c r="N17" s="111" t="s">
        <v>222</v>
      </c>
      <c r="O17" s="121">
        <f t="shared" si="2"/>
        <v>27.200000000000003</v>
      </c>
      <c r="P17" s="115">
        <v>1</v>
      </c>
      <c r="Q17" s="103">
        <v>27.200000000000003</v>
      </c>
    </row>
    <row r="18" spans="1:17" x14ac:dyDescent="0.4">
      <c r="A18" s="51" t="s">
        <v>12</v>
      </c>
      <c r="B18" s="44">
        <v>49</v>
      </c>
      <c r="C18" s="37">
        <f>IF(B$17=0,0,B18/B$17)</f>
        <v>0.42982456140350878</v>
      </c>
      <c r="E18" s="59" t="s">
        <v>73</v>
      </c>
      <c r="F18" s="56" t="s">
        <v>28</v>
      </c>
      <c r="G18" s="44">
        <v>1</v>
      </c>
      <c r="H18" s="129">
        <f>IF(B$17=0,0,G18/B$17)</f>
        <v>8.771929824561403E-3</v>
      </c>
      <c r="I18" s="90">
        <v>1</v>
      </c>
      <c r="K18" s="36">
        <v>16</v>
      </c>
      <c r="L18" s="95">
        <v>-35.599999999999987</v>
      </c>
      <c r="N18" s="111" t="s">
        <v>182</v>
      </c>
      <c r="O18" s="121">
        <f t="shared" si="2"/>
        <v>23.391666666666666</v>
      </c>
      <c r="P18" s="115">
        <v>12</v>
      </c>
      <c r="Q18" s="103">
        <v>280.7</v>
      </c>
    </row>
    <row r="19" spans="1:17" x14ac:dyDescent="0.4">
      <c r="A19" s="51" t="s">
        <v>11</v>
      </c>
      <c r="B19" s="44">
        <v>65</v>
      </c>
      <c r="C19" s="37">
        <f>IF(B$17=0,0,B19/B$17)</f>
        <v>0.57017543859649122</v>
      </c>
      <c r="E19" s="59" t="s">
        <v>81</v>
      </c>
      <c r="F19" s="56" t="s">
        <v>36</v>
      </c>
      <c r="G19" s="44">
        <v>1</v>
      </c>
      <c r="H19" s="129">
        <f>IF(B$17=0,0,G19/B$17)</f>
        <v>8.771929824561403E-3</v>
      </c>
      <c r="I19" s="90">
        <v>8</v>
      </c>
      <c r="K19" s="36">
        <v>17</v>
      </c>
      <c r="L19" s="95">
        <v>-29.799999999999986</v>
      </c>
      <c r="N19" s="111" t="s">
        <v>166</v>
      </c>
      <c r="O19" s="121">
        <f t="shared" si="2"/>
        <v>5.3125</v>
      </c>
      <c r="P19" s="115">
        <v>8</v>
      </c>
      <c r="Q19" s="103">
        <v>42.5</v>
      </c>
    </row>
    <row r="20" spans="1:17" x14ac:dyDescent="0.4">
      <c r="A20" s="51" t="s">
        <v>13</v>
      </c>
      <c r="B20" s="44">
        <v>56</v>
      </c>
      <c r="C20" s="37">
        <f>IF(B$3=0,0,B20/B$3)</f>
        <v>0.14000000000000001</v>
      </c>
      <c r="E20" s="59" t="s">
        <v>85</v>
      </c>
      <c r="F20" s="56" t="s">
        <v>40</v>
      </c>
      <c r="G20" s="44">
        <v>1</v>
      </c>
      <c r="H20" s="129">
        <f>IF(B$17=0,0,G20/B$17)</f>
        <v>8.771929824561403E-3</v>
      </c>
      <c r="I20" s="90">
        <v>3</v>
      </c>
      <c r="K20" s="36">
        <v>18</v>
      </c>
      <c r="L20" s="95">
        <v>-62.399999999999991</v>
      </c>
      <c r="N20" s="111" t="s">
        <v>127</v>
      </c>
      <c r="O20" s="121">
        <f t="shared" si="2"/>
        <v>-11.695238095238096</v>
      </c>
      <c r="P20" s="115">
        <v>21</v>
      </c>
      <c r="Q20" s="103">
        <v>-245.60000000000002</v>
      </c>
    </row>
    <row r="21" spans="1:17" x14ac:dyDescent="0.4">
      <c r="A21" s="51" t="s">
        <v>169</v>
      </c>
      <c r="B21" s="44">
        <v>5</v>
      </c>
      <c r="C21" s="131">
        <v>1</v>
      </c>
      <c r="E21" s="59" t="s">
        <v>91</v>
      </c>
      <c r="F21" s="56" t="s">
        <v>46</v>
      </c>
      <c r="G21" s="44">
        <v>1</v>
      </c>
      <c r="H21" s="129">
        <f>IF(B$17=0,0,G21/B$17)</f>
        <v>8.771929824561403E-3</v>
      </c>
      <c r="I21" s="90">
        <v>6</v>
      </c>
      <c r="K21" s="36">
        <v>19</v>
      </c>
      <c r="L21" s="95">
        <v>-56.399999999999991</v>
      </c>
      <c r="N21" s="111" t="s">
        <v>177</v>
      </c>
      <c r="O21" s="121">
        <f t="shared" si="2"/>
        <v>-14.204761904761906</v>
      </c>
      <c r="P21" s="115">
        <v>21</v>
      </c>
      <c r="Q21" s="103">
        <v>-298.3</v>
      </c>
    </row>
    <row r="22" spans="1:17" x14ac:dyDescent="0.4">
      <c r="A22" s="51" t="s">
        <v>170</v>
      </c>
      <c r="B22" s="44">
        <v>44</v>
      </c>
      <c r="C22" s="131">
        <v>2</v>
      </c>
      <c r="E22" s="59" t="s">
        <v>101</v>
      </c>
      <c r="F22" s="56" t="s">
        <v>56</v>
      </c>
      <c r="G22" s="44">
        <v>1</v>
      </c>
      <c r="H22" s="129">
        <f>IF(B$17=0,0,G22/B$17)</f>
        <v>8.771929824561403E-3</v>
      </c>
      <c r="I22" s="90">
        <v>1</v>
      </c>
      <c r="K22" s="36">
        <v>20</v>
      </c>
      <c r="L22" s="95">
        <v>-93.199999999999989</v>
      </c>
      <c r="N22" s="111" t="s">
        <v>181</v>
      </c>
      <c r="O22" s="121">
        <f t="shared" si="2"/>
        <v>-15.5</v>
      </c>
      <c r="P22" s="115">
        <v>1</v>
      </c>
      <c r="Q22" s="103">
        <v>-15.5</v>
      </c>
    </row>
    <row r="23" spans="1:17" x14ac:dyDescent="0.4">
      <c r="A23" s="51" t="s">
        <v>5</v>
      </c>
      <c r="B23" s="48">
        <f>IF(B$17=0,0,C23/B$17)</f>
        <v>8429.8245614035095</v>
      </c>
      <c r="C23" s="39">
        <v>961000</v>
      </c>
      <c r="E23" s="59" t="s">
        <v>74</v>
      </c>
      <c r="F23" s="56" t="s">
        <v>29</v>
      </c>
      <c r="G23" s="44">
        <v>0</v>
      </c>
      <c r="H23" s="129">
        <f>IF(B$17=0,0,G23/B$17)</f>
        <v>0</v>
      </c>
      <c r="I23" s="90">
        <v>6</v>
      </c>
      <c r="K23" s="36">
        <v>21</v>
      </c>
      <c r="L23" s="95">
        <v>-123.69999999999999</v>
      </c>
      <c r="N23" s="111" t="s">
        <v>126</v>
      </c>
      <c r="O23" s="121">
        <f t="shared" si="2"/>
        <v>-18.563157894736847</v>
      </c>
      <c r="P23" s="115">
        <v>19</v>
      </c>
      <c r="Q23" s="103">
        <v>-352.7000000000001</v>
      </c>
    </row>
    <row r="24" spans="1:17" x14ac:dyDescent="0.4">
      <c r="A24" s="52" t="s">
        <v>216</v>
      </c>
      <c r="B24" s="136">
        <f>IF($B$17-B$16=0,0,C24/($B$17-B$16))</f>
        <v>9585.135135135135</v>
      </c>
      <c r="C24" s="137">
        <v>709300</v>
      </c>
      <c r="E24" s="59" t="s">
        <v>75</v>
      </c>
      <c r="F24" s="56" t="s">
        <v>30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6292.5</v>
      </c>
      <c r="C25" s="137">
        <v>251700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-7757.1428571428569</v>
      </c>
      <c r="C26" s="137">
        <v>-434400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4">
        <v>6</v>
      </c>
      <c r="C27" s="145"/>
      <c r="E27" s="59" t="s">
        <v>80</v>
      </c>
      <c r="F27" s="56" t="s">
        <v>35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2">
        <v>86500</v>
      </c>
      <c r="C28" s="143"/>
      <c r="E28" s="59" t="s">
        <v>82</v>
      </c>
      <c r="F28" s="56" t="s">
        <v>37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5.0000000000000001E-3</v>
      </c>
      <c r="E29" s="59" t="s">
        <v>84</v>
      </c>
      <c r="F29" s="56" t="s">
        <v>39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-70.199999999999989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-61.29999999999999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4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1A444-B1B5-4625-8856-A805D895EE8B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182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24</v>
      </c>
      <c r="C2" s="151"/>
      <c r="E2" s="58" t="s">
        <v>66</v>
      </c>
      <c r="F2" s="55" t="s">
        <v>22</v>
      </c>
      <c r="G2" s="43">
        <v>28</v>
      </c>
      <c r="H2" s="128">
        <f>IF(B$17=0,0,G2/B$17)</f>
        <v>0.7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-3791.6666666666665</v>
      </c>
      <c r="P2" s="114">
        <v>24</v>
      </c>
      <c r="Q2" s="98">
        <v>-91000</v>
      </c>
    </row>
    <row r="3" spans="1:17" x14ac:dyDescent="0.4">
      <c r="A3" s="51" t="s">
        <v>8</v>
      </c>
      <c r="B3" s="152">
        <v>190</v>
      </c>
      <c r="C3" s="153"/>
      <c r="E3" s="59" t="s">
        <v>64</v>
      </c>
      <c r="F3" s="56" t="s">
        <v>20</v>
      </c>
      <c r="G3" s="44">
        <v>19</v>
      </c>
      <c r="H3" s="129">
        <f>IF(B$17=0,0,G3/B$17)</f>
        <v>0.47499999999999998</v>
      </c>
      <c r="I3" s="90">
        <v>6</v>
      </c>
      <c r="K3" s="36">
        <v>1</v>
      </c>
      <c r="L3" s="95">
        <v>-12</v>
      </c>
      <c r="N3" s="111" t="s">
        <v>131</v>
      </c>
      <c r="O3" s="118">
        <f t="shared" si="0"/>
        <v>-637.5</v>
      </c>
      <c r="P3" s="115">
        <v>24</v>
      </c>
      <c r="Q3" s="99">
        <v>-15300</v>
      </c>
    </row>
    <row r="4" spans="1:17" x14ac:dyDescent="0.4">
      <c r="A4" s="51" t="s">
        <v>6</v>
      </c>
      <c r="B4" s="154">
        <v>-474.10000000000014</v>
      </c>
      <c r="C4" s="155"/>
      <c r="E4" s="59" t="s">
        <v>72</v>
      </c>
      <c r="F4" s="56" t="s">
        <v>27</v>
      </c>
      <c r="G4" s="44">
        <v>19</v>
      </c>
      <c r="H4" s="129">
        <f>IF(B$17=0,0,G4/B$17)</f>
        <v>0.47499999999999998</v>
      </c>
      <c r="I4" s="90">
        <v>9</v>
      </c>
      <c r="K4" s="36">
        <v>2</v>
      </c>
      <c r="L4" s="95">
        <v>-40.6</v>
      </c>
      <c r="N4" s="111" t="s">
        <v>132</v>
      </c>
      <c r="O4" s="118">
        <f t="shared" si="0"/>
        <v>-1729.1666666666667</v>
      </c>
      <c r="P4" s="115">
        <v>24</v>
      </c>
      <c r="Q4" s="99">
        <v>-41500</v>
      </c>
    </row>
    <row r="5" spans="1:17" x14ac:dyDescent="0.4">
      <c r="A5" s="51" t="s">
        <v>7</v>
      </c>
      <c r="B5" s="156">
        <f>IF(B$2=0,0,B$4/B$2)</f>
        <v>-19.754166666666674</v>
      </c>
      <c r="C5" s="157"/>
      <c r="E5" s="59" t="s">
        <v>67</v>
      </c>
      <c r="F5" s="56" t="s">
        <v>23</v>
      </c>
      <c r="G5" s="44">
        <v>16</v>
      </c>
      <c r="H5" s="129">
        <f>IF(B$17=0,0,G5/B$17)</f>
        <v>0.4</v>
      </c>
      <c r="I5" s="90">
        <v>5</v>
      </c>
      <c r="K5" s="36">
        <v>3</v>
      </c>
      <c r="L5" s="95">
        <v>-33.6</v>
      </c>
      <c r="N5" s="111" t="s">
        <v>133</v>
      </c>
      <c r="O5" s="118">
        <f t="shared" si="0"/>
        <v>-3756.521739130435</v>
      </c>
      <c r="P5" s="115">
        <v>23</v>
      </c>
      <c r="Q5" s="99">
        <v>-86400</v>
      </c>
    </row>
    <row r="6" spans="1:17" x14ac:dyDescent="0.4">
      <c r="A6" s="51" t="s">
        <v>1</v>
      </c>
      <c r="B6" s="146">
        <f>IF(B$2=0,0,(B$7*1+B$8*2+B$9*3)/B$2)</f>
        <v>2.5416666666666665</v>
      </c>
      <c r="C6" s="147"/>
      <c r="E6" s="59" t="s">
        <v>171</v>
      </c>
      <c r="F6" s="56" t="s">
        <v>172</v>
      </c>
      <c r="G6" s="44">
        <v>13</v>
      </c>
      <c r="H6" s="129">
        <f>IF(B$17=0,0,G6/B$17)</f>
        <v>0.32500000000000001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-1813.6363636363637</v>
      </c>
      <c r="P6" s="115">
        <v>22</v>
      </c>
      <c r="Q6" s="99">
        <v>-39900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4.1666666666666664E-2</v>
      </c>
      <c r="E7" s="59" t="s">
        <v>68</v>
      </c>
      <c r="F7" s="56" t="s">
        <v>12</v>
      </c>
      <c r="G7" s="44">
        <v>11</v>
      </c>
      <c r="H7" s="129">
        <f>IF(B$17=0,0,G7/B$17)</f>
        <v>0.27500000000000002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-3527.7777777777778</v>
      </c>
      <c r="P7" s="116">
        <v>18</v>
      </c>
      <c r="Q7" s="100">
        <v>-63500</v>
      </c>
    </row>
    <row r="8" spans="1:17" x14ac:dyDescent="0.4">
      <c r="A8" s="51" t="s">
        <v>3</v>
      </c>
      <c r="B8" s="44">
        <v>9</v>
      </c>
      <c r="C8" s="37">
        <f t="shared" si="1"/>
        <v>0.375</v>
      </c>
      <c r="E8" s="59" t="s">
        <v>65</v>
      </c>
      <c r="F8" s="56" t="s">
        <v>21</v>
      </c>
      <c r="G8" s="44">
        <v>6</v>
      </c>
      <c r="H8" s="129">
        <f>IF(B$17=0,0,G8/B$17)</f>
        <v>0.15</v>
      </c>
      <c r="I8" s="90">
        <v>2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0.58333333333333337</v>
      </c>
      <c r="E9" s="59" t="s">
        <v>89</v>
      </c>
      <c r="F9" s="56" t="s">
        <v>44</v>
      </c>
      <c r="G9" s="44">
        <v>5</v>
      </c>
      <c r="H9" s="129">
        <f>IF(B$17=0,0,G9/B$17)</f>
        <v>0.125</v>
      </c>
      <c r="I9" s="90">
        <v>6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0.20833333333333334</v>
      </c>
      <c r="E10" s="59" t="s">
        <v>71</v>
      </c>
      <c r="F10" s="56" t="s">
        <v>26</v>
      </c>
      <c r="G10" s="44">
        <v>4</v>
      </c>
      <c r="H10" s="129">
        <f>IF(B$17=0,0,G10/B$17)</f>
        <v>0.1</v>
      </c>
      <c r="I10" s="90">
        <v>4</v>
      </c>
      <c r="K10" s="36">
        <v>8</v>
      </c>
      <c r="L10" s="95">
        <v>-152.6</v>
      </c>
      <c r="N10" s="110" t="s">
        <v>162</v>
      </c>
      <c r="O10" s="120">
        <f>IF(P10=0,0,Q10/P10)</f>
        <v>-26.87857142857143</v>
      </c>
      <c r="P10" s="114">
        <v>14</v>
      </c>
      <c r="Q10" s="102">
        <v>-376.3</v>
      </c>
    </row>
    <row r="11" spans="1:17" x14ac:dyDescent="0.4">
      <c r="A11" s="52" t="s">
        <v>138</v>
      </c>
      <c r="B11" s="45">
        <v>1</v>
      </c>
      <c r="C11" s="38">
        <f t="shared" si="1"/>
        <v>4.1666666666666664E-2</v>
      </c>
      <c r="E11" s="59" t="s">
        <v>83</v>
      </c>
      <c r="F11" s="56" t="s">
        <v>38</v>
      </c>
      <c r="G11" s="44">
        <v>4</v>
      </c>
      <c r="H11" s="129">
        <f>IF(B$17=0,0,G11/B$17)</f>
        <v>0.1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-4.2571428571428553</v>
      </c>
      <c r="P11" s="115">
        <v>7</v>
      </c>
      <c r="Q11" s="103">
        <v>-29.79999999999999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70</v>
      </c>
      <c r="F12" s="56" t="s">
        <v>25</v>
      </c>
      <c r="G12" s="44">
        <v>3</v>
      </c>
      <c r="H12" s="129">
        <f>IF(B$17=0,0,G12/B$17)</f>
        <v>7.4999999999999997E-2</v>
      </c>
      <c r="I12" s="90">
        <v>8</v>
      </c>
      <c r="K12" s="36">
        <v>10</v>
      </c>
      <c r="L12" s="95">
        <v>-151.1</v>
      </c>
      <c r="N12" s="112" t="s">
        <v>164</v>
      </c>
      <c r="O12" s="122">
        <f>IF(P12=0,0,Q12/P12)</f>
        <v>-22.666666666666668</v>
      </c>
      <c r="P12" s="116">
        <v>3</v>
      </c>
      <c r="Q12" s="104">
        <v>-68</v>
      </c>
    </row>
    <row r="13" spans="1:17" x14ac:dyDescent="0.4">
      <c r="A13" s="54" t="s">
        <v>121</v>
      </c>
      <c r="B13" s="47">
        <v>37</v>
      </c>
      <c r="C13" s="42">
        <f>IF(B$3=0,0,B13/B$3)</f>
        <v>0.19473684210526315</v>
      </c>
      <c r="E13" s="59" t="s">
        <v>86</v>
      </c>
      <c r="F13" s="56" t="s">
        <v>41</v>
      </c>
      <c r="G13" s="44">
        <v>3</v>
      </c>
      <c r="H13" s="129">
        <f>IF(B$17=0,0,G13/B$17)</f>
        <v>7.4999999999999997E-2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38</v>
      </c>
      <c r="C14" s="37">
        <f>IF(B$3=0,0,B14/B$3)</f>
        <v>0.2</v>
      </c>
      <c r="E14" s="59" t="s">
        <v>69</v>
      </c>
      <c r="F14" s="56" t="s">
        <v>24</v>
      </c>
      <c r="G14" s="44">
        <v>2</v>
      </c>
      <c r="H14" s="129">
        <f>IF(B$17=0,0,G14/B$17)</f>
        <v>0.05</v>
      </c>
      <c r="I14" s="90">
        <v>10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19</v>
      </c>
      <c r="C15" s="35">
        <f>IF(B$13=0,0,B15/B$13)</f>
        <v>0.51351351351351349</v>
      </c>
      <c r="E15" s="59" t="s">
        <v>81</v>
      </c>
      <c r="F15" s="56" t="s">
        <v>36</v>
      </c>
      <c r="G15" s="44">
        <v>2</v>
      </c>
      <c r="H15" s="129">
        <f>IF(B$17=0,0,G15/B$17)</f>
        <v>0.05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25.7</v>
      </c>
      <c r="P15" s="114">
        <v>2</v>
      </c>
      <c r="Q15" s="102">
        <v>51.4</v>
      </c>
    </row>
    <row r="16" spans="1:17" x14ac:dyDescent="0.4">
      <c r="A16" s="50" t="s">
        <v>124</v>
      </c>
      <c r="B16" s="43">
        <v>13</v>
      </c>
      <c r="C16" s="35">
        <f>IF(B$14=0,0,B16/B$14)</f>
        <v>0.34210526315789475</v>
      </c>
      <c r="E16" s="59" t="s">
        <v>74</v>
      </c>
      <c r="F16" s="56" t="s">
        <v>29</v>
      </c>
      <c r="G16" s="44">
        <v>1</v>
      </c>
      <c r="H16" s="129">
        <f>IF(B$17=0,0,G16/B$17)</f>
        <v>2.5000000000000001E-2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40</v>
      </c>
      <c r="C17" s="35">
        <f>IF(B$3=0,0,B17/B$3)</f>
        <v>0.21052631578947367</v>
      </c>
      <c r="E17" s="59" t="s">
        <v>78</v>
      </c>
      <c r="F17" s="56" t="s">
        <v>33</v>
      </c>
      <c r="G17" s="44">
        <v>1</v>
      </c>
      <c r="H17" s="129">
        <f>IF(B$17=0,0,G17/B$17)</f>
        <v>2.5000000000000001E-2</v>
      </c>
      <c r="I17" s="90">
        <v>5</v>
      </c>
      <c r="K17" s="36">
        <v>15</v>
      </c>
      <c r="L17" s="95">
        <v>-272.50000000000006</v>
      </c>
      <c r="N17" s="111" t="s">
        <v>177</v>
      </c>
      <c r="O17" s="121">
        <f t="shared" si="2"/>
        <v>-20.7</v>
      </c>
      <c r="P17" s="115">
        <v>12</v>
      </c>
      <c r="Q17" s="103">
        <v>-248.39999999999998</v>
      </c>
    </row>
    <row r="18" spans="1:17" x14ac:dyDescent="0.4">
      <c r="A18" s="51" t="s">
        <v>12</v>
      </c>
      <c r="B18" s="44">
        <v>18</v>
      </c>
      <c r="C18" s="37">
        <f>IF(B$17=0,0,B18/B$17)</f>
        <v>0.45</v>
      </c>
      <c r="E18" s="59" t="s">
        <v>73</v>
      </c>
      <c r="F18" s="56" t="s">
        <v>28</v>
      </c>
      <c r="G18" s="44">
        <v>0</v>
      </c>
      <c r="H18" s="129">
        <f>IF(B$17=0,0,G18/B$17)</f>
        <v>0</v>
      </c>
      <c r="I18" s="90">
        <v>3</v>
      </c>
      <c r="K18" s="36">
        <v>16</v>
      </c>
      <c r="L18" s="95">
        <v>-320.30000000000007</v>
      </c>
      <c r="N18" s="111" t="s">
        <v>178</v>
      </c>
      <c r="O18" s="121">
        <f t="shared" si="2"/>
        <v>-23.391666666666666</v>
      </c>
      <c r="P18" s="115">
        <v>12</v>
      </c>
      <c r="Q18" s="103">
        <v>-280.7</v>
      </c>
    </row>
    <row r="19" spans="1:17" x14ac:dyDescent="0.4">
      <c r="A19" s="51" t="s">
        <v>11</v>
      </c>
      <c r="B19" s="44">
        <v>22</v>
      </c>
      <c r="C19" s="37">
        <f>IF(B$17=0,0,B19/B$17)</f>
        <v>0.55000000000000004</v>
      </c>
      <c r="E19" s="59" t="s">
        <v>75</v>
      </c>
      <c r="F19" s="56" t="s">
        <v>30</v>
      </c>
      <c r="G19" s="44">
        <v>0</v>
      </c>
      <c r="H19" s="129">
        <f>IF(B$17=0,0,G19/B$17)</f>
        <v>0</v>
      </c>
      <c r="I19" s="90">
        <v>6</v>
      </c>
      <c r="K19" s="36">
        <v>17</v>
      </c>
      <c r="L19" s="95">
        <v>-352.60000000000008</v>
      </c>
      <c r="N19" s="111" t="s">
        <v>179</v>
      </c>
      <c r="O19" s="121">
        <f t="shared" si="2"/>
        <v>-25.799999999999997</v>
      </c>
      <c r="P19" s="115">
        <v>1</v>
      </c>
      <c r="Q19" s="103">
        <v>-25.799999999999997</v>
      </c>
    </row>
    <row r="20" spans="1:17" x14ac:dyDescent="0.4">
      <c r="A20" s="51" t="s">
        <v>13</v>
      </c>
      <c r="B20" s="44">
        <v>38</v>
      </c>
      <c r="C20" s="37">
        <f>IF(B$3=0,0,B20/B$3)</f>
        <v>0.2</v>
      </c>
      <c r="E20" s="59" t="s">
        <v>76</v>
      </c>
      <c r="F20" s="56" t="s">
        <v>31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-355.50000000000006</v>
      </c>
      <c r="N20" s="111" t="s">
        <v>126</v>
      </c>
      <c r="O20" s="121">
        <f t="shared" si="2"/>
        <v>-32.228571428571435</v>
      </c>
      <c r="P20" s="115">
        <v>7</v>
      </c>
      <c r="Q20" s="103">
        <v>-225.60000000000002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77</v>
      </c>
      <c r="F21" s="56" t="s">
        <v>32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-400.60000000000008</v>
      </c>
      <c r="N21" s="111" t="s">
        <v>181</v>
      </c>
      <c r="O21" s="121">
        <f t="shared" si="2"/>
        <v>-52.525000000000006</v>
      </c>
      <c r="P21" s="115">
        <v>4</v>
      </c>
      <c r="Q21" s="103">
        <v>-210.10000000000002</v>
      </c>
    </row>
    <row r="22" spans="1:17" x14ac:dyDescent="0.4">
      <c r="A22" s="51" t="s">
        <v>170</v>
      </c>
      <c r="B22" s="44">
        <v>16</v>
      </c>
      <c r="C22" s="131">
        <v>11</v>
      </c>
      <c r="E22" s="59" t="s">
        <v>79</v>
      </c>
      <c r="F22" s="56" t="s">
        <v>34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-428.10000000000008</v>
      </c>
      <c r="N22" s="111" t="s">
        <v>127</v>
      </c>
      <c r="O22" s="121">
        <f t="shared" si="2"/>
        <v>-52.783333333333331</v>
      </c>
      <c r="P22" s="115">
        <v>6</v>
      </c>
      <c r="Q22" s="103">
        <v>-316.7</v>
      </c>
    </row>
    <row r="23" spans="1:17" x14ac:dyDescent="0.4">
      <c r="A23" s="51" t="s">
        <v>5</v>
      </c>
      <c r="B23" s="48">
        <f>IF(B$17=0,0,C23/B$17)</f>
        <v>7562.5</v>
      </c>
      <c r="C23" s="39">
        <v>302500</v>
      </c>
      <c r="E23" s="59" t="s">
        <v>80</v>
      </c>
      <c r="F23" s="56" t="s">
        <v>35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8655.5555555555547</v>
      </c>
      <c r="C24" s="137">
        <v>233700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5292.3076923076924</v>
      </c>
      <c r="C25" s="137">
        <v>68800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-8781.5789473684217</v>
      </c>
      <c r="C26" s="137">
        <v>-333700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4">
        <v>6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2">
        <v>85100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5.263157894736842E-3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4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B8C71-0BB4-4819-9EBC-CCA2E9D9066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181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14</v>
      </c>
      <c r="C2" s="151"/>
      <c r="E2" s="58" t="s">
        <v>66</v>
      </c>
      <c r="F2" s="55" t="s">
        <v>22</v>
      </c>
      <c r="G2" s="43">
        <v>40</v>
      </c>
      <c r="H2" s="128">
        <f>IF(B$17=0,0,G2/B$17)</f>
        <v>0.97560975609756095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-1321.4285714285713</v>
      </c>
      <c r="P2" s="114">
        <v>14</v>
      </c>
      <c r="Q2" s="98">
        <v>-18500</v>
      </c>
    </row>
    <row r="3" spans="1:17" x14ac:dyDescent="0.4">
      <c r="A3" s="51" t="s">
        <v>8</v>
      </c>
      <c r="B3" s="152">
        <v>142</v>
      </c>
      <c r="C3" s="153"/>
      <c r="E3" s="59" t="s">
        <v>64</v>
      </c>
      <c r="F3" s="56" t="s">
        <v>20</v>
      </c>
      <c r="G3" s="44">
        <v>25</v>
      </c>
      <c r="H3" s="129">
        <f>IF(B$17=0,0,G3/B$17)</f>
        <v>0.6097560975609756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800</v>
      </c>
      <c r="P3" s="115">
        <v>14</v>
      </c>
      <c r="Q3" s="99">
        <v>11200</v>
      </c>
    </row>
    <row r="4" spans="1:17" x14ac:dyDescent="0.4">
      <c r="A4" s="51" t="s">
        <v>6</v>
      </c>
      <c r="B4" s="154">
        <v>49.900000000000006</v>
      </c>
      <c r="C4" s="155"/>
      <c r="E4" s="59" t="s">
        <v>68</v>
      </c>
      <c r="F4" s="56" t="s">
        <v>12</v>
      </c>
      <c r="G4" s="44">
        <v>17</v>
      </c>
      <c r="H4" s="129">
        <f>IF(B$17=0,0,G4/B$17)</f>
        <v>0.41463414634146339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385.71428571428572</v>
      </c>
      <c r="P4" s="115">
        <v>14</v>
      </c>
      <c r="Q4" s="99">
        <v>5400</v>
      </c>
    </row>
    <row r="5" spans="1:17" x14ac:dyDescent="0.4">
      <c r="A5" s="51" t="s">
        <v>7</v>
      </c>
      <c r="B5" s="156">
        <f>IF(B$2=0,0,B$4/B$2)</f>
        <v>3.5642857142857145</v>
      </c>
      <c r="C5" s="157"/>
      <c r="E5" s="59" t="s">
        <v>171</v>
      </c>
      <c r="F5" s="56" t="s">
        <v>172</v>
      </c>
      <c r="G5" s="44">
        <v>15</v>
      </c>
      <c r="H5" s="129">
        <f>IF(B$17=0,0,G5/B$17)</f>
        <v>0.36585365853658536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-1492.3076923076924</v>
      </c>
      <c r="P5" s="115">
        <v>13</v>
      </c>
      <c r="Q5" s="99">
        <v>-19400</v>
      </c>
    </row>
    <row r="6" spans="1:17" x14ac:dyDescent="0.4">
      <c r="A6" s="51" t="s">
        <v>1</v>
      </c>
      <c r="B6" s="146">
        <f>IF(B$2=0,0,(B$7*1+B$8*2+B$9*3)/B$2)</f>
        <v>1.9285714285714286</v>
      </c>
      <c r="C6" s="147"/>
      <c r="E6" s="59" t="s">
        <v>72</v>
      </c>
      <c r="F6" s="56" t="s">
        <v>27</v>
      </c>
      <c r="G6" s="44">
        <v>13</v>
      </c>
      <c r="H6" s="129">
        <f>IF(B$17=0,0,G6/B$17)</f>
        <v>0.31707317073170732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6215.3846153846152</v>
      </c>
      <c r="P6" s="115">
        <v>13</v>
      </c>
      <c r="Q6" s="99">
        <v>80800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0.35714285714285715</v>
      </c>
      <c r="E7" s="59" t="s">
        <v>67</v>
      </c>
      <c r="F7" s="56" t="s">
        <v>23</v>
      </c>
      <c r="G7" s="44">
        <v>10</v>
      </c>
      <c r="H7" s="129">
        <f>IF(B$17=0,0,G7/B$17)</f>
        <v>0.24390243902439024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1300</v>
      </c>
      <c r="P7" s="116">
        <v>9</v>
      </c>
      <c r="Q7" s="100">
        <v>11700</v>
      </c>
    </row>
    <row r="8" spans="1:17" x14ac:dyDescent="0.4">
      <c r="A8" s="51" t="s">
        <v>3</v>
      </c>
      <c r="B8" s="44">
        <v>5</v>
      </c>
      <c r="C8" s="37">
        <f t="shared" si="1"/>
        <v>0.35714285714285715</v>
      </c>
      <c r="E8" s="59" t="s">
        <v>69</v>
      </c>
      <c r="F8" s="56" t="s">
        <v>24</v>
      </c>
      <c r="G8" s="44">
        <v>8</v>
      </c>
      <c r="H8" s="129">
        <f>IF(B$17=0,0,G8/B$17)</f>
        <v>0.1951219512195122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0.2857142857142857</v>
      </c>
      <c r="E9" s="59" t="s">
        <v>70</v>
      </c>
      <c r="F9" s="56" t="s">
        <v>25</v>
      </c>
      <c r="G9" s="44">
        <v>5</v>
      </c>
      <c r="H9" s="129">
        <f>IF(B$17=0,0,G9/B$17)</f>
        <v>0.12195121951219512</v>
      </c>
      <c r="I9" s="90">
        <v>4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7.1428571428571425E-2</v>
      </c>
      <c r="E10" s="59" t="s">
        <v>71</v>
      </c>
      <c r="F10" s="56" t="s">
        <v>26</v>
      </c>
      <c r="G10" s="44">
        <v>5</v>
      </c>
      <c r="H10" s="129">
        <f>IF(B$17=0,0,G10/B$17)</f>
        <v>0.12195121951219512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-0.85714285714285665</v>
      </c>
      <c r="P10" s="114">
        <v>7</v>
      </c>
      <c r="Q10" s="102">
        <v>-5.9999999999999964</v>
      </c>
    </row>
    <row r="11" spans="1:17" x14ac:dyDescent="0.4">
      <c r="A11" s="52" t="s">
        <v>138</v>
      </c>
      <c r="B11" s="45">
        <v>2</v>
      </c>
      <c r="C11" s="38">
        <f t="shared" si="1"/>
        <v>0.14285714285714285</v>
      </c>
      <c r="E11" s="59" t="s">
        <v>65</v>
      </c>
      <c r="F11" s="56" t="s">
        <v>21</v>
      </c>
      <c r="G11" s="44">
        <v>4</v>
      </c>
      <c r="H11" s="129">
        <f>IF(B$17=0,0,G11/B$17)</f>
        <v>9.7560975609756101E-2</v>
      </c>
      <c r="I11" s="90">
        <v>5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3</v>
      </c>
      <c r="H12" s="129">
        <f>IF(B$17=0,0,G12/B$17)</f>
        <v>7.3170731707317069E-2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5.1999999999999993</v>
      </c>
      <c r="P12" s="116">
        <v>4</v>
      </c>
      <c r="Q12" s="104">
        <v>20.799999999999997</v>
      </c>
    </row>
    <row r="13" spans="1:17" x14ac:dyDescent="0.4">
      <c r="A13" s="54" t="s">
        <v>121</v>
      </c>
      <c r="B13" s="47">
        <v>40</v>
      </c>
      <c r="C13" s="42">
        <f>IF(B$3=0,0,B13/B$3)</f>
        <v>0.28169014084507044</v>
      </c>
      <c r="E13" s="59" t="s">
        <v>86</v>
      </c>
      <c r="F13" s="56" t="s">
        <v>41</v>
      </c>
      <c r="G13" s="44">
        <v>2</v>
      </c>
      <c r="H13" s="129">
        <f>IF(B$17=0,0,G13/B$17)</f>
        <v>4.878048780487805E-2</v>
      </c>
      <c r="I13" s="90">
        <v>4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0.15492957746478872</v>
      </c>
      <c r="E14" s="59" t="s">
        <v>75</v>
      </c>
      <c r="F14" s="56" t="s">
        <v>30</v>
      </c>
      <c r="G14" s="44">
        <v>1</v>
      </c>
      <c r="H14" s="129">
        <f>IF(B$17=0,0,G14/B$17)</f>
        <v>2.4390243902439025E-2</v>
      </c>
      <c r="I14" s="90">
        <v>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0.625</v>
      </c>
      <c r="E15" s="59" t="s">
        <v>78</v>
      </c>
      <c r="F15" s="56" t="s">
        <v>33</v>
      </c>
      <c r="G15" s="44">
        <v>1</v>
      </c>
      <c r="H15" s="129">
        <f>IF(B$17=0,0,G15/B$17)</f>
        <v>2.4390243902439025E-2</v>
      </c>
      <c r="I15" s="90">
        <v>6</v>
      </c>
      <c r="K15" s="36">
        <v>13</v>
      </c>
      <c r="L15" s="95">
        <v>76.7</v>
      </c>
      <c r="N15" s="110" t="s">
        <v>177</v>
      </c>
      <c r="O15" s="120">
        <f t="shared" ref="O15:O22" si="2">IF(P15=0,0,Q15/P15)</f>
        <v>76.666666666666671</v>
      </c>
      <c r="P15" s="114">
        <v>3</v>
      </c>
      <c r="Q15" s="102">
        <v>230</v>
      </c>
    </row>
    <row r="16" spans="1:17" x14ac:dyDescent="0.4">
      <c r="A16" s="50" t="s">
        <v>124</v>
      </c>
      <c r="B16" s="43">
        <v>7</v>
      </c>
      <c r="C16" s="35">
        <f>IF(B$14=0,0,B16/B$14)</f>
        <v>0.31818181818181818</v>
      </c>
      <c r="E16" s="59" t="s">
        <v>81</v>
      </c>
      <c r="F16" s="56" t="s">
        <v>36</v>
      </c>
      <c r="G16" s="44">
        <v>1</v>
      </c>
      <c r="H16" s="129">
        <f>IF(B$17=0,0,G16/B$17)</f>
        <v>2.4390243902439025E-2</v>
      </c>
      <c r="I16" s="90">
        <v>3</v>
      </c>
      <c r="K16" s="36">
        <v>14</v>
      </c>
      <c r="L16" s="95">
        <v>49.900000000000006</v>
      </c>
      <c r="N16" s="111" t="s">
        <v>182</v>
      </c>
      <c r="O16" s="121">
        <f t="shared" si="2"/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41</v>
      </c>
      <c r="C17" s="35">
        <f>IF(B$3=0,0,B17/B$3)</f>
        <v>0.28873239436619719</v>
      </c>
      <c r="E17" s="59" t="s">
        <v>85</v>
      </c>
      <c r="F17" s="56" t="s">
        <v>40</v>
      </c>
      <c r="G17" s="44">
        <v>1</v>
      </c>
      <c r="H17" s="129">
        <f>IF(B$17=0,0,G17/B$17)</f>
        <v>2.4390243902439025E-2</v>
      </c>
      <c r="I17" s="90">
        <v>1</v>
      </c>
      <c r="N17" s="111" t="s">
        <v>178</v>
      </c>
      <c r="O17" s="121">
        <f t="shared" si="2"/>
        <v>15.5</v>
      </c>
      <c r="P17" s="115">
        <v>1</v>
      </c>
      <c r="Q17" s="103">
        <v>15.5</v>
      </c>
    </row>
    <row r="18" spans="1:17" x14ac:dyDescent="0.4">
      <c r="A18" s="51" t="s">
        <v>12</v>
      </c>
      <c r="B18" s="44">
        <v>22</v>
      </c>
      <c r="C18" s="37">
        <f>IF(B$17=0,0,B18/B$17)</f>
        <v>0.53658536585365857</v>
      </c>
      <c r="E18" s="59" t="s">
        <v>87</v>
      </c>
      <c r="F18" s="56" t="s">
        <v>42</v>
      </c>
      <c r="G18" s="44">
        <v>1</v>
      </c>
      <c r="H18" s="129">
        <f>IF(B$17=0,0,G18/B$17)</f>
        <v>2.4390243902439025E-2</v>
      </c>
      <c r="I18" s="90">
        <v>1</v>
      </c>
      <c r="N18" s="111" t="s">
        <v>166</v>
      </c>
      <c r="O18" s="121">
        <f t="shared" si="2"/>
        <v>5.0400000000000009</v>
      </c>
      <c r="P18" s="115">
        <v>5</v>
      </c>
      <c r="Q18" s="103">
        <v>25.200000000000003</v>
      </c>
    </row>
    <row r="19" spans="1:17" x14ac:dyDescent="0.4">
      <c r="A19" s="51" t="s">
        <v>11</v>
      </c>
      <c r="B19" s="44">
        <v>19</v>
      </c>
      <c r="C19" s="37">
        <f>IF(B$17=0,0,B19/B$17)</f>
        <v>0.46341463414634149</v>
      </c>
      <c r="E19" s="59" t="s">
        <v>167</v>
      </c>
      <c r="F19" s="56" t="s">
        <v>168</v>
      </c>
      <c r="G19" s="44">
        <v>1</v>
      </c>
      <c r="H19" s="129">
        <f>IF(B$17=0,0,G19/B$17)</f>
        <v>2.4390243902439025E-2</v>
      </c>
      <c r="I19" s="90">
        <v>4</v>
      </c>
      <c r="N19" s="111" t="s">
        <v>179</v>
      </c>
      <c r="O19" s="121">
        <f t="shared" si="2"/>
        <v>-3.7285714285714278</v>
      </c>
      <c r="P19" s="115">
        <v>7</v>
      </c>
      <c r="Q19" s="103">
        <v>-26.099999999999994</v>
      </c>
    </row>
    <row r="20" spans="1:17" x14ac:dyDescent="0.4">
      <c r="A20" s="51" t="s">
        <v>13</v>
      </c>
      <c r="B20" s="44">
        <v>19</v>
      </c>
      <c r="C20" s="37">
        <f>IF(B$3=0,0,B20/B$3)</f>
        <v>0.13380281690140844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3</v>
      </c>
      <c r="N20" s="111" t="s">
        <v>195</v>
      </c>
      <c r="O20" s="121">
        <f t="shared" si="2"/>
        <v>-17.850000000000001</v>
      </c>
      <c r="P20" s="115">
        <v>2</v>
      </c>
      <c r="Q20" s="103">
        <v>-35.700000000000003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6</v>
      </c>
      <c r="N21" s="111" t="s">
        <v>127</v>
      </c>
      <c r="O21" s="121">
        <f t="shared" si="2"/>
        <v>-19.850000000000001</v>
      </c>
      <c r="P21" s="115">
        <v>2</v>
      </c>
      <c r="Q21" s="103">
        <v>-39.700000000000003</v>
      </c>
    </row>
    <row r="22" spans="1:17" x14ac:dyDescent="0.4">
      <c r="A22" s="51" t="s">
        <v>170</v>
      </c>
      <c r="B22" s="44">
        <v>19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N22" s="111" t="s">
        <v>126</v>
      </c>
      <c r="O22" s="121">
        <f t="shared" si="2"/>
        <v>-57.4</v>
      </c>
      <c r="P22" s="115">
        <v>4</v>
      </c>
      <c r="Q22" s="103">
        <v>-229.6</v>
      </c>
    </row>
    <row r="23" spans="1:17" x14ac:dyDescent="0.4">
      <c r="A23" s="51" t="s">
        <v>5</v>
      </c>
      <c r="B23" s="48">
        <f>IF(B$17=0,0,C23/B$17)</f>
        <v>7782.9268292682927</v>
      </c>
      <c r="C23" s="39">
        <v>319100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8170.588235294118</v>
      </c>
      <c r="C24" s="137">
        <v>277800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5900</v>
      </c>
      <c r="C25" s="137">
        <v>41300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-6800</v>
      </c>
      <c r="C26" s="137">
        <v>-129200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4">
        <v>7</v>
      </c>
      <c r="C27" s="145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11</v>
      </c>
    </row>
    <row r="28" spans="1:17" x14ac:dyDescent="0.4">
      <c r="A28" s="54" t="s">
        <v>150</v>
      </c>
      <c r="B28" s="142">
        <v>95200</v>
      </c>
      <c r="C28" s="143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4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E8EFA-5FBE-4AA0-B217-74A1D86EA060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195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</v>
      </c>
      <c r="C2" s="151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2">
        <v>62</v>
      </c>
      <c r="C3" s="153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4">
        <v>-104.80000000000001</v>
      </c>
      <c r="C4" s="155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6">
        <f>IF(B$2=0,0,B$4/B$2)</f>
        <v>-14.971428571428573</v>
      </c>
      <c r="C5" s="157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6">
        <f>IF(B$2=0,0,(B$7*1+B$8*2+B$9*3)/B$2)</f>
        <v>2.1428571428571428</v>
      </c>
      <c r="C6" s="147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9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8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2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3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6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4">
        <v>4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2">
        <v>59500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4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0F58B-23C7-4D1F-A96B-F1A8166E7CC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222</v>
      </c>
      <c r="C1" s="149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2</v>
      </c>
      <c r="C2" s="151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2">
        <v>15</v>
      </c>
      <c r="C3" s="153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4">
        <v>26.2</v>
      </c>
      <c r="C4" s="155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6">
        <f>IF(B$2=0,0,B$4/B$2)</f>
        <v>13.1</v>
      </c>
      <c r="C5" s="157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6">
        <f>IF(B$2=0,0,(B$7*1+B$8*2+B$9*3)/B$2)</f>
        <v>1.5</v>
      </c>
      <c r="C6" s="147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11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3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6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6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4">
        <v>4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2">
        <v>52800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4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2E266-DC58-4F11-894D-64199DBCB0D1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B797-182E-40D3-B7D0-3B48FF81C949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C8623-AEA0-4824-A49A-696ED658C8EE}">
  <sheetPr codeName="Sheet22"/>
  <dimension ref="A1:Q1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A8BD-E6B9-4FE1-8EB3-D751B9130B53}">
  <sheetPr codeName="Sheet20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DC3D4-D0EE-4DF9-9BC9-603E040143C5}">
  <sheetPr codeName="Sheet18"/>
  <dimension ref="A1:Q5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08FEB-E76D-4F7B-A1CA-83ADE021F102}">
  <sheetPr codeName="Sheet16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66ADB-DA61-4808-AE47-20294378A5F1}">
  <sheetPr codeName="Sheet14"/>
  <dimension ref="A1:Q4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44D86-A0A3-49D9-8E5A-A9968A83A848}">
  <sheetPr codeName="Sheet12"/>
  <dimension ref="A1:Q7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41E3B-8C72-46E0-A784-A59FBF9D4827}">
  <sheetPr codeName="Sheet10"/>
  <dimension ref="A1:Q7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5889A-3A4D-471B-9FCA-924188515693}">
  <sheetPr codeName="Sheet8"/>
  <dimension ref="A1:Q3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B071-62ED-4098-B6CA-9EDE379C493C}">
  <sheetPr codeName="Sheet6"/>
  <dimension ref="A1:Q12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りくと</vt:lpstr>
      <vt:lpstr>ただ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2019-10-20T11:35:53Z</dcterms:modified>
</cp:coreProperties>
</file>