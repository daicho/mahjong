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9A8BC7FB-8CE0-4DE5-BE28-A4847473339D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33" r:id="rId6"/>
    <sheet name="たかの" sheetId="5835" r:id="rId7"/>
    <sheet name="だいち" sheetId="5837" r:id="rId8"/>
    <sheet name="ただ" sheetId="5839" r:id="rId9"/>
    <sheet name="りくと" sheetId="5841" r:id="rId10"/>
    <sheet name="れんたろう" sheetId="5843" r:id="rId11"/>
    <sheet name="まっつん" sheetId="5845" r:id="rId12"/>
    <sheet name="のり" sheetId="5847" r:id="rId13"/>
    <sheet name="ぱぱ" sheetId="5849" r:id="rId14"/>
    <sheet name="ほたに" sheetId="5851" r:id="rId15"/>
    <sheet name="いっしー" sheetId="5853" r:id="rId16"/>
    <sheet name="いっしー2" sheetId="5854" state="hidden" r:id="rId17"/>
    <sheet name="ほたに2" sheetId="5852" state="hidden" r:id="rId18"/>
    <sheet name="ぱぱ2" sheetId="5850" state="hidden" r:id="rId19"/>
    <sheet name="のり2" sheetId="5848" state="hidden" r:id="rId20"/>
    <sheet name="まっつん2" sheetId="5846" state="hidden" r:id="rId21"/>
    <sheet name="れんたろう2" sheetId="5844" state="hidden" r:id="rId22"/>
    <sheet name="りくと2" sheetId="5842" state="hidden" r:id="rId23"/>
    <sheet name="ただ2" sheetId="5840" state="hidden" r:id="rId24"/>
    <sheet name="だいち2" sheetId="5838" state="hidden" r:id="rId25"/>
    <sheet name="たかの2" sheetId="5836" state="hidden" r:id="rId26"/>
    <sheet name="全体2" sheetId="5834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45" l="1"/>
  <c r="O17" i="5853"/>
  <c r="O22" i="5837"/>
  <c r="O16" i="5853"/>
  <c r="O15" i="5853"/>
  <c r="C29" i="5853"/>
  <c r="B26" i="5853"/>
  <c r="B25" i="5853"/>
  <c r="C20" i="5853"/>
  <c r="B17" i="5853"/>
  <c r="H50" i="5853" s="1"/>
  <c r="C16" i="5853"/>
  <c r="C15" i="5853"/>
  <c r="C14" i="5853"/>
  <c r="C13" i="5853"/>
  <c r="O12" i="5853"/>
  <c r="C12" i="5853"/>
  <c r="O11" i="5853"/>
  <c r="C11" i="5853"/>
  <c r="O10" i="5853"/>
  <c r="C10" i="5853"/>
  <c r="C9" i="5853"/>
  <c r="C8" i="5853"/>
  <c r="O7" i="5853"/>
  <c r="C7" i="5853"/>
  <c r="O6" i="5853"/>
  <c r="B6" i="5853"/>
  <c r="O5" i="5853"/>
  <c r="B5" i="5853"/>
  <c r="O4" i="5853"/>
  <c r="O3" i="5853"/>
  <c r="O2" i="5853"/>
  <c r="O16" i="5847"/>
  <c r="O24" i="5833"/>
  <c r="H19" i="5853" l="1"/>
  <c r="H9" i="5853"/>
  <c r="H5" i="5853"/>
  <c r="H4" i="5853"/>
  <c r="C18" i="5853"/>
  <c r="H43" i="5853"/>
  <c r="H31" i="5853"/>
  <c r="H2" i="5853"/>
  <c r="H47" i="5853"/>
  <c r="C17" i="5853"/>
  <c r="H35" i="5853"/>
  <c r="H6" i="5853"/>
  <c r="H39" i="5853"/>
  <c r="H17" i="5853"/>
  <c r="B23" i="5853"/>
  <c r="H3" i="5853"/>
  <c r="H14" i="5853"/>
  <c r="H51" i="5853"/>
  <c r="H21" i="5853"/>
  <c r="H25" i="5853"/>
  <c r="H29" i="5853"/>
  <c r="H36" i="5853"/>
  <c r="H44" i="5853"/>
  <c r="H11" i="5853"/>
  <c r="H18" i="5853"/>
  <c r="C19" i="5853"/>
  <c r="B24" i="5853"/>
  <c r="H37" i="5853"/>
  <c r="H45" i="5853"/>
  <c r="H52" i="5853"/>
  <c r="H12" i="5853"/>
  <c r="H7" i="5853"/>
  <c r="H10" i="5853"/>
  <c r="H15" i="5853"/>
  <c r="H22" i="5853"/>
  <c r="H26" i="5853"/>
  <c r="H30" i="5853"/>
  <c r="H38" i="5853"/>
  <c r="H46" i="5853"/>
  <c r="H23" i="5853"/>
  <c r="H27" i="5853"/>
  <c r="H32" i="5853"/>
  <c r="H40" i="5853"/>
  <c r="H48" i="5853"/>
  <c r="H13" i="5853"/>
  <c r="H16" i="5853"/>
  <c r="H8" i="5853"/>
  <c r="H33" i="5853"/>
  <c r="H41" i="5853"/>
  <c r="H49" i="5853"/>
  <c r="H20" i="5853"/>
  <c r="H24" i="5853"/>
  <c r="H28" i="5853"/>
  <c r="H34" i="5853"/>
  <c r="H42" i="5853"/>
  <c r="O20" i="5835" l="1"/>
  <c r="O16" i="5843"/>
  <c r="O15" i="5843" l="1"/>
  <c r="O19" i="5851"/>
  <c r="O15" i="5841" l="1"/>
  <c r="O20" i="5847"/>
  <c r="O16" i="5851" l="1"/>
  <c r="O22" i="5841"/>
  <c r="O21" i="5835" l="1"/>
  <c r="O16" i="5837"/>
  <c r="O15" i="5847"/>
  <c r="O19" i="5847"/>
  <c r="O19" i="5845" l="1"/>
  <c r="O18" i="5849"/>
  <c r="O16" i="5839" l="1"/>
  <c r="O17" i="5845"/>
  <c r="O21" i="5847"/>
  <c r="O17" i="5847"/>
  <c r="O15" i="5835" l="1"/>
  <c r="O17" i="5849"/>
  <c r="O19" i="5849"/>
  <c r="O17" i="5841"/>
  <c r="O18" i="5839" l="1"/>
  <c r="O21" i="5843"/>
  <c r="O19" i="5843" l="1"/>
  <c r="O21" i="5837"/>
  <c r="O23" i="5847"/>
  <c r="O17" i="5851"/>
  <c r="O15" i="5851"/>
  <c r="O21" i="5849"/>
  <c r="O15" i="5839" l="1"/>
  <c r="O20" i="5839"/>
  <c r="O18" i="5851"/>
  <c r="O20" i="5851"/>
  <c r="C29" i="5851"/>
  <c r="B26" i="5851"/>
  <c r="B25" i="5851"/>
  <c r="C20" i="5851"/>
  <c r="B17" i="5851"/>
  <c r="H50" i="5851" s="1"/>
  <c r="C16" i="5851"/>
  <c r="C15" i="5851"/>
  <c r="C14" i="5851"/>
  <c r="C13" i="5851"/>
  <c r="O12" i="5851"/>
  <c r="C12" i="5851"/>
  <c r="O11" i="5851"/>
  <c r="C11" i="5851"/>
  <c r="O10" i="5851"/>
  <c r="C10" i="5851"/>
  <c r="C9" i="5851"/>
  <c r="C8" i="5851"/>
  <c r="O7" i="5851"/>
  <c r="C7" i="5851"/>
  <c r="O6" i="5851"/>
  <c r="B6" i="5851"/>
  <c r="O5" i="5851"/>
  <c r="B5" i="5851"/>
  <c r="O4" i="5851"/>
  <c r="O3" i="5851"/>
  <c r="O2" i="5851"/>
  <c r="O21" i="5845"/>
  <c r="O15" i="5845"/>
  <c r="O16" i="5833"/>
  <c r="H26" i="5851" l="1"/>
  <c r="H39" i="5851"/>
  <c r="H16" i="5851"/>
  <c r="B23" i="5851"/>
  <c r="H19" i="5851"/>
  <c r="H21" i="5851"/>
  <c r="H31" i="5851"/>
  <c r="H35" i="5851"/>
  <c r="H2" i="5851"/>
  <c r="H36" i="5851"/>
  <c r="H11" i="5851"/>
  <c r="H44" i="5851"/>
  <c r="H43" i="5851"/>
  <c r="C18" i="5851"/>
  <c r="H47" i="5851"/>
  <c r="H4" i="5851"/>
  <c r="C17" i="5851"/>
  <c r="H9" i="5851"/>
  <c r="H29" i="5851"/>
  <c r="H3" i="5851"/>
  <c r="H5" i="5851"/>
  <c r="H22" i="5851"/>
  <c r="H51" i="5851"/>
  <c r="H6" i="5851"/>
  <c r="H20" i="5851"/>
  <c r="C19" i="5851"/>
  <c r="B24" i="5851"/>
  <c r="H37" i="5851"/>
  <c r="H45" i="5851"/>
  <c r="H52" i="5851"/>
  <c r="H7" i="5851"/>
  <c r="H8" i="5851"/>
  <c r="H12" i="5851"/>
  <c r="H17" i="5851"/>
  <c r="H23" i="5851"/>
  <c r="H15" i="5851"/>
  <c r="H30" i="5851"/>
  <c r="H38" i="5851"/>
  <c r="H46" i="5851"/>
  <c r="H24" i="5851"/>
  <c r="H27" i="5851"/>
  <c r="H32" i="5851"/>
  <c r="H40" i="5851"/>
  <c r="H48" i="5851"/>
  <c r="H10" i="5851"/>
  <c r="H18" i="5851"/>
  <c r="H14" i="5851"/>
  <c r="H33" i="5851"/>
  <c r="H41" i="5851"/>
  <c r="H49" i="5851"/>
  <c r="H13" i="5851"/>
  <c r="H25" i="5851"/>
  <c r="H28" i="5851"/>
  <c r="H34" i="5851"/>
  <c r="H42" i="5851"/>
  <c r="O17" i="5837" l="1"/>
  <c r="O21" i="5841"/>
  <c r="O18" i="5837" l="1"/>
  <c r="O20" i="5845"/>
  <c r="O22" i="5845"/>
  <c r="O16" i="5835"/>
  <c r="O19" i="5839"/>
  <c r="O16" i="5841"/>
  <c r="O19" i="5841"/>
  <c r="O19" i="5835"/>
  <c r="O17" i="5839"/>
  <c r="O15" i="5837"/>
  <c r="O20" i="5849"/>
  <c r="O22" i="5849"/>
  <c r="O22" i="5843" l="1"/>
  <c r="O17" i="5843"/>
  <c r="O15" i="5849"/>
  <c r="O16" i="5849"/>
  <c r="C29" i="5849"/>
  <c r="B26" i="5849"/>
  <c r="B25" i="5849"/>
  <c r="C20" i="5849"/>
  <c r="B17" i="5849"/>
  <c r="H6" i="5849" s="1"/>
  <c r="C16" i="5849"/>
  <c r="C15" i="5849"/>
  <c r="C14" i="5849"/>
  <c r="C13" i="5849"/>
  <c r="O12" i="5849"/>
  <c r="C12" i="5849"/>
  <c r="O11" i="5849"/>
  <c r="C11" i="5849"/>
  <c r="O10" i="5849"/>
  <c r="C10" i="5849"/>
  <c r="C9" i="5849"/>
  <c r="C8" i="5849"/>
  <c r="O7" i="5849"/>
  <c r="C7" i="5849"/>
  <c r="O6" i="5849"/>
  <c r="B6" i="5849"/>
  <c r="O5" i="5849"/>
  <c r="B5" i="5849"/>
  <c r="O4" i="5849"/>
  <c r="O3" i="5849"/>
  <c r="O2" i="5849"/>
  <c r="O15" i="5833"/>
  <c r="O18" i="5847"/>
  <c r="O22" i="5847"/>
  <c r="C29" i="5847"/>
  <c r="B26" i="5847"/>
  <c r="B25" i="5847"/>
  <c r="C20" i="5847"/>
  <c r="B17" i="5847"/>
  <c r="H50" i="5847" s="1"/>
  <c r="C16" i="5847"/>
  <c r="C15" i="5847"/>
  <c r="C14" i="5847"/>
  <c r="C13" i="5847"/>
  <c r="O12" i="5847"/>
  <c r="C12" i="5847"/>
  <c r="O11" i="5847"/>
  <c r="C11" i="5847"/>
  <c r="O10" i="5847"/>
  <c r="C10" i="5847"/>
  <c r="C9" i="5847"/>
  <c r="C8" i="5847"/>
  <c r="O7" i="5847"/>
  <c r="C7" i="5847"/>
  <c r="O6" i="5847"/>
  <c r="B6" i="5847"/>
  <c r="O5" i="5847"/>
  <c r="B5" i="5847"/>
  <c r="O4" i="5847"/>
  <c r="O3" i="5847"/>
  <c r="O2" i="5847"/>
  <c r="O19" i="5833"/>
  <c r="H4" i="5849" l="1"/>
  <c r="H13" i="5849"/>
  <c r="H39" i="5849"/>
  <c r="H21" i="5849"/>
  <c r="H9" i="5849"/>
  <c r="H14" i="5849"/>
  <c r="H40" i="5849"/>
  <c r="H11" i="5849"/>
  <c r="C17" i="5849"/>
  <c r="H42" i="5849"/>
  <c r="C19" i="5849"/>
  <c r="H46" i="5849"/>
  <c r="H31" i="5849"/>
  <c r="H47" i="5849"/>
  <c r="H15" i="5849"/>
  <c r="H32" i="5849"/>
  <c r="H48" i="5849"/>
  <c r="H5" i="5849"/>
  <c r="H8" i="5849"/>
  <c r="H27" i="5849"/>
  <c r="H50" i="5849"/>
  <c r="H2" i="5849"/>
  <c r="H16" i="5849"/>
  <c r="H7" i="5849"/>
  <c r="H23" i="5849"/>
  <c r="H34" i="5849"/>
  <c r="H3" i="5849"/>
  <c r="H10" i="5849"/>
  <c r="B24" i="5849"/>
  <c r="H38" i="5849"/>
  <c r="H52" i="5849"/>
  <c r="H26" i="5849"/>
  <c r="H18" i="5849"/>
  <c r="H33" i="5849"/>
  <c r="H41" i="5849"/>
  <c r="H49" i="5849"/>
  <c r="H24" i="5849"/>
  <c r="H28" i="5849"/>
  <c r="H29" i="5849"/>
  <c r="H35" i="5849"/>
  <c r="H43" i="5849"/>
  <c r="H51" i="5849"/>
  <c r="H20" i="5849"/>
  <c r="H22" i="5849"/>
  <c r="C18" i="5849"/>
  <c r="B23" i="5849"/>
  <c r="H12" i="5849"/>
  <c r="H36" i="5849"/>
  <c r="H44" i="5849"/>
  <c r="H19" i="5849"/>
  <c r="H25" i="5849"/>
  <c r="H17" i="5849"/>
  <c r="H30" i="5849"/>
  <c r="H37" i="5849"/>
  <c r="H45" i="5849"/>
  <c r="B23" i="5847"/>
  <c r="H21" i="5847"/>
  <c r="H13" i="5847"/>
  <c r="H43" i="5847"/>
  <c r="H47" i="5847"/>
  <c r="H2" i="5847"/>
  <c r="H19" i="5847"/>
  <c r="H51" i="5847"/>
  <c r="H17" i="5847"/>
  <c r="H8" i="5847"/>
  <c r="H5" i="5847"/>
  <c r="C17" i="5847"/>
  <c r="H32" i="5847"/>
  <c r="C18" i="5847"/>
  <c r="H35" i="5847"/>
  <c r="H4" i="5847"/>
  <c r="H3" i="5847"/>
  <c r="H39" i="5847"/>
  <c r="H24" i="5847"/>
  <c r="H27" i="5847"/>
  <c r="H30" i="5847"/>
  <c r="H36" i="5847"/>
  <c r="H44" i="5847"/>
  <c r="H6" i="5847"/>
  <c r="H22" i="5847"/>
  <c r="C19" i="5847"/>
  <c r="B24" i="5847"/>
  <c r="H37" i="5847"/>
  <c r="H45" i="5847"/>
  <c r="H52" i="5847"/>
  <c r="H9" i="5847"/>
  <c r="H7" i="5847"/>
  <c r="H10" i="5847"/>
  <c r="H16" i="5847"/>
  <c r="H15" i="5847"/>
  <c r="H14" i="5847"/>
  <c r="H31" i="5847"/>
  <c r="H38" i="5847"/>
  <c r="H46" i="5847"/>
  <c r="H25" i="5847"/>
  <c r="H28" i="5847"/>
  <c r="H33" i="5847"/>
  <c r="H40" i="5847"/>
  <c r="H48" i="5847"/>
  <c r="H12" i="5847"/>
  <c r="H20" i="5847"/>
  <c r="H11" i="5847"/>
  <c r="H34" i="5847"/>
  <c r="H41" i="5847"/>
  <c r="H49" i="5847"/>
  <c r="H23" i="5847"/>
  <c r="H26" i="5847"/>
  <c r="H29" i="5847"/>
  <c r="H18" i="5847"/>
  <c r="H42" i="5847"/>
  <c r="O23" i="5845" l="1"/>
  <c r="O18" i="5845"/>
  <c r="C29" i="5845"/>
  <c r="B26" i="5845"/>
  <c r="B25" i="5845"/>
  <c r="C20" i="5845"/>
  <c r="B17" i="5845"/>
  <c r="H5" i="5845" s="1"/>
  <c r="C16" i="5845"/>
  <c r="C15" i="5845"/>
  <c r="C14" i="5845"/>
  <c r="C13" i="5845"/>
  <c r="O12" i="5845"/>
  <c r="C12" i="5845"/>
  <c r="O11" i="5845"/>
  <c r="C11" i="5845"/>
  <c r="O10" i="5845"/>
  <c r="C10" i="5845"/>
  <c r="C9" i="5845"/>
  <c r="C8" i="5845"/>
  <c r="O7" i="5845"/>
  <c r="C7" i="5845"/>
  <c r="O6" i="5845"/>
  <c r="B6" i="5845"/>
  <c r="O5" i="5845"/>
  <c r="B5" i="5845"/>
  <c r="O4" i="5845"/>
  <c r="O3" i="5845"/>
  <c r="O2" i="5845"/>
  <c r="O20" i="5843"/>
  <c r="O18" i="5843"/>
  <c r="C29" i="5843"/>
  <c r="B26" i="5843"/>
  <c r="B25" i="5843"/>
  <c r="C20" i="5843"/>
  <c r="B17" i="5843"/>
  <c r="H51" i="5843" s="1"/>
  <c r="C16" i="5843"/>
  <c r="C15" i="5843"/>
  <c r="C14" i="5843"/>
  <c r="C13" i="5843"/>
  <c r="O12" i="5843"/>
  <c r="C12" i="5843"/>
  <c r="O11" i="5843"/>
  <c r="C11" i="5843"/>
  <c r="O10" i="5843"/>
  <c r="C10" i="5843"/>
  <c r="C9" i="5843"/>
  <c r="C8" i="5843"/>
  <c r="O7" i="5843"/>
  <c r="C7" i="5843"/>
  <c r="O6" i="5843"/>
  <c r="B6" i="5843"/>
  <c r="O5" i="5843"/>
  <c r="B5" i="5843"/>
  <c r="O4" i="5843"/>
  <c r="O3" i="5843"/>
  <c r="O2" i="5843"/>
  <c r="O17" i="5833"/>
  <c r="O20" i="5841"/>
  <c r="O18" i="5841"/>
  <c r="C29" i="5841"/>
  <c r="B26" i="5841"/>
  <c r="B25" i="5841"/>
  <c r="C20" i="5841"/>
  <c r="B17" i="5841"/>
  <c r="H51" i="5841" s="1"/>
  <c r="C16" i="5841"/>
  <c r="C15" i="5841"/>
  <c r="C14" i="5841"/>
  <c r="C13" i="5841"/>
  <c r="O12" i="5841"/>
  <c r="C12" i="5841"/>
  <c r="O11" i="5841"/>
  <c r="C11" i="5841"/>
  <c r="O10" i="5841"/>
  <c r="C10" i="5841"/>
  <c r="C9" i="5841"/>
  <c r="C8" i="5841"/>
  <c r="O7" i="5841"/>
  <c r="C7" i="5841"/>
  <c r="O6" i="5841"/>
  <c r="B6" i="5841"/>
  <c r="O5" i="5841"/>
  <c r="B5" i="5841"/>
  <c r="O4" i="5841"/>
  <c r="O3" i="5841"/>
  <c r="O2" i="5841"/>
  <c r="O20" i="5833"/>
  <c r="O22" i="5833"/>
  <c r="H44" i="5841" l="1"/>
  <c r="H21" i="5843"/>
  <c r="H33" i="5845"/>
  <c r="H18" i="5845"/>
  <c r="H28" i="5841"/>
  <c r="H5" i="5841"/>
  <c r="H21" i="5841"/>
  <c r="H2" i="5841"/>
  <c r="H8" i="5841"/>
  <c r="H31" i="5841"/>
  <c r="C17" i="5841"/>
  <c r="C18" i="5841"/>
  <c r="H36" i="5841"/>
  <c r="H11" i="5841"/>
  <c r="H7" i="5841"/>
  <c r="H25" i="5841"/>
  <c r="H3" i="5841"/>
  <c r="H4" i="5841"/>
  <c r="H23" i="5841"/>
  <c r="B23" i="5841"/>
  <c r="H37" i="5841"/>
  <c r="H39" i="5845"/>
  <c r="H20" i="5845"/>
  <c r="H15" i="5845"/>
  <c r="H31" i="5845"/>
  <c r="H7" i="5845"/>
  <c r="C17" i="5845"/>
  <c r="H41" i="5845"/>
  <c r="H43" i="5845"/>
  <c r="C19" i="5845"/>
  <c r="H46" i="5845"/>
  <c r="H10" i="5845"/>
  <c r="H13" i="5845"/>
  <c r="H26" i="5845"/>
  <c r="H48" i="5845"/>
  <c r="H40" i="5845"/>
  <c r="H12" i="5845"/>
  <c r="H3" i="5845"/>
  <c r="H14" i="5845"/>
  <c r="H23" i="5845"/>
  <c r="H2" i="5845"/>
  <c r="H8" i="5845"/>
  <c r="H19" i="5845"/>
  <c r="H28" i="5845"/>
  <c r="H24" i="5845"/>
  <c r="H51" i="5845"/>
  <c r="B24" i="5845"/>
  <c r="H36" i="5845"/>
  <c r="H52" i="5845"/>
  <c r="H47" i="5845"/>
  <c r="H30" i="5845"/>
  <c r="H22" i="5845"/>
  <c r="H34" i="5845"/>
  <c r="H25" i="5845"/>
  <c r="H49" i="5845"/>
  <c r="H35" i="5845"/>
  <c r="H42" i="5845"/>
  <c r="H50" i="5845"/>
  <c r="H6" i="5845"/>
  <c r="H17" i="5845"/>
  <c r="H27" i="5845"/>
  <c r="C18" i="5845"/>
  <c r="B23" i="5845"/>
  <c r="H9" i="5845"/>
  <c r="H37" i="5845"/>
  <c r="H44" i="5845"/>
  <c r="H16" i="5845"/>
  <c r="H4" i="5845"/>
  <c r="H11" i="5845"/>
  <c r="H29" i="5845"/>
  <c r="H21" i="5845"/>
  <c r="H32" i="5845"/>
  <c r="H38" i="5845"/>
  <c r="H45" i="5845"/>
  <c r="H19" i="5843"/>
  <c r="B23" i="5843"/>
  <c r="H2" i="5843"/>
  <c r="H44" i="5843"/>
  <c r="H17" i="5843"/>
  <c r="H11" i="5843"/>
  <c r="C18" i="5843"/>
  <c r="H48" i="5843"/>
  <c r="C17" i="5843"/>
  <c r="H5" i="5843"/>
  <c r="H12" i="5843"/>
  <c r="H8" i="5843"/>
  <c r="H4" i="5843"/>
  <c r="H3" i="5843"/>
  <c r="H29" i="5843"/>
  <c r="H36" i="5843"/>
  <c r="H26" i="5843"/>
  <c r="H40" i="5843"/>
  <c r="H22" i="5843"/>
  <c r="H23" i="5843"/>
  <c r="H37" i="5843"/>
  <c r="H45" i="5843"/>
  <c r="H6" i="5843"/>
  <c r="H27" i="5843"/>
  <c r="C19" i="5843"/>
  <c r="B24" i="5843"/>
  <c r="H38" i="5843"/>
  <c r="H46" i="5843"/>
  <c r="H52" i="5843"/>
  <c r="H10" i="5843"/>
  <c r="H7" i="5843"/>
  <c r="H13" i="5843"/>
  <c r="H25" i="5843"/>
  <c r="H15" i="5843"/>
  <c r="H16" i="5843"/>
  <c r="H18" i="5843"/>
  <c r="H39" i="5843"/>
  <c r="H47" i="5843"/>
  <c r="H30" i="5843"/>
  <c r="H32" i="5843"/>
  <c r="H24" i="5843"/>
  <c r="H41" i="5843"/>
  <c r="H49" i="5843"/>
  <c r="H9" i="5843"/>
  <c r="H20" i="5843"/>
  <c r="H14" i="5843"/>
  <c r="H34" i="5843"/>
  <c r="H42" i="5843"/>
  <c r="H50" i="5843"/>
  <c r="H28" i="5843"/>
  <c r="H31" i="5843"/>
  <c r="H33" i="5843"/>
  <c r="H35" i="5843"/>
  <c r="H43" i="5843"/>
  <c r="H45" i="5841"/>
  <c r="H17" i="5841"/>
  <c r="H24" i="5841"/>
  <c r="C19" i="5841"/>
  <c r="B24" i="5841"/>
  <c r="H38" i="5841"/>
  <c r="H46" i="5841"/>
  <c r="H52" i="5841"/>
  <c r="H10" i="5841"/>
  <c r="H6" i="5841"/>
  <c r="H13" i="5841"/>
  <c r="H22" i="5841"/>
  <c r="H16" i="5841"/>
  <c r="H15" i="5841"/>
  <c r="H20" i="5841"/>
  <c r="H39" i="5841"/>
  <c r="H47" i="5841"/>
  <c r="H14" i="5841"/>
  <c r="H32" i="5841"/>
  <c r="H40" i="5841"/>
  <c r="H48" i="5841"/>
  <c r="H26" i="5841"/>
  <c r="H34" i="5841"/>
  <c r="H42" i="5841"/>
  <c r="H50" i="5841"/>
  <c r="H29" i="5841"/>
  <c r="H33" i="5841"/>
  <c r="H41" i="5841"/>
  <c r="H49" i="5841"/>
  <c r="H9" i="5841"/>
  <c r="H18" i="5841"/>
  <c r="H12" i="5841"/>
  <c r="H19" i="5841"/>
  <c r="H27" i="5841"/>
  <c r="H30" i="5841"/>
  <c r="H35" i="5841"/>
  <c r="H43" i="5841"/>
  <c r="O22" i="5839" l="1"/>
  <c r="O21" i="5839"/>
  <c r="C29" i="5839"/>
  <c r="B26" i="5839"/>
  <c r="B25" i="5839"/>
  <c r="C20" i="5839"/>
  <c r="B17" i="5839"/>
  <c r="H23" i="5839" s="1"/>
  <c r="C16" i="5839"/>
  <c r="C15" i="5839"/>
  <c r="C14" i="5839"/>
  <c r="C13" i="5839"/>
  <c r="O12" i="5839"/>
  <c r="C12" i="5839"/>
  <c r="O11" i="5839"/>
  <c r="C11" i="5839"/>
  <c r="O10" i="5839"/>
  <c r="C10" i="5839"/>
  <c r="C9" i="5839"/>
  <c r="C8" i="5839"/>
  <c r="O7" i="5839"/>
  <c r="C7" i="5839"/>
  <c r="O6" i="5839"/>
  <c r="B6" i="5839"/>
  <c r="O5" i="5839"/>
  <c r="B5" i="5839"/>
  <c r="O4" i="5839"/>
  <c r="O3" i="5839"/>
  <c r="O2" i="5839"/>
  <c r="O20" i="5837"/>
  <c r="O19" i="5837"/>
  <c r="C29" i="5837"/>
  <c r="B26" i="5837"/>
  <c r="B25" i="5837"/>
  <c r="C20" i="5837"/>
  <c r="B17" i="5837"/>
  <c r="H15" i="5837" s="1"/>
  <c r="C16" i="5837"/>
  <c r="C15" i="5837"/>
  <c r="C14" i="5837"/>
  <c r="C13" i="5837"/>
  <c r="O12" i="5837"/>
  <c r="C12" i="5837"/>
  <c r="O11" i="5837"/>
  <c r="C11" i="5837"/>
  <c r="O10" i="5837"/>
  <c r="C10" i="5837"/>
  <c r="C9" i="5837"/>
  <c r="C8" i="5837"/>
  <c r="O7" i="5837"/>
  <c r="C7" i="5837"/>
  <c r="O6" i="5837"/>
  <c r="B6" i="5837"/>
  <c r="O5" i="5837"/>
  <c r="B5" i="5837"/>
  <c r="O4" i="5837"/>
  <c r="O3" i="5837"/>
  <c r="O2" i="5837"/>
  <c r="O18" i="5833"/>
  <c r="O18" i="5835"/>
  <c r="O17" i="5835"/>
  <c r="C29" i="5835"/>
  <c r="B26" i="5835"/>
  <c r="B25" i="5835"/>
  <c r="C20" i="5835"/>
  <c r="B17" i="5835"/>
  <c r="H51" i="5835" s="1"/>
  <c r="C16" i="5835"/>
  <c r="C15" i="5835"/>
  <c r="C14" i="5835"/>
  <c r="C13" i="5835"/>
  <c r="O12" i="5835"/>
  <c r="C12" i="5835"/>
  <c r="O11" i="5835"/>
  <c r="C11" i="5835"/>
  <c r="O10" i="5835"/>
  <c r="C10" i="5835"/>
  <c r="C9" i="5835"/>
  <c r="C8" i="5835"/>
  <c r="O7" i="5835"/>
  <c r="C7" i="5835"/>
  <c r="O6" i="5835"/>
  <c r="B6" i="5835"/>
  <c r="O5" i="5835"/>
  <c r="B5" i="5835"/>
  <c r="O4" i="5835"/>
  <c r="O3" i="5835"/>
  <c r="O2" i="5835"/>
  <c r="O21" i="5833"/>
  <c r="O23" i="5833"/>
  <c r="C29" i="5833"/>
  <c r="B26" i="5833"/>
  <c r="B25" i="5833"/>
  <c r="C20" i="5833"/>
  <c r="B17" i="5833"/>
  <c r="H50" i="5833" s="1"/>
  <c r="C16" i="5833"/>
  <c r="C15" i="5833"/>
  <c r="C14" i="5833"/>
  <c r="C13" i="5833"/>
  <c r="O12" i="5833"/>
  <c r="C12" i="5833"/>
  <c r="O11" i="5833"/>
  <c r="C11" i="5833"/>
  <c r="O10" i="5833"/>
  <c r="C10" i="5833"/>
  <c r="C9" i="5833"/>
  <c r="C8" i="5833"/>
  <c r="O7" i="5833"/>
  <c r="C7" i="5833"/>
  <c r="O6" i="5833"/>
  <c r="B6" i="5833"/>
  <c r="O5" i="5833"/>
  <c r="B5" i="5833"/>
  <c r="O4" i="5833"/>
  <c r="O3" i="5833"/>
  <c r="O2" i="5833"/>
  <c r="H3" i="5837" l="1"/>
  <c r="H3" i="5839"/>
  <c r="H5" i="5839"/>
  <c r="C17" i="5839"/>
  <c r="H2" i="5839"/>
  <c r="H12" i="5839"/>
  <c r="H28" i="5839"/>
  <c r="H33" i="5839"/>
  <c r="H4" i="5839"/>
  <c r="H27" i="5839"/>
  <c r="B24" i="5839"/>
  <c r="H52" i="5839"/>
  <c r="H10" i="5839"/>
  <c r="H6" i="5839"/>
  <c r="H11" i="5839"/>
  <c r="H19" i="5839"/>
  <c r="H17" i="5839"/>
  <c r="H13" i="5839"/>
  <c r="H15" i="5839"/>
  <c r="H39" i="5839"/>
  <c r="H47" i="5839"/>
  <c r="H30" i="5839"/>
  <c r="H37" i="5839"/>
  <c r="H45" i="5839"/>
  <c r="C19" i="5839"/>
  <c r="H38" i="5839"/>
  <c r="H46" i="5839"/>
  <c r="H16" i="5839"/>
  <c r="H21" i="5839"/>
  <c r="H40" i="5839"/>
  <c r="H48" i="5839"/>
  <c r="H31" i="5839"/>
  <c r="H41" i="5839"/>
  <c r="H8" i="5839"/>
  <c r="H25" i="5839"/>
  <c r="H50" i="5839"/>
  <c r="H18" i="5839"/>
  <c r="H20" i="5839"/>
  <c r="H32" i="5839"/>
  <c r="H22" i="5839"/>
  <c r="H43" i="5839"/>
  <c r="H51" i="5839"/>
  <c r="H29" i="5839"/>
  <c r="H34" i="5839"/>
  <c r="H49" i="5839"/>
  <c r="H14" i="5839"/>
  <c r="H35" i="5839"/>
  <c r="H42" i="5839"/>
  <c r="H7" i="5839"/>
  <c r="H24" i="5839"/>
  <c r="H26" i="5839"/>
  <c r="C18" i="5839"/>
  <c r="B23" i="5839"/>
  <c r="H9" i="5839"/>
  <c r="H36" i="5839"/>
  <c r="H44" i="5839"/>
  <c r="H25" i="5837"/>
  <c r="H4" i="5837"/>
  <c r="H26" i="5837"/>
  <c r="C17" i="5837"/>
  <c r="H37" i="5837"/>
  <c r="H2" i="5837"/>
  <c r="H31" i="5837"/>
  <c r="H45" i="5837"/>
  <c r="H12" i="5837"/>
  <c r="H5" i="5837"/>
  <c r="H17" i="5837"/>
  <c r="C19" i="5837"/>
  <c r="B24" i="5837"/>
  <c r="H38" i="5837"/>
  <c r="H46" i="5837"/>
  <c r="H52" i="5837"/>
  <c r="H10" i="5837"/>
  <c r="H6" i="5837"/>
  <c r="H11" i="5837"/>
  <c r="H22" i="5837"/>
  <c r="H24" i="5837"/>
  <c r="H14" i="5837"/>
  <c r="H27" i="5837"/>
  <c r="H39" i="5837"/>
  <c r="H47" i="5837"/>
  <c r="H16" i="5837"/>
  <c r="H21" i="5837"/>
  <c r="H40" i="5837"/>
  <c r="H48" i="5837"/>
  <c r="H33" i="5837"/>
  <c r="H34" i="5837"/>
  <c r="H49" i="5837"/>
  <c r="H8" i="5837"/>
  <c r="H19" i="5837"/>
  <c r="H13" i="5837"/>
  <c r="H35" i="5837"/>
  <c r="H23" i="5837"/>
  <c r="H18" i="5837"/>
  <c r="H20" i="5837"/>
  <c r="H28" i="5837"/>
  <c r="H43" i="5837"/>
  <c r="H51" i="5837"/>
  <c r="H32" i="5837"/>
  <c r="H41" i="5837"/>
  <c r="H42" i="5837"/>
  <c r="H50" i="5837"/>
  <c r="H7" i="5837"/>
  <c r="H29" i="5837"/>
  <c r="H30" i="5837"/>
  <c r="C18" i="5837"/>
  <c r="B23" i="5837"/>
  <c r="H9" i="5837"/>
  <c r="H36" i="5837"/>
  <c r="H44" i="5837"/>
  <c r="B24" i="5835"/>
  <c r="H20" i="5835"/>
  <c r="H12" i="5835"/>
  <c r="H3" i="5835"/>
  <c r="H39" i="5835"/>
  <c r="H24" i="5835"/>
  <c r="H36" i="5835"/>
  <c r="H37" i="5835"/>
  <c r="H2" i="5835"/>
  <c r="H29" i="5835"/>
  <c r="H44" i="5835"/>
  <c r="H31" i="5835"/>
  <c r="H47" i="5835"/>
  <c r="H8" i="5835"/>
  <c r="H45" i="5835"/>
  <c r="H10" i="5835"/>
  <c r="H26" i="5835"/>
  <c r="H4" i="5835"/>
  <c r="C17" i="5835"/>
  <c r="H6" i="5835"/>
  <c r="H5" i="5835"/>
  <c r="C19" i="5835"/>
  <c r="H32" i="5835"/>
  <c r="H52" i="5835"/>
  <c r="H18" i="5835"/>
  <c r="H14" i="5835"/>
  <c r="H15" i="5835"/>
  <c r="H16" i="5835"/>
  <c r="H38" i="5835"/>
  <c r="H46" i="5835"/>
  <c r="H33" i="5835"/>
  <c r="H41" i="5835"/>
  <c r="H49" i="5835"/>
  <c r="H30" i="5835"/>
  <c r="H48" i="5835"/>
  <c r="H19" i="5835"/>
  <c r="H11" i="5835"/>
  <c r="H25" i="5835"/>
  <c r="H28" i="5835"/>
  <c r="H17" i="5835"/>
  <c r="H34" i="5835"/>
  <c r="H42" i="5835"/>
  <c r="H50" i="5835"/>
  <c r="H27" i="5835"/>
  <c r="H21" i="5835"/>
  <c r="H40" i="5835"/>
  <c r="H7" i="5835"/>
  <c r="H9" i="5835"/>
  <c r="H22" i="5835"/>
  <c r="H23" i="5835"/>
  <c r="C18" i="5835"/>
  <c r="B23" i="5835"/>
  <c r="H13" i="5835"/>
  <c r="H35" i="5835"/>
  <c r="H43" i="5835"/>
  <c r="H26" i="5833"/>
  <c r="H13" i="5833"/>
  <c r="H3" i="5833"/>
  <c r="H8" i="5833"/>
  <c r="H15" i="5833"/>
  <c r="H2" i="5833"/>
  <c r="C17" i="5833"/>
  <c r="H22" i="5833"/>
  <c r="H19" i="5833"/>
  <c r="H41" i="5833"/>
  <c r="H20" i="5833"/>
  <c r="H48" i="5833"/>
  <c r="H23" i="5833"/>
  <c r="H28" i="5833"/>
  <c r="H43" i="5833"/>
  <c r="H51" i="5833"/>
  <c r="H7" i="5833"/>
  <c r="H24" i="5833"/>
  <c r="H33" i="5833"/>
  <c r="C18" i="5833"/>
  <c r="B23" i="5833"/>
  <c r="H9" i="5833"/>
  <c r="H37" i="5833"/>
  <c r="H44" i="5833"/>
  <c r="H16" i="5833"/>
  <c r="H4" i="5833"/>
  <c r="H11" i="5833"/>
  <c r="H34" i="5833"/>
  <c r="H27" i="5833"/>
  <c r="H30" i="5833"/>
  <c r="H38" i="5833"/>
  <c r="H45" i="5833"/>
  <c r="H5" i="5833"/>
  <c r="H25" i="5833"/>
  <c r="C19" i="5833"/>
  <c r="B24" i="5833"/>
  <c r="H39" i="5833"/>
  <c r="H46" i="5833"/>
  <c r="H52" i="5833"/>
  <c r="H10" i="5833"/>
  <c r="H6" i="5833"/>
  <c r="H12" i="5833"/>
  <c r="H21" i="5833"/>
  <c r="H17" i="5833"/>
  <c r="H14" i="5833"/>
  <c r="H18" i="5833"/>
  <c r="H40" i="5833"/>
  <c r="H47" i="5833"/>
  <c r="H35" i="5833"/>
  <c r="H29" i="5833"/>
  <c r="H31" i="5833"/>
  <c r="H32" i="5833"/>
  <c r="H49" i="5833"/>
  <c r="H36" i="5833"/>
  <c r="H42" i="5833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<sst xmlns="http://schemas.openxmlformats.org/spreadsheetml/2006/main" count="2812" uniqueCount="236">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</sst>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全体!$K$2:$K$479</c:f>
              <c:numCache>
                <c:formatCode>General</c:formatCode>
                <c:ptCount val="4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</c:numCache>
            </c:numRef>
          </c:xVal>
          <c:yVal>
            <c:numRef>
              <c:f>全体!$L$2:$L$479</c:f>
              <c:numCache>
                <c:formatCode>\+0.0;\-0.0;\±0</c:formatCode>
                <c:ptCount val="478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7-419D-842B-C96C2535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-21.09704641350211</c:v>
                </c:pt>
                <c:pt idx="1">
                  <c:v>6.4935064935064934</c:v>
                </c:pt>
                <c:pt idx="2">
                  <c:v>-18.140589569160998</c:v>
                </c:pt>
                <c:pt idx="3">
                  <c:v>14.388489208633093</c:v>
                </c:pt>
                <c:pt idx="4">
                  <c:v>10.178117048346056</c:v>
                </c:pt>
                <c:pt idx="5">
                  <c:v>15.015015015015015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D2-4722-B206-42106FCD6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たかの!$L$2:$L$46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AA-450F-AF81-A0A658136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1477.2727272727273</c:v>
                </c:pt>
                <c:pt idx="1">
                  <c:v>-646.51162790697674</c:v>
                </c:pt>
                <c:pt idx="2">
                  <c:v>-751.21951219512198</c:v>
                </c:pt>
                <c:pt idx="3">
                  <c:v>-1558.5365853658536</c:v>
                </c:pt>
                <c:pt idx="4">
                  <c:v>-85.365853658536579</c:v>
                </c:pt>
                <c:pt idx="5">
                  <c:v>-1571.4285714285713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5-452F-922D-C95193A71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だいち!$L$2:$L$98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9-4848-853E-CB8E83E96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758.9473684210526</c:v>
                </c:pt>
                <c:pt idx="1">
                  <c:v>-86.956521739130437</c:v>
                </c:pt>
                <c:pt idx="2">
                  <c:v>-136.66666666666666</c:v>
                </c:pt>
                <c:pt idx="3">
                  <c:v>-270.73170731707319</c:v>
                </c:pt>
                <c:pt idx="4">
                  <c:v>2202.5641025641025</c:v>
                </c:pt>
                <c:pt idx="5">
                  <c:v>3040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8-4DAE-A22D-981013C43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ただ!$L$2:$L$88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4-41A5-BFD2-B8CFD2684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-2056.4705882352941</c:v>
                </c:pt>
                <c:pt idx="1">
                  <c:v>1404.8192771084337</c:v>
                </c:pt>
                <c:pt idx="2">
                  <c:v>483.54430379746833</c:v>
                </c:pt>
                <c:pt idx="3">
                  <c:v>2248.6486486486488</c:v>
                </c:pt>
                <c:pt idx="4">
                  <c:v>248.57142857142858</c:v>
                </c:pt>
                <c:pt idx="5">
                  <c:v>1613.5593220338983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4-42D3-BEA1-60360FBAB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りくと!$L$2:$L$61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45-4A87-9712-B814D4F80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-727.58620689655174</c:v>
                </c:pt>
                <c:pt idx="1">
                  <c:v>-43.103448275862071</c:v>
                </c:pt>
                <c:pt idx="2">
                  <c:v>870.90909090909088</c:v>
                </c:pt>
                <c:pt idx="3">
                  <c:v>-1514.8148148148148</c:v>
                </c:pt>
                <c:pt idx="4">
                  <c:v>-3455.7692307692309</c:v>
                </c:pt>
                <c:pt idx="5">
                  <c:v>-1178.2608695652175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EB-441A-A125-9C16801CF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れんたろう!$L$2:$L$57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57-4868-AF45-FBAE9D59A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2305.4545454545455</c:v>
                </c:pt>
                <c:pt idx="1">
                  <c:v>-2184.9056603773583</c:v>
                </c:pt>
                <c:pt idx="2">
                  <c:v>2293.8775510204082</c:v>
                </c:pt>
                <c:pt idx="3">
                  <c:v>2506.521739130435</c:v>
                </c:pt>
                <c:pt idx="4">
                  <c:v>-934.88372093023258</c:v>
                </c:pt>
                <c:pt idx="5">
                  <c:v>-388.88888888888891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86-4229-9E6E-22BA0342B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まっつん!$L$2:$L$79</c:f>
              <c:numCache>
                <c:formatCode>\+0.0;\-0.0;\±0</c:formatCode>
                <c:ptCount val="78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33-4984-B703-C7F521227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1089.6103896103896</c:v>
                </c:pt>
                <c:pt idx="1">
                  <c:v>831.08108108108104</c:v>
                </c:pt>
                <c:pt idx="2">
                  <c:v>-1097.1014492753623</c:v>
                </c:pt>
                <c:pt idx="3">
                  <c:v>323.8095238095238</c:v>
                </c:pt>
                <c:pt idx="4">
                  <c:v>-540.35087719298247</c:v>
                </c:pt>
                <c:pt idx="5">
                  <c:v>-1202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2C-4E85-ACCF-AE1692FD9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4B-4614-9E31-001EC1944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-2700</c:v>
                </c:pt>
                <c:pt idx="1">
                  <c:v>-170.96774193548387</c:v>
                </c:pt>
                <c:pt idx="2">
                  <c:v>-745.16129032258061</c:v>
                </c:pt>
                <c:pt idx="3">
                  <c:v>-2773.3333333333335</c:v>
                </c:pt>
                <c:pt idx="4">
                  <c:v>-1531.0344827586207</c:v>
                </c:pt>
                <c:pt idx="5">
                  <c:v>-3683.3333333333335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07-42D2-9D63-2096C73CA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ぱぱ!$L$2:$L$22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FC-4F4A-9DB2-7CD28B842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-1085</c:v>
                </c:pt>
                <c:pt idx="1">
                  <c:v>-615</c:v>
                </c:pt>
                <c:pt idx="2">
                  <c:v>-1115.7894736842106</c:v>
                </c:pt>
                <c:pt idx="3">
                  <c:v>-2152.6315789473683</c:v>
                </c:pt>
                <c:pt idx="4">
                  <c:v>4872.2222222222226</c:v>
                </c:pt>
                <c:pt idx="5">
                  <c:v>-373.33333333333331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A-4B4C-9770-389FDD923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73-44DD-9847-0211AF2FB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A-4E4B-B59E-F4FFC5F5B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815-948C-38E5C5171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15-4279-A3D8-E89590D62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ぱぱ2!$B$3:$B$23</c:f>
              <c:numCache>
                <c:formatCode>\+0.0;\-0.0;\±0</c:formatCode>
                <c:ptCount val="21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ぱぱ2!$C$3:$C$23</c:f>
              <c:numCache>
                <c:formatCode>\+0.0;\-0.0;\±0</c:formatCode>
                <c:ptCount val="21"/>
                <c:pt idx="1">
                  <c:v>70.2</c:v>
                </c:pt>
                <c:pt idx="2">
                  <c:v>34.25</c:v>
                </c:pt>
                <c:pt idx="3">
                  <c:v>25.333333333333332</c:v>
                </c:pt>
                <c:pt idx="4">
                  <c:v>28.875</c:v>
                </c:pt>
                <c:pt idx="5">
                  <c:v>25.580000000000002</c:v>
                </c:pt>
                <c:pt idx="6">
                  <c:v>24.900000000000002</c:v>
                </c:pt>
                <c:pt idx="7">
                  <c:v>17.571428571428573</c:v>
                </c:pt>
                <c:pt idx="8">
                  <c:v>15.574999999999999</c:v>
                </c:pt>
                <c:pt idx="9">
                  <c:v>15.722222222222221</c:v>
                </c:pt>
                <c:pt idx="10">
                  <c:v>16.28</c:v>
                </c:pt>
                <c:pt idx="11">
                  <c:v>11.463636363636365</c:v>
                </c:pt>
                <c:pt idx="12">
                  <c:v>6.5083333333333337</c:v>
                </c:pt>
                <c:pt idx="13">
                  <c:v>5.9</c:v>
                </c:pt>
                <c:pt idx="14">
                  <c:v>3.5642857142857145</c:v>
                </c:pt>
                <c:pt idx="15">
                  <c:v>4.9133333333333331</c:v>
                </c:pt>
                <c:pt idx="16">
                  <c:v>1.7687500000000003</c:v>
                </c:pt>
                <c:pt idx="17">
                  <c:v>2.9294117647058826</c:v>
                </c:pt>
                <c:pt idx="18">
                  <c:v>1.3722222222222225</c:v>
                </c:pt>
                <c:pt idx="19">
                  <c:v>0.45789473684210541</c:v>
                </c:pt>
                <c:pt idx="20">
                  <c:v>-1.65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448037062474845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ぱぱ2!$D$3:$D$23</c:f>
              <c:numCache>
                <c:formatCode>0.00\ "位"</c:formatCode>
                <c:ptCount val="21"/>
                <c:pt idx="1">
                  <c:v>1</c:v>
                </c:pt>
                <c:pt idx="2">
                  <c:v>1.5</c:v>
                </c:pt>
                <c:pt idx="3">
                  <c:v>1.6666666666666667</c:v>
                </c:pt>
                <c:pt idx="4">
                  <c:v>1.5</c:v>
                </c:pt>
                <c:pt idx="5">
                  <c:v>1.6</c:v>
                </c:pt>
                <c:pt idx="6">
                  <c:v>1.5</c:v>
                </c:pt>
                <c:pt idx="7">
                  <c:v>1.7142857142857142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1.6</c:v>
                </c:pt>
                <c:pt idx="11">
                  <c:v>1.7272727272727273</c:v>
                </c:pt>
                <c:pt idx="12">
                  <c:v>1.8333333333333333</c:v>
                </c:pt>
                <c:pt idx="13">
                  <c:v>1.8461538461538463</c:v>
                </c:pt>
                <c:pt idx="14">
                  <c:v>1.9285714285714286</c:v>
                </c:pt>
                <c:pt idx="15">
                  <c:v>1.8666666666666667</c:v>
                </c:pt>
                <c:pt idx="16">
                  <c:v>1.9375</c:v>
                </c:pt>
                <c:pt idx="17">
                  <c:v>1.8823529411764706</c:v>
                </c:pt>
                <c:pt idx="18">
                  <c:v>1.9444444444444444</c:v>
                </c:pt>
                <c:pt idx="19">
                  <c:v>2</c:v>
                </c:pt>
                <c:pt idx="20">
                  <c:v>2.0499999999999998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ぱぱ2!$E$3:$E$23</c:f>
              <c:numCache>
                <c:formatCode>0.0%</c:formatCode>
                <c:ptCount val="21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ぱぱ2!$F$3:$F$23</c:f>
              <c:numCache>
                <c:formatCode>0.0%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ぱぱ2!$G$3:$G$23</c:f>
              <c:numCache>
                <c:formatCode>0.0%</c:formatCode>
                <c:ptCount val="21"/>
                <c:pt idx="1">
                  <c:v>0.55555555555555558</c:v>
                </c:pt>
                <c:pt idx="2">
                  <c:v>0.5</c:v>
                </c:pt>
                <c:pt idx="3">
                  <c:v>0.47826086956521741</c:v>
                </c:pt>
                <c:pt idx="4">
                  <c:v>0.45454545454545453</c:v>
                </c:pt>
                <c:pt idx="5">
                  <c:v>0.38636363636363635</c:v>
                </c:pt>
                <c:pt idx="6">
                  <c:v>0.39622641509433965</c:v>
                </c:pt>
                <c:pt idx="7">
                  <c:v>0.34375</c:v>
                </c:pt>
                <c:pt idx="8">
                  <c:v>0.33783783783783783</c:v>
                </c:pt>
                <c:pt idx="9">
                  <c:v>0.32558139534883723</c:v>
                </c:pt>
                <c:pt idx="10">
                  <c:v>0.33333333333333331</c:v>
                </c:pt>
                <c:pt idx="11">
                  <c:v>0.3300970873786408</c:v>
                </c:pt>
                <c:pt idx="12">
                  <c:v>0.30172413793103448</c:v>
                </c:pt>
                <c:pt idx="13">
                  <c:v>0.30158730158730157</c:v>
                </c:pt>
                <c:pt idx="14">
                  <c:v>0.28873239436619719</c:v>
                </c:pt>
                <c:pt idx="15">
                  <c:v>0.29530201342281881</c:v>
                </c:pt>
                <c:pt idx="16">
                  <c:v>0.29220779220779219</c:v>
                </c:pt>
                <c:pt idx="17">
                  <c:v>0.30625000000000002</c:v>
                </c:pt>
                <c:pt idx="18">
                  <c:v>0.29166666666666669</c:v>
                </c:pt>
                <c:pt idx="19">
                  <c:v>0.28409090909090912</c:v>
                </c:pt>
                <c:pt idx="20">
                  <c:v>0.27173913043478259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072948328267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ぱぱ2!$H$3:$H$23</c:f>
              <c:numCache>
                <c:formatCode>0.0%</c:formatCode>
                <c:ptCount val="21"/>
                <c:pt idx="1">
                  <c:v>0.1111111111111111</c:v>
                </c:pt>
                <c:pt idx="2">
                  <c:v>6.25E-2</c:v>
                </c:pt>
                <c:pt idx="3">
                  <c:v>8.6956521739130432E-2</c:v>
                </c:pt>
                <c:pt idx="4">
                  <c:v>6.0606060606060608E-2</c:v>
                </c:pt>
                <c:pt idx="5">
                  <c:v>6.8181818181818177E-2</c:v>
                </c:pt>
                <c:pt idx="6">
                  <c:v>5.6603773584905662E-2</c:v>
                </c:pt>
                <c:pt idx="7">
                  <c:v>9.375E-2</c:v>
                </c:pt>
                <c:pt idx="8">
                  <c:v>9.45945945945946E-2</c:v>
                </c:pt>
                <c:pt idx="9">
                  <c:v>0.10465116279069768</c:v>
                </c:pt>
                <c:pt idx="10">
                  <c:v>9.6774193548387094E-2</c:v>
                </c:pt>
                <c:pt idx="11">
                  <c:v>0.11650485436893204</c:v>
                </c:pt>
                <c:pt idx="12">
                  <c:v>0.1206896551724138</c:v>
                </c:pt>
                <c:pt idx="13">
                  <c:v>0.12698412698412698</c:v>
                </c:pt>
                <c:pt idx="14">
                  <c:v>0.13380281690140844</c:v>
                </c:pt>
                <c:pt idx="15">
                  <c:v>0.13422818791946309</c:v>
                </c:pt>
                <c:pt idx="16">
                  <c:v>0.12987012987012986</c:v>
                </c:pt>
                <c:pt idx="17">
                  <c:v>0.125</c:v>
                </c:pt>
                <c:pt idx="18">
                  <c:v>0.125</c:v>
                </c:pt>
                <c:pt idx="19">
                  <c:v>0.13636363636363635</c:v>
                </c:pt>
                <c:pt idx="20">
                  <c:v>0.14673913043478262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627152988855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ぱぱ2!$I$3:$I$23</c:f>
              <c:numCache>
                <c:formatCode>0</c:formatCode>
                <c:ptCount val="21"/>
                <c:pt idx="1">
                  <c:v>13940</c:v>
                </c:pt>
                <c:pt idx="2">
                  <c:v>9800</c:v>
                </c:pt>
                <c:pt idx="3">
                  <c:v>9200</c:v>
                </c:pt>
                <c:pt idx="4">
                  <c:v>8746.6666666666661</c:v>
                </c:pt>
                <c:pt idx="5">
                  <c:v>8894.1176470588234</c:v>
                </c:pt>
                <c:pt idx="6">
                  <c:v>8461.9047619047615</c:v>
                </c:pt>
                <c:pt idx="7">
                  <c:v>8622.7272727272721</c:v>
                </c:pt>
                <c:pt idx="8">
                  <c:v>8352</c:v>
                </c:pt>
                <c:pt idx="9">
                  <c:v>8175</c:v>
                </c:pt>
                <c:pt idx="10">
                  <c:v>7790.322580645161</c:v>
                </c:pt>
                <c:pt idx="11">
                  <c:v>7779.411764705882</c:v>
                </c:pt>
                <c:pt idx="12">
                  <c:v>7777.1428571428569</c:v>
                </c:pt>
                <c:pt idx="13">
                  <c:v>7607.894736842105</c:v>
                </c:pt>
                <c:pt idx="14">
                  <c:v>7782.9268292682927</c:v>
                </c:pt>
                <c:pt idx="15">
                  <c:v>7729.545454545455</c:v>
                </c:pt>
                <c:pt idx="16">
                  <c:v>7646.666666666667</c:v>
                </c:pt>
                <c:pt idx="17">
                  <c:v>7440.8163265306121</c:v>
                </c:pt>
                <c:pt idx="18">
                  <c:v>7440.8163265306121</c:v>
                </c:pt>
                <c:pt idx="19">
                  <c:v>7652</c:v>
                </c:pt>
                <c:pt idx="20">
                  <c:v>7652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0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ぱぱ2!$J$3:$J$23</c:f>
              <c:numCache>
                <c:formatCode>0</c:formatCode>
                <c:ptCount val="21"/>
                <c:pt idx="1">
                  <c:v>-12000</c:v>
                </c:pt>
                <c:pt idx="2">
                  <c:v>-12000</c:v>
                </c:pt>
                <c:pt idx="3">
                  <c:v>-8900</c:v>
                </c:pt>
                <c:pt idx="4">
                  <c:v>-8900</c:v>
                </c:pt>
                <c:pt idx="5">
                  <c:v>-6800</c:v>
                </c:pt>
                <c:pt idx="6">
                  <c:v>-6800</c:v>
                </c:pt>
                <c:pt idx="7">
                  <c:v>-5550</c:v>
                </c:pt>
                <c:pt idx="8">
                  <c:v>-5128.5714285714284</c:v>
                </c:pt>
                <c:pt idx="9">
                  <c:v>-4433.333333333333</c:v>
                </c:pt>
                <c:pt idx="10">
                  <c:v>-4433.333333333333</c:v>
                </c:pt>
                <c:pt idx="11">
                  <c:v>-6041.666666666667</c:v>
                </c:pt>
                <c:pt idx="12">
                  <c:v>-6007.1428571428569</c:v>
                </c:pt>
                <c:pt idx="13">
                  <c:v>-6118.75</c:v>
                </c:pt>
                <c:pt idx="14">
                  <c:v>-6800</c:v>
                </c:pt>
                <c:pt idx="15">
                  <c:v>-6845</c:v>
                </c:pt>
                <c:pt idx="16">
                  <c:v>-6845</c:v>
                </c:pt>
                <c:pt idx="17">
                  <c:v>-6845</c:v>
                </c:pt>
                <c:pt idx="18">
                  <c:v>-6885.7142857142853</c:v>
                </c:pt>
                <c:pt idx="19">
                  <c:v>-6650</c:v>
                </c:pt>
                <c:pt idx="20">
                  <c:v>-6748.1481481481478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60.52631578947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ぱぱ2!$K$3:$K$23</c:f>
              <c:numCache>
                <c:formatCode>0.0%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014675052410901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ぱぱ2!$L$3:$L$23</c:f>
              <c:numCache>
                <c:formatCode>0.0%</c:formatCode>
                <c:ptCount val="21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014675052410901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ぱぱ2!$M$3:$M$23</c:f>
              <c:numCache>
                <c:formatCode>0.0%</c:formatCode>
                <c:ptCount val="21"/>
                <c:pt idx="1">
                  <c:v>0.44444444444444442</c:v>
                </c:pt>
                <c:pt idx="2">
                  <c:v>0.375</c:v>
                </c:pt>
                <c:pt idx="3">
                  <c:v>0.39130434782608697</c:v>
                </c:pt>
                <c:pt idx="4">
                  <c:v>0.36363636363636365</c:v>
                </c:pt>
                <c:pt idx="5">
                  <c:v>0.36363636363636365</c:v>
                </c:pt>
                <c:pt idx="6">
                  <c:v>0.37735849056603776</c:v>
                </c:pt>
                <c:pt idx="7">
                  <c:v>0.359375</c:v>
                </c:pt>
                <c:pt idx="8">
                  <c:v>0.32432432432432434</c:v>
                </c:pt>
                <c:pt idx="9">
                  <c:v>0.29069767441860467</c:v>
                </c:pt>
                <c:pt idx="10">
                  <c:v>0.31182795698924731</c:v>
                </c:pt>
                <c:pt idx="11">
                  <c:v>0.29126213592233008</c:v>
                </c:pt>
                <c:pt idx="12">
                  <c:v>0.26724137931034481</c:v>
                </c:pt>
                <c:pt idx="13">
                  <c:v>0.26984126984126983</c:v>
                </c:pt>
                <c:pt idx="14">
                  <c:v>0.28169014084507044</c:v>
                </c:pt>
                <c:pt idx="15">
                  <c:v>0.28187919463087246</c:v>
                </c:pt>
                <c:pt idx="16">
                  <c:v>0.29220779220779219</c:v>
                </c:pt>
                <c:pt idx="17">
                  <c:v>0.28749999999999998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0.27717391304347827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1773049645390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ぱぱ2!$N$3:$N$23</c:f>
              <c:numCache>
                <c:formatCode>0.0%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4.3478260869565216E-2</c:v>
                </c:pt>
                <c:pt idx="4">
                  <c:v>6.0606060606060608E-2</c:v>
                </c:pt>
                <c:pt idx="5">
                  <c:v>9.0909090909090912E-2</c:v>
                </c:pt>
                <c:pt idx="6">
                  <c:v>0.11320754716981132</c:v>
                </c:pt>
                <c:pt idx="7">
                  <c:v>0.109375</c:v>
                </c:pt>
                <c:pt idx="8">
                  <c:v>0.13513513513513514</c:v>
                </c:pt>
                <c:pt idx="9">
                  <c:v>0.15116279069767441</c:v>
                </c:pt>
                <c:pt idx="10">
                  <c:v>0.15053763440860216</c:v>
                </c:pt>
                <c:pt idx="11">
                  <c:v>0.14563106796116504</c:v>
                </c:pt>
                <c:pt idx="12">
                  <c:v>0.13793103448275862</c:v>
                </c:pt>
                <c:pt idx="13">
                  <c:v>0.15079365079365079</c:v>
                </c:pt>
                <c:pt idx="14">
                  <c:v>0.15492957746478872</c:v>
                </c:pt>
                <c:pt idx="15">
                  <c:v>0.1476510067114094</c:v>
                </c:pt>
                <c:pt idx="16">
                  <c:v>0.14285714285714285</c:v>
                </c:pt>
                <c:pt idx="17">
                  <c:v>0.14374999999999999</c:v>
                </c:pt>
                <c:pt idx="18">
                  <c:v>0.13690476190476192</c:v>
                </c:pt>
                <c:pt idx="19">
                  <c:v>0.13068181818181818</c:v>
                </c:pt>
                <c:pt idx="20">
                  <c:v>0.14130434782608695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074974670719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ぱぱ2!$O$3:$O$23</c:f>
              <c:numCache>
                <c:formatCode>0.0%</c:formatCode>
                <c:ptCount val="21"/>
                <c:pt idx="1">
                  <c:v>0.75</c:v>
                </c:pt>
                <c:pt idx="2">
                  <c:v>0.83333333333333337</c:v>
                </c:pt>
                <c:pt idx="3">
                  <c:v>0.77777777777777779</c:v>
                </c:pt>
                <c:pt idx="4">
                  <c:v>0.83333333333333337</c:v>
                </c:pt>
                <c:pt idx="5">
                  <c:v>0.6875</c:v>
                </c:pt>
                <c:pt idx="6">
                  <c:v>0.75</c:v>
                </c:pt>
                <c:pt idx="7">
                  <c:v>0.65217391304347827</c:v>
                </c:pt>
                <c:pt idx="8">
                  <c:v>0.66666666666666663</c:v>
                </c:pt>
                <c:pt idx="9">
                  <c:v>0.68</c:v>
                </c:pt>
                <c:pt idx="10">
                  <c:v>0.65517241379310343</c:v>
                </c:pt>
                <c:pt idx="11">
                  <c:v>0.66666666666666663</c:v>
                </c:pt>
                <c:pt idx="12">
                  <c:v>0.67741935483870963</c:v>
                </c:pt>
                <c:pt idx="13">
                  <c:v>0.67647058823529416</c:v>
                </c:pt>
                <c:pt idx="14">
                  <c:v>0.625</c:v>
                </c:pt>
                <c:pt idx="15">
                  <c:v>0.6428571428571429</c:v>
                </c:pt>
                <c:pt idx="16">
                  <c:v>0.62222222222222223</c:v>
                </c:pt>
                <c:pt idx="17">
                  <c:v>0.63043478260869568</c:v>
                </c:pt>
                <c:pt idx="18">
                  <c:v>0.63043478260869568</c:v>
                </c:pt>
                <c:pt idx="19">
                  <c:v>0.61224489795918369</c:v>
                </c:pt>
                <c:pt idx="20">
                  <c:v>0.58823529411764708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3380281690140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ぱぱ2!$P$3:$P$23</c:f>
              <c:numCache>
                <c:formatCode>0.0%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0.25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</c:v>
                </c:pt>
                <c:pt idx="9">
                  <c:v>0.30769230769230771</c:v>
                </c:pt>
                <c:pt idx="10">
                  <c:v>0.35714285714285715</c:v>
                </c:pt>
                <c:pt idx="11">
                  <c:v>0.33333333333333331</c:v>
                </c:pt>
                <c:pt idx="12">
                  <c:v>0.3125</c:v>
                </c:pt>
                <c:pt idx="13">
                  <c:v>0.31578947368421051</c:v>
                </c:pt>
                <c:pt idx="14">
                  <c:v>0.31818181818181818</c:v>
                </c:pt>
                <c:pt idx="15">
                  <c:v>0.31818181818181818</c:v>
                </c:pt>
                <c:pt idx="16">
                  <c:v>0.31818181818181818</c:v>
                </c:pt>
                <c:pt idx="17">
                  <c:v>0.34782608695652173</c:v>
                </c:pt>
                <c:pt idx="18">
                  <c:v>0.34782608695652173</c:v>
                </c:pt>
                <c:pt idx="19">
                  <c:v>0.34782608695652173</c:v>
                </c:pt>
                <c:pt idx="20">
                  <c:v>0.30769230769230771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7244785949506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ぱぱ2!$Q$3:$Q$23</c:f>
              <c:numCache>
                <c:formatCode>0.0%</c:formatCode>
                <c:ptCount val="21"/>
                <c:pt idx="1">
                  <c:v>0.2</c:v>
                </c:pt>
                <c:pt idx="2">
                  <c:v>0.375</c:v>
                </c:pt>
                <c:pt idx="3">
                  <c:v>0.54545454545454541</c:v>
                </c:pt>
                <c:pt idx="4">
                  <c:v>0.46666666666666667</c:v>
                </c:pt>
                <c:pt idx="5">
                  <c:v>0.41176470588235292</c:v>
                </c:pt>
                <c:pt idx="6">
                  <c:v>0.42857142857142855</c:v>
                </c:pt>
                <c:pt idx="7">
                  <c:v>0.45454545454545453</c:v>
                </c:pt>
                <c:pt idx="8">
                  <c:v>0.44</c:v>
                </c:pt>
                <c:pt idx="9">
                  <c:v>0.5</c:v>
                </c:pt>
                <c:pt idx="10">
                  <c:v>0.4838709677419355</c:v>
                </c:pt>
                <c:pt idx="11">
                  <c:v>0.52941176470588236</c:v>
                </c:pt>
                <c:pt idx="12">
                  <c:v>0.51428571428571423</c:v>
                </c:pt>
                <c:pt idx="13">
                  <c:v>0.5</c:v>
                </c:pt>
                <c:pt idx="14">
                  <c:v>0.53658536585365857</c:v>
                </c:pt>
                <c:pt idx="15">
                  <c:v>0.52272727272727271</c:v>
                </c:pt>
                <c:pt idx="16">
                  <c:v>0.53333333333333333</c:v>
                </c:pt>
                <c:pt idx="17">
                  <c:v>0.55102040816326525</c:v>
                </c:pt>
                <c:pt idx="18">
                  <c:v>0.55102040816326525</c:v>
                </c:pt>
                <c:pt idx="19">
                  <c:v>0.56000000000000005</c:v>
                </c:pt>
                <c:pt idx="20">
                  <c:v>0.56000000000000005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7553832902670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44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8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8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8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8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8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8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8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8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8" x14ac:dyDescent="0.4">
      <c r="A41" s="28" t="s">
        <v>232</v>
      </c>
      <c r="B41" s="29">
        <v>43766.037835648145</v>
      </c>
      <c r="C41" s="28" t="s">
        <v>128</v>
      </c>
    </row>
    <row r="42" spans="1:8" x14ac:dyDescent="0.4">
      <c r="A42" s="28" t="s">
        <v>233</v>
      </c>
      <c r="B42" s="29">
        <v>43766.89675925926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8" x14ac:dyDescent="0.4">
      <c r="A43" s="28" t="s">
        <v>234</v>
      </c>
      <c r="B43" s="29">
        <v>43768.005439814813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8" x14ac:dyDescent="0.4">
      <c r="A44" s="28" t="s">
        <v>235</v>
      </c>
      <c r="B44" s="29">
        <v>43768.983483796299</v>
      </c>
      <c r="C44" s="28" t="s">
        <v>128</v>
      </c>
      <c r="D44" s="28" t="s">
        <v>129</v>
      </c>
      <c r="E44" s="28" t="s">
        <v>184</v>
      </c>
      <c r="F44" s="28" t="s">
        <v>185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477</v>
      </c>
    </row>
    <row r="2" spans="1:2" x14ac:dyDescent="0.4">
      <c r="A2" t="s">
        <v>166</v>
      </c>
      <c r="B2">
        <v>44</v>
      </c>
    </row>
    <row r="3" spans="1:2" x14ac:dyDescent="0.4">
      <c r="A3" t="s">
        <v>126</v>
      </c>
      <c r="B3">
        <v>96</v>
      </c>
    </row>
    <row r="4" spans="1:2" x14ac:dyDescent="0.4">
      <c r="A4" t="s">
        <v>127</v>
      </c>
      <c r="B4">
        <v>86</v>
      </c>
    </row>
    <row r="5" spans="1:2" x14ac:dyDescent="0.4">
      <c r="A5" t="s">
        <v>179</v>
      </c>
      <c r="B5">
        <v>59</v>
      </c>
    </row>
    <row r="6" spans="1:2" x14ac:dyDescent="0.4">
      <c r="A6" t="s">
        <v>177</v>
      </c>
      <c r="B6">
        <v>55</v>
      </c>
    </row>
    <row r="7" spans="1:2" x14ac:dyDescent="0.4">
      <c r="A7" t="s">
        <v>178</v>
      </c>
      <c r="B7">
        <v>77</v>
      </c>
    </row>
    <row r="8" spans="1:2" x14ac:dyDescent="0.4">
      <c r="A8" t="s">
        <v>182</v>
      </c>
      <c r="B8">
        <v>31</v>
      </c>
    </row>
    <row r="9" spans="1:2" x14ac:dyDescent="0.4">
      <c r="A9" t="s">
        <v>181</v>
      </c>
      <c r="B9">
        <v>20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0.99078205012346132</v>
      </c>
      <c r="G2" s="157"/>
      <c r="H2" s="156">
        <v>0.91623340563885847</v>
      </c>
      <c r="I2" s="157"/>
      <c r="J2" s="156">
        <v>0.9125240532143295</v>
      </c>
      <c r="K2" s="157"/>
      <c r="L2" s="156">
        <v>0.8997357389846814</v>
      </c>
      <c r="M2" s="157"/>
      <c r="N2" s="156">
        <v>0.40853266135244382</v>
      </c>
      <c r="O2" s="157"/>
      <c r="P2" s="156">
        <v>0.40266162091157337</v>
      </c>
      <c r="Q2" s="157"/>
      <c r="R2" s="156">
        <v>-5.7436058334479775E-2</v>
      </c>
      <c r="S2" s="157"/>
      <c r="T2" s="156">
        <v>0.30457787590103269</v>
      </c>
      <c r="U2" s="157"/>
      <c r="V2" s="156">
        <v>0.71803561058629983</v>
      </c>
      <c r="W2" s="157"/>
      <c r="X2" s="156">
        <v>0.47998355142341903</v>
      </c>
      <c r="Y2" s="157"/>
      <c r="Z2" s="156">
        <v>0.17449870098700393</v>
      </c>
      <c r="AA2" s="157"/>
      <c r="AB2" s="156">
        <v>7.5222450900922819E-2</v>
      </c>
      <c r="AC2" s="157"/>
      <c r="AD2" s="156">
        <v>0.38167017569344913</v>
      </c>
      <c r="AE2" s="157"/>
      <c r="AF2" s="156">
        <v>-0.25230924047069209</v>
      </c>
      <c r="AG2" s="157"/>
      <c r="AH2" s="156">
        <v>0.49391866104230858</v>
      </c>
      <c r="AI2" s="157"/>
    </row>
    <row r="3" spans="1:35" x14ac:dyDescent="0.4">
      <c r="A3" s="70">
        <v>1</v>
      </c>
      <c r="B3" s="71" t="s">
        <v>126</v>
      </c>
      <c r="C3" s="72">
        <v>638.79999999999995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10435.658914728681</v>
      </c>
      <c r="R3" s="73" t="s">
        <v>181</v>
      </c>
      <c r="S3" s="77">
        <v>-6748.1481481481478</v>
      </c>
      <c r="T3" s="73" t="s">
        <v>166</v>
      </c>
      <c r="U3" s="75">
        <v>0</v>
      </c>
      <c r="V3" s="73" t="s">
        <v>177</v>
      </c>
      <c r="W3" s="75">
        <v>0.2</v>
      </c>
      <c r="X3" s="73" t="s">
        <v>177</v>
      </c>
      <c r="Y3" s="76">
        <v>0.32118451025056949</v>
      </c>
      <c r="Z3" s="73" t="s">
        <v>195</v>
      </c>
      <c r="AA3" s="76">
        <v>0.35483870967741937</v>
      </c>
      <c r="AB3" s="73" t="s">
        <v>179</v>
      </c>
      <c r="AC3" s="76">
        <v>0.59859154929577463</v>
      </c>
      <c r="AD3" s="73" t="s">
        <v>222</v>
      </c>
      <c r="AE3" s="76">
        <v>1</v>
      </c>
      <c r="AF3" s="73" t="s">
        <v>181</v>
      </c>
      <c r="AG3" s="76">
        <v>0.56000000000000005</v>
      </c>
      <c r="AH3" s="73" t="s">
        <v>177</v>
      </c>
      <c r="AI3" s="87">
        <v>103600</v>
      </c>
    </row>
    <row r="4" spans="1:35" x14ac:dyDescent="0.4">
      <c r="A4" s="78">
        <v>2</v>
      </c>
      <c r="B4" s="79" t="s">
        <v>127</v>
      </c>
      <c r="C4" s="80">
        <v>317.49999999999989</v>
      </c>
      <c r="D4" s="81" t="s">
        <v>126</v>
      </c>
      <c r="E4" s="93">
        <v>6.6541666666666659</v>
      </c>
      <c r="F4" s="81" t="s">
        <v>126</v>
      </c>
      <c r="G4" s="82">
        <v>1.78125</v>
      </c>
      <c r="H4" s="81" t="s">
        <v>126</v>
      </c>
      <c r="I4" s="83">
        <v>0.46875</v>
      </c>
      <c r="J4" s="81" t="s">
        <v>126</v>
      </c>
      <c r="K4" s="83">
        <v>0.25</v>
      </c>
      <c r="L4" s="81" t="s">
        <v>126</v>
      </c>
      <c r="M4" s="84">
        <v>0.33506493506493507</v>
      </c>
      <c r="N4" s="81" t="s">
        <v>178</v>
      </c>
      <c r="O4" s="84">
        <v>0.13452188006482982</v>
      </c>
      <c r="P4" s="81" t="s">
        <v>127</v>
      </c>
      <c r="Q4" s="85">
        <v>8675.9825327510916</v>
      </c>
      <c r="R4" s="81" t="s">
        <v>166</v>
      </c>
      <c r="S4" s="85">
        <v>-6775.4716981132078</v>
      </c>
      <c r="T4" s="81" t="s">
        <v>222</v>
      </c>
      <c r="U4" s="83">
        <v>0</v>
      </c>
      <c r="V4" s="81" t="s">
        <v>195</v>
      </c>
      <c r="W4" s="83">
        <v>0.14285714285714285</v>
      </c>
      <c r="X4" s="81" t="s">
        <v>179</v>
      </c>
      <c r="Y4" s="84">
        <v>0.28629032258064518</v>
      </c>
      <c r="Z4" s="81" t="s">
        <v>222</v>
      </c>
      <c r="AA4" s="84">
        <v>0.33333333333333331</v>
      </c>
      <c r="AB4" s="81" t="s">
        <v>126</v>
      </c>
      <c r="AC4" s="84">
        <v>0.59330143540669855</v>
      </c>
      <c r="AD4" s="81" t="s">
        <v>126</v>
      </c>
      <c r="AE4" s="84">
        <v>0.47976878612716761</v>
      </c>
      <c r="AF4" s="81" t="s">
        <v>177</v>
      </c>
      <c r="AG4" s="84">
        <v>0.49612403100775193</v>
      </c>
      <c r="AH4" s="81" t="s">
        <v>143</v>
      </c>
      <c r="AI4" s="88">
        <v>103600</v>
      </c>
    </row>
    <row r="5" spans="1:35" x14ac:dyDescent="0.4">
      <c r="A5" s="78">
        <v>3</v>
      </c>
      <c r="B5" s="79" t="s">
        <v>177</v>
      </c>
      <c r="C5" s="80">
        <v>259.10000000000008</v>
      </c>
      <c r="D5" s="81" t="s">
        <v>177</v>
      </c>
      <c r="E5" s="93">
        <v>4.7109090909090927</v>
      </c>
      <c r="F5" s="81" t="s">
        <v>127</v>
      </c>
      <c r="G5" s="82">
        <v>1.8953488372093024</v>
      </c>
      <c r="H5" s="81" t="s">
        <v>195</v>
      </c>
      <c r="I5" s="83">
        <v>0.42857142857142855</v>
      </c>
      <c r="J5" s="81" t="s">
        <v>178</v>
      </c>
      <c r="K5" s="83">
        <v>0.2857142857142857</v>
      </c>
      <c r="L5" s="81" t="s">
        <v>127</v>
      </c>
      <c r="M5" s="84">
        <v>0.31284153005464482</v>
      </c>
      <c r="N5" s="81" t="s">
        <v>166</v>
      </c>
      <c r="O5" s="84">
        <v>0.13838120104438642</v>
      </c>
      <c r="P5" s="81" t="s">
        <v>178</v>
      </c>
      <c r="Q5" s="85">
        <v>8409.2485549132944</v>
      </c>
      <c r="R5" s="81" t="s">
        <v>179</v>
      </c>
      <c r="S5" s="85">
        <v>-7638.8349514563106</v>
      </c>
      <c r="T5" s="81" t="s">
        <v>126</v>
      </c>
      <c r="U5" s="83">
        <v>5.2083333333333336E-2</v>
      </c>
      <c r="V5" s="81" t="s">
        <v>127</v>
      </c>
      <c r="W5" s="83">
        <v>0.10465116279069768</v>
      </c>
      <c r="X5" s="81" t="s">
        <v>181</v>
      </c>
      <c r="Y5" s="84">
        <v>0.27717391304347827</v>
      </c>
      <c r="Z5" s="81" t="s">
        <v>127</v>
      </c>
      <c r="AA5" s="84">
        <v>0.3046448087431694</v>
      </c>
      <c r="AB5" s="81" t="s">
        <v>181</v>
      </c>
      <c r="AC5" s="84">
        <v>0.58823529411764708</v>
      </c>
      <c r="AD5" s="81" t="s">
        <v>177</v>
      </c>
      <c r="AE5" s="84">
        <v>0.46250000000000002</v>
      </c>
      <c r="AF5" s="81" t="s">
        <v>182</v>
      </c>
      <c r="AG5" s="84">
        <v>0.48275862068965519</v>
      </c>
      <c r="AH5" s="81" t="s">
        <v>181</v>
      </c>
      <c r="AI5" s="88">
        <v>95200</v>
      </c>
    </row>
    <row r="6" spans="1:35" x14ac:dyDescent="0.4">
      <c r="A6" s="78">
        <v>4</v>
      </c>
      <c r="B6" s="79" t="s">
        <v>222</v>
      </c>
      <c r="C6" s="80">
        <v>26.2</v>
      </c>
      <c r="D6" s="81" t="s">
        <v>127</v>
      </c>
      <c r="E6" s="93">
        <v>3.6918604651162776</v>
      </c>
      <c r="F6" s="81" t="s">
        <v>177</v>
      </c>
      <c r="G6" s="82">
        <v>1.9090909090909092</v>
      </c>
      <c r="H6" s="81" t="s">
        <v>177</v>
      </c>
      <c r="I6" s="83">
        <v>0.41818181818181815</v>
      </c>
      <c r="J6" s="81" t="s">
        <v>127</v>
      </c>
      <c r="K6" s="83">
        <v>0.29069767441860467</v>
      </c>
      <c r="L6" s="81" t="s">
        <v>143</v>
      </c>
      <c r="M6" s="84">
        <v>0.29407294832826747</v>
      </c>
      <c r="N6" s="81" t="s">
        <v>126</v>
      </c>
      <c r="O6" s="84">
        <v>0.13896103896103895</v>
      </c>
      <c r="P6" s="81" t="s">
        <v>143</v>
      </c>
      <c r="Q6" s="85">
        <v>8300</v>
      </c>
      <c r="R6" s="81" t="s">
        <v>126</v>
      </c>
      <c r="S6" s="85">
        <v>-7726.1682242990655</v>
      </c>
      <c r="T6" s="81" t="s">
        <v>179</v>
      </c>
      <c r="U6" s="83">
        <v>6.7796610169491525E-2</v>
      </c>
      <c r="V6" s="81" t="s">
        <v>181</v>
      </c>
      <c r="W6" s="83">
        <v>0.1</v>
      </c>
      <c r="X6" s="81" t="s">
        <v>126</v>
      </c>
      <c r="Y6" s="84">
        <v>0.27142857142857141</v>
      </c>
      <c r="Z6" s="81" t="s">
        <v>178</v>
      </c>
      <c r="AA6" s="84">
        <v>0.23824959481361427</v>
      </c>
      <c r="AB6" s="81" t="s">
        <v>178</v>
      </c>
      <c r="AC6" s="84">
        <v>0.57051282051282048</v>
      </c>
      <c r="AD6" s="81" t="s">
        <v>143</v>
      </c>
      <c r="AE6" s="84">
        <v>0.40724478594950603</v>
      </c>
      <c r="AF6" s="81" t="s">
        <v>179</v>
      </c>
      <c r="AG6" s="84">
        <v>0.45714285714285713</v>
      </c>
      <c r="AH6" s="81" t="s">
        <v>127</v>
      </c>
      <c r="AI6" s="88">
        <v>91800</v>
      </c>
    </row>
    <row r="7" spans="1:35" x14ac:dyDescent="0.4">
      <c r="A7" s="78">
        <v>5</v>
      </c>
      <c r="B7" s="79" t="s">
        <v>143</v>
      </c>
      <c r="C7" s="80">
        <v>-3.5527136788005009E-14</v>
      </c>
      <c r="D7" s="81" t="s">
        <v>143</v>
      </c>
      <c r="E7" s="93">
        <v>-7.4480370624748451E-17</v>
      </c>
      <c r="F7" s="81" t="s">
        <v>143</v>
      </c>
      <c r="G7" s="82">
        <v>2</v>
      </c>
      <c r="H7" s="81" t="s">
        <v>127</v>
      </c>
      <c r="I7" s="83">
        <v>0.39534883720930231</v>
      </c>
      <c r="J7" s="81" t="s">
        <v>177</v>
      </c>
      <c r="K7" s="83">
        <v>0.32727272727272727</v>
      </c>
      <c r="L7" s="81" t="s">
        <v>177</v>
      </c>
      <c r="M7" s="84">
        <v>0.29384965831435078</v>
      </c>
      <c r="N7" s="81" t="s">
        <v>181</v>
      </c>
      <c r="O7" s="84">
        <v>0.14673913043478262</v>
      </c>
      <c r="P7" s="81" t="s">
        <v>179</v>
      </c>
      <c r="Q7" s="85">
        <v>7988.5714285714284</v>
      </c>
      <c r="R7" s="81" t="s">
        <v>143</v>
      </c>
      <c r="S7" s="85">
        <v>-7760.5263157894733</v>
      </c>
      <c r="T7" s="81" t="s">
        <v>178</v>
      </c>
      <c r="U7" s="83">
        <v>7.792207792207792E-2</v>
      </c>
      <c r="V7" s="81" t="s">
        <v>126</v>
      </c>
      <c r="W7" s="83">
        <v>9.375E-2</v>
      </c>
      <c r="X7" s="81" t="s">
        <v>222</v>
      </c>
      <c r="Y7" s="84">
        <v>0.26666666666666666</v>
      </c>
      <c r="Z7" s="81" t="s">
        <v>143</v>
      </c>
      <c r="AA7" s="84">
        <v>0.2307497467071935</v>
      </c>
      <c r="AB7" s="81" t="s">
        <v>143</v>
      </c>
      <c r="AC7" s="84">
        <v>0.56338028169014087</v>
      </c>
      <c r="AD7" s="81" t="s">
        <v>178</v>
      </c>
      <c r="AE7" s="84">
        <v>0.40136054421768708</v>
      </c>
      <c r="AF7" s="81" t="s">
        <v>178</v>
      </c>
      <c r="AG7" s="84">
        <v>0.45086705202312138</v>
      </c>
      <c r="AH7" s="81" t="s">
        <v>166</v>
      </c>
      <c r="AI7" s="88">
        <v>86900</v>
      </c>
    </row>
    <row r="8" spans="1:35" x14ac:dyDescent="0.4">
      <c r="A8" s="78">
        <v>6</v>
      </c>
      <c r="B8" s="79" t="s">
        <v>181</v>
      </c>
      <c r="C8" s="80">
        <v>-33</v>
      </c>
      <c r="D8" s="81" t="s">
        <v>178</v>
      </c>
      <c r="E8" s="93">
        <v>-1.1337662337662333</v>
      </c>
      <c r="F8" s="81" t="s">
        <v>181</v>
      </c>
      <c r="G8" s="82">
        <v>2.0499999999999998</v>
      </c>
      <c r="H8" s="81" t="s">
        <v>181</v>
      </c>
      <c r="I8" s="83">
        <v>0.35</v>
      </c>
      <c r="J8" s="81" t="s">
        <v>143</v>
      </c>
      <c r="K8" s="83">
        <v>0.33333333333333331</v>
      </c>
      <c r="L8" s="81" t="s">
        <v>179</v>
      </c>
      <c r="M8" s="84">
        <v>0.28225806451612906</v>
      </c>
      <c r="N8" s="81" t="s">
        <v>177</v>
      </c>
      <c r="O8" s="84">
        <v>0.16173120728929385</v>
      </c>
      <c r="P8" s="81" t="s">
        <v>182</v>
      </c>
      <c r="Q8" s="85">
        <v>7901.7241379310344</v>
      </c>
      <c r="R8" s="81" t="s">
        <v>127</v>
      </c>
      <c r="S8" s="85">
        <v>-7766.1971830985913</v>
      </c>
      <c r="T8" s="81" t="s">
        <v>143</v>
      </c>
      <c r="U8" s="83">
        <v>9.0146750524109018E-2</v>
      </c>
      <c r="V8" s="81" t="s">
        <v>143</v>
      </c>
      <c r="W8" s="83">
        <v>9.0146750524109018E-2</v>
      </c>
      <c r="X8" s="81" t="s">
        <v>178</v>
      </c>
      <c r="Y8" s="84">
        <v>0.25283630470016205</v>
      </c>
      <c r="Z8" s="81" t="s">
        <v>166</v>
      </c>
      <c r="AA8" s="84">
        <v>0.22715404699738903</v>
      </c>
      <c r="AB8" s="81" t="s">
        <v>182</v>
      </c>
      <c r="AC8" s="84">
        <v>0.54166666666666663</v>
      </c>
      <c r="AD8" s="81" t="s">
        <v>182</v>
      </c>
      <c r="AE8" s="84">
        <v>0.4</v>
      </c>
      <c r="AF8" s="81" t="s">
        <v>143</v>
      </c>
      <c r="AG8" s="84">
        <v>0.43755383290267014</v>
      </c>
      <c r="AH8" s="81" t="s">
        <v>178</v>
      </c>
      <c r="AI8" s="88">
        <v>86500</v>
      </c>
    </row>
    <row r="9" spans="1:35" x14ac:dyDescent="0.4">
      <c r="A9" s="78">
        <v>7</v>
      </c>
      <c r="B9" s="79" t="s">
        <v>178</v>
      </c>
      <c r="C9" s="80">
        <v>-87.299999999999969</v>
      </c>
      <c r="D9" s="81" t="s">
        <v>181</v>
      </c>
      <c r="E9" s="93">
        <v>-1.65</v>
      </c>
      <c r="F9" s="81" t="s">
        <v>166</v>
      </c>
      <c r="G9" s="82">
        <v>2.0681818181818183</v>
      </c>
      <c r="H9" s="81" t="s">
        <v>166</v>
      </c>
      <c r="I9" s="83">
        <v>0.34090909090909088</v>
      </c>
      <c r="J9" s="81" t="s">
        <v>179</v>
      </c>
      <c r="K9" s="83">
        <v>0.38983050847457629</v>
      </c>
      <c r="L9" s="81" t="s">
        <v>178</v>
      </c>
      <c r="M9" s="84">
        <v>0.28038897893030795</v>
      </c>
      <c r="N9" s="81" t="s">
        <v>143</v>
      </c>
      <c r="O9" s="84">
        <v>0.16362715298885511</v>
      </c>
      <c r="P9" s="81" t="s">
        <v>126</v>
      </c>
      <c r="Q9" s="85">
        <v>7760.4651162790697</v>
      </c>
      <c r="R9" s="81" t="s">
        <v>222</v>
      </c>
      <c r="S9" s="85">
        <v>-8000</v>
      </c>
      <c r="T9" s="81" t="s">
        <v>177</v>
      </c>
      <c r="U9" s="83">
        <v>9.0909090909090912E-2</v>
      </c>
      <c r="V9" s="81" t="s">
        <v>178</v>
      </c>
      <c r="W9" s="83">
        <v>7.792207792207792E-2</v>
      </c>
      <c r="X9" s="81" t="s">
        <v>143</v>
      </c>
      <c r="Y9" s="84">
        <v>0.25177304964539005</v>
      </c>
      <c r="Z9" s="81" t="s">
        <v>126</v>
      </c>
      <c r="AA9" s="84">
        <v>0.22467532467532467</v>
      </c>
      <c r="AB9" s="81" t="s">
        <v>127</v>
      </c>
      <c r="AC9" s="84">
        <v>0.53846153846153844</v>
      </c>
      <c r="AD9" s="81" t="s">
        <v>179</v>
      </c>
      <c r="AE9" s="84">
        <v>0.38709677419354838</v>
      </c>
      <c r="AF9" s="81" t="s">
        <v>126</v>
      </c>
      <c r="AG9" s="84">
        <v>0.4263565891472868</v>
      </c>
      <c r="AH9" s="81" t="s">
        <v>126</v>
      </c>
      <c r="AI9" s="88">
        <v>86200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-3.2750000000000012</v>
      </c>
      <c r="F10" s="81" t="s">
        <v>178</v>
      </c>
      <c r="G10" s="82">
        <v>2.0779220779220777</v>
      </c>
      <c r="H10" s="81" t="s">
        <v>143</v>
      </c>
      <c r="I10" s="83">
        <v>0.33333333333333331</v>
      </c>
      <c r="J10" s="81" t="s">
        <v>181</v>
      </c>
      <c r="K10" s="83">
        <v>0.4</v>
      </c>
      <c r="L10" s="81" t="s">
        <v>181</v>
      </c>
      <c r="M10" s="84">
        <v>0.27173913043478259</v>
      </c>
      <c r="N10" s="81" t="s">
        <v>182</v>
      </c>
      <c r="O10" s="84">
        <v>0.188</v>
      </c>
      <c r="P10" s="81" t="s">
        <v>181</v>
      </c>
      <c r="Q10" s="85">
        <v>7652</v>
      </c>
      <c r="R10" s="81" t="s">
        <v>178</v>
      </c>
      <c r="S10" s="85">
        <v>-8059.0361445783128</v>
      </c>
      <c r="T10" s="81" t="s">
        <v>181</v>
      </c>
      <c r="U10" s="83">
        <v>0.1</v>
      </c>
      <c r="V10" s="81" t="s">
        <v>166</v>
      </c>
      <c r="W10" s="83">
        <v>4.5454545454545456E-2</v>
      </c>
      <c r="X10" s="81" t="s">
        <v>195</v>
      </c>
      <c r="Y10" s="84">
        <v>0.24193548387096775</v>
      </c>
      <c r="Z10" s="81" t="s">
        <v>182</v>
      </c>
      <c r="AA10" s="84">
        <v>0.22</v>
      </c>
      <c r="AB10" s="81" t="s">
        <v>195</v>
      </c>
      <c r="AC10" s="84">
        <v>0.53333333333333333</v>
      </c>
      <c r="AD10" s="81" t="s">
        <v>127</v>
      </c>
      <c r="AE10" s="84">
        <v>0.37219730941704038</v>
      </c>
      <c r="AF10" s="81" t="s">
        <v>166</v>
      </c>
      <c r="AG10" s="84">
        <v>0.41176470588235292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-144.10000000000005</v>
      </c>
      <c r="D11" s="81" t="s">
        <v>179</v>
      </c>
      <c r="E11" s="93">
        <v>-6.7677966101694906</v>
      </c>
      <c r="F11" s="81" t="s">
        <v>195</v>
      </c>
      <c r="G11" s="82">
        <v>2.1428571428571428</v>
      </c>
      <c r="H11" s="81" t="s">
        <v>178</v>
      </c>
      <c r="I11" s="83">
        <v>0.20779220779220781</v>
      </c>
      <c r="J11" s="81" t="s">
        <v>166</v>
      </c>
      <c r="K11" s="83">
        <v>0.40909090909090912</v>
      </c>
      <c r="L11" s="81" t="s">
        <v>166</v>
      </c>
      <c r="M11" s="84">
        <v>0.26631853785900783</v>
      </c>
      <c r="N11" s="81" t="s">
        <v>195</v>
      </c>
      <c r="O11" s="84">
        <v>0.19354838709677419</v>
      </c>
      <c r="P11" s="81" t="s">
        <v>195</v>
      </c>
      <c r="Q11" s="85">
        <v>7473.333333333333</v>
      </c>
      <c r="R11" s="81" t="s">
        <v>182</v>
      </c>
      <c r="S11" s="85">
        <v>-8059.5744680851067</v>
      </c>
      <c r="T11" s="81" t="s">
        <v>127</v>
      </c>
      <c r="U11" s="83">
        <v>0.13953488372093023</v>
      </c>
      <c r="V11" s="81" t="s">
        <v>179</v>
      </c>
      <c r="W11" s="83">
        <v>3.3898305084745763E-2</v>
      </c>
      <c r="X11" s="81" t="s">
        <v>127</v>
      </c>
      <c r="Y11" s="84">
        <v>0.23087431693989072</v>
      </c>
      <c r="Z11" s="81" t="s">
        <v>179</v>
      </c>
      <c r="AA11" s="84">
        <v>0.1875</v>
      </c>
      <c r="AB11" s="81" t="s">
        <v>177</v>
      </c>
      <c r="AC11" s="84">
        <v>0.53191489361702127</v>
      </c>
      <c r="AD11" s="81" t="s">
        <v>166</v>
      </c>
      <c r="AE11" s="84">
        <v>0.36781609195402298</v>
      </c>
      <c r="AF11" s="81" t="s">
        <v>127</v>
      </c>
      <c r="AG11" s="84">
        <v>0.37991266375545851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179</v>
      </c>
      <c r="C12" s="80">
        <v>-399.29999999999995</v>
      </c>
      <c r="D12" s="81" t="s">
        <v>195</v>
      </c>
      <c r="E12" s="93">
        <v>-14.971428571428573</v>
      </c>
      <c r="F12" s="81" t="s">
        <v>179</v>
      </c>
      <c r="G12" s="82">
        <v>2.1864406779661016</v>
      </c>
      <c r="H12" s="81" t="s">
        <v>179</v>
      </c>
      <c r="I12" s="83">
        <v>0.20338983050847459</v>
      </c>
      <c r="J12" s="81" t="s">
        <v>182</v>
      </c>
      <c r="K12" s="83">
        <v>0.54838709677419351</v>
      </c>
      <c r="L12" s="81" t="s">
        <v>195</v>
      </c>
      <c r="M12" s="84">
        <v>0.24193548387096775</v>
      </c>
      <c r="N12" s="81" t="s">
        <v>127</v>
      </c>
      <c r="O12" s="84">
        <v>0.19398907103825136</v>
      </c>
      <c r="P12" s="81" t="s">
        <v>222</v>
      </c>
      <c r="Q12" s="85">
        <v>7385.7142857142853</v>
      </c>
      <c r="R12" s="81" t="s">
        <v>177</v>
      </c>
      <c r="S12" s="85">
        <v>-8325.352112676057</v>
      </c>
      <c r="T12" s="81" t="s">
        <v>182</v>
      </c>
      <c r="U12" s="83">
        <v>0.16129032258064516</v>
      </c>
      <c r="V12" s="81" t="s">
        <v>182</v>
      </c>
      <c r="W12" s="83">
        <v>3.2258064516129031E-2</v>
      </c>
      <c r="X12" s="81" t="s">
        <v>182</v>
      </c>
      <c r="Y12" s="84">
        <v>0.192</v>
      </c>
      <c r="Z12" s="81" t="s">
        <v>177</v>
      </c>
      <c r="AA12" s="84">
        <v>0.18223234624145787</v>
      </c>
      <c r="AB12" s="81" t="s">
        <v>166</v>
      </c>
      <c r="AC12" s="84">
        <v>0.50847457627118642</v>
      </c>
      <c r="AD12" s="81" t="s">
        <v>181</v>
      </c>
      <c r="AE12" s="84">
        <v>0.30769230769230771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-473.10000000000014</v>
      </c>
      <c r="D13" s="81" t="s">
        <v>182</v>
      </c>
      <c r="E13" s="93">
        <v>-15.261290322580649</v>
      </c>
      <c r="F13" s="81" t="s">
        <v>182</v>
      </c>
      <c r="G13" s="82">
        <v>2.4516129032258065</v>
      </c>
      <c r="H13" s="81" t="s">
        <v>182</v>
      </c>
      <c r="I13" s="83">
        <v>9.6774193548387094E-2</v>
      </c>
      <c r="J13" s="81" t="s">
        <v>195</v>
      </c>
      <c r="K13" s="83">
        <v>0.5714285714285714</v>
      </c>
      <c r="L13" s="81" t="s">
        <v>182</v>
      </c>
      <c r="M13" s="84">
        <v>0.23200000000000001</v>
      </c>
      <c r="N13" s="81" t="s">
        <v>179</v>
      </c>
      <c r="O13" s="84">
        <v>0.20766129032258066</v>
      </c>
      <c r="P13" s="81" t="s">
        <v>166</v>
      </c>
      <c r="Q13" s="85">
        <v>7090.1960784313724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0.15404699738903394</v>
      </c>
      <c r="Z13" s="81" t="s">
        <v>181</v>
      </c>
      <c r="AA13" s="84">
        <v>0.14130434782608695</v>
      </c>
      <c r="AB13" s="81" t="s">
        <v>222</v>
      </c>
      <c r="AC13" s="84">
        <v>0.5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DAEBA-4F24-45C5-819C-B622F81A8F21}">
  <sheetPr codeName="Sheet4"/>
  <dimension ref="A1:Q47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477</v>
      </c>
      <c r="C2" s="149"/>
      <c r="E2" s="58" t="s">
        <v>66</v>
      </c>
      <c r="F2" s="55" t="s">
        <v>22</v>
      </c>
      <c r="G2" s="43">
        <v>900</v>
      </c>
      <c r="H2" s="128">
        <f>IF(B$17=0,0,G2/B$17)</f>
        <v>0.77519379844961245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-21.09704641350211</v>
      </c>
      <c r="P2" s="114">
        <v>474</v>
      </c>
      <c r="Q2" s="98">
        <v>-10000</v>
      </c>
    </row>
    <row r="3" spans="1:17" x14ac:dyDescent="0.4">
      <c r="A3" s="51" t="s">
        <v>8</v>
      </c>
      <c r="B3" s="150">
        <v>3948</v>
      </c>
      <c r="C3" s="151"/>
      <c r="E3" s="59" t="s">
        <v>72</v>
      </c>
      <c r="F3" s="56" t="s">
        <v>27</v>
      </c>
      <c r="G3" s="44">
        <v>625</v>
      </c>
      <c r="H3" s="129">
        <f>IF(B$17=0,0,G3/B$17)</f>
        <v>0.53832902670111971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6.4935064935064934</v>
      </c>
      <c r="P3" s="115">
        <v>462</v>
      </c>
      <c r="Q3" s="99">
        <v>3000</v>
      </c>
    </row>
    <row r="4" spans="1:17" x14ac:dyDescent="0.4">
      <c r="A4" s="51" t="s">
        <v>6</v>
      </c>
      <c r="B4" s="152">
        <v>-3.5527136788005009E-14</v>
      </c>
      <c r="C4" s="153"/>
      <c r="E4" s="59" t="s">
        <v>64</v>
      </c>
      <c r="F4" s="56" t="s">
        <v>20</v>
      </c>
      <c r="G4" s="44">
        <v>537</v>
      </c>
      <c r="H4" s="129">
        <f>IF(B$17=0,0,G4/B$17)</f>
        <v>0.46253229974160209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-18.140589569160998</v>
      </c>
      <c r="P4" s="115">
        <v>441</v>
      </c>
      <c r="Q4" s="99">
        <v>-8000</v>
      </c>
    </row>
    <row r="5" spans="1:17" x14ac:dyDescent="0.4">
      <c r="A5" s="51" t="s">
        <v>7</v>
      </c>
      <c r="B5" s="154">
        <f>IF(B$2=0,0,B$4/B$2)</f>
        <v>-7.4480370624748451E-17</v>
      </c>
      <c r="C5" s="155"/>
      <c r="E5" s="59" t="s">
        <v>171</v>
      </c>
      <c r="F5" s="56" t="s">
        <v>172</v>
      </c>
      <c r="G5" s="44">
        <v>457</v>
      </c>
      <c r="H5" s="129">
        <f>IF(B$17=0,0,G5/B$17)</f>
        <v>0.39362618432385876</v>
      </c>
      <c r="I5" s="90">
        <v>5</v>
      </c>
      <c r="K5" s="36">
        <v>3</v>
      </c>
      <c r="L5" s="95">
        <v>0</v>
      </c>
      <c r="N5" s="111" t="s">
        <v>133</v>
      </c>
      <c r="O5" s="118">
        <f t="shared" si="0"/>
        <v>14.388489208633093</v>
      </c>
      <c r="P5" s="115">
        <v>417</v>
      </c>
      <c r="Q5" s="99">
        <v>6000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368</v>
      </c>
      <c r="H6" s="129">
        <f>IF(B$17=0,0,G6/B$17)</f>
        <v>0.3169681309216193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10.178117048346056</v>
      </c>
      <c r="P6" s="115">
        <v>393</v>
      </c>
      <c r="Q6" s="99">
        <v>4000</v>
      </c>
    </row>
    <row r="7" spans="1:17" x14ac:dyDescent="0.4">
      <c r="A7" s="51" t="s">
        <v>2</v>
      </c>
      <c r="B7" s="44">
        <v>159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340</v>
      </c>
      <c r="H7" s="129">
        <f>IF(B$17=0,0,G7/B$17)</f>
        <v>0.29285099052540914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15.015015015015015</v>
      </c>
      <c r="P7" s="116">
        <v>333</v>
      </c>
      <c r="Q7" s="100">
        <v>5000</v>
      </c>
    </row>
    <row r="8" spans="1:17" x14ac:dyDescent="0.4">
      <c r="A8" s="51" t="s">
        <v>3</v>
      </c>
      <c r="B8" s="44">
        <v>159</v>
      </c>
      <c r="C8" s="37">
        <f t="shared" si="1"/>
        <v>0.33333333333333331</v>
      </c>
      <c r="E8" s="59" t="s">
        <v>69</v>
      </c>
      <c r="F8" s="56" t="s">
        <v>24</v>
      </c>
      <c r="G8" s="44">
        <v>182</v>
      </c>
      <c r="H8" s="129">
        <f>IF(B$17=0,0,G8/B$17)</f>
        <v>0.15676141257536608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159</v>
      </c>
      <c r="C9" s="38">
        <f t="shared" si="1"/>
        <v>0.33333333333333331</v>
      </c>
      <c r="E9" s="59" t="s">
        <v>89</v>
      </c>
      <c r="F9" s="56" t="s">
        <v>44</v>
      </c>
      <c r="G9" s="44">
        <v>153</v>
      </c>
      <c r="H9" s="129">
        <f>IF(B$17=0,0,G9/B$17)</f>
        <v>0.13178294573643412</v>
      </c>
      <c r="I9" s="90">
        <v>6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43</v>
      </c>
      <c r="C10" s="38">
        <f t="shared" si="1"/>
        <v>9.0146750524109018E-2</v>
      </c>
      <c r="E10" s="59" t="s">
        <v>65</v>
      </c>
      <c r="F10" s="56" t="s">
        <v>21</v>
      </c>
      <c r="G10" s="44">
        <v>117</v>
      </c>
      <c r="H10" s="129">
        <f>IF(B$17=0,0,G10/B$17)</f>
        <v>0.10077519379844961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-0.20000000000000037</v>
      </c>
      <c r="P10" s="114">
        <v>159</v>
      </c>
      <c r="Q10" s="102">
        <v>-31.800000000000061</v>
      </c>
    </row>
    <row r="11" spans="1:17" x14ac:dyDescent="0.4">
      <c r="A11" s="52" t="s">
        <v>138</v>
      </c>
      <c r="B11" s="45">
        <v>43</v>
      </c>
      <c r="C11" s="38">
        <f t="shared" si="1"/>
        <v>9.0146750524109018E-2</v>
      </c>
      <c r="E11" s="59" t="s">
        <v>70</v>
      </c>
      <c r="F11" s="56" t="s">
        <v>25</v>
      </c>
      <c r="G11" s="44">
        <v>110</v>
      </c>
      <c r="H11" s="129">
        <f>IF(B$17=0,0,G11/B$17)</f>
        <v>9.4745908699397072E-2</v>
      </c>
      <c r="I11" s="90">
        <v>6</v>
      </c>
      <c r="K11" s="36">
        <v>9</v>
      </c>
      <c r="L11" s="95">
        <v>0</v>
      </c>
      <c r="N11" s="111" t="s">
        <v>163</v>
      </c>
      <c r="O11" s="121">
        <f>IF(P11=0,0,Q11/P11)</f>
        <v>1.3503144654088048</v>
      </c>
      <c r="P11" s="115">
        <v>159</v>
      </c>
      <c r="Q11" s="103">
        <v>214.69999999999996</v>
      </c>
    </row>
    <row r="12" spans="1:17" x14ac:dyDescent="0.4">
      <c r="A12" s="53" t="s">
        <v>158</v>
      </c>
      <c r="B12" s="46">
        <v>49</v>
      </c>
      <c r="C12" s="40">
        <f t="shared" si="1"/>
        <v>0.10272536687631027</v>
      </c>
      <c r="E12" s="59" t="s">
        <v>71</v>
      </c>
      <c r="F12" s="56" t="s">
        <v>26</v>
      </c>
      <c r="G12" s="44">
        <v>93</v>
      </c>
      <c r="H12" s="129">
        <f>IF(B$17=0,0,G12/B$17)</f>
        <v>8.0103359173126609E-2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-1.1503144654088058</v>
      </c>
      <c r="P12" s="116">
        <v>159</v>
      </c>
      <c r="Q12" s="104">
        <v>-182.90000000000012</v>
      </c>
    </row>
    <row r="13" spans="1:17" x14ac:dyDescent="0.4">
      <c r="A13" s="54" t="s">
        <v>121</v>
      </c>
      <c r="B13" s="47">
        <v>994</v>
      </c>
      <c r="C13" s="42">
        <f>IF(B$3=0,0,B13/B$3)</f>
        <v>0.25177304964539005</v>
      </c>
      <c r="E13" s="59" t="s">
        <v>83</v>
      </c>
      <c r="F13" s="56" t="s">
        <v>38</v>
      </c>
      <c r="G13" s="44">
        <v>61</v>
      </c>
      <c r="H13" s="129">
        <f>IF(B$17=0,0,G13/B$17)</f>
        <v>5.2540913006029283E-2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911</v>
      </c>
      <c r="C14" s="37">
        <f>IF(B$3=0,0,B14/B$3)</f>
        <v>0.2307497467071935</v>
      </c>
      <c r="E14" s="59" t="s">
        <v>86</v>
      </c>
      <c r="F14" s="56" t="s">
        <v>41</v>
      </c>
      <c r="G14" s="44">
        <v>52</v>
      </c>
      <c r="H14" s="129">
        <f>IF(B$17=0,0,G14/B$17)</f>
        <v>4.4788975021533159E-2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560</v>
      </c>
      <c r="C15" s="35">
        <f>IF(B$13=0,0,B15/B$13)</f>
        <v>0.56338028169014087</v>
      </c>
      <c r="E15" s="59" t="s">
        <v>78</v>
      </c>
      <c r="F15" s="56" t="s">
        <v>33</v>
      </c>
      <c r="G15" s="44">
        <v>29</v>
      </c>
      <c r="H15" s="129">
        <f>IF(B$17=0,0,G15/B$17)</f>
        <v>2.4978466838931956E-2</v>
      </c>
      <c r="I15" s="90">
        <v>5</v>
      </c>
      <c r="K15" s="36">
        <v>13</v>
      </c>
      <c r="L15" s="95">
        <v>-1.7</v>
      </c>
      <c r="N15" s="110" t="s">
        <v>182</v>
      </c>
      <c r="O15" s="120">
        <f>IF(P15=0,0,Q15/P15)</f>
        <v>22.891935483870952</v>
      </c>
      <c r="P15" s="114">
        <v>62</v>
      </c>
      <c r="Q15" s="102">
        <v>1419.299999999999</v>
      </c>
    </row>
    <row r="16" spans="1:17" x14ac:dyDescent="0.4">
      <c r="A16" s="50" t="s">
        <v>124</v>
      </c>
      <c r="B16" s="43">
        <v>371</v>
      </c>
      <c r="C16" s="35">
        <f>IF(B$14=0,0,B16/B$14)</f>
        <v>0.40724478594950603</v>
      </c>
      <c r="E16" s="59" t="s">
        <v>167</v>
      </c>
      <c r="F16" s="56" t="s">
        <v>168</v>
      </c>
      <c r="G16" s="44">
        <v>28</v>
      </c>
      <c r="H16" s="129">
        <f>IF(B$17=0,0,G16/B$17)</f>
        <v>2.4117140396210164E-2</v>
      </c>
      <c r="I16" s="90">
        <v>3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1161</v>
      </c>
      <c r="C17" s="35">
        <f>IF(B$3=0,0,B17/B$3)</f>
        <v>0.29407294832826747</v>
      </c>
      <c r="E17" s="59" t="s">
        <v>81</v>
      </c>
      <c r="F17" s="56" t="s">
        <v>36</v>
      </c>
      <c r="G17" s="44">
        <v>22</v>
      </c>
      <c r="H17" s="129">
        <f>IF(B$17=0,0,G17/B$17)</f>
        <v>1.8949181739879414E-2</v>
      </c>
      <c r="I17" s="90">
        <v>7</v>
      </c>
      <c r="K17" s="36">
        <v>15</v>
      </c>
      <c r="L17" s="95">
        <v>0</v>
      </c>
      <c r="N17" s="111" t="s">
        <v>179</v>
      </c>
      <c r="O17" s="121">
        <f>IF(P17=0,0,Q17/P17)</f>
        <v>10.151694915254238</v>
      </c>
      <c r="P17" s="115">
        <v>118</v>
      </c>
      <c r="Q17" s="103">
        <v>1197.9000000000001</v>
      </c>
    </row>
    <row r="18" spans="1:17" x14ac:dyDescent="0.4">
      <c r="A18" s="51" t="s">
        <v>12</v>
      </c>
      <c r="B18" s="44">
        <v>508</v>
      </c>
      <c r="C18" s="37">
        <f>IF(B$17=0,0,B18/B$17)</f>
        <v>0.43755383290267014</v>
      </c>
      <c r="E18" s="59" t="s">
        <v>91</v>
      </c>
      <c r="F18" s="56" t="s">
        <v>46</v>
      </c>
      <c r="G18" s="44">
        <v>16</v>
      </c>
      <c r="H18" s="129">
        <f>IF(B$17=0,0,G18/B$17)</f>
        <v>1.3781223083548665E-2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4.9124999999999979</v>
      </c>
      <c r="P18" s="115">
        <v>88</v>
      </c>
      <c r="Q18" s="103">
        <v>432.29999999999978</v>
      </c>
    </row>
    <row r="19" spans="1:17" x14ac:dyDescent="0.4">
      <c r="A19" s="51" t="s">
        <v>11</v>
      </c>
      <c r="B19" s="44">
        <v>653</v>
      </c>
      <c r="C19" s="37">
        <f>IF(B$17=0,0,B19/B$17)</f>
        <v>0.56244616709732986</v>
      </c>
      <c r="E19" s="59" t="s">
        <v>79</v>
      </c>
      <c r="F19" s="56" t="s">
        <v>34</v>
      </c>
      <c r="G19" s="44">
        <v>15</v>
      </c>
      <c r="H19" s="129">
        <f>IF(B$17=0,0,G19/B$17)</f>
        <v>1.2919896640826873E-2</v>
      </c>
      <c r="I19" s="90">
        <v>5</v>
      </c>
      <c r="K19" s="36">
        <v>17</v>
      </c>
      <c r="L19" s="95">
        <v>-20.5</v>
      </c>
      <c r="N19" s="111" t="s">
        <v>181</v>
      </c>
      <c r="O19" s="121">
        <f>IF(P19=0,0,Q19/P19)</f>
        <v>2.4749999999999996</v>
      </c>
      <c r="P19" s="115">
        <v>40</v>
      </c>
      <c r="Q19" s="103">
        <v>98.999999999999986</v>
      </c>
    </row>
    <row r="20" spans="1:17" x14ac:dyDescent="0.4">
      <c r="A20" s="51" t="s">
        <v>13</v>
      </c>
      <c r="B20" s="44">
        <v>646</v>
      </c>
      <c r="C20" s="37">
        <f>IF(B$3=0,0,B20/B$3)</f>
        <v>0.16362715298885511</v>
      </c>
      <c r="E20" s="59" t="s">
        <v>75</v>
      </c>
      <c r="F20" s="56" t="s">
        <v>30</v>
      </c>
      <c r="G20" s="44">
        <v>7</v>
      </c>
      <c r="H20" s="129">
        <f>IF(B$17=0,0,G20/B$17)</f>
        <v>6.029285099052541E-3</v>
      </c>
      <c r="I20" s="90">
        <v>6</v>
      </c>
      <c r="K20" s="36">
        <v>18</v>
      </c>
      <c r="L20" s="95">
        <v>0</v>
      </c>
      <c r="N20" s="111" t="s">
        <v>178</v>
      </c>
      <c r="O20" s="121">
        <f>IF(P20=0,0,Q20/P20)</f>
        <v>1.7006493506493501</v>
      </c>
      <c r="P20" s="115">
        <v>154</v>
      </c>
      <c r="Q20" s="103">
        <v>261.89999999999992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74</v>
      </c>
      <c r="F21" s="56" t="s">
        <v>29</v>
      </c>
      <c r="G21" s="44">
        <v>6</v>
      </c>
      <c r="H21" s="129">
        <f>IF(B$17=0,0,G21/B$17)</f>
        <v>5.1679586563307496E-3</v>
      </c>
      <c r="I21" s="90">
        <v>5</v>
      </c>
      <c r="K21" s="36">
        <v>19</v>
      </c>
      <c r="L21" s="95">
        <v>-22.4</v>
      </c>
      <c r="N21" s="111" t="s">
        <v>127</v>
      </c>
      <c r="O21" s="121">
        <f>IF(P21=0,0,Q21/P21)</f>
        <v>-5.5377906976744242</v>
      </c>
      <c r="P21" s="115">
        <v>172</v>
      </c>
      <c r="Q21" s="103">
        <v>-952.50000000000102</v>
      </c>
    </row>
    <row r="22" spans="1:17" x14ac:dyDescent="0.4">
      <c r="A22" s="51" t="s">
        <v>170</v>
      </c>
      <c r="B22" s="44">
        <v>31</v>
      </c>
      <c r="C22" s="131">
        <v>0</v>
      </c>
      <c r="E22" s="59" t="s">
        <v>92</v>
      </c>
      <c r="F22" s="56" t="s">
        <v>47</v>
      </c>
      <c r="G22" s="44">
        <v>6</v>
      </c>
      <c r="H22" s="129">
        <f>IF(B$17=0,0,G22/B$17)</f>
        <v>5.1679586563307496E-3</v>
      </c>
      <c r="I22" s="90">
        <v>3</v>
      </c>
      <c r="K22" s="36">
        <v>20</v>
      </c>
      <c r="L22" s="95">
        <v>-61.199999999999996</v>
      </c>
      <c r="N22" s="111" t="s">
        <v>177</v>
      </c>
      <c r="O22" s="121">
        <f>IF(P22=0,0,Q22/P22)</f>
        <v>-7.0663636363636346</v>
      </c>
      <c r="P22" s="115">
        <v>110</v>
      </c>
      <c r="Q22" s="103">
        <v>-777.29999999999984</v>
      </c>
    </row>
    <row r="23" spans="1:17" x14ac:dyDescent="0.4">
      <c r="A23" s="51" t="s">
        <v>5</v>
      </c>
      <c r="B23" s="48">
        <f>IF(B$17=0,0,C23/B$17)</f>
        <v>8300</v>
      </c>
      <c r="C23" s="39">
        <v>9636300</v>
      </c>
      <c r="E23" s="59" t="s">
        <v>88</v>
      </c>
      <c r="F23" s="56" t="s">
        <v>43</v>
      </c>
      <c r="G23" s="44">
        <v>5</v>
      </c>
      <c r="H23" s="129">
        <f>IF(B$17=0,0,G23/B$17)</f>
        <v>4.3066322136089581E-3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-9.981249999999994</v>
      </c>
      <c r="P23" s="115">
        <v>192</v>
      </c>
      <c r="Q23" s="103">
        <v>-1916.3999999999987</v>
      </c>
    </row>
    <row r="24" spans="1:17" x14ac:dyDescent="0.4">
      <c r="A24" s="52" t="s">
        <v>216</v>
      </c>
      <c r="B24" s="136">
        <f>IF($B$17-B$16=0,0,C24/($B$17-B$16))</f>
        <v>8775.316455696202</v>
      </c>
      <c r="C24" s="137">
        <v>6932500</v>
      </c>
      <c r="E24" s="59" t="s">
        <v>73</v>
      </c>
      <c r="F24" s="56" t="s">
        <v>28</v>
      </c>
      <c r="G24" s="44">
        <v>4</v>
      </c>
      <c r="H24" s="129">
        <f>IF(B$17=0,0,G24/B$17)</f>
        <v>3.4453057708871662E-3</v>
      </c>
      <c r="I24" s="90">
        <v>3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7287.8706199460912</v>
      </c>
      <c r="C25" s="137">
        <v>2703800</v>
      </c>
      <c r="E25" s="59" t="s">
        <v>77</v>
      </c>
      <c r="F25" s="56" t="s">
        <v>32</v>
      </c>
      <c r="G25" s="44">
        <v>4</v>
      </c>
      <c r="H25" s="129">
        <f>IF(B$17=0,0,G25/B$17)</f>
        <v>3.4453057708871662E-3</v>
      </c>
      <c r="I25" s="90">
        <v>3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-7760.5263157894733</v>
      </c>
      <c r="C26" s="137">
        <v>-5013300</v>
      </c>
      <c r="E26" s="59" t="s">
        <v>84</v>
      </c>
      <c r="F26" s="56" t="s">
        <v>39</v>
      </c>
      <c r="G26" s="44">
        <v>4</v>
      </c>
      <c r="H26" s="129">
        <f>IF(B$17=0,0,G26/B$17)</f>
        <v>3.4453057708871662E-3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85</v>
      </c>
      <c r="F27" s="56" t="s">
        <v>40</v>
      </c>
      <c r="G27" s="44">
        <v>4</v>
      </c>
      <c r="H27" s="129">
        <f>IF(B$17=0,0,G27/B$17)</f>
        <v>3.4453057708871662E-3</v>
      </c>
      <c r="I27" s="90">
        <v>5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103600</v>
      </c>
      <c r="C28" s="141"/>
      <c r="E28" s="59" t="s">
        <v>95</v>
      </c>
      <c r="F28" s="56" t="s">
        <v>50</v>
      </c>
      <c r="G28" s="44">
        <v>3</v>
      </c>
      <c r="H28" s="129">
        <f>IF(B$17=0,0,G28/B$17)</f>
        <v>2.5839793281653748E-3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12</v>
      </c>
      <c r="C29" s="40">
        <f>IF(B$3=0,0,B29/B$3)</f>
        <v>3.0395136778115501E-3</v>
      </c>
      <c r="E29" s="59" t="s">
        <v>87</v>
      </c>
      <c r="F29" s="56" t="s">
        <v>42</v>
      </c>
      <c r="G29" s="44">
        <v>2</v>
      </c>
      <c r="H29" s="129">
        <f>IF(B$17=0,0,G29/B$17)</f>
        <v>1.7226528854435831E-3</v>
      </c>
      <c r="I29" s="90">
        <v>3</v>
      </c>
      <c r="K29" s="36">
        <v>27</v>
      </c>
      <c r="L29" s="95">
        <v>6.7723604502134549E-15</v>
      </c>
    </row>
    <row r="30" spans="1:17" x14ac:dyDescent="0.4">
      <c r="E30" s="59" t="s">
        <v>90</v>
      </c>
      <c r="F30" s="56" t="s">
        <v>45</v>
      </c>
      <c r="G30" s="44">
        <v>2</v>
      </c>
      <c r="H30" s="129">
        <f>IF(B$17=0,0,G30/B$17)</f>
        <v>1.7226528854435831E-3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93</v>
      </c>
      <c r="F31" s="56" t="s">
        <v>48</v>
      </c>
      <c r="G31" s="44">
        <v>2</v>
      </c>
      <c r="H31" s="129">
        <f>IF(B$17=0,0,G31/B$17)</f>
        <v>1.7226528854435831E-3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101</v>
      </c>
      <c r="F32" s="56" t="s">
        <v>56</v>
      </c>
      <c r="G32" s="44">
        <v>1</v>
      </c>
      <c r="H32" s="129">
        <f>IF(B$17=0,0,G32/B$17)</f>
        <v>8.6132644272179156E-4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96807-210F-446B-859E-F5885C981433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44</v>
      </c>
      <c r="C2" s="149"/>
      <c r="E2" s="58" t="s">
        <v>66</v>
      </c>
      <c r="F2" s="55" t="s">
        <v>22</v>
      </c>
      <c r="G2" s="43">
        <v>68</v>
      </c>
      <c r="H2" s="128">
        <f>IF(B$17=0,0,G2/B$17)</f>
        <v>0.66666666666666663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1477.2727272727273</v>
      </c>
      <c r="P2" s="114">
        <v>44</v>
      </c>
      <c r="Q2" s="98">
        <v>65000</v>
      </c>
    </row>
    <row r="3" spans="1:17" x14ac:dyDescent="0.4">
      <c r="A3" s="51" t="s">
        <v>8</v>
      </c>
      <c r="B3" s="150">
        <v>383</v>
      </c>
      <c r="C3" s="151"/>
      <c r="E3" s="59" t="s">
        <v>72</v>
      </c>
      <c r="F3" s="56" t="s">
        <v>27</v>
      </c>
      <c r="G3" s="44">
        <v>51</v>
      </c>
      <c r="H3" s="129">
        <f>IF(B$17=0,0,G3/B$17)</f>
        <v>0.5</v>
      </c>
      <c r="I3" s="90">
        <v>8</v>
      </c>
      <c r="K3" s="36">
        <v>1</v>
      </c>
      <c r="L3" s="95">
        <v>-4.5999999999999996</v>
      </c>
      <c r="N3" s="111" t="s">
        <v>131</v>
      </c>
      <c r="O3" s="118">
        <f t="shared" si="0"/>
        <v>-646.51162790697674</v>
      </c>
      <c r="P3" s="115">
        <v>43</v>
      </c>
      <c r="Q3" s="99">
        <v>-27800</v>
      </c>
    </row>
    <row r="4" spans="1:17" x14ac:dyDescent="0.4">
      <c r="A4" s="51" t="s">
        <v>6</v>
      </c>
      <c r="B4" s="152">
        <v>-144.10000000000005</v>
      </c>
      <c r="C4" s="153"/>
      <c r="E4" s="59" t="s">
        <v>171</v>
      </c>
      <c r="F4" s="56" t="s">
        <v>172</v>
      </c>
      <c r="G4" s="44">
        <v>38</v>
      </c>
      <c r="H4" s="129">
        <f>IF(B$17=0,0,G4/B$17)</f>
        <v>0.37254901960784315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-751.21951219512198</v>
      </c>
      <c r="P4" s="115">
        <v>41</v>
      </c>
      <c r="Q4" s="99">
        <v>-30800</v>
      </c>
    </row>
    <row r="5" spans="1:17" x14ac:dyDescent="0.4">
      <c r="A5" s="51" t="s">
        <v>7</v>
      </c>
      <c r="B5" s="154">
        <f>IF(B$2=0,0,B$4/B$2)</f>
        <v>-3.2750000000000012</v>
      </c>
      <c r="C5" s="155"/>
      <c r="E5" s="59" t="s">
        <v>68</v>
      </c>
      <c r="F5" s="56" t="s">
        <v>12</v>
      </c>
      <c r="G5" s="44">
        <v>30</v>
      </c>
      <c r="H5" s="129">
        <f>IF(B$17=0,0,G5/B$17)</f>
        <v>0.29411764705882354</v>
      </c>
      <c r="I5" s="90">
        <v>7</v>
      </c>
      <c r="K5" s="36">
        <v>3</v>
      </c>
      <c r="L5" s="95">
        <v>-8.3000000000000007</v>
      </c>
      <c r="N5" s="111" t="s">
        <v>133</v>
      </c>
      <c r="O5" s="118">
        <f t="shared" si="0"/>
        <v>-1558.5365853658536</v>
      </c>
      <c r="P5" s="115">
        <v>41</v>
      </c>
      <c r="Q5" s="99">
        <v>-63900</v>
      </c>
    </row>
    <row r="6" spans="1:17" x14ac:dyDescent="0.4">
      <c r="A6" s="51" t="s">
        <v>1</v>
      </c>
      <c r="B6" s="144">
        <f>IF(B$2=0,0,(B$7*1+B$8*2+B$9*3)/B$2)</f>
        <v>2.0681818181818183</v>
      </c>
      <c r="C6" s="145"/>
      <c r="E6" s="59" t="s">
        <v>64</v>
      </c>
      <c r="F6" s="56" t="s">
        <v>20</v>
      </c>
      <c r="G6" s="44">
        <v>29</v>
      </c>
      <c r="H6" s="129">
        <f>IF(B$17=0,0,G6/B$17)</f>
        <v>0.28431372549019607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-85.365853658536579</v>
      </c>
      <c r="P6" s="115">
        <v>41</v>
      </c>
      <c r="Q6" s="99">
        <v>-3500</v>
      </c>
    </row>
    <row r="7" spans="1:17" x14ac:dyDescent="0.4">
      <c r="A7" s="51" t="s">
        <v>2</v>
      </c>
      <c r="B7" s="44">
        <v>15</v>
      </c>
      <c r="C7" s="37">
        <f t="shared" ref="C7:C12" si="1">IF(B$2=0,0,B7/B$2)</f>
        <v>0.34090909090909088</v>
      </c>
      <c r="E7" s="59" t="s">
        <v>69</v>
      </c>
      <c r="F7" s="56" t="s">
        <v>24</v>
      </c>
      <c r="G7" s="44">
        <v>23</v>
      </c>
      <c r="H7" s="129">
        <f>IF(B$17=0,0,G7/B$17)</f>
        <v>0.22549019607843138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-1571.4285714285713</v>
      </c>
      <c r="P7" s="116">
        <v>35</v>
      </c>
      <c r="Q7" s="100">
        <v>-55000</v>
      </c>
    </row>
    <row r="8" spans="1:17" x14ac:dyDescent="0.4">
      <c r="A8" s="51" t="s">
        <v>3</v>
      </c>
      <c r="B8" s="44">
        <v>11</v>
      </c>
      <c r="C8" s="37">
        <f t="shared" si="1"/>
        <v>0.25</v>
      </c>
      <c r="E8" s="59" t="s">
        <v>70</v>
      </c>
      <c r="F8" s="56" t="s">
        <v>25</v>
      </c>
      <c r="G8" s="44">
        <v>17</v>
      </c>
      <c r="H8" s="129">
        <f>IF(B$17=0,0,G8/B$17)</f>
        <v>0.16666666666666666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0.40909090909090912</v>
      </c>
      <c r="E9" s="59" t="s">
        <v>67</v>
      </c>
      <c r="F9" s="56" t="s">
        <v>23</v>
      </c>
      <c r="G9" s="44">
        <v>12</v>
      </c>
      <c r="H9" s="129">
        <f>IF(B$17=0,0,G9/B$17)</f>
        <v>0.11764705882352941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10</v>
      </c>
      <c r="H10" s="129">
        <f>IF(B$17=0,0,G10/B$17)</f>
        <v>9.8039215686274508E-2</v>
      </c>
      <c r="I10" s="90">
        <v>4</v>
      </c>
      <c r="K10" s="36">
        <v>8</v>
      </c>
      <c r="L10" s="95">
        <v>-76.900000000000006</v>
      </c>
      <c r="N10" s="110" t="s">
        <v>162</v>
      </c>
      <c r="O10" s="120">
        <f>IF(P10=0,0,Q10/P10)</f>
        <v>-1.5071428571428567</v>
      </c>
      <c r="P10" s="114">
        <v>14</v>
      </c>
      <c r="Q10" s="102">
        <v>-21.099999999999994</v>
      </c>
    </row>
    <row r="11" spans="1:17" x14ac:dyDescent="0.4">
      <c r="A11" s="52" t="s">
        <v>138</v>
      </c>
      <c r="B11" s="45">
        <v>2</v>
      </c>
      <c r="C11" s="38">
        <f t="shared" si="1"/>
        <v>4.5454545454545456E-2</v>
      </c>
      <c r="E11" s="59" t="s">
        <v>83</v>
      </c>
      <c r="F11" s="56" t="s">
        <v>38</v>
      </c>
      <c r="G11" s="44">
        <v>9</v>
      </c>
      <c r="H11" s="129">
        <f>IF(B$17=0,0,G11/B$17)</f>
        <v>8.8235294117647065E-2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-5.4461538461538446</v>
      </c>
      <c r="P11" s="115">
        <v>13</v>
      </c>
      <c r="Q11" s="103">
        <v>-70.799999999999983</v>
      </c>
    </row>
    <row r="12" spans="1:17" x14ac:dyDescent="0.4">
      <c r="A12" s="53" t="s">
        <v>158</v>
      </c>
      <c r="B12" s="46">
        <v>7</v>
      </c>
      <c r="C12" s="40">
        <f t="shared" si="1"/>
        <v>0.15909090909090909</v>
      </c>
      <c r="E12" s="59" t="s">
        <v>65</v>
      </c>
      <c r="F12" s="56" t="s">
        <v>21</v>
      </c>
      <c r="G12" s="44">
        <v>8</v>
      </c>
      <c r="H12" s="129">
        <f>IF(B$17=0,0,G12/B$17)</f>
        <v>7.8431372549019607E-2</v>
      </c>
      <c r="I12" s="90">
        <v>9</v>
      </c>
      <c r="K12" s="36">
        <v>10</v>
      </c>
      <c r="L12" s="95">
        <v>-32.700000000000003</v>
      </c>
      <c r="N12" s="112" t="s">
        <v>164</v>
      </c>
      <c r="O12" s="122">
        <f>IF(P12=0,0,Q12/P12)</f>
        <v>-3.070588235294117</v>
      </c>
      <c r="P12" s="116">
        <v>17</v>
      </c>
      <c r="Q12" s="104">
        <v>-52.199999999999989</v>
      </c>
    </row>
    <row r="13" spans="1:17" x14ac:dyDescent="0.4">
      <c r="A13" s="54" t="s">
        <v>121</v>
      </c>
      <c r="B13" s="47">
        <v>59</v>
      </c>
      <c r="C13" s="42">
        <f>IF(B$3=0,0,B13/B$3)</f>
        <v>0.15404699738903394</v>
      </c>
      <c r="E13" s="59" t="s">
        <v>89</v>
      </c>
      <c r="F13" s="56" t="s">
        <v>44</v>
      </c>
      <c r="G13" s="44">
        <v>7</v>
      </c>
      <c r="H13" s="129">
        <f>IF(B$17=0,0,G13/B$17)</f>
        <v>6.8627450980392163E-2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87</v>
      </c>
      <c r="C14" s="37">
        <f>IF(B$3=0,0,B14/B$3)</f>
        <v>0.22715404699738903</v>
      </c>
      <c r="E14" s="59" t="s">
        <v>81</v>
      </c>
      <c r="F14" s="56" t="s">
        <v>36</v>
      </c>
      <c r="G14" s="44">
        <v>4</v>
      </c>
      <c r="H14" s="129">
        <f>IF(B$17=0,0,G14/B$17)</f>
        <v>3.9215686274509803E-2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30</v>
      </c>
      <c r="C15" s="35">
        <f>IF(B$13=0,0,B15/B$13)</f>
        <v>0.50847457627118642</v>
      </c>
      <c r="E15" s="59" t="s">
        <v>86</v>
      </c>
      <c r="F15" s="56" t="s">
        <v>41</v>
      </c>
      <c r="G15" s="44">
        <v>3</v>
      </c>
      <c r="H15" s="129">
        <f>IF(B$17=0,0,G15/B$17)</f>
        <v>2.9411764705882353E-2</v>
      </c>
      <c r="I15" s="90">
        <v>8</v>
      </c>
      <c r="K15" s="36">
        <v>13</v>
      </c>
      <c r="L15" s="95">
        <v>-66.2</v>
      </c>
      <c r="N15" s="110" t="s">
        <v>181</v>
      </c>
      <c r="O15" s="120">
        <f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32</v>
      </c>
      <c r="C16" s="35">
        <f>IF(B$14=0,0,B16/B$14)</f>
        <v>0.36781609195402298</v>
      </c>
      <c r="E16" s="59" t="s">
        <v>91</v>
      </c>
      <c r="F16" s="56" t="s">
        <v>46</v>
      </c>
      <c r="G16" s="44">
        <v>3</v>
      </c>
      <c r="H16" s="129">
        <f>IF(B$17=0,0,G16/B$17)</f>
        <v>2.9411764705882353E-2</v>
      </c>
      <c r="I16" s="90">
        <v>2</v>
      </c>
      <c r="K16" s="36">
        <v>14</v>
      </c>
      <c r="L16" s="95">
        <v>-51.1</v>
      </c>
      <c r="N16" s="111" t="s">
        <v>178</v>
      </c>
      <c r="O16" s="121">
        <f>IF(P16=0,0,Q16/P16)</f>
        <v>0.50000000000000067</v>
      </c>
      <c r="P16" s="115">
        <v>15</v>
      </c>
      <c r="Q16" s="103">
        <v>7.5000000000000107</v>
      </c>
    </row>
    <row r="17" spans="1:17" x14ac:dyDescent="0.4">
      <c r="A17" s="50" t="s">
        <v>10</v>
      </c>
      <c r="B17" s="43">
        <f>B19+B18</f>
        <v>102</v>
      </c>
      <c r="C17" s="35">
        <f>IF(B$3=0,0,B17/B$3)</f>
        <v>0.26631853785900783</v>
      </c>
      <c r="E17" s="59" t="s">
        <v>88</v>
      </c>
      <c r="F17" s="56" t="s">
        <v>43</v>
      </c>
      <c r="G17" s="44">
        <v>2</v>
      </c>
      <c r="H17" s="129">
        <f>IF(B$17=0,0,G17/B$17)</f>
        <v>1.9607843137254902E-2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>IF(P17=0,0,Q17/P17)</f>
        <v>-1.1173913043478263</v>
      </c>
      <c r="P17" s="115">
        <v>23</v>
      </c>
      <c r="Q17" s="103">
        <v>-25.700000000000003</v>
      </c>
    </row>
    <row r="18" spans="1:17" x14ac:dyDescent="0.4">
      <c r="A18" s="51" t="s">
        <v>12</v>
      </c>
      <c r="B18" s="44">
        <v>42</v>
      </c>
      <c r="C18" s="37">
        <f>IF(B$17=0,0,B18/B$17)</f>
        <v>0.41176470588235292</v>
      </c>
      <c r="E18" s="59" t="s">
        <v>74</v>
      </c>
      <c r="F18" s="56" t="s">
        <v>29</v>
      </c>
      <c r="G18" s="44">
        <v>1</v>
      </c>
      <c r="H18" s="129">
        <f>IF(B$17=0,0,G18/B$17)</f>
        <v>9.8039215686274508E-3</v>
      </c>
      <c r="I18" s="90">
        <v>2</v>
      </c>
      <c r="K18" s="36">
        <v>16</v>
      </c>
      <c r="L18" s="95">
        <v>-70.600000000000009</v>
      </c>
      <c r="N18" s="111" t="s">
        <v>127</v>
      </c>
      <c r="O18" s="121">
        <f>IF(P18=0,0,Q18/P18)</f>
        <v>-4.1100000000000012</v>
      </c>
      <c r="P18" s="115">
        <v>20</v>
      </c>
      <c r="Q18" s="103">
        <v>-82.200000000000017</v>
      </c>
    </row>
    <row r="19" spans="1:17" x14ac:dyDescent="0.4">
      <c r="A19" s="51" t="s">
        <v>11</v>
      </c>
      <c r="B19" s="44">
        <v>60</v>
      </c>
      <c r="C19" s="37">
        <f>IF(B$17=0,0,B19/B$17)</f>
        <v>0.58823529411764708</v>
      </c>
      <c r="E19" s="59" t="s">
        <v>75</v>
      </c>
      <c r="F19" s="56" t="s">
        <v>30</v>
      </c>
      <c r="G19" s="44">
        <v>1</v>
      </c>
      <c r="H19" s="129">
        <f>IF(B$17=0,0,G19/B$17)</f>
        <v>9.8039215686274508E-3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>IF(P19=0,0,Q19/P19)</f>
        <v>-7.0692307692307708</v>
      </c>
      <c r="P19" s="115">
        <v>13</v>
      </c>
      <c r="Q19" s="103">
        <v>-91.90000000000002</v>
      </c>
    </row>
    <row r="20" spans="1:17" x14ac:dyDescent="0.4">
      <c r="A20" s="51" t="s">
        <v>13</v>
      </c>
      <c r="B20" s="44">
        <v>53</v>
      </c>
      <c r="C20" s="37">
        <f>IF(B$3=0,0,B20/B$3)</f>
        <v>0.13838120104438642</v>
      </c>
      <c r="E20" s="59" t="s">
        <v>77</v>
      </c>
      <c r="F20" s="56" t="s">
        <v>32</v>
      </c>
      <c r="G20" s="44">
        <v>1</v>
      </c>
      <c r="H20" s="129">
        <f>IF(B$17=0,0,G20/B$17)</f>
        <v>9.8039215686274508E-3</v>
      </c>
      <c r="I20" s="90">
        <v>2</v>
      </c>
      <c r="K20" s="36">
        <v>18</v>
      </c>
      <c r="L20" s="95">
        <v>-80.2</v>
      </c>
      <c r="N20" s="111" t="s">
        <v>177</v>
      </c>
      <c r="O20" s="121">
        <f>IF(P20=0,0,Q20/P20)</f>
        <v>-24.4</v>
      </c>
      <c r="P20" s="115">
        <v>7</v>
      </c>
      <c r="Q20" s="103">
        <v>-170.79999999999998</v>
      </c>
    </row>
    <row r="21" spans="1:17" x14ac:dyDescent="0.4">
      <c r="A21" s="51" t="s">
        <v>169</v>
      </c>
      <c r="B21" s="44">
        <v>4</v>
      </c>
      <c r="C21" s="131">
        <v>1</v>
      </c>
      <c r="E21" s="59" t="s">
        <v>93</v>
      </c>
      <c r="F21" s="56" t="s">
        <v>48</v>
      </c>
      <c r="G21" s="44">
        <v>1</v>
      </c>
      <c r="H21" s="129">
        <f>IF(B$17=0,0,G21/B$17)</f>
        <v>9.8039215686274508E-3</v>
      </c>
      <c r="I21" s="90">
        <v>1</v>
      </c>
      <c r="K21" s="36">
        <v>19</v>
      </c>
      <c r="L21" s="95">
        <v>-115.1</v>
      </c>
      <c r="N21" s="111" t="s">
        <v>182</v>
      </c>
      <c r="O21" s="121">
        <f>IF(P21=0,0,Q21/P21)</f>
        <v>-28.449999999999996</v>
      </c>
      <c r="P21" s="115">
        <v>4</v>
      </c>
      <c r="Q21" s="103">
        <v>-113.79999999999998</v>
      </c>
    </row>
    <row r="22" spans="1:17" x14ac:dyDescent="0.4">
      <c r="A22" s="51" t="s">
        <v>170</v>
      </c>
      <c r="B22" s="44">
        <v>30</v>
      </c>
      <c r="C22" s="131">
        <v>30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7090.1960784313724</v>
      </c>
      <c r="C23" s="39">
        <v>723200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7577.1428571428569</v>
      </c>
      <c r="C24" s="137">
        <v>530400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6025</v>
      </c>
      <c r="C25" s="137">
        <v>192800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-6775.4716981132078</v>
      </c>
      <c r="C26" s="137">
        <v>-359100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5.2219321148825066E-3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0D46E-CE13-474F-87E8-579E85EB1E93}">
  <sheetPr codeName="Sheet9"/>
  <dimension ref="A1:Q9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96</v>
      </c>
      <c r="C2" s="149"/>
      <c r="E2" s="58" t="s">
        <v>66</v>
      </c>
      <c r="F2" s="55" t="s">
        <v>22</v>
      </c>
      <c r="G2" s="43">
        <v>178</v>
      </c>
      <c r="H2" s="128">
        <f>IF(B$17=0,0,G2/B$17)</f>
        <v>0.68992248062015504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758.9473684210526</v>
      </c>
      <c r="P2" s="114">
        <v>95</v>
      </c>
      <c r="Q2" s="98">
        <v>72100</v>
      </c>
    </row>
    <row r="3" spans="1:17" x14ac:dyDescent="0.4">
      <c r="A3" s="51" t="s">
        <v>8</v>
      </c>
      <c r="B3" s="150">
        <v>770</v>
      </c>
      <c r="C3" s="151"/>
      <c r="E3" s="59" t="s">
        <v>72</v>
      </c>
      <c r="F3" s="56" t="s">
        <v>27</v>
      </c>
      <c r="G3" s="44">
        <v>126</v>
      </c>
      <c r="H3" s="129">
        <f>IF(B$17=0,0,G3/B$17)</f>
        <v>0.48837209302325579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-86.956521739130437</v>
      </c>
      <c r="P3" s="115">
        <v>92</v>
      </c>
      <c r="Q3" s="99">
        <v>-8000</v>
      </c>
    </row>
    <row r="4" spans="1:17" x14ac:dyDescent="0.4">
      <c r="A4" s="51" t="s">
        <v>6</v>
      </c>
      <c r="B4" s="152">
        <v>638.79999999999995</v>
      </c>
      <c r="C4" s="153"/>
      <c r="E4" s="59" t="s">
        <v>64</v>
      </c>
      <c r="F4" s="56" t="s">
        <v>20</v>
      </c>
      <c r="G4" s="44">
        <v>116</v>
      </c>
      <c r="H4" s="129">
        <f>IF(B$17=0,0,G4/B$17)</f>
        <v>0.44961240310077522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-136.66666666666666</v>
      </c>
      <c r="P4" s="115">
        <v>90</v>
      </c>
      <c r="Q4" s="99">
        <v>-12300</v>
      </c>
    </row>
    <row r="5" spans="1:17" x14ac:dyDescent="0.4">
      <c r="A5" s="51" t="s">
        <v>7</v>
      </c>
      <c r="B5" s="154">
        <f>IF(B$2=0,0,B$4/B$2)</f>
        <v>6.6541666666666659</v>
      </c>
      <c r="C5" s="155"/>
      <c r="E5" s="59" t="s">
        <v>171</v>
      </c>
      <c r="F5" s="56" t="s">
        <v>172</v>
      </c>
      <c r="G5" s="44">
        <v>93</v>
      </c>
      <c r="H5" s="129">
        <f>IF(B$17=0,0,G5/B$17)</f>
        <v>0.36046511627906974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-270.73170731707319</v>
      </c>
      <c r="P5" s="115">
        <v>82</v>
      </c>
      <c r="Q5" s="99">
        <v>-22200</v>
      </c>
    </row>
    <row r="6" spans="1:17" x14ac:dyDescent="0.4">
      <c r="A6" s="51" t="s">
        <v>1</v>
      </c>
      <c r="B6" s="144">
        <f>IF(B$2=0,0,(B$7*1+B$8*2+B$9*3)/B$2)</f>
        <v>1.78125</v>
      </c>
      <c r="C6" s="145"/>
      <c r="E6" s="59" t="s">
        <v>68</v>
      </c>
      <c r="F6" s="56" t="s">
        <v>12</v>
      </c>
      <c r="G6" s="44">
        <v>76</v>
      </c>
      <c r="H6" s="129">
        <f>IF(B$17=0,0,G6/B$17)</f>
        <v>0.29457364341085274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2202.5641025641025</v>
      </c>
      <c r="P6" s="115">
        <v>78</v>
      </c>
      <c r="Q6" s="99">
        <v>171800</v>
      </c>
    </row>
    <row r="7" spans="1:17" x14ac:dyDescent="0.4">
      <c r="A7" s="51" t="s">
        <v>2</v>
      </c>
      <c r="B7" s="44">
        <v>45</v>
      </c>
      <c r="C7" s="37">
        <f t="shared" ref="C7:C12" si="1">IF(B$2=0,0,B7/B$2)</f>
        <v>0.46875</v>
      </c>
      <c r="E7" s="59" t="s">
        <v>67</v>
      </c>
      <c r="F7" s="56" t="s">
        <v>23</v>
      </c>
      <c r="G7" s="44">
        <v>67</v>
      </c>
      <c r="H7" s="129">
        <f>IF(B$17=0,0,G7/B$17)</f>
        <v>0.25968992248062017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3040</v>
      </c>
      <c r="P7" s="116">
        <v>65</v>
      </c>
      <c r="Q7" s="100">
        <v>197600</v>
      </c>
    </row>
    <row r="8" spans="1:17" x14ac:dyDescent="0.4">
      <c r="A8" s="51" t="s">
        <v>3</v>
      </c>
      <c r="B8" s="44">
        <v>27</v>
      </c>
      <c r="C8" s="37">
        <f t="shared" si="1"/>
        <v>0.28125</v>
      </c>
      <c r="E8" s="59" t="s">
        <v>69</v>
      </c>
      <c r="F8" s="56" t="s">
        <v>24</v>
      </c>
      <c r="G8" s="44">
        <v>43</v>
      </c>
      <c r="H8" s="129">
        <f>IF(B$17=0,0,G8/B$17)</f>
        <v>0.16666666666666666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0.25</v>
      </c>
      <c r="E9" s="59" t="s">
        <v>89</v>
      </c>
      <c r="F9" s="56" t="s">
        <v>44</v>
      </c>
      <c r="G9" s="44">
        <v>42</v>
      </c>
      <c r="H9" s="129">
        <f>IF(B$17=0,0,G9/B$17)</f>
        <v>0.16279069767441862</v>
      </c>
      <c r="I9" s="90">
        <v>3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5.2083333333333336E-2</v>
      </c>
      <c r="E10" s="59" t="s">
        <v>65</v>
      </c>
      <c r="F10" s="56" t="s">
        <v>21</v>
      </c>
      <c r="G10" s="44">
        <v>30</v>
      </c>
      <c r="H10" s="129">
        <f>IF(B$17=0,0,G10/B$17)</f>
        <v>0.11627906976744186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9.9962962962962951</v>
      </c>
      <c r="P10" s="114">
        <v>27</v>
      </c>
      <c r="Q10" s="102">
        <v>269.89999999999998</v>
      </c>
    </row>
    <row r="11" spans="1:17" x14ac:dyDescent="0.4">
      <c r="A11" s="52" t="s">
        <v>138</v>
      </c>
      <c r="B11" s="45">
        <v>9</v>
      </c>
      <c r="C11" s="38">
        <f t="shared" si="1"/>
        <v>9.375E-2</v>
      </c>
      <c r="E11" s="59" t="s">
        <v>71</v>
      </c>
      <c r="F11" s="56" t="s">
        <v>26</v>
      </c>
      <c r="G11" s="44">
        <v>20</v>
      </c>
      <c r="H11" s="129">
        <f>IF(B$17=0,0,G11/B$17)</f>
        <v>7.7519379844961239E-2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2.6657142857142864</v>
      </c>
      <c r="P11" s="115">
        <v>35</v>
      </c>
      <c r="Q11" s="103">
        <v>93.300000000000026</v>
      </c>
    </row>
    <row r="12" spans="1:17" x14ac:dyDescent="0.4">
      <c r="A12" s="53" t="s">
        <v>158</v>
      </c>
      <c r="B12" s="46">
        <v>11</v>
      </c>
      <c r="C12" s="40">
        <f t="shared" si="1"/>
        <v>0.11458333333333333</v>
      </c>
      <c r="E12" s="59" t="s">
        <v>70</v>
      </c>
      <c r="F12" s="56" t="s">
        <v>25</v>
      </c>
      <c r="G12" s="44">
        <v>14</v>
      </c>
      <c r="H12" s="129">
        <f>IF(B$17=0,0,G12/B$17)</f>
        <v>5.4263565891472867E-2</v>
      </c>
      <c r="I12" s="90">
        <v>11</v>
      </c>
      <c r="K12" s="36">
        <v>10</v>
      </c>
      <c r="L12" s="95">
        <v>158.19999999999999</v>
      </c>
      <c r="N12" s="112" t="s">
        <v>164</v>
      </c>
      <c r="O12" s="122">
        <f>IF(P12=0,0,Q12/P12)</f>
        <v>8.1058823529411761</v>
      </c>
      <c r="P12" s="116">
        <v>34</v>
      </c>
      <c r="Q12" s="104">
        <v>275.59999999999997</v>
      </c>
    </row>
    <row r="13" spans="1:17" x14ac:dyDescent="0.4">
      <c r="A13" s="54" t="s">
        <v>121</v>
      </c>
      <c r="B13" s="47">
        <v>209</v>
      </c>
      <c r="C13" s="42">
        <f>IF(B$3=0,0,B13/B$3)</f>
        <v>0.27142857142857141</v>
      </c>
      <c r="E13" s="59" t="s">
        <v>83</v>
      </c>
      <c r="F13" s="56" t="s">
        <v>38</v>
      </c>
      <c r="G13" s="44">
        <v>12</v>
      </c>
      <c r="H13" s="129">
        <f>IF(B$17=0,0,G13/B$17)</f>
        <v>4.6511627906976744E-2</v>
      </c>
      <c r="I13" s="90">
        <v>8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173</v>
      </c>
      <c r="C14" s="37">
        <f>IF(B$3=0,0,B14/B$3)</f>
        <v>0.22467532467532467</v>
      </c>
      <c r="E14" s="59" t="s">
        <v>86</v>
      </c>
      <c r="F14" s="56" t="s">
        <v>41</v>
      </c>
      <c r="G14" s="44">
        <v>11</v>
      </c>
      <c r="H14" s="129">
        <f>IF(B$17=0,0,G14/B$17)</f>
        <v>4.2635658914728682E-2</v>
      </c>
      <c r="I14" s="90">
        <v>6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124</v>
      </c>
      <c r="C15" s="35">
        <f>IF(B$13=0,0,B15/B$13)</f>
        <v>0.59330143540669855</v>
      </c>
      <c r="E15" s="59" t="s">
        <v>167</v>
      </c>
      <c r="F15" s="56" t="s">
        <v>168</v>
      </c>
      <c r="G15" s="44">
        <v>11</v>
      </c>
      <c r="H15" s="129">
        <f>IF(B$17=0,0,G15/B$17)</f>
        <v>4.2635658914728682E-2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>IF(P15=0,0,Q15/P15)</f>
        <v>53.400000000000006</v>
      </c>
      <c r="P15" s="114">
        <v>6</v>
      </c>
      <c r="Q15" s="102">
        <v>320.40000000000003</v>
      </c>
    </row>
    <row r="16" spans="1:17" x14ac:dyDescent="0.4">
      <c r="A16" s="50" t="s">
        <v>124</v>
      </c>
      <c r="B16" s="43">
        <v>83</v>
      </c>
      <c r="C16" s="35">
        <f>IF(B$14=0,0,B16/B$14)</f>
        <v>0.47976878612716761</v>
      </c>
      <c r="E16" s="59" t="s">
        <v>78</v>
      </c>
      <c r="F16" s="56" t="s">
        <v>33</v>
      </c>
      <c r="G16" s="44">
        <v>9</v>
      </c>
      <c r="H16" s="129">
        <f>IF(B$17=0,0,G16/B$17)</f>
        <v>3.4883720930232558E-2</v>
      </c>
      <c r="I16" s="90">
        <v>3</v>
      </c>
      <c r="K16" s="36">
        <v>14</v>
      </c>
      <c r="L16" s="95">
        <v>240.09999999999997</v>
      </c>
      <c r="N16" s="111" t="s">
        <v>182</v>
      </c>
      <c r="O16" s="121">
        <f>IF(P16=0,0,Q16/P16)</f>
        <v>21.422222222222214</v>
      </c>
      <c r="P16" s="115">
        <v>9</v>
      </c>
      <c r="Q16" s="103">
        <v>192.79999999999993</v>
      </c>
    </row>
    <row r="17" spans="1:17" x14ac:dyDescent="0.4">
      <c r="A17" s="50" t="s">
        <v>10</v>
      </c>
      <c r="B17" s="43">
        <f>B19+B18</f>
        <v>258</v>
      </c>
      <c r="C17" s="35">
        <f>IF(B$3=0,0,B17/B$3)</f>
        <v>0.33506493506493507</v>
      </c>
      <c r="E17" s="59" t="s">
        <v>77</v>
      </c>
      <c r="F17" s="56" t="s">
        <v>32</v>
      </c>
      <c r="G17" s="44">
        <v>3</v>
      </c>
      <c r="H17" s="129">
        <f>IF(B$17=0,0,G17/B$17)</f>
        <v>1.1627906976744186E-2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>IF(P17=0,0,Q17/P17)</f>
        <v>16.702439024390245</v>
      </c>
      <c r="P17" s="115">
        <v>41</v>
      </c>
      <c r="Q17" s="103">
        <v>684.80000000000007</v>
      </c>
    </row>
    <row r="18" spans="1:17" x14ac:dyDescent="0.4">
      <c r="A18" s="51" t="s">
        <v>12</v>
      </c>
      <c r="B18" s="44">
        <v>110</v>
      </c>
      <c r="C18" s="37">
        <f>IF(B$17=0,0,B18/B$17)</f>
        <v>0.4263565891472868</v>
      </c>
      <c r="E18" s="59" t="s">
        <v>84</v>
      </c>
      <c r="F18" s="56" t="s">
        <v>39</v>
      </c>
      <c r="G18" s="44">
        <v>3</v>
      </c>
      <c r="H18" s="129">
        <f>IF(B$17=0,0,G18/B$17)</f>
        <v>1.1627906976744186E-2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>IF(P18=0,0,Q18/P18)</f>
        <v>13.224242424242426</v>
      </c>
      <c r="P18" s="115">
        <v>33</v>
      </c>
      <c r="Q18" s="103">
        <v>436.40000000000009</v>
      </c>
    </row>
    <row r="19" spans="1:17" x14ac:dyDescent="0.4">
      <c r="A19" s="51" t="s">
        <v>11</v>
      </c>
      <c r="B19" s="44">
        <v>148</v>
      </c>
      <c r="C19" s="37">
        <f>IF(B$17=0,0,B19/B$17)</f>
        <v>0.5736434108527132</v>
      </c>
      <c r="E19" s="59" t="s">
        <v>75</v>
      </c>
      <c r="F19" s="56" t="s">
        <v>30</v>
      </c>
      <c r="G19" s="44">
        <v>2</v>
      </c>
      <c r="H19" s="129">
        <f>IF(B$17=0,0,G19/B$17)</f>
        <v>7.7519379844961239E-3</v>
      </c>
      <c r="I19" s="90">
        <v>4</v>
      </c>
      <c r="K19" s="36">
        <v>17</v>
      </c>
      <c r="L19" s="95">
        <v>359.09999999999991</v>
      </c>
      <c r="N19" s="111" t="s">
        <v>127</v>
      </c>
      <c r="O19" s="121">
        <f>IF(P19=0,0,Q19/P19)</f>
        <v>8.8568965517241391</v>
      </c>
      <c r="P19" s="115">
        <v>58</v>
      </c>
      <c r="Q19" s="103">
        <v>513.70000000000005</v>
      </c>
    </row>
    <row r="20" spans="1:17" x14ac:dyDescent="0.4">
      <c r="A20" s="51" t="s">
        <v>13</v>
      </c>
      <c r="B20" s="44">
        <v>107</v>
      </c>
      <c r="C20" s="37">
        <f>IF(B$3=0,0,B20/B$3)</f>
        <v>0.13896103896103895</v>
      </c>
      <c r="E20" s="59" t="s">
        <v>88</v>
      </c>
      <c r="F20" s="56" t="s">
        <v>43</v>
      </c>
      <c r="G20" s="44">
        <v>2</v>
      </c>
      <c r="H20" s="129">
        <f>IF(B$17=0,0,G20/B$17)</f>
        <v>7.7519379844961239E-3</v>
      </c>
      <c r="I20" s="90">
        <v>2</v>
      </c>
      <c r="K20" s="36">
        <v>18</v>
      </c>
      <c r="L20" s="95">
        <v>352.39999999999992</v>
      </c>
      <c r="N20" s="111" t="s">
        <v>166</v>
      </c>
      <c r="O20" s="121">
        <f>IF(P20=0,0,Q20/P20)</f>
        <v>1.117391304347825</v>
      </c>
      <c r="P20" s="115">
        <v>23</v>
      </c>
      <c r="Q20" s="103">
        <v>25.699999999999974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92</v>
      </c>
      <c r="F21" s="56" t="s">
        <v>47</v>
      </c>
      <c r="G21" s="44">
        <v>2</v>
      </c>
      <c r="H21" s="129">
        <f>IF(B$17=0,0,G21/B$17)</f>
        <v>7.7519379844961239E-3</v>
      </c>
      <c r="I21" s="90">
        <v>2</v>
      </c>
      <c r="K21" s="36">
        <v>19</v>
      </c>
      <c r="L21" s="95">
        <v>383.19999999999993</v>
      </c>
      <c r="N21" s="111" t="s">
        <v>177</v>
      </c>
      <c r="O21" s="121">
        <f>IF(P21=0,0,Q21/P21)</f>
        <v>-8.9000000000000021</v>
      </c>
      <c r="P21" s="115">
        <v>21</v>
      </c>
      <c r="Q21" s="103">
        <v>-186.90000000000003</v>
      </c>
    </row>
    <row r="22" spans="1:17" x14ac:dyDescent="0.4">
      <c r="A22" s="51" t="s">
        <v>170</v>
      </c>
      <c r="B22" s="44">
        <v>31</v>
      </c>
      <c r="C22" s="131">
        <v>2</v>
      </c>
      <c r="E22" s="59" t="s">
        <v>74</v>
      </c>
      <c r="F22" s="56" t="s">
        <v>29</v>
      </c>
      <c r="G22" s="44">
        <v>1</v>
      </c>
      <c r="H22" s="129">
        <f>IF(B$17=0,0,G22/B$17)</f>
        <v>3.875968992248062E-3</v>
      </c>
      <c r="I22" s="90">
        <v>6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7760.4651162790697</v>
      </c>
      <c r="C23" s="39">
        <v>2002200</v>
      </c>
      <c r="E23" s="59" t="s">
        <v>79</v>
      </c>
      <c r="F23" s="56" t="s">
        <v>34</v>
      </c>
      <c r="G23" s="44">
        <v>1</v>
      </c>
      <c r="H23" s="129">
        <f>IF(B$17=0,0,G23/B$17)</f>
        <v>3.875968992248062E-3</v>
      </c>
      <c r="I23" s="90">
        <v>6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7716.5714285714284</v>
      </c>
      <c r="C24" s="137">
        <v>1350400</v>
      </c>
      <c r="E24" s="59" t="s">
        <v>81</v>
      </c>
      <c r="F24" s="56" t="s">
        <v>36</v>
      </c>
      <c r="G24" s="44">
        <v>1</v>
      </c>
      <c r="H24" s="129">
        <f>IF(B$17=0,0,G24/B$17)</f>
        <v>3.875968992248062E-3</v>
      </c>
      <c r="I24" s="90">
        <v>9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7853.0120481927706</v>
      </c>
      <c r="C25" s="137">
        <v>651800</v>
      </c>
      <c r="E25" s="59" t="s">
        <v>85</v>
      </c>
      <c r="F25" s="56" t="s">
        <v>40</v>
      </c>
      <c r="G25" s="44">
        <v>1</v>
      </c>
      <c r="H25" s="129">
        <f>IF(B$17=0,0,G25/B$17)</f>
        <v>3.875968992248062E-3</v>
      </c>
      <c r="I25" s="90">
        <v>4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-7726.1682242990655</v>
      </c>
      <c r="C26" s="137">
        <v>-826700</v>
      </c>
      <c r="E26" s="59" t="s">
        <v>90</v>
      </c>
      <c r="F26" s="56" t="s">
        <v>45</v>
      </c>
      <c r="G26" s="44">
        <v>1</v>
      </c>
      <c r="H26" s="129">
        <f>IF(B$17=0,0,G26/B$17)</f>
        <v>3.875968992248062E-3</v>
      </c>
      <c r="I26" s="90">
        <v>2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91</v>
      </c>
      <c r="F27" s="56" t="s">
        <v>46</v>
      </c>
      <c r="G27" s="44">
        <v>1</v>
      </c>
      <c r="H27" s="129">
        <f>IF(B$17=0,0,G27/B$17)</f>
        <v>3.875968992248062E-3</v>
      </c>
      <c r="I27" s="90">
        <v>7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86200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3.875968992248062E-3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1.2987012987012987E-3</v>
      </c>
      <c r="E29" s="59" t="s">
        <v>73</v>
      </c>
      <c r="F29" s="56" t="s">
        <v>28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362.4</v>
      </c>
    </row>
    <row r="30" spans="1:17" x14ac:dyDescent="0.4">
      <c r="E30" s="59" t="s">
        <v>76</v>
      </c>
      <c r="F30" s="56" t="s">
        <v>31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9791E-5538-4BDC-9805-B80966CB0C79}">
  <sheetPr codeName="Sheet11"/>
  <dimension ref="A1:Q8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86</v>
      </c>
      <c r="C2" s="149"/>
      <c r="E2" s="58" t="s">
        <v>66</v>
      </c>
      <c r="F2" s="55" t="s">
        <v>22</v>
      </c>
      <c r="G2" s="43">
        <v>207</v>
      </c>
      <c r="H2" s="128">
        <f>IF(B$17=0,0,G2/B$17)</f>
        <v>0.90393013100436681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-2056.4705882352941</v>
      </c>
      <c r="P2" s="114">
        <v>85</v>
      </c>
      <c r="Q2" s="98">
        <v>-174800</v>
      </c>
    </row>
    <row r="3" spans="1:17" x14ac:dyDescent="0.4">
      <c r="A3" s="51" t="s">
        <v>8</v>
      </c>
      <c r="B3" s="150">
        <v>732</v>
      </c>
      <c r="C3" s="151"/>
      <c r="E3" s="59" t="s">
        <v>72</v>
      </c>
      <c r="F3" s="56" t="s">
        <v>27</v>
      </c>
      <c r="G3" s="44">
        <v>128</v>
      </c>
      <c r="H3" s="129">
        <f>IF(B$17=0,0,G3/B$17)</f>
        <v>0.55895196506550215</v>
      </c>
      <c r="I3" s="90">
        <v>5</v>
      </c>
      <c r="K3" s="36">
        <v>1</v>
      </c>
      <c r="L3" s="95">
        <v>-45.6</v>
      </c>
      <c r="N3" s="111" t="s">
        <v>131</v>
      </c>
      <c r="O3" s="118">
        <f t="shared" si="0"/>
        <v>1404.8192771084337</v>
      </c>
      <c r="P3" s="115">
        <v>83</v>
      </c>
      <c r="Q3" s="99">
        <v>116600</v>
      </c>
    </row>
    <row r="4" spans="1:17" x14ac:dyDescent="0.4">
      <c r="A4" s="51" t="s">
        <v>6</v>
      </c>
      <c r="B4" s="152">
        <v>317.49999999999989</v>
      </c>
      <c r="C4" s="153"/>
      <c r="E4" s="59" t="s">
        <v>171</v>
      </c>
      <c r="F4" s="56" t="s">
        <v>172</v>
      </c>
      <c r="G4" s="44">
        <v>97</v>
      </c>
      <c r="H4" s="129">
        <f>IF(B$17=0,0,G4/B$17)</f>
        <v>0.42358078602620086</v>
      </c>
      <c r="I4" s="90">
        <v>2</v>
      </c>
      <c r="K4" s="36">
        <v>2</v>
      </c>
      <c r="L4" s="95">
        <v>-34.299999999999997</v>
      </c>
      <c r="N4" s="111" t="s">
        <v>132</v>
      </c>
      <c r="O4" s="118">
        <f t="shared" si="0"/>
        <v>483.54430379746833</v>
      </c>
      <c r="P4" s="115">
        <v>79</v>
      </c>
      <c r="Q4" s="99">
        <v>38200</v>
      </c>
    </row>
    <row r="5" spans="1:17" x14ac:dyDescent="0.4">
      <c r="A5" s="51" t="s">
        <v>7</v>
      </c>
      <c r="B5" s="154">
        <f>IF(B$2=0,0,B$4/B$2)</f>
        <v>3.6918604651162776</v>
      </c>
      <c r="C5" s="155"/>
      <c r="E5" s="59" t="s">
        <v>64</v>
      </c>
      <c r="F5" s="56" t="s">
        <v>20</v>
      </c>
      <c r="G5" s="44">
        <v>93</v>
      </c>
      <c r="H5" s="129">
        <f>IF(B$17=0,0,G5/B$17)</f>
        <v>0.40611353711790393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2248.6486486486488</v>
      </c>
      <c r="P5" s="115">
        <v>74</v>
      </c>
      <c r="Q5" s="99">
        <v>166400</v>
      </c>
    </row>
    <row r="6" spans="1:17" x14ac:dyDescent="0.4">
      <c r="A6" s="51" t="s">
        <v>1</v>
      </c>
      <c r="B6" s="144">
        <f>IF(B$2=0,0,(B$7*1+B$8*2+B$9*3)/B$2)</f>
        <v>1.8953488372093024</v>
      </c>
      <c r="C6" s="145"/>
      <c r="E6" s="59" t="s">
        <v>68</v>
      </c>
      <c r="F6" s="56" t="s">
        <v>12</v>
      </c>
      <c r="G6" s="44">
        <v>62</v>
      </c>
      <c r="H6" s="129">
        <f>IF(B$17=0,0,G6/B$17)</f>
        <v>0.27074235807860264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248.57142857142858</v>
      </c>
      <c r="P6" s="115">
        <v>70</v>
      </c>
      <c r="Q6" s="99">
        <v>17400</v>
      </c>
    </row>
    <row r="7" spans="1:17" x14ac:dyDescent="0.4">
      <c r="A7" s="51" t="s">
        <v>2</v>
      </c>
      <c r="B7" s="44">
        <v>34</v>
      </c>
      <c r="C7" s="37">
        <f t="shared" ref="C7:C12" si="1">IF(B$2=0,0,B7/B$2)</f>
        <v>0.39534883720930231</v>
      </c>
      <c r="E7" s="59" t="s">
        <v>67</v>
      </c>
      <c r="F7" s="56" t="s">
        <v>23</v>
      </c>
      <c r="G7" s="44">
        <v>52</v>
      </c>
      <c r="H7" s="129">
        <f>IF(B$17=0,0,G7/B$17)</f>
        <v>0.22707423580786026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1613.5593220338983</v>
      </c>
      <c r="P7" s="116">
        <v>59</v>
      </c>
      <c r="Q7" s="100">
        <v>95200</v>
      </c>
    </row>
    <row r="8" spans="1:17" x14ac:dyDescent="0.4">
      <c r="A8" s="51" t="s">
        <v>3</v>
      </c>
      <c r="B8" s="44">
        <v>27</v>
      </c>
      <c r="C8" s="37">
        <f t="shared" si="1"/>
        <v>0.31395348837209303</v>
      </c>
      <c r="E8" s="59" t="s">
        <v>69</v>
      </c>
      <c r="F8" s="56" t="s">
        <v>24</v>
      </c>
      <c r="G8" s="44">
        <v>29</v>
      </c>
      <c r="H8" s="129">
        <f>IF(B$17=0,0,G8/B$17)</f>
        <v>0.12663755458515283</v>
      </c>
      <c r="I8" s="90">
        <v>8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0.29069767441860467</v>
      </c>
      <c r="E9" s="59" t="s">
        <v>89</v>
      </c>
      <c r="F9" s="56" t="s">
        <v>44</v>
      </c>
      <c r="G9" s="44">
        <v>28</v>
      </c>
      <c r="H9" s="129">
        <f>IF(B$17=0,0,G9/B$17)</f>
        <v>0.1222707423580786</v>
      </c>
      <c r="I9" s="90">
        <v>7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12</v>
      </c>
      <c r="C10" s="38">
        <f t="shared" si="1"/>
        <v>0.13953488372093023</v>
      </c>
      <c r="E10" s="59" t="s">
        <v>65</v>
      </c>
      <c r="F10" s="56" t="s">
        <v>21</v>
      </c>
      <c r="G10" s="44">
        <v>21</v>
      </c>
      <c r="H10" s="129">
        <f>IF(B$17=0,0,G10/B$17)</f>
        <v>9.1703056768558958E-2</v>
      </c>
      <c r="I10" s="90">
        <v>8</v>
      </c>
      <c r="K10" s="36">
        <v>8</v>
      </c>
      <c r="L10" s="95">
        <v>-56.79999999999999</v>
      </c>
      <c r="N10" s="110" t="s">
        <v>162</v>
      </c>
      <c r="O10" s="120">
        <f>IF(P10=0,0,Q10/P10)</f>
        <v>6.4800000000000013</v>
      </c>
      <c r="P10" s="114">
        <v>20</v>
      </c>
      <c r="Q10" s="102">
        <v>129.60000000000002</v>
      </c>
    </row>
    <row r="11" spans="1:17" x14ac:dyDescent="0.4">
      <c r="A11" s="52" t="s">
        <v>138</v>
      </c>
      <c r="B11" s="45">
        <v>9</v>
      </c>
      <c r="C11" s="38">
        <f t="shared" si="1"/>
        <v>0.10465116279069768</v>
      </c>
      <c r="E11" s="59" t="s">
        <v>71</v>
      </c>
      <c r="F11" s="56" t="s">
        <v>26</v>
      </c>
      <c r="G11" s="44">
        <v>20</v>
      </c>
      <c r="H11" s="129">
        <f>IF(B$17=0,0,G11/B$17)</f>
        <v>8.7336244541484712E-2</v>
      </c>
      <c r="I11" s="90">
        <v>5</v>
      </c>
      <c r="K11" s="36">
        <v>9</v>
      </c>
      <c r="L11" s="95">
        <v>-83.699999999999989</v>
      </c>
      <c r="N11" s="111" t="s">
        <v>163</v>
      </c>
      <c r="O11" s="121">
        <f>IF(P11=0,0,Q11/P11)</f>
        <v>6.8159999999999998</v>
      </c>
      <c r="P11" s="115">
        <v>25</v>
      </c>
      <c r="Q11" s="103">
        <v>170.4</v>
      </c>
    </row>
    <row r="12" spans="1:17" x14ac:dyDescent="0.4">
      <c r="A12" s="53" t="s">
        <v>158</v>
      </c>
      <c r="B12" s="46">
        <v>17</v>
      </c>
      <c r="C12" s="40">
        <f t="shared" si="1"/>
        <v>0.19767441860465115</v>
      </c>
      <c r="E12" s="59" t="s">
        <v>70</v>
      </c>
      <c r="F12" s="56" t="s">
        <v>25</v>
      </c>
      <c r="G12" s="44">
        <v>18</v>
      </c>
      <c r="H12" s="129">
        <f>IF(B$17=0,0,G12/B$17)</f>
        <v>7.8602620087336247E-2</v>
      </c>
      <c r="I12" s="90">
        <v>7</v>
      </c>
      <c r="K12" s="36">
        <v>10</v>
      </c>
      <c r="L12" s="95">
        <v>-78.399999999999991</v>
      </c>
      <c r="N12" s="112" t="s">
        <v>164</v>
      </c>
      <c r="O12" s="122">
        <f>IF(P12=0,0,Q12/P12)</f>
        <v>0.42682926829268186</v>
      </c>
      <c r="P12" s="116">
        <v>41</v>
      </c>
      <c r="Q12" s="104">
        <v>17.499999999999957</v>
      </c>
    </row>
    <row r="13" spans="1:17" x14ac:dyDescent="0.4">
      <c r="A13" s="54" t="s">
        <v>121</v>
      </c>
      <c r="B13" s="47">
        <v>169</v>
      </c>
      <c r="C13" s="42">
        <f>IF(B$3=0,0,B13/B$3)</f>
        <v>0.23087431693989072</v>
      </c>
      <c r="E13" s="59" t="s">
        <v>86</v>
      </c>
      <c r="F13" s="56" t="s">
        <v>41</v>
      </c>
      <c r="G13" s="44">
        <v>16</v>
      </c>
      <c r="H13" s="129">
        <f>IF(B$17=0,0,G13/B$17)</f>
        <v>6.9868995633187769E-2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223</v>
      </c>
      <c r="C14" s="37">
        <f>IF(B$3=0,0,B14/B$3)</f>
        <v>0.3046448087431694</v>
      </c>
      <c r="E14" s="59" t="s">
        <v>83</v>
      </c>
      <c r="F14" s="56" t="s">
        <v>38</v>
      </c>
      <c r="G14" s="44">
        <v>12</v>
      </c>
      <c r="H14" s="129">
        <f>IF(B$17=0,0,G14/B$17)</f>
        <v>5.2401746724890827E-2</v>
      </c>
      <c r="I14" s="90">
        <v>7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91</v>
      </c>
      <c r="C15" s="35">
        <f>IF(B$13=0,0,B15/B$13)</f>
        <v>0.53846153846153844</v>
      </c>
      <c r="E15" s="59" t="s">
        <v>91</v>
      </c>
      <c r="F15" s="56" t="s">
        <v>46</v>
      </c>
      <c r="G15" s="44">
        <v>8</v>
      </c>
      <c r="H15" s="129">
        <f>IF(B$17=0,0,G15/B$17)</f>
        <v>3.4934497816593885E-2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 t="shared" ref="O15:O22" si="2"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83</v>
      </c>
      <c r="C16" s="35">
        <f>IF(B$14=0,0,B16/B$14)</f>
        <v>0.37219730941704038</v>
      </c>
      <c r="E16" s="59" t="s">
        <v>78</v>
      </c>
      <c r="F16" s="56" t="s">
        <v>33</v>
      </c>
      <c r="G16" s="44">
        <v>7</v>
      </c>
      <c r="H16" s="129">
        <f>IF(B$17=0,0,G16/B$17)</f>
        <v>3.0567685589519649E-2</v>
      </c>
      <c r="I16" s="90">
        <v>4</v>
      </c>
      <c r="K16" s="36">
        <v>14</v>
      </c>
      <c r="L16" s="95">
        <v>-138.4</v>
      </c>
      <c r="N16" s="111" t="s">
        <v>182</v>
      </c>
      <c r="O16" s="121">
        <f t="shared" si="2"/>
        <v>37.040000000000006</v>
      </c>
      <c r="P16" s="115">
        <v>10</v>
      </c>
      <c r="Q16" s="103">
        <v>370.40000000000003</v>
      </c>
    </row>
    <row r="17" spans="1:17" x14ac:dyDescent="0.4">
      <c r="A17" s="50" t="s">
        <v>10</v>
      </c>
      <c r="B17" s="43">
        <f>B19+B18</f>
        <v>229</v>
      </c>
      <c r="C17" s="35">
        <f>IF(B$3=0,0,B17/B$3)</f>
        <v>0.31284153005464482</v>
      </c>
      <c r="E17" s="59" t="s">
        <v>81</v>
      </c>
      <c r="F17" s="56" t="s">
        <v>36</v>
      </c>
      <c r="G17" s="44">
        <v>6</v>
      </c>
      <c r="H17" s="129">
        <f>IF(B$17=0,0,G17/B$17)</f>
        <v>2.6200873362445413E-2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 t="shared" si="2"/>
        <v>17.400000000000002</v>
      </c>
      <c r="P17" s="115">
        <v>3</v>
      </c>
      <c r="Q17" s="103">
        <v>52.2</v>
      </c>
    </row>
    <row r="18" spans="1:17" x14ac:dyDescent="0.4">
      <c r="A18" s="51" t="s">
        <v>12</v>
      </c>
      <c r="B18" s="44">
        <v>87</v>
      </c>
      <c r="C18" s="37">
        <f>IF(B$17=0,0,B18/B$17)</f>
        <v>0.37991266375545851</v>
      </c>
      <c r="E18" s="59" t="s">
        <v>79</v>
      </c>
      <c r="F18" s="56" t="s">
        <v>34</v>
      </c>
      <c r="G18" s="44">
        <v>5</v>
      </c>
      <c r="H18" s="129">
        <f>IF(B$17=0,0,G18/B$17)</f>
        <v>2.1834061135371178E-2</v>
      </c>
      <c r="I18" s="90">
        <v>3</v>
      </c>
      <c r="K18" s="36">
        <v>16</v>
      </c>
      <c r="L18" s="95">
        <v>-187.3</v>
      </c>
      <c r="N18" s="111" t="s">
        <v>177</v>
      </c>
      <c r="O18" s="121">
        <f t="shared" si="2"/>
        <v>12.182608695652181</v>
      </c>
      <c r="P18" s="115">
        <v>23</v>
      </c>
      <c r="Q18" s="103">
        <v>280.20000000000016</v>
      </c>
    </row>
    <row r="19" spans="1:17" x14ac:dyDescent="0.4">
      <c r="A19" s="51" t="s">
        <v>11</v>
      </c>
      <c r="B19" s="44">
        <v>142</v>
      </c>
      <c r="C19" s="37">
        <f>IF(B$17=0,0,B19/B$17)</f>
        <v>0.62008733624454149</v>
      </c>
      <c r="E19" s="59" t="s">
        <v>74</v>
      </c>
      <c r="F19" s="56" t="s">
        <v>29</v>
      </c>
      <c r="G19" s="44">
        <v>2</v>
      </c>
      <c r="H19" s="129">
        <f>IF(B$17=0,0,G19/B$17)</f>
        <v>8.7336244541484712E-3</v>
      </c>
      <c r="I19" s="90">
        <v>3</v>
      </c>
      <c r="K19" s="36">
        <v>17</v>
      </c>
      <c r="L19" s="95">
        <v>-179.70000000000002</v>
      </c>
      <c r="N19" s="111" t="s">
        <v>179</v>
      </c>
      <c r="O19" s="121">
        <f t="shared" si="2"/>
        <v>10.948148148148144</v>
      </c>
      <c r="P19" s="115">
        <v>27</v>
      </c>
      <c r="Q19" s="103">
        <v>295.59999999999991</v>
      </c>
    </row>
    <row r="20" spans="1:17" x14ac:dyDescent="0.4">
      <c r="A20" s="51" t="s">
        <v>13</v>
      </c>
      <c r="B20" s="44">
        <v>142</v>
      </c>
      <c r="C20" s="37">
        <f>IF(B$3=0,0,B20/B$3)</f>
        <v>0.19398907103825136</v>
      </c>
      <c r="E20" s="59" t="s">
        <v>84</v>
      </c>
      <c r="F20" s="56" t="s">
        <v>39</v>
      </c>
      <c r="G20" s="44">
        <v>1</v>
      </c>
      <c r="H20" s="129">
        <f>IF(B$17=0,0,G20/B$17)</f>
        <v>4.3668122270742356E-3</v>
      </c>
      <c r="I20" s="90">
        <v>2</v>
      </c>
      <c r="K20" s="36">
        <v>18</v>
      </c>
      <c r="L20" s="95">
        <v>-112.90000000000002</v>
      </c>
      <c r="N20" s="111" t="s">
        <v>178</v>
      </c>
      <c r="O20" s="121">
        <f t="shared" si="2"/>
        <v>8.1034482758620729</v>
      </c>
      <c r="P20" s="115">
        <v>29</v>
      </c>
      <c r="Q20" s="103">
        <v>235.00000000000011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1</v>
      </c>
      <c r="H21" s="129">
        <f>IF(B$17=0,0,G21/B$17)</f>
        <v>4.3668122270742356E-3</v>
      </c>
      <c r="I21" s="90">
        <v>4</v>
      </c>
      <c r="K21" s="36">
        <v>19</v>
      </c>
      <c r="L21" s="95">
        <v>-162.40000000000003</v>
      </c>
      <c r="N21" s="111" t="s">
        <v>166</v>
      </c>
      <c r="O21" s="121">
        <f t="shared" si="2"/>
        <v>4.1099999999999977</v>
      </c>
      <c r="P21" s="115">
        <v>20</v>
      </c>
      <c r="Q21" s="103">
        <v>82.19999999999996</v>
      </c>
    </row>
    <row r="22" spans="1:17" x14ac:dyDescent="0.4">
      <c r="A22" s="51" t="s">
        <v>170</v>
      </c>
      <c r="B22" s="44">
        <v>23</v>
      </c>
      <c r="C22" s="131">
        <v>14</v>
      </c>
      <c r="E22" s="59" t="s">
        <v>95</v>
      </c>
      <c r="F22" s="56" t="s">
        <v>50</v>
      </c>
      <c r="G22" s="44">
        <v>1</v>
      </c>
      <c r="H22" s="129">
        <f>IF(B$17=0,0,G22/B$17)</f>
        <v>4.3668122270742356E-3</v>
      </c>
      <c r="I22" s="90">
        <v>2</v>
      </c>
      <c r="K22" s="36">
        <v>20</v>
      </c>
      <c r="L22" s="95">
        <v>-96.000000000000028</v>
      </c>
      <c r="N22" s="111" t="s">
        <v>126</v>
      </c>
      <c r="O22" s="121">
        <f t="shared" si="2"/>
        <v>-8.8568965517241391</v>
      </c>
      <c r="P22" s="115">
        <v>58</v>
      </c>
      <c r="Q22" s="103">
        <v>-513.70000000000005</v>
      </c>
    </row>
    <row r="23" spans="1:17" x14ac:dyDescent="0.4">
      <c r="A23" s="51" t="s">
        <v>5</v>
      </c>
      <c r="B23" s="48">
        <f>IF(B$17=0,0,C23/B$17)</f>
        <v>8675.9825327510916</v>
      </c>
      <c r="C23" s="39">
        <v>1986800</v>
      </c>
      <c r="E23" s="59" t="s">
        <v>167</v>
      </c>
      <c r="F23" s="56" t="s">
        <v>168</v>
      </c>
      <c r="G23" s="44">
        <v>1</v>
      </c>
      <c r="H23" s="129">
        <f>IF(B$17=0,0,G23/B$17)</f>
        <v>4.3668122270742356E-3</v>
      </c>
      <c r="I23" s="90">
        <v>7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9035.6164383561645</v>
      </c>
      <c r="C24" s="137">
        <v>1319200</v>
      </c>
      <c r="E24" s="59" t="s">
        <v>73</v>
      </c>
      <c r="F24" s="56" t="s">
        <v>28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8043.3734939759033</v>
      </c>
      <c r="C25" s="137">
        <v>667600</v>
      </c>
      <c r="E25" s="59" t="s">
        <v>75</v>
      </c>
      <c r="F25" s="56" t="s">
        <v>30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-7766.1971830985913</v>
      </c>
      <c r="C26" s="137">
        <v>-1102800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4.0983606557377051E-3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</sheetData>
  <sortState xmlns:xlrd2="http://schemas.microsoft.com/office/spreadsheetml/2017/richdata2" ref="E2:I89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5294D-DFF5-4D8E-8F39-E15FF577616C}">
  <sheetPr codeName="Sheet13"/>
  <dimension ref="A1:Q6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59</v>
      </c>
      <c r="C2" s="149"/>
      <c r="E2" s="58" t="s">
        <v>66</v>
      </c>
      <c r="F2" s="55" t="s">
        <v>22</v>
      </c>
      <c r="G2" s="43">
        <v>103</v>
      </c>
      <c r="H2" s="128">
        <f>IF(B$17=0,0,G2/B$17)</f>
        <v>0.73571428571428577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-727.58620689655174</v>
      </c>
      <c r="P2" s="114">
        <v>58</v>
      </c>
      <c r="Q2" s="98">
        <v>-42200</v>
      </c>
    </row>
    <row r="3" spans="1:17" x14ac:dyDescent="0.4">
      <c r="A3" s="51" t="s">
        <v>8</v>
      </c>
      <c r="B3" s="150">
        <v>496</v>
      </c>
      <c r="C3" s="151"/>
      <c r="E3" s="59" t="s">
        <v>64</v>
      </c>
      <c r="F3" s="56" t="s">
        <v>20</v>
      </c>
      <c r="G3" s="44">
        <v>83</v>
      </c>
      <c r="H3" s="129">
        <f>IF(B$17=0,0,G3/B$17)</f>
        <v>0.59285714285714286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-43.103448275862071</v>
      </c>
      <c r="P3" s="115">
        <v>58</v>
      </c>
      <c r="Q3" s="99">
        <v>-2500</v>
      </c>
    </row>
    <row r="4" spans="1:17" x14ac:dyDescent="0.4">
      <c r="A4" s="51" t="s">
        <v>6</v>
      </c>
      <c r="B4" s="152">
        <v>-399.29999999999995</v>
      </c>
      <c r="C4" s="153"/>
      <c r="E4" s="59" t="s">
        <v>72</v>
      </c>
      <c r="F4" s="56" t="s">
        <v>27</v>
      </c>
      <c r="G4" s="44">
        <v>71</v>
      </c>
      <c r="H4" s="129">
        <f>IF(B$17=0,0,G4/B$17)</f>
        <v>0.50714285714285712</v>
      </c>
      <c r="I4" s="90">
        <v>7</v>
      </c>
      <c r="K4" s="36">
        <v>2</v>
      </c>
      <c r="L4" s="95">
        <v>-30.099999999999998</v>
      </c>
      <c r="N4" s="111" t="s">
        <v>132</v>
      </c>
      <c r="O4" s="118">
        <f t="shared" si="0"/>
        <v>870.90909090909088</v>
      </c>
      <c r="P4" s="115">
        <v>55</v>
      </c>
      <c r="Q4" s="99">
        <v>47900</v>
      </c>
    </row>
    <row r="5" spans="1:17" x14ac:dyDescent="0.4">
      <c r="A5" s="51" t="s">
        <v>7</v>
      </c>
      <c r="B5" s="154">
        <f>IF(B$2=0,0,B$4/B$2)</f>
        <v>-6.7677966101694906</v>
      </c>
      <c r="C5" s="155"/>
      <c r="E5" s="59" t="s">
        <v>171</v>
      </c>
      <c r="F5" s="56" t="s">
        <v>172</v>
      </c>
      <c r="G5" s="44">
        <v>57</v>
      </c>
      <c r="H5" s="129">
        <f>IF(B$17=0,0,G5/B$17)</f>
        <v>0.40714285714285714</v>
      </c>
      <c r="I5" s="90">
        <v>3</v>
      </c>
      <c r="K5" s="36">
        <v>3</v>
      </c>
      <c r="L5" s="95">
        <v>-17.599999999999998</v>
      </c>
      <c r="N5" s="111" t="s">
        <v>133</v>
      </c>
      <c r="O5" s="118">
        <f t="shared" si="0"/>
        <v>-1514.8148148148148</v>
      </c>
      <c r="P5" s="115">
        <v>54</v>
      </c>
      <c r="Q5" s="99">
        <v>-81800</v>
      </c>
    </row>
    <row r="6" spans="1:17" x14ac:dyDescent="0.4">
      <c r="A6" s="51" t="s">
        <v>1</v>
      </c>
      <c r="B6" s="144">
        <f>IF(B$2=0,0,(B$7*1+B$8*2+B$9*3)/B$2)</f>
        <v>2.1864406779661016</v>
      </c>
      <c r="C6" s="145"/>
      <c r="E6" s="59" t="s">
        <v>68</v>
      </c>
      <c r="F6" s="56" t="s">
        <v>12</v>
      </c>
      <c r="G6" s="44">
        <v>49</v>
      </c>
      <c r="H6" s="129">
        <f>IF(B$17=0,0,G6/B$17)</f>
        <v>0.35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-3455.7692307692309</v>
      </c>
      <c r="P6" s="115">
        <v>52</v>
      </c>
      <c r="Q6" s="99">
        <v>-179700</v>
      </c>
    </row>
    <row r="7" spans="1:17" x14ac:dyDescent="0.4">
      <c r="A7" s="51" t="s">
        <v>2</v>
      </c>
      <c r="B7" s="44">
        <v>12</v>
      </c>
      <c r="C7" s="37">
        <f t="shared" ref="C7:C12" si="1">IF(B$2=0,0,B7/B$2)</f>
        <v>0.20338983050847459</v>
      </c>
      <c r="E7" s="59" t="s">
        <v>67</v>
      </c>
      <c r="F7" s="56" t="s">
        <v>23</v>
      </c>
      <c r="G7" s="44">
        <v>45</v>
      </c>
      <c r="H7" s="129">
        <f>IF(B$17=0,0,G7/B$17)</f>
        <v>0.32142857142857145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-1178.2608695652175</v>
      </c>
      <c r="P7" s="116">
        <v>46</v>
      </c>
      <c r="Q7" s="100">
        <v>-54200</v>
      </c>
    </row>
    <row r="8" spans="1:17" x14ac:dyDescent="0.4">
      <c r="A8" s="51" t="s">
        <v>3</v>
      </c>
      <c r="B8" s="44">
        <v>24</v>
      </c>
      <c r="C8" s="37">
        <f t="shared" si="1"/>
        <v>0.40677966101694918</v>
      </c>
      <c r="E8" s="59" t="s">
        <v>70</v>
      </c>
      <c r="F8" s="56" t="s">
        <v>25</v>
      </c>
      <c r="G8" s="44">
        <v>22</v>
      </c>
      <c r="H8" s="129">
        <f>IF(B$17=0,0,G8/B$17)</f>
        <v>0.15714285714285714</v>
      </c>
      <c r="I8" s="90">
        <v>2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1"/>
        <v>0.38983050847457629</v>
      </c>
      <c r="E9" s="59" t="s">
        <v>69</v>
      </c>
      <c r="F9" s="56" t="s">
        <v>24</v>
      </c>
      <c r="G9" s="44">
        <v>21</v>
      </c>
      <c r="H9" s="129">
        <f>IF(B$17=0,0,G9/B$17)</f>
        <v>0.15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6.7796610169491525E-2</v>
      </c>
      <c r="E10" s="59" t="s">
        <v>65</v>
      </c>
      <c r="F10" s="56" t="s">
        <v>21</v>
      </c>
      <c r="G10" s="44">
        <v>15</v>
      </c>
      <c r="H10" s="129">
        <f>IF(B$17=0,0,G10/B$17)</f>
        <v>0.10714285714285714</v>
      </c>
      <c r="I10" s="90">
        <v>6</v>
      </c>
      <c r="K10" s="36">
        <v>8</v>
      </c>
      <c r="L10" s="95">
        <v>-62.999999999999993</v>
      </c>
      <c r="N10" s="110" t="s">
        <v>162</v>
      </c>
      <c r="O10" s="120">
        <f>IF(P10=0,0,Q10/P10)</f>
        <v>-2.7043478260869578</v>
      </c>
      <c r="P10" s="114">
        <v>23</v>
      </c>
      <c r="Q10" s="102">
        <v>-62.200000000000031</v>
      </c>
    </row>
    <row r="11" spans="1:17" x14ac:dyDescent="0.4">
      <c r="A11" s="52" t="s">
        <v>138</v>
      </c>
      <c r="B11" s="45">
        <v>2</v>
      </c>
      <c r="C11" s="38">
        <f t="shared" si="1"/>
        <v>3.3898305084745763E-2</v>
      </c>
      <c r="E11" s="59" t="s">
        <v>89</v>
      </c>
      <c r="F11" s="56" t="s">
        <v>44</v>
      </c>
      <c r="G11" s="44">
        <v>13</v>
      </c>
      <c r="H11" s="129">
        <f>IF(B$17=0,0,G11/B$17)</f>
        <v>9.285714285714286E-2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-7.2949999999999999</v>
      </c>
      <c r="P11" s="115">
        <v>20</v>
      </c>
      <c r="Q11" s="103">
        <v>-145.9</v>
      </c>
    </row>
    <row r="12" spans="1:17" x14ac:dyDescent="0.4">
      <c r="A12" s="53" t="s">
        <v>158</v>
      </c>
      <c r="B12" s="46">
        <v>5</v>
      </c>
      <c r="C12" s="40">
        <f t="shared" si="1"/>
        <v>8.4745762711864403E-2</v>
      </c>
      <c r="E12" s="59" t="s">
        <v>83</v>
      </c>
      <c r="F12" s="56" t="s">
        <v>38</v>
      </c>
      <c r="G12" s="44">
        <v>8</v>
      </c>
      <c r="H12" s="129">
        <f>IF(B$17=0,0,G12/B$17)</f>
        <v>5.7142857142857141E-2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-11.95</v>
      </c>
      <c r="P12" s="116">
        <v>16</v>
      </c>
      <c r="Q12" s="104">
        <v>-191.2</v>
      </c>
    </row>
    <row r="13" spans="1:17" x14ac:dyDescent="0.4">
      <c r="A13" s="54" t="s">
        <v>121</v>
      </c>
      <c r="B13" s="47">
        <v>142</v>
      </c>
      <c r="C13" s="42">
        <f>IF(B$3=0,0,B13/B$3)</f>
        <v>0.28629032258064518</v>
      </c>
      <c r="E13" s="59" t="s">
        <v>71</v>
      </c>
      <c r="F13" s="56" t="s">
        <v>26</v>
      </c>
      <c r="G13" s="44">
        <v>7</v>
      </c>
      <c r="H13" s="129">
        <f>IF(B$17=0,0,G13/B$17)</f>
        <v>0.05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93</v>
      </c>
      <c r="C14" s="37">
        <f>IF(B$3=0,0,B14/B$3)</f>
        <v>0.1875</v>
      </c>
      <c r="E14" s="59" t="s">
        <v>78</v>
      </c>
      <c r="F14" s="56" t="s">
        <v>33</v>
      </c>
      <c r="G14" s="44">
        <v>6</v>
      </c>
      <c r="H14" s="129">
        <f>IF(B$17=0,0,G14/B$17)</f>
        <v>4.2857142857142858E-2</v>
      </c>
      <c r="I14" s="90">
        <v>1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85</v>
      </c>
      <c r="C15" s="35">
        <f>IF(B$13=0,0,B15/B$13)</f>
        <v>0.59859154929577463</v>
      </c>
      <c r="E15" s="59" t="s">
        <v>86</v>
      </c>
      <c r="F15" s="56" t="s">
        <v>41</v>
      </c>
      <c r="G15" s="44">
        <v>4</v>
      </c>
      <c r="H15" s="129">
        <f>IF(B$17=0,0,G15/B$17)</f>
        <v>2.8571428571428571E-2</v>
      </c>
      <c r="I15" s="90">
        <v>9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36</v>
      </c>
      <c r="C16" s="35">
        <f>IF(B$14=0,0,B16/B$14)</f>
        <v>0.38709677419354838</v>
      </c>
      <c r="E16" s="59" t="s">
        <v>81</v>
      </c>
      <c r="F16" s="56" t="s">
        <v>36</v>
      </c>
      <c r="G16" s="44">
        <v>3</v>
      </c>
      <c r="H16" s="129">
        <f>IF(B$17=0,0,G16/B$17)</f>
        <v>2.1428571428571429E-2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 t="shared" si="2"/>
        <v>7.0692307692307699</v>
      </c>
      <c r="P16" s="115">
        <v>13</v>
      </c>
      <c r="Q16" s="103">
        <v>91.9</v>
      </c>
    </row>
    <row r="17" spans="1:17" x14ac:dyDescent="0.4">
      <c r="A17" s="50" t="s">
        <v>10</v>
      </c>
      <c r="B17" s="43">
        <f>B19+B18</f>
        <v>140</v>
      </c>
      <c r="C17" s="35">
        <f>IF(B$3=0,0,B17/B$3)</f>
        <v>0.28225806451612906</v>
      </c>
      <c r="E17" s="59" t="s">
        <v>167</v>
      </c>
      <c r="F17" s="56" t="s">
        <v>168</v>
      </c>
      <c r="G17" s="44">
        <v>3</v>
      </c>
      <c r="H17" s="129">
        <f>IF(B$17=0,0,G17/B$17)</f>
        <v>2.1428571428571429E-2</v>
      </c>
      <c r="I17" s="90">
        <v>5</v>
      </c>
      <c r="K17" s="36">
        <v>15</v>
      </c>
      <c r="L17" s="95">
        <v>-221.5</v>
      </c>
      <c r="N17" s="111" t="s">
        <v>181</v>
      </c>
      <c r="O17" s="121">
        <f t="shared" si="2"/>
        <v>3.7285714285714309</v>
      </c>
      <c r="P17" s="115">
        <v>7</v>
      </c>
      <c r="Q17" s="103">
        <v>26.100000000000016</v>
      </c>
    </row>
    <row r="18" spans="1:17" x14ac:dyDescent="0.4">
      <c r="A18" s="51" t="s">
        <v>12</v>
      </c>
      <c r="B18" s="44">
        <v>64</v>
      </c>
      <c r="C18" s="37">
        <f>IF(B$17=0,0,B18/B$17)</f>
        <v>0.45714285714285713</v>
      </c>
      <c r="E18" s="59" t="s">
        <v>75</v>
      </c>
      <c r="F18" s="56" t="s">
        <v>30</v>
      </c>
      <c r="G18" s="44">
        <v>2</v>
      </c>
      <c r="H18" s="129">
        <f>IF(B$17=0,0,G18/B$17)</f>
        <v>1.4285714285714285E-2</v>
      </c>
      <c r="I18" s="90">
        <v>2</v>
      </c>
      <c r="K18" s="36">
        <v>16</v>
      </c>
      <c r="L18" s="95">
        <v>-224.3</v>
      </c>
      <c r="N18" s="111" t="s">
        <v>177</v>
      </c>
      <c r="O18" s="121">
        <f t="shared" si="2"/>
        <v>-6.6222222222222209</v>
      </c>
      <c r="P18" s="115">
        <v>9</v>
      </c>
      <c r="Q18" s="103">
        <v>-59.599999999999987</v>
      </c>
    </row>
    <row r="19" spans="1:17" x14ac:dyDescent="0.4">
      <c r="A19" s="51" t="s">
        <v>11</v>
      </c>
      <c r="B19" s="44">
        <v>76</v>
      </c>
      <c r="C19" s="37">
        <f>IF(B$17=0,0,B19/B$17)</f>
        <v>0.54285714285714282</v>
      </c>
      <c r="E19" s="59" t="s">
        <v>79</v>
      </c>
      <c r="F19" s="56" t="s">
        <v>34</v>
      </c>
      <c r="G19" s="44">
        <v>2</v>
      </c>
      <c r="H19" s="129">
        <f>IF(B$17=0,0,G19/B$17)</f>
        <v>1.4285714285714285E-2</v>
      </c>
      <c r="I19" s="90">
        <v>4</v>
      </c>
      <c r="K19" s="36">
        <v>17</v>
      </c>
      <c r="L19" s="95">
        <v>-251.4</v>
      </c>
      <c r="N19" s="111" t="s">
        <v>127</v>
      </c>
      <c r="O19" s="121">
        <f t="shared" si="2"/>
        <v>-10.948148148148144</v>
      </c>
      <c r="P19" s="115">
        <v>27</v>
      </c>
      <c r="Q19" s="103">
        <v>-295.59999999999991</v>
      </c>
    </row>
    <row r="20" spans="1:17" x14ac:dyDescent="0.4">
      <c r="A20" s="51" t="s">
        <v>13</v>
      </c>
      <c r="B20" s="44">
        <v>103</v>
      </c>
      <c r="C20" s="37">
        <f>IF(B$3=0,0,B20/B$3)</f>
        <v>0.20766129032258066</v>
      </c>
      <c r="E20" s="59" t="s">
        <v>91</v>
      </c>
      <c r="F20" s="56" t="s">
        <v>46</v>
      </c>
      <c r="G20" s="44">
        <v>1</v>
      </c>
      <c r="H20" s="129">
        <f>IF(B$17=0,0,G20/B$17)</f>
        <v>7.1428571428571426E-3</v>
      </c>
      <c r="I20" s="90">
        <v>5</v>
      </c>
      <c r="K20" s="36">
        <v>18</v>
      </c>
      <c r="L20" s="95">
        <v>-240</v>
      </c>
      <c r="N20" s="111" t="s">
        <v>178</v>
      </c>
      <c r="O20" s="121">
        <f t="shared" si="2"/>
        <v>-12.900000000000002</v>
      </c>
      <c r="P20" s="115">
        <v>19</v>
      </c>
      <c r="Q20" s="103">
        <v>-245.10000000000005</v>
      </c>
    </row>
    <row r="21" spans="1:17" x14ac:dyDescent="0.4">
      <c r="A21" s="51" t="s">
        <v>169</v>
      </c>
      <c r="B21" s="44">
        <v>4</v>
      </c>
      <c r="C21" s="131">
        <v>1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-218</v>
      </c>
      <c r="N21" s="111" t="s">
        <v>126</v>
      </c>
      <c r="O21" s="121">
        <f t="shared" si="2"/>
        <v>-16.702439024390248</v>
      </c>
      <c r="P21" s="115">
        <v>41</v>
      </c>
      <c r="Q21" s="103">
        <v>-684.80000000000018</v>
      </c>
    </row>
    <row r="22" spans="1:17" x14ac:dyDescent="0.4">
      <c r="A22" s="51" t="s">
        <v>170</v>
      </c>
      <c r="B22" s="44">
        <v>21</v>
      </c>
      <c r="C22" s="131">
        <v>2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7988.5714285714284</v>
      </c>
      <c r="C23" s="39">
        <v>1118400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8608.6538461538457</v>
      </c>
      <c r="C24" s="137">
        <v>895300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6197.2222222222226</v>
      </c>
      <c r="C25" s="137">
        <v>223100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-7638.8349514563106</v>
      </c>
      <c r="C26" s="137">
        <v>-786800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69300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4.0322580645161289E-3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</sheetData>
  <sortState xmlns:xlrd2="http://schemas.microsoft.com/office/spreadsheetml/2017/richdata2" ref="E2:I62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85D03-E29A-440A-9F31-B852B548C1B7}">
  <sheetPr codeName="Sheet15"/>
  <dimension ref="A1:Q5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55</v>
      </c>
      <c r="C2" s="149"/>
      <c r="E2" s="58" t="s">
        <v>66</v>
      </c>
      <c r="F2" s="55" t="s">
        <v>22</v>
      </c>
      <c r="G2" s="43">
        <v>108</v>
      </c>
      <c r="H2" s="128">
        <f>IF(B$17=0,0,G2/B$17)</f>
        <v>0.83720930232558144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2305.4545454545455</v>
      </c>
      <c r="P2" s="114">
        <v>55</v>
      </c>
      <c r="Q2" s="98">
        <v>126800</v>
      </c>
    </row>
    <row r="3" spans="1:17" x14ac:dyDescent="0.4">
      <c r="A3" s="51" t="s">
        <v>8</v>
      </c>
      <c r="B3" s="150">
        <v>439</v>
      </c>
      <c r="C3" s="151"/>
      <c r="E3" s="59" t="s">
        <v>72</v>
      </c>
      <c r="F3" s="56" t="s">
        <v>27</v>
      </c>
      <c r="G3" s="44">
        <v>75</v>
      </c>
      <c r="H3" s="129">
        <f>IF(B$17=0,0,G3/B$17)</f>
        <v>0.58139534883720934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-2184.9056603773583</v>
      </c>
      <c r="P3" s="115">
        <v>53</v>
      </c>
      <c r="Q3" s="99">
        <v>-115800</v>
      </c>
    </row>
    <row r="4" spans="1:17" x14ac:dyDescent="0.4">
      <c r="A4" s="51" t="s">
        <v>6</v>
      </c>
      <c r="B4" s="152">
        <v>259.10000000000008</v>
      </c>
      <c r="C4" s="153"/>
      <c r="E4" s="59" t="s">
        <v>64</v>
      </c>
      <c r="F4" s="56" t="s">
        <v>20</v>
      </c>
      <c r="G4" s="44">
        <v>66</v>
      </c>
      <c r="H4" s="129">
        <f>IF(B$17=0,0,G4/B$17)</f>
        <v>0.51162790697674421</v>
      </c>
      <c r="I4" s="90">
        <v>4</v>
      </c>
      <c r="K4" s="36">
        <v>2</v>
      </c>
      <c r="L4" s="95">
        <v>-67.3</v>
      </c>
      <c r="N4" s="111" t="s">
        <v>132</v>
      </c>
      <c r="O4" s="118">
        <f t="shared" si="0"/>
        <v>2293.8775510204082</v>
      </c>
      <c r="P4" s="115">
        <v>49</v>
      </c>
      <c r="Q4" s="99">
        <v>112400</v>
      </c>
    </row>
    <row r="5" spans="1:17" x14ac:dyDescent="0.4">
      <c r="A5" s="51" t="s">
        <v>7</v>
      </c>
      <c r="B5" s="154">
        <f>IF(B$2=0,0,B$4/B$2)</f>
        <v>4.7109090909090927</v>
      </c>
      <c r="C5" s="155"/>
      <c r="E5" s="59" t="s">
        <v>67</v>
      </c>
      <c r="F5" s="56" t="s">
        <v>23</v>
      </c>
      <c r="G5" s="44">
        <v>54</v>
      </c>
      <c r="H5" s="129">
        <f>IF(B$17=0,0,G5/B$17)</f>
        <v>0.41860465116279072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2506.521739130435</v>
      </c>
      <c r="P5" s="115">
        <v>46</v>
      </c>
      <c r="Q5" s="99">
        <v>115300</v>
      </c>
    </row>
    <row r="6" spans="1:17" x14ac:dyDescent="0.4">
      <c r="A6" s="51" t="s">
        <v>1</v>
      </c>
      <c r="B6" s="144">
        <f>IF(B$2=0,0,(B$7*1+B$8*2+B$9*3)/B$2)</f>
        <v>1.9090909090909092</v>
      </c>
      <c r="C6" s="145"/>
      <c r="E6" s="59" t="s">
        <v>171</v>
      </c>
      <c r="F6" s="56" t="s">
        <v>172</v>
      </c>
      <c r="G6" s="44">
        <v>51</v>
      </c>
      <c r="H6" s="129">
        <f>IF(B$17=0,0,G6/B$17)</f>
        <v>0.39534883720930231</v>
      </c>
      <c r="I6" s="90">
        <v>4</v>
      </c>
      <c r="K6" s="36">
        <v>4</v>
      </c>
      <c r="L6" s="95">
        <v>-74.599999999999994</v>
      </c>
      <c r="N6" s="111" t="s">
        <v>134</v>
      </c>
      <c r="O6" s="118">
        <f t="shared" si="0"/>
        <v>-934.88372093023258</v>
      </c>
      <c r="P6" s="115">
        <v>43</v>
      </c>
      <c r="Q6" s="99">
        <v>-40200</v>
      </c>
    </row>
    <row r="7" spans="1:17" x14ac:dyDescent="0.4">
      <c r="A7" s="51" t="s">
        <v>2</v>
      </c>
      <c r="B7" s="44">
        <v>23</v>
      </c>
      <c r="C7" s="37">
        <f t="shared" ref="C7:C12" si="1">IF(B$2=0,0,B7/B$2)</f>
        <v>0.41818181818181815</v>
      </c>
      <c r="E7" s="59" t="s">
        <v>68</v>
      </c>
      <c r="F7" s="56" t="s">
        <v>12</v>
      </c>
      <c r="G7" s="44">
        <v>50</v>
      </c>
      <c r="H7" s="129">
        <f>IF(B$17=0,0,G7/B$17)</f>
        <v>0.38759689922480622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-388.88888888888891</v>
      </c>
      <c r="P7" s="116">
        <v>36</v>
      </c>
      <c r="Q7" s="100">
        <v>-14000</v>
      </c>
    </row>
    <row r="8" spans="1:17" x14ac:dyDescent="0.4">
      <c r="A8" s="51" t="s">
        <v>3</v>
      </c>
      <c r="B8" s="44">
        <v>14</v>
      </c>
      <c r="C8" s="37">
        <f t="shared" si="1"/>
        <v>0.25454545454545452</v>
      </c>
      <c r="E8" s="59" t="s">
        <v>89</v>
      </c>
      <c r="F8" s="56" t="s">
        <v>44</v>
      </c>
      <c r="G8" s="44">
        <v>30</v>
      </c>
      <c r="H8" s="129">
        <f>IF(B$17=0,0,G8/B$17)</f>
        <v>0.23255813953488372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0.32727272727272727</v>
      </c>
      <c r="E9" s="59" t="s">
        <v>69</v>
      </c>
      <c r="F9" s="56" t="s">
        <v>24</v>
      </c>
      <c r="G9" s="44">
        <v>28</v>
      </c>
      <c r="H9" s="129">
        <f>IF(B$17=0,0,G9/B$17)</f>
        <v>0.21705426356589147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9.0909090909090912E-2</v>
      </c>
      <c r="E10" s="59" t="s">
        <v>65</v>
      </c>
      <c r="F10" s="56" t="s">
        <v>21</v>
      </c>
      <c r="G10" s="44">
        <v>15</v>
      </c>
      <c r="H10" s="129">
        <f>IF(B$17=0,0,G10/B$17)</f>
        <v>0.11627906976744186</v>
      </c>
      <c r="I10" s="90">
        <v>4</v>
      </c>
      <c r="K10" s="36">
        <v>8</v>
      </c>
      <c r="L10" s="95">
        <v>-110.19999999999999</v>
      </c>
      <c r="N10" s="110" t="s">
        <v>162</v>
      </c>
      <c r="O10" s="120">
        <f>IF(P10=0,0,Q10/P10)</f>
        <v>9.3529411764705905</v>
      </c>
      <c r="P10" s="114">
        <v>17</v>
      </c>
      <c r="Q10" s="102">
        <v>159.00000000000003</v>
      </c>
    </row>
    <row r="11" spans="1:17" x14ac:dyDescent="0.4">
      <c r="A11" s="52" t="s">
        <v>138</v>
      </c>
      <c r="B11" s="45">
        <v>11</v>
      </c>
      <c r="C11" s="38">
        <f t="shared" si="1"/>
        <v>0.2</v>
      </c>
      <c r="E11" s="59" t="s">
        <v>70</v>
      </c>
      <c r="F11" s="56" t="s">
        <v>25</v>
      </c>
      <c r="G11" s="44">
        <v>14</v>
      </c>
      <c r="H11" s="129">
        <f>IF(B$17=0,0,G11/B$17)</f>
        <v>0.10852713178294573</v>
      </c>
      <c r="I11" s="90">
        <v>5</v>
      </c>
      <c r="K11" s="36">
        <v>9</v>
      </c>
      <c r="L11" s="95">
        <v>-120.99999999999999</v>
      </c>
      <c r="N11" s="111" t="s">
        <v>163</v>
      </c>
      <c r="O11" s="121">
        <f>IF(P11=0,0,Q11/P11)</f>
        <v>7.2759999999999989</v>
      </c>
      <c r="P11" s="115">
        <v>25</v>
      </c>
      <c r="Q11" s="103">
        <v>181.89999999999998</v>
      </c>
    </row>
    <row r="12" spans="1:17" x14ac:dyDescent="0.4">
      <c r="A12" s="53" t="s">
        <v>158</v>
      </c>
      <c r="B12" s="46">
        <v>5</v>
      </c>
      <c r="C12" s="40">
        <f t="shared" si="1"/>
        <v>9.0909090909090912E-2</v>
      </c>
      <c r="E12" s="59" t="s">
        <v>167</v>
      </c>
      <c r="F12" s="56" t="s">
        <v>168</v>
      </c>
      <c r="G12" s="44">
        <v>8</v>
      </c>
      <c r="H12" s="129">
        <f>IF(B$17=0,0,G12/B$17)</f>
        <v>6.2015503875968991E-2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-6.2923076923076922</v>
      </c>
      <c r="P12" s="116">
        <v>13</v>
      </c>
      <c r="Q12" s="104">
        <v>-81.8</v>
      </c>
    </row>
    <row r="13" spans="1:17" x14ac:dyDescent="0.4">
      <c r="A13" s="54" t="s">
        <v>121</v>
      </c>
      <c r="B13" s="47">
        <v>141</v>
      </c>
      <c r="C13" s="42">
        <f>IF(B$3=0,0,B13/B$3)</f>
        <v>0.32118451025056949</v>
      </c>
      <c r="E13" s="59" t="s">
        <v>71</v>
      </c>
      <c r="F13" s="56" t="s">
        <v>26</v>
      </c>
      <c r="G13" s="44">
        <v>7</v>
      </c>
      <c r="H13" s="129">
        <f>IF(B$17=0,0,G13/B$17)</f>
        <v>5.4263565891472867E-2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80</v>
      </c>
      <c r="C14" s="37">
        <f>IF(B$3=0,0,B14/B$3)</f>
        <v>0.18223234624145787</v>
      </c>
      <c r="E14" s="59" t="s">
        <v>83</v>
      </c>
      <c r="F14" s="56" t="s">
        <v>38</v>
      </c>
      <c r="G14" s="44">
        <v>6</v>
      </c>
      <c r="H14" s="129">
        <f>IF(B$17=0,0,G14/B$17)</f>
        <v>4.6511627906976744E-2</v>
      </c>
      <c r="I14" s="90">
        <v>8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75</v>
      </c>
      <c r="C15" s="35">
        <f>IF(B$13=0,0,B15/B$13)</f>
        <v>0.53191489361702127</v>
      </c>
      <c r="E15" s="59" t="s">
        <v>81</v>
      </c>
      <c r="F15" s="56" t="s">
        <v>36</v>
      </c>
      <c r="G15" s="44">
        <v>3</v>
      </c>
      <c r="H15" s="129">
        <f>IF(B$17=0,0,G15/B$17)</f>
        <v>2.3255813953488372E-2</v>
      </c>
      <c r="I15" s="90">
        <v>4</v>
      </c>
      <c r="K15" s="36">
        <v>13</v>
      </c>
      <c r="L15" s="95">
        <v>-132.39999999999998</v>
      </c>
      <c r="N15" s="110" t="s">
        <v>195</v>
      </c>
      <c r="O15" s="120">
        <f t="shared" ref="O15:O22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37</v>
      </c>
      <c r="C16" s="35">
        <f>IF(B$14=0,0,B16/B$14)</f>
        <v>0.46250000000000002</v>
      </c>
      <c r="E16" s="59" t="s">
        <v>86</v>
      </c>
      <c r="F16" s="56" t="s">
        <v>41</v>
      </c>
      <c r="G16" s="44">
        <v>3</v>
      </c>
      <c r="H16" s="129">
        <f>IF(B$17=0,0,G16/B$17)</f>
        <v>2.3255813953488372E-2</v>
      </c>
      <c r="I16" s="90">
        <v>10</v>
      </c>
      <c r="K16" s="36">
        <v>14</v>
      </c>
      <c r="L16" s="95">
        <v>-86.499999999999972</v>
      </c>
      <c r="N16" s="111" t="s">
        <v>166</v>
      </c>
      <c r="O16" s="121">
        <f t="shared" si="2"/>
        <v>24.400000000000002</v>
      </c>
      <c r="P16" s="115">
        <v>7</v>
      </c>
      <c r="Q16" s="103">
        <v>170.8</v>
      </c>
    </row>
    <row r="17" spans="1:17" x14ac:dyDescent="0.4">
      <c r="A17" s="50" t="s">
        <v>10</v>
      </c>
      <c r="B17" s="43">
        <f>B19+B18</f>
        <v>129</v>
      </c>
      <c r="C17" s="35">
        <f>IF(B$3=0,0,B17/B$3)</f>
        <v>0.29384965831435078</v>
      </c>
      <c r="E17" s="59" t="s">
        <v>92</v>
      </c>
      <c r="F17" s="56" t="s">
        <v>47</v>
      </c>
      <c r="G17" s="44">
        <v>3</v>
      </c>
      <c r="H17" s="129">
        <f>IF(B$17=0,0,G17/B$17)</f>
        <v>2.3255813953488372E-2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 t="shared" si="2"/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64</v>
      </c>
      <c r="C18" s="37">
        <f>IF(B$17=0,0,B18/B$17)</f>
        <v>0.49612403100775193</v>
      </c>
      <c r="E18" s="59" t="s">
        <v>91</v>
      </c>
      <c r="F18" s="56" t="s">
        <v>46</v>
      </c>
      <c r="G18" s="44">
        <v>2</v>
      </c>
      <c r="H18" s="129">
        <f>IF(B$17=0,0,G18/B$17)</f>
        <v>1.5503875968992248E-2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 t="shared" si="2"/>
        <v>16.168965517241379</v>
      </c>
      <c r="P18" s="115">
        <v>29</v>
      </c>
      <c r="Q18" s="103">
        <v>468.9</v>
      </c>
    </row>
    <row r="19" spans="1:17" x14ac:dyDescent="0.4">
      <c r="A19" s="51" t="s">
        <v>11</v>
      </c>
      <c r="B19" s="44">
        <v>65</v>
      </c>
      <c r="C19" s="37">
        <f>IF(B$17=0,0,B19/B$17)</f>
        <v>0.50387596899224807</v>
      </c>
      <c r="E19" s="59" t="s">
        <v>73</v>
      </c>
      <c r="F19" s="56" t="s">
        <v>28</v>
      </c>
      <c r="G19" s="44">
        <v>1</v>
      </c>
      <c r="H19" s="129">
        <f>IF(B$17=0,0,G19/B$17)</f>
        <v>7.7519379844961239E-3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 t="shared" si="2"/>
        <v>8.8999999999999986</v>
      </c>
      <c r="P19" s="115">
        <v>21</v>
      </c>
      <c r="Q19" s="103">
        <v>186.89999999999998</v>
      </c>
    </row>
    <row r="20" spans="1:17" x14ac:dyDescent="0.4">
      <c r="A20" s="51" t="s">
        <v>13</v>
      </c>
      <c r="B20" s="44">
        <v>71</v>
      </c>
      <c r="C20" s="37">
        <f>IF(B$3=0,0,B20/B$3)</f>
        <v>0.16173120728929385</v>
      </c>
      <c r="E20" s="59" t="s">
        <v>75</v>
      </c>
      <c r="F20" s="56" t="s">
        <v>30</v>
      </c>
      <c r="G20" s="44">
        <v>1</v>
      </c>
      <c r="H20" s="129">
        <f>IF(B$17=0,0,G20/B$17)</f>
        <v>7.7519379844961239E-3</v>
      </c>
      <c r="I20" s="90">
        <v>4</v>
      </c>
      <c r="K20" s="36">
        <v>18</v>
      </c>
      <c r="L20" s="95">
        <v>-24.999999999999968</v>
      </c>
      <c r="N20" s="111" t="s">
        <v>179</v>
      </c>
      <c r="O20" s="121">
        <f t="shared" si="2"/>
        <v>6.6222222222222209</v>
      </c>
      <c r="P20" s="115">
        <v>9</v>
      </c>
      <c r="Q20" s="103">
        <v>59.599999999999987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78</v>
      </c>
      <c r="F21" s="56" t="s">
        <v>33</v>
      </c>
      <c r="G21" s="44">
        <v>1</v>
      </c>
      <c r="H21" s="129">
        <f>IF(B$17=0,0,G21/B$17)</f>
        <v>7.7519379844961239E-3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 t="shared" si="2"/>
        <v>-12.182608695652178</v>
      </c>
      <c r="P21" s="115">
        <v>23</v>
      </c>
      <c r="Q21" s="103">
        <v>-280.2000000000001</v>
      </c>
    </row>
    <row r="22" spans="1:17" x14ac:dyDescent="0.4">
      <c r="A22" s="51" t="s">
        <v>170</v>
      </c>
      <c r="B22" s="44">
        <v>25</v>
      </c>
      <c r="C22" s="131">
        <v>2</v>
      </c>
      <c r="E22" s="59" t="s">
        <v>85</v>
      </c>
      <c r="F22" s="56" t="s">
        <v>40</v>
      </c>
      <c r="G22" s="44">
        <v>1</v>
      </c>
      <c r="H22" s="129">
        <f>IF(B$17=0,0,G22/B$17)</f>
        <v>7.7519379844961239E-3</v>
      </c>
      <c r="I22" s="90">
        <v>2</v>
      </c>
      <c r="K22" s="36">
        <v>20</v>
      </c>
      <c r="L22" s="95">
        <v>-50.39999999999997</v>
      </c>
      <c r="N22" s="111" t="s">
        <v>181</v>
      </c>
      <c r="O22" s="121">
        <f t="shared" si="2"/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10435.658914728681</v>
      </c>
      <c r="C23" s="39">
        <v>1346200</v>
      </c>
      <c r="E23" s="59" t="s">
        <v>90</v>
      </c>
      <c r="F23" s="56" t="s">
        <v>45</v>
      </c>
      <c r="G23" s="44">
        <v>1</v>
      </c>
      <c r="H23" s="129">
        <f>IF(B$17=0,0,G23/B$17)</f>
        <v>7.7519379844961239E-3</v>
      </c>
      <c r="I23" s="90">
        <v>1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11425</v>
      </c>
      <c r="C24" s="137">
        <v>1051100</v>
      </c>
      <c r="E24" s="59" t="s">
        <v>93</v>
      </c>
      <c r="F24" s="56" t="s">
        <v>48</v>
      </c>
      <c r="G24" s="44">
        <v>1</v>
      </c>
      <c r="H24" s="129">
        <f>IF(B$17=0,0,G24/B$17)</f>
        <v>7.7519379844961239E-3</v>
      </c>
      <c r="I24" s="90">
        <v>2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7975.6756756756758</v>
      </c>
      <c r="C25" s="137">
        <v>295100</v>
      </c>
      <c r="E25" s="59" t="s">
        <v>74</v>
      </c>
      <c r="F25" s="56" t="s">
        <v>29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-8325.352112676057</v>
      </c>
      <c r="C26" s="137">
        <v>-591100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103600</v>
      </c>
      <c r="C28" s="141"/>
      <c r="E28" s="59" t="s">
        <v>79</v>
      </c>
      <c r="F28" s="56" t="s">
        <v>34</v>
      </c>
      <c r="G28" s="44">
        <v>0</v>
      </c>
      <c r="H28" s="129">
        <f>IF(B$17=0,0,G28/B$17)</f>
        <v>0</v>
      </c>
      <c r="I28" s="90">
        <v>7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80</v>
      </c>
      <c r="F29" s="56" t="s">
        <v>35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E30" s="59" t="s">
        <v>82</v>
      </c>
      <c r="F30" s="56" t="s">
        <v>37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-16.499999999999972</v>
      </c>
    </row>
    <row r="32" spans="1:17" x14ac:dyDescent="0.4">
      <c r="E32" s="59" t="s">
        <v>87</v>
      </c>
      <c r="F32" s="56" t="s">
        <v>42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88</v>
      </c>
      <c r="F33" s="56" t="s">
        <v>43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73.900000000000034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96.100000000000037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112.00000000000004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</sheetData>
  <sortState xmlns:xlrd2="http://schemas.microsoft.com/office/spreadsheetml/2017/richdata2" ref="E2:I58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27AE2-E624-4606-9F75-8440E523DCD0}">
  <sheetPr codeName="Sheet17"/>
  <dimension ref="A1:Q7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77</v>
      </c>
      <c r="C2" s="149"/>
      <c r="E2" s="58" t="s">
        <v>66</v>
      </c>
      <c r="F2" s="55" t="s">
        <v>22</v>
      </c>
      <c r="G2" s="43">
        <v>136</v>
      </c>
      <c r="H2" s="128">
        <f>IF(B$17=0,0,G2/B$17)</f>
        <v>0.78612716763005785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1089.6103896103896</v>
      </c>
      <c r="P2" s="114">
        <v>77</v>
      </c>
      <c r="Q2" s="98">
        <v>83900</v>
      </c>
    </row>
    <row r="3" spans="1:17" x14ac:dyDescent="0.4">
      <c r="A3" s="51" t="s">
        <v>8</v>
      </c>
      <c r="B3" s="150">
        <v>617</v>
      </c>
      <c r="C3" s="151"/>
      <c r="E3" s="59" t="s">
        <v>72</v>
      </c>
      <c r="F3" s="56" t="s">
        <v>27</v>
      </c>
      <c r="G3" s="44">
        <v>110</v>
      </c>
      <c r="H3" s="129">
        <f>IF(B$17=0,0,G3/B$17)</f>
        <v>0.63583815028901736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831.08108108108104</v>
      </c>
      <c r="P3" s="115">
        <v>74</v>
      </c>
      <c r="Q3" s="99">
        <v>61500</v>
      </c>
    </row>
    <row r="4" spans="1:17" x14ac:dyDescent="0.4">
      <c r="A4" s="51" t="s">
        <v>6</v>
      </c>
      <c r="B4" s="152">
        <v>-87.299999999999969</v>
      </c>
      <c r="C4" s="153"/>
      <c r="E4" s="59" t="s">
        <v>64</v>
      </c>
      <c r="F4" s="56" t="s">
        <v>20</v>
      </c>
      <c r="G4" s="44">
        <v>85</v>
      </c>
      <c r="H4" s="129">
        <f>IF(B$17=0,0,G4/B$17)</f>
        <v>0.4913294797687861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-1097.1014492753623</v>
      </c>
      <c r="P4" s="115">
        <v>69</v>
      </c>
      <c r="Q4" s="99">
        <v>-75700</v>
      </c>
    </row>
    <row r="5" spans="1:17" x14ac:dyDescent="0.4">
      <c r="A5" s="51" t="s">
        <v>7</v>
      </c>
      <c r="B5" s="154">
        <f>IF(B$2=0,0,B$4/B$2)</f>
        <v>-1.1337662337662333</v>
      </c>
      <c r="C5" s="155"/>
      <c r="E5" s="59" t="s">
        <v>171</v>
      </c>
      <c r="F5" s="56" t="s">
        <v>172</v>
      </c>
      <c r="G5" s="44">
        <v>81</v>
      </c>
      <c r="H5" s="129">
        <f>IF(B$17=0,0,G5/B$17)</f>
        <v>0.46820809248554912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323.8095238095238</v>
      </c>
      <c r="P5" s="115">
        <v>63</v>
      </c>
      <c r="Q5" s="99">
        <v>20400</v>
      </c>
    </row>
    <row r="6" spans="1:17" x14ac:dyDescent="0.4">
      <c r="A6" s="51" t="s">
        <v>1</v>
      </c>
      <c r="B6" s="144">
        <f>IF(B$2=0,0,(B$7*1+B$8*2+B$9*3)/B$2)</f>
        <v>2.0779220779220777</v>
      </c>
      <c r="C6" s="145"/>
      <c r="E6" s="59" t="s">
        <v>67</v>
      </c>
      <c r="F6" s="56" t="s">
        <v>23</v>
      </c>
      <c r="G6" s="44">
        <v>70</v>
      </c>
      <c r="H6" s="129">
        <f>IF(B$17=0,0,G6/B$17)</f>
        <v>0.40462427745664742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-540.35087719298247</v>
      </c>
      <c r="P6" s="115">
        <v>57</v>
      </c>
      <c r="Q6" s="99">
        <v>-30800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0.20779220779220781</v>
      </c>
      <c r="E7" s="59" t="s">
        <v>68</v>
      </c>
      <c r="F7" s="56" t="s">
        <v>12</v>
      </c>
      <c r="G7" s="44">
        <v>57</v>
      </c>
      <c r="H7" s="129">
        <f>IF(B$17=0,0,G7/B$17)</f>
        <v>0.32947976878612717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-1202</v>
      </c>
      <c r="P7" s="116">
        <v>50</v>
      </c>
      <c r="Q7" s="100">
        <v>-60100</v>
      </c>
    </row>
    <row r="8" spans="1:17" x14ac:dyDescent="0.4">
      <c r="A8" s="51" t="s">
        <v>3</v>
      </c>
      <c r="B8" s="44">
        <v>39</v>
      </c>
      <c r="C8" s="37">
        <f t="shared" si="1"/>
        <v>0.50649350649350644</v>
      </c>
      <c r="E8" s="59" t="s">
        <v>69</v>
      </c>
      <c r="F8" s="56" t="s">
        <v>24</v>
      </c>
      <c r="G8" s="44">
        <v>23</v>
      </c>
      <c r="H8" s="129">
        <f>IF(B$17=0,0,G8/B$17)</f>
        <v>0.13294797687861271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22</v>
      </c>
      <c r="C9" s="38">
        <f t="shared" si="1"/>
        <v>0.2857142857142857</v>
      </c>
      <c r="E9" s="59" t="s">
        <v>89</v>
      </c>
      <c r="F9" s="56" t="s">
        <v>44</v>
      </c>
      <c r="G9" s="44">
        <v>16</v>
      </c>
      <c r="H9" s="129">
        <f>IF(B$17=0,0,G9/B$17)</f>
        <v>9.2485549132947972E-2</v>
      </c>
      <c r="I9" s="90">
        <v>9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7.792207792207792E-2</v>
      </c>
      <c r="E10" s="59" t="s">
        <v>71</v>
      </c>
      <c r="F10" s="56" t="s">
        <v>26</v>
      </c>
      <c r="G10" s="44">
        <v>15</v>
      </c>
      <c r="H10" s="129">
        <f>IF(B$17=0,0,G10/B$17)</f>
        <v>8.6705202312138727E-2</v>
      </c>
      <c r="I10" s="90">
        <v>6</v>
      </c>
      <c r="K10" s="36">
        <v>8</v>
      </c>
      <c r="L10" s="95">
        <v>-46.7</v>
      </c>
      <c r="N10" s="110" t="s">
        <v>162</v>
      </c>
      <c r="O10" s="120">
        <f>IF(P10=0,0,Q10/P10)</f>
        <v>-1.0687500000000001</v>
      </c>
      <c r="P10" s="114">
        <v>32</v>
      </c>
      <c r="Q10" s="102">
        <v>-34.200000000000003</v>
      </c>
    </row>
    <row r="11" spans="1:17" x14ac:dyDescent="0.4">
      <c r="A11" s="52" t="s">
        <v>138</v>
      </c>
      <c r="B11" s="45">
        <v>6</v>
      </c>
      <c r="C11" s="38">
        <f t="shared" si="1"/>
        <v>7.792207792207792E-2</v>
      </c>
      <c r="E11" s="59" t="s">
        <v>70</v>
      </c>
      <c r="F11" s="56" t="s">
        <v>25</v>
      </c>
      <c r="G11" s="44">
        <v>13</v>
      </c>
      <c r="H11" s="129">
        <f>IF(B$17=0,0,G11/B$17)</f>
        <v>7.5144508670520235E-2</v>
      </c>
      <c r="I11" s="90">
        <v>8</v>
      </c>
      <c r="K11" s="36">
        <v>9</v>
      </c>
      <c r="L11" s="95">
        <v>-90.9</v>
      </c>
      <c r="N11" s="111" t="s">
        <v>163</v>
      </c>
      <c r="O11" s="121">
        <f>IF(P11=0,0,Q11/P11)</f>
        <v>3.9045454545454543</v>
      </c>
      <c r="P11" s="115">
        <v>22</v>
      </c>
      <c r="Q11" s="103">
        <v>85.899999999999991</v>
      </c>
    </row>
    <row r="12" spans="1:17" x14ac:dyDescent="0.4">
      <c r="A12" s="53" t="s">
        <v>158</v>
      </c>
      <c r="B12" s="46">
        <v>3</v>
      </c>
      <c r="C12" s="40">
        <f t="shared" si="1"/>
        <v>3.896103896103896E-2</v>
      </c>
      <c r="E12" s="59" t="s">
        <v>65</v>
      </c>
      <c r="F12" s="56" t="s">
        <v>21</v>
      </c>
      <c r="G12" s="44">
        <v>12</v>
      </c>
      <c r="H12" s="129">
        <f>IF(B$17=0,0,G12/B$17)</f>
        <v>6.9364161849710976E-2</v>
      </c>
      <c r="I12" s="90">
        <v>10</v>
      </c>
      <c r="K12" s="36">
        <v>10</v>
      </c>
      <c r="L12" s="95">
        <v>-146.69999999999999</v>
      </c>
      <c r="N12" s="112" t="s">
        <v>164</v>
      </c>
      <c r="O12" s="122">
        <f>IF(P12=0,0,Q12/P12)</f>
        <v>-6.0434782608695654</v>
      </c>
      <c r="P12" s="116">
        <v>23</v>
      </c>
      <c r="Q12" s="104">
        <v>-139</v>
      </c>
    </row>
    <row r="13" spans="1:17" x14ac:dyDescent="0.4">
      <c r="A13" s="54" t="s">
        <v>121</v>
      </c>
      <c r="B13" s="47">
        <v>156</v>
      </c>
      <c r="C13" s="42">
        <f>IF(B$3=0,0,B13/B$3)</f>
        <v>0.25283630470016205</v>
      </c>
      <c r="E13" s="59" t="s">
        <v>86</v>
      </c>
      <c r="F13" s="56" t="s">
        <v>41</v>
      </c>
      <c r="G13" s="44">
        <v>8</v>
      </c>
      <c r="H13" s="129">
        <f>IF(B$17=0,0,G13/B$17)</f>
        <v>4.6242774566473986E-2</v>
      </c>
      <c r="I13" s="90">
        <v>4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147</v>
      </c>
      <c r="C14" s="37">
        <f>IF(B$3=0,0,B14/B$3)</f>
        <v>0.23824959481361427</v>
      </c>
      <c r="E14" s="59" t="s">
        <v>79</v>
      </c>
      <c r="F14" s="56" t="s">
        <v>34</v>
      </c>
      <c r="G14" s="44">
        <v>6</v>
      </c>
      <c r="H14" s="129">
        <f>IF(B$17=0,0,G14/B$17)</f>
        <v>3.4682080924855488E-2</v>
      </c>
      <c r="I14" s="90">
        <v>2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89</v>
      </c>
      <c r="C15" s="35">
        <f>IF(B$13=0,0,B15/B$13)</f>
        <v>0.57051282051282048</v>
      </c>
      <c r="E15" s="59" t="s">
        <v>83</v>
      </c>
      <c r="F15" s="56" t="s">
        <v>38</v>
      </c>
      <c r="G15" s="44">
        <v>6</v>
      </c>
      <c r="H15" s="129">
        <f>IF(B$17=0,0,G15/B$17)</f>
        <v>3.4682080924855488E-2</v>
      </c>
      <c r="I15" s="90">
        <v>10</v>
      </c>
      <c r="K15" s="36">
        <v>13</v>
      </c>
      <c r="L15" s="95">
        <v>-68.399999999999991</v>
      </c>
      <c r="N15" s="110" t="s">
        <v>195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59</v>
      </c>
      <c r="C16" s="35">
        <f>IF(B$14=0,0,B16/B$14)</f>
        <v>0.40136054421768708</v>
      </c>
      <c r="E16" s="59" t="s">
        <v>167</v>
      </c>
      <c r="F16" s="56" t="s">
        <v>168</v>
      </c>
      <c r="G16" s="44">
        <v>4</v>
      </c>
      <c r="H16" s="129">
        <f>IF(B$17=0,0,G16/B$17)</f>
        <v>2.3121387283236993E-2</v>
      </c>
      <c r="I16" s="90">
        <v>4</v>
      </c>
      <c r="K16" s="36">
        <v>14</v>
      </c>
      <c r="L16" s="95">
        <v>-25.79999999999999</v>
      </c>
      <c r="N16" s="111" t="s">
        <v>222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173</v>
      </c>
      <c r="C17" s="35">
        <f>IF(B$3=0,0,B17/B$3)</f>
        <v>0.28038897893030795</v>
      </c>
      <c r="E17" s="59" t="s">
        <v>73</v>
      </c>
      <c r="F17" s="56" t="s">
        <v>28</v>
      </c>
      <c r="G17" s="44">
        <v>3</v>
      </c>
      <c r="H17" s="129">
        <f>IF(B$17=0,0,G17/B$17)</f>
        <v>1.7341040462427744E-2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 t="shared" si="2"/>
        <v>17.733333333333331</v>
      </c>
      <c r="P17" s="115">
        <v>18</v>
      </c>
      <c r="Q17" s="103">
        <v>319.19999999999993</v>
      </c>
    </row>
    <row r="18" spans="1:17" x14ac:dyDescent="0.4">
      <c r="A18" s="51" t="s">
        <v>12</v>
      </c>
      <c r="B18" s="44">
        <v>78</v>
      </c>
      <c r="C18" s="37">
        <f>IF(B$17=0,0,B18/B$17)</f>
        <v>0.45086705202312138</v>
      </c>
      <c r="E18" s="59" t="s">
        <v>78</v>
      </c>
      <c r="F18" s="56" t="s">
        <v>33</v>
      </c>
      <c r="G18" s="44">
        <v>3</v>
      </c>
      <c r="H18" s="129">
        <f>IF(B$17=0,0,G18/B$17)</f>
        <v>1.7341040462427744E-2</v>
      </c>
      <c r="I18" s="90">
        <v>6</v>
      </c>
      <c r="K18" s="36">
        <v>16</v>
      </c>
      <c r="L18" s="95">
        <v>-35.599999999999987</v>
      </c>
      <c r="N18" s="111" t="s">
        <v>179</v>
      </c>
      <c r="O18" s="121">
        <f t="shared" si="2"/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95</v>
      </c>
      <c r="C19" s="37">
        <f>IF(B$17=0,0,B19/B$17)</f>
        <v>0.54913294797687862</v>
      </c>
      <c r="E19" s="59" t="s">
        <v>81</v>
      </c>
      <c r="F19" s="56" t="s">
        <v>36</v>
      </c>
      <c r="G19" s="44">
        <v>2</v>
      </c>
      <c r="H19" s="129">
        <f>IF(B$17=0,0,G19/B$17)</f>
        <v>1.1560693641618497E-2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83</v>
      </c>
      <c r="C20" s="37">
        <f>IF(B$3=0,0,B20/B$3)</f>
        <v>0.13452188006482982</v>
      </c>
      <c r="E20" s="59" t="s">
        <v>74</v>
      </c>
      <c r="F20" s="56" t="s">
        <v>29</v>
      </c>
      <c r="G20" s="44">
        <v>1</v>
      </c>
      <c r="H20" s="129">
        <f>IF(B$17=0,0,G20/B$17)</f>
        <v>5.7803468208092483E-3</v>
      </c>
      <c r="I20" s="90">
        <v>4</v>
      </c>
      <c r="K20" s="36">
        <v>18</v>
      </c>
      <c r="L20" s="95">
        <v>-62.399999999999991</v>
      </c>
      <c r="N20" s="111" t="s">
        <v>166</v>
      </c>
      <c r="O20" s="121">
        <f t="shared" si="2"/>
        <v>-0.50000000000000044</v>
      </c>
      <c r="P20" s="115">
        <v>15</v>
      </c>
      <c r="Q20" s="103">
        <v>-7.5000000000000071</v>
      </c>
    </row>
    <row r="21" spans="1:17" x14ac:dyDescent="0.4">
      <c r="A21" s="51" t="s">
        <v>169</v>
      </c>
      <c r="B21" s="44">
        <v>6</v>
      </c>
      <c r="C21" s="131">
        <v>0</v>
      </c>
      <c r="E21" s="59" t="s">
        <v>85</v>
      </c>
      <c r="F21" s="56" t="s">
        <v>40</v>
      </c>
      <c r="G21" s="44">
        <v>1</v>
      </c>
      <c r="H21" s="129">
        <f>IF(B$17=0,0,G21/B$17)</f>
        <v>5.7803468208092483E-3</v>
      </c>
      <c r="I21" s="90">
        <v>3</v>
      </c>
      <c r="K21" s="36">
        <v>19</v>
      </c>
      <c r="L21" s="95">
        <v>-56.399999999999991</v>
      </c>
      <c r="N21" s="111" t="s">
        <v>127</v>
      </c>
      <c r="O21" s="121">
        <f t="shared" si="2"/>
        <v>-8.1034482758620694</v>
      </c>
      <c r="P21" s="115">
        <v>29</v>
      </c>
      <c r="Q21" s="103">
        <v>-235</v>
      </c>
    </row>
    <row r="22" spans="1:17" x14ac:dyDescent="0.4">
      <c r="A22" s="51" t="s">
        <v>170</v>
      </c>
      <c r="B22" s="44">
        <v>44</v>
      </c>
      <c r="C22" s="131">
        <v>0</v>
      </c>
      <c r="E22" s="59" t="s">
        <v>87</v>
      </c>
      <c r="F22" s="56" t="s">
        <v>42</v>
      </c>
      <c r="G22" s="44">
        <v>1</v>
      </c>
      <c r="H22" s="129">
        <f>IF(B$17=0,0,G22/B$17)</f>
        <v>5.7803468208092483E-3</v>
      </c>
      <c r="I22" s="90">
        <v>2</v>
      </c>
      <c r="K22" s="36">
        <v>20</v>
      </c>
      <c r="L22" s="95">
        <v>-93.199999999999989</v>
      </c>
      <c r="N22" s="111" t="s">
        <v>126</v>
      </c>
      <c r="O22" s="121">
        <f t="shared" si="2"/>
        <v>-13.224242424242425</v>
      </c>
      <c r="P22" s="115">
        <v>33</v>
      </c>
      <c r="Q22" s="103">
        <v>-436.40000000000003</v>
      </c>
    </row>
    <row r="23" spans="1:17" x14ac:dyDescent="0.4">
      <c r="A23" s="51" t="s">
        <v>5</v>
      </c>
      <c r="B23" s="48">
        <f>IF(B$17=0,0,C23/B$17)</f>
        <v>8409.2485549132944</v>
      </c>
      <c r="C23" s="39">
        <v>1454800</v>
      </c>
      <c r="E23" s="59" t="s">
        <v>88</v>
      </c>
      <c r="F23" s="56" t="s">
        <v>43</v>
      </c>
      <c r="G23" s="44">
        <v>1</v>
      </c>
      <c r="H23" s="129">
        <f>IF(B$17=0,0,G23/B$17)</f>
        <v>5.7803468208092483E-3</v>
      </c>
      <c r="I23" s="90">
        <v>3</v>
      </c>
      <c r="K23" s="36">
        <v>21</v>
      </c>
      <c r="L23" s="95">
        <v>-123.69999999999999</v>
      </c>
      <c r="N23" s="111" t="s">
        <v>177</v>
      </c>
      <c r="O23" s="121">
        <f t="shared" si="2"/>
        <v>-16.168965517241379</v>
      </c>
      <c r="P23" s="115">
        <v>29</v>
      </c>
      <c r="Q23" s="103">
        <v>-468.9</v>
      </c>
    </row>
    <row r="24" spans="1:17" x14ac:dyDescent="0.4">
      <c r="A24" s="52" t="s">
        <v>216</v>
      </c>
      <c r="B24" s="136">
        <f>IF($B$17-B$16=0,0,C24/($B$17-B$16))</f>
        <v>9442.105263157895</v>
      </c>
      <c r="C24" s="137">
        <v>1076400</v>
      </c>
      <c r="E24" s="59" t="s">
        <v>91</v>
      </c>
      <c r="F24" s="56" t="s">
        <v>46</v>
      </c>
      <c r="G24" s="44">
        <v>1</v>
      </c>
      <c r="H24" s="129">
        <f>IF(B$17=0,0,G24/B$17)</f>
        <v>5.7803468208092483E-3</v>
      </c>
      <c r="I24" s="90">
        <v>6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6413.5593220338988</v>
      </c>
      <c r="C25" s="137">
        <v>378400</v>
      </c>
      <c r="E25" s="59" t="s">
        <v>101</v>
      </c>
      <c r="F25" s="56" t="s">
        <v>56</v>
      </c>
      <c r="G25" s="44">
        <v>1</v>
      </c>
      <c r="H25" s="129">
        <f>IF(B$17=0,0,G25/B$17)</f>
        <v>5.7803468208092483E-3</v>
      </c>
      <c r="I25" s="90">
        <v>1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-8059.0361445783128</v>
      </c>
      <c r="C26" s="137">
        <v>-668900</v>
      </c>
      <c r="E26" s="59" t="s">
        <v>75</v>
      </c>
      <c r="F26" s="56" t="s">
        <v>30</v>
      </c>
      <c r="G26" s="44">
        <v>0</v>
      </c>
      <c r="H26" s="129">
        <f>IF(B$17=0,0,G26/B$17)</f>
        <v>0</v>
      </c>
      <c r="I26" s="90">
        <v>7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3.2414910858995136E-3</v>
      </c>
      <c r="E29" s="59" t="s">
        <v>80</v>
      </c>
      <c r="F29" s="56" t="s">
        <v>35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-70.199999999999989</v>
      </c>
    </row>
    <row r="30" spans="1:17" x14ac:dyDescent="0.4">
      <c r="E30" s="59" t="s">
        <v>82</v>
      </c>
      <c r="F30" s="56" t="s">
        <v>37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</sheetData>
  <sortState xmlns:xlrd2="http://schemas.microsoft.com/office/spreadsheetml/2017/richdata2" ref="E2:I80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5807E-8919-4F26-BCB9-06B55BB69A1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31</v>
      </c>
      <c r="C2" s="149"/>
      <c r="E2" s="58" t="s">
        <v>66</v>
      </c>
      <c r="F2" s="55" t="s">
        <v>22</v>
      </c>
      <c r="G2" s="43">
        <v>40</v>
      </c>
      <c r="H2" s="128">
        <f>IF(B$17=0,0,G2/B$17)</f>
        <v>0.68965517241379315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-2700</v>
      </c>
      <c r="P2" s="114">
        <v>31</v>
      </c>
      <c r="Q2" s="98">
        <v>-83700</v>
      </c>
    </row>
    <row r="3" spans="1:17" x14ac:dyDescent="0.4">
      <c r="A3" s="51" t="s">
        <v>8</v>
      </c>
      <c r="B3" s="150">
        <v>250</v>
      </c>
      <c r="C3" s="151"/>
      <c r="E3" s="59" t="s">
        <v>72</v>
      </c>
      <c r="F3" s="56" t="s">
        <v>27</v>
      </c>
      <c r="G3" s="44">
        <v>34</v>
      </c>
      <c r="H3" s="129">
        <f>IF(B$17=0,0,G3/B$17)</f>
        <v>0.58620689655172409</v>
      </c>
      <c r="I3" s="90">
        <v>3</v>
      </c>
      <c r="K3" s="36">
        <v>1</v>
      </c>
      <c r="L3" s="95">
        <v>-12</v>
      </c>
      <c r="N3" s="111" t="s">
        <v>131</v>
      </c>
      <c r="O3" s="118">
        <f t="shared" si="0"/>
        <v>-170.96774193548387</v>
      </c>
      <c r="P3" s="115">
        <v>31</v>
      </c>
      <c r="Q3" s="99">
        <v>-5300</v>
      </c>
    </row>
    <row r="4" spans="1:17" x14ac:dyDescent="0.4">
      <c r="A4" s="51" t="s">
        <v>6</v>
      </c>
      <c r="B4" s="152">
        <v>-473.10000000000014</v>
      </c>
      <c r="C4" s="153"/>
      <c r="E4" s="59" t="s">
        <v>64</v>
      </c>
      <c r="F4" s="56" t="s">
        <v>20</v>
      </c>
      <c r="G4" s="44">
        <v>25</v>
      </c>
      <c r="H4" s="129">
        <f>IF(B$17=0,0,G4/B$17)</f>
        <v>0.43103448275862066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-745.16129032258061</v>
      </c>
      <c r="P4" s="115">
        <v>31</v>
      </c>
      <c r="Q4" s="99">
        <v>-23100</v>
      </c>
    </row>
    <row r="5" spans="1:17" x14ac:dyDescent="0.4">
      <c r="A5" s="51" t="s">
        <v>7</v>
      </c>
      <c r="B5" s="154">
        <f>IF(B$2=0,0,B$4/B$2)</f>
        <v>-15.261290322580649</v>
      </c>
      <c r="C5" s="155"/>
      <c r="E5" s="59" t="s">
        <v>67</v>
      </c>
      <c r="F5" s="56" t="s">
        <v>23</v>
      </c>
      <c r="G5" s="44">
        <v>18</v>
      </c>
      <c r="H5" s="129">
        <f>IF(B$17=0,0,G5/B$17)</f>
        <v>0.31034482758620691</v>
      </c>
      <c r="I5" s="90">
        <v>6</v>
      </c>
      <c r="K5" s="36">
        <v>3</v>
      </c>
      <c r="L5" s="95">
        <v>-33.6</v>
      </c>
      <c r="N5" s="111" t="s">
        <v>133</v>
      </c>
      <c r="O5" s="118">
        <f t="shared" si="0"/>
        <v>-2773.3333333333335</v>
      </c>
      <c r="P5" s="115">
        <v>30</v>
      </c>
      <c r="Q5" s="99">
        <v>-83200</v>
      </c>
    </row>
    <row r="6" spans="1:17" x14ac:dyDescent="0.4">
      <c r="A6" s="51" t="s">
        <v>1</v>
      </c>
      <c r="B6" s="144">
        <f>IF(B$2=0,0,(B$7*1+B$8*2+B$9*3)/B$2)</f>
        <v>2.4516129032258065</v>
      </c>
      <c r="C6" s="145"/>
      <c r="E6" s="59" t="s">
        <v>171</v>
      </c>
      <c r="F6" s="56" t="s">
        <v>172</v>
      </c>
      <c r="G6" s="44">
        <v>18</v>
      </c>
      <c r="H6" s="129">
        <f>IF(B$17=0,0,G6/B$17)</f>
        <v>0.31034482758620691</v>
      </c>
      <c r="I6" s="90">
        <v>10</v>
      </c>
      <c r="K6" s="36">
        <v>4</v>
      </c>
      <c r="L6" s="95">
        <v>-80.5</v>
      </c>
      <c r="N6" s="111" t="s">
        <v>134</v>
      </c>
      <c r="O6" s="118">
        <f t="shared" si="0"/>
        <v>-1531.0344827586207</v>
      </c>
      <c r="P6" s="115">
        <v>29</v>
      </c>
      <c r="Q6" s="99">
        <v>-44400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9.6774193548387094E-2</v>
      </c>
      <c r="E7" s="59" t="s">
        <v>68</v>
      </c>
      <c r="F7" s="56" t="s">
        <v>12</v>
      </c>
      <c r="G7" s="44">
        <v>17</v>
      </c>
      <c r="H7" s="129">
        <f>IF(B$17=0,0,G7/B$17)</f>
        <v>0.29310344827586204</v>
      </c>
      <c r="I7" s="90">
        <v>8</v>
      </c>
      <c r="K7" s="36">
        <v>5</v>
      </c>
      <c r="L7" s="95">
        <v>-124.3</v>
      </c>
      <c r="N7" s="112" t="s">
        <v>135</v>
      </c>
      <c r="O7" s="119">
        <f t="shared" si="0"/>
        <v>-3683.3333333333335</v>
      </c>
      <c r="P7" s="116">
        <v>24</v>
      </c>
      <c r="Q7" s="100">
        <v>-88400</v>
      </c>
    </row>
    <row r="8" spans="1:17" x14ac:dyDescent="0.4">
      <c r="A8" s="51" t="s">
        <v>3</v>
      </c>
      <c r="B8" s="44">
        <v>11</v>
      </c>
      <c r="C8" s="37">
        <f t="shared" si="1"/>
        <v>0.35483870967741937</v>
      </c>
      <c r="E8" s="59" t="s">
        <v>89</v>
      </c>
      <c r="F8" s="56" t="s">
        <v>44</v>
      </c>
      <c r="G8" s="44">
        <v>8</v>
      </c>
      <c r="H8" s="129">
        <f>IF(B$17=0,0,G8/B$17)</f>
        <v>0.13793103448275862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0.54838709677419351</v>
      </c>
      <c r="E9" s="59" t="s">
        <v>65</v>
      </c>
      <c r="F9" s="56" t="s">
        <v>21</v>
      </c>
      <c r="G9" s="44">
        <v>7</v>
      </c>
      <c r="H9" s="129">
        <f>IF(B$17=0,0,G9/B$17)</f>
        <v>0.1206896551724138</v>
      </c>
      <c r="I9" s="90">
        <v>2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0.16129032258064516</v>
      </c>
      <c r="E10" s="59" t="s">
        <v>71</v>
      </c>
      <c r="F10" s="56" t="s">
        <v>26</v>
      </c>
      <c r="G10" s="44">
        <v>6</v>
      </c>
      <c r="H10" s="129">
        <f>IF(B$17=0,0,G10/B$17)</f>
        <v>0.10344827586206896</v>
      </c>
      <c r="I10" s="90">
        <v>3</v>
      </c>
      <c r="K10" s="36">
        <v>8</v>
      </c>
      <c r="L10" s="95">
        <v>-152.6</v>
      </c>
      <c r="N10" s="110" t="s">
        <v>162</v>
      </c>
      <c r="O10" s="120">
        <f>IF(P10=0,0,Q10/P10)</f>
        <v>-23.529411764705884</v>
      </c>
      <c r="P10" s="114">
        <v>17</v>
      </c>
      <c r="Q10" s="102">
        <v>-400</v>
      </c>
    </row>
    <row r="11" spans="1:17" x14ac:dyDescent="0.4">
      <c r="A11" s="52" t="s">
        <v>138</v>
      </c>
      <c r="B11" s="45">
        <v>1</v>
      </c>
      <c r="C11" s="38">
        <f t="shared" si="1"/>
        <v>3.2258064516129031E-2</v>
      </c>
      <c r="E11" s="59" t="s">
        <v>83</v>
      </c>
      <c r="F11" s="56" t="s">
        <v>38</v>
      </c>
      <c r="G11" s="44">
        <v>5</v>
      </c>
      <c r="H11" s="129">
        <f>IF(B$17=0,0,G11/B$17)</f>
        <v>8.6206896551724144E-2</v>
      </c>
      <c r="I11" s="90">
        <v>3</v>
      </c>
      <c r="K11" s="36">
        <v>9</v>
      </c>
      <c r="L11" s="95">
        <v>-150.6</v>
      </c>
      <c r="N11" s="111" t="s">
        <v>163</v>
      </c>
      <c r="O11" s="121">
        <f>IF(P11=0,0,Q11/P11)</f>
        <v>-7.2874999999999988</v>
      </c>
      <c r="P11" s="115">
        <v>8</v>
      </c>
      <c r="Q11" s="103">
        <v>-58.29999999999999</v>
      </c>
    </row>
    <row r="12" spans="1:17" x14ac:dyDescent="0.4">
      <c r="A12" s="53" t="s">
        <v>158</v>
      </c>
      <c r="B12" s="46">
        <v>1</v>
      </c>
      <c r="C12" s="40">
        <f t="shared" si="1"/>
        <v>3.2258064516129031E-2</v>
      </c>
      <c r="E12" s="59" t="s">
        <v>69</v>
      </c>
      <c r="F12" s="56" t="s">
        <v>24</v>
      </c>
      <c r="G12" s="44">
        <v>4</v>
      </c>
      <c r="H12" s="129">
        <f>IF(B$17=0,0,G12/B$17)</f>
        <v>6.8965517241379309E-2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-2.4666666666666663</v>
      </c>
      <c r="P12" s="116">
        <v>6</v>
      </c>
      <c r="Q12" s="104">
        <v>-14.799999999999999</v>
      </c>
    </row>
    <row r="13" spans="1:17" x14ac:dyDescent="0.4">
      <c r="A13" s="54" t="s">
        <v>121</v>
      </c>
      <c r="B13" s="47">
        <v>48</v>
      </c>
      <c r="C13" s="42">
        <f>IF(B$3=0,0,B13/B$3)</f>
        <v>0.192</v>
      </c>
      <c r="E13" s="59" t="s">
        <v>70</v>
      </c>
      <c r="F13" s="56" t="s">
        <v>25</v>
      </c>
      <c r="G13" s="44">
        <v>4</v>
      </c>
      <c r="H13" s="129">
        <f>IF(B$17=0,0,G13/B$17)</f>
        <v>6.8965517241379309E-2</v>
      </c>
      <c r="I13" s="90">
        <v>9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55</v>
      </c>
      <c r="C14" s="37">
        <f>IF(B$3=0,0,B14/B$3)</f>
        <v>0.22</v>
      </c>
      <c r="E14" s="59" t="s">
        <v>86</v>
      </c>
      <c r="F14" s="56" t="s">
        <v>41</v>
      </c>
      <c r="G14" s="44">
        <v>4</v>
      </c>
      <c r="H14" s="129">
        <f>IF(B$17=0,0,G14/B$17)</f>
        <v>6.8965517241379309E-2</v>
      </c>
      <c r="I14" s="90">
        <v>2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26</v>
      </c>
      <c r="C15" s="35">
        <f>IF(B$13=0,0,B15/B$13)</f>
        <v>0.54166666666666663</v>
      </c>
      <c r="E15" s="59" t="s">
        <v>81</v>
      </c>
      <c r="F15" s="56" t="s">
        <v>36</v>
      </c>
      <c r="G15" s="44">
        <v>2</v>
      </c>
      <c r="H15" s="129">
        <f>IF(B$17=0,0,G15/B$17)</f>
        <v>3.4482758620689655E-2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22</v>
      </c>
      <c r="C16" s="35">
        <f>IF(B$14=0,0,B16/B$14)</f>
        <v>0.4</v>
      </c>
      <c r="E16" s="59" t="s">
        <v>74</v>
      </c>
      <c r="F16" s="56" t="s">
        <v>29</v>
      </c>
      <c r="G16" s="44">
        <v>1</v>
      </c>
      <c r="H16" s="129">
        <f>IF(B$17=0,0,G16/B$17)</f>
        <v>1.7241379310344827E-2</v>
      </c>
      <c r="I16" s="90">
        <v>1</v>
      </c>
      <c r="K16" s="36">
        <v>14</v>
      </c>
      <c r="L16" s="95">
        <v>-266.90000000000003</v>
      </c>
      <c r="N16" s="111" t="s">
        <v>222</v>
      </c>
      <c r="O16" s="121">
        <f t="shared" si="2"/>
        <v>-17.649999999999999</v>
      </c>
      <c r="P16" s="115">
        <v>2</v>
      </c>
      <c r="Q16" s="103">
        <v>-35.299999999999997</v>
      </c>
    </row>
    <row r="17" spans="1:17" x14ac:dyDescent="0.4">
      <c r="A17" s="50" t="s">
        <v>10</v>
      </c>
      <c r="B17" s="43">
        <f>B19+B18</f>
        <v>58</v>
      </c>
      <c r="C17" s="35">
        <f>IF(B$3=0,0,B17/B$3)</f>
        <v>0.23200000000000001</v>
      </c>
      <c r="E17" s="59" t="s">
        <v>78</v>
      </c>
      <c r="F17" s="56" t="s">
        <v>33</v>
      </c>
      <c r="G17" s="44">
        <v>1</v>
      </c>
      <c r="H17" s="129">
        <f>IF(B$17=0,0,G17/B$17)</f>
        <v>1.7241379310344827E-2</v>
      </c>
      <c r="I17" s="90">
        <v>7</v>
      </c>
      <c r="K17" s="36">
        <v>15</v>
      </c>
      <c r="L17" s="95">
        <v>-272.50000000000006</v>
      </c>
      <c r="N17" s="111" t="s">
        <v>178</v>
      </c>
      <c r="O17" s="121">
        <f t="shared" si="2"/>
        <v>-17.733333333333331</v>
      </c>
      <c r="P17" s="115">
        <v>18</v>
      </c>
      <c r="Q17" s="103">
        <v>-319.19999999999993</v>
      </c>
    </row>
    <row r="18" spans="1:17" x14ac:dyDescent="0.4">
      <c r="A18" s="51" t="s">
        <v>12</v>
      </c>
      <c r="B18" s="44">
        <v>28</v>
      </c>
      <c r="C18" s="37">
        <f>IF(B$17=0,0,B18/B$17)</f>
        <v>0.48275862068965519</v>
      </c>
      <c r="E18" s="59" t="s">
        <v>95</v>
      </c>
      <c r="F18" s="56" t="s">
        <v>50</v>
      </c>
      <c r="G18" s="44">
        <v>1</v>
      </c>
      <c r="H18" s="129">
        <f>IF(B$17=0,0,G18/B$17)</f>
        <v>1.7241379310344827E-2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 t="shared" si="2"/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30</v>
      </c>
      <c r="C19" s="37">
        <f>IF(B$17=0,0,B19/B$17)</f>
        <v>0.51724137931034486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4</v>
      </c>
      <c r="K19" s="36">
        <v>17</v>
      </c>
      <c r="L19" s="95">
        <v>-352.60000000000008</v>
      </c>
      <c r="N19" s="111" t="s">
        <v>126</v>
      </c>
      <c r="O19" s="121">
        <f t="shared" si="2"/>
        <v>-21.422222222222224</v>
      </c>
      <c r="P19" s="115">
        <v>9</v>
      </c>
      <c r="Q19" s="103">
        <v>-192.8</v>
      </c>
    </row>
    <row r="20" spans="1:17" x14ac:dyDescent="0.4">
      <c r="A20" s="51" t="s">
        <v>13</v>
      </c>
      <c r="B20" s="44">
        <v>47</v>
      </c>
      <c r="C20" s="37">
        <f>IF(B$3=0,0,B20/B$3)</f>
        <v>0.188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7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127</v>
      </c>
      <c r="O21" s="121">
        <f t="shared" si="2"/>
        <v>-37.040000000000006</v>
      </c>
      <c r="P21" s="115">
        <v>10</v>
      </c>
      <c r="Q21" s="103">
        <v>-370.40000000000003</v>
      </c>
    </row>
    <row r="22" spans="1:17" x14ac:dyDescent="0.4">
      <c r="A22" s="51" t="s">
        <v>170</v>
      </c>
      <c r="B22" s="44">
        <v>16</v>
      </c>
      <c r="C22" s="131">
        <v>6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-428.10000000000008</v>
      </c>
      <c r="N22" s="111" t="s">
        <v>181</v>
      </c>
      <c r="O22" s="121">
        <f t="shared" si="2"/>
        <v>-52.525000000000006</v>
      </c>
      <c r="P22" s="115">
        <v>4</v>
      </c>
      <c r="Q22" s="103">
        <v>-210.10000000000002</v>
      </c>
    </row>
    <row r="23" spans="1:17" x14ac:dyDescent="0.4">
      <c r="A23" s="51" t="s">
        <v>5</v>
      </c>
      <c r="B23" s="48">
        <f>IF(B$17=0,0,C23/B$17)</f>
        <v>7901.7241379310344</v>
      </c>
      <c r="C23" s="39">
        <v>458300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8158.333333333333</v>
      </c>
      <c r="C24" s="137">
        <v>293700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7481.818181818182</v>
      </c>
      <c r="C25" s="137">
        <v>164600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-8059.5744680851067</v>
      </c>
      <c r="C26" s="137">
        <v>-378800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4.0000000000000001E-3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-447.30000000000013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B0502-F2FB-489B-964E-EF7B70D9743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20</v>
      </c>
      <c r="C2" s="149"/>
      <c r="E2" s="58" t="s">
        <v>66</v>
      </c>
      <c r="F2" s="55" t="s">
        <v>22</v>
      </c>
      <c r="G2" s="43">
        <v>46</v>
      </c>
      <c r="H2" s="128">
        <f>IF(B$17=0,0,G2/B$17)</f>
        <v>0.92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-1085</v>
      </c>
      <c r="P2" s="114">
        <v>20</v>
      </c>
      <c r="Q2" s="98">
        <v>-21700</v>
      </c>
    </row>
    <row r="3" spans="1:17" x14ac:dyDescent="0.4">
      <c r="A3" s="51" t="s">
        <v>8</v>
      </c>
      <c r="B3" s="150">
        <v>184</v>
      </c>
      <c r="C3" s="151"/>
      <c r="E3" s="59" t="s">
        <v>64</v>
      </c>
      <c r="F3" s="56" t="s">
        <v>20</v>
      </c>
      <c r="G3" s="44">
        <v>30</v>
      </c>
      <c r="H3" s="129">
        <f>IF(B$17=0,0,G3/B$17)</f>
        <v>0.6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-615</v>
      </c>
      <c r="P3" s="115">
        <v>20</v>
      </c>
      <c r="Q3" s="99">
        <v>-12300</v>
      </c>
    </row>
    <row r="4" spans="1:17" x14ac:dyDescent="0.4">
      <c r="A4" s="51" t="s">
        <v>6</v>
      </c>
      <c r="B4" s="152">
        <v>-33</v>
      </c>
      <c r="C4" s="153"/>
      <c r="E4" s="59" t="s">
        <v>68</v>
      </c>
      <c r="F4" s="56" t="s">
        <v>12</v>
      </c>
      <c r="G4" s="44">
        <v>22</v>
      </c>
      <c r="H4" s="129">
        <f>IF(B$17=0,0,G4/B$17)</f>
        <v>0.44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-1115.7894736842106</v>
      </c>
      <c r="P4" s="115">
        <v>19</v>
      </c>
      <c r="Q4" s="99">
        <v>-21200</v>
      </c>
    </row>
    <row r="5" spans="1:17" x14ac:dyDescent="0.4">
      <c r="A5" s="51" t="s">
        <v>7</v>
      </c>
      <c r="B5" s="154">
        <f>IF(B$2=0,0,B$4/B$2)</f>
        <v>-1.65</v>
      </c>
      <c r="C5" s="155"/>
      <c r="E5" s="59" t="s">
        <v>72</v>
      </c>
      <c r="F5" s="56" t="s">
        <v>27</v>
      </c>
      <c r="G5" s="44">
        <v>16</v>
      </c>
      <c r="H5" s="129">
        <f>IF(B$17=0,0,G5/B$17)</f>
        <v>0.32</v>
      </c>
      <c r="I5" s="90">
        <v>11</v>
      </c>
      <c r="K5" s="36">
        <v>3</v>
      </c>
      <c r="L5" s="95">
        <v>76</v>
      </c>
      <c r="N5" s="111" t="s">
        <v>133</v>
      </c>
      <c r="O5" s="118">
        <f t="shared" si="0"/>
        <v>-2152.6315789473683</v>
      </c>
      <c r="P5" s="115">
        <v>19</v>
      </c>
      <c r="Q5" s="99">
        <v>-40900</v>
      </c>
    </row>
    <row r="6" spans="1:17" x14ac:dyDescent="0.4">
      <c r="A6" s="51" t="s">
        <v>1</v>
      </c>
      <c r="B6" s="144">
        <f>IF(B$2=0,0,(B$7*1+B$8*2+B$9*3)/B$2)</f>
        <v>2.0499999999999998</v>
      </c>
      <c r="C6" s="145"/>
      <c r="E6" s="59" t="s">
        <v>171</v>
      </c>
      <c r="F6" s="56" t="s">
        <v>172</v>
      </c>
      <c r="G6" s="44">
        <v>16</v>
      </c>
      <c r="H6" s="129">
        <f>IF(B$17=0,0,G6/B$17)</f>
        <v>0.32</v>
      </c>
      <c r="I6" s="90">
        <v>9</v>
      </c>
      <c r="K6" s="36">
        <v>4</v>
      </c>
      <c r="L6" s="95">
        <v>115.5</v>
      </c>
      <c r="N6" s="111" t="s">
        <v>134</v>
      </c>
      <c r="O6" s="118">
        <f t="shared" si="0"/>
        <v>4872.2222222222226</v>
      </c>
      <c r="P6" s="115">
        <v>18</v>
      </c>
      <c r="Q6" s="99">
        <v>87700</v>
      </c>
    </row>
    <row r="7" spans="1:17" x14ac:dyDescent="0.4">
      <c r="A7" s="51" t="s">
        <v>2</v>
      </c>
      <c r="B7" s="44">
        <v>7</v>
      </c>
      <c r="C7" s="37">
        <f t="shared" ref="C7:C12" si="1">IF(B$2=0,0,B7/B$2)</f>
        <v>0.35</v>
      </c>
      <c r="E7" s="59" t="s">
        <v>67</v>
      </c>
      <c r="F7" s="56" t="s">
        <v>23</v>
      </c>
      <c r="G7" s="44">
        <v>12</v>
      </c>
      <c r="H7" s="129">
        <f>IF(B$17=0,0,G7/B$17)</f>
        <v>0.24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-373.33333333333331</v>
      </c>
      <c r="P7" s="116">
        <v>15</v>
      </c>
      <c r="Q7" s="100">
        <v>-5600</v>
      </c>
    </row>
    <row r="8" spans="1:17" x14ac:dyDescent="0.4">
      <c r="A8" s="51" t="s">
        <v>3</v>
      </c>
      <c r="B8" s="44">
        <v>5</v>
      </c>
      <c r="C8" s="37">
        <f t="shared" si="1"/>
        <v>0.25</v>
      </c>
      <c r="E8" s="59" t="s">
        <v>69</v>
      </c>
      <c r="F8" s="56" t="s">
        <v>24</v>
      </c>
      <c r="G8" s="44">
        <v>10</v>
      </c>
      <c r="H8" s="129">
        <f>IF(B$17=0,0,G8/B$17)</f>
        <v>0.2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8</v>
      </c>
      <c r="C9" s="38">
        <f t="shared" si="1"/>
        <v>0.4</v>
      </c>
      <c r="E9" s="59" t="s">
        <v>65</v>
      </c>
      <c r="F9" s="56" t="s">
        <v>21</v>
      </c>
      <c r="G9" s="44">
        <v>6</v>
      </c>
      <c r="H9" s="129">
        <f>IF(B$17=0,0,G9/B$17)</f>
        <v>0.12</v>
      </c>
      <c r="I9" s="90">
        <v>3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0.1</v>
      </c>
      <c r="E10" s="59" t="s">
        <v>70</v>
      </c>
      <c r="F10" s="56" t="s">
        <v>25</v>
      </c>
      <c r="G10" s="44">
        <v>6</v>
      </c>
      <c r="H10" s="129">
        <f>IF(B$17=0,0,G10/B$17)</f>
        <v>0.12</v>
      </c>
      <c r="I10" s="90">
        <v>4</v>
      </c>
      <c r="K10" s="36">
        <v>8</v>
      </c>
      <c r="L10" s="95">
        <v>124.6</v>
      </c>
      <c r="N10" s="110" t="s">
        <v>162</v>
      </c>
      <c r="O10" s="120">
        <f>IF(P10=0,0,Q10/P10)</f>
        <v>-8.0888888888888886</v>
      </c>
      <c r="P10" s="114">
        <v>9</v>
      </c>
      <c r="Q10" s="102">
        <v>-72.8</v>
      </c>
    </row>
    <row r="11" spans="1:17" x14ac:dyDescent="0.4">
      <c r="A11" s="52" t="s">
        <v>138</v>
      </c>
      <c r="B11" s="45">
        <v>2</v>
      </c>
      <c r="C11" s="38">
        <f t="shared" si="1"/>
        <v>0.1</v>
      </c>
      <c r="E11" s="59" t="s">
        <v>71</v>
      </c>
      <c r="F11" s="56" t="s">
        <v>26</v>
      </c>
      <c r="G11" s="44">
        <v>6</v>
      </c>
      <c r="H11" s="129">
        <f>IF(B$17=0,0,G11/B$17)</f>
        <v>0.12</v>
      </c>
      <c r="I11" s="90">
        <v>2</v>
      </c>
      <c r="K11" s="36">
        <v>9</v>
      </c>
      <c r="L11" s="95">
        <v>141.5</v>
      </c>
      <c r="N11" s="111" t="s">
        <v>163</v>
      </c>
      <c r="O11" s="121">
        <f>IF(P11=0,0,Q11/P11)</f>
        <v>4.7749999999999986</v>
      </c>
      <c r="P11" s="115">
        <v>4</v>
      </c>
      <c r="Q11" s="103">
        <v>19.099999999999994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4</v>
      </c>
      <c r="H12" s="129">
        <f>IF(B$17=0,0,G12/B$17)</f>
        <v>0.08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2.9571428571428564</v>
      </c>
      <c r="P12" s="116">
        <v>7</v>
      </c>
      <c r="Q12" s="104">
        <v>20.699999999999996</v>
      </c>
    </row>
    <row r="13" spans="1:17" x14ac:dyDescent="0.4">
      <c r="A13" s="54" t="s">
        <v>121</v>
      </c>
      <c r="B13" s="47">
        <v>51</v>
      </c>
      <c r="C13" s="42">
        <f>IF(B$3=0,0,B13/B$3)</f>
        <v>0.27717391304347827</v>
      </c>
      <c r="E13" s="59" t="s">
        <v>78</v>
      </c>
      <c r="F13" s="56" t="s">
        <v>33</v>
      </c>
      <c r="G13" s="44">
        <v>2</v>
      </c>
      <c r="H13" s="129">
        <f>IF(B$17=0,0,G13/B$17)</f>
        <v>0.04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26</v>
      </c>
      <c r="C14" s="37">
        <f>IF(B$3=0,0,B14/B$3)</f>
        <v>0.14130434782608695</v>
      </c>
      <c r="E14" s="59" t="s">
        <v>86</v>
      </c>
      <c r="F14" s="56" t="s">
        <v>41</v>
      </c>
      <c r="G14" s="44">
        <v>2</v>
      </c>
      <c r="H14" s="129">
        <f>IF(B$17=0,0,G14/B$17)</f>
        <v>0.04</v>
      </c>
      <c r="I14" s="90">
        <v>7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30</v>
      </c>
      <c r="C15" s="35">
        <f>IF(B$13=0,0,B15/B$13)</f>
        <v>0.58823529411764708</v>
      </c>
      <c r="E15" s="59" t="s">
        <v>75</v>
      </c>
      <c r="F15" s="56" t="s">
        <v>30</v>
      </c>
      <c r="G15" s="44">
        <v>1</v>
      </c>
      <c r="H15" s="129">
        <f>IF(B$17=0,0,G15/B$17)</f>
        <v>0.02</v>
      </c>
      <c r="I15" s="90">
        <v>1</v>
      </c>
      <c r="K15" s="36">
        <v>13</v>
      </c>
      <c r="L15" s="95">
        <v>76.7</v>
      </c>
      <c r="N15" s="110" t="s">
        <v>182</v>
      </c>
      <c r="O15" s="120">
        <f>IF(P15=0,0,Q15/P15)</f>
        <v>52.525000000000006</v>
      </c>
      <c r="P15" s="114">
        <v>4</v>
      </c>
      <c r="Q15" s="102">
        <v>210.10000000000002</v>
      </c>
    </row>
    <row r="16" spans="1:17" x14ac:dyDescent="0.4">
      <c r="A16" s="50" t="s">
        <v>124</v>
      </c>
      <c r="B16" s="43">
        <v>8</v>
      </c>
      <c r="C16" s="35">
        <f>IF(B$14=0,0,B16/B$14)</f>
        <v>0.30769230769230771</v>
      </c>
      <c r="E16" s="59" t="s">
        <v>81</v>
      </c>
      <c r="F16" s="56" t="s">
        <v>36</v>
      </c>
      <c r="G16" s="44">
        <v>1</v>
      </c>
      <c r="H16" s="129">
        <f>IF(B$17=0,0,G16/B$17)</f>
        <v>0.02</v>
      </c>
      <c r="I16" s="90">
        <v>6</v>
      </c>
      <c r="K16" s="36">
        <v>14</v>
      </c>
      <c r="L16" s="95">
        <v>49.900000000000006</v>
      </c>
      <c r="N16" s="111" t="s">
        <v>177</v>
      </c>
      <c r="O16" s="121">
        <f>IF(P16=0,0,Q16/P16)</f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50</v>
      </c>
      <c r="C17" s="35">
        <f>IF(B$3=0,0,B17/B$3)</f>
        <v>0.27173913043478259</v>
      </c>
      <c r="E17" s="59" t="s">
        <v>85</v>
      </c>
      <c r="F17" s="56" t="s">
        <v>40</v>
      </c>
      <c r="G17" s="44">
        <v>1</v>
      </c>
      <c r="H17" s="129">
        <f>IF(B$17=0,0,G17/B$17)</f>
        <v>0.02</v>
      </c>
      <c r="I17" s="90">
        <v>1</v>
      </c>
      <c r="K17" s="36">
        <v>15</v>
      </c>
      <c r="L17" s="95">
        <v>73.7</v>
      </c>
      <c r="N17" s="111" t="s">
        <v>179</v>
      </c>
      <c r="O17" s="121">
        <f>IF(P17=0,0,Q17/P17)</f>
        <v>-3.7285714285714278</v>
      </c>
      <c r="P17" s="115">
        <v>7</v>
      </c>
      <c r="Q17" s="103">
        <v>-26.099999999999994</v>
      </c>
    </row>
    <row r="18" spans="1:17" x14ac:dyDescent="0.4">
      <c r="A18" s="51" t="s">
        <v>12</v>
      </c>
      <c r="B18" s="44">
        <v>28</v>
      </c>
      <c r="C18" s="37">
        <f>IF(B$17=0,0,B18/B$17)</f>
        <v>0.56000000000000005</v>
      </c>
      <c r="E18" s="59" t="s">
        <v>87</v>
      </c>
      <c r="F18" s="56" t="s">
        <v>42</v>
      </c>
      <c r="G18" s="44">
        <v>1</v>
      </c>
      <c r="H18" s="129">
        <f>IF(B$17=0,0,G18/B$17)</f>
        <v>0.02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>IF(P18=0,0,Q18/P18)</f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22</v>
      </c>
      <c r="C19" s="37">
        <f>IF(B$17=0,0,B19/B$17)</f>
        <v>0.44</v>
      </c>
      <c r="E19" s="59" t="s">
        <v>167</v>
      </c>
      <c r="F19" s="56" t="s">
        <v>168</v>
      </c>
      <c r="G19" s="44">
        <v>1</v>
      </c>
      <c r="H19" s="129">
        <f>IF(B$17=0,0,G19/B$17)</f>
        <v>0.02</v>
      </c>
      <c r="I19" s="90">
        <v>6</v>
      </c>
      <c r="K19" s="36">
        <v>17</v>
      </c>
      <c r="L19" s="95">
        <v>49.800000000000004</v>
      </c>
      <c r="N19" s="111" t="s">
        <v>166</v>
      </c>
      <c r="O19" s="121">
        <f>IF(P19=0,0,Q19/P19)</f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27</v>
      </c>
      <c r="C20" s="37">
        <f>IF(B$3=0,0,B20/B$3)</f>
        <v>0.14673913043478262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4</v>
      </c>
      <c r="K20" s="36">
        <v>18</v>
      </c>
      <c r="L20" s="95">
        <v>24.700000000000003</v>
      </c>
      <c r="N20" s="111" t="s">
        <v>127</v>
      </c>
      <c r="O20" s="121">
        <f>IF(P20=0,0,Q20/P20)</f>
        <v>-17.400000000000002</v>
      </c>
      <c r="P20" s="115">
        <v>3</v>
      </c>
      <c r="Q20" s="103">
        <v>-52.2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74</v>
      </c>
      <c r="F21" s="56" t="s">
        <v>29</v>
      </c>
      <c r="G21" s="44">
        <v>0</v>
      </c>
      <c r="H21" s="129">
        <f>IF(B$17=0,0,G21/B$17)</f>
        <v>0</v>
      </c>
      <c r="I21" s="90">
        <v>7</v>
      </c>
      <c r="K21" s="36">
        <v>19</v>
      </c>
      <c r="L21" s="95">
        <v>8.7000000000000028</v>
      </c>
      <c r="N21" s="111" t="s">
        <v>195</v>
      </c>
      <c r="O21" s="121">
        <f>IF(P21=0,0,Q21/P21)</f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0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K22" s="36">
        <v>20</v>
      </c>
      <c r="L22" s="95">
        <v>-33</v>
      </c>
      <c r="N22" s="111" t="s">
        <v>126</v>
      </c>
      <c r="O22" s="121">
        <f>IF(P22=0,0,Q22/P22)</f>
        <v>-53.400000000000006</v>
      </c>
      <c r="P22" s="115">
        <v>6</v>
      </c>
      <c r="Q22" s="103">
        <v>-320.40000000000003</v>
      </c>
    </row>
    <row r="23" spans="1:17" x14ac:dyDescent="0.4">
      <c r="A23" s="51" t="s">
        <v>5</v>
      </c>
      <c r="B23" s="48">
        <f>IF(B$17=0,0,C23/B$17)</f>
        <v>7652</v>
      </c>
      <c r="C23" s="39">
        <v>382600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4</v>
      </c>
    </row>
    <row r="24" spans="1:17" x14ac:dyDescent="0.4">
      <c r="A24" s="52" t="s">
        <v>216</v>
      </c>
      <c r="B24" s="136">
        <f>IF($B$17-B$16=0,0,C24/($B$17-B$16))</f>
        <v>7840.4761904761908</v>
      </c>
      <c r="C24" s="137">
        <v>329300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7</v>
      </c>
    </row>
    <row r="25" spans="1:17" x14ac:dyDescent="0.4">
      <c r="A25" s="52" t="s">
        <v>217</v>
      </c>
      <c r="B25" s="136">
        <f>IF(B$16=0,0,C25/B$16)</f>
        <v>6662.5</v>
      </c>
      <c r="C25" s="137">
        <v>53300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</row>
    <row r="26" spans="1:17" x14ac:dyDescent="0.4">
      <c r="A26" s="52" t="s">
        <v>215</v>
      </c>
      <c r="B26" s="136">
        <f>IF(B$20=0,0,C26/B$20)</f>
        <v>-6748.1481481481478</v>
      </c>
      <c r="C26" s="137">
        <v>-182200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83</v>
      </c>
      <c r="F27" s="56" t="s">
        <v>38</v>
      </c>
      <c r="G27" s="44">
        <v>0</v>
      </c>
      <c r="H27" s="129">
        <f>IF(B$17=0,0,G27/B$17)</f>
        <v>0</v>
      </c>
      <c r="I27" s="90">
        <v>11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5A7E-A4E6-4C4A-9953-6A7A7A3E5919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8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4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7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4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05C52-3EE3-49FD-86F5-8F450E38683A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9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7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4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4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8951-ECCB-4CA5-9744-13BBF88EC44F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4C037-7879-4D0A-B7EB-DB6057C63977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EE9AC-1E1A-4D90-904E-AF9E27AF6EE7}">
  <sheetPr codeName="Sheet22"/>
  <dimension ref="A1:Q2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E1EE0-6AC7-4B51-9716-FDABF97C50F8}">
  <sheetPr codeName="Sheet20"/>
  <dimension ref="A1:Q3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C6794-A78C-46E7-983B-7EEAE7E3E00A}">
  <sheetPr codeName="Sheet18"/>
  <dimension ref="A1:Q8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28074-42DF-4E6D-8D33-C62B48F3A3ED}">
  <sheetPr codeName="Sheet16"/>
  <dimension ref="A1:Q5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D5BD0-EC4F-4029-B08D-32CB7FCDEF5C}">
  <sheetPr codeName="Sheet14"/>
  <dimension ref="A1:Q6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A1DE-4F14-4BC4-8B40-86C004BA5BA9}">
  <sheetPr codeName="Sheet12"/>
  <dimension ref="A1:Q8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3A15F-83E3-499E-A8C2-2E19DFB397A7}">
  <sheetPr codeName="Sheet10"/>
  <dimension ref="A1:Q9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35D12-20C0-44BC-8A8C-FDB840461A88}">
  <sheetPr codeName="Sheet8"/>
  <dimension ref="A1:Q4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6B99A-13DC-44A1-ACFB-E468DDBB39F4}">
  <sheetPr codeName="Sheet6"/>
  <dimension ref="A1:Q16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2019-10-30T14:36:54Z</dcterms:modified>
</cp:coreProperties>
</file>