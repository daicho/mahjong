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05BF8737-7966-461F-BA72-EE026C39F510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19" r:id="rId6"/>
    <sheet name="たかの" sheetId="6121" r:id="rId7"/>
    <sheet name="だいち" sheetId="6123" r:id="rId8"/>
    <sheet name="ただ" sheetId="6125" r:id="rId9"/>
    <sheet name="りくと" sheetId="6127" r:id="rId10"/>
    <sheet name="れんたろう" sheetId="6129" r:id="rId11"/>
    <sheet name="まっつん" sheetId="6131" r:id="rId12"/>
    <sheet name="のり" sheetId="6133" r:id="rId13"/>
    <sheet name="ぱぱ" sheetId="6135" r:id="rId14"/>
    <sheet name="ほたに" sheetId="6137" r:id="rId15"/>
    <sheet name="いっしー" sheetId="6139" r:id="rId16"/>
    <sheet name="ともき" sheetId="6141" r:id="rId17"/>
    <sheet name="たか" sheetId="6143" r:id="rId18"/>
    <sheet name="ゆう" sheetId="6145" r:id="rId19"/>
    <sheet name="ゆう2" sheetId="6146" state="hidden" r:id="rId20"/>
    <sheet name="たか2" sheetId="6144" state="hidden" r:id="rId21"/>
    <sheet name="ともき2" sheetId="6142" state="hidden" r:id="rId22"/>
    <sheet name="いっしー2" sheetId="6140" state="hidden" r:id="rId23"/>
    <sheet name="ほたに2" sheetId="6138" state="hidden" r:id="rId24"/>
    <sheet name="ぱぱ2" sheetId="6136" state="hidden" r:id="rId25"/>
    <sheet name="のり2" sheetId="6134" state="hidden" r:id="rId26"/>
    <sheet name="まっつん2" sheetId="6132" state="hidden" r:id="rId27"/>
    <sheet name="れんたろう2" sheetId="6130" state="hidden" r:id="rId28"/>
    <sheet name="りくと2" sheetId="6128" state="hidden" r:id="rId29"/>
    <sheet name="ただ2" sheetId="6126" state="hidden" r:id="rId30"/>
    <sheet name="だいち2" sheetId="6124" state="hidden" r:id="rId31"/>
    <sheet name="たかの2" sheetId="6122" state="hidden" r:id="rId32"/>
    <sheet name="全体2" sheetId="6120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6143" l="1"/>
  <c r="O15" i="6145" l="1"/>
  <c r="O16" i="6145"/>
  <c r="C30" i="6145"/>
  <c r="B25" i="6145"/>
  <c r="C16" i="6145"/>
  <c r="B15" i="6145"/>
  <c r="H49" i="6145" s="1"/>
  <c r="B14" i="6145"/>
  <c r="B24" i="6145" s="1"/>
  <c r="B13" i="6145"/>
  <c r="C13" i="6145" s="1"/>
  <c r="O12" i="6145"/>
  <c r="C12" i="6145"/>
  <c r="O11" i="6145"/>
  <c r="C11" i="6145"/>
  <c r="O10" i="6145"/>
  <c r="C10" i="6145"/>
  <c r="C9" i="6145"/>
  <c r="C8" i="6145"/>
  <c r="O7" i="6145"/>
  <c r="C7" i="6145"/>
  <c r="O6" i="6145"/>
  <c r="B6" i="6145"/>
  <c r="O5" i="6145"/>
  <c r="B5" i="6145"/>
  <c r="O4" i="6145"/>
  <c r="O3" i="6145"/>
  <c r="O2" i="6145"/>
  <c r="O16" i="6133"/>
  <c r="O15" i="6143"/>
  <c r="O16" i="6143"/>
  <c r="C30" i="6143"/>
  <c r="B25" i="6143"/>
  <c r="C16" i="6143"/>
  <c r="B15" i="6143"/>
  <c r="H51" i="6143" s="1"/>
  <c r="B14" i="6143"/>
  <c r="B24" i="6143" s="1"/>
  <c r="B13" i="6143"/>
  <c r="C13" i="6143" s="1"/>
  <c r="O12" i="6143"/>
  <c r="C12" i="6143"/>
  <c r="O11" i="6143"/>
  <c r="C11" i="6143"/>
  <c r="O10" i="6143"/>
  <c r="C10" i="6143"/>
  <c r="C9" i="6143"/>
  <c r="C8" i="6143"/>
  <c r="O7" i="6143"/>
  <c r="C7" i="6143"/>
  <c r="O6" i="6143"/>
  <c r="B6" i="6143"/>
  <c r="O5" i="6143"/>
  <c r="B5" i="6143"/>
  <c r="O4" i="6143"/>
  <c r="O3" i="6143"/>
  <c r="O2" i="6143"/>
  <c r="O15" i="6119"/>
  <c r="H17" i="6143" l="1"/>
  <c r="C14" i="6143"/>
  <c r="H9" i="6143"/>
  <c r="H2" i="6143"/>
  <c r="C14" i="6145"/>
  <c r="C44" i="6145"/>
  <c r="H12" i="6145"/>
  <c r="C19" i="6145"/>
  <c r="H10" i="6145"/>
  <c r="H33" i="6145"/>
  <c r="H13" i="6145"/>
  <c r="H2" i="6145"/>
  <c r="H17" i="6145"/>
  <c r="H38" i="6145"/>
  <c r="H21" i="6145"/>
  <c r="H6" i="6145"/>
  <c r="H46" i="6145"/>
  <c r="H39" i="6145"/>
  <c r="H15" i="6145"/>
  <c r="H34" i="6145"/>
  <c r="H29" i="6145"/>
  <c r="H47" i="6145"/>
  <c r="C34" i="6145"/>
  <c r="H3" i="6145"/>
  <c r="C36" i="6145"/>
  <c r="H28" i="6145"/>
  <c r="C21" i="6145"/>
  <c r="H40" i="6145"/>
  <c r="H7" i="6145"/>
  <c r="H23" i="6145"/>
  <c r="H41" i="6145"/>
  <c r="C17" i="6145"/>
  <c r="B22" i="6145"/>
  <c r="H31" i="6145"/>
  <c r="H36" i="6145"/>
  <c r="C42" i="6145"/>
  <c r="H50" i="6145"/>
  <c r="H27" i="6145"/>
  <c r="C15" i="6145"/>
  <c r="H48" i="6145"/>
  <c r="H4" i="6145"/>
  <c r="H19" i="6145"/>
  <c r="H25" i="6145"/>
  <c r="H37" i="6145"/>
  <c r="H42" i="6145"/>
  <c r="H51" i="6145"/>
  <c r="H44" i="6145"/>
  <c r="C20" i="6145"/>
  <c r="C40" i="6145"/>
  <c r="H18" i="6145"/>
  <c r="H35" i="6145"/>
  <c r="H9" i="6145"/>
  <c r="C32" i="6145"/>
  <c r="H8" i="6145"/>
  <c r="H14" i="6145"/>
  <c r="C18" i="6145"/>
  <c r="H32" i="6145"/>
  <c r="C38" i="6145"/>
  <c r="H43" i="6145"/>
  <c r="H52" i="6145"/>
  <c r="H20" i="6145"/>
  <c r="H24" i="6145"/>
  <c r="H11" i="6145"/>
  <c r="C33" i="6145"/>
  <c r="C37" i="6145"/>
  <c r="C41" i="6145"/>
  <c r="H45" i="6145"/>
  <c r="B23" i="6145"/>
  <c r="H16" i="6145"/>
  <c r="H5" i="6145"/>
  <c r="H22" i="6145"/>
  <c r="H26" i="6145"/>
  <c r="H30" i="6145"/>
  <c r="C35" i="6145"/>
  <c r="C39" i="6145"/>
  <c r="C43" i="6145"/>
  <c r="H24" i="6143"/>
  <c r="H7" i="6143"/>
  <c r="B22" i="6143"/>
  <c r="H33" i="6143"/>
  <c r="H52" i="6143"/>
  <c r="H35" i="6143"/>
  <c r="H39" i="6143"/>
  <c r="C40" i="6143"/>
  <c r="H8" i="6143"/>
  <c r="H28" i="6143"/>
  <c r="H41" i="6143"/>
  <c r="H20" i="6143"/>
  <c r="H29" i="6143"/>
  <c r="C18" i="6143"/>
  <c r="C44" i="6143"/>
  <c r="H43" i="6143"/>
  <c r="H10" i="6143"/>
  <c r="C20" i="6143"/>
  <c r="C32" i="6143"/>
  <c r="H45" i="6143"/>
  <c r="C36" i="6143"/>
  <c r="H49" i="6143"/>
  <c r="C15" i="6143"/>
  <c r="H37" i="6143"/>
  <c r="H5" i="6143"/>
  <c r="H21" i="6143"/>
  <c r="H25" i="6143"/>
  <c r="H12" i="6143"/>
  <c r="C33" i="6143"/>
  <c r="C37" i="6143"/>
  <c r="C41" i="6143"/>
  <c r="H46" i="6143"/>
  <c r="C19" i="6143"/>
  <c r="B23" i="6143"/>
  <c r="H30" i="6143"/>
  <c r="H34" i="6143"/>
  <c r="H38" i="6143"/>
  <c r="H42" i="6143"/>
  <c r="H47" i="6143"/>
  <c r="H11" i="6143"/>
  <c r="H15" i="6143"/>
  <c r="H3" i="6143"/>
  <c r="H6" i="6143"/>
  <c r="H18" i="6143"/>
  <c r="H22" i="6143"/>
  <c r="H26" i="6143"/>
  <c r="H13" i="6143"/>
  <c r="C34" i="6143"/>
  <c r="C38" i="6143"/>
  <c r="C42" i="6143"/>
  <c r="H48" i="6143"/>
  <c r="H16" i="6143"/>
  <c r="H19" i="6143"/>
  <c r="H23" i="6143"/>
  <c r="H27" i="6143"/>
  <c r="H31" i="6143"/>
  <c r="C35" i="6143"/>
  <c r="C39" i="6143"/>
  <c r="C43" i="6143"/>
  <c r="H50" i="6143"/>
  <c r="H4" i="6143"/>
  <c r="H14" i="6143"/>
  <c r="C17" i="6143"/>
  <c r="C21" i="6143"/>
  <c r="H32" i="6143"/>
  <c r="H36" i="6143"/>
  <c r="H40" i="6143"/>
  <c r="H44" i="6143"/>
  <c r="O17" i="6141"/>
  <c r="O22" i="6123"/>
  <c r="O16" i="6125" l="1"/>
  <c r="O16" i="6141"/>
  <c r="O20" i="6141"/>
  <c r="O22" i="6127"/>
  <c r="O23" i="6135" l="1"/>
  <c r="O15" i="6141"/>
  <c r="O23" i="6129" l="1"/>
  <c r="O19" i="6141"/>
  <c r="O18" i="6141"/>
  <c r="C30" i="6141"/>
  <c r="B25" i="6141"/>
  <c r="B24" i="6141"/>
  <c r="C16" i="6141"/>
  <c r="B15" i="6141"/>
  <c r="H51" i="6141" s="1"/>
  <c r="B14" i="6141"/>
  <c r="C14" i="6141" s="1"/>
  <c r="B13" i="6141"/>
  <c r="C13" i="6141" s="1"/>
  <c r="O12" i="6141"/>
  <c r="C12" i="6141"/>
  <c r="O11" i="6141"/>
  <c r="C11" i="6141"/>
  <c r="O10" i="6141"/>
  <c r="C10" i="6141"/>
  <c r="C9" i="6141"/>
  <c r="C8" i="6141"/>
  <c r="O7" i="6141"/>
  <c r="C7" i="6141"/>
  <c r="O6" i="6141"/>
  <c r="B6" i="6141"/>
  <c r="O5" i="6141"/>
  <c r="B5" i="6141"/>
  <c r="O4" i="6141"/>
  <c r="O3" i="6141"/>
  <c r="O2" i="6141"/>
  <c r="O19" i="6133"/>
  <c r="O26" i="6119"/>
  <c r="H27" i="6141" l="1"/>
  <c r="C18" i="6141"/>
  <c r="H24" i="6141"/>
  <c r="H4" i="6141"/>
  <c r="H28" i="6141"/>
  <c r="H12" i="6141"/>
  <c r="H37" i="6141"/>
  <c r="H41" i="6141"/>
  <c r="C38" i="6141"/>
  <c r="C40" i="6141"/>
  <c r="H20" i="6141"/>
  <c r="B22" i="6141"/>
  <c r="C15" i="6141"/>
  <c r="H45" i="6141"/>
  <c r="C32" i="6141"/>
  <c r="C44" i="6141"/>
  <c r="H2" i="6141"/>
  <c r="H14" i="6141"/>
  <c r="H16" i="6141"/>
  <c r="H3" i="6141"/>
  <c r="H30" i="6141"/>
  <c r="H13" i="6141"/>
  <c r="H33" i="6141"/>
  <c r="H10" i="6141"/>
  <c r="H21" i="6141"/>
  <c r="C34" i="6141"/>
  <c r="C36" i="6141"/>
  <c r="H52" i="6141"/>
  <c r="H23" i="6141"/>
  <c r="H26" i="6141"/>
  <c r="H8" i="6141"/>
  <c r="C33" i="6141"/>
  <c r="C37" i="6141"/>
  <c r="C41" i="6141"/>
  <c r="H46" i="6141"/>
  <c r="H7" i="6141"/>
  <c r="H6" i="6141"/>
  <c r="H11" i="6141"/>
  <c r="H18" i="6141"/>
  <c r="C19" i="6141"/>
  <c r="B23" i="6141"/>
  <c r="H29" i="6141"/>
  <c r="H34" i="6141"/>
  <c r="H38" i="6141"/>
  <c r="H42" i="6141"/>
  <c r="H47" i="6141"/>
  <c r="C42" i="6141"/>
  <c r="H48" i="6141"/>
  <c r="H9" i="6141"/>
  <c r="C20" i="6141"/>
  <c r="H35" i="6141"/>
  <c r="H39" i="6141"/>
  <c r="H43" i="6141"/>
  <c r="H49" i="6141"/>
  <c r="H19" i="6141"/>
  <c r="H22" i="6141"/>
  <c r="H25" i="6141"/>
  <c r="H15" i="6141"/>
  <c r="H31" i="6141"/>
  <c r="C35" i="6141"/>
  <c r="C39" i="6141"/>
  <c r="C43" i="6141"/>
  <c r="H50" i="6141"/>
  <c r="H5" i="6141"/>
  <c r="H17" i="6141"/>
  <c r="C17" i="6141"/>
  <c r="C21" i="6141"/>
  <c r="H32" i="6141"/>
  <c r="H36" i="6141"/>
  <c r="H40" i="6141"/>
  <c r="H44" i="6141"/>
  <c r="O16" i="6131"/>
  <c r="O17" i="6139"/>
  <c r="O23" i="6123"/>
  <c r="O16" i="6139"/>
  <c r="O15" i="6139"/>
  <c r="C30" i="6139"/>
  <c r="B25" i="6139"/>
  <c r="C16" i="6139"/>
  <c r="B15" i="6139"/>
  <c r="H51" i="6139" s="1"/>
  <c r="H17" i="6139"/>
  <c r="B14" i="6139"/>
  <c r="C14" i="6139" s="1"/>
  <c r="B13" i="6139"/>
  <c r="C13" i="6139" s="1"/>
  <c r="O12" i="6139"/>
  <c r="C12" i="6139"/>
  <c r="O11" i="6139"/>
  <c r="C11" i="6139"/>
  <c r="O10" i="6139"/>
  <c r="C10" i="6139"/>
  <c r="C9" i="6139"/>
  <c r="C8" i="6139"/>
  <c r="O7" i="6139"/>
  <c r="C7" i="6139"/>
  <c r="O6" i="6139"/>
  <c r="B6" i="6139"/>
  <c r="O5" i="6139"/>
  <c r="B5" i="6139"/>
  <c r="O4" i="6139"/>
  <c r="O3" i="6139"/>
  <c r="O2" i="6139"/>
  <c r="O21" i="6133"/>
  <c r="O25" i="6119"/>
  <c r="H8" i="6139" l="1"/>
  <c r="H22" i="6139"/>
  <c r="H30" i="6139"/>
  <c r="B24" i="6139"/>
  <c r="C40" i="6139"/>
  <c r="H41" i="6139"/>
  <c r="H9" i="6139"/>
  <c r="H25" i="6139"/>
  <c r="H6" i="6139"/>
  <c r="C32" i="6139"/>
  <c r="C15" i="6139"/>
  <c r="C44" i="6139"/>
  <c r="H7" i="6139"/>
  <c r="H10" i="6139"/>
  <c r="H18" i="6139"/>
  <c r="H45" i="6139"/>
  <c r="H48" i="6139"/>
  <c r="B22" i="6139"/>
  <c r="C34" i="6139"/>
  <c r="H12" i="6139"/>
  <c r="H27" i="6139"/>
  <c r="H11" i="6139"/>
  <c r="C42" i="6139"/>
  <c r="H15" i="6139"/>
  <c r="H33" i="6139"/>
  <c r="C36" i="6139"/>
  <c r="H2" i="6139"/>
  <c r="H20" i="6139"/>
  <c r="H37" i="6139"/>
  <c r="H3" i="6139"/>
  <c r="H13" i="6139"/>
  <c r="C18" i="6139"/>
  <c r="H28" i="6139"/>
  <c r="C38" i="6139"/>
  <c r="H52" i="6139"/>
  <c r="H21" i="6139"/>
  <c r="H24" i="6139"/>
  <c r="H5" i="6139"/>
  <c r="C33" i="6139"/>
  <c r="C37" i="6139"/>
  <c r="C41" i="6139"/>
  <c r="H46" i="6139"/>
  <c r="C19" i="6139"/>
  <c r="B23" i="6139"/>
  <c r="H29" i="6139"/>
  <c r="H34" i="6139"/>
  <c r="H38" i="6139"/>
  <c r="H42" i="6139"/>
  <c r="H47" i="6139"/>
  <c r="H39" i="6139"/>
  <c r="H16" i="6139"/>
  <c r="H19" i="6139"/>
  <c r="H23" i="6139"/>
  <c r="H26" i="6139"/>
  <c r="H31" i="6139"/>
  <c r="C35" i="6139"/>
  <c r="C39" i="6139"/>
  <c r="C43" i="6139"/>
  <c r="H50" i="6139"/>
  <c r="C20" i="6139"/>
  <c r="H35" i="6139"/>
  <c r="H43" i="6139"/>
  <c r="H49" i="6139"/>
  <c r="H4" i="6139"/>
  <c r="H14" i="6139"/>
  <c r="C17" i="6139"/>
  <c r="C21" i="6139"/>
  <c r="H32" i="6139"/>
  <c r="H36" i="6139"/>
  <c r="H40" i="6139"/>
  <c r="H44" i="6139"/>
  <c r="O21" i="6121" l="1"/>
  <c r="O16" i="6129"/>
  <c r="O15" i="6129" l="1"/>
  <c r="O19" i="6137"/>
  <c r="O16" i="6127" l="1"/>
  <c r="O17" i="6133"/>
  <c r="O16" i="6137" l="1"/>
  <c r="O23" i="6127"/>
  <c r="O20" i="6121" l="1"/>
  <c r="O16" i="6123"/>
  <c r="O15" i="6133"/>
  <c r="O23" i="6133"/>
  <c r="O19" i="6131" l="1"/>
  <c r="O18" i="6135"/>
  <c r="O17" i="6125" l="1"/>
  <c r="O17" i="6131"/>
  <c r="O20" i="6133"/>
  <c r="O22" i="6133"/>
  <c r="O15" i="6121" l="1"/>
  <c r="O17" i="6135"/>
  <c r="O19" i="6135"/>
  <c r="O18" i="6127"/>
  <c r="O21" i="6125" l="1"/>
  <c r="O21" i="6129"/>
  <c r="O19" i="6129" l="1"/>
  <c r="O21" i="6123"/>
  <c r="O25" i="6133"/>
  <c r="O17" i="6137"/>
  <c r="O15" i="6137"/>
  <c r="O21" i="6135"/>
  <c r="O15" i="6125" l="1"/>
  <c r="O22" i="6125"/>
  <c r="O18" i="6137"/>
  <c r="O20" i="6137"/>
  <c r="C44" i="6137"/>
  <c r="C30" i="6137"/>
  <c r="B25" i="6137"/>
  <c r="C16" i="6137"/>
  <c r="B15" i="6137"/>
  <c r="H50" i="6137" s="1"/>
  <c r="H19" i="6137"/>
  <c r="B14" i="6137"/>
  <c r="B24" i="6137" s="1"/>
  <c r="B13" i="6137"/>
  <c r="C13" i="6137" s="1"/>
  <c r="O12" i="6137"/>
  <c r="C12" i="6137"/>
  <c r="O11" i="6137"/>
  <c r="H16" i="6137"/>
  <c r="C11" i="6137"/>
  <c r="O10" i="6137"/>
  <c r="C10" i="6137"/>
  <c r="C9" i="6137"/>
  <c r="C8" i="6137"/>
  <c r="O7" i="6137"/>
  <c r="C7" i="6137"/>
  <c r="O6" i="6137"/>
  <c r="B6" i="6137"/>
  <c r="O5" i="6137"/>
  <c r="B5" i="6137"/>
  <c r="O4" i="6137"/>
  <c r="O3" i="6137"/>
  <c r="O2" i="6137"/>
  <c r="H3" i="6137"/>
  <c r="O21" i="6131"/>
  <c r="O15" i="6131"/>
  <c r="O16" i="6119"/>
  <c r="C14" i="6137" l="1"/>
  <c r="H27" i="6137"/>
  <c r="H28" i="6137"/>
  <c r="H34" i="6137"/>
  <c r="C36" i="6137"/>
  <c r="H11" i="6137"/>
  <c r="H13" i="6137"/>
  <c r="C18" i="6137"/>
  <c r="H42" i="6137"/>
  <c r="H36" i="6137"/>
  <c r="H4" i="6137"/>
  <c r="C19" i="6137"/>
  <c r="H44" i="6137"/>
  <c r="H45" i="6137"/>
  <c r="H17" i="6137"/>
  <c r="H23" i="6137"/>
  <c r="H37" i="6137"/>
  <c r="H12" i="6137"/>
  <c r="C15" i="6137"/>
  <c r="C21" i="6137"/>
  <c r="H38" i="6137"/>
  <c r="H47" i="6137"/>
  <c r="H7" i="6137"/>
  <c r="H8" i="6137"/>
  <c r="H20" i="6137"/>
  <c r="H14" i="6137"/>
  <c r="H32" i="6137"/>
  <c r="H40" i="6137"/>
  <c r="H51" i="6137"/>
  <c r="H29" i="6137"/>
  <c r="H5" i="6137"/>
  <c r="B22" i="6137"/>
  <c r="C32" i="6137"/>
  <c r="C40" i="6137"/>
  <c r="H6" i="6137"/>
  <c r="H2" i="6137"/>
  <c r="C17" i="6137"/>
  <c r="H26" i="6137"/>
  <c r="H33" i="6137"/>
  <c r="H41" i="6137"/>
  <c r="H52" i="6137"/>
  <c r="H22" i="6137"/>
  <c r="H25" i="6137"/>
  <c r="H9" i="6137"/>
  <c r="C33" i="6137"/>
  <c r="C37" i="6137"/>
  <c r="C41" i="6137"/>
  <c r="H46" i="6137"/>
  <c r="B23" i="6137"/>
  <c r="H30" i="6137"/>
  <c r="C34" i="6137"/>
  <c r="C38" i="6137"/>
  <c r="C42" i="6137"/>
  <c r="H48" i="6137"/>
  <c r="H10" i="6137"/>
  <c r="C20" i="6137"/>
  <c r="H35" i="6137"/>
  <c r="H39" i="6137"/>
  <c r="H43" i="6137"/>
  <c r="H49" i="6137"/>
  <c r="H18" i="6137"/>
  <c r="H21" i="6137"/>
  <c r="H24" i="6137"/>
  <c r="H15" i="6137"/>
  <c r="H31" i="6137"/>
  <c r="C35" i="6137"/>
  <c r="C39" i="6137"/>
  <c r="C43" i="6137"/>
  <c r="O19" i="6123" l="1"/>
  <c r="O19" i="6127"/>
  <c r="O18" i="6123" l="1"/>
  <c r="O20" i="6131"/>
  <c r="O23" i="6131"/>
  <c r="O16" i="6121"/>
  <c r="O18" i="6125"/>
  <c r="O15" i="6127"/>
  <c r="O21" i="6127"/>
  <c r="O18" i="6121"/>
  <c r="O19" i="6125"/>
  <c r="O15" i="6123"/>
  <c r="O20" i="6135"/>
  <c r="O22" i="6135"/>
  <c r="O22" i="6129" l="1"/>
  <c r="O17" i="6129"/>
  <c r="O15" i="6135"/>
  <c r="O16" i="6135"/>
  <c r="C30" i="6135"/>
  <c r="B25" i="6135"/>
  <c r="C16" i="6135"/>
  <c r="B15" i="6135"/>
  <c r="H51" i="6135" s="1"/>
  <c r="B14" i="6135"/>
  <c r="B24" i="6135" s="1"/>
  <c r="B13" i="6135"/>
  <c r="C13" i="6135" s="1"/>
  <c r="O12" i="6135"/>
  <c r="C12" i="6135"/>
  <c r="O11" i="6135"/>
  <c r="C11" i="6135"/>
  <c r="O10" i="6135"/>
  <c r="C10" i="6135"/>
  <c r="C9" i="6135"/>
  <c r="C8" i="6135"/>
  <c r="O7" i="6135"/>
  <c r="C7" i="6135"/>
  <c r="O6" i="6135"/>
  <c r="B6" i="6135"/>
  <c r="O5" i="6135"/>
  <c r="B5" i="6135"/>
  <c r="O4" i="6135"/>
  <c r="O3" i="6135"/>
  <c r="O2" i="6135"/>
  <c r="O17" i="6119"/>
  <c r="O18" i="6133"/>
  <c r="O24" i="6133"/>
  <c r="C30" i="6133"/>
  <c r="B25" i="6133"/>
  <c r="C16" i="6133"/>
  <c r="B15" i="6133"/>
  <c r="H50" i="6133" s="1"/>
  <c r="B14" i="6133"/>
  <c r="B24" i="6133" s="1"/>
  <c r="B13" i="6133"/>
  <c r="C13" i="6133" s="1"/>
  <c r="O12" i="6133"/>
  <c r="C12" i="6133"/>
  <c r="O11" i="6133"/>
  <c r="C11" i="6133"/>
  <c r="O10" i="6133"/>
  <c r="C10" i="6133"/>
  <c r="C9" i="6133"/>
  <c r="C8" i="6133"/>
  <c r="O7" i="6133"/>
  <c r="C7" i="6133"/>
  <c r="O6" i="6133"/>
  <c r="B6" i="6133"/>
  <c r="O5" i="6133"/>
  <c r="B5" i="6133"/>
  <c r="O4" i="6133"/>
  <c r="O3" i="6133"/>
  <c r="O2" i="6133"/>
  <c r="O20" i="6119"/>
  <c r="C14" i="6133" l="1"/>
  <c r="C14" i="6135"/>
  <c r="H23" i="6135"/>
  <c r="H21" i="6135"/>
  <c r="H8" i="6135"/>
  <c r="H19" i="6135"/>
  <c r="H38" i="6135"/>
  <c r="H29" i="6135"/>
  <c r="C15" i="6135"/>
  <c r="H42" i="6135"/>
  <c r="H45" i="6135"/>
  <c r="H3" i="6135"/>
  <c r="H33" i="6135"/>
  <c r="H4" i="6135"/>
  <c r="C18" i="6135"/>
  <c r="H20" i="6135"/>
  <c r="C17" i="6135"/>
  <c r="C44" i="6135"/>
  <c r="C21" i="6135"/>
  <c r="H5" i="6135"/>
  <c r="H41" i="6135"/>
  <c r="H7" i="6135"/>
  <c r="H10" i="6135"/>
  <c r="C32" i="6135"/>
  <c r="H9" i="6135"/>
  <c r="H34" i="6135"/>
  <c r="H15" i="6135"/>
  <c r="C36" i="6135"/>
  <c r="H52" i="6135"/>
  <c r="H25" i="6135"/>
  <c r="C40" i="6135"/>
  <c r="B22" i="6135"/>
  <c r="H37" i="6135"/>
  <c r="H46" i="6135"/>
  <c r="H11" i="6135"/>
  <c r="H22" i="6135"/>
  <c r="H26" i="6135"/>
  <c r="H12" i="6135"/>
  <c r="C41" i="6135"/>
  <c r="C19" i="6135"/>
  <c r="B23" i="6135"/>
  <c r="H30" i="6135"/>
  <c r="H35" i="6135"/>
  <c r="H39" i="6135"/>
  <c r="H43" i="6135"/>
  <c r="H48" i="6135"/>
  <c r="H28" i="6135"/>
  <c r="C33" i="6135"/>
  <c r="C37" i="6135"/>
  <c r="H47" i="6135"/>
  <c r="H2" i="6135"/>
  <c r="H6" i="6135"/>
  <c r="H24" i="6135"/>
  <c r="H17" i="6135"/>
  <c r="H18" i="6135"/>
  <c r="H31" i="6135"/>
  <c r="C34" i="6135"/>
  <c r="C38" i="6135"/>
  <c r="C42" i="6135"/>
  <c r="H49" i="6135"/>
  <c r="C20" i="6135"/>
  <c r="H36" i="6135"/>
  <c r="H40" i="6135"/>
  <c r="H44" i="6135"/>
  <c r="H50" i="6135"/>
  <c r="H16" i="6135"/>
  <c r="H13" i="6135"/>
  <c r="H27" i="6135"/>
  <c r="H14" i="6135"/>
  <c r="H32" i="6135"/>
  <c r="C35" i="6135"/>
  <c r="C39" i="6135"/>
  <c r="C43" i="6135"/>
  <c r="H12" i="6133"/>
  <c r="B22" i="6133"/>
  <c r="H33" i="6133"/>
  <c r="C17" i="6133"/>
  <c r="H37" i="6133"/>
  <c r="C42" i="6133"/>
  <c r="H51" i="6133"/>
  <c r="H25" i="6133"/>
  <c r="H29" i="6133"/>
  <c r="C32" i="6133"/>
  <c r="H38" i="6133"/>
  <c r="H43" i="6133"/>
  <c r="H5" i="6133"/>
  <c r="H6" i="6133"/>
  <c r="H21" i="6133"/>
  <c r="C18" i="6133"/>
  <c r="H34" i="6133"/>
  <c r="C38" i="6133"/>
  <c r="H44" i="6133"/>
  <c r="H52" i="6133"/>
  <c r="H4" i="6133"/>
  <c r="H10" i="6133"/>
  <c r="H23" i="6133"/>
  <c r="C19" i="6133"/>
  <c r="H30" i="6133"/>
  <c r="H20" i="6133"/>
  <c r="H39" i="6133"/>
  <c r="C44" i="6133"/>
  <c r="H15" i="6133"/>
  <c r="H31" i="6133"/>
  <c r="C34" i="6133"/>
  <c r="H40" i="6133"/>
  <c r="H45" i="6133"/>
  <c r="H9" i="6133"/>
  <c r="H7" i="6133"/>
  <c r="H11" i="6133"/>
  <c r="H17" i="6133"/>
  <c r="C15" i="6133"/>
  <c r="C20" i="6133"/>
  <c r="H32" i="6133"/>
  <c r="H35" i="6133"/>
  <c r="C40" i="6133"/>
  <c r="H47" i="6133"/>
  <c r="H24" i="6133"/>
  <c r="C21" i="6133"/>
  <c r="H16" i="6133"/>
  <c r="H36" i="6133"/>
  <c r="H41" i="6133"/>
  <c r="H48" i="6133"/>
  <c r="H2" i="6133"/>
  <c r="H3" i="6133"/>
  <c r="H14" i="6133"/>
  <c r="C36" i="6133"/>
  <c r="H42" i="6133"/>
  <c r="H49" i="6133"/>
  <c r="H26" i="6133"/>
  <c r="H28" i="6133"/>
  <c r="H8" i="6133"/>
  <c r="C33" i="6133"/>
  <c r="C37" i="6133"/>
  <c r="C41" i="6133"/>
  <c r="H46" i="6133"/>
  <c r="B23" i="6133"/>
  <c r="H22" i="6133"/>
  <c r="H18" i="6133"/>
  <c r="H27" i="6133"/>
  <c r="H13" i="6133"/>
  <c r="H19" i="6133"/>
  <c r="C35" i="6133"/>
  <c r="C39" i="6133"/>
  <c r="C43" i="6133"/>
  <c r="O22" i="6131" l="1"/>
  <c r="O18" i="6131"/>
  <c r="C30" i="6131"/>
  <c r="B25" i="6131"/>
  <c r="C16" i="6131"/>
  <c r="B15" i="6131"/>
  <c r="H51" i="6131" s="1"/>
  <c r="B14" i="6131"/>
  <c r="B24" i="6131" s="1"/>
  <c r="B13" i="6131"/>
  <c r="C13" i="6131" s="1"/>
  <c r="O12" i="6131"/>
  <c r="C12" i="6131"/>
  <c r="O11" i="6131"/>
  <c r="C11" i="6131"/>
  <c r="O10" i="6131"/>
  <c r="C10" i="6131"/>
  <c r="C9" i="6131"/>
  <c r="C8" i="6131"/>
  <c r="O7" i="6131"/>
  <c r="C7" i="6131"/>
  <c r="O6" i="6131"/>
  <c r="B6" i="6131"/>
  <c r="O5" i="6131"/>
  <c r="B5" i="6131"/>
  <c r="O4" i="6131"/>
  <c r="O3" i="6131"/>
  <c r="O2" i="6131"/>
  <c r="O20" i="6129"/>
  <c r="O18" i="6129"/>
  <c r="C30" i="6129"/>
  <c r="B25" i="6129"/>
  <c r="C16" i="6129"/>
  <c r="B15" i="6129"/>
  <c r="H52" i="6129" s="1"/>
  <c r="B14" i="6129"/>
  <c r="B24" i="6129" s="1"/>
  <c r="B13" i="6129"/>
  <c r="C13" i="6129" s="1"/>
  <c r="O12" i="6129"/>
  <c r="C12" i="6129"/>
  <c r="O11" i="6129"/>
  <c r="C11" i="6129"/>
  <c r="O10" i="6129"/>
  <c r="C10" i="6129"/>
  <c r="C9" i="6129"/>
  <c r="C8" i="6129"/>
  <c r="O7" i="6129"/>
  <c r="C7" i="6129"/>
  <c r="O6" i="6129"/>
  <c r="B6" i="6129"/>
  <c r="O5" i="6129"/>
  <c r="B5" i="6129"/>
  <c r="O4" i="6129"/>
  <c r="O3" i="6129"/>
  <c r="O2" i="6129"/>
  <c r="O18" i="6119"/>
  <c r="O20" i="6127"/>
  <c r="O17" i="6127"/>
  <c r="C30" i="6127"/>
  <c r="B25" i="6127"/>
  <c r="C16" i="6127"/>
  <c r="B15" i="6127"/>
  <c r="H52" i="6127" s="1"/>
  <c r="B14" i="6127"/>
  <c r="B24" i="6127" s="1"/>
  <c r="B13" i="6127"/>
  <c r="C13" i="6127" s="1"/>
  <c r="O12" i="6127"/>
  <c r="C12" i="6127"/>
  <c r="O11" i="6127"/>
  <c r="C11" i="6127"/>
  <c r="O10" i="6127"/>
  <c r="C10" i="6127"/>
  <c r="C9" i="6127"/>
  <c r="C8" i="6127"/>
  <c r="O7" i="6127"/>
  <c r="C7" i="6127"/>
  <c r="O6" i="6127"/>
  <c r="B6" i="6127"/>
  <c r="O5" i="6127"/>
  <c r="B5" i="6127"/>
  <c r="O4" i="6127"/>
  <c r="O3" i="6127"/>
  <c r="O2" i="6127"/>
  <c r="O22" i="6119"/>
  <c r="O23" i="6119"/>
  <c r="C14" i="6129" l="1"/>
  <c r="C14" i="6127"/>
  <c r="C19" i="6127"/>
  <c r="C14" i="6131"/>
  <c r="H4" i="6131"/>
  <c r="H12" i="6131"/>
  <c r="C19" i="6131"/>
  <c r="H36" i="6131"/>
  <c r="H24" i="6131"/>
  <c r="H28" i="6131"/>
  <c r="H41" i="6131"/>
  <c r="C44" i="6131"/>
  <c r="C34" i="6131"/>
  <c r="H10" i="6131"/>
  <c r="H48" i="6131"/>
  <c r="H27" i="6131"/>
  <c r="H7" i="6131"/>
  <c r="H22" i="6131"/>
  <c r="C20" i="6131"/>
  <c r="C21" i="6131"/>
  <c r="H21" i="6131"/>
  <c r="H38" i="6131"/>
  <c r="H42" i="6131"/>
  <c r="H49" i="6131"/>
  <c r="H18" i="6131"/>
  <c r="H50" i="6131"/>
  <c r="H33" i="6131"/>
  <c r="H29" i="6131"/>
  <c r="H2" i="6131"/>
  <c r="H14" i="6131"/>
  <c r="C36" i="6131"/>
  <c r="C17" i="6131"/>
  <c r="B22" i="6131"/>
  <c r="H26" i="6131"/>
  <c r="H39" i="6131"/>
  <c r="C42" i="6131"/>
  <c r="H16" i="6131"/>
  <c r="H25" i="6131"/>
  <c r="H11" i="6131"/>
  <c r="C40" i="6131"/>
  <c r="H8" i="6131"/>
  <c r="H15" i="6131"/>
  <c r="C32" i="6131"/>
  <c r="H40" i="6131"/>
  <c r="H44" i="6131"/>
  <c r="H5" i="6131"/>
  <c r="H46" i="6131"/>
  <c r="C15" i="6131"/>
  <c r="H37" i="6131"/>
  <c r="H3" i="6131"/>
  <c r="H43" i="6131"/>
  <c r="H20" i="6131"/>
  <c r="H6" i="6131"/>
  <c r="H17" i="6131"/>
  <c r="C18" i="6131"/>
  <c r="H35" i="6131"/>
  <c r="C38" i="6131"/>
  <c r="H45" i="6131"/>
  <c r="H52" i="6131"/>
  <c r="H30" i="6131"/>
  <c r="H32" i="6131"/>
  <c r="H9" i="6131"/>
  <c r="C33" i="6131"/>
  <c r="C37" i="6131"/>
  <c r="C41" i="6131"/>
  <c r="H47" i="6131"/>
  <c r="B23" i="6131"/>
  <c r="H23" i="6131"/>
  <c r="H19" i="6131"/>
  <c r="H31" i="6131"/>
  <c r="H13" i="6131"/>
  <c r="H34" i="6131"/>
  <c r="C35" i="6131"/>
  <c r="C39" i="6131"/>
  <c r="C43" i="6131"/>
  <c r="C19" i="6129"/>
  <c r="H19" i="6129"/>
  <c r="H24" i="6129"/>
  <c r="H23" i="6129"/>
  <c r="C40" i="6129"/>
  <c r="H18" i="6129"/>
  <c r="C39" i="6129"/>
  <c r="H2" i="6129"/>
  <c r="C17" i="6129"/>
  <c r="H21" i="6129"/>
  <c r="H43" i="6129"/>
  <c r="C43" i="6129"/>
  <c r="C32" i="6129"/>
  <c r="H11" i="6129"/>
  <c r="H14" i="6129"/>
  <c r="H36" i="6129"/>
  <c r="H3" i="6129"/>
  <c r="H28" i="6129"/>
  <c r="H15" i="6129"/>
  <c r="C44" i="6129"/>
  <c r="H45" i="6129"/>
  <c r="C15" i="6129"/>
  <c r="H51" i="6129"/>
  <c r="H32" i="6129"/>
  <c r="H5" i="6129"/>
  <c r="C35" i="6129"/>
  <c r="H13" i="6129"/>
  <c r="H27" i="6129"/>
  <c r="H10" i="6129"/>
  <c r="H6" i="6129"/>
  <c r="H20" i="6129"/>
  <c r="H33" i="6129"/>
  <c r="C36" i="6129"/>
  <c r="H7" i="6129"/>
  <c r="H39" i="6129"/>
  <c r="H48" i="6129"/>
  <c r="C21" i="6129"/>
  <c r="H26" i="6129"/>
  <c r="H41" i="6129"/>
  <c r="H12" i="6129"/>
  <c r="H31" i="6129"/>
  <c r="H22" i="6129"/>
  <c r="H8" i="6129"/>
  <c r="C33" i="6129"/>
  <c r="C37" i="6129"/>
  <c r="C41" i="6129"/>
  <c r="H47" i="6129"/>
  <c r="H4" i="6129"/>
  <c r="H30" i="6129"/>
  <c r="H16" i="6129"/>
  <c r="H25" i="6129"/>
  <c r="H17" i="6129"/>
  <c r="C34" i="6129"/>
  <c r="C38" i="6129"/>
  <c r="C42" i="6129"/>
  <c r="H49" i="6129"/>
  <c r="B23" i="6129"/>
  <c r="H9" i="6129"/>
  <c r="C20" i="6129"/>
  <c r="H37" i="6129"/>
  <c r="H40" i="6129"/>
  <c r="H44" i="6129"/>
  <c r="H50" i="6129"/>
  <c r="H29" i="6129"/>
  <c r="C18" i="6129"/>
  <c r="B22" i="6129"/>
  <c r="H34" i="6129"/>
  <c r="H35" i="6129"/>
  <c r="H38" i="6129"/>
  <c r="H42" i="6129"/>
  <c r="H46" i="6129"/>
  <c r="H6" i="6127"/>
  <c r="H10" i="6127"/>
  <c r="H37" i="6127"/>
  <c r="C21" i="6127"/>
  <c r="H21" i="6127"/>
  <c r="H33" i="6127"/>
  <c r="H41" i="6127"/>
  <c r="C15" i="6127"/>
  <c r="H7" i="6127"/>
  <c r="H22" i="6127"/>
  <c r="H13" i="6127"/>
  <c r="C17" i="6127"/>
  <c r="H45" i="6127"/>
  <c r="H25" i="6127"/>
  <c r="H27" i="6127"/>
  <c r="H11" i="6127"/>
  <c r="C33" i="6127"/>
  <c r="C37" i="6127"/>
  <c r="C41" i="6127"/>
  <c r="H47" i="6127"/>
  <c r="H43" i="6127"/>
  <c r="H24" i="6127"/>
  <c r="H19" i="6127"/>
  <c r="H20" i="6127"/>
  <c r="C34" i="6127"/>
  <c r="C38" i="6127"/>
  <c r="H49" i="6127"/>
  <c r="H8" i="6127"/>
  <c r="C20" i="6127"/>
  <c r="H36" i="6127"/>
  <c r="H40" i="6127"/>
  <c r="H44" i="6127"/>
  <c r="H50" i="6127"/>
  <c r="B23" i="6127"/>
  <c r="H31" i="6127"/>
  <c r="H35" i="6127"/>
  <c r="H39" i="6127"/>
  <c r="H48" i="6127"/>
  <c r="H2" i="6127"/>
  <c r="H4" i="6127"/>
  <c r="H28" i="6127"/>
  <c r="C42" i="6127"/>
  <c r="H17" i="6127"/>
  <c r="H15" i="6127"/>
  <c r="H26" i="6127"/>
  <c r="H14" i="6127"/>
  <c r="H32" i="6127"/>
  <c r="C35" i="6127"/>
  <c r="C39" i="6127"/>
  <c r="C43" i="6127"/>
  <c r="H51" i="6127"/>
  <c r="H16" i="6127"/>
  <c r="H3" i="6127"/>
  <c r="H9" i="6127"/>
  <c r="H18" i="6127"/>
  <c r="H12" i="6127"/>
  <c r="H29" i="6127"/>
  <c r="C32" i="6127"/>
  <c r="C36" i="6127"/>
  <c r="C40" i="6127"/>
  <c r="C44" i="6127"/>
  <c r="H5" i="6127"/>
  <c r="H23" i="6127"/>
  <c r="C18" i="6127"/>
  <c r="B22" i="6127"/>
  <c r="H30" i="6127"/>
  <c r="H34" i="6127"/>
  <c r="H38" i="6127"/>
  <c r="H42" i="6127"/>
  <c r="H46" i="6127"/>
  <c r="O23" i="6125" l="1"/>
  <c r="O20" i="6125"/>
  <c r="C30" i="6125"/>
  <c r="B25" i="6125"/>
  <c r="C16" i="6125"/>
  <c r="B15" i="6125"/>
  <c r="H4" i="6125" s="1"/>
  <c r="B14" i="6125"/>
  <c r="B24" i="6125" s="1"/>
  <c r="B13" i="6125"/>
  <c r="C13" i="6125" s="1"/>
  <c r="O12" i="6125"/>
  <c r="C12" i="6125"/>
  <c r="O11" i="6125"/>
  <c r="C11" i="6125"/>
  <c r="O10" i="6125"/>
  <c r="C10" i="6125"/>
  <c r="C9" i="6125"/>
  <c r="C8" i="6125"/>
  <c r="O7" i="6125"/>
  <c r="C7" i="6125"/>
  <c r="O6" i="6125"/>
  <c r="B6" i="6125"/>
  <c r="O5" i="6125"/>
  <c r="B5" i="6125"/>
  <c r="O4" i="6125"/>
  <c r="O3" i="6125"/>
  <c r="O2" i="6125"/>
  <c r="O20" i="6123"/>
  <c r="O17" i="6123"/>
  <c r="C30" i="6123"/>
  <c r="B25" i="6123"/>
  <c r="C16" i="6123"/>
  <c r="B15" i="6123"/>
  <c r="H5" i="6123" s="1"/>
  <c r="B14" i="6123"/>
  <c r="B24" i="6123" s="1"/>
  <c r="B13" i="6123"/>
  <c r="C13" i="6123" s="1"/>
  <c r="O12" i="6123"/>
  <c r="C12" i="6123"/>
  <c r="O11" i="6123"/>
  <c r="C11" i="6123"/>
  <c r="O10" i="6123"/>
  <c r="C10" i="6123"/>
  <c r="C9" i="6123"/>
  <c r="C8" i="6123"/>
  <c r="O7" i="6123"/>
  <c r="C7" i="6123"/>
  <c r="O6" i="6123"/>
  <c r="B6" i="6123"/>
  <c r="O5" i="6123"/>
  <c r="B5" i="6123"/>
  <c r="O4" i="6123"/>
  <c r="O3" i="6123"/>
  <c r="O2" i="6123"/>
  <c r="O19" i="6119"/>
  <c r="O17" i="6121"/>
  <c r="O19" i="6121"/>
  <c r="C30" i="6121"/>
  <c r="B25" i="6121"/>
  <c r="C16" i="6121"/>
  <c r="B15" i="6121"/>
  <c r="H4" i="6121" s="1"/>
  <c r="B14" i="6121"/>
  <c r="B24" i="6121" s="1"/>
  <c r="B13" i="6121"/>
  <c r="C13" i="6121" s="1"/>
  <c r="O12" i="6121"/>
  <c r="C12" i="6121"/>
  <c r="O11" i="6121"/>
  <c r="C11" i="6121"/>
  <c r="O10" i="6121"/>
  <c r="C10" i="6121"/>
  <c r="C9" i="6121"/>
  <c r="C8" i="6121"/>
  <c r="O7" i="6121"/>
  <c r="C7" i="6121"/>
  <c r="O6" i="6121"/>
  <c r="B6" i="6121"/>
  <c r="O5" i="6121"/>
  <c r="B5" i="6121"/>
  <c r="O4" i="6121"/>
  <c r="O3" i="6121"/>
  <c r="O2" i="6121"/>
  <c r="O21" i="6119"/>
  <c r="O24" i="6119"/>
  <c r="C30" i="6119"/>
  <c r="B25" i="6119"/>
  <c r="C16" i="6119"/>
  <c r="B15" i="6119"/>
  <c r="H51" i="6119" s="1"/>
  <c r="B14" i="6119"/>
  <c r="B24" i="6119" s="1"/>
  <c r="B13" i="6119"/>
  <c r="C13" i="6119" s="1"/>
  <c r="O12" i="6119"/>
  <c r="C12" i="6119"/>
  <c r="O11" i="6119"/>
  <c r="C11" i="6119"/>
  <c r="O10" i="6119"/>
  <c r="C10" i="6119"/>
  <c r="C9" i="6119"/>
  <c r="C8" i="6119"/>
  <c r="O7" i="6119"/>
  <c r="C7" i="6119"/>
  <c r="O6" i="6119"/>
  <c r="B6" i="6119"/>
  <c r="O5" i="6119"/>
  <c r="B5" i="6119"/>
  <c r="O4" i="6119"/>
  <c r="O3" i="6119"/>
  <c r="O2" i="6119"/>
  <c r="C14" i="6125" l="1"/>
  <c r="C14" i="6123"/>
  <c r="H28" i="6125"/>
  <c r="H31" i="6123"/>
  <c r="C14" i="6121"/>
  <c r="H12" i="6125"/>
  <c r="H33" i="6125"/>
  <c r="C15" i="6125"/>
  <c r="H35" i="6125"/>
  <c r="C18" i="6125"/>
  <c r="H42" i="6125"/>
  <c r="H8" i="6125"/>
  <c r="H10" i="6125"/>
  <c r="B22" i="6125"/>
  <c r="H46" i="6125"/>
  <c r="H38" i="6125"/>
  <c r="H6" i="6125"/>
  <c r="H52" i="6125"/>
  <c r="H25" i="6125"/>
  <c r="C33" i="6125"/>
  <c r="C41" i="6125"/>
  <c r="C19" i="6125"/>
  <c r="B23" i="6125"/>
  <c r="H26" i="6125"/>
  <c r="H27" i="6125"/>
  <c r="H39" i="6125"/>
  <c r="H43" i="6125"/>
  <c r="H48" i="6125"/>
  <c r="H21" i="6125"/>
  <c r="H29" i="6125"/>
  <c r="H9" i="6125"/>
  <c r="C37" i="6125"/>
  <c r="H47" i="6125"/>
  <c r="H2" i="6125"/>
  <c r="H3" i="6125"/>
  <c r="H24" i="6125"/>
  <c r="H17" i="6125"/>
  <c r="H31" i="6125"/>
  <c r="H16" i="6125"/>
  <c r="C34" i="6125"/>
  <c r="C38" i="6125"/>
  <c r="C42" i="6125"/>
  <c r="H49" i="6125"/>
  <c r="C20" i="6125"/>
  <c r="H50" i="6125"/>
  <c r="H22" i="6125"/>
  <c r="H15" i="6125"/>
  <c r="H30" i="6125"/>
  <c r="H13" i="6125"/>
  <c r="H20" i="6125"/>
  <c r="C35" i="6125"/>
  <c r="C39" i="6125"/>
  <c r="C43" i="6125"/>
  <c r="H51" i="6125"/>
  <c r="H40" i="6125"/>
  <c r="H7" i="6125"/>
  <c r="H23" i="6125"/>
  <c r="C17" i="6125"/>
  <c r="C21" i="6125"/>
  <c r="H34" i="6125"/>
  <c r="H37" i="6125"/>
  <c r="H41" i="6125"/>
  <c r="H45" i="6125"/>
  <c r="H19" i="6125"/>
  <c r="H36" i="6125"/>
  <c r="H44" i="6125"/>
  <c r="H5" i="6125"/>
  <c r="H11" i="6125"/>
  <c r="H18" i="6125"/>
  <c r="H14" i="6125"/>
  <c r="H32" i="6125"/>
  <c r="C32" i="6125"/>
  <c r="C36" i="6125"/>
  <c r="C40" i="6125"/>
  <c r="C44" i="6125"/>
  <c r="C14" i="6119"/>
  <c r="H4" i="6123"/>
  <c r="C21" i="6123"/>
  <c r="H26" i="6123"/>
  <c r="H44" i="6123"/>
  <c r="H46" i="6123"/>
  <c r="H7" i="6123"/>
  <c r="H45" i="6123"/>
  <c r="H27" i="6123"/>
  <c r="H11" i="6123"/>
  <c r="H25" i="6123"/>
  <c r="H39" i="6123"/>
  <c r="H29" i="6123"/>
  <c r="H37" i="6123"/>
  <c r="H48" i="6123"/>
  <c r="H6" i="6123"/>
  <c r="C17" i="6123"/>
  <c r="H28" i="6123"/>
  <c r="C18" i="6123"/>
  <c r="H41" i="6123"/>
  <c r="H50" i="6123"/>
  <c r="B22" i="6123"/>
  <c r="H38" i="6123"/>
  <c r="H2" i="6123"/>
  <c r="C19" i="6123"/>
  <c r="H35" i="6123"/>
  <c r="H42" i="6123"/>
  <c r="H16" i="6123"/>
  <c r="C15" i="6123"/>
  <c r="H10" i="6123"/>
  <c r="H40" i="6123"/>
  <c r="H9" i="6123"/>
  <c r="H30" i="6123"/>
  <c r="C20" i="6123"/>
  <c r="H36" i="6123"/>
  <c r="H43" i="6123"/>
  <c r="H52" i="6123"/>
  <c r="H32" i="6123"/>
  <c r="H20" i="6123"/>
  <c r="H8" i="6123"/>
  <c r="C33" i="6123"/>
  <c r="C37" i="6123"/>
  <c r="C41" i="6123"/>
  <c r="H47" i="6123"/>
  <c r="B23" i="6123"/>
  <c r="H3" i="6123"/>
  <c r="H19" i="6123"/>
  <c r="H17" i="6123"/>
  <c r="H24" i="6123"/>
  <c r="H21" i="6123"/>
  <c r="C34" i="6123"/>
  <c r="C38" i="6123"/>
  <c r="C42" i="6123"/>
  <c r="H49" i="6123"/>
  <c r="H18" i="6123"/>
  <c r="H15" i="6123"/>
  <c r="H33" i="6123"/>
  <c r="H12" i="6123"/>
  <c r="H22" i="6123"/>
  <c r="C35" i="6123"/>
  <c r="C39" i="6123"/>
  <c r="C43" i="6123"/>
  <c r="H51" i="6123"/>
  <c r="H13" i="6123"/>
  <c r="H23" i="6123"/>
  <c r="H14" i="6123"/>
  <c r="H34" i="6123"/>
  <c r="C32" i="6123"/>
  <c r="C36" i="6123"/>
  <c r="C40" i="6123"/>
  <c r="C44" i="6123"/>
  <c r="H4" i="6119"/>
  <c r="H7" i="6121"/>
  <c r="H52" i="6121"/>
  <c r="C20" i="6121"/>
  <c r="H8" i="6121"/>
  <c r="C21" i="6121"/>
  <c r="H33" i="6121"/>
  <c r="H25" i="6121"/>
  <c r="H26" i="6121"/>
  <c r="H34" i="6121"/>
  <c r="H41" i="6121"/>
  <c r="H42" i="6121"/>
  <c r="H35" i="6121"/>
  <c r="H43" i="6121"/>
  <c r="H47" i="6121"/>
  <c r="H19" i="6121"/>
  <c r="H36" i="6121"/>
  <c r="H44" i="6121"/>
  <c r="H5" i="6121"/>
  <c r="H10" i="6121"/>
  <c r="H18" i="6121"/>
  <c r="H37" i="6121"/>
  <c r="H45" i="6121"/>
  <c r="H6" i="6121"/>
  <c r="C17" i="6121"/>
  <c r="H31" i="6121"/>
  <c r="H12" i="6121"/>
  <c r="C18" i="6121"/>
  <c r="H39" i="6121"/>
  <c r="H49" i="6121"/>
  <c r="B22" i="6121"/>
  <c r="C15" i="6121"/>
  <c r="H38" i="6121"/>
  <c r="C19" i="6121"/>
  <c r="H24" i="6121"/>
  <c r="H40" i="6121"/>
  <c r="H51" i="6121"/>
  <c r="H27" i="6121"/>
  <c r="H23" i="6121"/>
  <c r="H13" i="6121"/>
  <c r="C33" i="6121"/>
  <c r="C37" i="6121"/>
  <c r="C41" i="6121"/>
  <c r="H46" i="6121"/>
  <c r="B23" i="6121"/>
  <c r="H2" i="6121"/>
  <c r="H3" i="6121"/>
  <c r="H21" i="6121"/>
  <c r="H14" i="6121"/>
  <c r="H29" i="6121"/>
  <c r="H17" i="6121"/>
  <c r="C34" i="6121"/>
  <c r="C38" i="6121"/>
  <c r="C42" i="6121"/>
  <c r="H48" i="6121"/>
  <c r="H20" i="6121"/>
  <c r="H22" i="6121"/>
  <c r="H28" i="6121"/>
  <c r="H15" i="6121"/>
  <c r="H32" i="6121"/>
  <c r="C35" i="6121"/>
  <c r="C39" i="6121"/>
  <c r="C43" i="6121"/>
  <c r="H50" i="6121"/>
  <c r="H9" i="6121"/>
  <c r="H16" i="6121"/>
  <c r="H11" i="6121"/>
  <c r="H30" i="6121"/>
  <c r="C32" i="6121"/>
  <c r="C36" i="6121"/>
  <c r="C40" i="6121"/>
  <c r="C44" i="6121"/>
  <c r="H11" i="6119"/>
  <c r="C19" i="6119"/>
  <c r="C20" i="6119"/>
  <c r="H30" i="6119"/>
  <c r="H35" i="6119"/>
  <c r="H29" i="6119"/>
  <c r="H42" i="6119"/>
  <c r="C44" i="6119"/>
  <c r="H17" i="6119"/>
  <c r="H34" i="6119"/>
  <c r="H25" i="6119"/>
  <c r="C40" i="6119"/>
  <c r="H49" i="6119"/>
  <c r="H27" i="6119"/>
  <c r="H6" i="6119"/>
  <c r="H14" i="6119"/>
  <c r="H12" i="6119"/>
  <c r="H48" i="6119"/>
  <c r="C21" i="6119"/>
  <c r="H18" i="6119"/>
  <c r="H43" i="6119"/>
  <c r="H2" i="6119"/>
  <c r="H3" i="6119"/>
  <c r="C36" i="6119"/>
  <c r="H8" i="6119"/>
  <c r="H40" i="6119"/>
  <c r="H15" i="6119"/>
  <c r="C34" i="6119"/>
  <c r="H10" i="6119"/>
  <c r="H28" i="6119"/>
  <c r="H50" i="6119"/>
  <c r="C17" i="6119"/>
  <c r="B22" i="6119"/>
  <c r="H31" i="6119"/>
  <c r="C42" i="6119"/>
  <c r="C32" i="6119"/>
  <c r="H45" i="6119"/>
  <c r="H5" i="6119"/>
  <c r="H33" i="6119"/>
  <c r="C15" i="6119"/>
  <c r="H39" i="6119"/>
  <c r="H26" i="6119"/>
  <c r="H32" i="6119"/>
  <c r="H44" i="6119"/>
  <c r="H19" i="6119"/>
  <c r="H24" i="6119"/>
  <c r="H41" i="6119"/>
  <c r="H7" i="6119"/>
  <c r="H22" i="6119"/>
  <c r="C18" i="6119"/>
  <c r="H38" i="6119"/>
  <c r="C38" i="6119"/>
  <c r="H46" i="6119"/>
  <c r="H52" i="6119"/>
  <c r="H36" i="6119"/>
  <c r="H23" i="6119"/>
  <c r="H9" i="6119"/>
  <c r="C33" i="6119"/>
  <c r="C37" i="6119"/>
  <c r="C41" i="6119"/>
  <c r="H47" i="6119"/>
  <c r="B23" i="6119"/>
  <c r="H20" i="6119"/>
  <c r="H16" i="6119"/>
  <c r="H37" i="6119"/>
  <c r="H13" i="6119"/>
  <c r="H21" i="6119"/>
  <c r="C35" i="6119"/>
  <c r="C39" i="6119"/>
  <c r="C43" i="6119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<sst xmlns="http://schemas.openxmlformats.org/spreadsheetml/2006/main" count="3767" uniqueCount="282">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</sst>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全体!$K$2:$K$743</c:f>
              <c:numCache>
                <c:formatCode>General</c:formatCode>
                <c:ptCount val="7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</c:numCache>
            </c:numRef>
          </c:xVal>
          <c:yVal>
            <c:numRef>
              <c:f>全体!$L$2:$L$743</c:f>
              <c:numCache>
                <c:formatCode>\+0.0;\-0.0;\±0</c:formatCode>
                <c:ptCount val="74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D-44ED-A25F-9E8D6F21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-27.100271002710027</c:v>
                </c:pt>
                <c:pt idx="1">
                  <c:v>12.396694214876034</c:v>
                </c:pt>
                <c:pt idx="2">
                  <c:v>-10.279001468428781</c:v>
                </c:pt>
                <c:pt idx="3">
                  <c:v>9.3457943925233646</c:v>
                </c:pt>
                <c:pt idx="4">
                  <c:v>8.5034013605442169</c:v>
                </c:pt>
                <c:pt idx="5">
                  <c:v>12.269938650306749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D-4B35-B07D-AD2EF257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139</c:v>
                </c:pt>
                <c:pt idx="1">
                  <c:v>305</c:v>
                </c:pt>
                <c:pt idx="2">
                  <c:v>358</c:v>
                </c:pt>
                <c:pt idx="3">
                  <c:v>320</c:v>
                </c:pt>
                <c:pt idx="4">
                  <c:v>294</c:v>
                </c:pt>
                <c:pt idx="5">
                  <c:v>192</c:v>
                </c:pt>
                <c:pt idx="6">
                  <c:v>98</c:v>
                </c:pt>
                <c:pt idx="7">
                  <c:v>52</c:v>
                </c:pt>
                <c:pt idx="8">
                  <c:v>22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2-4D5B-BFF0-19D0CD6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たかの!$L$2:$L$67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A-42E7-AEDA-418DAF8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1363.0769230769231</c:v>
                </c:pt>
                <c:pt idx="1">
                  <c:v>-2112.5</c:v>
                </c:pt>
                <c:pt idx="2">
                  <c:v>-1511.2903225806451</c:v>
                </c:pt>
                <c:pt idx="3">
                  <c:v>-1355.1724137931035</c:v>
                </c:pt>
                <c:pt idx="4">
                  <c:v>-221.05263157894737</c:v>
                </c:pt>
                <c:pt idx="5">
                  <c:v>-2379.591836734694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C-4646-A386-0129434D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21</c:v>
                </c:pt>
                <c:pt idx="1">
                  <c:v>33</c:v>
                </c:pt>
                <c:pt idx="2">
                  <c:v>31</c:v>
                </c:pt>
                <c:pt idx="3">
                  <c:v>23</c:v>
                </c:pt>
                <c:pt idx="4">
                  <c:v>17</c:v>
                </c:pt>
                <c:pt idx="5">
                  <c:v>14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FA1-BEAC-44029251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だいち!$K$2:$K$151</c:f>
              <c:numCache>
                <c:formatCode>General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だいち!$L$2:$L$151</c:f>
              <c:numCache>
                <c:formatCode>\+0.0;\-0.0;\±0</c:formatCode>
                <c:ptCount val="150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A8D-8521-F28E6BEF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1041.2162162162163</c:v>
                </c:pt>
                <c:pt idx="1">
                  <c:v>870.34482758620686</c:v>
                </c:pt>
                <c:pt idx="2">
                  <c:v>802.15827338129498</c:v>
                </c:pt>
                <c:pt idx="3">
                  <c:v>180.62015503875969</c:v>
                </c:pt>
                <c:pt idx="4">
                  <c:v>2045.3781512605042</c:v>
                </c:pt>
                <c:pt idx="5">
                  <c:v>1897.9591836734694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5-4A3D-81F1-B3E00C23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39</c:v>
                </c:pt>
                <c:pt idx="1">
                  <c:v>73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5">
                  <c:v>39</c:v>
                </c:pt>
                <c:pt idx="6">
                  <c:v>19</c:v>
                </c:pt>
                <c:pt idx="7">
                  <c:v>6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663-A8AF-51CE2FA78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ただ!$L$2:$L$134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C-4647-82F2-630678748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-1558.7786259541986</c:v>
                </c:pt>
                <c:pt idx="1">
                  <c:v>1651.937984496124</c:v>
                </c:pt>
                <c:pt idx="2">
                  <c:v>-283.89830508474574</c:v>
                </c:pt>
                <c:pt idx="3">
                  <c:v>317.85714285714283</c:v>
                </c:pt>
                <c:pt idx="4">
                  <c:v>-960.78431372549016</c:v>
                </c:pt>
                <c:pt idx="5">
                  <c:v>1518.3908045977012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A-4162-A6D4-2429DC64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53</c:v>
                </c:pt>
                <c:pt idx="2">
                  <c:v>69</c:v>
                </c:pt>
                <c:pt idx="3">
                  <c:v>72</c:v>
                </c:pt>
                <c:pt idx="4">
                  <c:v>50</c:v>
                </c:pt>
                <c:pt idx="5">
                  <c:v>38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A-473C-9946-C1DE8A8BD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りくと!$L$2:$L$89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6-47AF-B37F-09F2115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-372.09302325581393</c:v>
                </c:pt>
                <c:pt idx="1">
                  <c:v>-1181.3953488372092</c:v>
                </c:pt>
                <c:pt idx="2">
                  <c:v>557.5</c:v>
                </c:pt>
                <c:pt idx="3">
                  <c:v>-359.49367088607596</c:v>
                </c:pt>
                <c:pt idx="4">
                  <c:v>-2947.2972972972975</c:v>
                </c:pt>
                <c:pt idx="5">
                  <c:v>-1339.0625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7-4942-923C-78BE7DC2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15</c:v>
                </c:pt>
                <c:pt idx="1">
                  <c:v>39</c:v>
                </c:pt>
                <c:pt idx="2">
                  <c:v>47</c:v>
                </c:pt>
                <c:pt idx="3">
                  <c:v>31</c:v>
                </c:pt>
                <c:pt idx="4">
                  <c:v>35</c:v>
                </c:pt>
                <c:pt idx="5">
                  <c:v>21</c:v>
                </c:pt>
                <c:pt idx="6">
                  <c:v>12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259-AB5E-61990DE2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れんたろう!$L$2:$L$102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1-4F4C-AA6F-5074DC71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1424</c:v>
                </c:pt>
                <c:pt idx="1">
                  <c:v>-1321.4285714285713</c:v>
                </c:pt>
                <c:pt idx="2">
                  <c:v>-332.58426966292137</c:v>
                </c:pt>
                <c:pt idx="3">
                  <c:v>2781.1764705882351</c:v>
                </c:pt>
                <c:pt idx="4">
                  <c:v>294.73684210526318</c:v>
                </c:pt>
                <c:pt idx="5">
                  <c:v>18.64406779661017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4-4896-8F81-AD328DBB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19</c:v>
                </c:pt>
                <c:pt idx="2">
                  <c:v>29</c:v>
                </c:pt>
                <c:pt idx="3">
                  <c:v>40</c:v>
                </c:pt>
                <c:pt idx="4">
                  <c:v>56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8D-9AC6-2CB947580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B8C-9A79-B9AAC1A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442.34234234234236</c:v>
                </c:pt>
                <c:pt idx="1">
                  <c:v>332.40740740740739</c:v>
                </c:pt>
                <c:pt idx="2">
                  <c:v>658.82352941176475</c:v>
                </c:pt>
                <c:pt idx="3">
                  <c:v>98.924731182795696</c:v>
                </c:pt>
                <c:pt idx="4">
                  <c:v>-69.512195121951223</c:v>
                </c:pt>
                <c:pt idx="5">
                  <c:v>-801.42857142857144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B5A-8CDF-892CD5D1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15</c:v>
                </c:pt>
                <c:pt idx="1">
                  <c:v>46</c:v>
                </c:pt>
                <c:pt idx="2">
                  <c:v>51</c:v>
                </c:pt>
                <c:pt idx="3">
                  <c:v>46</c:v>
                </c:pt>
                <c:pt idx="4">
                  <c:v>40</c:v>
                </c:pt>
                <c:pt idx="5">
                  <c:v>31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3D3-BDA1-6C913AD6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のり!$L$2:$L$54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9-4685-9BA5-954D003CA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-1575</c:v>
                </c:pt>
                <c:pt idx="1">
                  <c:v>213.46153846153845</c:v>
                </c:pt>
                <c:pt idx="2">
                  <c:v>-1840</c:v>
                </c:pt>
                <c:pt idx="3">
                  <c:v>-3195.5555555555557</c:v>
                </c:pt>
                <c:pt idx="4">
                  <c:v>-1313.953488372093</c:v>
                </c:pt>
                <c:pt idx="5">
                  <c:v>-2083.3333333333335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6-48F7-840D-C9219320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22</c:v>
                </c:pt>
                <c:pt idx="3">
                  <c:v>15</c:v>
                </c:pt>
                <c:pt idx="4">
                  <c:v>15</c:v>
                </c:pt>
                <c:pt idx="5">
                  <c:v>7</c:v>
                </c:pt>
                <c:pt idx="6">
                  <c:v>8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0-4C98-8AD9-9789242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C-444A-B49C-04FC49A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4-4336-8A9A-BA353C595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423C-B20E-3850F50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BA9-B19C-C9DB91427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E-48F8-BA5E-8A12854F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5-4486-BDC5-6507FA80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1-486C-A6BC-7DA513A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0E2-BFC1-CA7F3061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5-461E-8F32-72F4F743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1-416F-AA73-CF0DA93A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-2800</c:v>
                </c:pt>
                <c:pt idx="1">
                  <c:v>2500</c:v>
                </c:pt>
                <c:pt idx="2">
                  <c:v>-900</c:v>
                </c:pt>
                <c:pt idx="3">
                  <c:v>5375</c:v>
                </c:pt>
                <c:pt idx="4">
                  <c:v>1000</c:v>
                </c:pt>
                <c:pt idx="5">
                  <c:v>7850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3-42BE-BB81-9FC0B4AE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5-4AEC-99E9-FEBC1C790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BB-4B8B-85F8-FA62F1A82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-600</c:v>
                </c:pt>
                <c:pt idx="1">
                  <c:v>5200</c:v>
                </c:pt>
                <c:pt idx="2">
                  <c:v>13366.666666666666</c:v>
                </c:pt>
                <c:pt idx="3">
                  <c:v>-2266.6666666666665</c:v>
                </c:pt>
                <c:pt idx="4">
                  <c:v>433.33333333333331</c:v>
                </c:pt>
                <c:pt idx="5">
                  <c:v>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9-4A23-BDD3-BEDA11F4C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99-4FFD-98B6-0CE3EC70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9-4630-9BF4-CE672C6F8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-2900</c:v>
                </c:pt>
                <c:pt idx="1">
                  <c:v>-2666.6666666666665</c:v>
                </c:pt>
                <c:pt idx="2">
                  <c:v>-4750</c:v>
                </c:pt>
                <c:pt idx="3">
                  <c:v>5250</c:v>
                </c:pt>
                <c:pt idx="4">
                  <c:v>-3000</c:v>
                </c:pt>
                <c:pt idx="5">
                  <c:v>-3000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1-4DAD-9E32-B360D09EA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6-4E81-B35F-DFD509D7D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ゆう2!$C$3:$C$6</c:f>
              <c:numCache>
                <c:formatCode>\+0.0;\-0.0;\±0</c:formatCode>
                <c:ptCount val="4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794485396491904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ゆう2!$D$3:$D$6</c:f>
              <c:numCache>
                <c:formatCode>0.00\ "位"</c:formatCode>
                <c:ptCount val="4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ゆう2!$F$3:$F$6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ゆう2!$G$3:$G$6</c:f>
              <c:numCache>
                <c:formatCode>0.0%</c:formatCode>
                <c:ptCount val="4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358649789029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ゆう2!$H$3:$H$6</c:f>
              <c:numCache>
                <c:formatCode>0.0%</c:formatCode>
                <c:ptCount val="4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58325219084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ゆう2!$I$3:$I$6</c:f>
              <c:numCache>
                <c:formatCode>0</c:formatCode>
                <c:ptCount val="4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26.26373626373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ゆう2!$J$3:$J$6</c:f>
              <c:numCache>
                <c:formatCode>0</c:formatCode>
                <c:ptCount val="4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57.24206349206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51551956815114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ゆう2!$L$3:$L$6</c:f>
              <c:numCache>
                <c:formatCode>0.0%</c:formatCode>
                <c:ptCount val="4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787406686140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ゆう2!$M$3:$M$6</c:f>
              <c:numCache>
                <c:formatCode>0.0%</c:formatCode>
                <c:ptCount val="4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497241155469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ゆう2!$N$3:$N$6</c:f>
              <c:numCache>
                <c:formatCode>0.0%</c:formatCode>
                <c:ptCount val="4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7961783439490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ゆう2!$O$3:$O$6</c:f>
              <c:numCache>
                <c:formatCode>0.0%</c:formatCode>
                <c:ptCount val="4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1164772727272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ゆう2!$P$3:$P$6</c:f>
              <c:numCache>
                <c:formatCode>0.0%</c:formatCode>
                <c:ptCount val="4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758241758241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9CD973-58AD-454B-93CE-BBB68EE2ED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D30E63-051A-4A56-A192-D05A249D66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0C16896-A4CB-46E8-87D2-E152102620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947238-23D3-4403-96E0-015F7FC56B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5DE8459-ED75-4284-A512-B8D3452DC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F006C02-FBF4-42B9-8400-E992D1ABAC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60"/>
      <c r="C1" s="161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62">
        <v>0</v>
      </c>
      <c r="C2" s="163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64">
        <v>0</v>
      </c>
      <c r="C3" s="165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66">
        <v>0</v>
      </c>
      <c r="C4" s="167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8">
        <f>IF(B$2=0,0,B$4/B$2)</f>
        <v>0</v>
      </c>
      <c r="C5" s="169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8">
        <f>IF(B$2=0,0,(B$7*1+B$8*2+B$9*3)/B$2)</f>
        <v>0</v>
      </c>
      <c r="C6" s="159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56">
        <v>0</v>
      </c>
      <c r="C28" s="157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54">
        <v>-1000000</v>
      </c>
      <c r="C29" s="155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5"/>
  <sheetViews>
    <sheetView workbookViewId="0"/>
  </sheetViews>
  <sheetFormatPr defaultColWidth="9" defaultRowHeight="18" x14ac:dyDescent="0.45"/>
  <cols>
    <col min="1" max="1" width="19.19921875" style="28" customWidth="1"/>
    <col min="2" max="2" width="19.1992187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741</v>
      </c>
    </row>
    <row r="2" spans="1:2" x14ac:dyDescent="0.45">
      <c r="A2" t="s">
        <v>161</v>
      </c>
      <c r="B2">
        <v>65</v>
      </c>
    </row>
    <row r="3" spans="1:2" x14ac:dyDescent="0.45">
      <c r="A3" t="s">
        <v>126</v>
      </c>
      <c r="B3">
        <v>149</v>
      </c>
    </row>
    <row r="4" spans="1:2" x14ac:dyDescent="0.45">
      <c r="A4" t="s">
        <v>127</v>
      </c>
      <c r="B4">
        <v>132</v>
      </c>
    </row>
    <row r="5" spans="1:2" x14ac:dyDescent="0.45">
      <c r="A5" t="s">
        <v>172</v>
      </c>
      <c r="B5">
        <v>87</v>
      </c>
    </row>
    <row r="6" spans="1:2" x14ac:dyDescent="0.45">
      <c r="A6" t="s">
        <v>170</v>
      </c>
      <c r="B6">
        <v>100</v>
      </c>
    </row>
    <row r="7" spans="1:2" x14ac:dyDescent="0.45">
      <c r="A7" t="s">
        <v>171</v>
      </c>
      <c r="B7">
        <v>111</v>
      </c>
    </row>
    <row r="8" spans="1:2" x14ac:dyDescent="0.45">
      <c r="A8" t="s">
        <v>197</v>
      </c>
      <c r="B8">
        <v>52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4</v>
      </c>
    </row>
    <row r="13" spans="1:2" x14ac:dyDescent="0.45">
      <c r="A13" t="s">
        <v>281</v>
      </c>
      <c r="B13">
        <v>4</v>
      </c>
    </row>
    <row r="14" spans="1:2" x14ac:dyDescent="0.45">
      <c r="A14" t="s">
        <v>280</v>
      </c>
      <c r="B14">
        <v>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72" t="s">
        <v>6</v>
      </c>
      <c r="C1" s="173"/>
      <c r="D1" s="172" t="s">
        <v>7</v>
      </c>
      <c r="E1" s="173"/>
      <c r="F1" s="172" t="s">
        <v>15</v>
      </c>
      <c r="G1" s="173"/>
      <c r="H1" s="172" t="s">
        <v>14</v>
      </c>
      <c r="I1" s="173"/>
      <c r="J1" s="172" t="s">
        <v>155</v>
      </c>
      <c r="K1" s="173"/>
      <c r="L1" s="172" t="s">
        <v>145</v>
      </c>
      <c r="M1" s="173"/>
      <c r="N1" s="172" t="s">
        <v>146</v>
      </c>
      <c r="O1" s="173"/>
      <c r="P1" s="172" t="s">
        <v>5</v>
      </c>
      <c r="Q1" s="173"/>
      <c r="R1" s="172" t="s">
        <v>16</v>
      </c>
      <c r="S1" s="173"/>
      <c r="T1" s="172" t="s">
        <v>17</v>
      </c>
      <c r="U1" s="173"/>
      <c r="V1" s="172" t="s">
        <v>122</v>
      </c>
      <c r="W1" s="173"/>
      <c r="X1" s="172" t="s">
        <v>119</v>
      </c>
      <c r="Y1" s="173"/>
      <c r="Z1" s="172" t="s">
        <v>125</v>
      </c>
      <c r="AA1" s="173"/>
      <c r="AB1" s="172" t="s">
        <v>147</v>
      </c>
      <c r="AC1" s="173"/>
      <c r="AD1" s="172" t="s">
        <v>140</v>
      </c>
      <c r="AE1" s="173"/>
      <c r="AF1" s="172" t="s">
        <v>192</v>
      </c>
      <c r="AG1" s="173"/>
    </row>
    <row r="2" spans="1:33" x14ac:dyDescent="0.45">
      <c r="A2" s="68" t="s">
        <v>154</v>
      </c>
      <c r="B2" s="174"/>
      <c r="C2" s="175"/>
      <c r="D2" s="174"/>
      <c r="E2" s="175"/>
      <c r="F2" s="170">
        <v>0.98897259557050254</v>
      </c>
      <c r="G2" s="171"/>
      <c r="H2" s="170">
        <v>0.84293326557770276</v>
      </c>
      <c r="I2" s="171"/>
      <c r="J2" s="170">
        <v>0.90435755344660596</v>
      </c>
      <c r="K2" s="171"/>
      <c r="L2" s="170">
        <v>0.79822520412085107</v>
      </c>
      <c r="M2" s="171"/>
      <c r="N2" s="170">
        <v>0.5573836537427922</v>
      </c>
      <c r="O2" s="171"/>
      <c r="P2" s="170">
        <v>0.54403055200998363</v>
      </c>
      <c r="Q2" s="171"/>
      <c r="R2" s="170">
        <v>-6.2031350194961123E-2</v>
      </c>
      <c r="S2" s="171"/>
      <c r="T2" s="170">
        <v>0.50306508750076429</v>
      </c>
      <c r="U2" s="171"/>
      <c r="V2" s="170">
        <v>0.61933027486850667</v>
      </c>
      <c r="W2" s="171"/>
      <c r="X2" s="170">
        <v>-5.8213651412790557E-2</v>
      </c>
      <c r="Y2" s="171"/>
      <c r="Z2" s="170">
        <v>0.47764103259576457</v>
      </c>
      <c r="AA2" s="171"/>
      <c r="AB2" s="170">
        <v>0.20765052349059268</v>
      </c>
      <c r="AC2" s="171"/>
      <c r="AD2" s="170">
        <v>0.14859471814660546</v>
      </c>
      <c r="AE2" s="171"/>
      <c r="AF2" s="170">
        <v>0.83855276389430689</v>
      </c>
      <c r="AG2" s="171"/>
    </row>
    <row r="3" spans="1:33" x14ac:dyDescent="0.45">
      <c r="A3" s="70">
        <v>1</v>
      </c>
      <c r="B3" s="71" t="s">
        <v>126</v>
      </c>
      <c r="C3" s="72">
        <v>1159.6000000000001</v>
      </c>
      <c r="D3" s="73" t="s">
        <v>281</v>
      </c>
      <c r="E3" s="92">
        <v>27.475000000000001</v>
      </c>
      <c r="F3" s="73" t="s">
        <v>203</v>
      </c>
      <c r="G3" s="74">
        <v>1.5</v>
      </c>
      <c r="H3" s="73" t="s">
        <v>281</v>
      </c>
      <c r="I3" s="75">
        <v>0.75</v>
      </c>
      <c r="J3" s="73" t="s">
        <v>203</v>
      </c>
      <c r="K3" s="75">
        <v>0</v>
      </c>
      <c r="L3" s="73" t="s">
        <v>281</v>
      </c>
      <c r="M3" s="76">
        <v>0.5</v>
      </c>
      <c r="N3" s="73" t="s">
        <v>203</v>
      </c>
      <c r="O3" s="76">
        <v>6.6666666666666666E-2</v>
      </c>
      <c r="P3" s="73" t="s">
        <v>170</v>
      </c>
      <c r="Q3" s="77">
        <v>10834.375</v>
      </c>
      <c r="R3" s="73" t="s">
        <v>274</v>
      </c>
      <c r="S3" s="77">
        <v>-4700</v>
      </c>
      <c r="T3" s="73" t="s">
        <v>203</v>
      </c>
      <c r="U3" s="75">
        <v>0</v>
      </c>
      <c r="V3" s="73" t="s">
        <v>281</v>
      </c>
      <c r="W3" s="76">
        <v>0.46666666666666667</v>
      </c>
      <c r="X3" s="73" t="s">
        <v>228</v>
      </c>
      <c r="Y3" s="76">
        <v>0.35483870967741937</v>
      </c>
      <c r="Z3" s="73" t="s">
        <v>281</v>
      </c>
      <c r="AA3" s="76">
        <v>0.7857142857142857</v>
      </c>
      <c r="AB3" s="73" t="s">
        <v>203</v>
      </c>
      <c r="AC3" s="76">
        <v>1</v>
      </c>
      <c r="AD3" s="73" t="s">
        <v>280</v>
      </c>
      <c r="AE3" s="76">
        <v>0.66666666666666663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350.30000000000018</v>
      </c>
      <c r="D4" s="81" t="s">
        <v>274</v>
      </c>
      <c r="E4" s="93">
        <v>13.275</v>
      </c>
      <c r="F4" s="81" t="s">
        <v>274</v>
      </c>
      <c r="G4" s="82">
        <v>1.5</v>
      </c>
      <c r="H4" s="81" t="s">
        <v>203</v>
      </c>
      <c r="I4" s="83">
        <v>0.5</v>
      </c>
      <c r="J4" s="81" t="s">
        <v>274</v>
      </c>
      <c r="K4" s="83">
        <v>0</v>
      </c>
      <c r="L4" s="81" t="s">
        <v>203</v>
      </c>
      <c r="M4" s="84">
        <v>0.46666666666666667</v>
      </c>
      <c r="N4" s="81" t="s">
        <v>274</v>
      </c>
      <c r="O4" s="84">
        <v>7.8947368421052627E-2</v>
      </c>
      <c r="P4" s="81" t="s">
        <v>280</v>
      </c>
      <c r="Q4" s="85">
        <v>10666.666666666666</v>
      </c>
      <c r="R4" s="81" t="s">
        <v>196</v>
      </c>
      <c r="S4" s="85">
        <v>-6876.1904761904761</v>
      </c>
      <c r="T4" s="81" t="s">
        <v>274</v>
      </c>
      <c r="U4" s="83">
        <v>0</v>
      </c>
      <c r="V4" s="81" t="s">
        <v>274</v>
      </c>
      <c r="W4" s="84">
        <v>0.34210526315789475</v>
      </c>
      <c r="X4" s="81" t="s">
        <v>203</v>
      </c>
      <c r="Y4" s="84">
        <v>0.33333333333333331</v>
      </c>
      <c r="Z4" s="81" t="s">
        <v>274</v>
      </c>
      <c r="AA4" s="84">
        <v>0.69230769230769229</v>
      </c>
      <c r="AB4" s="81" t="s">
        <v>281</v>
      </c>
      <c r="AC4" s="84">
        <v>0.8</v>
      </c>
      <c r="AD4" s="81" t="s">
        <v>196</v>
      </c>
      <c r="AE4" s="84">
        <v>0.5714285714285714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109.9</v>
      </c>
      <c r="D5" s="81" t="s">
        <v>203</v>
      </c>
      <c r="E5" s="93">
        <v>13.1</v>
      </c>
      <c r="F5" s="81" t="s">
        <v>281</v>
      </c>
      <c r="G5" s="82">
        <v>1.5</v>
      </c>
      <c r="H5" s="81" t="s">
        <v>274</v>
      </c>
      <c r="I5" s="83">
        <v>0.5</v>
      </c>
      <c r="J5" s="81" t="s">
        <v>281</v>
      </c>
      <c r="K5" s="83">
        <v>0.25</v>
      </c>
      <c r="L5" s="81" t="s">
        <v>274</v>
      </c>
      <c r="M5" s="84">
        <v>0.39473684210526316</v>
      </c>
      <c r="N5" s="81" t="s">
        <v>281</v>
      </c>
      <c r="O5" s="84">
        <v>0.1</v>
      </c>
      <c r="P5" s="81" t="s">
        <v>171</v>
      </c>
      <c r="Q5" s="85">
        <v>8524.8062015503874</v>
      </c>
      <c r="R5" s="81" t="s">
        <v>280</v>
      </c>
      <c r="S5" s="85">
        <v>-7316.666666666667</v>
      </c>
      <c r="T5" s="81" t="s">
        <v>281</v>
      </c>
      <c r="U5" s="83">
        <v>0</v>
      </c>
      <c r="V5" s="81" t="s">
        <v>280</v>
      </c>
      <c r="W5" s="84">
        <v>0.33333333333333331</v>
      </c>
      <c r="X5" s="81" t="s">
        <v>127</v>
      </c>
      <c r="Y5" s="84">
        <v>0.30505415162454874</v>
      </c>
      <c r="Z5" s="81" t="s">
        <v>126</v>
      </c>
      <c r="AA5" s="84">
        <v>0.60060975609756095</v>
      </c>
      <c r="AB5" s="81" t="s">
        <v>274</v>
      </c>
      <c r="AC5" s="84">
        <v>0.7142857142857143</v>
      </c>
      <c r="AD5" s="81" t="s">
        <v>170</v>
      </c>
      <c r="AE5" s="84">
        <v>0.5223214285714286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171</v>
      </c>
      <c r="C6" s="80">
        <v>106.3</v>
      </c>
      <c r="D6" s="81" t="s">
        <v>126</v>
      </c>
      <c r="E6" s="93">
        <v>7.7825503355704706</v>
      </c>
      <c r="F6" s="81" t="s">
        <v>126</v>
      </c>
      <c r="G6" s="82">
        <v>1.8120805369127517</v>
      </c>
      <c r="H6" s="81" t="s">
        <v>126</v>
      </c>
      <c r="I6" s="83">
        <v>0.44966442953020136</v>
      </c>
      <c r="J6" s="81" t="s">
        <v>126</v>
      </c>
      <c r="K6" s="83">
        <v>0.26174496644295303</v>
      </c>
      <c r="L6" s="81" t="s">
        <v>126</v>
      </c>
      <c r="M6" s="84">
        <v>0.34210526315789475</v>
      </c>
      <c r="N6" s="81" t="s">
        <v>126</v>
      </c>
      <c r="O6" s="84">
        <v>0.13322368421052633</v>
      </c>
      <c r="P6" s="81" t="s">
        <v>127</v>
      </c>
      <c r="Q6" s="85">
        <v>8440.2985074626868</v>
      </c>
      <c r="R6" s="81" t="s">
        <v>171</v>
      </c>
      <c r="S6" s="85">
        <v>-7440.4958677685954</v>
      </c>
      <c r="T6" s="81" t="s">
        <v>126</v>
      </c>
      <c r="U6" s="83">
        <v>4.6979865771812082E-2</v>
      </c>
      <c r="V6" s="81" t="s">
        <v>170</v>
      </c>
      <c r="W6" s="84">
        <v>0.31467661691542287</v>
      </c>
      <c r="X6" s="81" t="s">
        <v>161</v>
      </c>
      <c r="Y6" s="84">
        <v>0.24436741767764297</v>
      </c>
      <c r="Z6" s="81" t="s">
        <v>196</v>
      </c>
      <c r="AA6" s="84">
        <v>0.59677419354838712</v>
      </c>
      <c r="AB6" s="81" t="s">
        <v>126</v>
      </c>
      <c r="AC6" s="84">
        <v>0.4838709677419355</v>
      </c>
      <c r="AD6" s="81" t="s">
        <v>172</v>
      </c>
      <c r="AE6" s="84">
        <v>0.45673076923076922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127</v>
      </c>
      <c r="C7" s="80">
        <v>90.399999999999807</v>
      </c>
      <c r="D7" s="81" t="s">
        <v>170</v>
      </c>
      <c r="E7" s="93">
        <v>3.5030000000000019</v>
      </c>
      <c r="F7" s="81" t="s">
        <v>170</v>
      </c>
      <c r="G7" s="82">
        <v>1.93</v>
      </c>
      <c r="H7" s="81" t="s">
        <v>228</v>
      </c>
      <c r="I7" s="83">
        <v>0.42857142857142855</v>
      </c>
      <c r="J7" s="81" t="s">
        <v>171</v>
      </c>
      <c r="K7" s="83">
        <v>0.27927927927927926</v>
      </c>
      <c r="L7" s="81" t="s">
        <v>127</v>
      </c>
      <c r="M7" s="84">
        <v>0.30234657039711194</v>
      </c>
      <c r="N7" s="81" t="s">
        <v>171</v>
      </c>
      <c r="O7" s="84">
        <v>0.13610798650168729</v>
      </c>
      <c r="P7" s="81" t="s">
        <v>141</v>
      </c>
      <c r="Q7" s="85">
        <v>8426.2637362637361</v>
      </c>
      <c r="R7" s="81" t="s">
        <v>172</v>
      </c>
      <c r="S7" s="85">
        <v>-7452.517985611511</v>
      </c>
      <c r="T7" s="81" t="s">
        <v>171</v>
      </c>
      <c r="U7" s="83">
        <v>7.2072072072072071E-2</v>
      </c>
      <c r="V7" s="81" t="s">
        <v>172</v>
      </c>
      <c r="W7" s="84">
        <v>0.28281461434370769</v>
      </c>
      <c r="X7" s="81" t="s">
        <v>126</v>
      </c>
      <c r="Y7" s="84">
        <v>0.22944078947368421</v>
      </c>
      <c r="Z7" s="81" t="s">
        <v>171</v>
      </c>
      <c r="AA7" s="84">
        <v>0.57740585774058573</v>
      </c>
      <c r="AB7" s="81" t="s">
        <v>197</v>
      </c>
      <c r="AC7" s="84">
        <v>0.43157894736842106</v>
      </c>
      <c r="AD7" s="81" t="s">
        <v>197</v>
      </c>
      <c r="AE7" s="84">
        <v>0.44859813084112149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274</v>
      </c>
      <c r="C8" s="80">
        <v>53.1</v>
      </c>
      <c r="D8" s="81" t="s">
        <v>171</v>
      </c>
      <c r="E8" s="93">
        <v>0.95765765765765765</v>
      </c>
      <c r="F8" s="81" t="s">
        <v>127</v>
      </c>
      <c r="G8" s="82">
        <v>1.946969696969697</v>
      </c>
      <c r="H8" s="81" t="s">
        <v>170</v>
      </c>
      <c r="I8" s="83">
        <v>0.39</v>
      </c>
      <c r="J8" s="81" t="s">
        <v>127</v>
      </c>
      <c r="K8" s="83">
        <v>0.29545454545454547</v>
      </c>
      <c r="L8" s="81" t="s">
        <v>141</v>
      </c>
      <c r="M8" s="84">
        <v>0.29535864978902954</v>
      </c>
      <c r="N8" s="81" t="s">
        <v>161</v>
      </c>
      <c r="O8" s="84">
        <v>0.16117850953206239</v>
      </c>
      <c r="P8" s="81" t="s">
        <v>281</v>
      </c>
      <c r="Q8" s="85">
        <v>8393.3333333333339</v>
      </c>
      <c r="R8" s="81" t="s">
        <v>161</v>
      </c>
      <c r="S8" s="85">
        <v>-7673.1182795698924</v>
      </c>
      <c r="T8" s="81" t="s">
        <v>161</v>
      </c>
      <c r="U8" s="83">
        <v>7.6923076923076927E-2</v>
      </c>
      <c r="V8" s="81" t="s">
        <v>126</v>
      </c>
      <c r="W8" s="84">
        <v>0.26973684210526316</v>
      </c>
      <c r="X8" s="81" t="s">
        <v>141</v>
      </c>
      <c r="Y8" s="84">
        <v>0.22849724115546902</v>
      </c>
      <c r="Z8" s="81" t="s">
        <v>141</v>
      </c>
      <c r="AA8" s="84">
        <v>0.55796178343949043</v>
      </c>
      <c r="AB8" s="81" t="s">
        <v>171</v>
      </c>
      <c r="AC8" s="84">
        <v>0.43076923076923079</v>
      </c>
      <c r="AD8" s="81" t="s">
        <v>171</v>
      </c>
      <c r="AE8" s="84">
        <v>0.44573643410852715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203</v>
      </c>
      <c r="C9" s="80">
        <v>26.2</v>
      </c>
      <c r="D9" s="81" t="s">
        <v>127</v>
      </c>
      <c r="E9" s="93">
        <v>0.68484848484848337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170</v>
      </c>
      <c r="K9" s="83">
        <v>0.32</v>
      </c>
      <c r="L9" s="81" t="s">
        <v>171</v>
      </c>
      <c r="M9" s="84">
        <v>0.29021372328458944</v>
      </c>
      <c r="N9" s="81" t="s">
        <v>141</v>
      </c>
      <c r="O9" s="84">
        <v>0.16358325219084713</v>
      </c>
      <c r="P9" s="81" t="s">
        <v>196</v>
      </c>
      <c r="Q9" s="85">
        <v>8385.7142857142862</v>
      </c>
      <c r="R9" s="81" t="s">
        <v>126</v>
      </c>
      <c r="S9" s="85">
        <v>-7691.9753086419751</v>
      </c>
      <c r="T9" s="81" t="s">
        <v>172</v>
      </c>
      <c r="U9" s="83">
        <v>8.0459770114942528E-2</v>
      </c>
      <c r="V9" s="81" t="s">
        <v>171</v>
      </c>
      <c r="W9" s="84">
        <v>0.26884139482564678</v>
      </c>
      <c r="X9" s="81" t="s">
        <v>197</v>
      </c>
      <c r="Y9" s="84">
        <v>0.22619047619047619</v>
      </c>
      <c r="Z9" s="81" t="s">
        <v>170</v>
      </c>
      <c r="AA9" s="84">
        <v>0.55731225296442688</v>
      </c>
      <c r="AB9" s="81" t="s">
        <v>141</v>
      </c>
      <c r="AC9" s="84">
        <v>0.42116477272727271</v>
      </c>
      <c r="AD9" s="81" t="s">
        <v>141</v>
      </c>
      <c r="AE9" s="84">
        <v>0.44175824175824174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141</v>
      </c>
      <c r="C10" s="80">
        <v>-3.5527136788005009E-14</v>
      </c>
      <c r="D10" s="81" t="s">
        <v>141</v>
      </c>
      <c r="E10" s="93">
        <v>-4.7944853964919043E-17</v>
      </c>
      <c r="F10" s="81" t="s">
        <v>171</v>
      </c>
      <c r="G10" s="82">
        <v>2.0180180180180178</v>
      </c>
      <c r="H10" s="81" t="s">
        <v>127</v>
      </c>
      <c r="I10" s="83">
        <v>0.34848484848484851</v>
      </c>
      <c r="J10" s="81" t="s">
        <v>141</v>
      </c>
      <c r="K10" s="83">
        <v>0.33333333333333331</v>
      </c>
      <c r="L10" s="81" t="s">
        <v>172</v>
      </c>
      <c r="M10" s="84">
        <v>0.28146143437077131</v>
      </c>
      <c r="N10" s="81" t="s">
        <v>196</v>
      </c>
      <c r="O10" s="84">
        <v>0.17499999999999999</v>
      </c>
      <c r="P10" s="81" t="s">
        <v>126</v>
      </c>
      <c r="Q10" s="85">
        <v>8157.4519230769229</v>
      </c>
      <c r="R10" s="81" t="s">
        <v>141</v>
      </c>
      <c r="S10" s="85">
        <v>-7757.2420634920636</v>
      </c>
      <c r="T10" s="81" t="s">
        <v>141</v>
      </c>
      <c r="U10" s="83">
        <v>9.8515519568151147E-2</v>
      </c>
      <c r="V10" s="81" t="s">
        <v>203</v>
      </c>
      <c r="W10" s="84">
        <v>0.26666666666666666</v>
      </c>
      <c r="X10" s="81" t="s">
        <v>171</v>
      </c>
      <c r="Y10" s="84">
        <v>0.21934758155230596</v>
      </c>
      <c r="Z10" s="81" t="s">
        <v>172</v>
      </c>
      <c r="AA10" s="84">
        <v>0.55502392344497609</v>
      </c>
      <c r="AB10" s="81" t="s">
        <v>172</v>
      </c>
      <c r="AC10" s="84">
        <v>0.41610738255033558</v>
      </c>
      <c r="AD10" s="81" t="s">
        <v>126</v>
      </c>
      <c r="AE10" s="84">
        <v>0.42067307692307693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196</v>
      </c>
      <c r="C11" s="80">
        <v>-45.7</v>
      </c>
      <c r="D11" s="81" t="s">
        <v>196</v>
      </c>
      <c r="E11" s="93">
        <v>-1.8280000000000001</v>
      </c>
      <c r="F11" s="81" t="s">
        <v>196</v>
      </c>
      <c r="G11" s="82">
        <v>2.04</v>
      </c>
      <c r="H11" s="81" t="s">
        <v>141</v>
      </c>
      <c r="I11" s="83">
        <v>0.33333333333333331</v>
      </c>
      <c r="J11" s="81" t="s">
        <v>280</v>
      </c>
      <c r="K11" s="83">
        <v>0.33333333333333331</v>
      </c>
      <c r="L11" s="81" t="s">
        <v>170</v>
      </c>
      <c r="M11" s="84">
        <v>0.27860696517412936</v>
      </c>
      <c r="N11" s="81" t="s">
        <v>170</v>
      </c>
      <c r="O11" s="84">
        <v>0.17537313432835822</v>
      </c>
      <c r="P11" s="81" t="s">
        <v>197</v>
      </c>
      <c r="Q11" s="85">
        <v>7961.6822429906542</v>
      </c>
      <c r="R11" s="81" t="s">
        <v>127</v>
      </c>
      <c r="S11" s="85">
        <v>-7874.8792270531403</v>
      </c>
      <c r="T11" s="81" t="s">
        <v>170</v>
      </c>
      <c r="U11" s="83">
        <v>0.11</v>
      </c>
      <c r="V11" s="81" t="s">
        <v>196</v>
      </c>
      <c r="W11" s="84">
        <v>0.25833333333333336</v>
      </c>
      <c r="X11" s="81" t="s">
        <v>172</v>
      </c>
      <c r="Y11" s="84">
        <v>0.20162381596752368</v>
      </c>
      <c r="Z11" s="81" t="s">
        <v>197</v>
      </c>
      <c r="AA11" s="84">
        <v>0.54022988505747127</v>
      </c>
      <c r="AB11" s="81" t="s">
        <v>161</v>
      </c>
      <c r="AC11" s="84">
        <v>0.40425531914893614</v>
      </c>
      <c r="AD11" s="81" t="s">
        <v>127</v>
      </c>
      <c r="AE11" s="84">
        <v>0.41492537313432837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280</v>
      </c>
      <c r="C12" s="80">
        <v>-66.400000000000006</v>
      </c>
      <c r="D12" s="81" t="s">
        <v>172</v>
      </c>
      <c r="E12" s="93">
        <v>-6.3172413793103468</v>
      </c>
      <c r="F12" s="81" t="s">
        <v>228</v>
      </c>
      <c r="G12" s="82">
        <v>2.1428571428571428</v>
      </c>
      <c r="H12" s="81" t="s">
        <v>161</v>
      </c>
      <c r="I12" s="83">
        <v>0.30769230769230771</v>
      </c>
      <c r="J12" s="81" t="s">
        <v>172</v>
      </c>
      <c r="K12" s="83">
        <v>0.37931034482758619</v>
      </c>
      <c r="L12" s="81" t="s">
        <v>161</v>
      </c>
      <c r="M12" s="84">
        <v>0.26689774696707108</v>
      </c>
      <c r="N12" s="81" t="s">
        <v>197</v>
      </c>
      <c r="O12" s="84">
        <v>0.18571428571428572</v>
      </c>
      <c r="P12" s="81" t="s">
        <v>172</v>
      </c>
      <c r="Q12" s="85">
        <v>7688.4615384615381</v>
      </c>
      <c r="R12" s="81" t="s">
        <v>281</v>
      </c>
      <c r="S12" s="85">
        <v>-7900</v>
      </c>
      <c r="T12" s="81" t="s">
        <v>196</v>
      </c>
      <c r="U12" s="83">
        <v>0.12</v>
      </c>
      <c r="V12" s="81" t="s">
        <v>141</v>
      </c>
      <c r="W12" s="84">
        <v>0.25478740668614086</v>
      </c>
      <c r="X12" s="81" t="s">
        <v>274</v>
      </c>
      <c r="Y12" s="84">
        <v>0.18421052631578946</v>
      </c>
      <c r="Z12" s="81" t="s">
        <v>228</v>
      </c>
      <c r="AA12" s="84">
        <v>0.53333333333333333</v>
      </c>
      <c r="AB12" s="81" t="s">
        <v>170</v>
      </c>
      <c r="AC12" s="84">
        <v>0.39393939393939392</v>
      </c>
      <c r="AD12" s="81" t="s">
        <v>274</v>
      </c>
      <c r="AE12" s="84">
        <v>0.4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228</v>
      </c>
      <c r="C13" s="80">
        <v>-104.80000000000001</v>
      </c>
      <c r="D13" s="81" t="s">
        <v>161</v>
      </c>
      <c r="E13" s="93">
        <v>-8.0953846153846172</v>
      </c>
      <c r="F13" s="81" t="s">
        <v>172</v>
      </c>
      <c r="G13" s="82">
        <v>2.1609195402298851</v>
      </c>
      <c r="H13" s="81" t="s">
        <v>171</v>
      </c>
      <c r="I13" s="83">
        <v>0.26126126126126126</v>
      </c>
      <c r="J13" s="81" t="s">
        <v>196</v>
      </c>
      <c r="K13" s="83">
        <v>0.4</v>
      </c>
      <c r="L13" s="81" t="s">
        <v>196</v>
      </c>
      <c r="M13" s="84">
        <v>0.26250000000000001</v>
      </c>
      <c r="N13" s="81" t="s">
        <v>127</v>
      </c>
      <c r="O13" s="84">
        <v>0.18682310469314078</v>
      </c>
      <c r="P13" s="81" t="s">
        <v>228</v>
      </c>
      <c r="Q13" s="85">
        <v>7473.333333333333</v>
      </c>
      <c r="R13" s="81" t="s">
        <v>203</v>
      </c>
      <c r="S13" s="85">
        <v>-8000</v>
      </c>
      <c r="T13" s="81" t="s">
        <v>127</v>
      </c>
      <c r="U13" s="83">
        <v>0.13636363636363635</v>
      </c>
      <c r="V13" s="81" t="s">
        <v>228</v>
      </c>
      <c r="W13" s="84">
        <v>0.24193548387096775</v>
      </c>
      <c r="X13" s="81" t="s">
        <v>281</v>
      </c>
      <c r="Y13" s="84">
        <v>0.16666666666666666</v>
      </c>
      <c r="Z13" s="81" t="s">
        <v>161</v>
      </c>
      <c r="AA13" s="84">
        <v>0.5</v>
      </c>
      <c r="AB13" s="81" t="s">
        <v>127</v>
      </c>
      <c r="AC13" s="84">
        <v>0.38165680473372782</v>
      </c>
      <c r="AD13" s="81" t="s">
        <v>161</v>
      </c>
      <c r="AE13" s="84">
        <v>0.38311688311688313</v>
      </c>
      <c r="AF13" s="81" t="s">
        <v>228</v>
      </c>
      <c r="AG13" s="88">
        <v>59500</v>
      </c>
    </row>
    <row r="14" spans="1:33" x14ac:dyDescent="0.45">
      <c r="A14" s="78">
        <v>12</v>
      </c>
      <c r="B14" s="79" t="s">
        <v>161</v>
      </c>
      <c r="C14" s="80">
        <v>-526.20000000000016</v>
      </c>
      <c r="D14" s="81" t="s">
        <v>197</v>
      </c>
      <c r="E14" s="93">
        <v>-11.598076923076924</v>
      </c>
      <c r="F14" s="81" t="s">
        <v>161</v>
      </c>
      <c r="G14" s="82">
        <v>2.1846153846153844</v>
      </c>
      <c r="H14" s="81" t="s">
        <v>172</v>
      </c>
      <c r="I14" s="83">
        <v>0.21839080459770116</v>
      </c>
      <c r="J14" s="81" t="s">
        <v>197</v>
      </c>
      <c r="K14" s="83">
        <v>0.48076923076923078</v>
      </c>
      <c r="L14" s="81" t="s">
        <v>197</v>
      </c>
      <c r="M14" s="84">
        <v>0.25476190476190474</v>
      </c>
      <c r="N14" s="81" t="s">
        <v>172</v>
      </c>
      <c r="O14" s="84">
        <v>0.18809201623815969</v>
      </c>
      <c r="P14" s="81" t="s">
        <v>203</v>
      </c>
      <c r="Q14" s="85">
        <v>7385.7142857142853</v>
      </c>
      <c r="R14" s="81" t="s">
        <v>197</v>
      </c>
      <c r="S14" s="85">
        <v>-8029.4871794871797</v>
      </c>
      <c r="T14" s="81" t="s">
        <v>197</v>
      </c>
      <c r="U14" s="83">
        <v>0.17307692307692307</v>
      </c>
      <c r="V14" s="81" t="s">
        <v>127</v>
      </c>
      <c r="W14" s="84">
        <v>0.2292418772563177</v>
      </c>
      <c r="X14" s="81" t="s">
        <v>280</v>
      </c>
      <c r="Y14" s="84">
        <v>0.16666666666666666</v>
      </c>
      <c r="Z14" s="81" t="s">
        <v>203</v>
      </c>
      <c r="AA14" s="84">
        <v>0.5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274</v>
      </c>
      <c r="AG14" s="88">
        <v>57700</v>
      </c>
    </row>
    <row r="15" spans="1:33" x14ac:dyDescent="0.45">
      <c r="A15" s="78">
        <v>13</v>
      </c>
      <c r="B15" s="79" t="s">
        <v>172</v>
      </c>
      <c r="C15" s="80">
        <v>-549.60000000000014</v>
      </c>
      <c r="D15" s="81" t="s">
        <v>228</v>
      </c>
      <c r="E15" s="93">
        <v>-14.971428571428573</v>
      </c>
      <c r="F15" s="81" t="s">
        <v>197</v>
      </c>
      <c r="G15" s="82">
        <v>2.3076923076923075</v>
      </c>
      <c r="H15" s="81" t="s">
        <v>197</v>
      </c>
      <c r="I15" s="83">
        <v>0.17307692307692307</v>
      </c>
      <c r="J15" s="81" t="s">
        <v>161</v>
      </c>
      <c r="K15" s="83">
        <v>0.49230769230769234</v>
      </c>
      <c r="L15" s="81" t="s">
        <v>228</v>
      </c>
      <c r="M15" s="84">
        <v>0.24193548387096775</v>
      </c>
      <c r="N15" s="81" t="s">
        <v>228</v>
      </c>
      <c r="O15" s="84">
        <v>0.19354838709677419</v>
      </c>
      <c r="P15" s="81" t="s">
        <v>161</v>
      </c>
      <c r="Q15" s="85">
        <v>7048.7012987012986</v>
      </c>
      <c r="R15" s="81" t="s">
        <v>170</v>
      </c>
      <c r="S15" s="85">
        <v>-8365.9574468085102</v>
      </c>
      <c r="T15" s="81" t="s">
        <v>280</v>
      </c>
      <c r="U15" s="83">
        <v>0.33333333333333331</v>
      </c>
      <c r="V15" s="81" t="s">
        <v>197</v>
      </c>
      <c r="W15" s="84">
        <v>0.20714285714285716</v>
      </c>
      <c r="X15" s="81" t="s">
        <v>170</v>
      </c>
      <c r="Y15" s="84">
        <v>0.16417910447761194</v>
      </c>
      <c r="Z15" s="81" t="s">
        <v>127</v>
      </c>
      <c r="AA15" s="84">
        <v>0.49606299212598426</v>
      </c>
      <c r="AB15" s="81" t="s">
        <v>228</v>
      </c>
      <c r="AC15" s="84">
        <v>0.27272727272727271</v>
      </c>
      <c r="AD15" s="81" t="s">
        <v>281</v>
      </c>
      <c r="AE15" s="84">
        <v>0.33333333333333331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197</v>
      </c>
      <c r="C16" s="80">
        <v>-603.1</v>
      </c>
      <c r="D16" s="81" t="s">
        <v>280</v>
      </c>
      <c r="E16" s="93">
        <v>-22.133333333333336</v>
      </c>
      <c r="F16" s="81" t="s">
        <v>280</v>
      </c>
      <c r="G16" s="82">
        <v>2.3333333333333335</v>
      </c>
      <c r="H16" s="81" t="s">
        <v>280</v>
      </c>
      <c r="I16" s="83">
        <v>0</v>
      </c>
      <c r="J16" s="81" t="s">
        <v>228</v>
      </c>
      <c r="K16" s="83">
        <v>0.5714285714285714</v>
      </c>
      <c r="L16" s="81" t="s">
        <v>280</v>
      </c>
      <c r="M16" s="84">
        <v>0.125</v>
      </c>
      <c r="N16" s="81" t="s">
        <v>280</v>
      </c>
      <c r="O16" s="84">
        <v>0.25</v>
      </c>
      <c r="P16" s="81" t="s">
        <v>274</v>
      </c>
      <c r="Q16" s="85">
        <v>6793.333333333333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0.14558058925476602</v>
      </c>
      <c r="X16" s="81" t="s">
        <v>196</v>
      </c>
      <c r="Y16" s="84">
        <v>0.15</v>
      </c>
      <c r="Z16" s="81" t="s">
        <v>280</v>
      </c>
      <c r="AA16" s="84">
        <v>0.25</v>
      </c>
      <c r="AB16" s="81" t="s">
        <v>280</v>
      </c>
      <c r="AC16" s="84">
        <v>0.25</v>
      </c>
      <c r="AD16" s="81" t="s">
        <v>203</v>
      </c>
      <c r="AE16" s="84">
        <v>0.2857142857142857</v>
      </c>
      <c r="AF16" s="81" t="s">
        <v>280</v>
      </c>
      <c r="AG16" s="88">
        <v>36300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4557-8680-4C68-9C14-24ABF1194E04}">
  <sheetPr codeName="Sheet4"/>
  <dimension ref="A1:Q74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60" t="s">
        <v>141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62">
        <v>741</v>
      </c>
      <c r="C2" s="163"/>
      <c r="E2" s="58" t="s">
        <v>66</v>
      </c>
      <c r="F2" s="55" t="s">
        <v>22</v>
      </c>
      <c r="G2" s="43">
        <v>1389</v>
      </c>
      <c r="H2" s="128">
        <f>IF(B$15=0,0,G2/B$15)</f>
        <v>0.76318681318681314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-27.100271002710027</v>
      </c>
      <c r="P2" s="114">
        <v>738</v>
      </c>
      <c r="Q2" s="98">
        <v>-20000</v>
      </c>
    </row>
    <row r="3" spans="1:17" x14ac:dyDescent="0.45">
      <c r="A3" s="51" t="s">
        <v>8</v>
      </c>
      <c r="B3" s="164">
        <v>6162</v>
      </c>
      <c r="C3" s="165"/>
      <c r="E3" s="59" t="s">
        <v>72</v>
      </c>
      <c r="F3" s="56" t="s">
        <v>27</v>
      </c>
      <c r="G3" s="44">
        <v>975</v>
      </c>
      <c r="H3" s="129">
        <f>IF(B$15=0,0,G3/B$15)</f>
        <v>0.5357142857142857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12.396694214876034</v>
      </c>
      <c r="P3" s="115">
        <v>726</v>
      </c>
      <c r="Q3" s="99">
        <v>9000</v>
      </c>
    </row>
    <row r="4" spans="1:17" x14ac:dyDescent="0.45">
      <c r="A4" s="51" t="s">
        <v>6</v>
      </c>
      <c r="B4" s="166">
        <v>-3.5527136788005009E-14</v>
      </c>
      <c r="C4" s="167"/>
      <c r="E4" s="59" t="s">
        <v>64</v>
      </c>
      <c r="F4" s="56" t="s">
        <v>20</v>
      </c>
      <c r="G4" s="44">
        <v>846</v>
      </c>
      <c r="H4" s="129">
        <f>IF(B$15=0,0,G4/B$15)</f>
        <v>0.46483516483516485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-10.279001468428781</v>
      </c>
      <c r="P4" s="115">
        <v>681</v>
      </c>
      <c r="Q4" s="99">
        <v>-7000</v>
      </c>
    </row>
    <row r="5" spans="1:17" x14ac:dyDescent="0.45">
      <c r="A5" s="51" t="s">
        <v>7</v>
      </c>
      <c r="B5" s="168">
        <f>IF(B$2=0,0,B$4/B$2)</f>
        <v>-4.7944853964919043E-17</v>
      </c>
      <c r="C5" s="169"/>
      <c r="E5" s="59" t="s">
        <v>166</v>
      </c>
      <c r="F5" s="56" t="s">
        <v>167</v>
      </c>
      <c r="G5" s="44">
        <v>723</v>
      </c>
      <c r="H5" s="129">
        <f>IF(B$15=0,0,G5/B$15)</f>
        <v>0.39725274725274723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9.3457943925233646</v>
      </c>
      <c r="P5" s="115">
        <v>642</v>
      </c>
      <c r="Q5" s="99">
        <v>6000</v>
      </c>
    </row>
    <row r="6" spans="1:17" x14ac:dyDescent="0.45">
      <c r="A6" s="51" t="s">
        <v>1</v>
      </c>
      <c r="B6" s="158">
        <f>IF(B$2=0,0,(B$7*1+B$8*2+B$9*3)/B$2)</f>
        <v>2</v>
      </c>
      <c r="C6" s="159"/>
      <c r="E6" s="59" t="s">
        <v>68</v>
      </c>
      <c r="F6" s="56" t="s">
        <v>12</v>
      </c>
      <c r="G6" s="44">
        <v>562</v>
      </c>
      <c r="H6" s="129">
        <f>IF(B$15=0,0,G6/B$15)</f>
        <v>0.3087912087912088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8.5034013605442169</v>
      </c>
      <c r="P6" s="115">
        <v>588</v>
      </c>
      <c r="Q6" s="99">
        <v>5000</v>
      </c>
    </row>
    <row r="7" spans="1:17" x14ac:dyDescent="0.45">
      <c r="A7" s="51" t="s">
        <v>2</v>
      </c>
      <c r="B7" s="44">
        <v>247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522</v>
      </c>
      <c r="H7" s="129">
        <f>IF(B$15=0,0,G7/B$15)</f>
        <v>0.28681318681318679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12.269938650306749</v>
      </c>
      <c r="P7" s="116">
        <v>489</v>
      </c>
      <c r="Q7" s="100">
        <v>6000</v>
      </c>
    </row>
    <row r="8" spans="1:17" x14ac:dyDescent="0.45">
      <c r="A8" s="51" t="s">
        <v>3</v>
      </c>
      <c r="B8" s="44">
        <v>247</v>
      </c>
      <c r="C8" s="37">
        <f t="shared" si="1"/>
        <v>0.33333333333333331</v>
      </c>
      <c r="E8" s="59" t="s">
        <v>69</v>
      </c>
      <c r="F8" s="56" t="s">
        <v>24</v>
      </c>
      <c r="G8" s="44">
        <v>269</v>
      </c>
      <c r="H8" s="129">
        <f>IF(B$15=0,0,G8/B$15)</f>
        <v>0.1478021978021978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247</v>
      </c>
      <c r="C9" s="38">
        <f t="shared" si="1"/>
        <v>0.33333333333333331</v>
      </c>
      <c r="E9" s="59" t="s">
        <v>89</v>
      </c>
      <c r="F9" s="56" t="s">
        <v>44</v>
      </c>
      <c r="G9" s="44">
        <v>242</v>
      </c>
      <c r="H9" s="129">
        <f>IF(B$15=0,0,G9/B$15)</f>
        <v>0.13296703296703297</v>
      </c>
      <c r="I9" s="90">
        <v>8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73</v>
      </c>
      <c r="C10" s="40">
        <f t="shared" si="1"/>
        <v>9.8515519568151147E-2</v>
      </c>
      <c r="E10" s="59" t="s">
        <v>65</v>
      </c>
      <c r="F10" s="56" t="s">
        <v>21</v>
      </c>
      <c r="G10" s="44">
        <v>195</v>
      </c>
      <c r="H10" s="129">
        <f>IF(B$15=0,0,G10/B$15)</f>
        <v>0.10714285714285714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-1.9631578947368427</v>
      </c>
      <c r="P10" s="114">
        <v>247</v>
      </c>
      <c r="Q10" s="102">
        <v>-484.90000000000015</v>
      </c>
    </row>
    <row r="11" spans="1:17" x14ac:dyDescent="0.45">
      <c r="A11" s="54" t="s">
        <v>121</v>
      </c>
      <c r="B11" s="47">
        <v>1570</v>
      </c>
      <c r="C11" s="42">
        <f>IF(B$3=0,0,B11/B$3)</f>
        <v>0.25478740668614086</v>
      </c>
      <c r="E11" s="59" t="s">
        <v>70</v>
      </c>
      <c r="F11" s="56" t="s">
        <v>25</v>
      </c>
      <c r="G11" s="44">
        <v>167</v>
      </c>
      <c r="H11" s="129">
        <f>IF(B$15=0,0,G11/B$15)</f>
        <v>9.1758241758241751E-2</v>
      </c>
      <c r="I11" s="90">
        <v>8</v>
      </c>
      <c r="K11" s="36">
        <v>9</v>
      </c>
      <c r="L11" s="95">
        <v>0</v>
      </c>
      <c r="N11" s="111" t="s">
        <v>158</v>
      </c>
      <c r="O11" s="121">
        <f>IF(P11=0,0,Q11/P11)</f>
        <v>0.80890688259109311</v>
      </c>
      <c r="P11" s="115">
        <v>247</v>
      </c>
      <c r="Q11" s="103">
        <v>199.8</v>
      </c>
    </row>
    <row r="12" spans="1:17" x14ac:dyDescent="0.45">
      <c r="A12" s="51" t="s">
        <v>118</v>
      </c>
      <c r="B12" s="44">
        <v>1408</v>
      </c>
      <c r="C12" s="37">
        <f>IF(B$3=0,0,B12/B$3)</f>
        <v>0.22849724115546902</v>
      </c>
      <c r="E12" s="59" t="s">
        <v>71</v>
      </c>
      <c r="F12" s="56" t="s">
        <v>26</v>
      </c>
      <c r="G12" s="44">
        <v>144</v>
      </c>
      <c r="H12" s="129">
        <f>IF(B$15=0,0,G12/B$15)</f>
        <v>7.9120879120879117E-2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1.1542510121457485</v>
      </c>
      <c r="P12" s="116">
        <v>247</v>
      </c>
      <c r="Q12" s="104">
        <v>285.09999999999991</v>
      </c>
    </row>
    <row r="13" spans="1:17" x14ac:dyDescent="0.45">
      <c r="A13" s="50" t="s">
        <v>123</v>
      </c>
      <c r="B13" s="43">
        <f>B19</f>
        <v>876</v>
      </c>
      <c r="C13" s="35">
        <f>IF(B$11=0,0,B13/B$11)</f>
        <v>0.55796178343949043</v>
      </c>
      <c r="E13" s="59" t="s">
        <v>86</v>
      </c>
      <c r="F13" s="56" t="s">
        <v>41</v>
      </c>
      <c r="G13" s="44">
        <v>97</v>
      </c>
      <c r="H13" s="129">
        <f>IF(B$15=0,0,G13/B$15)</f>
        <v>5.3296703296703295E-2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593</v>
      </c>
      <c r="C14" s="35">
        <f>IF(B$12=0,0,B14/B$12)</f>
        <v>0.42116477272727271</v>
      </c>
      <c r="E14" s="59" t="s">
        <v>83</v>
      </c>
      <c r="F14" s="56" t="s">
        <v>38</v>
      </c>
      <c r="G14" s="44">
        <v>92</v>
      </c>
      <c r="H14" s="129">
        <f>IF(B$15=0,0,G14/B$15)</f>
        <v>5.054945054945055E-2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1820</v>
      </c>
      <c r="C15" s="35">
        <f>IF(B$3=0,0,B15/B$3)</f>
        <v>0.29535864978902954</v>
      </c>
      <c r="E15" s="59" t="s">
        <v>162</v>
      </c>
      <c r="F15" s="56" t="s">
        <v>163</v>
      </c>
      <c r="G15" s="44">
        <v>44</v>
      </c>
      <c r="H15" s="129">
        <f>IF(B$15=0,0,G15/B$15)</f>
        <v>2.4175824175824177E-2</v>
      </c>
      <c r="I15" s="90">
        <v>3</v>
      </c>
      <c r="K15" s="36">
        <v>13</v>
      </c>
      <c r="L15" s="95">
        <v>-1.7</v>
      </c>
      <c r="N15" s="110" t="s">
        <v>280</v>
      </c>
      <c r="O15" s="120">
        <f>IF(P15=0,0,Q15/P15)</f>
        <v>33.20000000000001</v>
      </c>
      <c r="P15" s="114">
        <v>6</v>
      </c>
      <c r="Q15" s="102">
        <v>199.20000000000005</v>
      </c>
    </row>
    <row r="16" spans="1:17" x14ac:dyDescent="0.45">
      <c r="A16" s="51" t="s">
        <v>13</v>
      </c>
      <c r="B16" s="44">
        <v>1008</v>
      </c>
      <c r="C16" s="37">
        <f>IF(B$3=0,0,B16/B$3)</f>
        <v>0.16358325219084713</v>
      </c>
      <c r="E16" s="59" t="s">
        <v>78</v>
      </c>
      <c r="F16" s="56" t="s">
        <v>33</v>
      </c>
      <c r="G16" s="44">
        <v>43</v>
      </c>
      <c r="H16" s="129">
        <f>IF(B$15=0,0,G16/B$15)</f>
        <v>2.3626373626373626E-2</v>
      </c>
      <c r="I16" s="90">
        <v>6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804</v>
      </c>
      <c r="C17" s="37">
        <f>IF(B$15=0,0,B17/B$15)</f>
        <v>0.44175824175824174</v>
      </c>
      <c r="E17" s="59" t="s">
        <v>81</v>
      </c>
      <c r="F17" s="56" t="s">
        <v>36</v>
      </c>
      <c r="G17" s="44">
        <v>32</v>
      </c>
      <c r="H17" s="129">
        <f>IF(B$15=0,0,G17/B$15)</f>
        <v>1.7582417582417582E-2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17.397115384615372</v>
      </c>
      <c r="P17" s="115">
        <v>104</v>
      </c>
      <c r="Q17" s="103">
        <v>1809.2999999999986</v>
      </c>
    </row>
    <row r="18" spans="1:17" x14ac:dyDescent="0.45">
      <c r="A18" s="51" t="s">
        <v>11</v>
      </c>
      <c r="B18" s="44">
        <v>1016</v>
      </c>
      <c r="C18" s="37">
        <f>IF(B$15=0,0,B18/B$15)</f>
        <v>0.55824175824175826</v>
      </c>
      <c r="E18" s="59" t="s">
        <v>91</v>
      </c>
      <c r="F18" s="56" t="s">
        <v>46</v>
      </c>
      <c r="G18" s="44">
        <v>25</v>
      </c>
      <c r="H18" s="129">
        <f>IF(B$15=0,0,G18/B$15)</f>
        <v>1.3736263736263736E-2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9.4758620689655135</v>
      </c>
      <c r="P18" s="115">
        <v>174</v>
      </c>
      <c r="Q18" s="103">
        <v>1648.7999999999993</v>
      </c>
    </row>
    <row r="19" spans="1:17" x14ac:dyDescent="0.45">
      <c r="A19" s="51" t="s">
        <v>195</v>
      </c>
      <c r="B19" s="44">
        <v>876</v>
      </c>
      <c r="C19" s="37">
        <f>IF(B$15=0,0,B19/B$15)</f>
        <v>0.48131868131868133</v>
      </c>
      <c r="E19" s="59" t="s">
        <v>79</v>
      </c>
      <c r="F19" s="56" t="s">
        <v>34</v>
      </c>
      <c r="G19" s="44">
        <v>24</v>
      </c>
      <c r="H19" s="129">
        <f>IF(B$15=0,0,G19/B$15)</f>
        <v>1.3186813186813187E-2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9.0499999999999954</v>
      </c>
      <c r="P19" s="115">
        <v>138</v>
      </c>
      <c r="Q19" s="103">
        <v>1248.8999999999994</v>
      </c>
    </row>
    <row r="20" spans="1:17" x14ac:dyDescent="0.45">
      <c r="A20" s="51" t="s">
        <v>193</v>
      </c>
      <c r="B20" s="44">
        <v>593</v>
      </c>
      <c r="C20" s="37">
        <f>IF(B$15=0,0,B20/B$15)</f>
        <v>0.32582417582417583</v>
      </c>
      <c r="E20" s="59" t="s">
        <v>75</v>
      </c>
      <c r="F20" s="56" t="s">
        <v>30</v>
      </c>
      <c r="G20" s="44">
        <v>13</v>
      </c>
      <c r="H20" s="129">
        <f>IF(B$15=0,0,G20/B$15)</f>
        <v>7.1428571428571426E-3</v>
      </c>
      <c r="I20" s="90">
        <v>4</v>
      </c>
      <c r="K20" s="36">
        <v>18</v>
      </c>
      <c r="L20" s="95">
        <v>0</v>
      </c>
      <c r="N20" s="111" t="s">
        <v>196</v>
      </c>
      <c r="O20" s="121">
        <f>IF(P20=0,0,Q20/P20)</f>
        <v>2.742</v>
      </c>
      <c r="P20" s="115">
        <v>50</v>
      </c>
      <c r="Q20" s="103">
        <v>137.1</v>
      </c>
    </row>
    <row r="21" spans="1:17" x14ac:dyDescent="0.45">
      <c r="A21" s="51" t="s">
        <v>194</v>
      </c>
      <c r="B21" s="44">
        <v>351</v>
      </c>
      <c r="C21" s="37">
        <f>IF(B$15=0,0,B21/B$15)</f>
        <v>0.19285714285714287</v>
      </c>
      <c r="E21" s="59" t="s">
        <v>92</v>
      </c>
      <c r="F21" s="56" t="s">
        <v>47</v>
      </c>
      <c r="G21" s="44">
        <v>11</v>
      </c>
      <c r="H21" s="129">
        <f>IF(B$15=0,0,G21/B$15)</f>
        <v>6.0439560439560442E-3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-1.0272727272727318</v>
      </c>
      <c r="P21" s="115">
        <v>264</v>
      </c>
      <c r="Q21" s="103">
        <v>-271.20000000000118</v>
      </c>
    </row>
    <row r="22" spans="1:17" x14ac:dyDescent="0.45">
      <c r="A22" s="51" t="s">
        <v>5</v>
      </c>
      <c r="B22" s="48">
        <f>IF(B$15=0,0,C22/B$15)</f>
        <v>8426.2637362637361</v>
      </c>
      <c r="C22" s="39">
        <v>15335800</v>
      </c>
      <c r="E22" s="59" t="s">
        <v>73</v>
      </c>
      <c r="F22" s="56" t="s">
        <v>28</v>
      </c>
      <c r="G22" s="44">
        <v>8</v>
      </c>
      <c r="H22" s="129">
        <f>IF(B$15=0,0,G22/B$15)</f>
        <v>4.3956043956043956E-3</v>
      </c>
      <c r="I22" s="90">
        <v>3</v>
      </c>
      <c r="K22" s="36">
        <v>20</v>
      </c>
      <c r="L22" s="95">
        <v>-61.199999999999996</v>
      </c>
      <c r="N22" s="111" t="s">
        <v>171</v>
      </c>
      <c r="O22" s="121">
        <f>IF(P22=0,0,Q22/P22)</f>
        <v>-1.4364864864864872</v>
      </c>
      <c r="P22" s="115">
        <v>222</v>
      </c>
      <c r="Q22" s="103">
        <v>-318.90000000000015</v>
      </c>
    </row>
    <row r="23" spans="1:17" x14ac:dyDescent="0.45">
      <c r="A23" s="52" t="s">
        <v>177</v>
      </c>
      <c r="B23" s="136">
        <f>IF($B$15-B$14=0,0,C23/($B$15-B$14))</f>
        <v>9068.8671556642221</v>
      </c>
      <c r="C23" s="137">
        <v>11127500</v>
      </c>
      <c r="E23" s="59" t="s">
        <v>84</v>
      </c>
      <c r="F23" s="56" t="s">
        <v>39</v>
      </c>
      <c r="G23" s="44">
        <v>7</v>
      </c>
      <c r="H23" s="129">
        <f>IF(B$15=0,0,G23/B$15)</f>
        <v>3.8461538461538464E-3</v>
      </c>
      <c r="I23" s="90">
        <v>4</v>
      </c>
      <c r="K23" s="36">
        <v>21</v>
      </c>
      <c r="L23" s="95">
        <v>7.1054273576010019E-15</v>
      </c>
      <c r="N23" s="111" t="s">
        <v>170</v>
      </c>
      <c r="O23" s="121">
        <f>IF(P23=0,0,Q23/P23)</f>
        <v>-5.2544999999999966</v>
      </c>
      <c r="P23" s="115">
        <v>200</v>
      </c>
      <c r="Q23" s="103">
        <v>-1050.8999999999994</v>
      </c>
    </row>
    <row r="24" spans="1:17" x14ac:dyDescent="0.45">
      <c r="A24" s="52" t="s">
        <v>178</v>
      </c>
      <c r="B24" s="136">
        <f>IF(B$14=0,0,C24/B$14)</f>
        <v>7096.6273187183815</v>
      </c>
      <c r="C24" s="137">
        <v>4208300</v>
      </c>
      <c r="E24" s="59" t="s">
        <v>85</v>
      </c>
      <c r="F24" s="56" t="s">
        <v>40</v>
      </c>
      <c r="G24" s="44">
        <v>7</v>
      </c>
      <c r="H24" s="129">
        <f>IF(B$15=0,0,G24/B$15)</f>
        <v>3.8461538461538464E-3</v>
      </c>
      <c r="I24" s="90">
        <v>6</v>
      </c>
      <c r="K24" s="36">
        <v>22</v>
      </c>
      <c r="L24" s="95">
        <v>-25.099999999999994</v>
      </c>
      <c r="N24" s="111" t="s">
        <v>126</v>
      </c>
      <c r="O24" s="121">
        <f>IF(P24=0,0,Q24/P24)</f>
        <v>-11.673825503355697</v>
      </c>
      <c r="P24" s="115">
        <v>298</v>
      </c>
      <c r="Q24" s="103">
        <v>-3478.7999999999979</v>
      </c>
    </row>
    <row r="25" spans="1:17" x14ac:dyDescent="0.45">
      <c r="A25" s="52" t="s">
        <v>176</v>
      </c>
      <c r="B25" s="136">
        <f>IF(B$16=0,0,C25/B$16)</f>
        <v>-7757.2420634920636</v>
      </c>
      <c r="C25" s="137">
        <v>-7819300</v>
      </c>
      <c r="E25" s="59" t="s">
        <v>74</v>
      </c>
      <c r="F25" s="56" t="s">
        <v>29</v>
      </c>
      <c r="G25" s="44">
        <v>6</v>
      </c>
      <c r="H25" s="129">
        <f>IF(B$15=0,0,G25/B$15)</f>
        <v>3.2967032967032967E-3</v>
      </c>
      <c r="I25" s="90">
        <v>5</v>
      </c>
      <c r="K25" s="36">
        <v>23</v>
      </c>
      <c r="L25" s="95">
        <v>-26.799999999999994</v>
      </c>
      <c r="N25" s="111" t="s">
        <v>203</v>
      </c>
      <c r="O25" s="121">
        <f>IF(P25=0,0,Q25/P25)</f>
        <v>-19.650000000000006</v>
      </c>
      <c r="P25" s="115">
        <v>4</v>
      </c>
      <c r="Q25" s="103">
        <v>-78.600000000000023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5</v>
      </c>
      <c r="H26" s="129">
        <f>IF(B$15=0,0,G26/B$15)</f>
        <v>2.7472527472527475E-3</v>
      </c>
      <c r="I26" s="90">
        <v>4</v>
      </c>
      <c r="K26" s="36">
        <v>24</v>
      </c>
      <c r="L26" s="95">
        <v>7.1054273576010019E-15</v>
      </c>
      <c r="N26" s="111" t="s">
        <v>274</v>
      </c>
      <c r="O26" s="121">
        <f>IF(P26=0,0,Q26/P26)</f>
        <v>-19.912500000000001</v>
      </c>
      <c r="P26" s="115">
        <v>8</v>
      </c>
      <c r="Q26" s="103">
        <v>-159.30000000000001</v>
      </c>
    </row>
    <row r="27" spans="1:17" x14ac:dyDescent="0.45">
      <c r="A27" s="51" t="s">
        <v>165</v>
      </c>
      <c r="B27" s="44">
        <v>31</v>
      </c>
      <c r="C27" s="131">
        <v>0</v>
      </c>
      <c r="E27" s="59" t="s">
        <v>88</v>
      </c>
      <c r="F27" s="56" t="s">
        <v>43</v>
      </c>
      <c r="G27" s="44">
        <v>5</v>
      </c>
      <c r="H27" s="129">
        <f>IF(B$15=0,0,G27/B$15)</f>
        <v>2.7472527472527475E-3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56">
        <v>8</v>
      </c>
      <c r="C28" s="157"/>
      <c r="E28" s="59" t="s">
        <v>90</v>
      </c>
      <c r="F28" s="56" t="s">
        <v>45</v>
      </c>
      <c r="G28" s="44">
        <v>4</v>
      </c>
      <c r="H28" s="129">
        <f>IF(B$15=0,0,G28/B$15)</f>
        <v>2.1978021978021978E-3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54">
        <v>149100</v>
      </c>
      <c r="C29" s="155"/>
      <c r="E29" s="59" t="s">
        <v>95</v>
      </c>
      <c r="F29" s="56" t="s">
        <v>50</v>
      </c>
      <c r="G29" s="44">
        <v>4</v>
      </c>
      <c r="H29" s="129">
        <f>IF(B$15=0,0,G29/B$15)</f>
        <v>2.1978021978021978E-3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16</v>
      </c>
      <c r="C30" s="40">
        <f>IF(B$3=0,0,B30/B$3)</f>
        <v>2.596559558584875E-3</v>
      </c>
      <c r="E30" s="59" t="s">
        <v>87</v>
      </c>
      <c r="F30" s="56" t="s">
        <v>42</v>
      </c>
      <c r="G30" s="44">
        <v>3</v>
      </c>
      <c r="H30" s="129">
        <f>IF(B$15=0,0,G30/B$15)</f>
        <v>1.6483516483516484E-3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93</v>
      </c>
      <c r="F31" s="56" t="s">
        <v>48</v>
      </c>
      <c r="G31" s="44">
        <v>3</v>
      </c>
      <c r="H31" s="129">
        <f>IF(B$15=0,0,G31/B$15)</f>
        <v>1.6483516483516484E-3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139</v>
      </c>
      <c r="C32" s="141">
        <f>IF(B$15=0,0,B32/B$15)</f>
        <v>7.637362637362638E-2</v>
      </c>
      <c r="E32" s="59" t="s">
        <v>97</v>
      </c>
      <c r="F32" s="56" t="s">
        <v>52</v>
      </c>
      <c r="G32" s="44">
        <v>1</v>
      </c>
      <c r="H32" s="129">
        <f>IF(B$15=0,0,G32/B$15)</f>
        <v>5.4945054945054945E-4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305</v>
      </c>
      <c r="C33" s="37">
        <f t="shared" ref="C33:C44" si="2">IF(B$15=0,0,B33/B$15)</f>
        <v>0.16758241758241757</v>
      </c>
      <c r="E33" s="59" t="s">
        <v>101</v>
      </c>
      <c r="F33" s="56" t="s">
        <v>56</v>
      </c>
      <c r="G33" s="44">
        <v>1</v>
      </c>
      <c r="H33" s="129">
        <f>IF(B$15=0,0,G33/B$15)</f>
        <v>5.4945054945054945E-4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358</v>
      </c>
      <c r="C34" s="37">
        <f>IF(B$15=0,0,B34/B$15)</f>
        <v>0.1967032967032967</v>
      </c>
      <c r="E34" s="59" t="s">
        <v>106</v>
      </c>
      <c r="F34" s="56" t="s">
        <v>113</v>
      </c>
      <c r="G34" s="44">
        <v>1</v>
      </c>
      <c r="H34" s="129">
        <f>IF(B$15=0,0,G34/B$15)</f>
        <v>5.4945054945054945E-4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320</v>
      </c>
      <c r="C35" s="37">
        <f t="shared" si="2"/>
        <v>0.17582417582417584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294</v>
      </c>
      <c r="C36" s="37">
        <f t="shared" si="2"/>
        <v>0.16153846153846155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192</v>
      </c>
      <c r="C37" s="37">
        <f t="shared" si="2"/>
        <v>0.10549450549450549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98</v>
      </c>
      <c r="C38" s="37">
        <f t="shared" si="2"/>
        <v>5.3846153846153849E-2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52</v>
      </c>
      <c r="C39" s="37">
        <f t="shared" si="2"/>
        <v>2.8571428571428571E-2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22</v>
      </c>
      <c r="C40" s="37">
        <f t="shared" si="2"/>
        <v>1.2087912087912088E-2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3.8461538461538464E-3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3.2967032967032967E-3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3.2967032967032967E-3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21</v>
      </c>
      <c r="C44" s="40">
        <f t="shared" si="2"/>
        <v>1.1538461538461539E-2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00CF-74A8-42FF-AB0B-83A1F20C2F6E}">
  <sheetPr codeName="Sheet7"/>
  <dimension ref="A1:Q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60" t="s">
        <v>161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62">
        <v>65</v>
      </c>
      <c r="C2" s="163"/>
      <c r="E2" s="58" t="s">
        <v>66</v>
      </c>
      <c r="F2" s="55" t="s">
        <v>22</v>
      </c>
      <c r="G2" s="43">
        <v>116</v>
      </c>
      <c r="H2" s="128">
        <f>IF(B$15=0,0,G2/B$15)</f>
        <v>0.75324675324675328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1363.0769230769231</v>
      </c>
      <c r="P2" s="114">
        <v>65</v>
      </c>
      <c r="Q2" s="98">
        <v>88600</v>
      </c>
    </row>
    <row r="3" spans="1:17" x14ac:dyDescent="0.45">
      <c r="A3" s="51" t="s">
        <v>8</v>
      </c>
      <c r="B3" s="164">
        <v>577</v>
      </c>
      <c r="C3" s="165"/>
      <c r="E3" s="59" t="s">
        <v>72</v>
      </c>
      <c r="F3" s="56" t="s">
        <v>27</v>
      </c>
      <c r="G3" s="44">
        <v>87</v>
      </c>
      <c r="H3" s="129">
        <f>IF(B$15=0,0,G3/B$15)</f>
        <v>0.56493506493506496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-2112.5</v>
      </c>
      <c r="P3" s="115">
        <v>64</v>
      </c>
      <c r="Q3" s="99">
        <v>-135200</v>
      </c>
    </row>
    <row r="4" spans="1:17" x14ac:dyDescent="0.45">
      <c r="A4" s="51" t="s">
        <v>6</v>
      </c>
      <c r="B4" s="166">
        <v>-526.20000000000016</v>
      </c>
      <c r="C4" s="167"/>
      <c r="E4" s="59" t="s">
        <v>166</v>
      </c>
      <c r="F4" s="56" t="s">
        <v>167</v>
      </c>
      <c r="G4" s="44">
        <v>63</v>
      </c>
      <c r="H4" s="129">
        <f>IF(B$15=0,0,G4/B$15)</f>
        <v>0.40909090909090912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-1511.2903225806451</v>
      </c>
      <c r="P4" s="115">
        <v>62</v>
      </c>
      <c r="Q4" s="99">
        <v>-93700</v>
      </c>
    </row>
    <row r="5" spans="1:17" x14ac:dyDescent="0.45">
      <c r="A5" s="51" t="s">
        <v>7</v>
      </c>
      <c r="B5" s="168">
        <f>IF(B$2=0,0,B$4/B$2)</f>
        <v>-8.0953846153846172</v>
      </c>
      <c r="C5" s="169"/>
      <c r="E5" s="59" t="s">
        <v>64</v>
      </c>
      <c r="F5" s="56" t="s">
        <v>20</v>
      </c>
      <c r="G5" s="44">
        <v>41</v>
      </c>
      <c r="H5" s="129">
        <f>IF(B$15=0,0,G5/B$15)</f>
        <v>0.26623376623376621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-1355.1724137931035</v>
      </c>
      <c r="P5" s="115">
        <v>58</v>
      </c>
      <c r="Q5" s="99">
        <v>-78600</v>
      </c>
    </row>
    <row r="6" spans="1:17" x14ac:dyDescent="0.45">
      <c r="A6" s="51" t="s">
        <v>1</v>
      </c>
      <c r="B6" s="158">
        <f>IF(B$2=0,0,(B$7*1+B$8*2+B$9*3)/B$2)</f>
        <v>2.1846153846153844</v>
      </c>
      <c r="C6" s="159"/>
      <c r="E6" s="59" t="s">
        <v>68</v>
      </c>
      <c r="F6" s="56" t="s">
        <v>12</v>
      </c>
      <c r="G6" s="44">
        <v>39</v>
      </c>
      <c r="H6" s="129">
        <f>IF(B$15=0,0,G6/B$15)</f>
        <v>0.25324675324675322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-221.05263157894737</v>
      </c>
      <c r="P6" s="115">
        <v>57</v>
      </c>
      <c r="Q6" s="99">
        <v>-12600</v>
      </c>
    </row>
    <row r="7" spans="1:17" x14ac:dyDescent="0.45">
      <c r="A7" s="51" t="s">
        <v>2</v>
      </c>
      <c r="B7" s="44">
        <v>20</v>
      </c>
      <c r="C7" s="37">
        <f t="shared" ref="C7:C10" si="1">IF(B$2=0,0,B7/B$2)</f>
        <v>0.30769230769230771</v>
      </c>
      <c r="E7" s="59" t="s">
        <v>69</v>
      </c>
      <c r="F7" s="56" t="s">
        <v>24</v>
      </c>
      <c r="G7" s="44">
        <v>30</v>
      </c>
      <c r="H7" s="129">
        <f>IF(B$15=0,0,G7/B$15)</f>
        <v>0.19480519480519481</v>
      </c>
      <c r="I7" s="90">
        <v>5</v>
      </c>
      <c r="K7" s="36">
        <v>5</v>
      </c>
      <c r="L7" s="95">
        <v>-55.8</v>
      </c>
      <c r="N7" s="112" t="s">
        <v>135</v>
      </c>
      <c r="O7" s="119">
        <f t="shared" si="0"/>
        <v>-2379.591836734694</v>
      </c>
      <c r="P7" s="116">
        <v>49</v>
      </c>
      <c r="Q7" s="100">
        <v>-116600</v>
      </c>
    </row>
    <row r="8" spans="1:17" x14ac:dyDescent="0.45">
      <c r="A8" s="51" t="s">
        <v>3</v>
      </c>
      <c r="B8" s="44">
        <v>13</v>
      </c>
      <c r="C8" s="37">
        <f t="shared" si="1"/>
        <v>0.2</v>
      </c>
      <c r="E8" s="59" t="s">
        <v>67</v>
      </c>
      <c r="F8" s="56" t="s">
        <v>23</v>
      </c>
      <c r="G8" s="44">
        <v>23</v>
      </c>
      <c r="H8" s="129">
        <f>IF(B$15=0,0,G8/B$15)</f>
        <v>0.14935064935064934</v>
      </c>
      <c r="I8" s="90">
        <v>14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0.49230769230769234</v>
      </c>
      <c r="E9" s="59" t="s">
        <v>70</v>
      </c>
      <c r="F9" s="56" t="s">
        <v>25</v>
      </c>
      <c r="G9" s="44">
        <v>19</v>
      </c>
      <c r="H9" s="129">
        <f>IF(B$15=0,0,G9/B$15)</f>
        <v>0.12337662337662338</v>
      </c>
      <c r="I9" s="90">
        <v>4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7.6923076923076927E-2</v>
      </c>
      <c r="E10" s="59" t="s">
        <v>71</v>
      </c>
      <c r="F10" s="56" t="s">
        <v>26</v>
      </c>
      <c r="G10" s="44">
        <v>16</v>
      </c>
      <c r="H10" s="129">
        <f>IF(B$15=0,0,G10/B$15)</f>
        <v>0.1038961038961039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-12.975999999999999</v>
      </c>
      <c r="P10" s="114">
        <v>25</v>
      </c>
      <c r="Q10" s="102">
        <v>-324.39999999999998</v>
      </c>
    </row>
    <row r="11" spans="1:17" x14ac:dyDescent="0.45">
      <c r="A11" s="54" t="s">
        <v>121</v>
      </c>
      <c r="B11" s="47">
        <v>84</v>
      </c>
      <c r="C11" s="42">
        <f>IF(B$3=0,0,B11/B$3)</f>
        <v>0.14558058925476602</v>
      </c>
      <c r="E11" s="59" t="s">
        <v>83</v>
      </c>
      <c r="F11" s="56" t="s">
        <v>38</v>
      </c>
      <c r="G11" s="44">
        <v>13</v>
      </c>
      <c r="H11" s="129">
        <f>IF(B$15=0,0,G11/B$15)</f>
        <v>8.4415584415584416E-2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 x14ac:dyDescent="0.45">
      <c r="A12" s="51" t="s">
        <v>118</v>
      </c>
      <c r="B12" s="44">
        <v>141</v>
      </c>
      <c r="C12" s="37">
        <f>IF(B$3=0,0,B12/B$3)</f>
        <v>0.24436741767764297</v>
      </c>
      <c r="E12" s="59" t="s">
        <v>65</v>
      </c>
      <c r="F12" s="56" t="s">
        <v>21</v>
      </c>
      <c r="G12" s="44">
        <v>9</v>
      </c>
      <c r="H12" s="129">
        <f>IF(B$15=0,0,G12/B$15)</f>
        <v>5.844155844155844E-2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-2.2714285714285709</v>
      </c>
      <c r="P12" s="116">
        <v>21</v>
      </c>
      <c r="Q12" s="104">
        <v>-47.699999999999989</v>
      </c>
    </row>
    <row r="13" spans="1:17" x14ac:dyDescent="0.45">
      <c r="A13" s="50" t="s">
        <v>123</v>
      </c>
      <c r="B13" s="43">
        <f>B19</f>
        <v>42</v>
      </c>
      <c r="C13" s="35">
        <f>IF(B$11=0,0,B13/B$11)</f>
        <v>0.5</v>
      </c>
      <c r="E13" s="59" t="s">
        <v>89</v>
      </c>
      <c r="F13" s="56" t="s">
        <v>44</v>
      </c>
      <c r="G13" s="44">
        <v>9</v>
      </c>
      <c r="H13" s="129">
        <f>IF(B$15=0,0,G13/B$15)</f>
        <v>5.844155844155844E-2</v>
      </c>
      <c r="I13" s="90">
        <v>14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</v>
      </c>
      <c r="C14" s="35">
        <f>IF(B$12=0,0,B14/B$12)</f>
        <v>0.40425531914893614</v>
      </c>
      <c r="E14" s="59" t="s">
        <v>81</v>
      </c>
      <c r="F14" s="56" t="s">
        <v>36</v>
      </c>
      <c r="G14" s="44">
        <v>5</v>
      </c>
      <c r="H14" s="129">
        <f>IF(B$15=0,0,G14/B$15)</f>
        <v>3.2467532467532464E-2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154</v>
      </c>
      <c r="C15" s="35">
        <f>IF(B$3=0,0,B15/B$3)</f>
        <v>0.26689774696707108</v>
      </c>
      <c r="E15" s="59" t="s">
        <v>86</v>
      </c>
      <c r="F15" s="56" t="s">
        <v>41</v>
      </c>
      <c r="G15" s="44">
        <v>5</v>
      </c>
      <c r="H15" s="129">
        <f>IF(B$15=0,0,G15/B$15)</f>
        <v>3.2467532467532464E-2</v>
      </c>
      <c r="I15" s="90">
        <v>10</v>
      </c>
      <c r="K15" s="36">
        <v>13</v>
      </c>
      <c r="L15" s="95">
        <v>-66.2</v>
      </c>
      <c r="N15" s="110" t="s">
        <v>196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5">
      <c r="A16" s="51" t="s">
        <v>13</v>
      </c>
      <c r="B16" s="44">
        <v>93</v>
      </c>
      <c r="C16" s="37">
        <f>IF(B$3=0,0,B16/B$3)</f>
        <v>0.16117850953206239</v>
      </c>
      <c r="E16" s="59" t="s">
        <v>79</v>
      </c>
      <c r="F16" s="56" t="s">
        <v>34</v>
      </c>
      <c r="G16" s="44">
        <v>3</v>
      </c>
      <c r="H16" s="129">
        <f>IF(B$15=0,0,G16/B$15)</f>
        <v>1.948051948051948E-2</v>
      </c>
      <c r="I16" s="90">
        <v>4</v>
      </c>
      <c r="K16" s="36">
        <v>14</v>
      </c>
      <c r="L16" s="95">
        <v>-51.1</v>
      </c>
      <c r="N16" s="111" t="s">
        <v>171</v>
      </c>
      <c r="O16" s="121">
        <f t="shared" si="2"/>
        <v>-3.9454545454545453</v>
      </c>
      <c r="P16" s="115">
        <v>22</v>
      </c>
      <c r="Q16" s="103">
        <v>-86.8</v>
      </c>
    </row>
    <row r="17" spans="1:17" x14ac:dyDescent="0.45">
      <c r="A17" s="51" t="s">
        <v>12</v>
      </c>
      <c r="B17" s="44">
        <v>59</v>
      </c>
      <c r="C17" s="37">
        <f>IF(B$15=0,0,B17/B$15)</f>
        <v>0.38311688311688313</v>
      </c>
      <c r="E17" s="59" t="s">
        <v>91</v>
      </c>
      <c r="F17" s="56" t="s">
        <v>46</v>
      </c>
      <c r="G17" s="44">
        <v>3</v>
      </c>
      <c r="H17" s="129">
        <f>IF(B$15=0,0,G17/B$15)</f>
        <v>1.948051948051948E-2</v>
      </c>
      <c r="I17" s="90">
        <v>3</v>
      </c>
      <c r="K17" s="36">
        <v>15</v>
      </c>
      <c r="L17" s="95">
        <v>-65.2</v>
      </c>
      <c r="N17" s="111" t="s">
        <v>127</v>
      </c>
      <c r="O17" s="121">
        <f t="shared" si="2"/>
        <v>-4.1851851851851869</v>
      </c>
      <c r="P17" s="115">
        <v>27</v>
      </c>
      <c r="Q17" s="103">
        <v>-113.00000000000004</v>
      </c>
    </row>
    <row r="18" spans="1:17" x14ac:dyDescent="0.45">
      <c r="A18" s="51" t="s">
        <v>11</v>
      </c>
      <c r="B18" s="44">
        <v>95</v>
      </c>
      <c r="C18" s="37">
        <f>IF(B$15=0,0,B18/B$15)</f>
        <v>0.61688311688311692</v>
      </c>
      <c r="E18" s="59" t="s">
        <v>88</v>
      </c>
      <c r="F18" s="56" t="s">
        <v>43</v>
      </c>
      <c r="G18" s="44">
        <v>2</v>
      </c>
      <c r="H18" s="129">
        <f>IF(B$15=0,0,G18/B$15)</f>
        <v>1.2987012987012988E-2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-8.6066666666666709</v>
      </c>
      <c r="P18" s="115">
        <v>15</v>
      </c>
      <c r="Q18" s="103">
        <v>-129.10000000000005</v>
      </c>
    </row>
    <row r="19" spans="1:17" x14ac:dyDescent="0.45">
      <c r="A19" s="51" t="s">
        <v>195</v>
      </c>
      <c r="B19" s="44">
        <v>42</v>
      </c>
      <c r="C19" s="37">
        <f>IF(B$15=0,0,B19/B$15)</f>
        <v>0.27272727272727271</v>
      </c>
      <c r="E19" s="59" t="s">
        <v>74</v>
      </c>
      <c r="F19" s="56" t="s">
        <v>29</v>
      </c>
      <c r="G19" s="44">
        <v>1</v>
      </c>
      <c r="H19" s="129">
        <f>IF(B$15=0,0,G19/B$15)</f>
        <v>6.4935064935064939E-3</v>
      </c>
      <c r="I19" s="90">
        <v>2</v>
      </c>
      <c r="K19" s="36">
        <v>17</v>
      </c>
      <c r="L19" s="95">
        <v>-65.2</v>
      </c>
      <c r="N19" s="111" t="s">
        <v>126</v>
      </c>
      <c r="O19" s="121">
        <f t="shared" si="2"/>
        <v>-10.394117647058824</v>
      </c>
      <c r="P19" s="115">
        <v>34</v>
      </c>
      <c r="Q19" s="103">
        <v>-353.40000000000003</v>
      </c>
    </row>
    <row r="20" spans="1:17" x14ac:dyDescent="0.45">
      <c r="A20" s="51" t="s">
        <v>193</v>
      </c>
      <c r="B20" s="44">
        <v>57</v>
      </c>
      <c r="C20" s="37">
        <f>IF(B$15=0,0,B20/B$15)</f>
        <v>0.37012987012987014</v>
      </c>
      <c r="E20" s="59" t="s">
        <v>75</v>
      </c>
      <c r="F20" s="56" t="s">
        <v>30</v>
      </c>
      <c r="G20" s="44">
        <v>1</v>
      </c>
      <c r="H20" s="129">
        <f>IF(B$15=0,0,G20/B$15)</f>
        <v>6.4935064935064939E-3</v>
      </c>
      <c r="I20" s="90">
        <v>5</v>
      </c>
      <c r="K20" s="36">
        <v>18</v>
      </c>
      <c r="L20" s="95">
        <v>-80.2</v>
      </c>
      <c r="N20" s="111" t="s">
        <v>197</v>
      </c>
      <c r="O20" s="121">
        <f t="shared" si="2"/>
        <v>-34.137499999999996</v>
      </c>
      <c r="P20" s="115">
        <v>8</v>
      </c>
      <c r="Q20" s="103">
        <v>-273.09999999999997</v>
      </c>
    </row>
    <row r="21" spans="1:17" x14ac:dyDescent="0.45">
      <c r="A21" s="51" t="s">
        <v>194</v>
      </c>
      <c r="B21" s="44">
        <v>55</v>
      </c>
      <c r="C21" s="37">
        <f>IF(B$15=0,0,B21/B$15)</f>
        <v>0.35714285714285715</v>
      </c>
      <c r="E21" s="59" t="s">
        <v>77</v>
      </c>
      <c r="F21" s="56" t="s">
        <v>32</v>
      </c>
      <c r="G21" s="44">
        <v>1</v>
      </c>
      <c r="H21" s="129">
        <f>IF(B$15=0,0,G21/B$15)</f>
        <v>6.4935064935064939E-3</v>
      </c>
      <c r="I21" s="90">
        <v>2</v>
      </c>
      <c r="K21" s="36">
        <v>19</v>
      </c>
      <c r="L21" s="95">
        <v>-115.1</v>
      </c>
      <c r="N21" s="111" t="s">
        <v>170</v>
      </c>
      <c r="O21" s="121">
        <f t="shared" si="2"/>
        <v>-37.1</v>
      </c>
      <c r="P21" s="115">
        <v>18</v>
      </c>
      <c r="Q21" s="103">
        <v>-667.80000000000007</v>
      </c>
    </row>
    <row r="22" spans="1:17" x14ac:dyDescent="0.45">
      <c r="A22" s="51" t="s">
        <v>5</v>
      </c>
      <c r="B22" s="48">
        <f>IF(B$15=0,0,C22/B$15)</f>
        <v>7048.7012987012986</v>
      </c>
      <c r="C22" s="39">
        <v>1085500</v>
      </c>
      <c r="E22" s="59" t="s">
        <v>78</v>
      </c>
      <c r="F22" s="56" t="s">
        <v>33</v>
      </c>
      <c r="G22" s="44">
        <v>1</v>
      </c>
      <c r="H22" s="129">
        <f>IF(B$15=0,0,G22/B$15)</f>
        <v>6.4935064935064939E-3</v>
      </c>
      <c r="I22" s="90">
        <v>10</v>
      </c>
      <c r="K22" s="36">
        <v>20</v>
      </c>
      <c r="L22" s="95">
        <v>-88.8</v>
      </c>
    </row>
    <row r="23" spans="1:17" x14ac:dyDescent="0.45">
      <c r="A23" s="52" t="s">
        <v>177</v>
      </c>
      <c r="B23" s="136">
        <f>IF($B$15-B$14=0,0,C23/($B$15-B$14))</f>
        <v>7475.2577319587626</v>
      </c>
      <c r="C23" s="137">
        <v>725100</v>
      </c>
      <c r="E23" s="59" t="s">
        <v>84</v>
      </c>
      <c r="F23" s="56" t="s">
        <v>39</v>
      </c>
      <c r="G23" s="44">
        <v>1</v>
      </c>
      <c r="H23" s="129">
        <f>IF(B$15=0,0,G23/B$15)</f>
        <v>6.4935064935064939E-3</v>
      </c>
      <c r="I23" s="90">
        <v>3</v>
      </c>
      <c r="K23" s="36">
        <v>21</v>
      </c>
      <c r="L23" s="95">
        <v>-111.4</v>
      </c>
    </row>
    <row r="24" spans="1:17" x14ac:dyDescent="0.45">
      <c r="A24" s="52" t="s">
        <v>178</v>
      </c>
      <c r="B24" s="136">
        <f>IF(B$14=0,0,C24/B$14)</f>
        <v>6322.8070175438597</v>
      </c>
      <c r="C24" s="137">
        <v>360400</v>
      </c>
      <c r="E24" s="59" t="s">
        <v>93</v>
      </c>
      <c r="F24" s="56" t="s">
        <v>48</v>
      </c>
      <c r="G24" s="44">
        <v>1</v>
      </c>
      <c r="H24" s="129">
        <f>IF(B$15=0,0,G24/B$15)</f>
        <v>6.4935064935064939E-3</v>
      </c>
      <c r="I24" s="90">
        <v>1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-7673.1182795698924</v>
      </c>
      <c r="C25" s="137">
        <v>-713600</v>
      </c>
      <c r="E25" s="59" t="s">
        <v>73</v>
      </c>
      <c r="F25" s="56" t="s">
        <v>28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2</v>
      </c>
      <c r="E26" s="59" t="s">
        <v>76</v>
      </c>
      <c r="F26" s="56" t="s">
        <v>31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9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56">
        <v>6</v>
      </c>
      <c r="C28" s="157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54">
        <v>86900</v>
      </c>
      <c r="C29" s="155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3.4662045060658577E-3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21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33</v>
      </c>
      <c r="C33" s="37">
        <f t="shared" ref="C33:C44" si="3">IF(B$15=0,0,B33/B$15)</f>
        <v>0.21428571428571427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31</v>
      </c>
      <c r="C34" s="37">
        <f>IF(B$15=0,0,B34/B$15)</f>
        <v>0.20129870129870131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23</v>
      </c>
      <c r="C35" s="37">
        <f t="shared" si="3"/>
        <v>0.14935064935064934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17</v>
      </c>
      <c r="C36" s="37">
        <f t="shared" si="3"/>
        <v>0.11038961038961038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14</v>
      </c>
      <c r="C37" s="37">
        <f t="shared" si="3"/>
        <v>9.0909090909090912E-2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9</v>
      </c>
      <c r="C38" s="37">
        <f t="shared" si="3"/>
        <v>5.844155844155844E-2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5</v>
      </c>
      <c r="C39" s="37">
        <f t="shared" si="3"/>
        <v>3.2467532467532464E-2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1</v>
      </c>
      <c r="C44" s="40">
        <f t="shared" si="3"/>
        <v>6.4935064935064939E-3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</sheetData>
  <sortState xmlns:xlrd2="http://schemas.microsoft.com/office/spreadsheetml/2017/richdata2" ref="E2:I6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2E6D-5883-48B0-9AA0-7279938E402B}">
  <sheetPr codeName="Sheet9"/>
  <dimension ref="A1:Q15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60" t="s">
        <v>126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62">
        <v>149</v>
      </c>
      <c r="C2" s="163"/>
      <c r="E2" s="58" t="s">
        <v>66</v>
      </c>
      <c r="F2" s="55" t="s">
        <v>22</v>
      </c>
      <c r="G2" s="43">
        <v>276</v>
      </c>
      <c r="H2" s="128">
        <f>IF(B$15=0,0,G2/B$15)</f>
        <v>0.66346153846153844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1041.2162162162163</v>
      </c>
      <c r="P2" s="114">
        <v>148</v>
      </c>
      <c r="Q2" s="98">
        <v>154100</v>
      </c>
    </row>
    <row r="3" spans="1:17" x14ac:dyDescent="0.45">
      <c r="A3" s="51" t="s">
        <v>8</v>
      </c>
      <c r="B3" s="164">
        <v>1216</v>
      </c>
      <c r="C3" s="165"/>
      <c r="E3" s="59" t="s">
        <v>72</v>
      </c>
      <c r="F3" s="56" t="s">
        <v>27</v>
      </c>
      <c r="G3" s="44">
        <v>213</v>
      </c>
      <c r="H3" s="129">
        <f>IF(B$15=0,0,G3/B$15)</f>
        <v>0.51201923076923073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870.34482758620686</v>
      </c>
      <c r="P3" s="115">
        <v>145</v>
      </c>
      <c r="Q3" s="99">
        <v>126200</v>
      </c>
    </row>
    <row r="4" spans="1:17" x14ac:dyDescent="0.45">
      <c r="A4" s="51" t="s">
        <v>6</v>
      </c>
      <c r="B4" s="166">
        <v>1159.6000000000001</v>
      </c>
      <c r="C4" s="167"/>
      <c r="E4" s="59" t="s">
        <v>64</v>
      </c>
      <c r="F4" s="56" t="s">
        <v>20</v>
      </c>
      <c r="G4" s="44">
        <v>187</v>
      </c>
      <c r="H4" s="129">
        <f>IF(B$15=0,0,G4/B$15)</f>
        <v>0.44951923076923078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802.15827338129498</v>
      </c>
      <c r="P4" s="115">
        <v>139</v>
      </c>
      <c r="Q4" s="99">
        <v>111500</v>
      </c>
    </row>
    <row r="5" spans="1:17" x14ac:dyDescent="0.45">
      <c r="A5" s="51" t="s">
        <v>7</v>
      </c>
      <c r="B5" s="168">
        <f>IF(B$2=0,0,B$4/B$2)</f>
        <v>7.7825503355704706</v>
      </c>
      <c r="C5" s="169"/>
      <c r="E5" s="59" t="s">
        <v>166</v>
      </c>
      <c r="F5" s="56" t="s">
        <v>167</v>
      </c>
      <c r="G5" s="44">
        <v>159</v>
      </c>
      <c r="H5" s="129">
        <f>IF(B$15=0,0,G5/B$15)</f>
        <v>0.38221153846153844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180.62015503875969</v>
      </c>
      <c r="P5" s="115">
        <v>129</v>
      </c>
      <c r="Q5" s="99">
        <v>23300</v>
      </c>
    </row>
    <row r="6" spans="1:17" x14ac:dyDescent="0.45">
      <c r="A6" s="51" t="s">
        <v>1</v>
      </c>
      <c r="B6" s="158">
        <f>IF(B$2=0,0,(B$7*1+B$8*2+B$9*3)/B$2)</f>
        <v>1.8120805369127517</v>
      </c>
      <c r="C6" s="159"/>
      <c r="E6" s="59" t="s">
        <v>68</v>
      </c>
      <c r="F6" s="56" t="s">
        <v>12</v>
      </c>
      <c r="G6" s="44">
        <v>118</v>
      </c>
      <c r="H6" s="129">
        <f>IF(B$15=0,0,G6/B$15)</f>
        <v>0.28365384615384615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2045.3781512605042</v>
      </c>
      <c r="P6" s="115">
        <v>119</v>
      </c>
      <c r="Q6" s="99">
        <v>243400</v>
      </c>
    </row>
    <row r="7" spans="1:17" x14ac:dyDescent="0.45">
      <c r="A7" s="51" t="s">
        <v>2</v>
      </c>
      <c r="B7" s="44">
        <v>67</v>
      </c>
      <c r="C7" s="37">
        <f t="shared" ref="C7:C10" si="1">IF(B$2=0,0,B7/B$2)</f>
        <v>0.44966442953020136</v>
      </c>
      <c r="E7" s="59" t="s">
        <v>67</v>
      </c>
      <c r="F7" s="56" t="s">
        <v>23</v>
      </c>
      <c r="G7" s="44">
        <v>105</v>
      </c>
      <c r="H7" s="129">
        <f>IF(B$15=0,0,G7/B$15)</f>
        <v>0.25240384615384615</v>
      </c>
      <c r="I7" s="90">
        <v>11</v>
      </c>
      <c r="K7" s="36">
        <v>5</v>
      </c>
      <c r="L7" s="95">
        <v>99.9</v>
      </c>
      <c r="N7" s="112" t="s">
        <v>135</v>
      </c>
      <c r="O7" s="119">
        <f t="shared" si="0"/>
        <v>1897.9591836734694</v>
      </c>
      <c r="P7" s="116">
        <v>98</v>
      </c>
      <c r="Q7" s="100">
        <v>186000</v>
      </c>
    </row>
    <row r="8" spans="1:17" x14ac:dyDescent="0.45">
      <c r="A8" s="51" t="s">
        <v>3</v>
      </c>
      <c r="B8" s="44">
        <v>43</v>
      </c>
      <c r="C8" s="37">
        <f t="shared" si="1"/>
        <v>0.28859060402684567</v>
      </c>
      <c r="E8" s="59" t="s">
        <v>89</v>
      </c>
      <c r="F8" s="56" t="s">
        <v>44</v>
      </c>
      <c r="G8" s="44">
        <v>59</v>
      </c>
      <c r="H8" s="129">
        <f>IF(B$15=0,0,G8/B$15)</f>
        <v>0.14182692307692307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0.26174496644295303</v>
      </c>
      <c r="E9" s="59" t="s">
        <v>69</v>
      </c>
      <c r="F9" s="56" t="s">
        <v>24</v>
      </c>
      <c r="G9" s="44">
        <v>57</v>
      </c>
      <c r="H9" s="129">
        <f>IF(B$15=0,0,G9/B$15)</f>
        <v>0.13701923076923078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4.6979865771812082E-2</v>
      </c>
      <c r="E10" s="59" t="s">
        <v>65</v>
      </c>
      <c r="F10" s="56" t="s">
        <v>21</v>
      </c>
      <c r="G10" s="44">
        <v>48</v>
      </c>
      <c r="H10" s="129">
        <f>IF(B$15=0,0,G10/B$15)</f>
        <v>0.11538461538461539</v>
      </c>
      <c r="I10" s="90">
        <v>7</v>
      </c>
      <c r="K10" s="36">
        <v>8</v>
      </c>
      <c r="L10" s="95">
        <v>148.1</v>
      </c>
      <c r="N10" s="110" t="s">
        <v>157</v>
      </c>
      <c r="O10" s="120">
        <f>IF(P10=0,0,Q10/P10)</f>
        <v>12.277499999999996</v>
      </c>
      <c r="P10" s="114">
        <v>40</v>
      </c>
      <c r="Q10" s="102">
        <v>491.09999999999985</v>
      </c>
    </row>
    <row r="11" spans="1:17" x14ac:dyDescent="0.45">
      <c r="A11" s="54" t="s">
        <v>121</v>
      </c>
      <c r="B11" s="47">
        <v>328</v>
      </c>
      <c r="C11" s="42">
        <f>IF(B$3=0,0,B11/B$3)</f>
        <v>0.26973684210526316</v>
      </c>
      <c r="E11" s="59" t="s">
        <v>71</v>
      </c>
      <c r="F11" s="56" t="s">
        <v>26</v>
      </c>
      <c r="G11" s="44">
        <v>28</v>
      </c>
      <c r="H11" s="129">
        <f>IF(B$15=0,0,G11/B$15)</f>
        <v>6.7307692307692304E-2</v>
      </c>
      <c r="I11" s="90">
        <v>8</v>
      </c>
      <c r="K11" s="36">
        <v>9</v>
      </c>
      <c r="L11" s="95">
        <v>180.89999999999998</v>
      </c>
      <c r="N11" s="111" t="s">
        <v>158</v>
      </c>
      <c r="O11" s="121">
        <f>IF(P11=0,0,Q11/P11)</f>
        <v>2.6132075471698109</v>
      </c>
      <c r="P11" s="115">
        <v>53</v>
      </c>
      <c r="Q11" s="103">
        <v>138.49999999999997</v>
      </c>
    </row>
    <row r="12" spans="1:17" x14ac:dyDescent="0.45">
      <c r="A12" s="51" t="s">
        <v>118</v>
      </c>
      <c r="B12" s="44">
        <v>279</v>
      </c>
      <c r="C12" s="37">
        <f>IF(B$3=0,0,B12/B$3)</f>
        <v>0.22944078947368421</v>
      </c>
      <c r="E12" s="59" t="s">
        <v>86</v>
      </c>
      <c r="F12" s="56" t="s">
        <v>41</v>
      </c>
      <c r="G12" s="44">
        <v>27</v>
      </c>
      <c r="H12" s="129">
        <f>IF(B$15=0,0,G12/B$15)</f>
        <v>6.4903846153846159E-2</v>
      </c>
      <c r="I12" s="90">
        <v>5</v>
      </c>
      <c r="K12" s="36">
        <v>10</v>
      </c>
      <c r="L12" s="95">
        <v>158.19999999999999</v>
      </c>
      <c r="N12" s="112" t="s">
        <v>159</v>
      </c>
      <c r="O12" s="122">
        <f>IF(P12=0,0,Q12/P12)</f>
        <v>9.4642857142857117</v>
      </c>
      <c r="P12" s="116">
        <v>56</v>
      </c>
      <c r="Q12" s="104">
        <v>529.99999999999989</v>
      </c>
    </row>
    <row r="13" spans="1:17" x14ac:dyDescent="0.45">
      <c r="A13" s="50" t="s">
        <v>123</v>
      </c>
      <c r="B13" s="43">
        <f>B19</f>
        <v>197</v>
      </c>
      <c r="C13" s="35">
        <f>IF(B$11=0,0,B13/B$11)</f>
        <v>0.60060975609756095</v>
      </c>
      <c r="E13" s="59" t="s">
        <v>70</v>
      </c>
      <c r="F13" s="56" t="s">
        <v>25</v>
      </c>
      <c r="G13" s="44">
        <v>24</v>
      </c>
      <c r="H13" s="129">
        <f>IF(B$15=0,0,G13/B$15)</f>
        <v>5.7692307692307696E-2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135</v>
      </c>
      <c r="C14" s="35">
        <f>IF(B$12=0,0,B14/B$12)</f>
        <v>0.4838709677419355</v>
      </c>
      <c r="E14" s="59" t="s">
        <v>83</v>
      </c>
      <c r="F14" s="56" t="s">
        <v>38</v>
      </c>
      <c r="G14" s="44">
        <v>19</v>
      </c>
      <c r="H14" s="129">
        <f>IF(B$15=0,0,G14/B$15)</f>
        <v>4.567307692307692E-2</v>
      </c>
      <c r="I14" s="90">
        <v>9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416</v>
      </c>
      <c r="C15" s="35">
        <f>IF(B$3=0,0,B15/B$3)</f>
        <v>0.34210526315789475</v>
      </c>
      <c r="E15" s="59" t="s">
        <v>78</v>
      </c>
      <c r="F15" s="56" t="s">
        <v>33</v>
      </c>
      <c r="G15" s="44">
        <v>15</v>
      </c>
      <c r="H15" s="129">
        <f>IF(B$15=0,0,G15/B$15)</f>
        <v>3.6057692307692304E-2</v>
      </c>
      <c r="I15" s="90">
        <v>3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162</v>
      </c>
      <c r="C16" s="37">
        <f>IF(B$3=0,0,B16/B$3)</f>
        <v>0.13322368421052633</v>
      </c>
      <c r="E16" s="59" t="s">
        <v>162</v>
      </c>
      <c r="F16" s="56" t="s">
        <v>163</v>
      </c>
      <c r="G16" s="44">
        <v>13</v>
      </c>
      <c r="H16" s="129">
        <f>IF(B$15=0,0,G16/B$15)</f>
        <v>3.125E-2</v>
      </c>
      <c r="I16" s="90">
        <v>2</v>
      </c>
      <c r="K16" s="36">
        <v>14</v>
      </c>
      <c r="L16" s="95">
        <v>240.09999999999997</v>
      </c>
      <c r="N16" s="111" t="s">
        <v>197</v>
      </c>
      <c r="O16" s="121">
        <f>IF(P16=0,0,Q16/P16)</f>
        <v>25.1875</v>
      </c>
      <c r="P16" s="115">
        <v>16</v>
      </c>
      <c r="Q16" s="103">
        <v>403</v>
      </c>
    </row>
    <row r="17" spans="1:17" x14ac:dyDescent="0.45">
      <c r="A17" s="51" t="s">
        <v>12</v>
      </c>
      <c r="B17" s="44">
        <v>175</v>
      </c>
      <c r="C17" s="37">
        <f>IF(B$15=0,0,B17/B$15)</f>
        <v>0.42067307692307693</v>
      </c>
      <c r="E17" s="59" t="s">
        <v>81</v>
      </c>
      <c r="F17" s="56" t="s">
        <v>36</v>
      </c>
      <c r="G17" s="44">
        <v>5</v>
      </c>
      <c r="H17" s="129">
        <f>IF(B$15=0,0,G17/B$15)</f>
        <v>1.201923076923077E-2</v>
      </c>
      <c r="I17" s="90">
        <v>9</v>
      </c>
      <c r="K17" s="36">
        <v>15</v>
      </c>
      <c r="L17" s="95">
        <v>269.49999999999994</v>
      </c>
      <c r="N17" s="111" t="s">
        <v>127</v>
      </c>
      <c r="O17" s="121">
        <f>IF(P17=0,0,Q17/P17)</f>
        <v>13.324175824175827</v>
      </c>
      <c r="P17" s="115">
        <v>91</v>
      </c>
      <c r="Q17" s="103">
        <v>1212.5000000000002</v>
      </c>
    </row>
    <row r="18" spans="1:17" x14ac:dyDescent="0.45">
      <c r="A18" s="51" t="s">
        <v>11</v>
      </c>
      <c r="B18" s="44">
        <v>241</v>
      </c>
      <c r="C18" s="37">
        <f>IF(B$15=0,0,B18/B$15)</f>
        <v>0.57932692307692313</v>
      </c>
      <c r="E18" s="59" t="s">
        <v>75</v>
      </c>
      <c r="F18" s="56" t="s">
        <v>30</v>
      </c>
      <c r="G18" s="44">
        <v>4</v>
      </c>
      <c r="H18" s="129">
        <f>IF(B$15=0,0,G18/B$15)</f>
        <v>9.6153846153846159E-3</v>
      </c>
      <c r="I18" s="90">
        <v>3</v>
      </c>
      <c r="K18" s="36">
        <v>16</v>
      </c>
      <c r="L18" s="95">
        <v>323.69999999999993</v>
      </c>
      <c r="N18" s="111" t="s">
        <v>171</v>
      </c>
      <c r="O18" s="121">
        <f>IF(P18=0,0,Q18/P18)</f>
        <v>13.271698113207547</v>
      </c>
      <c r="P18" s="115">
        <v>53</v>
      </c>
      <c r="Q18" s="103">
        <v>703.4</v>
      </c>
    </row>
    <row r="19" spans="1:17" x14ac:dyDescent="0.45">
      <c r="A19" s="51" t="s">
        <v>195</v>
      </c>
      <c r="B19" s="44">
        <v>197</v>
      </c>
      <c r="C19" s="37">
        <f>IF(B$15=0,0,B19/B$15)</f>
        <v>0.47355769230769229</v>
      </c>
      <c r="E19" s="59" t="s">
        <v>77</v>
      </c>
      <c r="F19" s="56" t="s">
        <v>32</v>
      </c>
      <c r="G19" s="44">
        <v>3</v>
      </c>
      <c r="H19" s="129">
        <f>IF(B$15=0,0,G19/B$15)</f>
        <v>7.2115384615384619E-3</v>
      </c>
      <c r="I19" s="90">
        <v>1</v>
      </c>
      <c r="K19" s="36">
        <v>17</v>
      </c>
      <c r="L19" s="95">
        <v>359.09999999999991</v>
      </c>
      <c r="N19" s="111" t="s">
        <v>172</v>
      </c>
      <c r="O19" s="121">
        <f>IF(P19=0,0,Q19/P19)</f>
        <v>12.78888888888889</v>
      </c>
      <c r="P19" s="115">
        <v>54</v>
      </c>
      <c r="Q19" s="103">
        <v>690.6</v>
      </c>
    </row>
    <row r="20" spans="1:17" x14ac:dyDescent="0.45">
      <c r="A20" s="51" t="s">
        <v>193</v>
      </c>
      <c r="B20" s="44">
        <v>135</v>
      </c>
      <c r="C20" s="37">
        <f>IF(B$15=0,0,B20/B$15)</f>
        <v>0.32451923076923078</v>
      </c>
      <c r="E20" s="59" t="s">
        <v>84</v>
      </c>
      <c r="F20" s="56" t="s">
        <v>39</v>
      </c>
      <c r="G20" s="44">
        <v>3</v>
      </c>
      <c r="H20" s="129">
        <f>IF(B$15=0,0,G20/B$15)</f>
        <v>7.2115384615384619E-3</v>
      </c>
      <c r="I20" s="90">
        <v>2</v>
      </c>
      <c r="K20" s="36">
        <v>18</v>
      </c>
      <c r="L20" s="95">
        <v>352.39999999999992</v>
      </c>
      <c r="N20" s="111" t="s">
        <v>161</v>
      </c>
      <c r="O20" s="121">
        <f>IF(P20=0,0,Q20/P20)</f>
        <v>10.988571428571429</v>
      </c>
      <c r="P20" s="115">
        <v>35</v>
      </c>
      <c r="Q20" s="103">
        <v>384.6</v>
      </c>
    </row>
    <row r="21" spans="1:17" x14ac:dyDescent="0.45">
      <c r="A21" s="51" t="s">
        <v>194</v>
      </c>
      <c r="B21" s="44">
        <v>84</v>
      </c>
      <c r="C21" s="37">
        <f>IF(B$15=0,0,B21/B$15)</f>
        <v>0.20192307692307693</v>
      </c>
      <c r="E21" s="59" t="s">
        <v>91</v>
      </c>
      <c r="F21" s="56" t="s">
        <v>46</v>
      </c>
      <c r="G21" s="44">
        <v>3</v>
      </c>
      <c r="H21" s="129">
        <f>IF(B$15=0,0,G21/B$15)</f>
        <v>7.2115384615384619E-3</v>
      </c>
      <c r="I21" s="90">
        <v>8</v>
      </c>
      <c r="K21" s="36">
        <v>19</v>
      </c>
      <c r="L21" s="95">
        <v>383.19999999999993</v>
      </c>
      <c r="N21" s="111" t="s">
        <v>170</v>
      </c>
      <c r="O21" s="121">
        <f>IF(P21=0,0,Q21/P21)</f>
        <v>-3.4128205128205127</v>
      </c>
      <c r="P21" s="115">
        <v>39</v>
      </c>
      <c r="Q21" s="103">
        <v>-133.1</v>
      </c>
    </row>
    <row r="22" spans="1:17" x14ac:dyDescent="0.45">
      <c r="A22" s="51" t="s">
        <v>5</v>
      </c>
      <c r="B22" s="48">
        <f>IF(B$15=0,0,C22/B$15)</f>
        <v>8157.4519230769229</v>
      </c>
      <c r="C22" s="39">
        <v>3393500</v>
      </c>
      <c r="E22" s="59" t="s">
        <v>92</v>
      </c>
      <c r="F22" s="56" t="s">
        <v>47</v>
      </c>
      <c r="G22" s="44">
        <v>3</v>
      </c>
      <c r="H22" s="129">
        <f>IF(B$15=0,0,G22/B$15)</f>
        <v>7.2115384615384619E-3</v>
      </c>
      <c r="I22" s="90">
        <v>4</v>
      </c>
      <c r="K22" s="36">
        <v>20</v>
      </c>
      <c r="L22" s="95">
        <v>365.49999999999994</v>
      </c>
      <c r="N22" s="111" t="s">
        <v>274</v>
      </c>
      <c r="O22" s="121">
        <f>IF(P22=0,0,Q22/P22)</f>
        <v>-29.000000000000004</v>
      </c>
      <c r="P22" s="115">
        <v>1</v>
      </c>
      <c r="Q22" s="103">
        <v>-29.000000000000004</v>
      </c>
    </row>
    <row r="23" spans="1:17" x14ac:dyDescent="0.45">
      <c r="A23" s="52" t="s">
        <v>177</v>
      </c>
      <c r="B23" s="136">
        <f>IF($B$15-B$14=0,0,C23/($B$15-B$14))</f>
        <v>8561.9217081850529</v>
      </c>
      <c r="C23" s="137">
        <v>2405900</v>
      </c>
      <c r="E23" s="59" t="s">
        <v>79</v>
      </c>
      <c r="F23" s="56" t="s">
        <v>34</v>
      </c>
      <c r="G23" s="44">
        <v>2</v>
      </c>
      <c r="H23" s="129">
        <f>IF(B$15=0,0,G23/B$15)</f>
        <v>4.807692307692308E-3</v>
      </c>
      <c r="I23" s="90">
        <v>9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7315.5555555555557</v>
      </c>
      <c r="C24" s="137">
        <v>987600</v>
      </c>
      <c r="E24" s="59" t="s">
        <v>85</v>
      </c>
      <c r="F24" s="56" t="s">
        <v>40</v>
      </c>
      <c r="G24" s="44">
        <v>2</v>
      </c>
      <c r="H24" s="129">
        <f>IF(B$15=0,0,G24/B$15)</f>
        <v>4.807692307692308E-3</v>
      </c>
      <c r="I24" s="90">
        <v>4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-7691.9753086419751</v>
      </c>
      <c r="C25" s="137">
        <v>-1246100</v>
      </c>
      <c r="E25" s="59" t="s">
        <v>88</v>
      </c>
      <c r="F25" s="56" t="s">
        <v>43</v>
      </c>
      <c r="G25" s="44">
        <v>2</v>
      </c>
      <c r="H25" s="129">
        <f>IF(B$15=0,0,G25/B$15)</f>
        <v>4.807692307692308E-3</v>
      </c>
      <c r="I25" s="90">
        <v>2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3</v>
      </c>
      <c r="E26" s="59" t="s">
        <v>95</v>
      </c>
      <c r="F26" s="56" t="s">
        <v>50</v>
      </c>
      <c r="G26" s="44">
        <v>2</v>
      </c>
      <c r="H26" s="129">
        <f>IF(B$15=0,0,G26/B$15)</f>
        <v>4.807692307692308E-3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5</v>
      </c>
      <c r="E27" s="59" t="s">
        <v>74</v>
      </c>
      <c r="F27" s="56" t="s">
        <v>29</v>
      </c>
      <c r="G27" s="44">
        <v>1</v>
      </c>
      <c r="H27" s="129">
        <f>IF(B$15=0,0,G27/B$15)</f>
        <v>2.403846153846154E-3</v>
      </c>
      <c r="I27" s="90">
        <v>6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56">
        <v>7</v>
      </c>
      <c r="C28" s="157"/>
      <c r="E28" s="59" t="s">
        <v>90</v>
      </c>
      <c r="F28" s="56" t="s">
        <v>45</v>
      </c>
      <c r="G28" s="44">
        <v>1</v>
      </c>
      <c r="H28" s="129">
        <f>IF(B$15=0,0,G28/B$15)</f>
        <v>2.403846153846154E-3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54">
        <v>149100</v>
      </c>
      <c r="C29" s="155"/>
      <c r="E29" s="59" t="s">
        <v>106</v>
      </c>
      <c r="F29" s="56" t="s">
        <v>113</v>
      </c>
      <c r="G29" s="44">
        <v>1</v>
      </c>
      <c r="H29" s="129">
        <f>IF(B$15=0,0,G29/B$15)</f>
        <v>2.403846153846154E-3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8.2236842105263153E-4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39</v>
      </c>
      <c r="C32" s="141">
        <f>IF(B$15=0,0,B32/B$15)</f>
        <v>9.375E-2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73</v>
      </c>
      <c r="C33" s="37">
        <f t="shared" ref="C33:C44" si="2">IF(B$15=0,0,B33/B$15)</f>
        <v>0.17548076923076922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89</v>
      </c>
      <c r="C34" s="37">
        <f>IF(B$15=0,0,B34/B$15)</f>
        <v>0.21394230769230768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76</v>
      </c>
      <c r="C35" s="37">
        <f t="shared" si="2"/>
        <v>0.18269230769230768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60</v>
      </c>
      <c r="C36" s="37">
        <f t="shared" si="2"/>
        <v>0.14423076923076922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39</v>
      </c>
      <c r="C37" s="37">
        <f t="shared" si="2"/>
        <v>9.375E-2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19</v>
      </c>
      <c r="C38" s="37">
        <f t="shared" si="2"/>
        <v>4.567307692307692E-2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2"/>
        <v>1.4423076923076924E-2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8</v>
      </c>
      <c r="C40" s="37">
        <f t="shared" si="2"/>
        <v>1.9230769230769232E-2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2.403846153846154E-3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2"/>
        <v>1.4423076923076924E-2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2B3B-3E41-4302-9922-F85E1AD08E24}">
  <sheetPr codeName="Sheet11"/>
  <dimension ref="A1:Q13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60" t="s">
        <v>127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62">
        <v>132</v>
      </c>
      <c r="C2" s="163"/>
      <c r="E2" s="58" t="s">
        <v>66</v>
      </c>
      <c r="F2" s="55" t="s">
        <v>22</v>
      </c>
      <c r="G2" s="43">
        <v>280</v>
      </c>
      <c r="H2" s="128">
        <f>IF(B$15=0,0,G2/B$15)</f>
        <v>0.83582089552238803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-1558.7786259541986</v>
      </c>
      <c r="P2" s="114">
        <v>131</v>
      </c>
      <c r="Q2" s="98">
        <v>-204200</v>
      </c>
    </row>
    <row r="3" spans="1:17" x14ac:dyDescent="0.45">
      <c r="A3" s="51" t="s">
        <v>8</v>
      </c>
      <c r="B3" s="164">
        <v>1108</v>
      </c>
      <c r="C3" s="165"/>
      <c r="E3" s="59" t="s">
        <v>72</v>
      </c>
      <c r="F3" s="56" t="s">
        <v>27</v>
      </c>
      <c r="G3" s="44">
        <v>192</v>
      </c>
      <c r="H3" s="129">
        <f>IF(B$15=0,0,G3/B$15)</f>
        <v>0.57313432835820899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1651.937984496124</v>
      </c>
      <c r="P3" s="115">
        <v>129</v>
      </c>
      <c r="Q3" s="99">
        <v>213100</v>
      </c>
    </row>
    <row r="4" spans="1:17" x14ac:dyDescent="0.45">
      <c r="A4" s="51" t="s">
        <v>6</v>
      </c>
      <c r="B4" s="166">
        <v>90.399999999999807</v>
      </c>
      <c r="C4" s="167"/>
      <c r="E4" s="59" t="s">
        <v>166</v>
      </c>
      <c r="F4" s="56" t="s">
        <v>167</v>
      </c>
      <c r="G4" s="44">
        <v>134</v>
      </c>
      <c r="H4" s="129">
        <f>IF(B$15=0,0,G4/B$15)</f>
        <v>0.4</v>
      </c>
      <c r="I4" s="90">
        <v>4</v>
      </c>
      <c r="K4" s="36">
        <v>2</v>
      </c>
      <c r="L4" s="95">
        <v>-34.299999999999997</v>
      </c>
      <c r="N4" s="111" t="s">
        <v>132</v>
      </c>
      <c r="O4" s="118">
        <f t="shared" si="0"/>
        <v>-283.89830508474574</v>
      </c>
      <c r="P4" s="115">
        <v>118</v>
      </c>
      <c r="Q4" s="99">
        <v>-33500</v>
      </c>
    </row>
    <row r="5" spans="1:17" x14ac:dyDescent="0.45">
      <c r="A5" s="51" t="s">
        <v>7</v>
      </c>
      <c r="B5" s="168">
        <f>IF(B$2=0,0,B$4/B$2)</f>
        <v>0.68484848484848337</v>
      </c>
      <c r="C5" s="169"/>
      <c r="E5" s="59" t="s">
        <v>64</v>
      </c>
      <c r="F5" s="56" t="s">
        <v>20</v>
      </c>
      <c r="G5" s="44">
        <v>127</v>
      </c>
      <c r="H5" s="129">
        <f>IF(B$15=0,0,G5/B$15)</f>
        <v>0.37910447761194027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317.85714285714283</v>
      </c>
      <c r="P5" s="115">
        <v>112</v>
      </c>
      <c r="Q5" s="99">
        <v>35600</v>
      </c>
    </row>
    <row r="6" spans="1:17" x14ac:dyDescent="0.45">
      <c r="A6" s="51" t="s">
        <v>1</v>
      </c>
      <c r="B6" s="158">
        <f>IF(B$2=0,0,(B$7*1+B$8*2+B$9*3)/B$2)</f>
        <v>1.946969696969697</v>
      </c>
      <c r="C6" s="159"/>
      <c r="E6" s="59" t="s">
        <v>68</v>
      </c>
      <c r="F6" s="56" t="s">
        <v>12</v>
      </c>
      <c r="G6" s="44">
        <v>92</v>
      </c>
      <c r="H6" s="129">
        <f>IF(B$15=0,0,G6/B$15)</f>
        <v>0.2746268656716418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-960.78431372549016</v>
      </c>
      <c r="P6" s="115">
        <v>102</v>
      </c>
      <c r="Q6" s="99">
        <v>-98000</v>
      </c>
    </row>
    <row r="7" spans="1:17" x14ac:dyDescent="0.45">
      <c r="A7" s="51" t="s">
        <v>2</v>
      </c>
      <c r="B7" s="44">
        <v>46</v>
      </c>
      <c r="C7" s="37">
        <f t="shared" ref="C7:C10" si="1">IF(B$2=0,0,B7/B$2)</f>
        <v>0.34848484848484851</v>
      </c>
      <c r="E7" s="59" t="s">
        <v>67</v>
      </c>
      <c r="F7" s="56" t="s">
        <v>23</v>
      </c>
      <c r="G7" s="44">
        <v>71</v>
      </c>
      <c r="H7" s="129">
        <f>IF(B$15=0,0,G7/B$15)</f>
        <v>0.21194029850746268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1518.3908045977012</v>
      </c>
      <c r="P7" s="116">
        <v>87</v>
      </c>
      <c r="Q7" s="100">
        <v>132100</v>
      </c>
    </row>
    <row r="8" spans="1:17" x14ac:dyDescent="0.45">
      <c r="A8" s="51" t="s">
        <v>3</v>
      </c>
      <c r="B8" s="44">
        <v>47</v>
      </c>
      <c r="C8" s="37">
        <f t="shared" si="1"/>
        <v>0.35606060606060608</v>
      </c>
      <c r="E8" s="59" t="s">
        <v>69</v>
      </c>
      <c r="F8" s="56" t="s">
        <v>24</v>
      </c>
      <c r="G8" s="44">
        <v>41</v>
      </c>
      <c r="H8" s="129">
        <f>IF(B$15=0,0,G8/B$15)</f>
        <v>0.12238805970149254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0.29545454545454547</v>
      </c>
      <c r="E9" s="59" t="s">
        <v>89</v>
      </c>
      <c r="F9" s="56" t="s">
        <v>44</v>
      </c>
      <c r="G9" s="44">
        <v>40</v>
      </c>
      <c r="H9" s="129">
        <f>IF(B$15=0,0,G9/B$15)</f>
        <v>0.11940298507462686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0.13636363636363635</v>
      </c>
      <c r="E10" s="59" t="s">
        <v>71</v>
      </c>
      <c r="F10" s="56" t="s">
        <v>26</v>
      </c>
      <c r="G10" s="44">
        <v>32</v>
      </c>
      <c r="H10" s="129">
        <f>IF(B$15=0,0,G10/B$15)</f>
        <v>9.5522388059701493E-2</v>
      </c>
      <c r="I10" s="90">
        <v>5</v>
      </c>
      <c r="K10" s="36">
        <v>8</v>
      </c>
      <c r="L10" s="95">
        <v>-56.79999999999999</v>
      </c>
      <c r="N10" s="110" t="s">
        <v>157</v>
      </c>
      <c r="O10" s="120">
        <f>IF(P10=0,0,Q10/P10)</f>
        <v>2.1800000000000006</v>
      </c>
      <c r="P10" s="114">
        <v>35</v>
      </c>
      <c r="Q10" s="102">
        <v>76.300000000000026</v>
      </c>
    </row>
    <row r="11" spans="1:17" x14ac:dyDescent="0.45">
      <c r="A11" s="54" t="s">
        <v>121</v>
      </c>
      <c r="B11" s="47">
        <v>254</v>
      </c>
      <c r="C11" s="42">
        <f>IF(B$3=0,0,B11/B$3)</f>
        <v>0.2292418772563177</v>
      </c>
      <c r="E11" s="59" t="s">
        <v>70</v>
      </c>
      <c r="F11" s="56" t="s">
        <v>25</v>
      </c>
      <c r="G11" s="44">
        <v>30</v>
      </c>
      <c r="H11" s="129">
        <f>IF(B$15=0,0,G11/B$15)</f>
        <v>8.9552238805970144E-2</v>
      </c>
      <c r="I11" s="90">
        <v>9</v>
      </c>
      <c r="K11" s="36">
        <v>9</v>
      </c>
      <c r="L11" s="95">
        <v>-83.699999999999989</v>
      </c>
      <c r="N11" s="111" t="s">
        <v>158</v>
      </c>
      <c r="O11" s="121">
        <f>IF(P11=0,0,Q11/P11)</f>
        <v>5.2133333333333347</v>
      </c>
      <c r="P11" s="115">
        <v>45</v>
      </c>
      <c r="Q11" s="103">
        <v>234.60000000000005</v>
      </c>
    </row>
    <row r="12" spans="1:17" x14ac:dyDescent="0.45">
      <c r="A12" s="51" t="s">
        <v>118</v>
      </c>
      <c r="B12" s="44">
        <v>338</v>
      </c>
      <c r="C12" s="37">
        <f>IF(B$3=0,0,B12/B$3)</f>
        <v>0.30505415162454874</v>
      </c>
      <c r="E12" s="59" t="s">
        <v>65</v>
      </c>
      <c r="F12" s="56" t="s">
        <v>21</v>
      </c>
      <c r="G12" s="44">
        <v>29</v>
      </c>
      <c r="H12" s="129">
        <f>IF(B$15=0,0,G12/B$15)</f>
        <v>8.6567164179104483E-2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-4.2403846153846159</v>
      </c>
      <c r="P12" s="116">
        <v>52</v>
      </c>
      <c r="Q12" s="104">
        <v>-220.50000000000003</v>
      </c>
    </row>
    <row r="13" spans="1:17" x14ac:dyDescent="0.45">
      <c r="A13" s="50" t="s">
        <v>123</v>
      </c>
      <c r="B13" s="43">
        <f>B19</f>
        <v>126</v>
      </c>
      <c r="C13" s="35">
        <f>IF(B$11=0,0,B13/B$11)</f>
        <v>0.49606299212598426</v>
      </c>
      <c r="E13" s="59" t="s">
        <v>86</v>
      </c>
      <c r="F13" s="56" t="s">
        <v>41</v>
      </c>
      <c r="G13" s="44">
        <v>22</v>
      </c>
      <c r="H13" s="129">
        <f>IF(B$15=0,0,G13/B$15)</f>
        <v>6.5671641791044774E-2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129</v>
      </c>
      <c r="C14" s="35">
        <f>IF(B$12=0,0,B14/B$12)</f>
        <v>0.38165680473372782</v>
      </c>
      <c r="E14" s="59" t="s">
        <v>83</v>
      </c>
      <c r="F14" s="56" t="s">
        <v>38</v>
      </c>
      <c r="G14" s="44">
        <v>19</v>
      </c>
      <c r="H14" s="129">
        <f>IF(B$15=0,0,G14/B$15)</f>
        <v>5.6716417910447764E-2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335</v>
      </c>
      <c r="C15" s="35">
        <f>IF(B$3=0,0,B15/B$3)</f>
        <v>0.30234657039711194</v>
      </c>
      <c r="E15" s="59" t="s">
        <v>78</v>
      </c>
      <c r="F15" s="56" t="s">
        <v>33</v>
      </c>
      <c r="G15" s="44">
        <v>9</v>
      </c>
      <c r="H15" s="129">
        <f>IF(B$15=0,0,G15/B$15)</f>
        <v>2.6865671641791045E-2</v>
      </c>
      <c r="I15" s="90">
        <v>5</v>
      </c>
      <c r="K15" s="36">
        <v>13</v>
      </c>
      <c r="L15" s="95">
        <v>-86.8</v>
      </c>
      <c r="N15" s="110" t="s">
        <v>228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207</v>
      </c>
      <c r="C16" s="37">
        <f>IF(B$3=0,0,B16/B$3)</f>
        <v>0.18682310469314078</v>
      </c>
      <c r="E16" s="59" t="s">
        <v>91</v>
      </c>
      <c r="F16" s="56" t="s">
        <v>46</v>
      </c>
      <c r="G16" s="44">
        <v>9</v>
      </c>
      <c r="H16" s="129">
        <f>IF(B$15=0,0,G16/B$15)</f>
        <v>2.6865671641791045E-2</v>
      </c>
      <c r="I16" s="90">
        <v>2</v>
      </c>
      <c r="K16" s="36">
        <v>14</v>
      </c>
      <c r="L16" s="95">
        <v>-138.4</v>
      </c>
      <c r="N16" s="111" t="s">
        <v>274</v>
      </c>
      <c r="O16" s="121">
        <f t="shared" si="2"/>
        <v>64.3</v>
      </c>
      <c r="P16" s="115">
        <v>1</v>
      </c>
      <c r="Q16" s="103">
        <v>64.3</v>
      </c>
    </row>
    <row r="17" spans="1:17" x14ac:dyDescent="0.45">
      <c r="A17" s="51" t="s">
        <v>12</v>
      </c>
      <c r="B17" s="44">
        <v>139</v>
      </c>
      <c r="C17" s="37">
        <f>IF(B$15=0,0,B17/B$15)</f>
        <v>0.41492537313432837</v>
      </c>
      <c r="E17" s="59" t="s">
        <v>81</v>
      </c>
      <c r="F17" s="56" t="s">
        <v>36</v>
      </c>
      <c r="G17" s="44">
        <v>8</v>
      </c>
      <c r="H17" s="129">
        <f>IF(B$15=0,0,G17/B$15)</f>
        <v>2.3880597014925373E-2</v>
      </c>
      <c r="I17" s="90">
        <v>2</v>
      </c>
      <c r="K17" s="36">
        <v>15</v>
      </c>
      <c r="L17" s="95">
        <v>-144.30000000000001</v>
      </c>
      <c r="N17" s="111" t="s">
        <v>197</v>
      </c>
      <c r="O17" s="121">
        <f t="shared" si="2"/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196</v>
      </c>
      <c r="C18" s="37">
        <f>IF(B$15=0,0,B18/B$15)</f>
        <v>0.58507462686567169</v>
      </c>
      <c r="E18" s="59" t="s">
        <v>79</v>
      </c>
      <c r="F18" s="56" t="s">
        <v>34</v>
      </c>
      <c r="G18" s="44">
        <v>6</v>
      </c>
      <c r="H18" s="129">
        <f>IF(B$15=0,0,G18/B$15)</f>
        <v>1.7910447761194031E-2</v>
      </c>
      <c r="I18" s="90">
        <v>5</v>
      </c>
      <c r="K18" s="36">
        <v>16</v>
      </c>
      <c r="L18" s="95">
        <v>-187.3</v>
      </c>
      <c r="N18" s="111" t="s">
        <v>172</v>
      </c>
      <c r="O18" s="121">
        <f t="shared" si="2"/>
        <v>15.928260869565211</v>
      </c>
      <c r="P18" s="115">
        <v>46</v>
      </c>
      <c r="Q18" s="103">
        <v>732.6999999999997</v>
      </c>
    </row>
    <row r="19" spans="1:17" x14ac:dyDescent="0.45">
      <c r="A19" s="51" t="s">
        <v>195</v>
      </c>
      <c r="B19" s="44">
        <v>126</v>
      </c>
      <c r="C19" s="37">
        <f>IF(B$15=0,0,B19/B$15)</f>
        <v>0.37611940298507462</v>
      </c>
      <c r="E19" s="59" t="s">
        <v>162</v>
      </c>
      <c r="F19" s="56" t="s">
        <v>163</v>
      </c>
      <c r="G19" s="44">
        <v>4</v>
      </c>
      <c r="H19" s="129">
        <f>IF(B$15=0,0,G19/B$15)</f>
        <v>1.1940298507462687E-2</v>
      </c>
      <c r="I19" s="90">
        <v>7</v>
      </c>
      <c r="K19" s="36">
        <v>17</v>
      </c>
      <c r="L19" s="95">
        <v>-179.70000000000002</v>
      </c>
      <c r="N19" s="111" t="s">
        <v>196</v>
      </c>
      <c r="O19" s="121">
        <f t="shared" si="2"/>
        <v>13.5</v>
      </c>
      <c r="P19" s="115">
        <v>5</v>
      </c>
      <c r="Q19" s="103">
        <v>67.5</v>
      </c>
    </row>
    <row r="20" spans="1:17" x14ac:dyDescent="0.45">
      <c r="A20" s="51" t="s">
        <v>193</v>
      </c>
      <c r="B20" s="44">
        <v>129</v>
      </c>
      <c r="C20" s="37">
        <f>IF(B$15=0,0,B20/B$15)</f>
        <v>0.38507462686567162</v>
      </c>
      <c r="E20" s="59" t="s">
        <v>92</v>
      </c>
      <c r="F20" s="56" t="s">
        <v>47</v>
      </c>
      <c r="G20" s="44">
        <v>3</v>
      </c>
      <c r="H20" s="129">
        <f>IF(B$15=0,0,G20/B$15)</f>
        <v>8.9552238805970154E-3</v>
      </c>
      <c r="I20" s="90">
        <v>3</v>
      </c>
      <c r="K20" s="36">
        <v>18</v>
      </c>
      <c r="L20" s="95">
        <v>-112.90000000000002</v>
      </c>
      <c r="N20" s="111" t="s">
        <v>161</v>
      </c>
      <c r="O20" s="121">
        <f t="shared" si="2"/>
        <v>4.1851851851851842</v>
      </c>
      <c r="P20" s="115">
        <v>27</v>
      </c>
      <c r="Q20" s="103">
        <v>112.99999999999999</v>
      </c>
    </row>
    <row r="21" spans="1:17" x14ac:dyDescent="0.45">
      <c r="A21" s="51" t="s">
        <v>194</v>
      </c>
      <c r="B21" s="44">
        <v>80</v>
      </c>
      <c r="C21" s="37">
        <f>IF(B$15=0,0,B21/B$15)</f>
        <v>0.23880597014925373</v>
      </c>
      <c r="E21" s="59" t="s">
        <v>74</v>
      </c>
      <c r="F21" s="56" t="s">
        <v>29</v>
      </c>
      <c r="G21" s="44">
        <v>2</v>
      </c>
      <c r="H21" s="129">
        <f>IF(B$15=0,0,G21/B$15)</f>
        <v>5.9701492537313433E-3</v>
      </c>
      <c r="I21" s="90">
        <v>3</v>
      </c>
      <c r="K21" s="36">
        <v>19</v>
      </c>
      <c r="L21" s="95">
        <v>-162.40000000000003</v>
      </c>
      <c r="N21" s="111" t="s">
        <v>170</v>
      </c>
      <c r="O21" s="121">
        <f t="shared" si="2"/>
        <v>3.5842105263157951</v>
      </c>
      <c r="P21" s="115">
        <v>38</v>
      </c>
      <c r="Q21" s="103">
        <v>136.20000000000022</v>
      </c>
    </row>
    <row r="22" spans="1:17" x14ac:dyDescent="0.45">
      <c r="A22" s="51" t="s">
        <v>5</v>
      </c>
      <c r="B22" s="48">
        <f>IF(B$15=0,0,C22/B$15)</f>
        <v>8440.2985074626868</v>
      </c>
      <c r="C22" s="39">
        <v>2827500</v>
      </c>
      <c r="E22" s="59" t="s">
        <v>75</v>
      </c>
      <c r="F22" s="56" t="s">
        <v>30</v>
      </c>
      <c r="G22" s="44">
        <v>2</v>
      </c>
      <c r="H22" s="129">
        <f>IF(B$15=0,0,G22/B$15)</f>
        <v>5.9701492537313433E-3</v>
      </c>
      <c r="I22" s="90">
        <v>6</v>
      </c>
      <c r="K22" s="36">
        <v>20</v>
      </c>
      <c r="L22" s="95">
        <v>-96.000000000000028</v>
      </c>
      <c r="N22" s="111" t="s">
        <v>171</v>
      </c>
      <c r="O22" s="121">
        <f t="shared" si="2"/>
        <v>-0.33499999999999791</v>
      </c>
      <c r="P22" s="115">
        <v>40</v>
      </c>
      <c r="Q22" s="103">
        <v>-13.399999999999917</v>
      </c>
    </row>
    <row r="23" spans="1:17" x14ac:dyDescent="0.45">
      <c r="A23" s="52" t="s">
        <v>177</v>
      </c>
      <c r="B23" s="136">
        <f>IF($B$15-B$14=0,0,C23/($B$15-B$14))</f>
        <v>9148.5436893203878</v>
      </c>
      <c r="C23" s="137">
        <v>1884600</v>
      </c>
      <c r="E23" s="59" t="s">
        <v>73</v>
      </c>
      <c r="F23" s="56" t="s">
        <v>28</v>
      </c>
      <c r="G23" s="44">
        <v>1</v>
      </c>
      <c r="H23" s="129">
        <f>IF(B$15=0,0,G23/B$15)</f>
        <v>2.9850746268656717E-3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 t="shared" si="2"/>
        <v>-13.324175824175827</v>
      </c>
      <c r="P23" s="115">
        <v>91</v>
      </c>
      <c r="Q23" s="103">
        <v>-1212.5000000000002</v>
      </c>
    </row>
    <row r="24" spans="1:17" x14ac:dyDescent="0.45">
      <c r="A24" s="52" t="s">
        <v>178</v>
      </c>
      <c r="B24" s="136">
        <f>IF(B$14=0,0,C24/B$14)</f>
        <v>7309.3023255813951</v>
      </c>
      <c r="C24" s="137">
        <v>942900</v>
      </c>
      <c r="E24" s="59" t="s">
        <v>77</v>
      </c>
      <c r="F24" s="56" t="s">
        <v>32</v>
      </c>
      <c r="G24" s="44">
        <v>1</v>
      </c>
      <c r="H24" s="129">
        <f>IF(B$15=0,0,G24/B$15)</f>
        <v>2.9850746268656717E-3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-7874.8792270531403</v>
      </c>
      <c r="C25" s="137">
        <v>-1630100</v>
      </c>
      <c r="E25" s="59" t="s">
        <v>84</v>
      </c>
      <c r="F25" s="56" t="s">
        <v>39</v>
      </c>
      <c r="G25" s="44">
        <v>1</v>
      </c>
      <c r="H25" s="129">
        <f>IF(B$15=0,0,G25/B$15)</f>
        <v>2.9850746268656717E-3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90</v>
      </c>
      <c r="F26" s="56" t="s">
        <v>45</v>
      </c>
      <c r="G26" s="44">
        <v>1</v>
      </c>
      <c r="H26" s="129">
        <f>IF(B$15=0,0,G26/B$15)</f>
        <v>2.9850746268656717E-3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6</v>
      </c>
      <c r="E27" s="59" t="s">
        <v>95</v>
      </c>
      <c r="F27" s="56" t="s">
        <v>50</v>
      </c>
      <c r="G27" s="44">
        <v>1</v>
      </c>
      <c r="H27" s="129">
        <f>IF(B$15=0,0,G27/B$15)</f>
        <v>2.9850746268656717E-3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56">
        <v>8</v>
      </c>
      <c r="C28" s="157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54">
        <v>91800</v>
      </c>
      <c r="C29" s="155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3.6101083032490976E-3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23</v>
      </c>
      <c r="C32" s="141">
        <f>IF(B$15=0,0,B32/B$15)</f>
        <v>6.8656716417910449E-2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53</v>
      </c>
      <c r="C33" s="37">
        <f t="shared" ref="C33:C44" si="3">IF(B$15=0,0,B33/B$15)</f>
        <v>0.15820895522388059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69</v>
      </c>
      <c r="C34" s="37">
        <f>IF(B$15=0,0,B34/B$15)</f>
        <v>0.20597014925373133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72</v>
      </c>
      <c r="C35" s="37">
        <f t="shared" si="3"/>
        <v>0.21492537313432836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50</v>
      </c>
      <c r="C36" s="37">
        <f t="shared" si="3"/>
        <v>0.14925373134328357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38</v>
      </c>
      <c r="C37" s="37">
        <f t="shared" si="3"/>
        <v>0.11343283582089553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10</v>
      </c>
      <c r="C38" s="37">
        <f t="shared" si="3"/>
        <v>2.9850746268656716E-2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3"/>
        <v>2.3880597014925373E-2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3"/>
        <v>1.4925373134328358E-2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3"/>
        <v>2.9850746268656717E-3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3"/>
        <v>5.9701492537313433E-3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3"/>
        <v>1.1940298507462687E-2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</sheetData>
  <sortState xmlns:xlrd2="http://schemas.microsoft.com/office/spreadsheetml/2017/richdata2" ref="E2:I13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F757-5CF2-4536-88D9-D3B001E25C97}">
  <sheetPr codeName="Sheet13"/>
  <dimension ref="A1:Q8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60" t="s">
        <v>172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62">
        <v>87</v>
      </c>
      <c r="C2" s="163"/>
      <c r="E2" s="58" t="s">
        <v>66</v>
      </c>
      <c r="F2" s="55" t="s">
        <v>22</v>
      </c>
      <c r="G2" s="43">
        <v>163</v>
      </c>
      <c r="H2" s="128">
        <f>IF(B$15=0,0,G2/B$15)</f>
        <v>0.78365384615384615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-372.09302325581393</v>
      </c>
      <c r="P2" s="114">
        <v>86</v>
      </c>
      <c r="Q2" s="98">
        <v>-32000</v>
      </c>
    </row>
    <row r="3" spans="1:17" x14ac:dyDescent="0.45">
      <c r="A3" s="51" t="s">
        <v>8</v>
      </c>
      <c r="B3" s="164">
        <v>739</v>
      </c>
      <c r="C3" s="165"/>
      <c r="E3" s="59" t="s">
        <v>64</v>
      </c>
      <c r="F3" s="56" t="s">
        <v>20</v>
      </c>
      <c r="G3" s="44">
        <v>117</v>
      </c>
      <c r="H3" s="129">
        <f>IF(B$15=0,0,G3/B$15)</f>
        <v>0.5625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-1181.3953488372092</v>
      </c>
      <c r="P3" s="115">
        <v>86</v>
      </c>
      <c r="Q3" s="99">
        <v>-101600</v>
      </c>
    </row>
    <row r="4" spans="1:17" x14ac:dyDescent="0.45">
      <c r="A4" s="51" t="s">
        <v>6</v>
      </c>
      <c r="B4" s="166">
        <v>-549.60000000000014</v>
      </c>
      <c r="C4" s="167"/>
      <c r="E4" s="59" t="s">
        <v>72</v>
      </c>
      <c r="F4" s="56" t="s">
        <v>27</v>
      </c>
      <c r="G4" s="44">
        <v>103</v>
      </c>
      <c r="H4" s="129">
        <f>IF(B$15=0,0,G4/B$15)</f>
        <v>0.49519230769230771</v>
      </c>
      <c r="I4" s="90">
        <v>10</v>
      </c>
      <c r="K4" s="36">
        <v>2</v>
      </c>
      <c r="L4" s="95">
        <v>-30.099999999999998</v>
      </c>
      <c r="N4" s="111" t="s">
        <v>132</v>
      </c>
      <c r="O4" s="118">
        <f t="shared" si="0"/>
        <v>557.5</v>
      </c>
      <c r="P4" s="115">
        <v>80</v>
      </c>
      <c r="Q4" s="99">
        <v>44600</v>
      </c>
    </row>
    <row r="5" spans="1:17" x14ac:dyDescent="0.45">
      <c r="A5" s="51" t="s">
        <v>7</v>
      </c>
      <c r="B5" s="168">
        <f>IF(B$2=0,0,B$4/B$2)</f>
        <v>-6.3172413793103468</v>
      </c>
      <c r="C5" s="169"/>
      <c r="E5" s="59" t="s">
        <v>166</v>
      </c>
      <c r="F5" s="56" t="s">
        <v>167</v>
      </c>
      <c r="G5" s="44">
        <v>87</v>
      </c>
      <c r="H5" s="129">
        <f>IF(B$15=0,0,G5/B$15)</f>
        <v>0.41826923076923078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-359.49367088607596</v>
      </c>
      <c r="P5" s="115">
        <v>79</v>
      </c>
      <c r="Q5" s="99">
        <v>-28400</v>
      </c>
    </row>
    <row r="6" spans="1:17" x14ac:dyDescent="0.45">
      <c r="A6" s="51" t="s">
        <v>1</v>
      </c>
      <c r="B6" s="158">
        <f>IF(B$2=0,0,(B$7*1+B$8*2+B$9*3)/B$2)</f>
        <v>2.1609195402298851</v>
      </c>
      <c r="C6" s="159"/>
      <c r="E6" s="59" t="s">
        <v>68</v>
      </c>
      <c r="F6" s="56" t="s">
        <v>12</v>
      </c>
      <c r="G6" s="44">
        <v>69</v>
      </c>
      <c r="H6" s="129">
        <f>IF(B$15=0,0,G6/B$15)</f>
        <v>0.33173076923076922</v>
      </c>
      <c r="I6" s="90">
        <v>5</v>
      </c>
      <c r="K6" s="36">
        <v>4</v>
      </c>
      <c r="L6" s="95">
        <v>-54.899999999999991</v>
      </c>
      <c r="N6" s="111" t="s">
        <v>134</v>
      </c>
      <c r="O6" s="118">
        <f t="shared" si="0"/>
        <v>-2947.2972972972975</v>
      </c>
      <c r="P6" s="115">
        <v>74</v>
      </c>
      <c r="Q6" s="99">
        <v>-218100</v>
      </c>
    </row>
    <row r="7" spans="1:17" x14ac:dyDescent="0.45">
      <c r="A7" s="51" t="s">
        <v>2</v>
      </c>
      <c r="B7" s="44">
        <v>19</v>
      </c>
      <c r="C7" s="37">
        <f t="shared" ref="C7:C10" si="1">IF(B$2=0,0,B7/B$2)</f>
        <v>0.21839080459770116</v>
      </c>
      <c r="E7" s="59" t="s">
        <v>67</v>
      </c>
      <c r="F7" s="56" t="s">
        <v>23</v>
      </c>
      <c r="G7" s="44">
        <v>61</v>
      </c>
      <c r="H7" s="129">
        <f>IF(B$15=0,0,G7/B$15)</f>
        <v>0.29326923076923078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-1339.0625</v>
      </c>
      <c r="P7" s="116">
        <v>64</v>
      </c>
      <c r="Q7" s="100">
        <v>-85700</v>
      </c>
    </row>
    <row r="8" spans="1:17" x14ac:dyDescent="0.45">
      <c r="A8" s="51" t="s">
        <v>3</v>
      </c>
      <c r="B8" s="44">
        <v>35</v>
      </c>
      <c r="C8" s="37">
        <f t="shared" si="1"/>
        <v>0.40229885057471265</v>
      </c>
      <c r="E8" s="59" t="s">
        <v>69</v>
      </c>
      <c r="F8" s="56" t="s">
        <v>24</v>
      </c>
      <c r="G8" s="44">
        <v>29</v>
      </c>
      <c r="H8" s="129">
        <f>IF(B$15=0,0,G8/B$15)</f>
        <v>0.13942307692307693</v>
      </c>
      <c r="I8" s="90">
        <v>8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0.37931034482758619</v>
      </c>
      <c r="E9" s="59" t="s">
        <v>70</v>
      </c>
      <c r="F9" s="56" t="s">
        <v>25</v>
      </c>
      <c r="G9" s="44">
        <v>26</v>
      </c>
      <c r="H9" s="129">
        <f>IF(B$15=0,0,G9/B$15)</f>
        <v>0.125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8.0459770114942528E-2</v>
      </c>
      <c r="E10" s="59" t="s">
        <v>65</v>
      </c>
      <c r="F10" s="56" t="s">
        <v>21</v>
      </c>
      <c r="G10" s="44">
        <v>24</v>
      </c>
      <c r="H10" s="129">
        <f>IF(B$15=0,0,G10/B$15)</f>
        <v>0.11538461538461539</v>
      </c>
      <c r="I10" s="90">
        <v>7</v>
      </c>
      <c r="K10" s="36">
        <v>8</v>
      </c>
      <c r="L10" s="95">
        <v>-62.999999999999993</v>
      </c>
      <c r="N10" s="110" t="s">
        <v>157</v>
      </c>
      <c r="O10" s="120">
        <f>IF(P10=0,0,Q10/P10)</f>
        <v>-3.9914285714285729</v>
      </c>
      <c r="P10" s="114">
        <v>35</v>
      </c>
      <c r="Q10" s="102">
        <v>-139.70000000000005</v>
      </c>
    </row>
    <row r="11" spans="1:17" x14ac:dyDescent="0.45">
      <c r="A11" s="54" t="s">
        <v>121</v>
      </c>
      <c r="B11" s="47">
        <v>209</v>
      </c>
      <c r="C11" s="42">
        <f>IF(B$3=0,0,B11/B$3)</f>
        <v>0.28281461434370769</v>
      </c>
      <c r="E11" s="59" t="s">
        <v>89</v>
      </c>
      <c r="F11" s="56" t="s">
        <v>44</v>
      </c>
      <c r="G11" s="44">
        <v>24</v>
      </c>
      <c r="H11" s="129">
        <f>IF(B$15=0,0,G11/B$15)</f>
        <v>0.11538461538461539</v>
      </c>
      <c r="I11" s="90">
        <v>10</v>
      </c>
      <c r="K11" s="36">
        <v>9</v>
      </c>
      <c r="L11" s="95">
        <v>-74.199999999999989</v>
      </c>
      <c r="N11" s="111" t="s">
        <v>158</v>
      </c>
      <c r="O11" s="121">
        <f>IF(P11=0,0,Q11/P11)</f>
        <v>-7.8708333333333345</v>
      </c>
      <c r="P11" s="115">
        <v>24</v>
      </c>
      <c r="Q11" s="103">
        <v>-188.90000000000003</v>
      </c>
    </row>
    <row r="12" spans="1:17" x14ac:dyDescent="0.45">
      <c r="A12" s="51" t="s">
        <v>118</v>
      </c>
      <c r="B12" s="44">
        <v>149</v>
      </c>
      <c r="C12" s="37">
        <f>IF(B$3=0,0,B12/B$3)</f>
        <v>0.20162381596752368</v>
      </c>
      <c r="E12" s="59" t="s">
        <v>83</v>
      </c>
      <c r="F12" s="56" t="s">
        <v>38</v>
      </c>
      <c r="G12" s="44">
        <v>10</v>
      </c>
      <c r="H12" s="129">
        <f>IF(B$15=0,0,G12/B$15)</f>
        <v>4.807692307692308E-2</v>
      </c>
      <c r="I12" s="90">
        <v>8</v>
      </c>
      <c r="K12" s="36">
        <v>10</v>
      </c>
      <c r="L12" s="95">
        <v>-117.19999999999999</v>
      </c>
      <c r="N12" s="112" t="s">
        <v>159</v>
      </c>
      <c r="O12" s="122">
        <f>IF(P12=0,0,Q12/P12)</f>
        <v>-7.8928571428571406</v>
      </c>
      <c r="P12" s="116">
        <v>28</v>
      </c>
      <c r="Q12" s="104">
        <v>-220.99999999999994</v>
      </c>
    </row>
    <row r="13" spans="1:17" x14ac:dyDescent="0.45">
      <c r="A13" s="50" t="s">
        <v>123</v>
      </c>
      <c r="B13" s="43">
        <f>B19</f>
        <v>116</v>
      </c>
      <c r="C13" s="35">
        <f>IF(B$11=0,0,B13/B$11)</f>
        <v>0.55502392344497609</v>
      </c>
      <c r="E13" s="59" t="s">
        <v>71</v>
      </c>
      <c r="F13" s="56" t="s">
        <v>26</v>
      </c>
      <c r="G13" s="44">
        <v>9</v>
      </c>
      <c r="H13" s="129">
        <f>IF(B$15=0,0,G13/B$15)</f>
        <v>4.3269230769230768E-2</v>
      </c>
      <c r="I13" s="90">
        <v>13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62</v>
      </c>
      <c r="C14" s="35">
        <f>IF(B$12=0,0,B14/B$12)</f>
        <v>0.41610738255033558</v>
      </c>
      <c r="E14" s="59" t="s">
        <v>86</v>
      </c>
      <c r="F14" s="56" t="s">
        <v>41</v>
      </c>
      <c r="G14" s="44">
        <v>9</v>
      </c>
      <c r="H14" s="129">
        <f>IF(B$15=0,0,G14/B$15)</f>
        <v>4.3269230769230768E-2</v>
      </c>
      <c r="I14" s="90">
        <v>9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208</v>
      </c>
      <c r="C15" s="35">
        <f>IF(B$3=0,0,B15/B$3)</f>
        <v>0.28146143437077131</v>
      </c>
      <c r="E15" s="59" t="s">
        <v>78</v>
      </c>
      <c r="F15" s="56" t="s">
        <v>33</v>
      </c>
      <c r="G15" s="44">
        <v>7</v>
      </c>
      <c r="H15" s="129">
        <f>IF(B$15=0,0,G15/B$15)</f>
        <v>3.3653846153846152E-2</v>
      </c>
      <c r="I15" s="90">
        <v>4</v>
      </c>
      <c r="K15" s="36">
        <v>13</v>
      </c>
      <c r="L15" s="95">
        <v>-207.3</v>
      </c>
      <c r="N15" s="110" t="s">
        <v>161</v>
      </c>
      <c r="O15" s="120">
        <f t="shared" ref="O15:O23" si="2">IF(P15=0,0,Q15/P15)</f>
        <v>8.6066666666666709</v>
      </c>
      <c r="P15" s="114">
        <v>15</v>
      </c>
      <c r="Q15" s="102">
        <v>129.10000000000005</v>
      </c>
    </row>
    <row r="16" spans="1:17" x14ac:dyDescent="0.45">
      <c r="A16" s="51" t="s">
        <v>13</v>
      </c>
      <c r="B16" s="44">
        <v>139</v>
      </c>
      <c r="C16" s="37">
        <f>IF(B$3=0,0,B16/B$3)</f>
        <v>0.18809201623815969</v>
      </c>
      <c r="E16" s="59" t="s">
        <v>162</v>
      </c>
      <c r="F16" s="56" t="s">
        <v>163</v>
      </c>
      <c r="G16" s="44">
        <v>4</v>
      </c>
      <c r="H16" s="129">
        <f>IF(B$15=0,0,G16/B$15)</f>
        <v>1.9230769230769232E-2</v>
      </c>
      <c r="I16" s="90">
        <v>5</v>
      </c>
      <c r="K16" s="36">
        <v>14</v>
      </c>
      <c r="L16" s="95">
        <v>-204.8</v>
      </c>
      <c r="N16" s="111" t="s">
        <v>197</v>
      </c>
      <c r="O16" s="121">
        <f t="shared" si="2"/>
        <v>3.1666666666666656</v>
      </c>
      <c r="P16" s="115">
        <v>3</v>
      </c>
      <c r="Q16" s="103">
        <v>9.4999999999999964</v>
      </c>
    </row>
    <row r="17" spans="1:17" x14ac:dyDescent="0.45">
      <c r="A17" s="51" t="s">
        <v>12</v>
      </c>
      <c r="B17" s="44">
        <v>95</v>
      </c>
      <c r="C17" s="37">
        <f>IF(B$15=0,0,B17/B$15)</f>
        <v>0.45673076923076922</v>
      </c>
      <c r="E17" s="59" t="s">
        <v>75</v>
      </c>
      <c r="F17" s="56" t="s">
        <v>30</v>
      </c>
      <c r="G17" s="44">
        <v>3</v>
      </c>
      <c r="H17" s="129">
        <f>IF(B$15=0,0,G17/B$15)</f>
        <v>1.4423076923076924E-2</v>
      </c>
      <c r="I17" s="90">
        <v>2</v>
      </c>
      <c r="K17" s="36">
        <v>15</v>
      </c>
      <c r="L17" s="95">
        <v>-221.5</v>
      </c>
      <c r="N17" s="111" t="s">
        <v>170</v>
      </c>
      <c r="O17" s="121">
        <f t="shared" si="2"/>
        <v>2.5450000000000008</v>
      </c>
      <c r="P17" s="115">
        <v>20</v>
      </c>
      <c r="Q17" s="103">
        <v>50.90000000000002</v>
      </c>
    </row>
    <row r="18" spans="1:17" x14ac:dyDescent="0.45">
      <c r="A18" s="51" t="s">
        <v>11</v>
      </c>
      <c r="B18" s="44">
        <v>113</v>
      </c>
      <c r="C18" s="37">
        <f>IF(B$15=0,0,B18/B$15)</f>
        <v>0.54326923076923073</v>
      </c>
      <c r="E18" s="59" t="s">
        <v>79</v>
      </c>
      <c r="F18" s="56" t="s">
        <v>34</v>
      </c>
      <c r="G18" s="44">
        <v>3</v>
      </c>
      <c r="H18" s="129">
        <f>IF(B$15=0,0,G18/B$15)</f>
        <v>1.4423076923076924E-2</v>
      </c>
      <c r="I18" s="90">
        <v>6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116</v>
      </c>
      <c r="C19" s="37">
        <f>IF(B$15=0,0,B19/B$15)</f>
        <v>0.55769230769230771</v>
      </c>
      <c r="E19" s="59" t="s">
        <v>81</v>
      </c>
      <c r="F19" s="56" t="s">
        <v>36</v>
      </c>
      <c r="G19" s="44">
        <v>3</v>
      </c>
      <c r="H19" s="129">
        <f>IF(B$15=0,0,G19/B$15)</f>
        <v>1.4423076923076924E-2</v>
      </c>
      <c r="I19" s="90">
        <v>8</v>
      </c>
      <c r="K19" s="36">
        <v>17</v>
      </c>
      <c r="L19" s="95">
        <v>-251.4</v>
      </c>
      <c r="N19" s="111" t="s">
        <v>126</v>
      </c>
      <c r="O19" s="121">
        <f t="shared" si="2"/>
        <v>-12.788888888888891</v>
      </c>
      <c r="P19" s="115">
        <v>54</v>
      </c>
      <c r="Q19" s="103">
        <v>-690.60000000000014</v>
      </c>
    </row>
    <row r="20" spans="1:17" x14ac:dyDescent="0.45">
      <c r="A20" s="51" t="s">
        <v>193</v>
      </c>
      <c r="B20" s="44">
        <v>62</v>
      </c>
      <c r="C20" s="37">
        <f>IF(B$15=0,0,B20/B$15)</f>
        <v>0.29807692307692307</v>
      </c>
      <c r="E20" s="59" t="s">
        <v>91</v>
      </c>
      <c r="F20" s="56" t="s">
        <v>46</v>
      </c>
      <c r="G20" s="44">
        <v>1</v>
      </c>
      <c r="H20" s="129">
        <f>IF(B$15=0,0,G20/B$15)</f>
        <v>4.807692307692308E-3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 t="shared" si="2"/>
        <v>-13.237499999999999</v>
      </c>
      <c r="P20" s="115">
        <v>24</v>
      </c>
      <c r="Q20" s="103">
        <v>-317.7</v>
      </c>
    </row>
    <row r="21" spans="1:17" x14ac:dyDescent="0.45">
      <c r="A21" s="51" t="s">
        <v>194</v>
      </c>
      <c r="B21" s="44">
        <v>30</v>
      </c>
      <c r="C21" s="37">
        <f>IF(B$15=0,0,B21/B$15)</f>
        <v>0.14423076923076922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-15.928260869565211</v>
      </c>
      <c r="P21" s="115">
        <v>46</v>
      </c>
      <c r="Q21" s="103">
        <v>-732.6999999999997</v>
      </c>
    </row>
    <row r="22" spans="1:17" x14ac:dyDescent="0.45">
      <c r="A22" s="51" t="s">
        <v>5</v>
      </c>
      <c r="B22" s="48">
        <f>IF(B$15=0,0,C22/B$15)</f>
        <v>7688.4615384615381</v>
      </c>
      <c r="C22" s="39">
        <v>1599200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-42.1</v>
      </c>
      <c r="P22" s="115">
        <v>1</v>
      </c>
      <c r="Q22" s="103">
        <v>-42.1</v>
      </c>
    </row>
    <row r="23" spans="1:17" x14ac:dyDescent="0.45">
      <c r="A23" s="52" t="s">
        <v>177</v>
      </c>
      <c r="B23" s="136">
        <f>IF($B$15-B$14=0,0,C23/($B$15-B$14))</f>
        <v>8317.8082191780813</v>
      </c>
      <c r="C23" s="137">
        <v>1214400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6206.4516129032254</v>
      </c>
      <c r="C24" s="137">
        <v>384800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-7452.517985611511</v>
      </c>
      <c r="C25" s="137">
        <v>-1035900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9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56">
        <v>8</v>
      </c>
      <c r="C28" s="157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54">
        <v>69500</v>
      </c>
      <c r="C29" s="155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4.0595399188092015E-3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15</v>
      </c>
      <c r="C32" s="141">
        <f>IF(B$15=0,0,B32/B$15)</f>
        <v>7.2115384615384609E-2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0.1875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47</v>
      </c>
      <c r="C34" s="37">
        <f>IF(B$15=0,0,B34/B$15)</f>
        <v>0.22596153846153846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31</v>
      </c>
      <c r="C35" s="37">
        <f t="shared" si="3"/>
        <v>0.14903846153846154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35</v>
      </c>
      <c r="C36" s="37">
        <f t="shared" si="3"/>
        <v>0.16826923076923078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21</v>
      </c>
      <c r="C37" s="37">
        <f t="shared" si="3"/>
        <v>0.10096153846153846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12</v>
      </c>
      <c r="C38" s="37">
        <f t="shared" si="3"/>
        <v>5.7692307692307696E-2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4</v>
      </c>
      <c r="C39" s="37">
        <f t="shared" si="3"/>
        <v>1.9230769230769232E-2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4.807692307692308E-3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4.807692307692308E-3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9.6153846153846159E-3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</sheetData>
  <sortState xmlns:xlrd2="http://schemas.microsoft.com/office/spreadsheetml/2017/richdata2" ref="E2:I9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31DC-A1BB-4540-93F5-6AC2AD443A34}">
  <sheetPr codeName="Sheet15"/>
  <dimension ref="A1:Q102"/>
  <sheetViews>
    <sheetView showGridLines="0" zoomScaleNormal="100" workbookViewId="0">
      <selection activeCell="O20" sqref="O20"/>
    </sheetView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60" t="s">
        <v>170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62">
        <v>100</v>
      </c>
      <c r="C2" s="163"/>
      <c r="E2" s="58" t="s">
        <v>66</v>
      </c>
      <c r="F2" s="55" t="s">
        <v>22</v>
      </c>
      <c r="G2" s="43">
        <v>188</v>
      </c>
      <c r="H2" s="128">
        <f>IF(B$15=0,0,G2/B$15)</f>
        <v>0.8392857142857143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1424</v>
      </c>
      <c r="P2" s="114">
        <v>100</v>
      </c>
      <c r="Q2" s="98">
        <v>142400</v>
      </c>
    </row>
    <row r="3" spans="1:17" x14ac:dyDescent="0.45">
      <c r="A3" s="51" t="s">
        <v>8</v>
      </c>
      <c r="B3" s="164">
        <v>804</v>
      </c>
      <c r="C3" s="165"/>
      <c r="E3" s="59" t="s">
        <v>64</v>
      </c>
      <c r="F3" s="56" t="s">
        <v>20</v>
      </c>
      <c r="G3" s="44">
        <v>126</v>
      </c>
      <c r="H3" s="129">
        <f>IF(B$15=0,0,G3/B$15)</f>
        <v>0.5625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-1321.4285714285713</v>
      </c>
      <c r="P3" s="115">
        <v>98</v>
      </c>
      <c r="Q3" s="99">
        <v>-129500</v>
      </c>
    </row>
    <row r="4" spans="1:17" x14ac:dyDescent="0.45">
      <c r="A4" s="51" t="s">
        <v>6</v>
      </c>
      <c r="B4" s="166">
        <v>350.30000000000018</v>
      </c>
      <c r="C4" s="167"/>
      <c r="E4" s="59" t="s">
        <v>72</v>
      </c>
      <c r="F4" s="56" t="s">
        <v>27</v>
      </c>
      <c r="G4" s="44">
        <v>124</v>
      </c>
      <c r="H4" s="129">
        <f>IF(B$15=0,0,G4/B$15)</f>
        <v>0.5535714285714286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-332.58426966292137</v>
      </c>
      <c r="P4" s="115">
        <v>89</v>
      </c>
      <c r="Q4" s="99">
        <v>-29600</v>
      </c>
    </row>
    <row r="5" spans="1:17" x14ac:dyDescent="0.45">
      <c r="A5" s="51" t="s">
        <v>7</v>
      </c>
      <c r="B5" s="168">
        <f>IF(B$2=0,0,B$4/B$2)</f>
        <v>3.5030000000000019</v>
      </c>
      <c r="C5" s="169"/>
      <c r="E5" s="59" t="s">
        <v>67</v>
      </c>
      <c r="F5" s="56" t="s">
        <v>23</v>
      </c>
      <c r="G5" s="44">
        <v>98</v>
      </c>
      <c r="H5" s="129">
        <f>IF(B$15=0,0,G5/B$15)</f>
        <v>0.4375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2781.1764705882351</v>
      </c>
      <c r="P5" s="115">
        <v>85</v>
      </c>
      <c r="Q5" s="99">
        <v>236400</v>
      </c>
    </row>
    <row r="6" spans="1:17" x14ac:dyDescent="0.45">
      <c r="A6" s="51" t="s">
        <v>1</v>
      </c>
      <c r="B6" s="158">
        <f>IF(B$2=0,0,(B$7*1+B$8*2+B$9*3)/B$2)</f>
        <v>1.93</v>
      </c>
      <c r="C6" s="159"/>
      <c r="E6" s="59" t="s">
        <v>68</v>
      </c>
      <c r="F6" s="56" t="s">
        <v>12</v>
      </c>
      <c r="G6" s="44">
        <v>91</v>
      </c>
      <c r="H6" s="129">
        <f>IF(B$15=0,0,G6/B$15)</f>
        <v>0.40625</v>
      </c>
      <c r="I6" s="90">
        <v>3</v>
      </c>
      <c r="K6" s="36">
        <v>4</v>
      </c>
      <c r="L6" s="95">
        <v>-74.599999999999994</v>
      </c>
      <c r="N6" s="111" t="s">
        <v>134</v>
      </c>
      <c r="O6" s="118">
        <f t="shared" si="0"/>
        <v>294.73684210526318</v>
      </c>
      <c r="P6" s="115">
        <v>76</v>
      </c>
      <c r="Q6" s="99">
        <v>22400</v>
      </c>
    </row>
    <row r="7" spans="1:17" x14ac:dyDescent="0.45">
      <c r="A7" s="51" t="s">
        <v>2</v>
      </c>
      <c r="B7" s="44">
        <v>39</v>
      </c>
      <c r="C7" s="37">
        <f t="shared" ref="C7:C10" si="1">IF(B$2=0,0,B7/B$2)</f>
        <v>0.39</v>
      </c>
      <c r="E7" s="59" t="s">
        <v>166</v>
      </c>
      <c r="F7" s="56" t="s">
        <v>167</v>
      </c>
      <c r="G7" s="44">
        <v>86</v>
      </c>
      <c r="H7" s="129">
        <f>IF(B$15=0,0,G7/B$15)</f>
        <v>0.38392857142857145</v>
      </c>
      <c r="I7" s="90">
        <v>7</v>
      </c>
      <c r="K7" s="36">
        <v>5</v>
      </c>
      <c r="L7" s="95">
        <v>-118.3</v>
      </c>
      <c r="N7" s="112" t="s">
        <v>135</v>
      </c>
      <c r="O7" s="119">
        <f t="shared" si="0"/>
        <v>18.64406779661017</v>
      </c>
      <c r="P7" s="116">
        <v>59</v>
      </c>
      <c r="Q7" s="100">
        <v>1100</v>
      </c>
    </row>
    <row r="8" spans="1:17" x14ac:dyDescent="0.45">
      <c r="A8" s="51" t="s">
        <v>3</v>
      </c>
      <c r="B8" s="44">
        <v>29</v>
      </c>
      <c r="C8" s="37">
        <f t="shared" si="1"/>
        <v>0.28999999999999998</v>
      </c>
      <c r="E8" s="59" t="s">
        <v>89</v>
      </c>
      <c r="F8" s="56" t="s">
        <v>44</v>
      </c>
      <c r="G8" s="44">
        <v>52</v>
      </c>
      <c r="H8" s="129">
        <f>IF(B$15=0,0,G8/B$15)</f>
        <v>0.23214285714285715</v>
      </c>
      <c r="I8" s="90">
        <v>3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0.32</v>
      </c>
      <c r="E9" s="59" t="s">
        <v>69</v>
      </c>
      <c r="F9" s="56" t="s">
        <v>24</v>
      </c>
      <c r="G9" s="44">
        <v>48</v>
      </c>
      <c r="H9" s="129">
        <f>IF(B$15=0,0,G9/B$15)</f>
        <v>0.21428571428571427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0.11</v>
      </c>
      <c r="E10" s="59" t="s">
        <v>65</v>
      </c>
      <c r="F10" s="56" t="s">
        <v>21</v>
      </c>
      <c r="G10" s="44">
        <v>33</v>
      </c>
      <c r="H10" s="129">
        <f>IF(B$15=0,0,G10/B$15)</f>
        <v>0.14732142857142858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-0.51071428571428545</v>
      </c>
      <c r="P10" s="114">
        <v>28</v>
      </c>
      <c r="Q10" s="102">
        <v>-14.299999999999994</v>
      </c>
    </row>
    <row r="11" spans="1:17" x14ac:dyDescent="0.45">
      <c r="A11" s="54" t="s">
        <v>121</v>
      </c>
      <c r="B11" s="47">
        <v>253</v>
      </c>
      <c r="C11" s="42">
        <f>IF(B$3=0,0,B11/B$3)</f>
        <v>0.31467661691542287</v>
      </c>
      <c r="E11" s="59" t="s">
        <v>70</v>
      </c>
      <c r="F11" s="56" t="s">
        <v>25</v>
      </c>
      <c r="G11" s="44">
        <v>24</v>
      </c>
      <c r="H11" s="129">
        <f>IF(B$15=0,0,G11/B$15)</f>
        <v>0.10714285714285714</v>
      </c>
      <c r="I11" s="90">
        <v>7</v>
      </c>
      <c r="K11" s="36">
        <v>9</v>
      </c>
      <c r="L11" s="95">
        <v>-120.99999999999999</v>
      </c>
      <c r="N11" s="111" t="s">
        <v>158</v>
      </c>
      <c r="O11" s="121">
        <f>IF(P11=0,0,Q11/P11)</f>
        <v>5.9499999999999993</v>
      </c>
      <c r="P11" s="115">
        <v>40</v>
      </c>
      <c r="Q11" s="103">
        <v>237.99999999999997</v>
      </c>
    </row>
    <row r="12" spans="1:17" x14ac:dyDescent="0.45">
      <c r="A12" s="51" t="s">
        <v>118</v>
      </c>
      <c r="B12" s="44">
        <v>132</v>
      </c>
      <c r="C12" s="37">
        <f>IF(B$3=0,0,B12/B$3)</f>
        <v>0.16417910447761194</v>
      </c>
      <c r="E12" s="59" t="s">
        <v>162</v>
      </c>
      <c r="F12" s="56" t="s">
        <v>163</v>
      </c>
      <c r="G12" s="44">
        <v>16</v>
      </c>
      <c r="H12" s="129">
        <f>IF(B$15=0,0,G12/B$15)</f>
        <v>7.1428571428571425E-2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3.9562500000000003</v>
      </c>
      <c r="P12" s="116">
        <v>32</v>
      </c>
      <c r="Q12" s="104">
        <v>126.60000000000001</v>
      </c>
    </row>
    <row r="13" spans="1:17" x14ac:dyDescent="0.45">
      <c r="A13" s="50" t="s">
        <v>123</v>
      </c>
      <c r="B13" s="43">
        <f>B19</f>
        <v>141</v>
      </c>
      <c r="C13" s="35">
        <f>IF(B$11=0,0,B13/B$11)</f>
        <v>0.55731225296442688</v>
      </c>
      <c r="E13" s="59" t="s">
        <v>71</v>
      </c>
      <c r="F13" s="56" t="s">
        <v>26</v>
      </c>
      <c r="G13" s="44">
        <v>12</v>
      </c>
      <c r="H13" s="129">
        <f>IF(B$15=0,0,G13/B$15)</f>
        <v>5.3571428571428568E-2</v>
      </c>
      <c r="I13" s="90">
        <v>12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52</v>
      </c>
      <c r="C14" s="35">
        <f>IF(B$12=0,0,B14/B$12)</f>
        <v>0.39393939393939392</v>
      </c>
      <c r="E14" s="59" t="s">
        <v>83</v>
      </c>
      <c r="F14" s="56" t="s">
        <v>38</v>
      </c>
      <c r="G14" s="44">
        <v>7</v>
      </c>
      <c r="H14" s="129">
        <f>IF(B$15=0,0,G14/B$15)</f>
        <v>3.125E-2</v>
      </c>
      <c r="I14" s="90">
        <v>12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224</v>
      </c>
      <c r="C15" s="35">
        <f>IF(B$3=0,0,B15/B$3)</f>
        <v>0.27860696517412936</v>
      </c>
      <c r="E15" s="59" t="s">
        <v>86</v>
      </c>
      <c r="F15" s="56" t="s">
        <v>41</v>
      </c>
      <c r="G15" s="44">
        <v>7</v>
      </c>
      <c r="H15" s="129">
        <f>IF(B$15=0,0,G15/B$15)</f>
        <v>3.125E-2</v>
      </c>
      <c r="I15" s="90">
        <v>11</v>
      </c>
      <c r="K15" s="36">
        <v>13</v>
      </c>
      <c r="L15" s="95">
        <v>-132.39999999999998</v>
      </c>
      <c r="N15" s="110" t="s">
        <v>228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141</v>
      </c>
      <c r="C16" s="37">
        <f>IF(B$3=0,0,B16/B$3)</f>
        <v>0.17537313432835822</v>
      </c>
      <c r="E16" s="59" t="s">
        <v>81</v>
      </c>
      <c r="F16" s="56" t="s">
        <v>36</v>
      </c>
      <c r="G16" s="44">
        <v>4</v>
      </c>
      <c r="H16" s="129">
        <f>IF(B$15=0,0,G16/B$15)</f>
        <v>1.7857142857142856E-2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 t="shared" si="2"/>
        <v>37.1</v>
      </c>
      <c r="P16" s="115">
        <v>18</v>
      </c>
      <c r="Q16" s="103">
        <v>667.80000000000007</v>
      </c>
    </row>
    <row r="17" spans="1:17" x14ac:dyDescent="0.45">
      <c r="A17" s="51" t="s">
        <v>12</v>
      </c>
      <c r="B17" s="44">
        <v>117</v>
      </c>
      <c r="C17" s="37">
        <f>IF(B$15=0,0,B17/B$15)</f>
        <v>0.5223214285714286</v>
      </c>
      <c r="E17" s="59" t="s">
        <v>91</v>
      </c>
      <c r="F17" s="56" t="s">
        <v>46</v>
      </c>
      <c r="G17" s="44">
        <v>4</v>
      </c>
      <c r="H17" s="129">
        <f>IF(B$15=0,0,G17/B$15)</f>
        <v>1.7857142857142856E-2</v>
      </c>
      <c r="I17" s="90">
        <v>5</v>
      </c>
      <c r="K17" s="36">
        <v>15</v>
      </c>
      <c r="L17" s="95">
        <v>-101.79999999999997</v>
      </c>
      <c r="N17" s="111" t="s">
        <v>197</v>
      </c>
      <c r="O17" s="121">
        <f t="shared" si="2"/>
        <v>9.4086956521739165</v>
      </c>
      <c r="P17" s="115">
        <v>23</v>
      </c>
      <c r="Q17" s="103">
        <v>216.40000000000006</v>
      </c>
    </row>
    <row r="18" spans="1:17" x14ac:dyDescent="0.45">
      <c r="A18" s="51" t="s">
        <v>11</v>
      </c>
      <c r="B18" s="44">
        <v>107</v>
      </c>
      <c r="C18" s="37">
        <f>IF(B$15=0,0,B18/B$15)</f>
        <v>0.47767857142857145</v>
      </c>
      <c r="E18" s="59" t="s">
        <v>92</v>
      </c>
      <c r="F18" s="56" t="s">
        <v>47</v>
      </c>
      <c r="G18" s="44">
        <v>4</v>
      </c>
      <c r="H18" s="129">
        <f>IF(B$15=0,0,G18/B$15)</f>
        <v>1.7857142857142856E-2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 t="shared" si="2"/>
        <v>6.0122448979591834</v>
      </c>
      <c r="P18" s="115">
        <v>49</v>
      </c>
      <c r="Q18" s="103">
        <v>294.59999999999997</v>
      </c>
    </row>
    <row r="19" spans="1:17" x14ac:dyDescent="0.45">
      <c r="A19" s="51" t="s">
        <v>195</v>
      </c>
      <c r="B19" s="44">
        <v>141</v>
      </c>
      <c r="C19" s="37">
        <f>IF(B$15=0,0,B19/B$15)</f>
        <v>0.6294642857142857</v>
      </c>
      <c r="E19" s="59" t="s">
        <v>73</v>
      </c>
      <c r="F19" s="56" t="s">
        <v>28</v>
      </c>
      <c r="G19" s="44">
        <v>2</v>
      </c>
      <c r="H19" s="129">
        <f>IF(B$15=0,0,G19/B$15)</f>
        <v>8.9285714285714281E-3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3.4128205128205105</v>
      </c>
      <c r="P19" s="115">
        <v>39</v>
      </c>
      <c r="Q19" s="103">
        <v>133.09999999999991</v>
      </c>
    </row>
    <row r="20" spans="1:17" x14ac:dyDescent="0.45">
      <c r="A20" s="51" t="s">
        <v>193</v>
      </c>
      <c r="B20" s="44">
        <v>52</v>
      </c>
      <c r="C20" s="37">
        <f>IF(B$15=0,0,B20/B$15)</f>
        <v>0.23214285714285715</v>
      </c>
      <c r="E20" s="59" t="s">
        <v>78</v>
      </c>
      <c r="F20" s="56" t="s">
        <v>33</v>
      </c>
      <c r="G20" s="44">
        <v>2</v>
      </c>
      <c r="H20" s="129">
        <f>IF(B$15=0,0,G20/B$15)</f>
        <v>8.9285714285714281E-3</v>
      </c>
      <c r="I20" s="90">
        <v>9</v>
      </c>
      <c r="K20" s="36">
        <v>18</v>
      </c>
      <c r="L20" s="95">
        <v>-24.999999999999968</v>
      </c>
      <c r="N20" s="111" t="s">
        <v>172</v>
      </c>
      <c r="O20" s="121">
        <f t="shared" si="2"/>
        <v>-2.5450000000000008</v>
      </c>
      <c r="P20" s="115">
        <v>20</v>
      </c>
      <c r="Q20" s="103">
        <v>-50.90000000000002</v>
      </c>
    </row>
    <row r="21" spans="1:17" x14ac:dyDescent="0.45">
      <c r="A21" s="51" t="s">
        <v>194</v>
      </c>
      <c r="B21" s="44">
        <v>31</v>
      </c>
      <c r="C21" s="37">
        <f>IF(B$15=0,0,B21/B$15)</f>
        <v>0.13839285714285715</v>
      </c>
      <c r="E21" s="59" t="s">
        <v>79</v>
      </c>
      <c r="F21" s="56" t="s">
        <v>34</v>
      </c>
      <c r="G21" s="44">
        <v>2</v>
      </c>
      <c r="H21" s="129">
        <f>IF(B$15=0,0,G21/B$15)</f>
        <v>8.9285714285714281E-3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-3.584210526315792</v>
      </c>
      <c r="P21" s="115">
        <v>38</v>
      </c>
      <c r="Q21" s="103">
        <v>-136.2000000000001</v>
      </c>
    </row>
    <row r="22" spans="1:17" x14ac:dyDescent="0.45">
      <c r="A22" s="51" t="s">
        <v>5</v>
      </c>
      <c r="B22" s="48">
        <f>IF(B$15=0,0,C22/B$15)</f>
        <v>10834.375</v>
      </c>
      <c r="C22" s="39">
        <v>2426900</v>
      </c>
      <c r="E22" s="59" t="s">
        <v>84</v>
      </c>
      <c r="F22" s="56" t="s">
        <v>39</v>
      </c>
      <c r="G22" s="44">
        <v>2</v>
      </c>
      <c r="H22" s="129">
        <f>IF(B$15=0,0,G22/B$15)</f>
        <v>8.9285714285714281E-3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 t="shared" si="2"/>
        <v>-14.099999999999998</v>
      </c>
      <c r="P22" s="115">
        <v>8</v>
      </c>
      <c r="Q22" s="103">
        <v>-112.79999999999998</v>
      </c>
    </row>
    <row r="23" spans="1:17" x14ac:dyDescent="0.45">
      <c r="A23" s="52" t="s">
        <v>177</v>
      </c>
      <c r="B23" s="136">
        <f>IF($B$15-B$14=0,0,C23/($B$15-B$14))</f>
        <v>11547.674418604651</v>
      </c>
      <c r="C23" s="137">
        <v>1986200</v>
      </c>
      <c r="E23" s="59" t="s">
        <v>90</v>
      </c>
      <c r="F23" s="56" t="s">
        <v>45</v>
      </c>
      <c r="G23" s="44">
        <v>2</v>
      </c>
      <c r="H23" s="129">
        <f>IF(B$15=0,0,G23/B$15)</f>
        <v>8.9285714285714281E-3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 t="shared" si="2"/>
        <v>-27.466666666666665</v>
      </c>
      <c r="P23" s="115">
        <v>3</v>
      </c>
      <c r="Q23" s="103">
        <v>-82.399999999999991</v>
      </c>
    </row>
    <row r="24" spans="1:17" x14ac:dyDescent="0.45">
      <c r="A24" s="52" t="s">
        <v>178</v>
      </c>
      <c r="B24" s="136">
        <f>IF(B$14=0,0,C24/B$14)</f>
        <v>8475</v>
      </c>
      <c r="C24" s="137">
        <v>440700</v>
      </c>
      <c r="E24" s="59" t="s">
        <v>75</v>
      </c>
      <c r="F24" s="56" t="s">
        <v>30</v>
      </c>
      <c r="G24" s="44">
        <v>1</v>
      </c>
      <c r="H24" s="129">
        <f>IF(B$15=0,0,G24/B$15)</f>
        <v>4.464285714285714E-3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-8365.9574468085102</v>
      </c>
      <c r="C25" s="137">
        <v>-1179600</v>
      </c>
      <c r="E25" s="59" t="s">
        <v>85</v>
      </c>
      <c r="F25" s="56" t="s">
        <v>40</v>
      </c>
      <c r="G25" s="44">
        <v>1</v>
      </c>
      <c r="H25" s="129">
        <f>IF(B$15=0,0,G25/B$15)</f>
        <v>4.464285714285714E-3</v>
      </c>
      <c r="I25" s="90">
        <v>5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4.464285714285714E-3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5</v>
      </c>
      <c r="E27" s="59" t="s">
        <v>97</v>
      </c>
      <c r="F27" s="56" t="s">
        <v>52</v>
      </c>
      <c r="G27" s="44">
        <v>1</v>
      </c>
      <c r="H27" s="129">
        <f>IF(B$15=0,0,G27/B$15)</f>
        <v>4.464285714285714E-3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56">
        <v>8</v>
      </c>
      <c r="C28" s="157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54">
        <v>122100</v>
      </c>
      <c r="C29" s="155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1.2437810945273632E-3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5</v>
      </c>
      <c r="C32" s="141">
        <f>IF(B$15=0,0,B32/B$15)</f>
        <v>2.2321428571428572E-2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19</v>
      </c>
      <c r="C33" s="37">
        <f t="shared" ref="C33:C44" si="3">IF(B$15=0,0,B33/B$15)</f>
        <v>8.4821428571428575E-2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29</v>
      </c>
      <c r="C34" s="37">
        <f>IF(B$15=0,0,B34/B$15)</f>
        <v>0.12946428571428573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40</v>
      </c>
      <c r="C35" s="37">
        <f t="shared" si="3"/>
        <v>0.17857142857142858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56</v>
      </c>
      <c r="C36" s="37">
        <f t="shared" si="3"/>
        <v>0.25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25</v>
      </c>
      <c r="C37" s="37">
        <f t="shared" si="3"/>
        <v>0.11160714285714286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20</v>
      </c>
      <c r="C38" s="37">
        <f t="shared" si="3"/>
        <v>8.9285714285714288E-2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15</v>
      </c>
      <c r="C39" s="37">
        <f t="shared" si="3"/>
        <v>6.6964285714285712E-2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4</v>
      </c>
      <c r="C40" s="37">
        <f t="shared" si="3"/>
        <v>1.7857142857142856E-2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3"/>
        <v>8.9285714285714281E-3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3"/>
        <v>8.9285714285714281E-3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3"/>
        <v>4.464285714285714E-3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3"/>
        <v>2.6785714285714284E-2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</sheetData>
  <sortState xmlns:xlrd2="http://schemas.microsoft.com/office/spreadsheetml/2017/richdata2" ref="E2:I10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29E7-338E-4A8A-AF8E-B7CF03599549}">
  <sheetPr codeName="Sheet17"/>
  <dimension ref="A1:Q11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60" t="s">
        <v>171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62">
        <v>111</v>
      </c>
      <c r="C2" s="163"/>
      <c r="E2" s="58" t="s">
        <v>66</v>
      </c>
      <c r="F2" s="55" t="s">
        <v>22</v>
      </c>
      <c r="G2" s="43">
        <v>196</v>
      </c>
      <c r="H2" s="128">
        <f>IF(B$15=0,0,G2/B$15)</f>
        <v>0.75968992248062017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442.34234234234236</v>
      </c>
      <c r="P2" s="114">
        <v>111</v>
      </c>
      <c r="Q2" s="98">
        <v>49100</v>
      </c>
    </row>
    <row r="3" spans="1:17" x14ac:dyDescent="0.45">
      <c r="A3" s="51" t="s">
        <v>8</v>
      </c>
      <c r="B3" s="164">
        <v>889</v>
      </c>
      <c r="C3" s="165"/>
      <c r="E3" s="59" t="s">
        <v>72</v>
      </c>
      <c r="F3" s="56" t="s">
        <v>27</v>
      </c>
      <c r="G3" s="44">
        <v>142</v>
      </c>
      <c r="H3" s="129">
        <f>IF(B$15=0,0,G3/B$15)</f>
        <v>0.55038759689922478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332.40740740740739</v>
      </c>
      <c r="P3" s="115">
        <v>108</v>
      </c>
      <c r="Q3" s="99">
        <v>35900</v>
      </c>
    </row>
    <row r="4" spans="1:17" x14ac:dyDescent="0.45">
      <c r="A4" s="51" t="s">
        <v>6</v>
      </c>
      <c r="B4" s="166">
        <v>106.3</v>
      </c>
      <c r="C4" s="167"/>
      <c r="E4" s="59" t="s">
        <v>64</v>
      </c>
      <c r="F4" s="56" t="s">
        <v>20</v>
      </c>
      <c r="G4" s="44">
        <v>132</v>
      </c>
      <c r="H4" s="129">
        <f>IF(B$15=0,0,G4/B$15)</f>
        <v>0.51162790697674421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658.82352941176475</v>
      </c>
      <c r="P4" s="115">
        <v>102</v>
      </c>
      <c r="Q4" s="99">
        <v>67200</v>
      </c>
    </row>
    <row r="5" spans="1:17" x14ac:dyDescent="0.45">
      <c r="A5" s="51" t="s">
        <v>7</v>
      </c>
      <c r="B5" s="168">
        <f>IF(B$2=0,0,B$4/B$2)</f>
        <v>0.95765765765765765</v>
      </c>
      <c r="C5" s="169"/>
      <c r="E5" s="59" t="s">
        <v>166</v>
      </c>
      <c r="F5" s="56" t="s">
        <v>167</v>
      </c>
      <c r="G5" s="44">
        <v>118</v>
      </c>
      <c r="H5" s="129">
        <f>IF(B$15=0,0,G5/B$15)</f>
        <v>0.4573643410852713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98.924731182795696</v>
      </c>
      <c r="P5" s="115">
        <v>93</v>
      </c>
      <c r="Q5" s="99">
        <v>9200</v>
      </c>
    </row>
    <row r="6" spans="1:17" x14ac:dyDescent="0.45">
      <c r="A6" s="51" t="s">
        <v>1</v>
      </c>
      <c r="B6" s="158">
        <f>IF(B$2=0,0,(B$7*1+B$8*2+B$9*3)/B$2)</f>
        <v>2.0180180180180178</v>
      </c>
      <c r="C6" s="159"/>
      <c r="E6" s="59" t="s">
        <v>67</v>
      </c>
      <c r="F6" s="56" t="s">
        <v>23</v>
      </c>
      <c r="G6" s="44">
        <v>96</v>
      </c>
      <c r="H6" s="129">
        <f>IF(B$15=0,0,G6/B$15)</f>
        <v>0.37209302325581395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-69.512195121951223</v>
      </c>
      <c r="P6" s="115">
        <v>82</v>
      </c>
      <c r="Q6" s="99">
        <v>-5700</v>
      </c>
    </row>
    <row r="7" spans="1:17" x14ac:dyDescent="0.45">
      <c r="A7" s="51" t="s">
        <v>2</v>
      </c>
      <c r="B7" s="44">
        <v>29</v>
      </c>
      <c r="C7" s="37">
        <f t="shared" ref="C7:C10" si="1">IF(B$2=0,0,B7/B$2)</f>
        <v>0.26126126126126126</v>
      </c>
      <c r="E7" s="59" t="s">
        <v>68</v>
      </c>
      <c r="F7" s="56" t="s">
        <v>12</v>
      </c>
      <c r="G7" s="44">
        <v>86</v>
      </c>
      <c r="H7" s="129">
        <f>IF(B$15=0,0,G7/B$15)</f>
        <v>0.33333333333333331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-801.42857142857144</v>
      </c>
      <c r="P7" s="116">
        <v>70</v>
      </c>
      <c r="Q7" s="100">
        <v>-56100</v>
      </c>
    </row>
    <row r="8" spans="1:17" x14ac:dyDescent="0.45">
      <c r="A8" s="51" t="s">
        <v>3</v>
      </c>
      <c r="B8" s="44">
        <v>51</v>
      </c>
      <c r="C8" s="37">
        <f t="shared" si="1"/>
        <v>0.45945945945945948</v>
      </c>
      <c r="E8" s="59" t="s">
        <v>69</v>
      </c>
      <c r="F8" s="56" t="s">
        <v>24</v>
      </c>
      <c r="G8" s="44">
        <v>36</v>
      </c>
      <c r="H8" s="129">
        <f>IF(B$15=0,0,G8/B$15)</f>
        <v>0.13953488372093023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31</v>
      </c>
      <c r="C9" s="38">
        <f t="shared" si="1"/>
        <v>0.27927927927927926</v>
      </c>
      <c r="E9" s="59" t="s">
        <v>89</v>
      </c>
      <c r="F9" s="56" t="s">
        <v>44</v>
      </c>
      <c r="G9" s="44">
        <v>29</v>
      </c>
      <c r="H9" s="129">
        <f>IF(B$15=0,0,G9/B$15)</f>
        <v>0.1124031007751938</v>
      </c>
      <c r="I9" s="90">
        <v>11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7.2072072072072071E-2</v>
      </c>
      <c r="E10" s="59" t="s">
        <v>71</v>
      </c>
      <c r="F10" s="56" t="s">
        <v>26</v>
      </c>
      <c r="G10" s="44">
        <v>26</v>
      </c>
      <c r="H10" s="129">
        <f>IF(B$15=0,0,G10/B$15)</f>
        <v>0.10077519379844961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0.3645833333333332</v>
      </c>
      <c r="P10" s="114">
        <v>48</v>
      </c>
      <c r="Q10" s="102">
        <v>17.499999999999993</v>
      </c>
    </row>
    <row r="11" spans="1:17" x14ac:dyDescent="0.45">
      <c r="A11" s="54" t="s">
        <v>121</v>
      </c>
      <c r="B11" s="47">
        <v>239</v>
      </c>
      <c r="C11" s="42">
        <f>IF(B$3=0,0,B11/B$3)</f>
        <v>0.26884139482564678</v>
      </c>
      <c r="E11" s="59" t="s">
        <v>65</v>
      </c>
      <c r="F11" s="56" t="s">
        <v>21</v>
      </c>
      <c r="G11" s="44">
        <v>22</v>
      </c>
      <c r="H11" s="129">
        <f>IF(B$15=0,0,G11/B$15)</f>
        <v>8.5271317829457363E-2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3.1852941176470595</v>
      </c>
      <c r="P11" s="115">
        <v>34</v>
      </c>
      <c r="Q11" s="103">
        <v>108.30000000000003</v>
      </c>
    </row>
    <row r="12" spans="1:17" x14ac:dyDescent="0.45">
      <c r="A12" s="51" t="s">
        <v>118</v>
      </c>
      <c r="B12" s="44">
        <v>195</v>
      </c>
      <c r="C12" s="37">
        <f>IF(B$3=0,0,B12/B$3)</f>
        <v>0.21934758155230596</v>
      </c>
      <c r="E12" s="59" t="s">
        <v>70</v>
      </c>
      <c r="F12" s="56" t="s">
        <v>25</v>
      </c>
      <c r="G12" s="44">
        <v>20</v>
      </c>
      <c r="H12" s="129">
        <f>IF(B$15=0,0,G12/B$15)</f>
        <v>7.7519379844961239E-2</v>
      </c>
      <c r="I12" s="90">
        <v>10</v>
      </c>
      <c r="K12" s="36">
        <v>10</v>
      </c>
      <c r="L12" s="95">
        <v>-146.69999999999999</v>
      </c>
      <c r="N12" s="112" t="s">
        <v>159</v>
      </c>
      <c r="O12" s="122">
        <f>IF(P12=0,0,Q12/P12)</f>
        <v>-0.67241379310344851</v>
      </c>
      <c r="P12" s="116">
        <v>29</v>
      </c>
      <c r="Q12" s="104">
        <v>-19.500000000000007</v>
      </c>
    </row>
    <row r="13" spans="1:17" x14ac:dyDescent="0.45">
      <c r="A13" s="50" t="s">
        <v>123</v>
      </c>
      <c r="B13" s="43">
        <f>B19</f>
        <v>138</v>
      </c>
      <c r="C13" s="35">
        <f>IF(B$11=0,0,B13/B$11)</f>
        <v>0.57740585774058573</v>
      </c>
      <c r="E13" s="59" t="s">
        <v>86</v>
      </c>
      <c r="F13" s="56" t="s">
        <v>41</v>
      </c>
      <c r="G13" s="44">
        <v>14</v>
      </c>
      <c r="H13" s="129">
        <f>IF(B$15=0,0,G13/B$15)</f>
        <v>5.4263565891472867E-2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84</v>
      </c>
      <c r="C14" s="35">
        <f>IF(B$12=0,0,B14/B$12)</f>
        <v>0.43076923076923079</v>
      </c>
      <c r="E14" s="59" t="s">
        <v>83</v>
      </c>
      <c r="F14" s="56" t="s">
        <v>38</v>
      </c>
      <c r="G14" s="44">
        <v>11</v>
      </c>
      <c r="H14" s="129">
        <f>IF(B$15=0,0,G14/B$15)</f>
        <v>4.2635658914728682E-2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258</v>
      </c>
      <c r="C15" s="35">
        <f>IF(B$3=0,0,B15/B$3)</f>
        <v>0.29021372328458944</v>
      </c>
      <c r="E15" s="59" t="s">
        <v>79</v>
      </c>
      <c r="F15" s="56" t="s">
        <v>34</v>
      </c>
      <c r="G15" s="44">
        <v>6</v>
      </c>
      <c r="H15" s="129">
        <f>IF(B$15=0,0,G15/B$15)</f>
        <v>2.3255813953488372E-2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121</v>
      </c>
      <c r="C16" s="37">
        <f>IF(B$3=0,0,B16/B$3)</f>
        <v>0.13610798650168729</v>
      </c>
      <c r="E16" s="59" t="s">
        <v>162</v>
      </c>
      <c r="F16" s="56" t="s">
        <v>163</v>
      </c>
      <c r="G16" s="44">
        <v>6</v>
      </c>
      <c r="H16" s="129">
        <f>IF(B$15=0,0,G16/B$15)</f>
        <v>2.3255813953488372E-2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115</v>
      </c>
      <c r="C17" s="37">
        <f>IF(B$15=0,0,B17/B$15)</f>
        <v>0.44573643410852715</v>
      </c>
      <c r="E17" s="59" t="s">
        <v>73</v>
      </c>
      <c r="F17" s="56" t="s">
        <v>28</v>
      </c>
      <c r="G17" s="44">
        <v>5</v>
      </c>
      <c r="H17" s="129">
        <f>IF(B$15=0,0,G17/B$15)</f>
        <v>1.937984496124031E-2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25.104347826086954</v>
      </c>
      <c r="P17" s="115">
        <v>23</v>
      </c>
      <c r="Q17" s="103">
        <v>577.4</v>
      </c>
    </row>
    <row r="18" spans="1:17" x14ac:dyDescent="0.45">
      <c r="A18" s="51" t="s">
        <v>11</v>
      </c>
      <c r="B18" s="44">
        <v>143</v>
      </c>
      <c r="C18" s="37">
        <f>IF(B$15=0,0,B18/B$15)</f>
        <v>0.55426356589147285</v>
      </c>
      <c r="E18" s="59" t="s">
        <v>81</v>
      </c>
      <c r="F18" s="56" t="s">
        <v>36</v>
      </c>
      <c r="G18" s="44">
        <v>4</v>
      </c>
      <c r="H18" s="129">
        <f>IF(B$15=0,0,G18/B$15)</f>
        <v>1.5503875968992248E-2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138</v>
      </c>
      <c r="C19" s="37">
        <f>IF(B$15=0,0,B19/B$15)</f>
        <v>0.53488372093023251</v>
      </c>
      <c r="E19" s="59" t="s">
        <v>78</v>
      </c>
      <c r="F19" s="56" t="s">
        <v>33</v>
      </c>
      <c r="G19" s="44">
        <v>3</v>
      </c>
      <c r="H19" s="129">
        <f>IF(B$15=0,0,G19/B$15)</f>
        <v>1.1627906976744186E-2</v>
      </c>
      <c r="I19" s="90">
        <v>7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84</v>
      </c>
      <c r="C20" s="37">
        <f>IF(B$15=0,0,B20/B$15)</f>
        <v>0.32558139534883723</v>
      </c>
      <c r="E20" s="59" t="s">
        <v>85</v>
      </c>
      <c r="F20" s="56" t="s">
        <v>40</v>
      </c>
      <c r="G20" s="44">
        <v>2</v>
      </c>
      <c r="H20" s="129">
        <f>IF(B$15=0,0,G20/B$15)</f>
        <v>7.7519379844961239E-3</v>
      </c>
      <c r="I20" s="90">
        <v>3</v>
      </c>
      <c r="K20" s="36">
        <v>18</v>
      </c>
      <c r="L20" s="95">
        <v>-62.399999999999991</v>
      </c>
      <c r="N20" s="111" t="s">
        <v>161</v>
      </c>
      <c r="O20" s="121">
        <f t="shared" si="2"/>
        <v>3.9454545454545458</v>
      </c>
      <c r="P20" s="115">
        <v>22</v>
      </c>
      <c r="Q20" s="103">
        <v>86.800000000000011</v>
      </c>
    </row>
    <row r="21" spans="1:17" x14ac:dyDescent="0.45">
      <c r="A21" s="51" t="s">
        <v>194</v>
      </c>
      <c r="B21" s="44">
        <v>36</v>
      </c>
      <c r="C21" s="37">
        <f>IF(B$15=0,0,B21/B$15)</f>
        <v>0.13953488372093023</v>
      </c>
      <c r="E21" s="59" t="s">
        <v>91</v>
      </c>
      <c r="F21" s="56" t="s">
        <v>46</v>
      </c>
      <c r="G21" s="44">
        <v>2</v>
      </c>
      <c r="H21" s="129">
        <f>IF(B$15=0,0,G21/B$15)</f>
        <v>7.7519379844961239E-3</v>
      </c>
      <c r="I21" s="90">
        <v>7</v>
      </c>
      <c r="K21" s="36">
        <v>19</v>
      </c>
      <c r="L21" s="95">
        <v>-56.399999999999991</v>
      </c>
      <c r="N21" s="111" t="s">
        <v>127</v>
      </c>
      <c r="O21" s="121">
        <f t="shared" si="2"/>
        <v>0.33500000000000069</v>
      </c>
      <c r="P21" s="115">
        <v>40</v>
      </c>
      <c r="Q21" s="103">
        <v>13.400000000000027</v>
      </c>
    </row>
    <row r="22" spans="1:17" x14ac:dyDescent="0.45">
      <c r="A22" s="51" t="s">
        <v>5</v>
      </c>
      <c r="B22" s="48">
        <f>IF(B$15=0,0,C22/B$15)</f>
        <v>8524.8062015503874</v>
      </c>
      <c r="C22" s="39">
        <v>2199400</v>
      </c>
      <c r="E22" s="59" t="s">
        <v>74</v>
      </c>
      <c r="F22" s="56" t="s">
        <v>29</v>
      </c>
      <c r="G22" s="44">
        <v>1</v>
      </c>
      <c r="H22" s="129">
        <f>IF(B$15=0,0,G22/B$15)</f>
        <v>3.875968992248062E-3</v>
      </c>
      <c r="I22" s="90">
        <v>4</v>
      </c>
      <c r="K22" s="36">
        <v>20</v>
      </c>
      <c r="L22" s="95">
        <v>-93.199999999999989</v>
      </c>
      <c r="N22" s="111" t="s">
        <v>170</v>
      </c>
      <c r="O22" s="121">
        <f t="shared" si="2"/>
        <v>-6.0122448979591843</v>
      </c>
      <c r="P22" s="115">
        <v>49</v>
      </c>
      <c r="Q22" s="103">
        <v>-294.60000000000002</v>
      </c>
    </row>
    <row r="23" spans="1:17" x14ac:dyDescent="0.45">
      <c r="A23" s="52" t="s">
        <v>177</v>
      </c>
      <c r="B23" s="136">
        <f>IF($B$15-B$14=0,0,C23/($B$15-B$14))</f>
        <v>9363.7931034482754</v>
      </c>
      <c r="C23" s="137">
        <v>1629300</v>
      </c>
      <c r="E23" s="59" t="s">
        <v>75</v>
      </c>
      <c r="F23" s="56" t="s">
        <v>30</v>
      </c>
      <c r="G23" s="44">
        <v>1</v>
      </c>
      <c r="H23" s="129">
        <f>IF(B$15=0,0,G23/B$15)</f>
        <v>3.875968992248062E-3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 t="shared" si="2"/>
        <v>-13.271698113207547</v>
      </c>
      <c r="P23" s="115">
        <v>53</v>
      </c>
      <c r="Q23" s="103">
        <v>-703.4</v>
      </c>
    </row>
    <row r="24" spans="1:17" x14ac:dyDescent="0.45">
      <c r="A24" s="52" t="s">
        <v>178</v>
      </c>
      <c r="B24" s="136">
        <f>IF(B$14=0,0,C24/B$14)</f>
        <v>6786.9047619047615</v>
      </c>
      <c r="C24" s="137">
        <v>570100</v>
      </c>
      <c r="E24" s="59" t="s">
        <v>87</v>
      </c>
      <c r="F24" s="56" t="s">
        <v>42</v>
      </c>
      <c r="G24" s="44">
        <v>1</v>
      </c>
      <c r="H24" s="129">
        <f>IF(B$15=0,0,G24/B$15)</f>
        <v>3.875968992248062E-3</v>
      </c>
      <c r="I24" s="90">
        <v>3</v>
      </c>
      <c r="K24" s="36">
        <v>22</v>
      </c>
      <c r="L24" s="95">
        <v>-66.999999999999986</v>
      </c>
    </row>
    <row r="25" spans="1:17" x14ac:dyDescent="0.45">
      <c r="A25" s="52" t="s">
        <v>176</v>
      </c>
      <c r="B25" s="136">
        <f>IF(B$16=0,0,C25/B$16)</f>
        <v>-7440.4958677685954</v>
      </c>
      <c r="C25" s="137">
        <v>-900300</v>
      </c>
      <c r="E25" s="59" t="s">
        <v>88</v>
      </c>
      <c r="F25" s="56" t="s">
        <v>43</v>
      </c>
      <c r="G25" s="44">
        <v>1</v>
      </c>
      <c r="H25" s="129">
        <f>IF(B$15=0,0,G25/B$15)</f>
        <v>3.875968992248062E-3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3.875968992248062E-3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101</v>
      </c>
      <c r="F27" s="56" t="s">
        <v>56</v>
      </c>
      <c r="G27" s="44">
        <v>1</v>
      </c>
      <c r="H27" s="129">
        <f>IF(B$15=0,0,G27/B$15)</f>
        <v>3.875968992248062E-3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56">
        <v>8</v>
      </c>
      <c r="C28" s="157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54">
        <v>101400</v>
      </c>
      <c r="C29" s="155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2.2497187851518562E-3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15</v>
      </c>
      <c r="C32" s="141">
        <f>IF(B$15=0,0,B32/B$15)</f>
        <v>5.8139534883720929E-2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46</v>
      </c>
      <c r="C33" s="37">
        <f t="shared" ref="C33:C44" si="3">IF(B$15=0,0,B33/B$15)</f>
        <v>0.17829457364341086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51</v>
      </c>
      <c r="C34" s="37">
        <f>IF(B$15=0,0,B34/B$15)</f>
        <v>0.19767441860465115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46</v>
      </c>
      <c r="C35" s="37">
        <f t="shared" si="3"/>
        <v>0.17829457364341086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40</v>
      </c>
      <c r="C36" s="37">
        <f t="shared" si="3"/>
        <v>0.15503875968992248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31</v>
      </c>
      <c r="C37" s="37">
        <f t="shared" si="3"/>
        <v>0.12015503875968993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12</v>
      </c>
      <c r="C38" s="37">
        <f t="shared" si="3"/>
        <v>4.6511627906976744E-2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2.7131782945736434E-2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1.1627906976744186E-2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7.7519379844961239E-3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3.875968992248062E-3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7.7519379844961239E-3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3"/>
        <v>7.7519379844961239E-3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</sheetData>
  <sortState xmlns:xlrd2="http://schemas.microsoft.com/office/spreadsheetml/2017/richdata2" ref="E2:I11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7523-D718-455E-91B6-0DBBD4BF16B4}">
  <sheetPr codeName="Sheet19"/>
  <dimension ref="A1:Q5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60" t="s">
        <v>197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62">
        <v>52</v>
      </c>
      <c r="C2" s="163"/>
      <c r="E2" s="58" t="s">
        <v>66</v>
      </c>
      <c r="F2" s="55" t="s">
        <v>22</v>
      </c>
      <c r="G2" s="43">
        <v>70</v>
      </c>
      <c r="H2" s="128">
        <f>IF(B$15=0,0,G2/B$15)</f>
        <v>0.65420560747663548</v>
      </c>
      <c r="I2" s="89">
        <v>12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-1575</v>
      </c>
      <c r="P2" s="114">
        <v>52</v>
      </c>
      <c r="Q2" s="98">
        <v>-81900</v>
      </c>
    </row>
    <row r="3" spans="1:17" x14ac:dyDescent="0.45">
      <c r="A3" s="51" t="s">
        <v>8</v>
      </c>
      <c r="B3" s="164">
        <v>420</v>
      </c>
      <c r="C3" s="165"/>
      <c r="E3" s="59" t="s">
        <v>72</v>
      </c>
      <c r="F3" s="56" t="s">
        <v>27</v>
      </c>
      <c r="G3" s="44">
        <v>66</v>
      </c>
      <c r="H3" s="129">
        <f>IF(B$15=0,0,G3/B$15)</f>
        <v>0.61682242990654201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213.46153846153845</v>
      </c>
      <c r="P3" s="115">
        <v>52</v>
      </c>
      <c r="Q3" s="99">
        <v>11100</v>
      </c>
    </row>
    <row r="4" spans="1:17" x14ac:dyDescent="0.45">
      <c r="A4" s="51" t="s">
        <v>6</v>
      </c>
      <c r="B4" s="166">
        <v>-603.1</v>
      </c>
      <c r="C4" s="167"/>
      <c r="E4" s="59" t="s">
        <v>64</v>
      </c>
      <c r="F4" s="56" t="s">
        <v>20</v>
      </c>
      <c r="G4" s="44">
        <v>46</v>
      </c>
      <c r="H4" s="129">
        <f>IF(B$15=0,0,G4/B$15)</f>
        <v>0.42990654205607476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-1840</v>
      </c>
      <c r="P4" s="115">
        <v>50</v>
      </c>
      <c r="Q4" s="99">
        <v>-92000</v>
      </c>
    </row>
    <row r="5" spans="1:17" x14ac:dyDescent="0.45">
      <c r="A5" s="51" t="s">
        <v>7</v>
      </c>
      <c r="B5" s="168">
        <f>IF(B$2=0,0,B$4/B$2)</f>
        <v>-11.598076923076924</v>
      </c>
      <c r="C5" s="169"/>
      <c r="E5" s="59" t="s">
        <v>166</v>
      </c>
      <c r="F5" s="56" t="s">
        <v>167</v>
      </c>
      <c r="G5" s="44">
        <v>39</v>
      </c>
      <c r="H5" s="129">
        <f>IF(B$15=0,0,G5/B$15)</f>
        <v>0.3644859813084112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-3195.5555555555557</v>
      </c>
      <c r="P5" s="115">
        <v>45</v>
      </c>
      <c r="Q5" s="99">
        <v>-143800</v>
      </c>
    </row>
    <row r="6" spans="1:17" x14ac:dyDescent="0.45">
      <c r="A6" s="51" t="s">
        <v>1</v>
      </c>
      <c r="B6" s="158">
        <f>IF(B$2=0,0,(B$7*1+B$8*2+B$9*3)/B$2)</f>
        <v>2.3076923076923075</v>
      </c>
      <c r="C6" s="159"/>
      <c r="E6" s="59" t="s">
        <v>67</v>
      </c>
      <c r="F6" s="56" t="s">
        <v>23</v>
      </c>
      <c r="G6" s="44">
        <v>29</v>
      </c>
      <c r="H6" s="129">
        <f>IF(B$15=0,0,G6/B$15)</f>
        <v>0.27102803738317754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-1313.953488372093</v>
      </c>
      <c r="P6" s="115">
        <v>43</v>
      </c>
      <c r="Q6" s="99">
        <v>-56500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0.17307692307692307</v>
      </c>
      <c r="E7" s="59" t="s">
        <v>68</v>
      </c>
      <c r="F7" s="56" t="s">
        <v>12</v>
      </c>
      <c r="G7" s="44">
        <v>27</v>
      </c>
      <c r="H7" s="129">
        <f>IF(B$15=0,0,G7/B$15)</f>
        <v>0.25233644859813081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-2083.3333333333335</v>
      </c>
      <c r="P7" s="116">
        <v>36</v>
      </c>
      <c r="Q7" s="100">
        <v>-75000</v>
      </c>
    </row>
    <row r="8" spans="1:17" x14ac:dyDescent="0.45">
      <c r="A8" s="51" t="s">
        <v>3</v>
      </c>
      <c r="B8" s="44">
        <v>18</v>
      </c>
      <c r="C8" s="37">
        <f t="shared" si="1"/>
        <v>0.34615384615384615</v>
      </c>
      <c r="E8" s="59" t="s">
        <v>89</v>
      </c>
      <c r="F8" s="56" t="s">
        <v>44</v>
      </c>
      <c r="G8" s="44">
        <v>15</v>
      </c>
      <c r="H8" s="129">
        <f>IF(B$15=0,0,G8/B$15)</f>
        <v>0.14018691588785046</v>
      </c>
      <c r="I8" s="90">
        <v>5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25</v>
      </c>
      <c r="C9" s="38">
        <f t="shared" si="1"/>
        <v>0.48076923076923078</v>
      </c>
      <c r="E9" s="59" t="s">
        <v>65</v>
      </c>
      <c r="F9" s="56" t="s">
        <v>21</v>
      </c>
      <c r="G9" s="44">
        <v>12</v>
      </c>
      <c r="H9" s="129">
        <f>IF(B$15=0,0,G9/B$15)</f>
        <v>0.11214953271028037</v>
      </c>
      <c r="I9" s="90">
        <v>9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0.17307692307692307</v>
      </c>
      <c r="E10" s="59" t="s">
        <v>70</v>
      </c>
      <c r="F10" s="56" t="s">
        <v>25</v>
      </c>
      <c r="G10" s="44">
        <v>12</v>
      </c>
      <c r="H10" s="129">
        <f>IF(B$15=0,0,G10/B$15)</f>
        <v>0.11214953271028037</v>
      </c>
      <c r="I10" s="90">
        <v>5</v>
      </c>
      <c r="K10" s="36">
        <v>8</v>
      </c>
      <c r="L10" s="95">
        <v>-152.6</v>
      </c>
      <c r="N10" s="110" t="s">
        <v>157</v>
      </c>
      <c r="O10" s="120">
        <f>IF(P10=0,0,Q10/P10)</f>
        <v>-21.695454545454542</v>
      </c>
      <c r="P10" s="114">
        <v>22</v>
      </c>
      <c r="Q10" s="102">
        <v>-477.29999999999995</v>
      </c>
    </row>
    <row r="11" spans="1:17" x14ac:dyDescent="0.45">
      <c r="A11" s="54" t="s">
        <v>121</v>
      </c>
      <c r="B11" s="47">
        <v>87</v>
      </c>
      <c r="C11" s="42">
        <f>IF(B$3=0,0,B11/B$3)</f>
        <v>0.20714285714285716</v>
      </c>
      <c r="E11" s="59" t="s">
        <v>71</v>
      </c>
      <c r="F11" s="56" t="s">
        <v>26</v>
      </c>
      <c r="G11" s="44">
        <v>11</v>
      </c>
      <c r="H11" s="129">
        <f>IF(B$15=0,0,G11/B$15)</f>
        <v>0.10280373831775701</v>
      </c>
      <c r="I11" s="90">
        <v>3</v>
      </c>
      <c r="K11" s="36">
        <v>9</v>
      </c>
      <c r="L11" s="95">
        <v>-150.6</v>
      </c>
      <c r="N11" s="111" t="s">
        <v>158</v>
      </c>
      <c r="O11" s="121">
        <f>IF(P11=0,0,Q11/P11)</f>
        <v>-3.9999999999999991</v>
      </c>
      <c r="P11" s="115">
        <v>15</v>
      </c>
      <c r="Q11" s="103">
        <v>-59.999999999999986</v>
      </c>
    </row>
    <row r="12" spans="1:17" x14ac:dyDescent="0.45">
      <c r="A12" s="51" t="s">
        <v>118</v>
      </c>
      <c r="B12" s="44">
        <v>95</v>
      </c>
      <c r="C12" s="37">
        <f>IF(B$3=0,0,B12/B$3)</f>
        <v>0.22619047619047619</v>
      </c>
      <c r="E12" s="59" t="s">
        <v>69</v>
      </c>
      <c r="F12" s="56" t="s">
        <v>24</v>
      </c>
      <c r="G12" s="44">
        <v>8</v>
      </c>
      <c r="H12" s="129">
        <f>IF(B$15=0,0,G12/B$15)</f>
        <v>7.476635514018691E-2</v>
      </c>
      <c r="I12" s="90">
        <v>11</v>
      </c>
      <c r="K12" s="36">
        <v>10</v>
      </c>
      <c r="L12" s="95">
        <v>-151.1</v>
      </c>
      <c r="N12" s="112" t="s">
        <v>159</v>
      </c>
      <c r="O12" s="122">
        <f>IF(P12=0,0,Q12/P12)</f>
        <v>-4.3866666666666667</v>
      </c>
      <c r="P12" s="116">
        <v>15</v>
      </c>
      <c r="Q12" s="104">
        <v>-65.8</v>
      </c>
    </row>
    <row r="13" spans="1:17" x14ac:dyDescent="0.45">
      <c r="A13" s="50" t="s">
        <v>123</v>
      </c>
      <c r="B13" s="43">
        <f>B19</f>
        <v>47</v>
      </c>
      <c r="C13" s="35">
        <f>IF(B$11=0,0,B13/B$11)</f>
        <v>0.54022988505747127</v>
      </c>
      <c r="E13" s="59" t="s">
        <v>86</v>
      </c>
      <c r="F13" s="56" t="s">
        <v>41</v>
      </c>
      <c r="G13" s="44">
        <v>8</v>
      </c>
      <c r="H13" s="129">
        <f>IF(B$15=0,0,G13/B$15)</f>
        <v>7.476635514018691E-2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41</v>
      </c>
      <c r="C14" s="35">
        <f>IF(B$12=0,0,B14/B$12)</f>
        <v>0.43157894736842106</v>
      </c>
      <c r="E14" s="59" t="s">
        <v>83</v>
      </c>
      <c r="F14" s="56" t="s">
        <v>38</v>
      </c>
      <c r="G14" s="44">
        <v>7</v>
      </c>
      <c r="H14" s="129">
        <f>IF(B$15=0,0,G14/B$15)</f>
        <v>6.5420560747663545E-2</v>
      </c>
      <c r="I14" s="90">
        <v>5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107</v>
      </c>
      <c r="C15" s="35">
        <f>IF(B$3=0,0,B15/B$3)</f>
        <v>0.25476190476190474</v>
      </c>
      <c r="E15" s="59" t="s">
        <v>81</v>
      </c>
      <c r="F15" s="56" t="s">
        <v>36</v>
      </c>
      <c r="G15" s="44">
        <v>2</v>
      </c>
      <c r="H15" s="129">
        <f>IF(B$15=0,0,G15/B$15)</f>
        <v>1.8691588785046728E-2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8.7583333333333275</v>
      </c>
      <c r="P15" s="114">
        <v>12</v>
      </c>
      <c r="Q15" s="102">
        <v>105.09999999999994</v>
      </c>
    </row>
    <row r="16" spans="1:17" x14ac:dyDescent="0.45">
      <c r="A16" s="51" t="s">
        <v>13</v>
      </c>
      <c r="B16" s="44">
        <v>78</v>
      </c>
      <c r="C16" s="37">
        <f>IF(B$3=0,0,B16/B$3)</f>
        <v>0.18571428571428572</v>
      </c>
      <c r="E16" s="59" t="s">
        <v>91</v>
      </c>
      <c r="F16" s="56" t="s">
        <v>46</v>
      </c>
      <c r="G16" s="44">
        <v>2</v>
      </c>
      <c r="H16" s="129">
        <f>IF(B$15=0,0,G16/B$15)</f>
        <v>1.8691588785046728E-2</v>
      </c>
      <c r="I16" s="90">
        <v>4</v>
      </c>
      <c r="K16" s="36">
        <v>14</v>
      </c>
      <c r="L16" s="95">
        <v>-266.90000000000003</v>
      </c>
      <c r="N16" s="111" t="s">
        <v>280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48</v>
      </c>
      <c r="C17" s="37">
        <f>IF(B$15=0,0,B17/B$15)</f>
        <v>0.44859813084112149</v>
      </c>
      <c r="E17" s="59" t="s">
        <v>74</v>
      </c>
      <c r="F17" s="56" t="s">
        <v>29</v>
      </c>
      <c r="G17" s="44">
        <v>1</v>
      </c>
      <c r="H17" s="129">
        <f>IF(B$15=0,0,G17/B$15)</f>
        <v>9.3457943925233638E-3</v>
      </c>
      <c r="I17" s="90">
        <v>1</v>
      </c>
      <c r="K17" s="36">
        <v>15</v>
      </c>
      <c r="L17" s="95">
        <v>-272.50000000000006</v>
      </c>
      <c r="N17" s="111" t="s">
        <v>172</v>
      </c>
      <c r="O17" s="121">
        <f>IF(P17=0,0,Q17/P17)</f>
        <v>-3.1666666666666656</v>
      </c>
      <c r="P17" s="115">
        <v>3</v>
      </c>
      <c r="Q17" s="103">
        <v>-9.4999999999999964</v>
      </c>
    </row>
    <row r="18" spans="1:17" x14ac:dyDescent="0.45">
      <c r="A18" s="51" t="s">
        <v>11</v>
      </c>
      <c r="B18" s="44">
        <v>59</v>
      </c>
      <c r="C18" s="37">
        <f>IF(B$15=0,0,B18/B$15)</f>
        <v>0.55140186915887845</v>
      </c>
      <c r="E18" s="59" t="s">
        <v>78</v>
      </c>
      <c r="F18" s="56" t="s">
        <v>33</v>
      </c>
      <c r="G18" s="44">
        <v>1</v>
      </c>
      <c r="H18" s="129">
        <f>IF(B$15=0,0,G18/B$15)</f>
        <v>9.3457943925233638E-3</v>
      </c>
      <c r="I18" s="90">
        <v>8</v>
      </c>
      <c r="K18" s="36">
        <v>16</v>
      </c>
      <c r="L18" s="95">
        <v>-320.30000000000007</v>
      </c>
      <c r="N18" s="111" t="s">
        <v>170</v>
      </c>
      <c r="O18" s="121">
        <f>IF(P18=0,0,Q18/P18)</f>
        <v>-9.4086956521739129</v>
      </c>
      <c r="P18" s="115">
        <v>23</v>
      </c>
      <c r="Q18" s="103">
        <v>-216.4</v>
      </c>
    </row>
    <row r="19" spans="1:17" x14ac:dyDescent="0.45">
      <c r="A19" s="51" t="s">
        <v>195</v>
      </c>
      <c r="B19" s="44">
        <v>47</v>
      </c>
      <c r="C19" s="37">
        <f>IF(B$15=0,0,B19/B$15)</f>
        <v>0.43925233644859812</v>
      </c>
      <c r="E19" s="59" t="s">
        <v>92</v>
      </c>
      <c r="F19" s="56" t="s">
        <v>47</v>
      </c>
      <c r="G19" s="44">
        <v>1</v>
      </c>
      <c r="H19" s="129">
        <f>IF(B$15=0,0,G19/B$15)</f>
        <v>9.3457943925233638E-3</v>
      </c>
      <c r="I19" s="90">
        <v>2</v>
      </c>
      <c r="K19" s="36">
        <v>17</v>
      </c>
      <c r="L19" s="95">
        <v>-352.60000000000008</v>
      </c>
      <c r="N19" s="111" t="s">
        <v>274</v>
      </c>
      <c r="O19" s="121">
        <f>IF(P19=0,0,Q19/P19)</f>
        <v>-12.000000000000002</v>
      </c>
      <c r="P19" s="115">
        <v>1</v>
      </c>
      <c r="Q19" s="103">
        <v>-12.000000000000002</v>
      </c>
    </row>
    <row r="20" spans="1:17" x14ac:dyDescent="0.45">
      <c r="A20" s="51" t="s">
        <v>193</v>
      </c>
      <c r="B20" s="44">
        <v>41</v>
      </c>
      <c r="C20" s="37">
        <f>IF(B$15=0,0,B20/B$15)</f>
        <v>0.38317757009345793</v>
      </c>
      <c r="E20" s="59" t="s">
        <v>95</v>
      </c>
      <c r="F20" s="56" t="s">
        <v>50</v>
      </c>
      <c r="G20" s="44">
        <v>1</v>
      </c>
      <c r="H20" s="129">
        <f>IF(B$15=0,0,G20/B$15)</f>
        <v>9.3457943925233638E-3</v>
      </c>
      <c r="I20" s="90">
        <v>1</v>
      </c>
      <c r="K20" s="36">
        <v>18</v>
      </c>
      <c r="L20" s="95">
        <v>-355.50000000000006</v>
      </c>
      <c r="N20" s="111" t="s">
        <v>127</v>
      </c>
      <c r="O20" s="121">
        <f>IF(P20=0,0,Q20/P20)</f>
        <v>-16.62857142857143</v>
      </c>
      <c r="P20" s="115">
        <v>14</v>
      </c>
      <c r="Q20" s="103">
        <v>-232.8</v>
      </c>
    </row>
    <row r="21" spans="1:17" x14ac:dyDescent="0.45">
      <c r="A21" s="51" t="s">
        <v>194</v>
      </c>
      <c r="B21" s="44">
        <v>19</v>
      </c>
      <c r="C21" s="37">
        <f>IF(B$15=0,0,B21/B$15)</f>
        <v>0.17757009345794392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203</v>
      </c>
      <c r="O21" s="121">
        <f>IF(P21=0,0,Q21/P21)</f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7961.6822429906542</v>
      </c>
      <c r="C22" s="39">
        <v>851900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171</v>
      </c>
      <c r="O22" s="121">
        <f>IF(P22=0,0,Q22/P22)</f>
        <v>-25.104347826086954</v>
      </c>
      <c r="P22" s="115">
        <v>23</v>
      </c>
      <c r="Q22" s="103">
        <v>-577.4</v>
      </c>
    </row>
    <row r="23" spans="1:17" x14ac:dyDescent="0.45">
      <c r="A23" s="52" t="s">
        <v>177</v>
      </c>
      <c r="B23" s="136">
        <f>IF($B$15-B$14=0,0,C23/($B$15-B$14))</f>
        <v>8524.242424242424</v>
      </c>
      <c r="C23" s="137">
        <v>562600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126</v>
      </c>
      <c r="O23" s="121">
        <f>IF(P23=0,0,Q23/P23)</f>
        <v>-25.187500000000004</v>
      </c>
      <c r="P23" s="115">
        <v>16</v>
      </c>
      <c r="Q23" s="103">
        <v>-403.00000000000006</v>
      </c>
    </row>
    <row r="24" spans="1:17" x14ac:dyDescent="0.45">
      <c r="A24" s="52" t="s">
        <v>178</v>
      </c>
      <c r="B24" s="136">
        <f>IF(B$14=0,0,C24/B$14)</f>
        <v>7056.0975609756097</v>
      </c>
      <c r="C24" s="137">
        <v>289300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  <c r="N24" s="111" t="s">
        <v>196</v>
      </c>
      <c r="O24" s="121">
        <f>IF(P24=0,0,Q24/P24)</f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-8029.4871794871797</v>
      </c>
      <c r="C25" s="137">
        <v>-626300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-450.10000000000014</v>
      </c>
      <c r="N25" s="111" t="s">
        <v>228</v>
      </c>
      <c r="O25" s="121">
        <f>IF(P25=0,0,Q25/P25)</f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19</v>
      </c>
      <c r="C27" s="131">
        <v>2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56">
        <v>6</v>
      </c>
      <c r="C28" s="157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54">
        <v>85100</v>
      </c>
      <c r="C29" s="155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1</v>
      </c>
      <c r="C30" s="40">
        <f>IF(B$3=0,0,B30/B$3)</f>
        <v>2.3809523809523812E-3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-447.30000000000013</v>
      </c>
    </row>
    <row r="31" spans="1:17" x14ac:dyDescent="0.45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9</v>
      </c>
      <c r="C32" s="141">
        <f>IF(B$15=0,0,B32/B$15)</f>
        <v>8.4112149532710276E-2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23</v>
      </c>
      <c r="C33" s="37">
        <f t="shared" ref="C33:C44" si="2">IF(B$15=0,0,B33/B$15)</f>
        <v>0.21495327102803738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22</v>
      </c>
      <c r="C34" s="37">
        <f>IF(B$15=0,0,B34/B$15)</f>
        <v>0.20560747663551401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15</v>
      </c>
      <c r="C35" s="37">
        <f t="shared" si="2"/>
        <v>0.14018691588785046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15</v>
      </c>
      <c r="C36" s="37">
        <f t="shared" si="2"/>
        <v>0.14018691588785046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7</v>
      </c>
      <c r="C37" s="37">
        <f t="shared" si="2"/>
        <v>6.5420560747663545E-2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8</v>
      </c>
      <c r="C38" s="37">
        <f t="shared" si="2"/>
        <v>7.476635514018691E-2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2"/>
        <v>4.6728971962616821E-2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2"/>
        <v>9.3457943925233638E-3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2"/>
        <v>1.8691588785046728E-2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C335-5A3E-49C9-9DBD-5B180DACC0B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60" t="s">
        <v>196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62">
        <v>25</v>
      </c>
      <c r="C2" s="163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64">
        <v>240</v>
      </c>
      <c r="C3" s="165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4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66">
        <v>-45.7</v>
      </c>
      <c r="C4" s="167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2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8">
        <f>IF(B$2=0,0,B$4/B$2)</f>
        <v>-1.8280000000000001</v>
      </c>
      <c r="C5" s="169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9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8">
        <f>IF(B$2=0,0,(B$7*1+B$8*2+B$9*3)/B$2)</f>
        <v>2.04</v>
      </c>
      <c r="C6" s="159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10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12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8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6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56">
        <v>7</v>
      </c>
      <c r="C28" s="157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54">
        <v>95200</v>
      </c>
      <c r="C29" s="155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C0CE-FF64-4D0E-999A-38EA4A1519EC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60" t="s">
        <v>228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62">
        <v>7</v>
      </c>
      <c r="C2" s="163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64">
        <v>62</v>
      </c>
      <c r="C3" s="165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66">
        <v>-104.80000000000001</v>
      </c>
      <c r="C4" s="167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8">
        <f>IF(B$2=0,0,B$4/B$2)</f>
        <v>-14.971428571428573</v>
      </c>
      <c r="C5" s="169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8">
        <f>IF(B$2=0,0,(B$7*1+B$8*2+B$9*3)/B$2)</f>
        <v>2.1428571428571428</v>
      </c>
      <c r="C6" s="159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11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2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12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12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11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5">
      <c r="A28" s="86" t="s">
        <v>138</v>
      </c>
      <c r="B28" s="156">
        <v>4</v>
      </c>
      <c r="C28" s="157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4">
        <v>59500</v>
      </c>
      <c r="C29" s="155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2CAF-BDFE-45D0-A480-50FA82771875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60" t="s">
        <v>203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62">
        <v>2</v>
      </c>
      <c r="C2" s="163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64">
        <v>15</v>
      </c>
      <c r="C3" s="165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13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66">
        <v>26.2</v>
      </c>
      <c r="C4" s="167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8">
        <f>IF(B$2=0,0,B$4/B$2)</f>
        <v>13.1</v>
      </c>
      <c r="C5" s="169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8">
        <f>IF(B$2=0,0,(B$7*1+B$8*2+B$9*3)/B$2)</f>
        <v>1.5</v>
      </c>
      <c r="C6" s="159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12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5">
      <c r="A28" s="86" t="s">
        <v>138</v>
      </c>
      <c r="B28" s="156">
        <v>4</v>
      </c>
      <c r="C28" s="157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4">
        <v>52800</v>
      </c>
      <c r="C29" s="155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0EE47-776B-44AA-81BA-0A18D75D0782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60" t="s">
        <v>274</v>
      </c>
      <c r="C1" s="161"/>
      <c r="E1" s="125" t="s">
        <v>160</v>
      </c>
      <c r="F1" s="147" t="s">
        <v>115</v>
      </c>
      <c r="G1" s="146" t="s">
        <v>116</v>
      </c>
      <c r="H1" s="126" t="s">
        <v>117</v>
      </c>
      <c r="I1" s="147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62">
        <v>4</v>
      </c>
      <c r="C2" s="163"/>
      <c r="E2" s="58" t="s">
        <v>66</v>
      </c>
      <c r="F2" s="55" t="s">
        <v>22</v>
      </c>
      <c r="G2" s="43">
        <v>12</v>
      </c>
      <c r="H2" s="128">
        <f>IF(B$15=0,0,G2/B$15)</f>
        <v>0.8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-2800</v>
      </c>
      <c r="P2" s="114">
        <v>4</v>
      </c>
      <c r="Q2" s="98">
        <v>-11200</v>
      </c>
    </row>
    <row r="3" spans="1:17" x14ac:dyDescent="0.45">
      <c r="A3" s="51" t="s">
        <v>8</v>
      </c>
      <c r="B3" s="164">
        <v>38</v>
      </c>
      <c r="C3" s="165"/>
      <c r="E3" s="59" t="s">
        <v>64</v>
      </c>
      <c r="F3" s="56" t="s">
        <v>20</v>
      </c>
      <c r="G3" s="44">
        <v>10</v>
      </c>
      <c r="H3" s="129">
        <f>IF(B$15=0,0,G3/B$15)</f>
        <v>0.66666666666666663</v>
      </c>
      <c r="I3" s="90">
        <v>2</v>
      </c>
      <c r="K3" s="36">
        <v>1</v>
      </c>
      <c r="L3" s="95">
        <v>17.600000000000001</v>
      </c>
      <c r="N3" s="111" t="s">
        <v>131</v>
      </c>
      <c r="O3" s="118">
        <f t="shared" si="0"/>
        <v>2500</v>
      </c>
      <c r="P3" s="115">
        <v>4</v>
      </c>
      <c r="Q3" s="99">
        <v>10000</v>
      </c>
    </row>
    <row r="4" spans="1:17" x14ac:dyDescent="0.45">
      <c r="A4" s="51" t="s">
        <v>6</v>
      </c>
      <c r="B4" s="166">
        <v>53.1</v>
      </c>
      <c r="C4" s="167"/>
      <c r="E4" s="59" t="s">
        <v>72</v>
      </c>
      <c r="F4" s="56" t="s">
        <v>27</v>
      </c>
      <c r="G4" s="44">
        <v>8</v>
      </c>
      <c r="H4" s="129">
        <f>IF(B$15=0,0,G4/B$15)</f>
        <v>0.53333333333333333</v>
      </c>
      <c r="I4" s="90">
        <v>8</v>
      </c>
      <c r="K4" s="36">
        <v>2</v>
      </c>
      <c r="L4" s="95">
        <v>27.8</v>
      </c>
      <c r="N4" s="111" t="s">
        <v>132</v>
      </c>
      <c r="O4" s="118">
        <f t="shared" si="0"/>
        <v>-900</v>
      </c>
      <c r="P4" s="115">
        <v>4</v>
      </c>
      <c r="Q4" s="99">
        <v>-3600</v>
      </c>
    </row>
    <row r="5" spans="1:17" x14ac:dyDescent="0.45">
      <c r="A5" s="51" t="s">
        <v>7</v>
      </c>
      <c r="B5" s="168">
        <f>IF(B$2=0,0,B$4/B$2)</f>
        <v>13.275</v>
      </c>
      <c r="C5" s="169"/>
      <c r="E5" s="59" t="s">
        <v>67</v>
      </c>
      <c r="F5" s="56" t="s">
        <v>23</v>
      </c>
      <c r="G5" s="44">
        <v>3</v>
      </c>
      <c r="H5" s="129">
        <f>IF(B$15=0,0,G5/B$15)</f>
        <v>0.2</v>
      </c>
      <c r="I5" s="90">
        <v>13</v>
      </c>
      <c r="K5" s="36">
        <v>3</v>
      </c>
      <c r="L5" s="95">
        <v>20.399999999999999</v>
      </c>
      <c r="N5" s="111" t="s">
        <v>133</v>
      </c>
      <c r="O5" s="118">
        <f t="shared" si="0"/>
        <v>5375</v>
      </c>
      <c r="P5" s="115">
        <v>4</v>
      </c>
      <c r="Q5" s="99">
        <v>21500</v>
      </c>
    </row>
    <row r="6" spans="1:17" x14ac:dyDescent="0.45">
      <c r="A6" s="51" t="s">
        <v>1</v>
      </c>
      <c r="B6" s="158">
        <f>IF(B$2=0,0,(B$7*1+B$8*2+B$9*3)/B$2)</f>
        <v>1.5</v>
      </c>
      <c r="C6" s="159"/>
      <c r="E6" s="59" t="s">
        <v>68</v>
      </c>
      <c r="F6" s="56" t="s">
        <v>12</v>
      </c>
      <c r="G6" s="44">
        <v>3</v>
      </c>
      <c r="H6" s="129">
        <f>IF(B$15=0,0,G6/B$15)</f>
        <v>0.2</v>
      </c>
      <c r="I6" s="90">
        <v>12</v>
      </c>
      <c r="K6" s="36">
        <v>4</v>
      </c>
      <c r="L6" s="95">
        <v>53.1</v>
      </c>
      <c r="N6" s="111" t="s">
        <v>134</v>
      </c>
      <c r="O6" s="118">
        <f t="shared" si="0"/>
        <v>1000</v>
      </c>
      <c r="P6" s="115">
        <v>3</v>
      </c>
      <c r="Q6" s="99">
        <v>3000</v>
      </c>
    </row>
    <row r="7" spans="1:17" x14ac:dyDescent="0.45">
      <c r="A7" s="51" t="s">
        <v>2</v>
      </c>
      <c r="B7" s="44">
        <v>2</v>
      </c>
      <c r="C7" s="37">
        <f t="shared" ref="C7:C10" si="1">IF(B$2=0,0,B7/B$2)</f>
        <v>0.5</v>
      </c>
      <c r="E7" s="59" t="s">
        <v>65</v>
      </c>
      <c r="F7" s="56" t="s">
        <v>21</v>
      </c>
      <c r="G7" s="44">
        <v>2</v>
      </c>
      <c r="H7" s="129">
        <f>IF(B$15=0,0,G7/B$15)</f>
        <v>0.13333333333333333</v>
      </c>
      <c r="I7" s="90">
        <v>6</v>
      </c>
      <c r="N7" s="112" t="s">
        <v>135</v>
      </c>
      <c r="O7" s="119">
        <f t="shared" si="0"/>
        <v>7850</v>
      </c>
      <c r="P7" s="116">
        <v>2</v>
      </c>
      <c r="Q7" s="100">
        <v>15700</v>
      </c>
    </row>
    <row r="8" spans="1:17" x14ac:dyDescent="0.45">
      <c r="A8" s="51" t="s">
        <v>3</v>
      </c>
      <c r="B8" s="44">
        <v>2</v>
      </c>
      <c r="C8" s="37">
        <f t="shared" si="1"/>
        <v>0.5</v>
      </c>
      <c r="E8" s="59" t="s">
        <v>89</v>
      </c>
      <c r="F8" s="56" t="s">
        <v>44</v>
      </c>
      <c r="G8" s="44">
        <v>2</v>
      </c>
      <c r="H8" s="129">
        <f>IF(B$15=0,0,G8/B$15)</f>
        <v>0.13333333333333333</v>
      </c>
      <c r="I8" s="90">
        <v>6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69</v>
      </c>
      <c r="F9" s="56" t="s">
        <v>24</v>
      </c>
      <c r="G9" s="44">
        <v>1</v>
      </c>
      <c r="H9" s="129">
        <f>IF(B$15=0,0,G9/B$15)</f>
        <v>6.6666666666666666E-2</v>
      </c>
      <c r="I9" s="90">
        <v>12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1</v>
      </c>
      <c r="H10" s="129">
        <f>IF(B$15=0,0,G10/B$15)</f>
        <v>6.6666666666666666E-2</v>
      </c>
      <c r="I10" s="90">
        <v>11</v>
      </c>
      <c r="N10" s="110" t="s">
        <v>157</v>
      </c>
      <c r="O10" s="120">
        <f>IF(P10=0,0,Q10/P10)</f>
        <v>1.3999999999999995</v>
      </c>
      <c r="P10" s="114">
        <v>2</v>
      </c>
      <c r="Q10" s="102">
        <v>2.7999999999999989</v>
      </c>
    </row>
    <row r="11" spans="1:17" x14ac:dyDescent="0.45">
      <c r="A11" s="54" t="s">
        <v>121</v>
      </c>
      <c r="B11" s="47">
        <v>13</v>
      </c>
      <c r="C11" s="42">
        <f>IF(B$3=0,0,B11/B$3)</f>
        <v>0.34210526315789475</v>
      </c>
      <c r="E11" s="59" t="s">
        <v>71</v>
      </c>
      <c r="F11" s="56" t="s">
        <v>26</v>
      </c>
      <c r="G11" s="44">
        <v>1</v>
      </c>
      <c r="H11" s="129">
        <f>IF(B$15=0,0,G11/B$15)</f>
        <v>6.6666666666666666E-2</v>
      </c>
      <c r="I11" s="90">
        <v>9</v>
      </c>
      <c r="N11" s="111" t="s">
        <v>158</v>
      </c>
      <c r="O11" s="121">
        <f>IF(P11=0,0,Q11/P11)</f>
        <v>17.600000000000001</v>
      </c>
      <c r="P11" s="115">
        <v>1</v>
      </c>
      <c r="Q11" s="103">
        <v>17.600000000000001</v>
      </c>
    </row>
    <row r="12" spans="1:17" x14ac:dyDescent="0.45">
      <c r="A12" s="51" t="s">
        <v>118</v>
      </c>
      <c r="B12" s="44">
        <v>7</v>
      </c>
      <c r="C12" s="37">
        <f>IF(B$3=0,0,B12/B$3)</f>
        <v>0.18421052631578946</v>
      </c>
      <c r="E12" s="59" t="s">
        <v>79</v>
      </c>
      <c r="F12" s="56" t="s">
        <v>34</v>
      </c>
      <c r="G12" s="44">
        <v>1</v>
      </c>
      <c r="H12" s="129">
        <f>IF(B$15=0,0,G12/B$15)</f>
        <v>6.6666666666666666E-2</v>
      </c>
      <c r="I12" s="90">
        <v>1</v>
      </c>
      <c r="N12" s="112" t="s">
        <v>159</v>
      </c>
      <c r="O12" s="122">
        <f>IF(P12=0,0,Q12/P12)</f>
        <v>32.700000000000003</v>
      </c>
      <c r="P12" s="116">
        <v>1</v>
      </c>
      <c r="Q12" s="104">
        <v>32.700000000000003</v>
      </c>
    </row>
    <row r="13" spans="1:17" x14ac:dyDescent="0.45">
      <c r="A13" s="50" t="s">
        <v>123</v>
      </c>
      <c r="B13" s="43">
        <f>B19</f>
        <v>9</v>
      </c>
      <c r="C13" s="35">
        <f>IF(B$11=0,0,B13/B$11)</f>
        <v>0.69230769230769229</v>
      </c>
      <c r="E13" s="59" t="s">
        <v>83</v>
      </c>
      <c r="F13" s="56" t="s">
        <v>38</v>
      </c>
      <c r="G13" s="44">
        <v>1</v>
      </c>
      <c r="H13" s="129">
        <f>IF(B$15=0,0,G13/B$15)</f>
        <v>6.6666666666666666E-2</v>
      </c>
      <c r="I13" s="90">
        <v>3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0.7142857142857143</v>
      </c>
      <c r="E14" s="59" t="s">
        <v>85</v>
      </c>
      <c r="F14" s="56" t="s">
        <v>40</v>
      </c>
      <c r="G14" s="44">
        <v>1</v>
      </c>
      <c r="H14" s="129">
        <f>IF(B$15=0,0,G14/B$15)</f>
        <v>6.6666666666666666E-2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0.39473684210526316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196</v>
      </c>
      <c r="O15" s="120">
        <f t="shared" ref="O15:O20" si="2"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3</v>
      </c>
      <c r="C16" s="37">
        <f>IF(B$3=0,0,B16/B$3)</f>
        <v>7.8947368421052627E-2</v>
      </c>
      <c r="E16" s="59" t="s">
        <v>166</v>
      </c>
      <c r="F16" s="56" t="s">
        <v>167</v>
      </c>
      <c r="G16" s="44">
        <v>1</v>
      </c>
      <c r="H16" s="129">
        <f>IF(B$15=0,0,G16/B$15)</f>
        <v>6.6666666666666666E-2</v>
      </c>
      <c r="I16" s="90">
        <v>13</v>
      </c>
      <c r="N16" s="111" t="s">
        <v>172</v>
      </c>
      <c r="O16" s="121">
        <f t="shared" si="2"/>
        <v>42.1</v>
      </c>
      <c r="P16" s="115">
        <v>1</v>
      </c>
      <c r="Q16" s="103">
        <v>42.1</v>
      </c>
    </row>
    <row r="17" spans="1:17" x14ac:dyDescent="0.45">
      <c r="A17" s="51" t="s">
        <v>12</v>
      </c>
      <c r="B17" s="44">
        <v>6</v>
      </c>
      <c r="C17" s="37">
        <f>IF(B$15=0,0,B17/B$15)</f>
        <v>0.4</v>
      </c>
      <c r="E17" s="59" t="s">
        <v>73</v>
      </c>
      <c r="F17" s="56" t="s">
        <v>28</v>
      </c>
      <c r="G17" s="44">
        <v>0</v>
      </c>
      <c r="H17" s="129">
        <f>IF(B$15=0,0,G17/B$15)</f>
        <v>0</v>
      </c>
      <c r="I17" s="90">
        <v>5</v>
      </c>
      <c r="N17" s="111" t="s">
        <v>126</v>
      </c>
      <c r="O17" s="121">
        <f t="shared" si="2"/>
        <v>29.000000000000004</v>
      </c>
      <c r="P17" s="115">
        <v>1</v>
      </c>
      <c r="Q17" s="103">
        <v>29.000000000000004</v>
      </c>
    </row>
    <row r="18" spans="1:17" x14ac:dyDescent="0.45">
      <c r="A18" s="51" t="s">
        <v>11</v>
      </c>
      <c r="B18" s="44">
        <v>9</v>
      </c>
      <c r="C18" s="37">
        <f>IF(B$15=0,0,B18/B$15)</f>
        <v>0.6</v>
      </c>
      <c r="E18" s="59" t="s">
        <v>74</v>
      </c>
      <c r="F18" s="56" t="s">
        <v>29</v>
      </c>
      <c r="G18" s="44">
        <v>0</v>
      </c>
      <c r="H18" s="129">
        <f>IF(B$15=0,0,G18/B$15)</f>
        <v>0</v>
      </c>
      <c r="I18" s="90">
        <v>7</v>
      </c>
      <c r="N18" s="111" t="s">
        <v>170</v>
      </c>
      <c r="O18" s="121">
        <f t="shared" si="2"/>
        <v>27.466666666666669</v>
      </c>
      <c r="P18" s="115">
        <v>3</v>
      </c>
      <c r="Q18" s="103">
        <v>82.4</v>
      </c>
    </row>
    <row r="19" spans="1:17" x14ac:dyDescent="0.45">
      <c r="A19" s="51" t="s">
        <v>195</v>
      </c>
      <c r="B19" s="44">
        <v>9</v>
      </c>
      <c r="C19" s="37">
        <f>IF(B$15=0,0,B19/B$15)</f>
        <v>0.6</v>
      </c>
      <c r="E19" s="59" t="s">
        <v>75</v>
      </c>
      <c r="F19" s="56" t="s">
        <v>30</v>
      </c>
      <c r="G19" s="44">
        <v>0</v>
      </c>
      <c r="H19" s="129">
        <f>IF(B$15=0,0,G19/B$15)</f>
        <v>0</v>
      </c>
      <c r="I19" s="90">
        <v>9</v>
      </c>
      <c r="N19" s="111" t="s">
        <v>197</v>
      </c>
      <c r="O19" s="121">
        <f t="shared" si="2"/>
        <v>12.000000000000002</v>
      </c>
      <c r="P19" s="115">
        <v>1</v>
      </c>
      <c r="Q19" s="103">
        <v>12.000000000000002</v>
      </c>
    </row>
    <row r="20" spans="1:17" x14ac:dyDescent="0.45">
      <c r="A20" s="51" t="s">
        <v>193</v>
      </c>
      <c r="B20" s="44">
        <v>5</v>
      </c>
      <c r="C20" s="37">
        <f>IF(B$15=0,0,B20/B$15)</f>
        <v>0.33333333333333331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127</v>
      </c>
      <c r="O20" s="121">
        <f t="shared" si="2"/>
        <v>-64.3</v>
      </c>
      <c r="P20" s="115">
        <v>1</v>
      </c>
      <c r="Q20" s="103">
        <v>-64.3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5</v>
      </c>
    </row>
    <row r="22" spans="1:17" x14ac:dyDescent="0.45">
      <c r="A22" s="51" t="s">
        <v>5</v>
      </c>
      <c r="B22" s="48">
        <f>IF(B$15=0,0,C22/B$15)</f>
        <v>6793.333333333333</v>
      </c>
      <c r="C22" s="39">
        <v>101900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7280</v>
      </c>
      <c r="C23" s="137">
        <v>72800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5820</v>
      </c>
      <c r="C24" s="137">
        <v>29100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10</v>
      </c>
    </row>
    <row r="25" spans="1:17" x14ac:dyDescent="0.45">
      <c r="A25" s="52" t="s">
        <v>176</v>
      </c>
      <c r="B25" s="136">
        <f>IF(B$16=0,0,C25/B$16)</f>
        <v>-4700</v>
      </c>
      <c r="C25" s="137">
        <v>-14100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2</v>
      </c>
      <c r="C26" s="131">
        <v>2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2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5">
      <c r="A28" s="86" t="s">
        <v>138</v>
      </c>
      <c r="B28" s="156">
        <v>3</v>
      </c>
      <c r="C28" s="157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4">
        <v>57700</v>
      </c>
      <c r="C29" s="155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8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9">
        <v>2</v>
      </c>
      <c r="C34" s="37">
        <f>IF(B$15=0,0,B34/B$15)</f>
        <v>0.13333333333333333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9">
        <v>4</v>
      </c>
      <c r="C35" s="37">
        <f t="shared" si="3"/>
        <v>0.26666666666666666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9">
        <v>2</v>
      </c>
      <c r="C36" s="37">
        <f t="shared" si="3"/>
        <v>0.13333333333333333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9">
        <v>0</v>
      </c>
      <c r="C37" s="37">
        <f t="shared" si="3"/>
        <v>0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9">
        <v>2</v>
      </c>
      <c r="C38" s="37">
        <f t="shared" si="3"/>
        <v>0.13333333333333333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9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9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9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9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9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67970-F7DA-4BAE-ABF8-A3105E3FA1C6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60" t="s">
        <v>281</v>
      </c>
      <c r="C1" s="161"/>
      <c r="E1" s="125" t="s">
        <v>160</v>
      </c>
      <c r="F1" s="151" t="s">
        <v>115</v>
      </c>
      <c r="G1" s="150" t="s">
        <v>116</v>
      </c>
      <c r="H1" s="126" t="s">
        <v>117</v>
      </c>
      <c r="I1" s="151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62">
        <v>4</v>
      </c>
      <c r="C2" s="163"/>
      <c r="E2" s="58" t="s">
        <v>64</v>
      </c>
      <c r="F2" s="55" t="s">
        <v>20</v>
      </c>
      <c r="G2" s="43">
        <v>11</v>
      </c>
      <c r="H2" s="128">
        <f>IF(B$15=0,0,G2/B$15)</f>
        <v>0.73333333333333328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-600</v>
      </c>
      <c r="P2" s="114">
        <v>4</v>
      </c>
      <c r="Q2" s="98">
        <v>-2400</v>
      </c>
    </row>
    <row r="3" spans="1:17" x14ac:dyDescent="0.45">
      <c r="A3" s="51" t="s">
        <v>8</v>
      </c>
      <c r="B3" s="164">
        <v>30</v>
      </c>
      <c r="C3" s="165"/>
      <c r="E3" s="59" t="s">
        <v>66</v>
      </c>
      <c r="F3" s="56" t="s">
        <v>22</v>
      </c>
      <c r="G3" s="44">
        <v>10</v>
      </c>
      <c r="H3" s="129">
        <f>IF(B$15=0,0,G3/B$15)</f>
        <v>0.66666666666666663</v>
      </c>
      <c r="I3" s="90">
        <v>10</v>
      </c>
      <c r="K3" s="36">
        <v>1</v>
      </c>
      <c r="L3" s="95">
        <v>35</v>
      </c>
      <c r="N3" s="111" t="s">
        <v>131</v>
      </c>
      <c r="O3" s="118">
        <f t="shared" si="0"/>
        <v>5200</v>
      </c>
      <c r="P3" s="115">
        <v>4</v>
      </c>
      <c r="Q3" s="99">
        <v>20800</v>
      </c>
    </row>
    <row r="4" spans="1:17" x14ac:dyDescent="0.45">
      <c r="A4" s="51" t="s">
        <v>6</v>
      </c>
      <c r="B4" s="166">
        <v>109.9</v>
      </c>
      <c r="C4" s="167"/>
      <c r="E4" s="59" t="s">
        <v>67</v>
      </c>
      <c r="F4" s="56" t="s">
        <v>23</v>
      </c>
      <c r="G4" s="44">
        <v>9</v>
      </c>
      <c r="H4" s="129">
        <f>IF(B$15=0,0,G4/B$15)</f>
        <v>0.6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13366.666666666666</v>
      </c>
      <c r="P4" s="115">
        <v>3</v>
      </c>
      <c r="Q4" s="99">
        <v>40100</v>
      </c>
    </row>
    <row r="5" spans="1:17" x14ac:dyDescent="0.45">
      <c r="A5" s="51" t="s">
        <v>7</v>
      </c>
      <c r="B5" s="168">
        <f>IF(B$2=0,0,B$4/B$2)</f>
        <v>27.475000000000001</v>
      </c>
      <c r="C5" s="169"/>
      <c r="E5" s="59" t="s">
        <v>166</v>
      </c>
      <c r="F5" s="56" t="s">
        <v>167</v>
      </c>
      <c r="G5" s="44">
        <v>6</v>
      </c>
      <c r="H5" s="129">
        <f>IF(B$15=0,0,G5/B$15)</f>
        <v>0.4</v>
      </c>
      <c r="I5" s="90">
        <v>4</v>
      </c>
      <c r="K5" s="36">
        <v>3</v>
      </c>
      <c r="L5" s="95">
        <v>64.3</v>
      </c>
      <c r="N5" s="111" t="s">
        <v>133</v>
      </c>
      <c r="O5" s="118">
        <f t="shared" si="0"/>
        <v>-2266.6666666666665</v>
      </c>
      <c r="P5" s="115">
        <v>3</v>
      </c>
      <c r="Q5" s="99">
        <v>-6800</v>
      </c>
    </row>
    <row r="6" spans="1:17" x14ac:dyDescent="0.45">
      <c r="A6" s="51" t="s">
        <v>1</v>
      </c>
      <c r="B6" s="158">
        <f>IF(B$2=0,0,(B$7*1+B$8*2+B$9*3)/B$2)</f>
        <v>1.5</v>
      </c>
      <c r="C6" s="159"/>
      <c r="E6" s="59" t="s">
        <v>72</v>
      </c>
      <c r="F6" s="56" t="s">
        <v>27</v>
      </c>
      <c r="G6" s="44">
        <v>4</v>
      </c>
      <c r="H6" s="129">
        <f>IF(B$15=0,0,G6/B$15)</f>
        <v>0.26666666666666666</v>
      </c>
      <c r="I6" s="90">
        <v>14</v>
      </c>
      <c r="K6" s="36">
        <v>4</v>
      </c>
      <c r="L6" s="95">
        <v>109.9</v>
      </c>
      <c r="N6" s="111" t="s">
        <v>134</v>
      </c>
      <c r="O6" s="118">
        <f t="shared" si="0"/>
        <v>433.33333333333331</v>
      </c>
      <c r="P6" s="115">
        <v>3</v>
      </c>
      <c r="Q6" s="99">
        <v>1300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0.75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2</v>
      </c>
      <c r="N7" s="112" t="s">
        <v>135</v>
      </c>
      <c r="O7" s="119">
        <f t="shared" si="0"/>
        <v>2600</v>
      </c>
      <c r="P7" s="116">
        <v>2</v>
      </c>
      <c r="Q7" s="100">
        <v>5200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69</v>
      </c>
      <c r="F8" s="56" t="s">
        <v>24</v>
      </c>
      <c r="G8" s="44">
        <v>3</v>
      </c>
      <c r="H8" s="129">
        <f>IF(B$15=0,0,G8/B$15)</f>
        <v>0.2</v>
      </c>
      <c r="I8" s="90">
        <v>4</v>
      </c>
      <c r="N8" s="41"/>
      <c r="O8" s="123"/>
      <c r="P8" s="107"/>
      <c r="Q8" s="105"/>
    </row>
    <row r="9" spans="1:17" x14ac:dyDescent="0.45">
      <c r="A9" s="52" t="s">
        <v>4</v>
      </c>
      <c r="B9" s="45">
        <v>1</v>
      </c>
      <c r="C9" s="38">
        <f t="shared" si="1"/>
        <v>0.25</v>
      </c>
      <c r="E9" s="59" t="s">
        <v>68</v>
      </c>
      <c r="F9" s="56" t="s">
        <v>12</v>
      </c>
      <c r="G9" s="44">
        <v>2</v>
      </c>
      <c r="H9" s="129">
        <f>IF(B$15=0,0,G9/B$15)</f>
        <v>0.13333333333333333</v>
      </c>
      <c r="I9" s="90">
        <v>14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2</v>
      </c>
      <c r="H10" s="129">
        <f>IF(B$15=0,0,G10/B$15)</f>
        <v>0.13333333333333333</v>
      </c>
      <c r="I10" s="90">
        <v>2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14</v>
      </c>
      <c r="C11" s="42">
        <f>IF(B$3=0,0,B11/B$3)</f>
        <v>0.46666666666666667</v>
      </c>
      <c r="E11" s="59" t="s">
        <v>71</v>
      </c>
      <c r="F11" s="56" t="s">
        <v>26</v>
      </c>
      <c r="G11" s="44">
        <v>1</v>
      </c>
      <c r="H11" s="129">
        <f>IF(B$15=0,0,G11/B$15)</f>
        <v>6.6666666666666666E-2</v>
      </c>
      <c r="I11" s="90">
        <v>9</v>
      </c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51" t="s">
        <v>118</v>
      </c>
      <c r="B12" s="44">
        <v>5</v>
      </c>
      <c r="C12" s="37">
        <f>IF(B$3=0,0,B12/B$3)</f>
        <v>0.16666666666666666</v>
      </c>
      <c r="E12" s="59" t="s">
        <v>89</v>
      </c>
      <c r="F12" s="56" t="s">
        <v>44</v>
      </c>
      <c r="G12" s="44">
        <v>1</v>
      </c>
      <c r="H12" s="129">
        <f>IF(B$15=0,0,G12/B$15)</f>
        <v>6.6666666666666666E-2</v>
      </c>
      <c r="I12" s="90">
        <v>13</v>
      </c>
      <c r="N12" s="112" t="s">
        <v>159</v>
      </c>
      <c r="O12" s="122">
        <f>IF(P12=0,0,Q12/P12)</f>
        <v>42.166666666666664</v>
      </c>
      <c r="P12" s="116">
        <v>3</v>
      </c>
      <c r="Q12" s="104">
        <v>126.5</v>
      </c>
    </row>
    <row r="13" spans="1:17" x14ac:dyDescent="0.45">
      <c r="A13" s="50" t="s">
        <v>123</v>
      </c>
      <c r="B13" s="43">
        <f>B19</f>
        <v>11</v>
      </c>
      <c r="C13" s="35">
        <f>IF(B$11=0,0,B13/B$11)</f>
        <v>0.7857142857142857</v>
      </c>
      <c r="E13" s="59" t="s">
        <v>91</v>
      </c>
      <c r="F13" s="56" t="s">
        <v>46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4</v>
      </c>
      <c r="C14" s="35">
        <f>IF(B$12=0,0,B14/B$12)</f>
        <v>0.8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0.5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280</v>
      </c>
      <c r="O15" s="120">
        <f>IF(P15=0,0,Q15/P15)</f>
        <v>64.3</v>
      </c>
      <c r="P15" s="114">
        <v>3</v>
      </c>
      <c r="Q15" s="102">
        <v>192.89999999999998</v>
      </c>
    </row>
    <row r="16" spans="1:17" x14ac:dyDescent="0.45">
      <c r="A16" s="51" t="s">
        <v>13</v>
      </c>
      <c r="B16" s="44">
        <v>3</v>
      </c>
      <c r="C16" s="37">
        <f>IF(B$3=0,0,B16/B$3)</f>
        <v>0.1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42</v>
      </c>
      <c r="P16" s="115">
        <v>4</v>
      </c>
      <c r="Q16" s="103">
        <v>168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126</v>
      </c>
      <c r="O17" s="121">
        <f>IF(P17=0,0,Q17/P17)</f>
        <v>-31.200000000000003</v>
      </c>
      <c r="P17" s="115">
        <v>1</v>
      </c>
      <c r="Q17" s="103">
        <v>-31.200000000000003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195</v>
      </c>
      <c r="B19" s="44">
        <v>11</v>
      </c>
      <c r="C19" s="37">
        <f>IF(B$15=0,0,B19/B$15)</f>
        <v>0.73333333333333328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4</v>
      </c>
      <c r="C20" s="37">
        <f>IF(B$15=0,0,B20/B$15)</f>
        <v>0.26666666666666666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8393.3333333333339</v>
      </c>
      <c r="C22" s="39">
        <v>125900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8445.454545454546</v>
      </c>
      <c r="C23" s="137">
        <v>92900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8250</v>
      </c>
      <c r="C24" s="137">
        <v>33000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-7900</v>
      </c>
      <c r="C25" s="137">
        <v>-23700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3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7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56">
        <v>5</v>
      </c>
      <c r="C28" s="157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4">
        <v>70900</v>
      </c>
      <c r="C29" s="155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52">
        <v>1</v>
      </c>
      <c r="C32" s="141">
        <f>IF(B$15=0,0,B32/B$15)</f>
        <v>6.6666666666666666E-2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53">
        <v>4</v>
      </c>
      <c r="C34" s="37">
        <f>IF(B$15=0,0,B34/B$15)</f>
        <v>0.26666666666666666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53">
        <v>1</v>
      </c>
      <c r="C35" s="37">
        <f t="shared" si="2"/>
        <v>6.6666666666666666E-2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53">
        <v>4</v>
      </c>
      <c r="C36" s="37">
        <f t="shared" si="2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53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53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53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53">
        <v>1</v>
      </c>
      <c r="C40" s="37">
        <f t="shared" si="2"/>
        <v>6.6666666666666666E-2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53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53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53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87AEA-AEFB-497A-9F29-20BA7CBDA067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60" t="s">
        <v>280</v>
      </c>
      <c r="C1" s="161"/>
      <c r="E1" s="125" t="s">
        <v>160</v>
      </c>
      <c r="F1" s="151" t="s">
        <v>115</v>
      </c>
      <c r="G1" s="150" t="s">
        <v>116</v>
      </c>
      <c r="H1" s="126" t="s">
        <v>117</v>
      </c>
      <c r="I1" s="151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62">
        <v>3</v>
      </c>
      <c r="C2" s="163"/>
      <c r="E2" s="58" t="s">
        <v>64</v>
      </c>
      <c r="F2" s="55" t="s">
        <v>20</v>
      </c>
      <c r="G2" s="43">
        <v>2</v>
      </c>
      <c r="H2" s="128">
        <f>IF(B$15=0,0,G2/B$15)</f>
        <v>0.66666666666666663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-2900</v>
      </c>
      <c r="P2" s="114">
        <v>3</v>
      </c>
      <c r="Q2" s="98">
        <v>-8700</v>
      </c>
    </row>
    <row r="3" spans="1:17" x14ac:dyDescent="0.45">
      <c r="A3" s="51" t="s">
        <v>8</v>
      </c>
      <c r="B3" s="164">
        <v>24</v>
      </c>
      <c r="C3" s="165"/>
      <c r="E3" s="59" t="s">
        <v>68</v>
      </c>
      <c r="F3" s="56" t="s">
        <v>12</v>
      </c>
      <c r="G3" s="44">
        <v>2</v>
      </c>
      <c r="H3" s="129">
        <f>IF(B$15=0,0,G3/B$15)</f>
        <v>0.66666666666666663</v>
      </c>
      <c r="I3" s="90">
        <v>1</v>
      </c>
      <c r="K3" s="36">
        <v>1</v>
      </c>
      <c r="L3" s="95">
        <v>1.3</v>
      </c>
      <c r="N3" s="111" t="s">
        <v>131</v>
      </c>
      <c r="O3" s="118">
        <f t="shared" si="0"/>
        <v>-2666.6666666666665</v>
      </c>
      <c r="P3" s="115">
        <v>3</v>
      </c>
      <c r="Q3" s="99">
        <v>-8000</v>
      </c>
    </row>
    <row r="4" spans="1:17" x14ac:dyDescent="0.45">
      <c r="A4" s="51" t="s">
        <v>6</v>
      </c>
      <c r="B4" s="166">
        <v>-66.400000000000006</v>
      </c>
      <c r="C4" s="167"/>
      <c r="E4" s="59" t="s">
        <v>69</v>
      </c>
      <c r="F4" s="56" t="s">
        <v>24</v>
      </c>
      <c r="G4" s="44">
        <v>2</v>
      </c>
      <c r="H4" s="129">
        <f>IF(B$15=0,0,G4/B$15)</f>
        <v>0.66666666666666663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-4750</v>
      </c>
      <c r="P4" s="115">
        <v>2</v>
      </c>
      <c r="Q4" s="99">
        <v>-9500</v>
      </c>
    </row>
    <row r="5" spans="1:17" x14ac:dyDescent="0.45">
      <c r="A5" s="51" t="s">
        <v>7</v>
      </c>
      <c r="B5" s="168">
        <f>IF(B$2=0,0,B$4/B$2)</f>
        <v>-22.133333333333336</v>
      </c>
      <c r="C5" s="169"/>
      <c r="E5" s="59" t="s">
        <v>78</v>
      </c>
      <c r="F5" s="56" t="s">
        <v>33</v>
      </c>
      <c r="G5" s="44">
        <v>2</v>
      </c>
      <c r="H5" s="129">
        <f>IF(B$15=0,0,G5/B$15)</f>
        <v>0.66666666666666663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5250</v>
      </c>
      <c r="P5" s="115">
        <v>2</v>
      </c>
      <c r="Q5" s="99">
        <v>10500</v>
      </c>
    </row>
    <row r="6" spans="1:17" x14ac:dyDescent="0.45">
      <c r="A6" s="51" t="s">
        <v>1</v>
      </c>
      <c r="B6" s="158">
        <f>IF(B$2=0,0,(B$7*1+B$8*2+B$9*3)/B$2)</f>
        <v>2.3333333333333335</v>
      </c>
      <c r="C6" s="159"/>
      <c r="E6" s="59" t="s">
        <v>65</v>
      </c>
      <c r="F6" s="56" t="s">
        <v>21</v>
      </c>
      <c r="G6" s="44">
        <v>1</v>
      </c>
      <c r="H6" s="129">
        <f>IF(B$15=0,0,G6/B$15)</f>
        <v>0.33333333333333331</v>
      </c>
      <c r="I6" s="90">
        <v>1</v>
      </c>
      <c r="N6" s="111" t="s">
        <v>134</v>
      </c>
      <c r="O6" s="118">
        <f t="shared" si="0"/>
        <v>-3000</v>
      </c>
      <c r="P6" s="115">
        <v>2</v>
      </c>
      <c r="Q6" s="99">
        <v>-6000</v>
      </c>
    </row>
    <row r="7" spans="1:17" x14ac:dyDescent="0.45">
      <c r="A7" s="51" t="s">
        <v>2</v>
      </c>
      <c r="B7" s="44">
        <v>0</v>
      </c>
      <c r="C7" s="37">
        <f t="shared" ref="C7:C10" si="1">IF(B$2=0,0,B7/B$2)</f>
        <v>0</v>
      </c>
      <c r="E7" s="59" t="s">
        <v>66</v>
      </c>
      <c r="F7" s="56" t="s">
        <v>22</v>
      </c>
      <c r="G7" s="44">
        <v>1</v>
      </c>
      <c r="H7" s="129">
        <f>IF(B$15=0,0,G7/B$15)</f>
        <v>0.33333333333333331</v>
      </c>
      <c r="I7" s="90">
        <v>14</v>
      </c>
      <c r="N7" s="112" t="s">
        <v>135</v>
      </c>
      <c r="O7" s="119">
        <f t="shared" si="0"/>
        <v>-3000</v>
      </c>
      <c r="P7" s="116">
        <v>1</v>
      </c>
      <c r="Q7" s="100">
        <v>-3000</v>
      </c>
    </row>
    <row r="8" spans="1:17" x14ac:dyDescent="0.45">
      <c r="A8" s="51" t="s">
        <v>3</v>
      </c>
      <c r="B8" s="44">
        <v>2</v>
      </c>
      <c r="C8" s="37">
        <f t="shared" si="1"/>
        <v>0.66666666666666663</v>
      </c>
      <c r="E8" s="59" t="s">
        <v>67</v>
      </c>
      <c r="F8" s="56" t="s">
        <v>23</v>
      </c>
      <c r="G8" s="44">
        <v>1</v>
      </c>
      <c r="H8" s="129">
        <f>IF(B$15=0,0,G8/B$15)</f>
        <v>0.33333333333333331</v>
      </c>
      <c r="I8" s="90">
        <v>6</v>
      </c>
      <c r="N8" s="41"/>
      <c r="O8" s="123"/>
      <c r="P8" s="107"/>
      <c r="Q8" s="105"/>
    </row>
    <row r="9" spans="1:17" x14ac:dyDescent="0.45">
      <c r="A9" s="52" t="s">
        <v>4</v>
      </c>
      <c r="B9" s="45">
        <v>1</v>
      </c>
      <c r="C9" s="38">
        <f t="shared" si="1"/>
        <v>0.33333333333333331</v>
      </c>
      <c r="E9" s="59" t="s">
        <v>72</v>
      </c>
      <c r="F9" s="56" t="s">
        <v>27</v>
      </c>
      <c r="G9" s="44">
        <v>1</v>
      </c>
      <c r="H9" s="129">
        <f>IF(B$15=0,0,G9/B$15)</f>
        <v>0.33333333333333331</v>
      </c>
      <c r="I9" s="90">
        <v>12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0.33333333333333331</v>
      </c>
      <c r="E10" s="59" t="s">
        <v>87</v>
      </c>
      <c r="F10" s="56" t="s">
        <v>42</v>
      </c>
      <c r="G10" s="44">
        <v>1</v>
      </c>
      <c r="H10" s="129">
        <f>IF(B$15=0,0,G10/B$15)</f>
        <v>0.33333333333333331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8</v>
      </c>
      <c r="C11" s="42">
        <f>IF(B$3=0,0,B11/B$3)</f>
        <v>0.33333333333333331</v>
      </c>
      <c r="E11" s="59" t="s">
        <v>89</v>
      </c>
      <c r="F11" s="56" t="s">
        <v>44</v>
      </c>
      <c r="G11" s="44">
        <v>1</v>
      </c>
      <c r="H11" s="129">
        <f>IF(B$15=0,0,G11/B$15)</f>
        <v>0.33333333333333331</v>
      </c>
      <c r="I11" s="90">
        <v>2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4</v>
      </c>
      <c r="C12" s="37">
        <f>IF(B$3=0,0,B12/B$3)</f>
        <v>0.16666666666666666</v>
      </c>
      <c r="E12" s="59" t="s">
        <v>70</v>
      </c>
      <c r="F12" s="56" t="s">
        <v>25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0.25</v>
      </c>
      <c r="E13" s="59" t="s">
        <v>71</v>
      </c>
      <c r="F13" s="56" t="s">
        <v>26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</v>
      </c>
      <c r="C14" s="35">
        <f>IF(B$12=0,0,B14/B$12)</f>
        <v>0.25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</v>
      </c>
      <c r="C15" s="35">
        <f>IF(B$3=0,0,B15/B$3)</f>
        <v>0.125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6</v>
      </c>
      <c r="C16" s="37">
        <f>IF(B$3=0,0,B16/B$3)</f>
        <v>0.25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281</v>
      </c>
      <c r="O16" s="121">
        <f>IF(P16=0,0,Q16/P16)</f>
        <v>-64.3</v>
      </c>
      <c r="P16" s="115">
        <v>3</v>
      </c>
      <c r="Q16" s="103">
        <v>-192.9</v>
      </c>
    </row>
    <row r="17" spans="1:9" x14ac:dyDescent="0.45">
      <c r="A17" s="51" t="s">
        <v>12</v>
      </c>
      <c r="B17" s="44">
        <v>2</v>
      </c>
      <c r="C17" s="37">
        <f>IF(B$15=0,0,B17/B$15)</f>
        <v>0.66666666666666663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</row>
    <row r="18" spans="1:9" x14ac:dyDescent="0.45">
      <c r="A18" s="51" t="s">
        <v>11</v>
      </c>
      <c r="B18" s="44">
        <v>1</v>
      </c>
      <c r="C18" s="37">
        <f>IF(B$15=0,0,B18/B$15)</f>
        <v>0.33333333333333331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9" x14ac:dyDescent="0.45">
      <c r="A19" s="51" t="s">
        <v>195</v>
      </c>
      <c r="B19" s="44">
        <v>2</v>
      </c>
      <c r="C19" s="37">
        <f>IF(B$15=0,0,B19/B$15)</f>
        <v>0.66666666666666663</v>
      </c>
      <c r="E19" s="59" t="s">
        <v>79</v>
      </c>
      <c r="F19" s="56" t="s">
        <v>34</v>
      </c>
      <c r="G19" s="44">
        <v>0</v>
      </c>
      <c r="H19" s="129">
        <f>IF(B$15=0,0,G19/B$15)</f>
        <v>0</v>
      </c>
      <c r="I19" s="90">
        <v>10</v>
      </c>
    </row>
    <row r="20" spans="1:9" x14ac:dyDescent="0.45">
      <c r="A20" s="51" t="s">
        <v>193</v>
      </c>
      <c r="B20" s="44">
        <v>1</v>
      </c>
      <c r="C20" s="37">
        <f>IF(B$15=0,0,B20/B$15)</f>
        <v>0.33333333333333331</v>
      </c>
      <c r="E20" s="59" t="s">
        <v>80</v>
      </c>
      <c r="F20" s="56" t="s">
        <v>35</v>
      </c>
      <c r="G20" s="44">
        <v>0</v>
      </c>
      <c r="H20" s="129">
        <f>IF(B$15=0,0,G20/B$15)</f>
        <v>0</v>
      </c>
      <c r="I20" s="90">
        <v>1</v>
      </c>
    </row>
    <row r="21" spans="1:9" x14ac:dyDescent="0.45">
      <c r="A21" s="51" t="s">
        <v>194</v>
      </c>
      <c r="B21" s="44">
        <v>0</v>
      </c>
      <c r="C21" s="37">
        <f>IF(B$15=0,0,B21/B$15)</f>
        <v>0</v>
      </c>
      <c r="E21" s="59" t="s">
        <v>81</v>
      </c>
      <c r="F21" s="56" t="s">
        <v>36</v>
      </c>
      <c r="G21" s="44">
        <v>0</v>
      </c>
      <c r="H21" s="129">
        <f>IF(B$15=0,0,G21/B$15)</f>
        <v>0</v>
      </c>
      <c r="I21" s="90">
        <v>10</v>
      </c>
    </row>
    <row r="22" spans="1:9" x14ac:dyDescent="0.45">
      <c r="A22" s="51" t="s">
        <v>5</v>
      </c>
      <c r="B22" s="48">
        <f>IF(B$15=0,0,C22/B$15)</f>
        <v>10666.666666666666</v>
      </c>
      <c r="C22" s="39">
        <v>32000</v>
      </c>
      <c r="E22" s="59" t="s">
        <v>82</v>
      </c>
      <c r="F22" s="56" t="s">
        <v>37</v>
      </c>
      <c r="G22" s="44">
        <v>0</v>
      </c>
      <c r="H22" s="129">
        <f>IF(B$15=0,0,G22/B$15)</f>
        <v>0</v>
      </c>
      <c r="I22" s="90">
        <v>1</v>
      </c>
    </row>
    <row r="23" spans="1:9" x14ac:dyDescent="0.45">
      <c r="A23" s="52" t="s">
        <v>177</v>
      </c>
      <c r="B23" s="136">
        <f>IF($B$15-B$14=0,0,C23/($B$15-B$14))</f>
        <v>12000</v>
      </c>
      <c r="C23" s="137">
        <v>24000</v>
      </c>
      <c r="E23" s="59" t="s">
        <v>83</v>
      </c>
      <c r="F23" s="56" t="s">
        <v>38</v>
      </c>
      <c r="G23" s="44">
        <v>0</v>
      </c>
      <c r="H23" s="129">
        <f>IF(B$15=0,0,G23/B$15)</f>
        <v>0</v>
      </c>
      <c r="I23" s="90">
        <v>13</v>
      </c>
    </row>
    <row r="24" spans="1:9" x14ac:dyDescent="0.45">
      <c r="A24" s="52" t="s">
        <v>178</v>
      </c>
      <c r="B24" s="136">
        <f>IF(B$14=0,0,C24/B$14)</f>
        <v>8000</v>
      </c>
      <c r="C24" s="137">
        <v>8000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9" x14ac:dyDescent="0.45">
      <c r="A25" s="52" t="s">
        <v>176</v>
      </c>
      <c r="B25" s="136">
        <f>IF(B$16=0,0,C25/B$16)</f>
        <v>-7316.666666666667</v>
      </c>
      <c r="C25" s="137">
        <v>-43900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9" x14ac:dyDescent="0.45">
      <c r="A26" s="51" t="s">
        <v>164</v>
      </c>
      <c r="B26" s="44">
        <v>1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9" x14ac:dyDescent="0.45">
      <c r="A27" s="51" t="s">
        <v>165</v>
      </c>
      <c r="B27" s="44">
        <v>6</v>
      </c>
      <c r="C27" s="131">
        <v>0</v>
      </c>
      <c r="E27" s="59" t="s">
        <v>88</v>
      </c>
      <c r="F27" s="56" t="s">
        <v>43</v>
      </c>
      <c r="G27" s="44">
        <v>0</v>
      </c>
      <c r="H27" s="129">
        <f>IF(B$15=0,0,G27/B$15)</f>
        <v>0</v>
      </c>
      <c r="I27" s="90">
        <v>5</v>
      </c>
    </row>
    <row r="28" spans="1:9" x14ac:dyDescent="0.45">
      <c r="A28" s="86" t="s">
        <v>138</v>
      </c>
      <c r="B28" s="156">
        <v>1</v>
      </c>
      <c r="C28" s="157"/>
      <c r="E28" s="59" t="s">
        <v>90</v>
      </c>
      <c r="F28" s="56" t="s">
        <v>45</v>
      </c>
      <c r="G28" s="44">
        <v>0</v>
      </c>
      <c r="H28" s="129">
        <f>IF(B$15=0,0,G28/B$15)</f>
        <v>0</v>
      </c>
      <c r="I28" s="90">
        <v>5</v>
      </c>
    </row>
    <row r="29" spans="1:9" x14ac:dyDescent="0.45">
      <c r="A29" s="54" t="s">
        <v>192</v>
      </c>
      <c r="B29" s="154">
        <v>36300</v>
      </c>
      <c r="C29" s="155"/>
      <c r="E29" s="59" t="s">
        <v>91</v>
      </c>
      <c r="F29" s="56" t="s">
        <v>46</v>
      </c>
      <c r="G29" s="44">
        <v>0</v>
      </c>
      <c r="H29" s="129">
        <f>IF(B$15=0,0,G29/B$15)</f>
        <v>0</v>
      </c>
      <c r="I29" s="90">
        <v>10</v>
      </c>
    </row>
    <row r="30" spans="1:9" x14ac:dyDescent="0.45">
      <c r="A30" s="53" t="s">
        <v>139</v>
      </c>
      <c r="B30" s="61">
        <v>0</v>
      </c>
      <c r="C30" s="40">
        <f>IF(B$3=0,0,B30/B$3)</f>
        <v>0</v>
      </c>
      <c r="E30" s="59" t="s">
        <v>92</v>
      </c>
      <c r="F30" s="56" t="s">
        <v>47</v>
      </c>
      <c r="G30" s="44">
        <v>0</v>
      </c>
      <c r="H30" s="129">
        <f>IF(B$15=0,0,G30/B$15)</f>
        <v>0</v>
      </c>
      <c r="I30" s="90">
        <v>6</v>
      </c>
    </row>
    <row r="31" spans="1:9" x14ac:dyDescent="0.45">
      <c r="E31" s="59" t="s">
        <v>93</v>
      </c>
      <c r="F31" s="56" t="s">
        <v>48</v>
      </c>
      <c r="G31" s="44">
        <v>0</v>
      </c>
      <c r="H31" s="129">
        <f>IF(B$15=0,0,G31/B$15)</f>
        <v>0</v>
      </c>
      <c r="I31" s="90">
        <v>5</v>
      </c>
    </row>
    <row r="32" spans="1:9" x14ac:dyDescent="0.45">
      <c r="A32" s="86" t="s">
        <v>183</v>
      </c>
      <c r="B32" s="152">
        <v>0</v>
      </c>
      <c r="C32" s="141">
        <f>IF(B$15=0,0,B32/B$15)</f>
        <v>0</v>
      </c>
      <c r="E32" s="59" t="s">
        <v>94</v>
      </c>
      <c r="F32" s="56" t="s">
        <v>49</v>
      </c>
      <c r="G32" s="44">
        <v>0</v>
      </c>
      <c r="H32" s="129">
        <f>IF(B$15=0,0,G32/B$15)</f>
        <v>0</v>
      </c>
      <c r="I32" s="90">
        <v>1</v>
      </c>
    </row>
    <row r="33" spans="1:9" x14ac:dyDescent="0.45">
      <c r="A33" s="51" t="s">
        <v>179</v>
      </c>
      <c r="B33" s="44">
        <v>0</v>
      </c>
      <c r="C33" s="37">
        <f t="shared" ref="C33:C44" si="2">IF(B$15=0,0,B33/B$15)</f>
        <v>0</v>
      </c>
      <c r="E33" s="59" t="s">
        <v>95</v>
      </c>
      <c r="F33" s="56" t="s">
        <v>50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53">
        <v>0</v>
      </c>
      <c r="C34" s="37">
        <f>IF(B$15=0,0,B34/B$15)</f>
        <v>0</v>
      </c>
      <c r="E34" s="59" t="s">
        <v>96</v>
      </c>
      <c r="F34" s="56" t="s">
        <v>51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53">
        <v>0</v>
      </c>
      <c r="C35" s="37">
        <f t="shared" si="2"/>
        <v>0</v>
      </c>
      <c r="E35" s="59" t="s">
        <v>97</v>
      </c>
      <c r="F35" s="56" t="s">
        <v>52</v>
      </c>
      <c r="G35" s="44">
        <v>0</v>
      </c>
      <c r="H35" s="129">
        <f>IF(B$15=0,0,G35/B$15)</f>
        <v>0</v>
      </c>
      <c r="I35" s="90">
        <v>3</v>
      </c>
    </row>
    <row r="36" spans="1:9" x14ac:dyDescent="0.45">
      <c r="A36" s="51" t="s">
        <v>182</v>
      </c>
      <c r="B36" s="153">
        <v>1</v>
      </c>
      <c r="C36" s="37">
        <f t="shared" si="2"/>
        <v>0.33333333333333331</v>
      </c>
      <c r="E36" s="59" t="s">
        <v>98</v>
      </c>
      <c r="F36" s="56" t="s">
        <v>53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53">
        <v>1</v>
      </c>
      <c r="C37" s="37">
        <f t="shared" si="2"/>
        <v>0.33333333333333331</v>
      </c>
      <c r="E37" s="59" t="s">
        <v>99</v>
      </c>
      <c r="F37" s="56" t="s">
        <v>54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53">
        <v>1</v>
      </c>
      <c r="C38" s="37">
        <f t="shared" si="2"/>
        <v>0.33333333333333331</v>
      </c>
      <c r="E38" s="59" t="s">
        <v>100</v>
      </c>
      <c r="F38" s="56" t="s">
        <v>55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53">
        <v>0</v>
      </c>
      <c r="C39" s="37">
        <f t="shared" si="2"/>
        <v>0</v>
      </c>
      <c r="E39" s="59" t="s">
        <v>101</v>
      </c>
      <c r="F39" s="56" t="s">
        <v>56</v>
      </c>
      <c r="G39" s="44">
        <v>0</v>
      </c>
      <c r="H39" s="129">
        <f>IF(B$15=0,0,G39/B$15)</f>
        <v>0</v>
      </c>
      <c r="I39" s="90">
        <v>3</v>
      </c>
    </row>
    <row r="40" spans="1:9" x14ac:dyDescent="0.45">
      <c r="A40" s="51" t="s">
        <v>187</v>
      </c>
      <c r="B40" s="153">
        <v>0</v>
      </c>
      <c r="C40" s="37">
        <f t="shared" si="2"/>
        <v>0</v>
      </c>
      <c r="E40" s="59" t="s">
        <v>102</v>
      </c>
      <c r="F40" s="56" t="s">
        <v>57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53">
        <v>0</v>
      </c>
      <c r="C41" s="37">
        <f t="shared" si="2"/>
        <v>0</v>
      </c>
      <c r="E41" s="59" t="s">
        <v>103</v>
      </c>
      <c r="F41" s="56" t="s">
        <v>58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53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53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106</v>
      </c>
      <c r="F44" s="56" t="s">
        <v>113</v>
      </c>
      <c r="G44" s="44">
        <v>0</v>
      </c>
      <c r="H44" s="129">
        <f>IF(B$15=0,0,G44/B$15)</f>
        <v>0</v>
      </c>
      <c r="I44" s="90">
        <v>3</v>
      </c>
    </row>
    <row r="45" spans="1:9" x14ac:dyDescent="0.45">
      <c r="E45" s="59" t="s">
        <v>107</v>
      </c>
      <c r="F45" s="56" t="s">
        <v>114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108</v>
      </c>
      <c r="F46" s="56" t="s">
        <v>60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109</v>
      </c>
      <c r="F47" s="56" t="s">
        <v>61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110</v>
      </c>
      <c r="F48" s="56" t="s">
        <v>62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111</v>
      </c>
      <c r="F49" s="56" t="s">
        <v>63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162</v>
      </c>
      <c r="F50" s="56" t="s">
        <v>163</v>
      </c>
      <c r="G50" s="44">
        <v>0</v>
      </c>
      <c r="H50" s="129">
        <f>IF(B$15=0,0,G50/B$15)</f>
        <v>0</v>
      </c>
      <c r="I50" s="90">
        <v>8</v>
      </c>
    </row>
    <row r="51" spans="5:9" x14ac:dyDescent="0.45">
      <c r="E51" s="132" t="s">
        <v>166</v>
      </c>
      <c r="F51" s="133" t="s">
        <v>167</v>
      </c>
      <c r="G51" s="45">
        <v>0</v>
      </c>
      <c r="H51" s="134">
        <f>IF(B$15=0,0,G51/B$15)</f>
        <v>0</v>
      </c>
      <c r="I51" s="135">
        <v>14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25AEE-E604-439B-BECC-A1DA40CFAE42}">
  <sheetPr codeName="Sheet33"/>
  <dimension ref="A1:Q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F5381-4F38-4395-9DFC-9EBAEC992ED4}">
  <sheetPr codeName="Sheet30"/>
  <dimension ref="A1:Q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3CDC9-CF00-4A86-950D-740FA3027C9A}">
  <sheetPr codeName="Sheet28"/>
  <dimension ref="A1:Q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B93C-25E2-4961-994F-A36CE99A44AA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AA1A-DF06-4A3B-81CD-10DB110FE139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A651-F155-4F26-A5F2-8454E5EAD96C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32D1-E5F9-4D57-AA9F-C483D2F1B5B1}">
  <sheetPr codeName="Sheet20"/>
  <dimension ref="A1:Q5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109B-B247-41DB-B57D-6BDAED8046E3}">
  <sheetPr codeName="Sheet18"/>
  <dimension ref="A1:Q11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1A2B-5670-475E-AAE3-2956C8A0D252}">
  <sheetPr codeName="Sheet16"/>
  <dimension ref="A1:Q10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CE3D-1C44-4BEB-9DE9-9BF9D7BC5882}">
  <sheetPr codeName="Sheet14"/>
  <dimension ref="A1:Q9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679A-D46F-4FBE-AAA0-4CCFB72495B5}">
  <sheetPr codeName="Sheet12"/>
  <dimension ref="A1:Q13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3233-0DBD-46B5-AF1F-AC99D8594D07}">
  <sheetPr codeName="Sheet10"/>
  <dimension ref="A1:Q15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AFE1-70F0-4B53-8047-E4CAA74D512A}">
  <sheetPr codeName="Sheet8"/>
  <dimension ref="A1:Q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ADC5-47C2-40EC-BDC5-128888A11E22}">
  <sheetPr codeName="Sheet6"/>
  <dimension ref="A1:Q25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2019-12-07T16:06:05Z</dcterms:modified>
</cp:coreProperties>
</file>