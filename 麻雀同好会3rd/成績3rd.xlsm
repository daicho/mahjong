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ADC8904-F1B0-44A8-BB8B-3466A35C793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りくと" sheetId="5819" r:id="rId9"/>
    <sheet name="ただ" sheetId="5817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いっしー" sheetId="5831" r:id="rId16"/>
    <sheet name="いっしー2" sheetId="5832" state="hidden" r:id="rId17"/>
    <sheet name="ほたに2" sheetId="5830" state="hidden" r:id="rId18"/>
    <sheet name="ぱぱ2" sheetId="5828" state="hidden" r:id="rId19"/>
    <sheet name="のり2" sheetId="5826" state="hidden" r:id="rId20"/>
    <sheet name="まっつん2" sheetId="5824" state="hidden" r:id="rId21"/>
    <sheet name="れんたろう2" sheetId="5822" state="hidden" r:id="rId22"/>
    <sheet name="りくと2" sheetId="5820" state="hidden" r:id="rId23"/>
    <sheet name="ただ2" sheetId="5818" state="hidden" r:id="rId24"/>
    <sheet name="だいち2" sheetId="5816" state="hidden" r:id="rId25"/>
    <sheet name="たかの2" sheetId="5814" state="hidden" r:id="rId26"/>
    <sheet name="全体2" sheetId="581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9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8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9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8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9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8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9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8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9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8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9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8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9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8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9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8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9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8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9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8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9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8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9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8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9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8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9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8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9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8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9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8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9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8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9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8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9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8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9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8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9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8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9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8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9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8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9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8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9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8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9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8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9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8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9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8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9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8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9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8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9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8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9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8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9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8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9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8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9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8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9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8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9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8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9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8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9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8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1" l="1"/>
  <c r="O17" i="5821"/>
  <c r="O15" i="5821"/>
  <c r="O17" i="5823" l="1"/>
  <c r="O17" i="5831"/>
  <c r="O22" i="5815" l="1"/>
  <c r="O16" i="5831"/>
  <c r="O15" i="5831"/>
  <c r="C29" i="5831"/>
  <c r="B26" i="5831"/>
  <c r="B25" i="5831"/>
  <c r="C20" i="5831"/>
  <c r="B17" i="5831"/>
  <c r="H50" i="5831" s="1"/>
  <c r="C16" i="5831"/>
  <c r="C15" i="5831"/>
  <c r="C14" i="5831"/>
  <c r="C13" i="5831"/>
  <c r="O12" i="5831"/>
  <c r="C12" i="5831"/>
  <c r="O11" i="5831"/>
  <c r="C11" i="5831"/>
  <c r="O10" i="5831"/>
  <c r="C10" i="5831"/>
  <c r="C9" i="5831"/>
  <c r="C8" i="5831"/>
  <c r="O7" i="5831"/>
  <c r="C7" i="5831"/>
  <c r="O6" i="5831"/>
  <c r="B6" i="5831"/>
  <c r="O5" i="5831"/>
  <c r="B5" i="5831"/>
  <c r="O4" i="5831"/>
  <c r="O3" i="5831"/>
  <c r="O2" i="5831"/>
  <c r="O17" i="5825"/>
  <c r="O24" i="5811"/>
  <c r="H19" i="5831" l="1"/>
  <c r="H31" i="5831"/>
  <c r="B23" i="5831"/>
  <c r="H25" i="5831"/>
  <c r="H17" i="5831"/>
  <c r="H14" i="5831"/>
  <c r="H35" i="5831"/>
  <c r="H3" i="5831"/>
  <c r="H36" i="5831"/>
  <c r="H44" i="5831"/>
  <c r="H9" i="5831"/>
  <c r="C17" i="5831"/>
  <c r="H29" i="5831"/>
  <c r="H47" i="5831"/>
  <c r="H39" i="5831"/>
  <c r="H43" i="5831"/>
  <c r="H4" i="5831"/>
  <c r="H5" i="5831"/>
  <c r="C18" i="5831"/>
  <c r="H6" i="5831"/>
  <c r="H2" i="5831"/>
  <c r="H21" i="5831"/>
  <c r="H51" i="5831"/>
  <c r="H11" i="5831"/>
  <c r="H18" i="5831"/>
  <c r="C19" i="5831"/>
  <c r="B24" i="5831"/>
  <c r="H37" i="5831"/>
  <c r="H45" i="5831"/>
  <c r="H52" i="5831"/>
  <c r="H12" i="5831"/>
  <c r="H7" i="5831"/>
  <c r="H10" i="5831"/>
  <c r="H15" i="5831"/>
  <c r="H22" i="5831"/>
  <c r="H26" i="5831"/>
  <c r="H30" i="5831"/>
  <c r="H38" i="5831"/>
  <c r="H46" i="5831"/>
  <c r="H23" i="5831"/>
  <c r="H27" i="5831"/>
  <c r="H32" i="5831"/>
  <c r="H40" i="5831"/>
  <c r="H48" i="5831"/>
  <c r="H13" i="5831"/>
  <c r="H16" i="5831"/>
  <c r="H8" i="5831"/>
  <c r="H33" i="5831"/>
  <c r="H41" i="5831"/>
  <c r="H49" i="5831"/>
  <c r="H20" i="5831"/>
  <c r="H24" i="5831"/>
  <c r="H28" i="5831"/>
  <c r="H34" i="5831"/>
  <c r="H42" i="5831"/>
  <c r="O20" i="5813" l="1"/>
  <c r="O16" i="5821"/>
  <c r="O19" i="5829" l="1"/>
  <c r="O15" i="5819" l="1"/>
  <c r="O19" i="5825"/>
  <c r="O16" i="5829" l="1"/>
  <c r="O22" i="5819"/>
  <c r="O21" i="5813" l="1"/>
  <c r="O16" i="5815"/>
  <c r="O15" i="5825"/>
  <c r="O20" i="5825"/>
  <c r="O22" i="5823" l="1"/>
  <c r="O17" i="5827"/>
  <c r="O16" i="5817" l="1"/>
  <c r="O18" i="5823"/>
  <c r="O22" i="5825"/>
  <c r="O16" i="5825"/>
  <c r="O16" i="5813" l="1"/>
  <c r="O19" i="5827"/>
  <c r="O18" i="5827"/>
  <c r="O17" i="5819"/>
  <c r="O18" i="5817" l="1"/>
  <c r="O21" i="5821"/>
  <c r="O19" i="5821" l="1"/>
  <c r="O21" i="5815"/>
  <c r="O23" i="5825"/>
  <c r="O17" i="5829"/>
  <c r="O15" i="5829"/>
  <c r="O20" i="5827"/>
  <c r="O15" i="5817" l="1"/>
  <c r="O19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0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20" i="5819"/>
  <c r="O17" i="5815" l="1"/>
  <c r="O19" i="5823"/>
  <c r="O23" i="5823"/>
  <c r="O18" i="5813"/>
  <c r="O20" i="5817"/>
  <c r="O16" i="5819"/>
  <c r="O19" i="5819"/>
  <c r="O19" i="5813"/>
  <c r="O17" i="5817"/>
  <c r="O15" i="5815"/>
  <c r="O21" i="5827"/>
  <c r="O22" i="5827"/>
  <c r="O22" i="5821" l="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8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1" i="5811"/>
  <c r="H23" i="5827" l="1"/>
  <c r="H11" i="5827"/>
  <c r="H52" i="5827"/>
  <c r="H21" i="5827"/>
  <c r="C17" i="5827"/>
  <c r="H32" i="5827"/>
  <c r="C19" i="5827"/>
  <c r="H38" i="5827"/>
  <c r="H10" i="5827"/>
  <c r="H16" i="5827"/>
  <c r="H46" i="5827"/>
  <c r="H40" i="5827"/>
  <c r="H4" i="5827"/>
  <c r="B24" i="5827"/>
  <c r="H48" i="5827"/>
  <c r="H15" i="5827"/>
  <c r="H13" i="5827"/>
  <c r="H31" i="5827"/>
  <c r="H39" i="5827"/>
  <c r="H47" i="5827"/>
  <c r="H49" i="5827"/>
  <c r="H14" i="5827"/>
  <c r="H27" i="5827"/>
  <c r="H34" i="5827"/>
  <c r="H42" i="5827"/>
  <c r="H50" i="5827"/>
  <c r="H6" i="5827"/>
  <c r="H33" i="5827"/>
  <c r="H24" i="5827"/>
  <c r="H28" i="5827"/>
  <c r="H29" i="5827"/>
  <c r="H35" i="5827"/>
  <c r="H43" i="5827"/>
  <c r="H51" i="5827"/>
  <c r="H18" i="5827"/>
  <c r="H8" i="5827"/>
  <c r="H7" i="5827"/>
  <c r="H20" i="5827"/>
  <c r="H22" i="5827"/>
  <c r="C18" i="5827"/>
  <c r="B23" i="5827"/>
  <c r="H12" i="5827"/>
  <c r="H36" i="5827"/>
  <c r="H44" i="5827"/>
  <c r="H19" i="5827"/>
  <c r="H2" i="5827"/>
  <c r="H26" i="5827"/>
  <c r="H41" i="5827"/>
  <c r="H3" i="5827"/>
  <c r="H9" i="5827"/>
  <c r="H25" i="5827"/>
  <c r="H17" i="5827"/>
  <c r="H30" i="5827"/>
  <c r="H37" i="5827"/>
  <c r="H45" i="5827"/>
  <c r="H9" i="5825"/>
  <c r="H4" i="5825"/>
  <c r="H3" i="5825"/>
  <c r="H6" i="5825"/>
  <c r="H29" i="5825"/>
  <c r="H2" i="5825"/>
  <c r="H44" i="5825"/>
  <c r="H7" i="5825"/>
  <c r="H16" i="5825"/>
  <c r="H23" i="5825"/>
  <c r="H10" i="5825"/>
  <c r="H26" i="5825"/>
  <c r="H14" i="5825"/>
  <c r="C17" i="5825"/>
  <c r="H36" i="5825"/>
  <c r="H15" i="5825"/>
  <c r="H13" i="5825"/>
  <c r="H30" i="5825"/>
  <c r="H38" i="5825"/>
  <c r="H46" i="5825"/>
  <c r="H17" i="5825"/>
  <c r="H31" i="5825"/>
  <c r="H39" i="5825"/>
  <c r="H47" i="5825"/>
  <c r="H24" i="5825"/>
  <c r="H19" i="5825"/>
  <c r="H12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1" i="5825"/>
  <c r="H5" i="5825"/>
  <c r="H18" i="5825"/>
  <c r="H20" i="5825"/>
  <c r="C18" i="5825"/>
  <c r="B23" i="5825"/>
  <c r="H8" i="5825"/>
  <c r="H35" i="5825"/>
  <c r="H43" i="5825"/>
  <c r="H51" i="5825"/>
  <c r="H21" i="5825"/>
  <c r="C19" i="5825"/>
  <c r="B24" i="5825"/>
  <c r="H37" i="5825"/>
  <c r="H45" i="5825"/>
  <c r="O21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20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1" i="5819"/>
  <c r="O18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6" i="5819"/>
  <c r="H18" i="5819"/>
  <c r="H7" i="5819"/>
  <c r="H10" i="5819"/>
  <c r="H48" i="5819"/>
  <c r="H31" i="5819"/>
  <c r="H47" i="5819"/>
  <c r="H4" i="5823"/>
  <c r="H27" i="5823"/>
  <c r="H20" i="5823"/>
  <c r="H11" i="5823"/>
  <c r="H12" i="5823"/>
  <c r="H9" i="5823"/>
  <c r="H7" i="5823"/>
  <c r="C17" i="5823"/>
  <c r="H23" i="5823"/>
  <c r="H19" i="5823"/>
  <c r="H13" i="5823"/>
  <c r="H21" i="5823"/>
  <c r="H40" i="5823"/>
  <c r="H47" i="5823"/>
  <c r="H16" i="5823"/>
  <c r="H33" i="5823"/>
  <c r="H41" i="5823"/>
  <c r="H48" i="5823"/>
  <c r="H2" i="5823"/>
  <c r="H34" i="5823"/>
  <c r="H8" i="5823"/>
  <c r="H24" i="5823"/>
  <c r="H15" i="5823"/>
  <c r="H35" i="5823"/>
  <c r="H42" i="5823"/>
  <c r="H50" i="5823"/>
  <c r="H22" i="5823"/>
  <c r="H14" i="5823"/>
  <c r="H29" i="5823"/>
  <c r="H31" i="5823"/>
  <c r="H36" i="5823"/>
  <c r="H43" i="5823"/>
  <c r="H51" i="5823"/>
  <c r="H3" i="5823"/>
  <c r="H28" i="5823"/>
  <c r="H30" i="5823"/>
  <c r="H49" i="5823"/>
  <c r="H6" i="5823"/>
  <c r="H18" i="5823"/>
  <c r="H25" i="5823"/>
  <c r="C18" i="5823"/>
  <c r="B23" i="5823"/>
  <c r="H10" i="5823"/>
  <c r="H37" i="5823"/>
  <c r="H44" i="5823"/>
  <c r="H17" i="5823"/>
  <c r="H32" i="5823"/>
  <c r="H38" i="5823"/>
  <c r="H45" i="5823"/>
  <c r="H5" i="5823"/>
  <c r="H26" i="5823"/>
  <c r="C19" i="5823"/>
  <c r="B24" i="5823"/>
  <c r="H39" i="5823"/>
  <c r="H46" i="5823"/>
  <c r="H20" i="5821"/>
  <c r="H12" i="5821"/>
  <c r="H2" i="5821"/>
  <c r="H40" i="5821"/>
  <c r="H14" i="5821"/>
  <c r="H47" i="5821"/>
  <c r="H7" i="5821"/>
  <c r="H48" i="5821"/>
  <c r="H10" i="5821"/>
  <c r="H18" i="5821"/>
  <c r="H24" i="5821"/>
  <c r="C17" i="5821"/>
  <c r="H15" i="5821"/>
  <c r="H17" i="5821"/>
  <c r="H39" i="5821"/>
  <c r="H49" i="5821"/>
  <c r="H9" i="5821"/>
  <c r="H19" i="5821"/>
  <c r="H13" i="5821"/>
  <c r="H34" i="5821"/>
  <c r="H42" i="5821"/>
  <c r="H50" i="5821"/>
  <c r="H29" i="5821"/>
  <c r="H27" i="5821"/>
  <c r="H30" i="5821"/>
  <c r="H32" i="5821"/>
  <c r="H35" i="5821"/>
  <c r="H43" i="5821"/>
  <c r="H51" i="5821"/>
  <c r="H31" i="5821"/>
  <c r="H5" i="5821"/>
  <c r="H23" i="5821"/>
  <c r="H25" i="5821"/>
  <c r="C18" i="5821"/>
  <c r="B23" i="5821"/>
  <c r="H8" i="5821"/>
  <c r="H36" i="5821"/>
  <c r="H44" i="5821"/>
  <c r="H16" i="5821"/>
  <c r="H3" i="5821"/>
  <c r="H33" i="5821"/>
  <c r="H4" i="5821"/>
  <c r="H11" i="5821"/>
  <c r="H28" i="5821"/>
  <c r="H21" i="5821"/>
  <c r="H22" i="5821"/>
  <c r="H37" i="5821"/>
  <c r="H45" i="5821"/>
  <c r="H6" i="5821"/>
  <c r="H41" i="5821"/>
  <c r="H26" i="5821"/>
  <c r="C19" i="5821"/>
  <c r="B24" i="5821"/>
  <c r="H38" i="5821"/>
  <c r="H46" i="5821"/>
  <c r="H3" i="5819"/>
  <c r="H8" i="5819"/>
  <c r="H12" i="5819"/>
  <c r="H19" i="5819"/>
  <c r="H22" i="5819"/>
  <c r="H14" i="5819"/>
  <c r="H28" i="5819"/>
  <c r="H32" i="5819"/>
  <c r="H13" i="5819"/>
  <c r="B24" i="5819"/>
  <c r="H37" i="5819"/>
  <c r="H15" i="5819"/>
  <c r="H16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7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2" i="5817" l="1"/>
  <c r="O21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0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2" i="5811"/>
  <c r="O23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6" i="5817" l="1"/>
  <c r="H13" i="5817"/>
  <c r="H25" i="5817"/>
  <c r="H11" i="5817"/>
  <c r="H3" i="5817"/>
  <c r="H5" i="5813"/>
  <c r="H47" i="5817"/>
  <c r="H19" i="5817"/>
  <c r="C17" i="5817"/>
  <c r="H10" i="5817"/>
  <c r="H18" i="5817"/>
  <c r="H2" i="5817"/>
  <c r="H9" i="5817"/>
  <c r="H15" i="5817"/>
  <c r="H39" i="5817"/>
  <c r="H16" i="5817"/>
  <c r="H21" i="5817"/>
  <c r="H40" i="5817"/>
  <c r="H48" i="5817"/>
  <c r="H29" i="5817"/>
  <c r="H31" i="5817"/>
  <c r="H34" i="5817"/>
  <c r="H41" i="5817"/>
  <c r="H49" i="5817"/>
  <c r="H14" i="5817"/>
  <c r="H35" i="5817"/>
  <c r="H42" i="5817"/>
  <c r="H50" i="5817"/>
  <c r="H17" i="5817"/>
  <c r="H20" i="5817"/>
  <c r="H32" i="5817"/>
  <c r="H22" i="5817"/>
  <c r="H43" i="5817"/>
  <c r="H51" i="5817"/>
  <c r="H7" i="5817"/>
  <c r="H24" i="5817"/>
  <c r="H26" i="5817"/>
  <c r="C18" i="5817"/>
  <c r="B23" i="5817"/>
  <c r="H8" i="5817"/>
  <c r="H36" i="5817"/>
  <c r="H44" i="5817"/>
  <c r="H23" i="5817"/>
  <c r="H5" i="5817"/>
  <c r="H12" i="5817"/>
  <c r="H28" i="5817"/>
  <c r="H30" i="5817"/>
  <c r="H33" i="5817"/>
  <c r="H37" i="5817"/>
  <c r="H45" i="5817"/>
  <c r="H4" i="5817"/>
  <c r="H27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2" i="5815"/>
  <c r="H5" i="5815"/>
  <c r="H10" i="5815"/>
  <c r="H6" i="5815"/>
  <c r="H11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9" i="5813"/>
  <c r="H10" i="5813"/>
  <c r="H29" i="5813"/>
  <c r="H3" i="5813"/>
  <c r="H31" i="5813"/>
  <c r="C19" i="5813"/>
  <c r="H36" i="5813"/>
  <c r="H8" i="5813"/>
  <c r="H26" i="5813"/>
  <c r="H6" i="5813"/>
  <c r="H11" i="5813"/>
  <c r="H14" i="5813"/>
  <c r="H37" i="5813"/>
  <c r="H44" i="5813"/>
  <c r="B24" i="5813"/>
  <c r="H45" i="5813"/>
  <c r="H4" i="5813"/>
  <c r="H17" i="5813"/>
  <c r="C17" i="5813"/>
  <c r="H52" i="5813"/>
  <c r="H20" i="5813"/>
  <c r="H16" i="5813"/>
  <c r="H38" i="5813"/>
  <c r="H46" i="5813"/>
  <c r="H24" i="5813"/>
  <c r="H32" i="5813"/>
  <c r="H39" i="5813"/>
  <c r="H47" i="5813"/>
  <c r="H30" i="5813"/>
  <c r="H48" i="5813"/>
  <c r="H18" i="5813"/>
  <c r="H12" i="5813"/>
  <c r="H41" i="5813"/>
  <c r="H25" i="5813"/>
  <c r="H28" i="5813"/>
  <c r="H15" i="5813"/>
  <c r="H34" i="5813"/>
  <c r="H42" i="5813"/>
  <c r="H50" i="5813"/>
  <c r="H27" i="5813"/>
  <c r="H21" i="5813"/>
  <c r="H40" i="5813"/>
  <c r="H7" i="5813"/>
  <c r="H33" i="5813"/>
  <c r="H49" i="5813"/>
  <c r="H9" i="5813"/>
  <c r="H22" i="5813"/>
  <c r="H23" i="5813"/>
  <c r="C18" i="5813"/>
  <c r="B23" i="5813"/>
  <c r="H13" i="5813"/>
  <c r="H35" i="5813"/>
  <c r="H43" i="5813"/>
  <c r="H4" i="5811"/>
  <c r="H21" i="5811"/>
  <c r="H11" i="5811"/>
  <c r="C17" i="5811"/>
  <c r="H41" i="5811"/>
  <c r="H48" i="5811"/>
  <c r="H2" i="5811"/>
  <c r="H23" i="5811"/>
  <c r="C19" i="5811"/>
  <c r="B24" i="5811"/>
  <c r="H10" i="5811"/>
  <c r="H6" i="5811"/>
  <c r="H12" i="5811"/>
  <c r="H22" i="5811"/>
  <c r="H17" i="5811"/>
  <c r="H14" i="5811"/>
  <c r="H18" i="5811"/>
  <c r="H40" i="5811"/>
  <c r="H47" i="5811"/>
  <c r="H35" i="5811"/>
  <c r="H30" i="5811"/>
  <c r="H31" i="5811"/>
  <c r="H32" i="5811"/>
  <c r="H49" i="5811"/>
  <c r="H3" i="5811"/>
  <c r="H8" i="5811"/>
  <c r="H20" i="5811"/>
  <c r="H13" i="5811"/>
  <c r="H36" i="5811"/>
  <c r="H42" i="5811"/>
  <c r="H50" i="5811"/>
  <c r="H19" i="5811"/>
  <c r="H51" i="5811"/>
  <c r="H24" i="5811"/>
  <c r="H26" i="5811"/>
  <c r="H28" i="5811"/>
  <c r="H43" i="5811"/>
  <c r="H7" i="5811"/>
  <c r="H29" i="5811"/>
  <c r="H33" i="5811"/>
  <c r="C18" i="5811"/>
  <c r="B23" i="5811"/>
  <c r="H9" i="5811"/>
  <c r="H37" i="5811"/>
  <c r="H44" i="5811"/>
  <c r="H16" i="5811"/>
  <c r="H34" i="5811"/>
  <c r="H25" i="5811"/>
  <c r="H27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<sst xmlns="http://schemas.openxmlformats.org/spreadsheetml/2006/main" count="2770" uniqueCount="227">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</sst>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全体!$K$2:$K$380</c:f>
              <c:numCache>
                <c:formatCode>General</c:formatCode>
                <c:ptCount val="3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</c:numCache>
            </c:numRef>
          </c:xVal>
          <c:yVal>
            <c:numRef>
              <c:f>全体!$L$2:$L$380</c:f>
              <c:numCache>
                <c:formatCode>\+0.0;\-0.0;\±0</c:formatCode>
                <c:ptCount val="37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-21.333333333333332</c:v>
                </c:pt>
                <c:pt idx="1">
                  <c:v>8.2644628099173545</c:v>
                </c:pt>
                <c:pt idx="2">
                  <c:v>-22.988505747126435</c:v>
                </c:pt>
                <c:pt idx="3">
                  <c:v>21.406727828746178</c:v>
                </c:pt>
                <c:pt idx="4">
                  <c:v>16.181229773462782</c:v>
                </c:pt>
                <c:pt idx="5">
                  <c:v>3.9682539682539684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1818.918918918919</c:v>
                </c:pt>
                <c:pt idx="1">
                  <c:v>-616.66666666666663</c:v>
                </c:pt>
                <c:pt idx="2">
                  <c:v>82.352941176470594</c:v>
                </c:pt>
                <c:pt idx="3">
                  <c:v>-2585.294117647059</c:v>
                </c:pt>
                <c:pt idx="4">
                  <c:v>-1255.8823529411766</c:v>
                </c:pt>
                <c:pt idx="5">
                  <c:v>-1937.9310344827586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だいち!$L$2:$L$78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590.66666666666663</c:v>
                </c:pt>
                <c:pt idx="1">
                  <c:v>193.05555555555554</c:v>
                </c:pt>
                <c:pt idx="2">
                  <c:v>139.43661971830986</c:v>
                </c:pt>
                <c:pt idx="3">
                  <c:v>-732.8125</c:v>
                </c:pt>
                <c:pt idx="4">
                  <c:v>3006.4516129032259</c:v>
                </c:pt>
                <c:pt idx="5">
                  <c:v>3052.9411764705883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432.60869565217394</c:v>
                </c:pt>
                <c:pt idx="1">
                  <c:v>-547.82608695652175</c:v>
                </c:pt>
                <c:pt idx="2">
                  <c:v>981.81818181818187</c:v>
                </c:pt>
                <c:pt idx="3">
                  <c:v>-1930.952380952381</c:v>
                </c:pt>
                <c:pt idx="4">
                  <c:v>-3119.5121951219512</c:v>
                </c:pt>
                <c:pt idx="5">
                  <c:v>-2638.8888888888887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ただ!$L$2:$L$77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-1951.3513513513512</c:v>
                </c:pt>
                <c:pt idx="1">
                  <c:v>1136.1111111111111</c:v>
                </c:pt>
                <c:pt idx="2">
                  <c:v>601.47058823529414</c:v>
                </c:pt>
                <c:pt idx="3">
                  <c:v>2743.75</c:v>
                </c:pt>
                <c:pt idx="4">
                  <c:v>398.36065573770492</c:v>
                </c:pt>
                <c:pt idx="5">
                  <c:v>1680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2344.1860465116279</c:v>
                </c:pt>
                <c:pt idx="1">
                  <c:v>-2836.5853658536585</c:v>
                </c:pt>
                <c:pt idx="2">
                  <c:v>1218.421052631579</c:v>
                </c:pt>
                <c:pt idx="3">
                  <c:v>3800</c:v>
                </c:pt>
                <c:pt idx="4">
                  <c:v>-3060.6060606060605</c:v>
                </c:pt>
                <c:pt idx="5">
                  <c:v>-444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921.56862745098044</c:v>
                </c:pt>
                <c:pt idx="1">
                  <c:v>1812.5</c:v>
                </c:pt>
                <c:pt idx="2">
                  <c:v>-2248.8888888888887</c:v>
                </c:pt>
                <c:pt idx="3">
                  <c:v>214.63414634146341</c:v>
                </c:pt>
                <c:pt idx="4">
                  <c:v>16.666666666666668</c:v>
                </c:pt>
                <c:pt idx="5">
                  <c:v>-470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のり!$L$2:$L$28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-3423.0769230769229</c:v>
                </c:pt>
                <c:pt idx="1">
                  <c:v>-915.38461538461536</c:v>
                </c:pt>
                <c:pt idx="2">
                  <c:v>-457.69230769230768</c:v>
                </c:pt>
                <c:pt idx="3">
                  <c:v>-2992</c:v>
                </c:pt>
                <c:pt idx="4">
                  <c:v>-1716.6666666666667</c:v>
                </c:pt>
                <c:pt idx="5">
                  <c:v>-3342.1052631578946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-1492.3076923076924</c:v>
                </c:pt>
                <c:pt idx="4">
                  <c:v>6215.3846153846152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A-4C52-B42E-15E47B189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C-4B40-8AEC-110CCD27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れんたろう2!$B$3:$B$46</c:f>
              <c:numCache>
                <c:formatCode>\+0.0;\-0.0;\±0</c:formatCode>
                <c:ptCount val="4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763568394002505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れんたろう2!$C$3:$C$46</c:f>
              <c:numCache>
                <c:formatCode>\+0.0;\-0.0;\±0</c:formatCode>
                <c:ptCount val="44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99356717990080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れんたろう2!$D$3:$D$46</c:f>
              <c:numCache>
                <c:formatCode>0.00\ "位"</c:formatCode>
                <c:ptCount val="44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れんたろう2!$E$3:$E$46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れんたろう2!$F$3:$F$46</c:f>
              <c:numCache>
                <c:formatCode>0.0%</c:formatCode>
                <c:ptCount val="4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れんたろう2!$G$3:$G$46</c:f>
              <c:numCache>
                <c:formatCode>0.0%</c:formatCode>
                <c:ptCount val="44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449494949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れんたろう2!$H$3:$H$46</c:f>
              <c:numCache>
                <c:formatCode>0.0%</c:formatCode>
                <c:ptCount val="44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719696969696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れんたろう2!$I$3:$I$46</c:f>
              <c:numCache>
                <c:formatCode>0</c:formatCode>
                <c:ptCount val="44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64.6932185145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れんたろう2!$J$3:$J$46</c:f>
              <c:numCache>
                <c:formatCode>0</c:formatCode>
                <c:ptCount val="44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31.6190476190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れんたろう2!$K$3:$K$46</c:f>
              <c:numCache>
                <c:formatCode>0.0%</c:formatCode>
                <c:ptCount val="4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5925925925925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れんたろう2!$L$3:$L$46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59259259259258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れんたろう2!$M$3:$M$46</c:f>
              <c:numCache>
                <c:formatCode>0.0%</c:formatCode>
                <c:ptCount val="44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89646464646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れんたろう2!$N$3:$N$46</c:f>
              <c:numCache>
                <c:formatCode>0.0%</c:formatCode>
                <c:ptCount val="44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58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れんたろう2!$O$3:$O$46</c:f>
              <c:numCache>
                <c:formatCode>0.0%</c:formatCode>
                <c:ptCount val="44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482670089858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れんたろう2!$P$3:$P$46</c:f>
              <c:numCache>
                <c:formatCode>0.0%</c:formatCode>
                <c:ptCount val="44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79710144927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れんたろう2!$Q$3:$Q$46</c:f>
              <c:numCache>
                <c:formatCode>0.0%</c:formatCode>
                <c:ptCount val="44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417653390742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8"/>
      <c r="C1" s="149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0">
        <v>0</v>
      </c>
      <c r="C2" s="151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2">
        <v>0</v>
      </c>
      <c r="C3" s="153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4">
        <v>0</v>
      </c>
      <c r="C4" s="155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6">
        <f>IF(B$2=0,0,B$4/B$2)</f>
        <v>0</v>
      </c>
      <c r="C5" s="157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6">
        <f>IF(B$2=0,0,(B$7*1+B$8*2+B$9*3)/B$2)</f>
        <v>0</v>
      </c>
      <c r="C6" s="147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4">
        <v>0</v>
      </c>
      <c r="C27" s="145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2">
        <v>-1000000</v>
      </c>
      <c r="C28" s="143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5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5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5" x14ac:dyDescent="0.4">
      <c r="A35" s="28" t="s">
        <v>226</v>
      </c>
      <c r="B35" s="29">
        <v>43761.077870370369</v>
      </c>
      <c r="C35" s="28" t="s">
        <v>128</v>
      </c>
      <c r="D35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378</v>
      </c>
    </row>
    <row r="2" spans="1:2" x14ac:dyDescent="0.4">
      <c r="A2" t="s">
        <v>166</v>
      </c>
      <c r="B2">
        <v>37</v>
      </c>
    </row>
    <row r="3" spans="1:2" x14ac:dyDescent="0.4">
      <c r="A3" t="s">
        <v>126</v>
      </c>
      <c r="B3">
        <v>76</v>
      </c>
    </row>
    <row r="4" spans="1:2" x14ac:dyDescent="0.4">
      <c r="A4" t="s">
        <v>127</v>
      </c>
      <c r="B4">
        <v>75</v>
      </c>
    </row>
    <row r="5" spans="1:2" x14ac:dyDescent="0.4">
      <c r="A5" t="s">
        <v>179</v>
      </c>
      <c r="B5">
        <v>47</v>
      </c>
    </row>
    <row r="6" spans="1:2" x14ac:dyDescent="0.4">
      <c r="A6" t="s">
        <v>177</v>
      </c>
      <c r="B6">
        <v>43</v>
      </c>
    </row>
    <row r="7" spans="1:2" x14ac:dyDescent="0.4">
      <c r="A7" t="s">
        <v>178</v>
      </c>
      <c r="B7">
        <v>51</v>
      </c>
    </row>
    <row r="8" spans="1:2" x14ac:dyDescent="0.4">
      <c r="A8" t="s">
        <v>182</v>
      </c>
      <c r="B8">
        <v>26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62">
        <v>0.98885941315156456</v>
      </c>
      <c r="G2" s="163"/>
      <c r="H2" s="162">
        <v>0.90531183541531368</v>
      </c>
      <c r="I2" s="163"/>
      <c r="J2" s="162">
        <v>0.97324071550608882</v>
      </c>
      <c r="K2" s="163"/>
      <c r="L2" s="162">
        <v>0.87397083206339787</v>
      </c>
      <c r="M2" s="163"/>
      <c r="N2" s="162">
        <v>0.5374330598184055</v>
      </c>
      <c r="O2" s="163"/>
      <c r="P2" s="162">
        <v>0.39040211473474512</v>
      </c>
      <c r="Q2" s="163"/>
      <c r="R2" s="162">
        <v>0.32466854923416499</v>
      </c>
      <c r="S2" s="163"/>
      <c r="T2" s="162">
        <v>0.32804365367007371</v>
      </c>
      <c r="U2" s="163"/>
      <c r="V2" s="162">
        <v>0.67817765854283818</v>
      </c>
      <c r="W2" s="163"/>
      <c r="X2" s="162">
        <v>0.40324159889853162</v>
      </c>
      <c r="Y2" s="163"/>
      <c r="Z2" s="162">
        <v>0.28367368170070562</v>
      </c>
      <c r="AA2" s="163"/>
      <c r="AB2" s="162">
        <v>4.787641921618923E-2</v>
      </c>
      <c r="AC2" s="163"/>
      <c r="AD2" s="162">
        <v>0.40705426335418754</v>
      </c>
      <c r="AE2" s="163"/>
      <c r="AF2" s="162">
        <v>-0.18341417960610595</v>
      </c>
      <c r="AG2" s="163"/>
      <c r="AH2" s="162">
        <v>0.43323825646115155</v>
      </c>
      <c r="AI2" s="163"/>
    </row>
    <row r="3" spans="1:35" x14ac:dyDescent="0.4">
      <c r="A3" s="70">
        <v>1</v>
      </c>
      <c r="B3" s="71" t="s">
        <v>126</v>
      </c>
      <c r="C3" s="72">
        <v>576.29999999999984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10142.708333333334</v>
      </c>
      <c r="R3" s="73" t="s">
        <v>166</v>
      </c>
      <c r="S3" s="77">
        <v>-6742</v>
      </c>
      <c r="T3" s="73" t="s">
        <v>166</v>
      </c>
      <c r="U3" s="75">
        <v>0</v>
      </c>
      <c r="V3" s="73" t="s">
        <v>177</v>
      </c>
      <c r="W3" s="75">
        <v>0.18604651162790697</v>
      </c>
      <c r="X3" s="73" t="s">
        <v>177</v>
      </c>
      <c r="Y3" s="76">
        <v>0.30144927536231886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336.79999999999984</v>
      </c>
      <c r="D4" s="81" t="s">
        <v>126</v>
      </c>
      <c r="E4" s="93">
        <v>7.5828947368421034</v>
      </c>
      <c r="F4" s="81" t="s">
        <v>126</v>
      </c>
      <c r="G4" s="82">
        <v>1.7763157894736843</v>
      </c>
      <c r="H4" s="81" t="s">
        <v>126</v>
      </c>
      <c r="I4" s="83">
        <v>0.47368421052631576</v>
      </c>
      <c r="J4" s="81" t="s">
        <v>126</v>
      </c>
      <c r="K4" s="83">
        <v>0.25</v>
      </c>
      <c r="L4" s="81" t="s">
        <v>126</v>
      </c>
      <c r="M4" s="84">
        <v>0.33658536585365856</v>
      </c>
      <c r="N4" s="81" t="s">
        <v>181</v>
      </c>
      <c r="O4" s="84">
        <v>0.13380281690140844</v>
      </c>
      <c r="P4" s="81" t="s">
        <v>127</v>
      </c>
      <c r="Q4" s="85">
        <v>8712.3152709359601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0.28678304239401498</v>
      </c>
      <c r="Z4" s="81" t="s">
        <v>222</v>
      </c>
      <c r="AA4" s="84">
        <v>0.33333333333333331</v>
      </c>
      <c r="AB4" s="81" t="s">
        <v>126</v>
      </c>
      <c r="AC4" s="84">
        <v>0.60897435897435892</v>
      </c>
      <c r="AD4" s="81" t="s">
        <v>126</v>
      </c>
      <c r="AE4" s="84">
        <v>0.4689655172413793</v>
      </c>
      <c r="AF4" s="81" t="s">
        <v>182</v>
      </c>
      <c r="AG4" s="84">
        <v>0.47916666666666669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78.300000000000068</v>
      </c>
      <c r="D5" s="81" t="s">
        <v>127</v>
      </c>
      <c r="E5" s="93">
        <v>4.4906666666666641</v>
      </c>
      <c r="F5" s="81" t="s">
        <v>127</v>
      </c>
      <c r="G5" s="82">
        <v>1.8533333333333333</v>
      </c>
      <c r="H5" s="81" t="s">
        <v>195</v>
      </c>
      <c r="I5" s="83">
        <v>0.42857142857142855</v>
      </c>
      <c r="J5" s="81" t="s">
        <v>178</v>
      </c>
      <c r="K5" s="83">
        <v>0.27450980392156865</v>
      </c>
      <c r="L5" s="81" t="s">
        <v>127</v>
      </c>
      <c r="M5" s="84">
        <v>0.31818181818181818</v>
      </c>
      <c r="N5" s="81" t="s">
        <v>178</v>
      </c>
      <c r="O5" s="84">
        <v>0.13636363636363635</v>
      </c>
      <c r="P5" s="81" t="s">
        <v>178</v>
      </c>
      <c r="Q5" s="85">
        <v>8543.1034482758623</v>
      </c>
      <c r="R5" s="81" t="s">
        <v>179</v>
      </c>
      <c r="S5" s="85">
        <v>-7435.3658536585363</v>
      </c>
      <c r="T5" s="81" t="s">
        <v>126</v>
      </c>
      <c r="U5" s="83">
        <v>3.9473684210526314E-2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0.30877742946708464</v>
      </c>
      <c r="AB5" s="81" t="s">
        <v>179</v>
      </c>
      <c r="AC5" s="84">
        <v>0.6</v>
      </c>
      <c r="AD5" s="81" t="s">
        <v>177</v>
      </c>
      <c r="AE5" s="84">
        <v>0.46376811594202899</v>
      </c>
      <c r="AF5" s="81" t="s">
        <v>177</v>
      </c>
      <c r="AG5" s="84">
        <v>0.46875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181</v>
      </c>
      <c r="G6" s="82">
        <v>1.9285714285714286</v>
      </c>
      <c r="H6" s="81" t="s">
        <v>127</v>
      </c>
      <c r="I6" s="83">
        <v>0.42666666666666669</v>
      </c>
      <c r="J6" s="81" t="s">
        <v>127</v>
      </c>
      <c r="K6" s="83">
        <v>0.28000000000000003</v>
      </c>
      <c r="L6" s="81" t="s">
        <v>143</v>
      </c>
      <c r="M6" s="84">
        <v>0.2932449494949495</v>
      </c>
      <c r="N6" s="81" t="s">
        <v>126</v>
      </c>
      <c r="O6" s="84">
        <v>0.13983739837398373</v>
      </c>
      <c r="P6" s="81" t="s">
        <v>143</v>
      </c>
      <c r="Q6" s="85">
        <v>8264.6932185145324</v>
      </c>
      <c r="R6" s="81" t="s">
        <v>126</v>
      </c>
      <c r="S6" s="85">
        <v>-7533.7209302325582</v>
      </c>
      <c r="T6" s="81" t="s">
        <v>179</v>
      </c>
      <c r="U6" s="83">
        <v>4.2553191489361701E-2</v>
      </c>
      <c r="V6" s="81" t="s">
        <v>127</v>
      </c>
      <c r="W6" s="83">
        <v>0.10666666666666667</v>
      </c>
      <c r="X6" s="81" t="s">
        <v>222</v>
      </c>
      <c r="Y6" s="84">
        <v>0.26666666666666666</v>
      </c>
      <c r="Z6" s="81" t="s">
        <v>178</v>
      </c>
      <c r="AA6" s="84">
        <v>0.25119617224880381</v>
      </c>
      <c r="AB6" s="81" t="s">
        <v>178</v>
      </c>
      <c r="AC6" s="84">
        <v>0.58490566037735847</v>
      </c>
      <c r="AD6" s="81" t="s">
        <v>143</v>
      </c>
      <c r="AE6" s="84">
        <v>0.40579710144927539</v>
      </c>
      <c r="AF6" s="81" t="s">
        <v>166</v>
      </c>
      <c r="AG6" s="84">
        <v>0.44578313253012047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1.8209302325581411</v>
      </c>
      <c r="F7" s="81" t="s">
        <v>177</v>
      </c>
      <c r="G7" s="82">
        <v>1.930232558139535</v>
      </c>
      <c r="H7" s="81" t="s">
        <v>177</v>
      </c>
      <c r="I7" s="83">
        <v>0.39534883720930231</v>
      </c>
      <c r="J7" s="81" t="s">
        <v>181</v>
      </c>
      <c r="K7" s="83">
        <v>0.2857142857142857</v>
      </c>
      <c r="L7" s="81" t="s">
        <v>181</v>
      </c>
      <c r="M7" s="84">
        <v>0.28873239436619719</v>
      </c>
      <c r="N7" s="81" t="s">
        <v>166</v>
      </c>
      <c r="O7" s="84">
        <v>0.15432098765432098</v>
      </c>
      <c r="P7" s="81" t="s">
        <v>126</v>
      </c>
      <c r="Q7" s="85">
        <v>7849.7584541062806</v>
      </c>
      <c r="R7" s="81" t="s">
        <v>178</v>
      </c>
      <c r="S7" s="85">
        <v>-7705.2631578947367</v>
      </c>
      <c r="T7" s="81" t="s">
        <v>181</v>
      </c>
      <c r="U7" s="83">
        <v>7.1428571428571425E-2</v>
      </c>
      <c r="V7" s="81" t="s">
        <v>126</v>
      </c>
      <c r="W7" s="83">
        <v>0.10526315789473684</v>
      </c>
      <c r="X7" s="81" t="s">
        <v>126</v>
      </c>
      <c r="Y7" s="84">
        <v>0.25365853658536586</v>
      </c>
      <c r="Z7" s="81" t="s">
        <v>143</v>
      </c>
      <c r="AA7" s="84">
        <v>0.23958333333333334</v>
      </c>
      <c r="AB7" s="81" t="s">
        <v>182</v>
      </c>
      <c r="AC7" s="84">
        <v>0.5714285714285714</v>
      </c>
      <c r="AD7" s="81" t="s">
        <v>179</v>
      </c>
      <c r="AE7" s="84">
        <v>0.4</v>
      </c>
      <c r="AF7" s="81" t="s">
        <v>178</v>
      </c>
      <c r="AG7" s="84">
        <v>0.43965517241379309</v>
      </c>
      <c r="AH7" s="81" t="s">
        <v>178</v>
      </c>
      <c r="AI7" s="88">
        <v>86500</v>
      </c>
    </row>
    <row r="8" spans="1:35" x14ac:dyDescent="0.4">
      <c r="A8" s="78">
        <v>6</v>
      </c>
      <c r="B8" s="79" t="s">
        <v>143</v>
      </c>
      <c r="C8" s="80">
        <v>-1.7763568394002505E-15</v>
      </c>
      <c r="D8" s="81" t="s">
        <v>143</v>
      </c>
      <c r="E8" s="93">
        <v>-4.6993567179900803E-18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0.32558139534883723</v>
      </c>
      <c r="L8" s="81" t="s">
        <v>179</v>
      </c>
      <c r="M8" s="84">
        <v>0.28179551122194513</v>
      </c>
      <c r="N8" s="81" t="s">
        <v>143</v>
      </c>
      <c r="O8" s="84">
        <v>0.16571969696969696</v>
      </c>
      <c r="P8" s="81" t="s">
        <v>181</v>
      </c>
      <c r="Q8" s="85">
        <v>7782.9268292682927</v>
      </c>
      <c r="R8" s="81" t="s">
        <v>143</v>
      </c>
      <c r="S8" s="85">
        <v>-7731.6190476190477</v>
      </c>
      <c r="T8" s="81" t="s">
        <v>178</v>
      </c>
      <c r="U8" s="83">
        <v>7.8431372549019607E-2</v>
      </c>
      <c r="V8" s="81" t="s">
        <v>143</v>
      </c>
      <c r="W8" s="83">
        <v>9.2592592592592587E-2</v>
      </c>
      <c r="X8" s="81" t="s">
        <v>178</v>
      </c>
      <c r="Y8" s="84">
        <v>0.25358851674641147</v>
      </c>
      <c r="Z8" s="81" t="s">
        <v>166</v>
      </c>
      <c r="AA8" s="84">
        <v>0.23765432098765432</v>
      </c>
      <c r="AB8" s="81" t="s">
        <v>143</v>
      </c>
      <c r="AC8" s="84">
        <v>0.56482670089858789</v>
      </c>
      <c r="AD8" s="81" t="s">
        <v>127</v>
      </c>
      <c r="AE8" s="84">
        <v>0.39593908629441626</v>
      </c>
      <c r="AF8" s="81" t="s">
        <v>143</v>
      </c>
      <c r="AG8" s="84">
        <v>0.42841765339074273</v>
      </c>
      <c r="AH8" s="81" t="s">
        <v>126</v>
      </c>
      <c r="AI8" s="88">
        <v>86200</v>
      </c>
    </row>
    <row r="9" spans="1:35" x14ac:dyDescent="0.4">
      <c r="A9" s="78">
        <v>7</v>
      </c>
      <c r="B9" s="79" t="s">
        <v>178</v>
      </c>
      <c r="C9" s="80">
        <v>-0.29999999999997673</v>
      </c>
      <c r="D9" s="81" t="s">
        <v>178</v>
      </c>
      <c r="E9" s="93">
        <v>-5.8823529411760143E-3</v>
      </c>
      <c r="F9" s="81" t="s">
        <v>178</v>
      </c>
      <c r="G9" s="82">
        <v>2.0784313725490198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177</v>
      </c>
      <c r="M9" s="84">
        <v>0.27826086956521739</v>
      </c>
      <c r="N9" s="81" t="s">
        <v>177</v>
      </c>
      <c r="O9" s="84">
        <v>0.1681159420289855</v>
      </c>
      <c r="P9" s="81" t="s">
        <v>179</v>
      </c>
      <c r="Q9" s="85">
        <v>7690.2654867256633</v>
      </c>
      <c r="R9" s="81" t="s">
        <v>127</v>
      </c>
      <c r="S9" s="85">
        <v>-7829.7520661157023</v>
      </c>
      <c r="T9" s="81" t="s">
        <v>143</v>
      </c>
      <c r="U9" s="83">
        <v>9.2592592592592587E-2</v>
      </c>
      <c r="V9" s="81" t="s">
        <v>178</v>
      </c>
      <c r="W9" s="83">
        <v>7.8431372549019607E-2</v>
      </c>
      <c r="X9" s="81" t="s">
        <v>143</v>
      </c>
      <c r="Y9" s="84">
        <v>0.24589646464646464</v>
      </c>
      <c r="Z9" s="81" t="s">
        <v>126</v>
      </c>
      <c r="AA9" s="84">
        <v>0.23577235772357724</v>
      </c>
      <c r="AB9" s="81" t="s">
        <v>127</v>
      </c>
      <c r="AC9" s="84">
        <v>0.5374149659863946</v>
      </c>
      <c r="AD9" s="81" t="s">
        <v>178</v>
      </c>
      <c r="AE9" s="84">
        <v>0.38095238095238093</v>
      </c>
      <c r="AF9" s="81" t="s">
        <v>179</v>
      </c>
      <c r="AG9" s="84">
        <v>0.4247787610619469</v>
      </c>
      <c r="AH9" s="81" t="s">
        <v>182</v>
      </c>
      <c r="AI9" s="88">
        <v>85100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-4.7837837837837842</v>
      </c>
      <c r="F10" s="81" t="s">
        <v>166</v>
      </c>
      <c r="G10" s="82">
        <v>2.1081081081081079</v>
      </c>
      <c r="H10" s="81" t="s">
        <v>166</v>
      </c>
      <c r="I10" s="83">
        <v>0.29729729729729731</v>
      </c>
      <c r="J10" s="81" t="s">
        <v>166</v>
      </c>
      <c r="K10" s="83">
        <v>0.40540540540540543</v>
      </c>
      <c r="L10" s="81" t="s">
        <v>178</v>
      </c>
      <c r="M10" s="84">
        <v>0.27751196172248804</v>
      </c>
      <c r="N10" s="81" t="s">
        <v>182</v>
      </c>
      <c r="O10" s="84">
        <v>0.1875</v>
      </c>
      <c r="P10" s="81" t="s">
        <v>182</v>
      </c>
      <c r="Q10" s="85">
        <v>7606.25</v>
      </c>
      <c r="R10" s="81" t="s">
        <v>222</v>
      </c>
      <c r="S10" s="85">
        <v>-8000</v>
      </c>
      <c r="T10" s="81" t="s">
        <v>177</v>
      </c>
      <c r="U10" s="83">
        <v>0.11627906976744186</v>
      </c>
      <c r="V10" s="81" t="s">
        <v>179</v>
      </c>
      <c r="W10" s="83">
        <v>4.2553191489361701E-2</v>
      </c>
      <c r="X10" s="81" t="s">
        <v>195</v>
      </c>
      <c r="Y10" s="84">
        <v>0.24193548387096775</v>
      </c>
      <c r="Z10" s="81" t="s">
        <v>182</v>
      </c>
      <c r="AA10" s="84">
        <v>0.20192307692307693</v>
      </c>
      <c r="AB10" s="81" t="s">
        <v>195</v>
      </c>
      <c r="AC10" s="84">
        <v>0.53333333333333333</v>
      </c>
      <c r="AD10" s="81" t="s">
        <v>182</v>
      </c>
      <c r="AE10" s="84">
        <v>0.35714285714285715</v>
      </c>
      <c r="AF10" s="81" t="s">
        <v>126</v>
      </c>
      <c r="AG10" s="84">
        <v>0.42028985507246375</v>
      </c>
      <c r="AH10" s="81" t="s">
        <v>177</v>
      </c>
      <c r="AI10" s="88">
        <v>83000</v>
      </c>
    </row>
    <row r="11" spans="1:35" x14ac:dyDescent="0.4">
      <c r="A11" s="78">
        <v>9</v>
      </c>
      <c r="B11" s="79" t="s">
        <v>166</v>
      </c>
      <c r="C11" s="80">
        <v>-177.00000000000003</v>
      </c>
      <c r="D11" s="81" t="s">
        <v>179</v>
      </c>
      <c r="E11" s="93">
        <v>-7.3659574468085092</v>
      </c>
      <c r="F11" s="81" t="s">
        <v>195</v>
      </c>
      <c r="G11" s="82">
        <v>2.1428571428571428</v>
      </c>
      <c r="H11" s="81" t="s">
        <v>178</v>
      </c>
      <c r="I11" s="83">
        <v>0.19607843137254902</v>
      </c>
      <c r="J11" s="81" t="s">
        <v>179</v>
      </c>
      <c r="K11" s="83">
        <v>0.42553191489361702</v>
      </c>
      <c r="L11" s="81" t="s">
        <v>166</v>
      </c>
      <c r="M11" s="84">
        <v>0.25617283950617287</v>
      </c>
      <c r="N11" s="81" t="s">
        <v>127</v>
      </c>
      <c r="O11" s="84">
        <v>0.18965517241379309</v>
      </c>
      <c r="P11" s="81" t="s">
        <v>195</v>
      </c>
      <c r="Q11" s="85">
        <v>7473.333333333333</v>
      </c>
      <c r="R11" s="81" t="s">
        <v>177</v>
      </c>
      <c r="S11" s="85">
        <v>-8518.9655172413786</v>
      </c>
      <c r="T11" s="81" t="s">
        <v>127</v>
      </c>
      <c r="U11" s="83">
        <v>0.14666666666666667</v>
      </c>
      <c r="V11" s="81" t="s">
        <v>182</v>
      </c>
      <c r="W11" s="83">
        <v>3.8461538461538464E-2</v>
      </c>
      <c r="X11" s="81" t="s">
        <v>127</v>
      </c>
      <c r="Y11" s="84">
        <v>0.2304075235109718</v>
      </c>
      <c r="Z11" s="81" t="s">
        <v>177</v>
      </c>
      <c r="AA11" s="84">
        <v>0.2</v>
      </c>
      <c r="AB11" s="81" t="s">
        <v>166</v>
      </c>
      <c r="AC11" s="84">
        <v>0.52</v>
      </c>
      <c r="AD11" s="81" t="s">
        <v>166</v>
      </c>
      <c r="AE11" s="84">
        <v>0.35064935064935066</v>
      </c>
      <c r="AF11" s="81" t="s">
        <v>127</v>
      </c>
      <c r="AG11" s="84">
        <v>0.38423645320197042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-346.19999999999993</v>
      </c>
      <c r="D12" s="81" t="s">
        <v>195</v>
      </c>
      <c r="E12" s="93">
        <v>-14.971428571428573</v>
      </c>
      <c r="F12" s="81" t="s">
        <v>179</v>
      </c>
      <c r="G12" s="82">
        <v>2.2340425531914891</v>
      </c>
      <c r="H12" s="81" t="s">
        <v>179</v>
      </c>
      <c r="I12" s="83">
        <v>0.19148936170212766</v>
      </c>
      <c r="J12" s="81" t="s">
        <v>195</v>
      </c>
      <c r="K12" s="83">
        <v>0.5714285714285714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-8656.4102564102559</v>
      </c>
      <c r="T12" s="81" t="s">
        <v>182</v>
      </c>
      <c r="U12" s="83">
        <v>0.19230769230769232</v>
      </c>
      <c r="V12" s="81" t="s">
        <v>166</v>
      </c>
      <c r="W12" s="83">
        <v>2.7027027027027029E-2</v>
      </c>
      <c r="X12" s="81" t="s">
        <v>182</v>
      </c>
      <c r="Y12" s="84">
        <v>0.20192307692307693</v>
      </c>
      <c r="Z12" s="81" t="s">
        <v>179</v>
      </c>
      <c r="AA12" s="84">
        <v>0.18703241895261846</v>
      </c>
      <c r="AB12" s="81" t="s">
        <v>222</v>
      </c>
      <c r="AC12" s="84">
        <v>0.5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-439.2000000000001</v>
      </c>
      <c r="D13" s="81" t="s">
        <v>182</v>
      </c>
      <c r="E13" s="93">
        <v>-16.892307692307696</v>
      </c>
      <c r="F13" s="81" t="s">
        <v>182</v>
      </c>
      <c r="G13" s="82">
        <v>2.5</v>
      </c>
      <c r="H13" s="81" t="s">
        <v>182</v>
      </c>
      <c r="I13" s="83">
        <v>7.6923076923076927E-2</v>
      </c>
      <c r="J13" s="81" t="s">
        <v>182</v>
      </c>
      <c r="K13" s="83">
        <v>0.57692307692307687</v>
      </c>
      <c r="L13" s="81" t="s">
        <v>182</v>
      </c>
      <c r="M13" s="84">
        <v>0.23076923076923078</v>
      </c>
      <c r="N13" s="81" t="s">
        <v>179</v>
      </c>
      <c r="O13" s="84">
        <v>0.20448877805486285</v>
      </c>
      <c r="P13" s="81" t="s">
        <v>166</v>
      </c>
      <c r="Q13" s="85">
        <v>7261.4457831325299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0.15432098765432098</v>
      </c>
      <c r="Z13" s="81" t="s">
        <v>181</v>
      </c>
      <c r="AA13" s="84">
        <v>0.15492957746478872</v>
      </c>
      <c r="AB13" s="81" t="s">
        <v>177</v>
      </c>
      <c r="AC13" s="84">
        <v>0.48076923076923078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8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143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378</v>
      </c>
      <c r="C2" s="151"/>
      <c r="E2" s="58" t="s">
        <v>66</v>
      </c>
      <c r="F2" s="55" t="s">
        <v>22</v>
      </c>
      <c r="G2" s="43">
        <v>724</v>
      </c>
      <c r="H2" s="128">
        <f>IF(B$17=0,0,G2/B$17)</f>
        <v>0.77933261571582346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-21.333333333333332</v>
      </c>
      <c r="P2" s="114">
        <v>375</v>
      </c>
      <c r="Q2" s="98">
        <v>-8000</v>
      </c>
    </row>
    <row r="3" spans="1:17" x14ac:dyDescent="0.4">
      <c r="A3" s="51" t="s">
        <v>8</v>
      </c>
      <c r="B3" s="152">
        <v>3168</v>
      </c>
      <c r="C3" s="153"/>
      <c r="E3" s="59" t="s">
        <v>72</v>
      </c>
      <c r="F3" s="56" t="s">
        <v>27</v>
      </c>
      <c r="G3" s="44">
        <v>501</v>
      </c>
      <c r="H3" s="129">
        <f>IF(B$17=0,0,G3/B$17)</f>
        <v>0.53928955866523143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8.2644628099173545</v>
      </c>
      <c r="P3" s="115">
        <v>363</v>
      </c>
      <c r="Q3" s="99">
        <v>3000</v>
      </c>
    </row>
    <row r="4" spans="1:17" x14ac:dyDescent="0.4">
      <c r="A4" s="51" t="s">
        <v>6</v>
      </c>
      <c r="B4" s="154">
        <v>-1.7763568394002505E-15</v>
      </c>
      <c r="C4" s="155"/>
      <c r="E4" s="59" t="s">
        <v>64</v>
      </c>
      <c r="F4" s="56" t="s">
        <v>20</v>
      </c>
      <c r="G4" s="44">
        <v>424</v>
      </c>
      <c r="H4" s="129">
        <f>IF(B$17=0,0,G4/B$17)</f>
        <v>0.4564047362755651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-22.988505747126435</v>
      </c>
      <c r="P4" s="115">
        <v>348</v>
      </c>
      <c r="Q4" s="99">
        <v>-8000</v>
      </c>
    </row>
    <row r="5" spans="1:17" x14ac:dyDescent="0.4">
      <c r="A5" s="51" t="s">
        <v>7</v>
      </c>
      <c r="B5" s="156">
        <f>IF(B$2=0,0,B$4/B$2)</f>
        <v>-4.6993567179900803E-18</v>
      </c>
      <c r="C5" s="157"/>
      <c r="E5" s="59" t="s">
        <v>171</v>
      </c>
      <c r="F5" s="56" t="s">
        <v>172</v>
      </c>
      <c r="G5" s="44">
        <v>363</v>
      </c>
      <c r="H5" s="129">
        <f>IF(B$17=0,0,G5/B$17)</f>
        <v>0.3907427341227126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21.406727828746178</v>
      </c>
      <c r="P5" s="115">
        <v>327</v>
      </c>
      <c r="Q5" s="99">
        <v>7000</v>
      </c>
    </row>
    <row r="6" spans="1:17" x14ac:dyDescent="0.4">
      <c r="A6" s="51" t="s">
        <v>1</v>
      </c>
      <c r="B6" s="146">
        <f>IF(B$2=0,0,(B$7*1+B$8*2+B$9*3)/B$2)</f>
        <v>2</v>
      </c>
      <c r="C6" s="147"/>
      <c r="E6" s="59" t="s">
        <v>68</v>
      </c>
      <c r="F6" s="56" t="s">
        <v>12</v>
      </c>
      <c r="G6" s="44">
        <v>288</v>
      </c>
      <c r="H6" s="129">
        <f>IF(B$17=0,0,G6/B$17)</f>
        <v>0.31001076426264801</v>
      </c>
      <c r="I6" s="90">
        <v>7</v>
      </c>
      <c r="K6" s="36">
        <v>4</v>
      </c>
      <c r="L6" s="95">
        <v>24.5</v>
      </c>
      <c r="N6" s="111" t="s">
        <v>134</v>
      </c>
      <c r="O6" s="118">
        <f t="shared" si="0"/>
        <v>16.181229773462782</v>
      </c>
      <c r="P6" s="115">
        <v>309</v>
      </c>
      <c r="Q6" s="99">
        <v>5000</v>
      </c>
    </row>
    <row r="7" spans="1:17" x14ac:dyDescent="0.4">
      <c r="A7" s="51" t="s">
        <v>2</v>
      </c>
      <c r="B7" s="44">
        <v>126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275</v>
      </c>
      <c r="H7" s="129">
        <f>IF(B$17=0,0,G7/B$17)</f>
        <v>0.29601722282023679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3.9682539682539684</v>
      </c>
      <c r="P7" s="116">
        <v>252</v>
      </c>
      <c r="Q7" s="100">
        <v>1000</v>
      </c>
    </row>
    <row r="8" spans="1:17" x14ac:dyDescent="0.4">
      <c r="A8" s="51" t="s">
        <v>3</v>
      </c>
      <c r="B8" s="44">
        <v>126</v>
      </c>
      <c r="C8" s="37">
        <f t="shared" si="1"/>
        <v>0.33333333333333331</v>
      </c>
      <c r="E8" s="59" t="s">
        <v>69</v>
      </c>
      <c r="F8" s="56" t="s">
        <v>24</v>
      </c>
      <c r="G8" s="44">
        <v>134</v>
      </c>
      <c r="H8" s="129">
        <f>IF(B$17=0,0,G8/B$17)</f>
        <v>0.14424111948331539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126</v>
      </c>
      <c r="C9" s="38">
        <f t="shared" si="1"/>
        <v>0.33333333333333331</v>
      </c>
      <c r="E9" s="59" t="s">
        <v>89</v>
      </c>
      <c r="F9" s="56" t="s">
        <v>44</v>
      </c>
      <c r="G9" s="44">
        <v>125</v>
      </c>
      <c r="H9" s="129">
        <f>IF(B$17=0,0,G9/B$17)</f>
        <v>0.13455328310010764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35</v>
      </c>
      <c r="C10" s="38">
        <f t="shared" si="1"/>
        <v>9.2592592592592587E-2</v>
      </c>
      <c r="E10" s="59" t="s">
        <v>65</v>
      </c>
      <c r="F10" s="56" t="s">
        <v>21</v>
      </c>
      <c r="G10" s="44">
        <v>87</v>
      </c>
      <c r="H10" s="129">
        <f>IF(B$17=0,0,G10/B$17)</f>
        <v>9.3649085037674926E-2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0.99206349206349143</v>
      </c>
      <c r="P10" s="114">
        <v>126</v>
      </c>
      <c r="Q10" s="102">
        <v>124.99999999999991</v>
      </c>
    </row>
    <row r="11" spans="1:17" x14ac:dyDescent="0.4">
      <c r="A11" s="52" t="s">
        <v>138</v>
      </c>
      <c r="B11" s="45">
        <v>35</v>
      </c>
      <c r="C11" s="38">
        <f t="shared" si="1"/>
        <v>9.2592592592592587E-2</v>
      </c>
      <c r="E11" s="59" t="s">
        <v>70</v>
      </c>
      <c r="F11" s="56" t="s">
        <v>25</v>
      </c>
      <c r="G11" s="44">
        <v>85</v>
      </c>
      <c r="H11" s="129">
        <f>IF(B$17=0,0,G11/B$17)</f>
        <v>9.1496232508073191E-2</v>
      </c>
      <c r="I11" s="90">
        <v>5</v>
      </c>
      <c r="K11" s="36">
        <v>9</v>
      </c>
      <c r="L11" s="95">
        <v>0</v>
      </c>
      <c r="N11" s="111" t="s">
        <v>163</v>
      </c>
      <c r="O11" s="121">
        <f>IF(P11=0,0,Q11/P11)</f>
        <v>0.35238095238095263</v>
      </c>
      <c r="P11" s="115">
        <v>126</v>
      </c>
      <c r="Q11" s="103">
        <v>44.400000000000034</v>
      </c>
    </row>
    <row r="12" spans="1:17" x14ac:dyDescent="0.4">
      <c r="A12" s="53" t="s">
        <v>158</v>
      </c>
      <c r="B12" s="46">
        <v>37</v>
      </c>
      <c r="C12" s="40">
        <f t="shared" si="1"/>
        <v>9.7883597883597878E-2</v>
      </c>
      <c r="E12" s="59" t="s">
        <v>71</v>
      </c>
      <c r="F12" s="56" t="s">
        <v>26</v>
      </c>
      <c r="G12" s="44">
        <v>72</v>
      </c>
      <c r="H12" s="129">
        <f>IF(B$17=0,0,G12/B$17)</f>
        <v>7.7502691065662002E-2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-1.3444444444444446</v>
      </c>
      <c r="P12" s="116">
        <v>126</v>
      </c>
      <c r="Q12" s="104">
        <v>-169.4</v>
      </c>
    </row>
    <row r="13" spans="1:17" x14ac:dyDescent="0.4">
      <c r="A13" s="54" t="s">
        <v>121</v>
      </c>
      <c r="B13" s="47">
        <v>779</v>
      </c>
      <c r="C13" s="42">
        <f>IF(B$3=0,0,B13/B$3)</f>
        <v>0.24589646464646464</v>
      </c>
      <c r="E13" s="59" t="s">
        <v>83</v>
      </c>
      <c r="F13" s="56" t="s">
        <v>38</v>
      </c>
      <c r="G13" s="44">
        <v>53</v>
      </c>
      <c r="H13" s="129">
        <f>IF(B$17=0,0,G13/B$17)</f>
        <v>5.7050592034445638E-2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759</v>
      </c>
      <c r="C14" s="37">
        <f>IF(B$3=0,0,B14/B$3)</f>
        <v>0.23958333333333334</v>
      </c>
      <c r="E14" s="59" t="s">
        <v>86</v>
      </c>
      <c r="F14" s="56" t="s">
        <v>41</v>
      </c>
      <c r="G14" s="44">
        <v>43</v>
      </c>
      <c r="H14" s="129">
        <f>IF(B$17=0,0,G14/B$17)</f>
        <v>4.6286329386437029E-2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440</v>
      </c>
      <c r="C15" s="35">
        <f>IF(B$13=0,0,B15/B$13)</f>
        <v>0.56482670089858789</v>
      </c>
      <c r="E15" s="59" t="s">
        <v>78</v>
      </c>
      <c r="F15" s="56" t="s">
        <v>33</v>
      </c>
      <c r="G15" s="44">
        <v>22</v>
      </c>
      <c r="H15" s="129">
        <f>IF(B$17=0,0,G15/B$17)</f>
        <v>2.3681377825618945E-2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25.338461538461534</v>
      </c>
      <c r="P15" s="114">
        <v>52</v>
      </c>
      <c r="Q15" s="102">
        <v>1317.5999999999997</v>
      </c>
    </row>
    <row r="16" spans="1:17" x14ac:dyDescent="0.4">
      <c r="A16" s="50" t="s">
        <v>124</v>
      </c>
      <c r="B16" s="43">
        <v>308</v>
      </c>
      <c r="C16" s="35">
        <f>IF(B$14=0,0,B16/B$14)</f>
        <v>0.40579710144927539</v>
      </c>
      <c r="E16" s="59" t="s">
        <v>167</v>
      </c>
      <c r="F16" s="56" t="s">
        <v>168</v>
      </c>
      <c r="G16" s="44">
        <v>17</v>
      </c>
      <c r="H16" s="129">
        <f>IF(B$17=0,0,G16/B$17)</f>
        <v>1.829924650161464E-2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929</v>
      </c>
      <c r="C17" s="35">
        <f>IF(B$3=0,0,B17/B$3)</f>
        <v>0.2932449494949495</v>
      </c>
      <c r="E17" s="59" t="s">
        <v>81</v>
      </c>
      <c r="F17" s="56" t="s">
        <v>36</v>
      </c>
      <c r="G17" s="44">
        <v>16</v>
      </c>
      <c r="H17" s="129">
        <f>IF(B$17=0,0,G17/B$17)</f>
        <v>1.7222820236813777E-2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11.048936170212773</v>
      </c>
      <c r="P17" s="115">
        <v>94</v>
      </c>
      <c r="Q17" s="103">
        <v>1038.6000000000006</v>
      </c>
    </row>
    <row r="18" spans="1:17" x14ac:dyDescent="0.4">
      <c r="A18" s="51" t="s">
        <v>12</v>
      </c>
      <c r="B18" s="44">
        <v>398</v>
      </c>
      <c r="C18" s="37">
        <f>IF(B$17=0,0,B18/B$17)</f>
        <v>0.42841765339074273</v>
      </c>
      <c r="E18" s="59" t="s">
        <v>91</v>
      </c>
      <c r="F18" s="56" t="s">
        <v>46</v>
      </c>
      <c r="G18" s="44">
        <v>14</v>
      </c>
      <c r="H18" s="129">
        <f>IF(B$17=0,0,G18/B$17)</f>
        <v>1.5069967707212056E-2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7.1756756756756745</v>
      </c>
      <c r="P18" s="115">
        <v>74</v>
      </c>
      <c r="Q18" s="103">
        <v>530.99999999999989</v>
      </c>
    </row>
    <row r="19" spans="1:17" x14ac:dyDescent="0.4">
      <c r="A19" s="51" t="s">
        <v>11</v>
      </c>
      <c r="B19" s="44">
        <v>531</v>
      </c>
      <c r="C19" s="37">
        <f>IF(B$17=0,0,B19/B$17)</f>
        <v>0.57158234660925722</v>
      </c>
      <c r="E19" s="59" t="s">
        <v>79</v>
      </c>
      <c r="F19" s="56" t="s">
        <v>34</v>
      </c>
      <c r="G19" s="44">
        <v>13</v>
      </c>
      <c r="H19" s="129">
        <f>IF(B$17=0,0,G19/B$17)</f>
        <v>1.3993541442411194E-2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8.8235294117639512E-3</v>
      </c>
      <c r="P19" s="115">
        <v>102</v>
      </c>
      <c r="Q19" s="103">
        <v>0.89999999999992308</v>
      </c>
    </row>
    <row r="20" spans="1:17" x14ac:dyDescent="0.4">
      <c r="A20" s="51" t="s">
        <v>13</v>
      </c>
      <c r="B20" s="44">
        <v>525</v>
      </c>
      <c r="C20" s="37">
        <f>IF(B$3=0,0,B20/B$3)</f>
        <v>0.16571969696969696</v>
      </c>
      <c r="E20" s="59" t="s">
        <v>75</v>
      </c>
      <c r="F20" s="56" t="s">
        <v>30</v>
      </c>
      <c r="G20" s="44">
        <v>6</v>
      </c>
      <c r="H20" s="129">
        <f>IF(B$17=0,0,G20/B$17)</f>
        <v>6.4585575888051671E-3</v>
      </c>
      <c r="I20" s="90">
        <v>5</v>
      </c>
      <c r="K20" s="36">
        <v>18</v>
      </c>
      <c r="L20" s="95">
        <v>0</v>
      </c>
      <c r="N20" s="111" t="s">
        <v>177</v>
      </c>
      <c r="O20" s="121">
        <f>IF(P20=0,0,Q20/P20)</f>
        <v>-2.7313953488372067</v>
      </c>
      <c r="P20" s="115">
        <v>86</v>
      </c>
      <c r="Q20" s="103">
        <v>-234.89999999999978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6.4585575888051671E-3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5</v>
      </c>
      <c r="H22" s="129">
        <f>IF(B$17=0,0,G22/B$17)</f>
        <v>5.3821313240043061E-3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-6.7360000000000078</v>
      </c>
      <c r="P22" s="115">
        <v>150</v>
      </c>
      <c r="Q22" s="103">
        <v>-1010.4000000000012</v>
      </c>
    </row>
    <row r="23" spans="1:17" x14ac:dyDescent="0.4">
      <c r="A23" s="51" t="s">
        <v>5</v>
      </c>
      <c r="B23" s="48">
        <f>IF(B$17=0,0,C23/B$17)</f>
        <v>8264.6932185145324</v>
      </c>
      <c r="C23" s="39">
        <v>7677900</v>
      </c>
      <c r="E23" s="59" t="s">
        <v>77</v>
      </c>
      <c r="F23" s="56" t="s">
        <v>32</v>
      </c>
      <c r="G23" s="44">
        <v>4</v>
      </c>
      <c r="H23" s="129">
        <f>IF(B$17=0,0,G23/B$17)</f>
        <v>4.3057050592034442E-3</v>
      </c>
      <c r="I23" s="90">
        <v>3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-11.374342105263148</v>
      </c>
      <c r="P23" s="115">
        <v>152</v>
      </c>
      <c r="Q23" s="103">
        <v>-1728.8999999999985</v>
      </c>
    </row>
    <row r="24" spans="1:17" x14ac:dyDescent="0.4">
      <c r="A24" s="52" t="s">
        <v>216</v>
      </c>
      <c r="B24" s="136">
        <f>IF($B$17-B$16=0,0,C24/($B$17-B$16))</f>
        <v>8738.9694041867951</v>
      </c>
      <c r="C24" s="137">
        <v>5426900</v>
      </c>
      <c r="E24" s="59" t="s">
        <v>84</v>
      </c>
      <c r="F24" s="56" t="s">
        <v>39</v>
      </c>
      <c r="G24" s="44">
        <v>4</v>
      </c>
      <c r="H24" s="129">
        <f>IF(B$17=0,0,G24/B$17)</f>
        <v>4.3057050592034442E-3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7308.4415584415583</v>
      </c>
      <c r="C25" s="137">
        <v>2251000</v>
      </c>
      <c r="E25" s="59" t="s">
        <v>85</v>
      </c>
      <c r="F25" s="56" t="s">
        <v>40</v>
      </c>
      <c r="G25" s="44">
        <v>4</v>
      </c>
      <c r="H25" s="129">
        <f>IF(B$17=0,0,G25/B$17)</f>
        <v>4.3057050592034442E-3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-7731.6190476190477</v>
      </c>
      <c r="C26" s="137">
        <v>-4059100</v>
      </c>
      <c r="E26" s="59" t="s">
        <v>88</v>
      </c>
      <c r="F26" s="56" t="s">
        <v>43</v>
      </c>
      <c r="G26" s="44">
        <v>4</v>
      </c>
      <c r="H26" s="129">
        <f>IF(B$17=0,0,G26/B$17)</f>
        <v>4.3057050592034442E-3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4">
        <v>8</v>
      </c>
      <c r="C27" s="145"/>
      <c r="E27" s="59" t="s">
        <v>90</v>
      </c>
      <c r="F27" s="56" t="s">
        <v>45</v>
      </c>
      <c r="G27" s="44">
        <v>2</v>
      </c>
      <c r="H27" s="129">
        <f>IF(B$17=0,0,G27/B$17)</f>
        <v>2.1528525296017221E-3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2">
        <v>95200</v>
      </c>
      <c r="C28" s="143"/>
      <c r="E28" s="59" t="s">
        <v>95</v>
      </c>
      <c r="F28" s="56" t="s">
        <v>50</v>
      </c>
      <c r="G28" s="44">
        <v>2</v>
      </c>
      <c r="H28" s="129">
        <f>IF(B$17=0,0,G28/B$17)</f>
        <v>2.1528525296017221E-3</v>
      </c>
      <c r="I28" s="90">
        <v>3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3.787878787878788E-3</v>
      </c>
      <c r="E29" s="59" t="s">
        <v>73</v>
      </c>
      <c r="F29" s="56" t="s">
        <v>28</v>
      </c>
      <c r="G29" s="44">
        <v>1</v>
      </c>
      <c r="H29" s="129">
        <f>IF(B$17=0,0,G29/B$17)</f>
        <v>1.076426264800861E-3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1</v>
      </c>
      <c r="H30" s="129">
        <f>IF(B$17=0,0,G30/B$17)</f>
        <v>1.076426264800861E-3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1.076426264800861E-3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1.076426264800861E-3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166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37</v>
      </c>
      <c r="C2" s="151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1818.918918918919</v>
      </c>
      <c r="P2" s="114">
        <v>37</v>
      </c>
      <c r="Q2" s="98">
        <v>67300</v>
      </c>
    </row>
    <row r="3" spans="1:17" x14ac:dyDescent="0.4">
      <c r="A3" s="51" t="s">
        <v>8</v>
      </c>
      <c r="B3" s="152">
        <v>324</v>
      </c>
      <c r="C3" s="153"/>
      <c r="E3" s="59" t="s">
        <v>72</v>
      </c>
      <c r="F3" s="56" t="s">
        <v>27</v>
      </c>
      <c r="G3" s="44">
        <v>42</v>
      </c>
      <c r="H3" s="129">
        <f>IF(B$17=0,0,G3/B$17)</f>
        <v>0.50602409638554213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-616.66666666666663</v>
      </c>
      <c r="P3" s="115">
        <v>36</v>
      </c>
      <c r="Q3" s="99">
        <v>-22200</v>
      </c>
    </row>
    <row r="4" spans="1:17" x14ac:dyDescent="0.4">
      <c r="A4" s="51" t="s">
        <v>6</v>
      </c>
      <c r="B4" s="154">
        <v>-177.00000000000003</v>
      </c>
      <c r="C4" s="155"/>
      <c r="E4" s="59" t="s">
        <v>171</v>
      </c>
      <c r="F4" s="56" t="s">
        <v>172</v>
      </c>
      <c r="G4" s="44">
        <v>35</v>
      </c>
      <c r="H4" s="129">
        <f>IF(B$17=0,0,G4/B$17)</f>
        <v>0.42168674698795183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82.352941176470594</v>
      </c>
      <c r="P4" s="115">
        <v>34</v>
      </c>
      <c r="Q4" s="99">
        <v>2800</v>
      </c>
    </row>
    <row r="5" spans="1:17" x14ac:dyDescent="0.4">
      <c r="A5" s="51" t="s">
        <v>7</v>
      </c>
      <c r="B5" s="156">
        <f>IF(B$2=0,0,B$4/B$2)</f>
        <v>-4.7837837837837842</v>
      </c>
      <c r="C5" s="157"/>
      <c r="E5" s="59" t="s">
        <v>68</v>
      </c>
      <c r="F5" s="56" t="s">
        <v>12</v>
      </c>
      <c r="G5" s="44">
        <v>26</v>
      </c>
      <c r="H5" s="129">
        <f>IF(B$17=0,0,G5/B$17)</f>
        <v>0.31325301204819278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-2585.294117647059</v>
      </c>
      <c r="P5" s="115">
        <v>34</v>
      </c>
      <c r="Q5" s="99">
        <v>-87900</v>
      </c>
    </row>
    <row r="6" spans="1:17" x14ac:dyDescent="0.4">
      <c r="A6" s="51" t="s">
        <v>1</v>
      </c>
      <c r="B6" s="146">
        <f>IF(B$2=0,0,(B$7*1+B$8*2+B$9*3)/B$2)</f>
        <v>2.1081081081081079</v>
      </c>
      <c r="C6" s="147"/>
      <c r="E6" s="59" t="s">
        <v>64</v>
      </c>
      <c r="F6" s="56" t="s">
        <v>20</v>
      </c>
      <c r="G6" s="44">
        <v>24</v>
      </c>
      <c r="H6" s="129">
        <f>IF(B$17=0,0,G6/B$17)</f>
        <v>0.28915662650602408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-1255.8823529411766</v>
      </c>
      <c r="P6" s="115">
        <v>34</v>
      </c>
      <c r="Q6" s="99">
        <v>-42700</v>
      </c>
    </row>
    <row r="7" spans="1:17" x14ac:dyDescent="0.4">
      <c r="A7" s="51" t="s">
        <v>2</v>
      </c>
      <c r="B7" s="44">
        <v>11</v>
      </c>
      <c r="C7" s="37">
        <f t="shared" ref="C7:C12" si="1">IF(B$2=0,0,B7/B$2)</f>
        <v>0.29729729729729731</v>
      </c>
      <c r="E7" s="59" t="s">
        <v>69</v>
      </c>
      <c r="F7" s="56" t="s">
        <v>24</v>
      </c>
      <c r="G7" s="44">
        <v>20</v>
      </c>
      <c r="H7" s="129">
        <f>IF(B$17=0,0,G7/B$17)</f>
        <v>0.24096385542168675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-1937.9310344827586</v>
      </c>
      <c r="P7" s="116">
        <v>29</v>
      </c>
      <c r="Q7" s="100">
        <v>-56200</v>
      </c>
    </row>
    <row r="8" spans="1:17" x14ac:dyDescent="0.4">
      <c r="A8" s="51" t="s">
        <v>3</v>
      </c>
      <c r="B8" s="44">
        <v>11</v>
      </c>
      <c r="C8" s="37">
        <f t="shared" si="1"/>
        <v>0.29729729729729731</v>
      </c>
      <c r="E8" s="59" t="s">
        <v>70</v>
      </c>
      <c r="F8" s="56" t="s">
        <v>25</v>
      </c>
      <c r="G8" s="44">
        <v>14</v>
      </c>
      <c r="H8" s="129">
        <f>IF(B$17=0,0,G8/B$17)</f>
        <v>0.16867469879518071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0.40540540540540543</v>
      </c>
      <c r="E9" s="59" t="s">
        <v>67</v>
      </c>
      <c r="F9" s="56" t="s">
        <v>23</v>
      </c>
      <c r="G9" s="44">
        <v>10</v>
      </c>
      <c r="H9" s="129">
        <f>IF(B$17=0,0,G9/B$17)</f>
        <v>0.12048192771084337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65</v>
      </c>
      <c r="F10" s="56" t="s">
        <v>21</v>
      </c>
      <c r="G10" s="44">
        <v>8</v>
      </c>
      <c r="H10" s="129">
        <f>IF(B$17=0,0,G10/B$17)</f>
        <v>9.6385542168674704E-2</v>
      </c>
      <c r="I10" s="90">
        <v>6</v>
      </c>
      <c r="K10" s="36">
        <v>8</v>
      </c>
      <c r="L10" s="95">
        <v>-76.900000000000006</v>
      </c>
      <c r="N10" s="110" t="s">
        <v>162</v>
      </c>
      <c r="O10" s="120">
        <f>IF(P10=0,0,Q10/P10)</f>
        <v>-0.71666666666666623</v>
      </c>
      <c r="P10" s="114">
        <v>12</v>
      </c>
      <c r="Q10" s="102">
        <v>-8.5999999999999943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-11.84</v>
      </c>
      <c r="P11" s="115">
        <v>10</v>
      </c>
      <c r="Q11" s="103">
        <v>-118.39999999999999</v>
      </c>
    </row>
    <row r="12" spans="1:17" x14ac:dyDescent="0.4">
      <c r="A12" s="53" t="s">
        <v>158</v>
      </c>
      <c r="B12" s="46">
        <v>5</v>
      </c>
      <c r="C12" s="40">
        <f t="shared" si="1"/>
        <v>0.13513513513513514</v>
      </c>
      <c r="E12" s="59" t="s">
        <v>83</v>
      </c>
      <c r="F12" s="56" t="s">
        <v>38</v>
      </c>
      <c r="G12" s="44">
        <v>8</v>
      </c>
      <c r="H12" s="129">
        <f>IF(B$17=0,0,G12/B$17)</f>
        <v>9.6385542168674704E-2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50</v>
      </c>
      <c r="C13" s="42">
        <f>IF(B$3=0,0,B13/B$3)</f>
        <v>0.15432098765432098</v>
      </c>
      <c r="E13" s="59" t="s">
        <v>89</v>
      </c>
      <c r="F13" s="56" t="s">
        <v>44</v>
      </c>
      <c r="G13" s="44">
        <v>6</v>
      </c>
      <c r="H13" s="129">
        <f>IF(B$17=0,0,G13/B$17)</f>
        <v>7.2289156626506021E-2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77</v>
      </c>
      <c r="C14" s="37">
        <f>IF(B$3=0,0,B14/B$3)</f>
        <v>0.23765432098765432</v>
      </c>
      <c r="E14" s="59" t="s">
        <v>81</v>
      </c>
      <c r="F14" s="56" t="s">
        <v>36</v>
      </c>
      <c r="G14" s="44">
        <v>4</v>
      </c>
      <c r="H14" s="129">
        <f>IF(B$17=0,0,G14/B$17)</f>
        <v>4.8192771084337352E-2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0.52</v>
      </c>
      <c r="E15" s="59" t="s">
        <v>88</v>
      </c>
      <c r="F15" s="56" t="s">
        <v>43</v>
      </c>
      <c r="G15" s="44">
        <v>2</v>
      </c>
      <c r="H15" s="129">
        <f>IF(B$17=0,0,G15/B$17)</f>
        <v>2.4096385542168676E-2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27</v>
      </c>
      <c r="C16" s="35">
        <f>IF(B$14=0,0,B16/B$14)</f>
        <v>0.35064935064935066</v>
      </c>
      <c r="E16" s="59" t="s">
        <v>91</v>
      </c>
      <c r="F16" s="56" t="s">
        <v>46</v>
      </c>
      <c r="G16" s="44">
        <v>2</v>
      </c>
      <c r="H16" s="129">
        <f>IF(B$17=0,0,G16/B$17)</f>
        <v>2.4096385542168676E-2</v>
      </c>
      <c r="I16" s="90">
        <v>2</v>
      </c>
      <c r="K16" s="36">
        <v>14</v>
      </c>
      <c r="L16" s="95">
        <v>-51.1</v>
      </c>
      <c r="N16" s="111" t="s">
        <v>181</v>
      </c>
      <c r="O16" s="121">
        <f>IF(P16=0,0,Q16/P16)</f>
        <v>-5.04</v>
      </c>
      <c r="P16" s="115">
        <v>5</v>
      </c>
      <c r="Q16" s="103">
        <v>-25.2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0.25617283950617287</v>
      </c>
      <c r="E17" s="59" t="s">
        <v>74</v>
      </c>
      <c r="F17" s="56" t="s">
        <v>29</v>
      </c>
      <c r="G17" s="44">
        <v>1</v>
      </c>
      <c r="H17" s="129">
        <f>IF(B$17=0,0,G17/B$17)</f>
        <v>1.2048192771084338E-2</v>
      </c>
      <c r="I17" s="90">
        <v>2</v>
      </c>
      <c r="K17" s="36">
        <v>15</v>
      </c>
      <c r="L17" s="95">
        <v>-65.2</v>
      </c>
      <c r="N17" s="111" t="s">
        <v>127</v>
      </c>
      <c r="O17" s="121">
        <f>IF(P17=0,0,Q17/P17)</f>
        <v>-5.1111111111111107</v>
      </c>
      <c r="P17" s="115">
        <v>18</v>
      </c>
      <c r="Q17" s="103">
        <v>-91.999999999999986</v>
      </c>
    </row>
    <row r="18" spans="1:17" x14ac:dyDescent="0.4">
      <c r="A18" s="51" t="s">
        <v>12</v>
      </c>
      <c r="B18" s="44">
        <v>37</v>
      </c>
      <c r="C18" s="37">
        <f>IF(B$17=0,0,B18/B$17)</f>
        <v>0.44578313253012047</v>
      </c>
      <c r="E18" s="59" t="s">
        <v>75</v>
      </c>
      <c r="F18" s="56" t="s">
        <v>30</v>
      </c>
      <c r="G18" s="44">
        <v>1</v>
      </c>
      <c r="H18" s="129">
        <f>IF(B$17=0,0,G18/B$17)</f>
        <v>1.2048192771084338E-2</v>
      </c>
      <c r="I18" s="90">
        <v>3</v>
      </c>
      <c r="K18" s="36">
        <v>16</v>
      </c>
      <c r="L18" s="95">
        <v>-70.600000000000009</v>
      </c>
      <c r="N18" s="111" t="s">
        <v>178</v>
      </c>
      <c r="O18" s="121">
        <f>IF(P18=0,0,Q18/P18)</f>
        <v>-6.26</v>
      </c>
      <c r="P18" s="115">
        <v>10</v>
      </c>
      <c r="Q18" s="103">
        <v>-62.599999999999994</v>
      </c>
    </row>
    <row r="19" spans="1:17" x14ac:dyDescent="0.4">
      <c r="A19" s="51" t="s">
        <v>11</v>
      </c>
      <c r="B19" s="44">
        <v>46</v>
      </c>
      <c r="C19" s="37">
        <f>IF(B$17=0,0,B19/B$17)</f>
        <v>0.55421686746987953</v>
      </c>
      <c r="E19" s="59" t="s">
        <v>77</v>
      </c>
      <c r="F19" s="56" t="s">
        <v>32</v>
      </c>
      <c r="G19" s="44">
        <v>1</v>
      </c>
      <c r="H19" s="129">
        <f>IF(B$17=0,0,G19/B$17)</f>
        <v>1.2048192771084338E-2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>IF(P19=0,0,Q19/P19)</f>
        <v>-10.390909090909092</v>
      </c>
      <c r="P19" s="115">
        <v>11</v>
      </c>
      <c r="Q19" s="103">
        <v>-114.30000000000001</v>
      </c>
    </row>
    <row r="20" spans="1:17" x14ac:dyDescent="0.4">
      <c r="A20" s="51" t="s">
        <v>13</v>
      </c>
      <c r="B20" s="44">
        <v>50</v>
      </c>
      <c r="C20" s="37">
        <f>IF(B$3=0,0,B20/B$3)</f>
        <v>0.15432098765432098</v>
      </c>
      <c r="E20" s="59" t="s">
        <v>86</v>
      </c>
      <c r="F20" s="56" t="s">
        <v>41</v>
      </c>
      <c r="G20" s="44">
        <v>1</v>
      </c>
      <c r="H20" s="129">
        <f>IF(B$17=0,0,G20/B$17)</f>
        <v>1.2048192771084338E-2</v>
      </c>
      <c r="I20" s="90">
        <v>10</v>
      </c>
      <c r="K20" s="36">
        <v>18</v>
      </c>
      <c r="L20" s="95">
        <v>-80.2</v>
      </c>
      <c r="N20" s="111" t="s">
        <v>177</v>
      </c>
      <c r="O20" s="121">
        <f>IF(P20=0,0,Q20/P20)</f>
        <v>-20.724999999999994</v>
      </c>
      <c r="P20" s="115">
        <v>4</v>
      </c>
      <c r="Q20" s="103">
        <v>-82.899999999999977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93</v>
      </c>
      <c r="F21" s="56" t="s">
        <v>48</v>
      </c>
      <c r="G21" s="44">
        <v>1</v>
      </c>
      <c r="H21" s="129">
        <f>IF(B$17=0,0,G21/B$17)</f>
        <v>1.2048192771084338E-2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23</v>
      </c>
      <c r="C22" s="131">
        <v>18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7261.4457831325299</v>
      </c>
      <c r="C23" s="39">
        <v>602700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7930.3571428571431</v>
      </c>
      <c r="C24" s="137">
        <v>444100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5874.0740740740739</v>
      </c>
      <c r="C25" s="137">
        <v>158600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-6742</v>
      </c>
      <c r="C26" s="137">
        <v>-337100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4">
        <v>6</v>
      </c>
      <c r="C27" s="145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2">
        <v>86900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6.1728395061728392E-3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126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76</v>
      </c>
      <c r="C2" s="151"/>
      <c r="E2" s="58" t="s">
        <v>66</v>
      </c>
      <c r="F2" s="55" t="s">
        <v>22</v>
      </c>
      <c r="G2" s="43">
        <v>137</v>
      </c>
      <c r="H2" s="128">
        <f>IF(B$17=0,0,G2/B$17)</f>
        <v>0.66183574879227058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590.66666666666663</v>
      </c>
      <c r="P2" s="114">
        <v>75</v>
      </c>
      <c r="Q2" s="98">
        <v>44300</v>
      </c>
    </row>
    <row r="3" spans="1:17" x14ac:dyDescent="0.4">
      <c r="A3" s="51" t="s">
        <v>8</v>
      </c>
      <c r="B3" s="152">
        <v>615</v>
      </c>
      <c r="C3" s="153"/>
      <c r="E3" s="59" t="s">
        <v>72</v>
      </c>
      <c r="F3" s="56" t="s">
        <v>27</v>
      </c>
      <c r="G3" s="44">
        <v>103</v>
      </c>
      <c r="H3" s="129">
        <f>IF(B$17=0,0,G3/B$17)</f>
        <v>0.49758454106280192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193.05555555555554</v>
      </c>
      <c r="P3" s="115">
        <v>72</v>
      </c>
      <c r="Q3" s="99">
        <v>13900</v>
      </c>
    </row>
    <row r="4" spans="1:17" x14ac:dyDescent="0.4">
      <c r="A4" s="51" t="s">
        <v>6</v>
      </c>
      <c r="B4" s="154">
        <v>576.29999999999984</v>
      </c>
      <c r="C4" s="155"/>
      <c r="E4" s="59" t="s">
        <v>64</v>
      </c>
      <c r="F4" s="56" t="s">
        <v>20</v>
      </c>
      <c r="G4" s="44">
        <v>88</v>
      </c>
      <c r="H4" s="129">
        <f>IF(B$17=0,0,G4/B$17)</f>
        <v>0.4251207729468599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139.43661971830986</v>
      </c>
      <c r="P4" s="115">
        <v>71</v>
      </c>
      <c r="Q4" s="99">
        <v>9900</v>
      </c>
    </row>
    <row r="5" spans="1:17" x14ac:dyDescent="0.4">
      <c r="A5" s="51" t="s">
        <v>7</v>
      </c>
      <c r="B5" s="156">
        <f>IF(B$2=0,0,B$4/B$2)</f>
        <v>7.5828947368421034</v>
      </c>
      <c r="C5" s="157"/>
      <c r="E5" s="59" t="s">
        <v>171</v>
      </c>
      <c r="F5" s="56" t="s">
        <v>172</v>
      </c>
      <c r="G5" s="44">
        <v>72</v>
      </c>
      <c r="H5" s="129">
        <f>IF(B$17=0,0,G5/B$17)</f>
        <v>0.34782608695652173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-732.8125</v>
      </c>
      <c r="P5" s="115">
        <v>64</v>
      </c>
      <c r="Q5" s="99">
        <v>-46900</v>
      </c>
    </row>
    <row r="6" spans="1:17" x14ac:dyDescent="0.4">
      <c r="A6" s="51" t="s">
        <v>1</v>
      </c>
      <c r="B6" s="146">
        <f>IF(B$2=0,0,(B$7*1+B$8*2+B$9*3)/B$2)</f>
        <v>1.7763157894736843</v>
      </c>
      <c r="C6" s="147"/>
      <c r="E6" s="59" t="s">
        <v>68</v>
      </c>
      <c r="F6" s="56" t="s">
        <v>12</v>
      </c>
      <c r="G6" s="44">
        <v>59</v>
      </c>
      <c r="H6" s="129">
        <f>IF(B$17=0,0,G6/B$17)</f>
        <v>0.28502415458937197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3006.4516129032259</v>
      </c>
      <c r="P6" s="115">
        <v>62</v>
      </c>
      <c r="Q6" s="99">
        <v>186400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0.47368421052631576</v>
      </c>
      <c r="E7" s="59" t="s">
        <v>67</v>
      </c>
      <c r="F7" s="56" t="s">
        <v>23</v>
      </c>
      <c r="G7" s="44">
        <v>55</v>
      </c>
      <c r="H7" s="129">
        <f>IF(B$17=0,0,G7/B$17)</f>
        <v>0.26570048309178745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3052.9411764705883</v>
      </c>
      <c r="P7" s="116">
        <v>51</v>
      </c>
      <c r="Q7" s="100">
        <v>155700</v>
      </c>
    </row>
    <row r="8" spans="1:17" x14ac:dyDescent="0.4">
      <c r="A8" s="51" t="s">
        <v>3</v>
      </c>
      <c r="B8" s="44">
        <v>21</v>
      </c>
      <c r="C8" s="37">
        <f t="shared" si="1"/>
        <v>0.27631578947368424</v>
      </c>
      <c r="E8" s="59" t="s">
        <v>89</v>
      </c>
      <c r="F8" s="56" t="s">
        <v>44</v>
      </c>
      <c r="G8" s="44">
        <v>37</v>
      </c>
      <c r="H8" s="129">
        <f>IF(B$17=0,0,G8/B$17)</f>
        <v>0.17874396135265699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0.25</v>
      </c>
      <c r="E9" s="59" t="s">
        <v>69</v>
      </c>
      <c r="F9" s="56" t="s">
        <v>24</v>
      </c>
      <c r="G9" s="44">
        <v>29</v>
      </c>
      <c r="H9" s="129">
        <f>IF(B$17=0,0,G9/B$17)</f>
        <v>0.14009661835748793</v>
      </c>
      <c r="I9" s="90">
        <v>6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3.9473684210526314E-2</v>
      </c>
      <c r="E10" s="59" t="s">
        <v>65</v>
      </c>
      <c r="F10" s="56" t="s">
        <v>21</v>
      </c>
      <c r="G10" s="44">
        <v>21</v>
      </c>
      <c r="H10" s="129">
        <f>IF(B$17=0,0,G10/B$17)</f>
        <v>0.10144927536231885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11.3</v>
      </c>
      <c r="P10" s="114">
        <v>20</v>
      </c>
      <c r="Q10" s="102">
        <v>226.00000000000003</v>
      </c>
    </row>
    <row r="11" spans="1:17" x14ac:dyDescent="0.4">
      <c r="A11" s="52" t="s">
        <v>138</v>
      </c>
      <c r="B11" s="45">
        <v>8</v>
      </c>
      <c r="C11" s="38">
        <f t="shared" si="1"/>
        <v>0.10526315789473684</v>
      </c>
      <c r="E11" s="59" t="s">
        <v>71</v>
      </c>
      <c r="F11" s="56" t="s">
        <v>26</v>
      </c>
      <c r="G11" s="44">
        <v>13</v>
      </c>
      <c r="H11" s="129">
        <f>IF(B$17=0,0,G11/B$17)</f>
        <v>6.280193236714976E-2</v>
      </c>
      <c r="I11" s="90">
        <v>9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9</v>
      </c>
      <c r="C12" s="40">
        <f t="shared" si="1"/>
        <v>0.11842105263157894</v>
      </c>
      <c r="E12" s="59" t="s">
        <v>70</v>
      </c>
      <c r="F12" s="56" t="s">
        <v>25</v>
      </c>
      <c r="G12" s="44">
        <v>11</v>
      </c>
      <c r="H12" s="129">
        <f>IF(B$17=0,0,G12/B$17)</f>
        <v>5.3140096618357488E-2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10.395652173913041</v>
      </c>
      <c r="P12" s="116">
        <v>23</v>
      </c>
      <c r="Q12" s="104">
        <v>239.09999999999994</v>
      </c>
    </row>
    <row r="13" spans="1:17" x14ac:dyDescent="0.4">
      <c r="A13" s="54" t="s">
        <v>121</v>
      </c>
      <c r="B13" s="47">
        <v>156</v>
      </c>
      <c r="C13" s="42">
        <f>IF(B$3=0,0,B13/B$3)</f>
        <v>0.25365853658536586</v>
      </c>
      <c r="E13" s="59" t="s">
        <v>83</v>
      </c>
      <c r="F13" s="56" t="s">
        <v>38</v>
      </c>
      <c r="G13" s="44">
        <v>10</v>
      </c>
      <c r="H13" s="129">
        <f>IF(B$17=0,0,G13/B$17)</f>
        <v>4.8309178743961352E-2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145</v>
      </c>
      <c r="C14" s="37">
        <f>IF(B$3=0,0,B14/B$3)</f>
        <v>0.23577235772357724</v>
      </c>
      <c r="E14" s="59" t="s">
        <v>86</v>
      </c>
      <c r="F14" s="56" t="s">
        <v>41</v>
      </c>
      <c r="G14" s="44">
        <v>9</v>
      </c>
      <c r="H14" s="129">
        <f>IF(B$17=0,0,G14/B$17)</f>
        <v>4.3478260869565216E-2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0.60897435897435892</v>
      </c>
      <c r="E15" s="59" t="s">
        <v>167</v>
      </c>
      <c r="F15" s="56" t="s">
        <v>168</v>
      </c>
      <c r="G15" s="44">
        <v>8</v>
      </c>
      <c r="H15" s="129">
        <f>IF(B$17=0,0,G15/B$17)</f>
        <v>3.864734299516908E-2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68</v>
      </c>
      <c r="C16" s="35">
        <f>IF(B$14=0,0,B16/B$14)</f>
        <v>0.4689655172413793</v>
      </c>
      <c r="E16" s="59" t="s">
        <v>78</v>
      </c>
      <c r="F16" s="56" t="s">
        <v>33</v>
      </c>
      <c r="G16" s="44">
        <v>7</v>
      </c>
      <c r="H16" s="129">
        <f>IF(B$17=0,0,G16/B$17)</f>
        <v>3.3816425120772944E-2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32.228571428571421</v>
      </c>
      <c r="P16" s="115">
        <v>7</v>
      </c>
      <c r="Q16" s="103">
        <v>225.59999999999994</v>
      </c>
    </row>
    <row r="17" spans="1:17" x14ac:dyDescent="0.4">
      <c r="A17" s="50" t="s">
        <v>10</v>
      </c>
      <c r="B17" s="43">
        <f>B19+B18</f>
        <v>207</v>
      </c>
      <c r="C17" s="35">
        <f>IF(B$3=0,0,B17/B$3)</f>
        <v>0.33658536585365856</v>
      </c>
      <c r="E17" s="59" t="s">
        <v>77</v>
      </c>
      <c r="F17" s="56" t="s">
        <v>32</v>
      </c>
      <c r="G17" s="44">
        <v>3</v>
      </c>
      <c r="H17" s="129">
        <f>IF(B$17=0,0,G17/B$17)</f>
        <v>1.4492753623188406E-2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 t="shared" si="2"/>
        <v>18.563157894736854</v>
      </c>
      <c r="P17" s="115">
        <v>19</v>
      </c>
      <c r="Q17" s="103">
        <v>352.70000000000022</v>
      </c>
    </row>
    <row r="18" spans="1:17" x14ac:dyDescent="0.4">
      <c r="A18" s="51" t="s">
        <v>12</v>
      </c>
      <c r="B18" s="44">
        <v>87</v>
      </c>
      <c r="C18" s="37">
        <f>IF(B$17=0,0,B18/B$17)</f>
        <v>0.42028985507246375</v>
      </c>
      <c r="E18" s="59" t="s">
        <v>84</v>
      </c>
      <c r="F18" s="56" t="s">
        <v>39</v>
      </c>
      <c r="G18" s="44">
        <v>3</v>
      </c>
      <c r="H18" s="129">
        <f>IF(B$17=0,0,G18/B$17)</f>
        <v>1.4492753623188406E-2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 t="shared" si="2"/>
        <v>17.467741935483872</v>
      </c>
      <c r="P18" s="115">
        <v>31</v>
      </c>
      <c r="Q18" s="103">
        <v>541.5</v>
      </c>
    </row>
    <row r="19" spans="1:17" x14ac:dyDescent="0.4">
      <c r="A19" s="51" t="s">
        <v>11</v>
      </c>
      <c r="B19" s="44">
        <v>120</v>
      </c>
      <c r="C19" s="37">
        <f>IF(B$17=0,0,B19/B$17)</f>
        <v>0.57971014492753625</v>
      </c>
      <c r="E19" s="59" t="s">
        <v>88</v>
      </c>
      <c r="F19" s="56" t="s">
        <v>43</v>
      </c>
      <c r="G19" s="44">
        <v>2</v>
      </c>
      <c r="H19" s="129">
        <f>IF(B$17=0,0,G19/B$17)</f>
        <v>9.6618357487922701E-3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8.2980769230769251</v>
      </c>
      <c r="P19" s="115">
        <v>52</v>
      </c>
      <c r="Q19" s="103">
        <v>431.50000000000011</v>
      </c>
    </row>
    <row r="20" spans="1:17" x14ac:dyDescent="0.4">
      <c r="A20" s="51" t="s">
        <v>13</v>
      </c>
      <c r="B20" s="44">
        <v>86</v>
      </c>
      <c r="C20" s="37">
        <f>IF(B$3=0,0,B20/B$3)</f>
        <v>0.13983739837398373</v>
      </c>
      <c r="E20" s="59" t="s">
        <v>92</v>
      </c>
      <c r="F20" s="56" t="s">
        <v>47</v>
      </c>
      <c r="G20" s="44">
        <v>2</v>
      </c>
      <c r="H20" s="129">
        <f>IF(B$17=0,0,G20/B$17)</f>
        <v>9.6618357487922701E-3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 t="shared" si="2"/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4.830917874396135E-3</v>
      </c>
      <c r="I21" s="90">
        <v>5</v>
      </c>
      <c r="K21" s="36">
        <v>19</v>
      </c>
      <c r="L21" s="95">
        <v>383.19999999999993</v>
      </c>
      <c r="N21" s="111" t="s">
        <v>177</v>
      </c>
      <c r="O21" s="121">
        <f t="shared" si="2"/>
        <v>-1.3562500000000002</v>
      </c>
      <c r="P21" s="115">
        <v>16</v>
      </c>
      <c r="Q21" s="103">
        <v>-21.700000000000003</v>
      </c>
    </row>
    <row r="22" spans="1:17" x14ac:dyDescent="0.4">
      <c r="A22" s="51" t="s">
        <v>170</v>
      </c>
      <c r="B22" s="44">
        <v>31</v>
      </c>
      <c r="C22" s="131">
        <v>4</v>
      </c>
      <c r="E22" s="59" t="s">
        <v>75</v>
      </c>
      <c r="F22" s="56" t="s">
        <v>30</v>
      </c>
      <c r="G22" s="44">
        <v>1</v>
      </c>
      <c r="H22" s="129">
        <f>IF(B$17=0,0,G22/B$17)</f>
        <v>4.830917874396135E-3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7849.7584541062806</v>
      </c>
      <c r="C23" s="39">
        <v>1624900</v>
      </c>
      <c r="E23" s="59" t="s">
        <v>79</v>
      </c>
      <c r="F23" s="56" t="s">
        <v>34</v>
      </c>
      <c r="G23" s="44">
        <v>1</v>
      </c>
      <c r="H23" s="129">
        <f>IF(B$17=0,0,G23/B$17)</f>
        <v>4.830917874396135E-3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7712.9496402877694</v>
      </c>
      <c r="C24" s="137">
        <v>1072100</v>
      </c>
      <c r="E24" s="59" t="s">
        <v>81</v>
      </c>
      <c r="F24" s="56" t="s">
        <v>36</v>
      </c>
      <c r="G24" s="44">
        <v>1</v>
      </c>
      <c r="H24" s="129">
        <f>IF(B$17=0,0,G24/B$17)</f>
        <v>4.830917874396135E-3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8129.411764705882</v>
      </c>
      <c r="C25" s="137">
        <v>552800</v>
      </c>
      <c r="E25" s="59" t="s">
        <v>85</v>
      </c>
      <c r="F25" s="56" t="s">
        <v>40</v>
      </c>
      <c r="G25" s="44">
        <v>1</v>
      </c>
      <c r="H25" s="129">
        <f>IF(B$17=0,0,G25/B$17)</f>
        <v>4.830917874396135E-3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-7533.7209302325582</v>
      </c>
      <c r="C26" s="137">
        <v>-647900</v>
      </c>
      <c r="E26" s="59" t="s">
        <v>90</v>
      </c>
      <c r="F26" s="56" t="s">
        <v>45</v>
      </c>
      <c r="G26" s="44">
        <v>1</v>
      </c>
      <c r="H26" s="129">
        <f>IF(B$17=0,0,G26/B$17)</f>
        <v>4.830917874396135E-3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4">
        <v>7</v>
      </c>
      <c r="C27" s="145"/>
      <c r="E27" s="59" t="s">
        <v>91</v>
      </c>
      <c r="F27" s="56" t="s">
        <v>46</v>
      </c>
      <c r="G27" s="44">
        <v>1</v>
      </c>
      <c r="H27" s="129">
        <f>IF(B$17=0,0,G27/B$17)</f>
        <v>4.830917874396135E-3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2">
        <v>86200</v>
      </c>
      <c r="C28" s="143"/>
      <c r="E28" s="59" t="s">
        <v>95</v>
      </c>
      <c r="F28" s="56" t="s">
        <v>50</v>
      </c>
      <c r="G28" s="44">
        <v>1</v>
      </c>
      <c r="H28" s="129">
        <f>IF(B$17=0,0,G28/B$17)</f>
        <v>4.830917874396135E-3</v>
      </c>
      <c r="I28" s="90">
        <v>2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1.6260162601626016E-3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</sheetData>
  <sortState xmlns:xlrd2="http://schemas.microsoft.com/office/spreadsheetml/2017/richdata2" ref="E2:I7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179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47</v>
      </c>
      <c r="C2" s="151"/>
      <c r="E2" s="58" t="s">
        <v>66</v>
      </c>
      <c r="F2" s="55" t="s">
        <v>22</v>
      </c>
      <c r="G2" s="43">
        <v>83</v>
      </c>
      <c r="H2" s="128">
        <f>IF(B$17=0,0,G2/B$17)</f>
        <v>0.73451327433628322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432.60869565217394</v>
      </c>
      <c r="P2" s="114">
        <v>46</v>
      </c>
      <c r="Q2" s="98">
        <v>19900</v>
      </c>
    </row>
    <row r="3" spans="1:17" x14ac:dyDescent="0.4">
      <c r="A3" s="51" t="s">
        <v>8</v>
      </c>
      <c r="B3" s="152">
        <v>401</v>
      </c>
      <c r="C3" s="153"/>
      <c r="E3" s="59" t="s">
        <v>64</v>
      </c>
      <c r="F3" s="56" t="s">
        <v>20</v>
      </c>
      <c r="G3" s="44">
        <v>68</v>
      </c>
      <c r="H3" s="129">
        <f>IF(B$17=0,0,G3/B$17)</f>
        <v>0.60176991150442483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-547.82608695652175</v>
      </c>
      <c r="P3" s="115">
        <v>46</v>
      </c>
      <c r="Q3" s="99">
        <v>-25200</v>
      </c>
    </row>
    <row r="4" spans="1:17" x14ac:dyDescent="0.4">
      <c r="A4" s="51" t="s">
        <v>6</v>
      </c>
      <c r="B4" s="154">
        <v>-346.19999999999993</v>
      </c>
      <c r="C4" s="155"/>
      <c r="E4" s="59" t="s">
        <v>72</v>
      </c>
      <c r="F4" s="56" t="s">
        <v>27</v>
      </c>
      <c r="G4" s="44">
        <v>59</v>
      </c>
      <c r="H4" s="129">
        <f>IF(B$17=0,0,G4/B$17)</f>
        <v>0.52212389380530977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981.81818181818187</v>
      </c>
      <c r="P4" s="115">
        <v>44</v>
      </c>
      <c r="Q4" s="99">
        <v>43200</v>
      </c>
    </row>
    <row r="5" spans="1:17" x14ac:dyDescent="0.4">
      <c r="A5" s="51" t="s">
        <v>7</v>
      </c>
      <c r="B5" s="156">
        <f>IF(B$2=0,0,B$4/B$2)</f>
        <v>-7.3659574468085092</v>
      </c>
      <c r="C5" s="157"/>
      <c r="E5" s="59" t="s">
        <v>171</v>
      </c>
      <c r="F5" s="56" t="s">
        <v>172</v>
      </c>
      <c r="G5" s="44">
        <v>44</v>
      </c>
      <c r="H5" s="129">
        <f>IF(B$17=0,0,G5/B$17)</f>
        <v>0.38938053097345132</v>
      </c>
      <c r="I5" s="90">
        <v>5</v>
      </c>
      <c r="K5" s="36">
        <v>3</v>
      </c>
      <c r="L5" s="95">
        <v>-17.599999999999998</v>
      </c>
      <c r="N5" s="111" t="s">
        <v>133</v>
      </c>
      <c r="O5" s="118">
        <f t="shared" si="0"/>
        <v>-1930.952380952381</v>
      </c>
      <c r="P5" s="115">
        <v>42</v>
      </c>
      <c r="Q5" s="99">
        <v>-81100</v>
      </c>
    </row>
    <row r="6" spans="1:17" x14ac:dyDescent="0.4">
      <c r="A6" s="51" t="s">
        <v>1</v>
      </c>
      <c r="B6" s="146">
        <f>IF(B$2=0,0,(B$7*1+B$8*2+B$9*3)/B$2)</f>
        <v>2.2340425531914891</v>
      </c>
      <c r="C6" s="147"/>
      <c r="E6" s="59" t="s">
        <v>68</v>
      </c>
      <c r="F6" s="56" t="s">
        <v>12</v>
      </c>
      <c r="G6" s="44">
        <v>36</v>
      </c>
      <c r="H6" s="129">
        <f>IF(B$17=0,0,G6/B$17)</f>
        <v>0.31858407079646017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-3119.5121951219512</v>
      </c>
      <c r="P6" s="115">
        <v>41</v>
      </c>
      <c r="Q6" s="99">
        <v>-127900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0.19148936170212766</v>
      </c>
      <c r="E7" s="59" t="s">
        <v>67</v>
      </c>
      <c r="F7" s="56" t="s">
        <v>23</v>
      </c>
      <c r="G7" s="44">
        <v>34</v>
      </c>
      <c r="H7" s="129">
        <f>IF(B$17=0,0,G7/B$17)</f>
        <v>0.30088495575221241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-2638.8888888888887</v>
      </c>
      <c r="P7" s="116">
        <v>36</v>
      </c>
      <c r="Q7" s="100">
        <v>-95000</v>
      </c>
    </row>
    <row r="8" spans="1:17" x14ac:dyDescent="0.4">
      <c r="A8" s="51" t="s">
        <v>3</v>
      </c>
      <c r="B8" s="44">
        <v>18</v>
      </c>
      <c r="C8" s="37">
        <f t="shared" si="1"/>
        <v>0.38297872340425532</v>
      </c>
      <c r="E8" s="59" t="s">
        <v>70</v>
      </c>
      <c r="F8" s="56" t="s">
        <v>25</v>
      </c>
      <c r="G8" s="44">
        <v>18</v>
      </c>
      <c r="H8" s="129">
        <f>IF(B$17=0,0,G8/B$17)</f>
        <v>0.15929203539823009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0.42553191489361702</v>
      </c>
      <c r="E9" s="59" t="s">
        <v>69</v>
      </c>
      <c r="F9" s="56" t="s">
        <v>24</v>
      </c>
      <c r="G9" s="44">
        <v>16</v>
      </c>
      <c r="H9" s="129">
        <f>IF(B$17=0,0,G9/B$17)</f>
        <v>0.1415929203539823</v>
      </c>
      <c r="I9" s="90">
        <v>5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4.2553191489361701E-2</v>
      </c>
      <c r="E10" s="59" t="s">
        <v>65</v>
      </c>
      <c r="F10" s="56" t="s">
        <v>21</v>
      </c>
      <c r="G10" s="44">
        <v>12</v>
      </c>
      <c r="H10" s="129">
        <f>IF(B$17=0,0,G10/B$17)</f>
        <v>0.10619469026548672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0.69473684210526221</v>
      </c>
      <c r="P10" s="114">
        <v>19</v>
      </c>
      <c r="Q10" s="102">
        <v>13.199999999999982</v>
      </c>
    </row>
    <row r="11" spans="1:17" x14ac:dyDescent="0.4">
      <c r="A11" s="52" t="s">
        <v>138</v>
      </c>
      <c r="B11" s="45">
        <v>2</v>
      </c>
      <c r="C11" s="38">
        <f t="shared" si="1"/>
        <v>4.2553191489361701E-2</v>
      </c>
      <c r="E11" s="59" t="s">
        <v>89</v>
      </c>
      <c r="F11" s="56" t="s">
        <v>44</v>
      </c>
      <c r="G11" s="44">
        <v>10</v>
      </c>
      <c r="H11" s="129">
        <f>IF(B$17=0,0,G11/B$17)</f>
        <v>8.8495575221238937E-2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-9.615384615384615</v>
      </c>
      <c r="P11" s="115">
        <v>13</v>
      </c>
      <c r="Q11" s="103">
        <v>-125</v>
      </c>
    </row>
    <row r="12" spans="1:17" x14ac:dyDescent="0.4">
      <c r="A12" s="53" t="s">
        <v>158</v>
      </c>
      <c r="B12" s="46">
        <v>3</v>
      </c>
      <c r="C12" s="40">
        <f t="shared" si="1"/>
        <v>6.3829787234042548E-2</v>
      </c>
      <c r="E12" s="59" t="s">
        <v>83</v>
      </c>
      <c r="F12" s="56" t="s">
        <v>38</v>
      </c>
      <c r="G12" s="44">
        <v>8</v>
      </c>
      <c r="H12" s="129">
        <f>IF(B$17=0,0,G12/B$17)</f>
        <v>7.0796460176991149E-2</v>
      </c>
      <c r="I12" s="90">
        <v>4</v>
      </c>
      <c r="K12" s="36">
        <v>10</v>
      </c>
      <c r="L12" s="95">
        <v>-117.19999999999999</v>
      </c>
      <c r="N12" s="112" t="s">
        <v>164</v>
      </c>
      <c r="O12" s="122">
        <f>IF(P12=0,0,Q12/P12)</f>
        <v>-15.626666666666667</v>
      </c>
      <c r="P12" s="116">
        <v>15</v>
      </c>
      <c r="Q12" s="104">
        <v>-234.4</v>
      </c>
    </row>
    <row r="13" spans="1:17" x14ac:dyDescent="0.4">
      <c r="A13" s="54" t="s">
        <v>121</v>
      </c>
      <c r="B13" s="47">
        <v>115</v>
      </c>
      <c r="C13" s="42">
        <f>IF(B$3=0,0,B13/B$3)</f>
        <v>0.28678304239401498</v>
      </c>
      <c r="E13" s="59" t="s">
        <v>71</v>
      </c>
      <c r="F13" s="56" t="s">
        <v>26</v>
      </c>
      <c r="G13" s="44">
        <v>5</v>
      </c>
      <c r="H13" s="129">
        <f>IF(B$17=0,0,G13/B$17)</f>
        <v>4.4247787610619468E-2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0.18703241895261846</v>
      </c>
      <c r="E14" s="59" t="s">
        <v>78</v>
      </c>
      <c r="F14" s="56" t="s">
        <v>33</v>
      </c>
      <c r="G14" s="44">
        <v>4</v>
      </c>
      <c r="H14" s="129">
        <f>IF(B$17=0,0,G14/B$17)</f>
        <v>3.5398230088495575E-2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69</v>
      </c>
      <c r="C15" s="35">
        <f>IF(B$13=0,0,B15/B$13)</f>
        <v>0.6</v>
      </c>
      <c r="E15" s="59" t="s">
        <v>86</v>
      </c>
      <c r="F15" s="56" t="s">
        <v>41</v>
      </c>
      <c r="G15" s="44">
        <v>3</v>
      </c>
      <c r="H15" s="129">
        <f>IF(B$17=0,0,G15/B$17)</f>
        <v>2.6548672566371681E-2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30</v>
      </c>
      <c r="C16" s="35">
        <f>IF(B$14=0,0,B16/B$14)</f>
        <v>0.4</v>
      </c>
      <c r="E16" s="59" t="s">
        <v>75</v>
      </c>
      <c r="F16" s="56" t="s">
        <v>30</v>
      </c>
      <c r="G16" s="44">
        <v>2</v>
      </c>
      <c r="H16" s="129">
        <f>IF(B$17=0,0,G16/B$17)</f>
        <v>1.7699115044247787E-2</v>
      </c>
      <c r="I16" s="90">
        <v>2</v>
      </c>
      <c r="K16" s="36">
        <v>14</v>
      </c>
      <c r="L16" s="95">
        <v>-204.8</v>
      </c>
      <c r="N16" s="111" t="s">
        <v>166</v>
      </c>
      <c r="O16" s="121">
        <f t="shared" si="2"/>
        <v>10.390909090909091</v>
      </c>
      <c r="P16" s="115">
        <v>11</v>
      </c>
      <c r="Q16" s="103">
        <v>114.3</v>
      </c>
    </row>
    <row r="17" spans="1:17" x14ac:dyDescent="0.4">
      <c r="A17" s="50" t="s">
        <v>10</v>
      </c>
      <c r="B17" s="43">
        <f>B19+B18</f>
        <v>113</v>
      </c>
      <c r="C17" s="35">
        <f>IF(B$3=0,0,B17/B$3)</f>
        <v>0.28179551122194513</v>
      </c>
      <c r="E17" s="59" t="s">
        <v>79</v>
      </c>
      <c r="F17" s="56" t="s">
        <v>34</v>
      </c>
      <c r="G17" s="44">
        <v>2</v>
      </c>
      <c r="H17" s="129">
        <f>IF(B$17=0,0,G17/B$17)</f>
        <v>1.7699115044247787E-2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48</v>
      </c>
      <c r="C18" s="37">
        <f>IF(B$17=0,0,B18/B$17)</f>
        <v>0.4247787610619469</v>
      </c>
      <c r="E18" s="59" t="s">
        <v>81</v>
      </c>
      <c r="F18" s="56" t="s">
        <v>36</v>
      </c>
      <c r="G18" s="44">
        <v>2</v>
      </c>
      <c r="H18" s="129">
        <f>IF(B$17=0,0,G18/B$17)</f>
        <v>1.7699115044247787E-2</v>
      </c>
      <c r="I18" s="90">
        <v>5</v>
      </c>
      <c r="K18" s="36">
        <v>16</v>
      </c>
      <c r="L18" s="95">
        <v>-224.3</v>
      </c>
      <c r="N18" s="111" t="s">
        <v>177</v>
      </c>
      <c r="O18" s="121">
        <f t="shared" si="2"/>
        <v>1.0000000000000004</v>
      </c>
      <c r="P18" s="115">
        <v>6</v>
      </c>
      <c r="Q18" s="103">
        <v>6.0000000000000027</v>
      </c>
    </row>
    <row r="19" spans="1:17" x14ac:dyDescent="0.4">
      <c r="A19" s="51" t="s">
        <v>11</v>
      </c>
      <c r="B19" s="44">
        <v>65</v>
      </c>
      <c r="C19" s="37">
        <f>IF(B$17=0,0,B19/B$17)</f>
        <v>0.5752212389380531</v>
      </c>
      <c r="E19" s="59" t="s">
        <v>91</v>
      </c>
      <c r="F19" s="56" t="s">
        <v>46</v>
      </c>
      <c r="G19" s="44">
        <v>1</v>
      </c>
      <c r="H19" s="129">
        <f>IF(B$17=0,0,G19/B$17)</f>
        <v>8.8495575221238937E-3</v>
      </c>
      <c r="I19" s="90">
        <v>5</v>
      </c>
      <c r="K19" s="36">
        <v>17</v>
      </c>
      <c r="L19" s="95">
        <v>-251.4</v>
      </c>
      <c r="N19" s="111" t="s">
        <v>127</v>
      </c>
      <c r="O19" s="121">
        <f t="shared" si="2"/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82</v>
      </c>
      <c r="C20" s="37">
        <f>IF(B$3=0,0,B20/B$3)</f>
        <v>0.20448877805486285</v>
      </c>
      <c r="E20" s="59" t="s">
        <v>167</v>
      </c>
      <c r="F20" s="56" t="s">
        <v>168</v>
      </c>
      <c r="G20" s="44">
        <v>1</v>
      </c>
      <c r="H20" s="129">
        <f>IF(B$17=0,0,G20/B$17)</f>
        <v>8.8495575221238937E-3</v>
      </c>
      <c r="I20" s="90">
        <v>6</v>
      </c>
      <c r="K20" s="36">
        <v>18</v>
      </c>
      <c r="L20" s="95">
        <v>-240</v>
      </c>
      <c r="N20" s="111" t="s">
        <v>126</v>
      </c>
      <c r="O20" s="121">
        <f t="shared" si="2"/>
        <v>-17.467741935483875</v>
      </c>
      <c r="P20" s="115">
        <v>31</v>
      </c>
      <c r="Q20" s="103">
        <v>-541.50000000000011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178</v>
      </c>
      <c r="O21" s="121">
        <f t="shared" si="2"/>
        <v>-31.71</v>
      </c>
      <c r="P21" s="115">
        <v>10</v>
      </c>
      <c r="Q21" s="103">
        <v>-317.10000000000002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7690.2654867256633</v>
      </c>
      <c r="C23" s="39">
        <v>869000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8161.4457831325299</v>
      </c>
      <c r="C24" s="137">
        <v>677400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6386.666666666667</v>
      </c>
      <c r="C25" s="137">
        <v>191600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-7435.3658536585363</v>
      </c>
      <c r="C26" s="137">
        <v>-609700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4">
        <v>8</v>
      </c>
      <c r="C27" s="145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2">
        <v>69300</v>
      </c>
      <c r="C28" s="143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127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75</v>
      </c>
      <c r="C2" s="151"/>
      <c r="E2" s="58" t="s">
        <v>66</v>
      </c>
      <c r="F2" s="55" t="s">
        <v>22</v>
      </c>
      <c r="G2" s="43">
        <v>189</v>
      </c>
      <c r="H2" s="128">
        <f>IF(B$17=0,0,G2/B$17)</f>
        <v>0.93103448275862066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-1951.3513513513512</v>
      </c>
      <c r="P2" s="114">
        <v>74</v>
      </c>
      <c r="Q2" s="98">
        <v>-144400</v>
      </c>
    </row>
    <row r="3" spans="1:17" x14ac:dyDescent="0.4">
      <c r="A3" s="51" t="s">
        <v>8</v>
      </c>
      <c r="B3" s="152">
        <v>638</v>
      </c>
      <c r="C3" s="153"/>
      <c r="E3" s="59" t="s">
        <v>72</v>
      </c>
      <c r="F3" s="56" t="s">
        <v>27</v>
      </c>
      <c r="G3" s="44">
        <v>114</v>
      </c>
      <c r="H3" s="129">
        <f>IF(B$17=0,0,G3/B$17)</f>
        <v>0.56157635467980294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1136.1111111111111</v>
      </c>
      <c r="P3" s="115">
        <v>72</v>
      </c>
      <c r="Q3" s="99">
        <v>81800</v>
      </c>
    </row>
    <row r="4" spans="1:17" x14ac:dyDescent="0.4">
      <c r="A4" s="51" t="s">
        <v>6</v>
      </c>
      <c r="B4" s="154">
        <v>336.79999999999984</v>
      </c>
      <c r="C4" s="155"/>
      <c r="E4" s="59" t="s">
        <v>171</v>
      </c>
      <c r="F4" s="56" t="s">
        <v>172</v>
      </c>
      <c r="G4" s="44">
        <v>89</v>
      </c>
      <c r="H4" s="129">
        <f>IF(B$17=0,0,G4/B$17)</f>
        <v>0.43842364532019706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601.47058823529414</v>
      </c>
      <c r="P4" s="115">
        <v>68</v>
      </c>
      <c r="Q4" s="99">
        <v>40900</v>
      </c>
    </row>
    <row r="5" spans="1:17" x14ac:dyDescent="0.4">
      <c r="A5" s="51" t="s">
        <v>7</v>
      </c>
      <c r="B5" s="156">
        <f>IF(B$2=0,0,B$4/B$2)</f>
        <v>4.4906666666666641</v>
      </c>
      <c r="C5" s="157"/>
      <c r="E5" s="59" t="s">
        <v>64</v>
      </c>
      <c r="F5" s="56" t="s">
        <v>20</v>
      </c>
      <c r="G5" s="44">
        <v>82</v>
      </c>
      <c r="H5" s="129">
        <f>IF(B$17=0,0,G5/B$17)</f>
        <v>0.4039408866995074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2743.75</v>
      </c>
      <c r="P5" s="115">
        <v>64</v>
      </c>
      <c r="Q5" s="99">
        <v>175600</v>
      </c>
    </row>
    <row r="6" spans="1:17" x14ac:dyDescent="0.4">
      <c r="A6" s="51" t="s">
        <v>1</v>
      </c>
      <c r="B6" s="146">
        <f>IF(B$2=0,0,(B$7*1+B$8*2+B$9*3)/B$2)</f>
        <v>1.8533333333333333</v>
      </c>
      <c r="C6" s="147"/>
      <c r="E6" s="59" t="s">
        <v>68</v>
      </c>
      <c r="F6" s="56" t="s">
        <v>12</v>
      </c>
      <c r="G6" s="44">
        <v>55</v>
      </c>
      <c r="H6" s="129">
        <f>IF(B$17=0,0,G6/B$17)</f>
        <v>0.27093596059113301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398.36065573770492</v>
      </c>
      <c r="P6" s="115">
        <v>61</v>
      </c>
      <c r="Q6" s="99">
        <v>24300</v>
      </c>
    </row>
    <row r="7" spans="1:17" x14ac:dyDescent="0.4">
      <c r="A7" s="51" t="s">
        <v>2</v>
      </c>
      <c r="B7" s="44">
        <v>32</v>
      </c>
      <c r="C7" s="37">
        <f t="shared" ref="C7:C12" si="1">IF(B$2=0,0,B7/B$2)</f>
        <v>0.42666666666666669</v>
      </c>
      <c r="E7" s="59" t="s">
        <v>67</v>
      </c>
      <c r="F7" s="56" t="s">
        <v>23</v>
      </c>
      <c r="G7" s="44">
        <v>50</v>
      </c>
      <c r="H7" s="129">
        <f>IF(B$17=0,0,G7/B$17)</f>
        <v>0.24630541871921183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1680</v>
      </c>
      <c r="P7" s="116">
        <v>50</v>
      </c>
      <c r="Q7" s="100">
        <v>84000</v>
      </c>
    </row>
    <row r="8" spans="1:17" x14ac:dyDescent="0.4">
      <c r="A8" s="51" t="s">
        <v>3</v>
      </c>
      <c r="B8" s="44">
        <v>22</v>
      </c>
      <c r="C8" s="37">
        <f t="shared" si="1"/>
        <v>0.29333333333333333</v>
      </c>
      <c r="E8" s="59" t="s">
        <v>89</v>
      </c>
      <c r="F8" s="56" t="s">
        <v>44</v>
      </c>
      <c r="G8" s="44">
        <v>24</v>
      </c>
      <c r="H8" s="129">
        <f>IF(B$17=0,0,G8/B$17)</f>
        <v>0.11822660098522167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0.28000000000000003</v>
      </c>
      <c r="E9" s="59" t="s">
        <v>69</v>
      </c>
      <c r="F9" s="56" t="s">
        <v>24</v>
      </c>
      <c r="G9" s="44">
        <v>22</v>
      </c>
      <c r="H9" s="129">
        <f>IF(B$17=0,0,G9/B$17)</f>
        <v>0.10837438423645321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0.14666666666666667</v>
      </c>
      <c r="E10" s="59" t="s">
        <v>71</v>
      </c>
      <c r="F10" s="56" t="s">
        <v>26</v>
      </c>
      <c r="G10" s="44">
        <v>18</v>
      </c>
      <c r="H10" s="129">
        <f>IF(B$17=0,0,G10/B$17)</f>
        <v>8.8669950738916259E-2</v>
      </c>
      <c r="I10" s="90">
        <v>5</v>
      </c>
      <c r="K10" s="36">
        <v>8</v>
      </c>
      <c r="L10" s="95">
        <v>-56.79999999999999</v>
      </c>
      <c r="N10" s="110" t="s">
        <v>162</v>
      </c>
      <c r="O10" s="120">
        <f>IF(P10=0,0,Q10/P10)</f>
        <v>7.6444444444444457</v>
      </c>
      <c r="P10" s="114">
        <v>18</v>
      </c>
      <c r="Q10" s="102">
        <v>137.60000000000002</v>
      </c>
    </row>
    <row r="11" spans="1:17" x14ac:dyDescent="0.4">
      <c r="A11" s="52" t="s">
        <v>138</v>
      </c>
      <c r="B11" s="45">
        <v>8</v>
      </c>
      <c r="C11" s="38">
        <f t="shared" si="1"/>
        <v>0.10666666666666667</v>
      </c>
      <c r="E11" s="59" t="s">
        <v>65</v>
      </c>
      <c r="F11" s="56" t="s">
        <v>21</v>
      </c>
      <c r="G11" s="44">
        <v>16</v>
      </c>
      <c r="H11" s="129">
        <f>IF(B$17=0,0,G11/B$17)</f>
        <v>7.8817733990147784E-2</v>
      </c>
      <c r="I11" s="90">
        <v>9</v>
      </c>
      <c r="K11" s="36">
        <v>9</v>
      </c>
      <c r="L11" s="95">
        <v>-83.699999999999989</v>
      </c>
      <c r="N11" s="111" t="s">
        <v>163</v>
      </c>
      <c r="O11" s="121">
        <f>IF(P11=0,0,Q11/P11)</f>
        <v>6.6954545454545462</v>
      </c>
      <c r="P11" s="115">
        <v>22</v>
      </c>
      <c r="Q11" s="103">
        <v>147.30000000000001</v>
      </c>
    </row>
    <row r="12" spans="1:17" x14ac:dyDescent="0.4">
      <c r="A12" s="53" t="s">
        <v>158</v>
      </c>
      <c r="B12" s="46">
        <v>16</v>
      </c>
      <c r="C12" s="40">
        <f t="shared" si="1"/>
        <v>0.21333333333333335</v>
      </c>
      <c r="E12" s="59" t="s">
        <v>70</v>
      </c>
      <c r="F12" s="56" t="s">
        <v>25</v>
      </c>
      <c r="G12" s="44">
        <v>16</v>
      </c>
      <c r="H12" s="129">
        <f>IF(B$17=0,0,G12/B$17)</f>
        <v>7.8817733990147784E-2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1.4828571428571422</v>
      </c>
      <c r="P12" s="116">
        <v>35</v>
      </c>
      <c r="Q12" s="104">
        <v>51.899999999999977</v>
      </c>
    </row>
    <row r="13" spans="1:17" x14ac:dyDescent="0.4">
      <c r="A13" s="54" t="s">
        <v>121</v>
      </c>
      <c r="B13" s="47">
        <v>147</v>
      </c>
      <c r="C13" s="42">
        <f>IF(B$3=0,0,B13/B$3)</f>
        <v>0.2304075235109718</v>
      </c>
      <c r="E13" s="59" t="s">
        <v>86</v>
      </c>
      <c r="F13" s="56" t="s">
        <v>41</v>
      </c>
      <c r="G13" s="44">
        <v>15</v>
      </c>
      <c r="H13" s="129">
        <f>IF(B$17=0,0,G13/B$17)</f>
        <v>7.3891625615763554E-2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197</v>
      </c>
      <c r="C14" s="37">
        <f>IF(B$3=0,0,B14/B$3)</f>
        <v>0.30877742946708464</v>
      </c>
      <c r="E14" s="59" t="s">
        <v>83</v>
      </c>
      <c r="F14" s="56" t="s">
        <v>38</v>
      </c>
      <c r="G14" s="44">
        <v>10</v>
      </c>
      <c r="H14" s="129">
        <f>IF(B$17=0,0,G14/B$17)</f>
        <v>4.9261083743842367E-2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79</v>
      </c>
      <c r="C15" s="35">
        <f>IF(B$13=0,0,B15/B$13)</f>
        <v>0.5374149659863946</v>
      </c>
      <c r="E15" s="59" t="s">
        <v>91</v>
      </c>
      <c r="F15" s="56" t="s">
        <v>46</v>
      </c>
      <c r="G15" s="44">
        <v>7</v>
      </c>
      <c r="H15" s="129">
        <f>IF(B$17=0,0,G15/B$17)</f>
        <v>3.4482758620689655E-2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78</v>
      </c>
      <c r="C16" s="35">
        <f>IF(B$14=0,0,B16/B$14)</f>
        <v>0.39593908629441626</v>
      </c>
      <c r="E16" s="59" t="s">
        <v>78</v>
      </c>
      <c r="F16" s="56" t="s">
        <v>33</v>
      </c>
      <c r="G16" s="44">
        <v>5</v>
      </c>
      <c r="H16" s="129">
        <f>IF(B$17=0,0,G16/B$17)</f>
        <v>2.4630541871921183E-2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52.783333333333331</v>
      </c>
      <c r="P16" s="115">
        <v>6</v>
      </c>
      <c r="Q16" s="103">
        <v>316.7</v>
      </c>
    </row>
    <row r="17" spans="1:17" x14ac:dyDescent="0.4">
      <c r="A17" s="50" t="s">
        <v>10</v>
      </c>
      <c r="B17" s="43">
        <f>B19+B18</f>
        <v>203</v>
      </c>
      <c r="C17" s="35">
        <f>IF(B$3=0,0,B17/B$3)</f>
        <v>0.31818181818181818</v>
      </c>
      <c r="E17" s="59" t="s">
        <v>79</v>
      </c>
      <c r="F17" s="56" t="s">
        <v>34</v>
      </c>
      <c r="G17" s="44">
        <v>5</v>
      </c>
      <c r="H17" s="129">
        <f>IF(B$17=0,0,G17/B$17)</f>
        <v>2.4630541871921183E-2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78</v>
      </c>
      <c r="C18" s="37">
        <f>IF(B$17=0,0,B18/B$17)</f>
        <v>0.38423645320197042</v>
      </c>
      <c r="E18" s="59" t="s">
        <v>81</v>
      </c>
      <c r="F18" s="56" t="s">
        <v>36</v>
      </c>
      <c r="G18" s="44">
        <v>3</v>
      </c>
      <c r="H18" s="129">
        <f>IF(B$17=0,0,G18/B$17)</f>
        <v>1.4778325123152709E-2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13.71363636363637</v>
      </c>
      <c r="P18" s="115">
        <v>22</v>
      </c>
      <c r="Q18" s="103">
        <v>301.70000000000016</v>
      </c>
    </row>
    <row r="19" spans="1:17" x14ac:dyDescent="0.4">
      <c r="A19" s="51" t="s">
        <v>11</v>
      </c>
      <c r="B19" s="44">
        <v>125</v>
      </c>
      <c r="C19" s="37">
        <f>IF(B$17=0,0,B19/B$17)</f>
        <v>0.61576354679802958</v>
      </c>
      <c r="E19" s="59" t="s">
        <v>74</v>
      </c>
      <c r="F19" s="56" t="s">
        <v>29</v>
      </c>
      <c r="G19" s="44">
        <v>2</v>
      </c>
      <c r="H19" s="129">
        <f>IF(B$17=0,0,G19/B$17)</f>
        <v>9.852216748768473E-3</v>
      </c>
      <c r="I19" s="90">
        <v>3</v>
      </c>
      <c r="K19" s="36">
        <v>17</v>
      </c>
      <c r="L19" s="95">
        <v>-179.70000000000002</v>
      </c>
      <c r="N19" s="111" t="s">
        <v>178</v>
      </c>
      <c r="O19" s="121">
        <f>IF(P19=0,0,Q19/P19)</f>
        <v>11.6952380952381</v>
      </c>
      <c r="P19" s="115">
        <v>21</v>
      </c>
      <c r="Q19" s="103">
        <v>245.60000000000011</v>
      </c>
    </row>
    <row r="20" spans="1:17" x14ac:dyDescent="0.4">
      <c r="A20" s="51" t="s">
        <v>13</v>
      </c>
      <c r="B20" s="44">
        <v>121</v>
      </c>
      <c r="C20" s="37">
        <f>IF(B$3=0,0,B20/B$3)</f>
        <v>0.18965517241379309</v>
      </c>
      <c r="E20" s="59" t="s">
        <v>84</v>
      </c>
      <c r="F20" s="56" t="s">
        <v>39</v>
      </c>
      <c r="G20" s="44">
        <v>1</v>
      </c>
      <c r="H20" s="129">
        <f>IF(B$17=0,0,G20/B$17)</f>
        <v>4.9261083743842365E-3</v>
      </c>
      <c r="I20" s="90">
        <v>2</v>
      </c>
      <c r="K20" s="36">
        <v>18</v>
      </c>
      <c r="L20" s="95">
        <v>-112.90000000000002</v>
      </c>
      <c r="N20" s="111" t="s">
        <v>179</v>
      </c>
      <c r="O20" s="121">
        <f>IF(P20=0,0,Q20/P20)</f>
        <v>10.948148148148144</v>
      </c>
      <c r="P20" s="115">
        <v>27</v>
      </c>
      <c r="Q20" s="103">
        <v>295.59999999999991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4.9261083743842365E-3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5.1111111111111089</v>
      </c>
      <c r="P21" s="115">
        <v>18</v>
      </c>
      <c r="Q21" s="103">
        <v>91.999999999999957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95</v>
      </c>
      <c r="F22" s="56" t="s">
        <v>50</v>
      </c>
      <c r="G22" s="44">
        <v>1</v>
      </c>
      <c r="H22" s="129">
        <f>IF(B$17=0,0,G22/B$17)</f>
        <v>4.9261083743842365E-3</v>
      </c>
      <c r="I22" s="90">
        <v>1</v>
      </c>
      <c r="K22" s="36">
        <v>20</v>
      </c>
      <c r="L22" s="95">
        <v>-96.000000000000028</v>
      </c>
      <c r="N22" s="111" t="s">
        <v>126</v>
      </c>
      <c r="O22" s="121">
        <f>IF(P22=0,0,Q22/P22)</f>
        <v>-8.2980769230769234</v>
      </c>
      <c r="P22" s="115">
        <v>52</v>
      </c>
      <c r="Q22" s="103">
        <v>-431.50000000000006</v>
      </c>
    </row>
    <row r="23" spans="1:17" x14ac:dyDescent="0.4">
      <c r="A23" s="51" t="s">
        <v>5</v>
      </c>
      <c r="B23" s="48">
        <f>IF(B$17=0,0,C23/B$17)</f>
        <v>8712.3152709359601</v>
      </c>
      <c r="C23" s="39">
        <v>1768600</v>
      </c>
      <c r="E23" s="59" t="s">
        <v>167</v>
      </c>
      <c r="F23" s="56" t="s">
        <v>168</v>
      </c>
      <c r="G23" s="44">
        <v>1</v>
      </c>
      <c r="H23" s="129">
        <f>IF(B$17=0,0,G23/B$17)</f>
        <v>4.9261083743842365E-3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9000</v>
      </c>
      <c r="C24" s="137">
        <v>1125000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8251.2820512820508</v>
      </c>
      <c r="C25" s="137">
        <v>643600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-7829.7520661157023</v>
      </c>
      <c r="C26" s="137">
        <v>-947400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4">
        <v>8</v>
      </c>
      <c r="C27" s="145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2">
        <v>91800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4.7021943573667714E-3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topLeftCell="C1" zoomScaleNormal="100" workbookViewId="0">
      <selection activeCell="R26" sqref="R26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177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43</v>
      </c>
      <c r="C2" s="151"/>
      <c r="E2" s="58" t="s">
        <v>66</v>
      </c>
      <c r="F2" s="55" t="s">
        <v>22</v>
      </c>
      <c r="G2" s="43">
        <v>82</v>
      </c>
      <c r="H2" s="128">
        <f>IF(B$17=0,0,G2/B$17)</f>
        <v>0.85416666666666663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2344.1860465116279</v>
      </c>
      <c r="P2" s="114">
        <v>43</v>
      </c>
      <c r="Q2" s="98">
        <v>100800</v>
      </c>
    </row>
    <row r="3" spans="1:17" x14ac:dyDescent="0.4">
      <c r="A3" s="51" t="s">
        <v>8</v>
      </c>
      <c r="B3" s="152">
        <v>345</v>
      </c>
      <c r="C3" s="153"/>
      <c r="E3" s="59" t="s">
        <v>72</v>
      </c>
      <c r="F3" s="56" t="s">
        <v>27</v>
      </c>
      <c r="G3" s="44">
        <v>58</v>
      </c>
      <c r="H3" s="129">
        <f>IF(B$17=0,0,G3/B$17)</f>
        <v>0.60416666666666663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-2836.5853658536585</v>
      </c>
      <c r="P3" s="115">
        <v>41</v>
      </c>
      <c r="Q3" s="99">
        <v>-116300</v>
      </c>
    </row>
    <row r="4" spans="1:17" x14ac:dyDescent="0.4">
      <c r="A4" s="51" t="s">
        <v>6</v>
      </c>
      <c r="B4" s="154">
        <v>78.300000000000068</v>
      </c>
      <c r="C4" s="155"/>
      <c r="E4" s="59" t="s">
        <v>64</v>
      </c>
      <c r="F4" s="56" t="s">
        <v>20</v>
      </c>
      <c r="G4" s="44">
        <v>47</v>
      </c>
      <c r="H4" s="129">
        <f>IF(B$17=0,0,G4/B$17)</f>
        <v>0.48958333333333331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1218.421052631579</v>
      </c>
      <c r="P4" s="115">
        <v>38</v>
      </c>
      <c r="Q4" s="99">
        <v>46300</v>
      </c>
    </row>
    <row r="5" spans="1:17" x14ac:dyDescent="0.4">
      <c r="A5" s="51" t="s">
        <v>7</v>
      </c>
      <c r="B5" s="156">
        <f>IF(B$2=0,0,B$4/B$2)</f>
        <v>1.8209302325581411</v>
      </c>
      <c r="C5" s="157"/>
      <c r="E5" s="59" t="s">
        <v>67</v>
      </c>
      <c r="F5" s="56" t="s">
        <v>23</v>
      </c>
      <c r="G5" s="44">
        <v>42</v>
      </c>
      <c r="H5" s="129">
        <f>IF(B$17=0,0,G5/B$17)</f>
        <v>0.4375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3800</v>
      </c>
      <c r="P5" s="115">
        <v>36</v>
      </c>
      <c r="Q5" s="99">
        <v>136800</v>
      </c>
    </row>
    <row r="6" spans="1:17" x14ac:dyDescent="0.4">
      <c r="A6" s="51" t="s">
        <v>1</v>
      </c>
      <c r="B6" s="146">
        <f>IF(B$2=0,0,(B$7*1+B$8*2+B$9*3)/B$2)</f>
        <v>1.930232558139535</v>
      </c>
      <c r="C6" s="147"/>
      <c r="E6" s="59" t="s">
        <v>171</v>
      </c>
      <c r="F6" s="56" t="s">
        <v>172</v>
      </c>
      <c r="G6" s="44">
        <v>36</v>
      </c>
      <c r="H6" s="129">
        <f>IF(B$17=0,0,G6/B$17)</f>
        <v>0.375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-3060.6060606060605</v>
      </c>
      <c r="P6" s="115">
        <v>33</v>
      </c>
      <c r="Q6" s="99">
        <v>-101000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0.39534883720930231</v>
      </c>
      <c r="E7" s="59" t="s">
        <v>68</v>
      </c>
      <c r="F7" s="56" t="s">
        <v>12</v>
      </c>
      <c r="G7" s="44">
        <v>35</v>
      </c>
      <c r="H7" s="129">
        <f>IF(B$17=0,0,G7/B$17)</f>
        <v>0.36458333333333331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-444</v>
      </c>
      <c r="P7" s="116">
        <v>25</v>
      </c>
      <c r="Q7" s="100">
        <v>-11100</v>
      </c>
    </row>
    <row r="8" spans="1:17" x14ac:dyDescent="0.4">
      <c r="A8" s="51" t="s">
        <v>3</v>
      </c>
      <c r="B8" s="44">
        <v>12</v>
      </c>
      <c r="C8" s="37">
        <f t="shared" si="1"/>
        <v>0.27906976744186046</v>
      </c>
      <c r="E8" s="59" t="s">
        <v>89</v>
      </c>
      <c r="F8" s="56" t="s">
        <v>44</v>
      </c>
      <c r="G8" s="44">
        <v>23</v>
      </c>
      <c r="H8" s="129">
        <f>IF(B$17=0,0,G8/B$17)</f>
        <v>0.23958333333333334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0.32558139534883723</v>
      </c>
      <c r="E9" s="59" t="s">
        <v>69</v>
      </c>
      <c r="F9" s="56" t="s">
        <v>24</v>
      </c>
      <c r="G9" s="44">
        <v>19</v>
      </c>
      <c r="H9" s="129">
        <f>IF(B$17=0,0,G9/B$17)</f>
        <v>0.19791666666666666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0.11627906976744186</v>
      </c>
      <c r="E10" s="59" t="s">
        <v>65</v>
      </c>
      <c r="F10" s="56" t="s">
        <v>21</v>
      </c>
      <c r="G10" s="44">
        <v>8</v>
      </c>
      <c r="H10" s="129">
        <f>IF(B$17=0,0,G10/B$17)</f>
        <v>8.3333333333333329E-2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8</v>
      </c>
      <c r="C11" s="38">
        <f t="shared" si="1"/>
        <v>0.18604651162790697</v>
      </c>
      <c r="E11" s="59" t="s">
        <v>70</v>
      </c>
      <c r="F11" s="56" t="s">
        <v>25</v>
      </c>
      <c r="G11" s="44">
        <v>7</v>
      </c>
      <c r="H11" s="129">
        <f>IF(B$17=0,0,G11/B$17)</f>
        <v>7.2916666666666671E-2</v>
      </c>
      <c r="I11" s="90">
        <v>8</v>
      </c>
      <c r="K11" s="36">
        <v>9</v>
      </c>
      <c r="L11" s="95">
        <v>-120.99999999999999</v>
      </c>
      <c r="N11" s="111" t="s">
        <v>163</v>
      </c>
      <c r="O11" s="121">
        <f>IF(P11=0,0,Q11/P11)</f>
        <v>2.8777777777777778</v>
      </c>
      <c r="P11" s="115">
        <v>18</v>
      </c>
      <c r="Q11" s="103">
        <v>51.8</v>
      </c>
    </row>
    <row r="12" spans="1:17" x14ac:dyDescent="0.4">
      <c r="A12" s="53" t="s">
        <v>158</v>
      </c>
      <c r="B12" s="46">
        <v>3</v>
      </c>
      <c r="C12" s="40">
        <f t="shared" si="1"/>
        <v>6.9767441860465115E-2</v>
      </c>
      <c r="E12" s="59" t="s">
        <v>71</v>
      </c>
      <c r="F12" s="56" t="s">
        <v>26</v>
      </c>
      <c r="G12" s="44">
        <v>6</v>
      </c>
      <c r="H12" s="129">
        <f>IF(B$17=0,0,G12/B$17)</f>
        <v>6.25E-2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-9.1</v>
      </c>
      <c r="P12" s="116">
        <v>10</v>
      </c>
      <c r="Q12" s="104">
        <v>-91</v>
      </c>
    </row>
    <row r="13" spans="1:17" x14ac:dyDescent="0.4">
      <c r="A13" s="54" t="s">
        <v>121</v>
      </c>
      <c r="B13" s="47">
        <v>104</v>
      </c>
      <c r="C13" s="42">
        <f>IF(B$3=0,0,B13/B$3)</f>
        <v>0.30144927536231886</v>
      </c>
      <c r="E13" s="59" t="s">
        <v>83</v>
      </c>
      <c r="F13" s="56" t="s">
        <v>38</v>
      </c>
      <c r="G13" s="44">
        <v>6</v>
      </c>
      <c r="H13" s="129">
        <f>IF(B$17=0,0,G13/B$17)</f>
        <v>6.25E-2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69</v>
      </c>
      <c r="C14" s="37">
        <f>IF(B$3=0,0,B14/B$3)</f>
        <v>0.2</v>
      </c>
      <c r="E14" s="59" t="s">
        <v>86</v>
      </c>
      <c r="F14" s="56" t="s">
        <v>41</v>
      </c>
      <c r="G14" s="44">
        <v>3</v>
      </c>
      <c r="H14" s="129">
        <f>IF(B$17=0,0,G14/B$17)</f>
        <v>3.125E-2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50</v>
      </c>
      <c r="C15" s="35">
        <f>IF(B$13=0,0,B15/B$13)</f>
        <v>0.48076923076923078</v>
      </c>
      <c r="E15" s="59" t="s">
        <v>92</v>
      </c>
      <c r="F15" s="56" t="s">
        <v>47</v>
      </c>
      <c r="G15" s="44">
        <v>3</v>
      </c>
      <c r="H15" s="129">
        <f>IF(B$17=0,0,G15/B$17)</f>
        <v>3.125E-2</v>
      </c>
      <c r="I15" s="90">
        <v>1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32</v>
      </c>
      <c r="C16" s="35">
        <f>IF(B$14=0,0,B16/B$14)</f>
        <v>0.46376811594202899</v>
      </c>
      <c r="E16" s="59" t="s">
        <v>167</v>
      </c>
      <c r="F16" s="56" t="s">
        <v>168</v>
      </c>
      <c r="G16" s="44">
        <v>3</v>
      </c>
      <c r="H16" s="129">
        <f>IF(B$17=0,0,G16/B$17)</f>
        <v>3.125E-2</v>
      </c>
      <c r="I16" s="90">
        <v>2</v>
      </c>
      <c r="K16" s="36">
        <v>14</v>
      </c>
      <c r="L16" s="95">
        <v>-86.499999999999972</v>
      </c>
      <c r="N16" s="111" t="s">
        <v>166</v>
      </c>
      <c r="O16" s="121">
        <f>IF(P16=0,0,Q16/P16)</f>
        <v>20.725000000000005</v>
      </c>
      <c r="P16" s="115">
        <v>4</v>
      </c>
      <c r="Q16" s="103">
        <v>82.90000000000002</v>
      </c>
    </row>
    <row r="17" spans="1:17" x14ac:dyDescent="0.4">
      <c r="A17" s="50" t="s">
        <v>10</v>
      </c>
      <c r="B17" s="43">
        <f>B19+B18</f>
        <v>96</v>
      </c>
      <c r="C17" s="35">
        <f>IF(B$3=0,0,B17/B$3)</f>
        <v>0.27826086956521739</v>
      </c>
      <c r="E17" s="59" t="s">
        <v>81</v>
      </c>
      <c r="F17" s="56" t="s">
        <v>36</v>
      </c>
      <c r="G17" s="44">
        <v>2</v>
      </c>
      <c r="H17" s="129">
        <f>IF(B$17=0,0,G17/B$17)</f>
        <v>2.0833333333333332E-2</v>
      </c>
      <c r="I17" s="90">
        <v>4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248.4</v>
      </c>
    </row>
    <row r="18" spans="1:17" x14ac:dyDescent="0.4">
      <c r="A18" s="51" t="s">
        <v>12</v>
      </c>
      <c r="B18" s="44">
        <v>45</v>
      </c>
      <c r="C18" s="37">
        <f>IF(B$17=0,0,B18/B$17)</f>
        <v>0.46875</v>
      </c>
      <c r="E18" s="59" t="s">
        <v>91</v>
      </c>
      <c r="F18" s="56" t="s">
        <v>46</v>
      </c>
      <c r="G18" s="44">
        <v>2</v>
      </c>
      <c r="H18" s="129">
        <f>IF(B$17=0,0,G18/B$17)</f>
        <v>2.0833333333333332E-2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14.204761904761906</v>
      </c>
      <c r="P18" s="115">
        <v>21</v>
      </c>
      <c r="Q18" s="103">
        <v>298.3</v>
      </c>
    </row>
    <row r="19" spans="1:17" x14ac:dyDescent="0.4">
      <c r="A19" s="51" t="s">
        <v>11</v>
      </c>
      <c r="B19" s="44">
        <v>51</v>
      </c>
      <c r="C19" s="37">
        <f>IF(B$17=0,0,B19/B$17)</f>
        <v>0.53125</v>
      </c>
      <c r="E19" s="59" t="s">
        <v>75</v>
      </c>
      <c r="F19" s="56" t="s">
        <v>30</v>
      </c>
      <c r="G19" s="44">
        <v>1</v>
      </c>
      <c r="H19" s="129">
        <f>IF(B$17=0,0,G19/B$17)</f>
        <v>1.0416666666666666E-2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>IF(P19=0,0,Q19/P19)</f>
        <v>1.3562499999999984</v>
      </c>
      <c r="P19" s="115">
        <v>16</v>
      </c>
      <c r="Q19" s="103">
        <v>21.699999999999974</v>
      </c>
    </row>
    <row r="20" spans="1:17" x14ac:dyDescent="0.4">
      <c r="A20" s="51" t="s">
        <v>13</v>
      </c>
      <c r="B20" s="44">
        <v>58</v>
      </c>
      <c r="C20" s="37">
        <f>IF(B$3=0,0,B20/B$3)</f>
        <v>0.1681159420289855</v>
      </c>
      <c r="E20" s="59" t="s">
        <v>78</v>
      </c>
      <c r="F20" s="56" t="s">
        <v>33</v>
      </c>
      <c r="G20" s="44">
        <v>1</v>
      </c>
      <c r="H20" s="129">
        <f>IF(B$17=0,0,G20/B$17)</f>
        <v>1.0416666666666666E-2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>IF(P20=0,0,Q20/P20)</f>
        <v>-1</v>
      </c>
      <c r="P20" s="115">
        <v>6</v>
      </c>
      <c r="Q20" s="103">
        <v>-6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1.0416666666666666E-2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>IF(P21=0,0,Q21/P21)</f>
        <v>-13.713636363636368</v>
      </c>
      <c r="P21" s="115">
        <v>22</v>
      </c>
      <c r="Q21" s="103">
        <v>-301.7000000000001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90</v>
      </c>
      <c r="F22" s="56" t="s">
        <v>45</v>
      </c>
      <c r="G22" s="44">
        <v>1</v>
      </c>
      <c r="H22" s="129">
        <f>IF(B$17=0,0,G22/B$17)</f>
        <v>1.0416666666666666E-2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10142.708333333334</v>
      </c>
      <c r="C23" s="39">
        <v>973700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11437.5</v>
      </c>
      <c r="C24" s="137">
        <v>732000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7553.125</v>
      </c>
      <c r="C25" s="137">
        <v>241700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-8518.9655172413786</v>
      </c>
      <c r="C26" s="137">
        <v>-494100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4">
        <v>8</v>
      </c>
      <c r="C27" s="145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2">
        <v>83000</v>
      </c>
      <c r="C28" s="143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178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51</v>
      </c>
      <c r="C2" s="151"/>
      <c r="E2" s="58" t="s">
        <v>66</v>
      </c>
      <c r="F2" s="55" t="s">
        <v>22</v>
      </c>
      <c r="G2" s="43">
        <v>92</v>
      </c>
      <c r="H2" s="128">
        <f>IF(B$17=0,0,G2/B$17)</f>
        <v>0.7931034482758621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921.56862745098044</v>
      </c>
      <c r="P2" s="114">
        <v>51</v>
      </c>
      <c r="Q2" s="98">
        <v>47000</v>
      </c>
    </row>
    <row r="3" spans="1:17" x14ac:dyDescent="0.4">
      <c r="A3" s="51" t="s">
        <v>8</v>
      </c>
      <c r="B3" s="152">
        <v>418</v>
      </c>
      <c r="C3" s="153"/>
      <c r="E3" s="59" t="s">
        <v>72</v>
      </c>
      <c r="F3" s="56" t="s">
        <v>27</v>
      </c>
      <c r="G3" s="44">
        <v>75</v>
      </c>
      <c r="H3" s="129">
        <f>IF(B$17=0,0,G3/B$17)</f>
        <v>0.64655172413793105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1812.5</v>
      </c>
      <c r="P3" s="115">
        <v>48</v>
      </c>
      <c r="Q3" s="99">
        <v>87000</v>
      </c>
    </row>
    <row r="4" spans="1:17" x14ac:dyDescent="0.4">
      <c r="A4" s="51" t="s">
        <v>6</v>
      </c>
      <c r="B4" s="154">
        <v>-0.29999999999997673</v>
      </c>
      <c r="C4" s="155"/>
      <c r="E4" s="59" t="s">
        <v>64</v>
      </c>
      <c r="F4" s="56" t="s">
        <v>20</v>
      </c>
      <c r="G4" s="44">
        <v>58</v>
      </c>
      <c r="H4" s="129">
        <f>IF(B$17=0,0,G4/B$17)</f>
        <v>0.5</v>
      </c>
      <c r="I4" s="90">
        <v>4</v>
      </c>
      <c r="K4" s="36">
        <v>2</v>
      </c>
      <c r="L4" s="95">
        <v>8.1000000000000014</v>
      </c>
      <c r="N4" s="111" t="s">
        <v>132</v>
      </c>
      <c r="O4" s="118">
        <f t="shared" si="0"/>
        <v>-2248.8888888888887</v>
      </c>
      <c r="P4" s="115">
        <v>45</v>
      </c>
      <c r="Q4" s="99">
        <v>-101200</v>
      </c>
    </row>
    <row r="5" spans="1:17" x14ac:dyDescent="0.4">
      <c r="A5" s="51" t="s">
        <v>7</v>
      </c>
      <c r="B5" s="156">
        <f>IF(B$2=0,0,B$4/B$2)</f>
        <v>-5.8823529411760143E-3</v>
      </c>
      <c r="C5" s="157"/>
      <c r="E5" s="59" t="s">
        <v>171</v>
      </c>
      <c r="F5" s="56" t="s">
        <v>172</v>
      </c>
      <c r="G5" s="44">
        <v>50</v>
      </c>
      <c r="H5" s="129">
        <f>IF(B$17=0,0,G5/B$17)</f>
        <v>0.43103448275862066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214.63414634146341</v>
      </c>
      <c r="P5" s="115">
        <v>41</v>
      </c>
      <c r="Q5" s="99">
        <v>8800</v>
      </c>
    </row>
    <row r="6" spans="1:17" x14ac:dyDescent="0.4">
      <c r="A6" s="51" t="s">
        <v>1</v>
      </c>
      <c r="B6" s="146">
        <f>IF(B$2=0,0,(B$7*1+B$8*2+B$9*3)/B$2)</f>
        <v>2.0784313725490198</v>
      </c>
      <c r="C6" s="147"/>
      <c r="E6" s="59" t="s">
        <v>67</v>
      </c>
      <c r="F6" s="56" t="s">
        <v>23</v>
      </c>
      <c r="G6" s="44">
        <v>47</v>
      </c>
      <c r="H6" s="129">
        <f>IF(B$17=0,0,G6/B$17)</f>
        <v>0.40517241379310343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16.666666666666668</v>
      </c>
      <c r="P6" s="115">
        <v>36</v>
      </c>
      <c r="Q6" s="99">
        <v>600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0.19607843137254902</v>
      </c>
      <c r="E7" s="59" t="s">
        <v>68</v>
      </c>
      <c r="F7" s="56" t="s">
        <v>12</v>
      </c>
      <c r="G7" s="44">
        <v>39</v>
      </c>
      <c r="H7" s="129">
        <f>IF(B$17=0,0,G7/B$17)</f>
        <v>0.33620689655172414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-470</v>
      </c>
      <c r="P7" s="116">
        <v>30</v>
      </c>
      <c r="Q7" s="100">
        <v>-14100</v>
      </c>
    </row>
    <row r="8" spans="1:17" x14ac:dyDescent="0.4">
      <c r="A8" s="51" t="s">
        <v>3</v>
      </c>
      <c r="B8" s="44">
        <v>27</v>
      </c>
      <c r="C8" s="37">
        <f t="shared" si="1"/>
        <v>0.52941176470588236</v>
      </c>
      <c r="E8" s="59" t="s">
        <v>69</v>
      </c>
      <c r="F8" s="56" t="s">
        <v>24</v>
      </c>
      <c r="G8" s="44">
        <v>15</v>
      </c>
      <c r="H8" s="129">
        <f>IF(B$17=0,0,G8/B$17)</f>
        <v>0.12931034482758622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0.27450980392156865</v>
      </c>
      <c r="E9" s="59" t="s">
        <v>71</v>
      </c>
      <c r="F9" s="56" t="s">
        <v>26</v>
      </c>
      <c r="G9" s="44">
        <v>10</v>
      </c>
      <c r="H9" s="129">
        <f>IF(B$17=0,0,G9/B$17)</f>
        <v>8.6206896551724144E-2</v>
      </c>
      <c r="I9" s="90">
        <v>6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7.8431372549019607E-2</v>
      </c>
      <c r="E10" s="59" t="s">
        <v>89</v>
      </c>
      <c r="F10" s="56" t="s">
        <v>44</v>
      </c>
      <c r="G10" s="44">
        <v>10</v>
      </c>
      <c r="H10" s="129">
        <f>IF(B$17=0,0,G10/B$17)</f>
        <v>8.6206896551724144E-2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1.7899999999999998</v>
      </c>
      <c r="P10" s="114">
        <v>20</v>
      </c>
      <c r="Q10" s="102">
        <v>35.799999999999997</v>
      </c>
    </row>
    <row r="11" spans="1:17" x14ac:dyDescent="0.4">
      <c r="A11" s="52" t="s">
        <v>138</v>
      </c>
      <c r="B11" s="45">
        <v>4</v>
      </c>
      <c r="C11" s="38">
        <f t="shared" si="1"/>
        <v>7.8431372549019607E-2</v>
      </c>
      <c r="E11" s="59" t="s">
        <v>65</v>
      </c>
      <c r="F11" s="56" t="s">
        <v>21</v>
      </c>
      <c r="G11" s="44">
        <v>9</v>
      </c>
      <c r="H11" s="129">
        <f>IF(B$17=0,0,G11/B$17)</f>
        <v>7.7586206896551727E-2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2.5461538461538464</v>
      </c>
      <c r="P11" s="115">
        <v>13</v>
      </c>
      <c r="Q11" s="103">
        <v>33.1</v>
      </c>
    </row>
    <row r="12" spans="1:17" x14ac:dyDescent="0.4">
      <c r="A12" s="53" t="s">
        <v>158</v>
      </c>
      <c r="B12" s="46">
        <v>1</v>
      </c>
      <c r="C12" s="40">
        <f t="shared" si="1"/>
        <v>1.9607843137254902E-2</v>
      </c>
      <c r="E12" s="59" t="s">
        <v>70</v>
      </c>
      <c r="F12" s="56" t="s">
        <v>25</v>
      </c>
      <c r="G12" s="44">
        <v>9</v>
      </c>
      <c r="H12" s="129">
        <f>IF(B$17=0,0,G12/B$17)</f>
        <v>7.7586206896551727E-2</v>
      </c>
      <c r="I12" s="90">
        <v>7</v>
      </c>
      <c r="K12" s="36">
        <v>10</v>
      </c>
      <c r="L12" s="95">
        <v>-146.69999999999999</v>
      </c>
      <c r="N12" s="112" t="s">
        <v>164</v>
      </c>
      <c r="O12" s="122">
        <f>IF(P12=0,0,Q12/P12)</f>
        <v>-3.8444444444444437</v>
      </c>
      <c r="P12" s="116">
        <v>18</v>
      </c>
      <c r="Q12" s="104">
        <v>-69.199999999999989</v>
      </c>
    </row>
    <row r="13" spans="1:17" x14ac:dyDescent="0.4">
      <c r="A13" s="54" t="s">
        <v>121</v>
      </c>
      <c r="B13" s="47">
        <v>106</v>
      </c>
      <c r="C13" s="42">
        <f>IF(B$3=0,0,B13/B$3)</f>
        <v>0.25358851674641147</v>
      </c>
      <c r="E13" s="59" t="s">
        <v>86</v>
      </c>
      <c r="F13" s="56" t="s">
        <v>41</v>
      </c>
      <c r="G13" s="44">
        <v>5</v>
      </c>
      <c r="H13" s="129">
        <f>IF(B$17=0,0,G13/B$17)</f>
        <v>4.3103448275862072E-2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0.25119617224880381</v>
      </c>
      <c r="E14" s="59" t="s">
        <v>79</v>
      </c>
      <c r="F14" s="56" t="s">
        <v>34</v>
      </c>
      <c r="G14" s="44">
        <v>4</v>
      </c>
      <c r="H14" s="129">
        <f>IF(B$17=0,0,G14/B$17)</f>
        <v>3.4482758620689655E-2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62</v>
      </c>
      <c r="C15" s="35">
        <f>IF(B$13=0,0,B15/B$13)</f>
        <v>0.58490566037735847</v>
      </c>
      <c r="E15" s="59" t="s">
        <v>83</v>
      </c>
      <c r="F15" s="56" t="s">
        <v>38</v>
      </c>
      <c r="G15" s="44">
        <v>4</v>
      </c>
      <c r="H15" s="129">
        <f>IF(B$17=0,0,G15/B$17)</f>
        <v>3.4482758620689655E-2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40</v>
      </c>
      <c r="C16" s="35">
        <f>IF(B$14=0,0,B16/B$14)</f>
        <v>0.38095238095238093</v>
      </c>
      <c r="E16" s="59" t="s">
        <v>78</v>
      </c>
      <c r="F16" s="56" t="s">
        <v>33</v>
      </c>
      <c r="G16" s="44">
        <v>3</v>
      </c>
      <c r="H16" s="129">
        <f>IF(B$17=0,0,G16/B$17)</f>
        <v>2.5862068965517241E-2</v>
      </c>
      <c r="I16" s="90">
        <v>3</v>
      </c>
      <c r="K16" s="36">
        <v>14</v>
      </c>
      <c r="L16" s="95">
        <v>-25.79999999999999</v>
      </c>
      <c r="N16" s="111" t="s">
        <v>179</v>
      </c>
      <c r="O16" s="121">
        <f t="shared" si="2"/>
        <v>31.71</v>
      </c>
      <c r="P16" s="115">
        <v>10</v>
      </c>
      <c r="Q16" s="103">
        <v>317.10000000000002</v>
      </c>
    </row>
    <row r="17" spans="1:17" x14ac:dyDescent="0.4">
      <c r="A17" s="50" t="s">
        <v>10</v>
      </c>
      <c r="B17" s="43">
        <f>B19+B18</f>
        <v>116</v>
      </c>
      <c r="C17" s="35">
        <f>IF(B$3=0,0,B17/B$3)</f>
        <v>0.27751196172248804</v>
      </c>
      <c r="E17" s="59" t="s">
        <v>167</v>
      </c>
      <c r="F17" s="56" t="s">
        <v>168</v>
      </c>
      <c r="G17" s="44">
        <v>3</v>
      </c>
      <c r="H17" s="129">
        <f>IF(B$17=0,0,G17/B$17)</f>
        <v>2.5862068965517241E-2</v>
      </c>
      <c r="I17" s="90">
        <v>3</v>
      </c>
      <c r="K17" s="36">
        <v>15</v>
      </c>
      <c r="L17" s="95">
        <v>-35.499999999999986</v>
      </c>
      <c r="N17" s="111" t="s">
        <v>222</v>
      </c>
      <c r="O17" s="121">
        <f t="shared" si="2"/>
        <v>27.200000000000003</v>
      </c>
      <c r="P17" s="115">
        <v>1</v>
      </c>
      <c r="Q17" s="103">
        <v>27.200000000000003</v>
      </c>
    </row>
    <row r="18" spans="1:17" x14ac:dyDescent="0.4">
      <c r="A18" s="51" t="s">
        <v>12</v>
      </c>
      <c r="B18" s="44">
        <v>51</v>
      </c>
      <c r="C18" s="37">
        <f>IF(B$17=0,0,B18/B$17)</f>
        <v>0.43965517241379309</v>
      </c>
      <c r="E18" s="59" t="s">
        <v>73</v>
      </c>
      <c r="F18" s="56" t="s">
        <v>28</v>
      </c>
      <c r="G18" s="44">
        <v>1</v>
      </c>
      <c r="H18" s="129">
        <f>IF(B$17=0,0,G18/B$17)</f>
        <v>8.6206896551724137E-3</v>
      </c>
      <c r="I18" s="90">
        <v>1</v>
      </c>
      <c r="K18" s="36">
        <v>16</v>
      </c>
      <c r="L18" s="95">
        <v>-35.599999999999987</v>
      </c>
      <c r="N18" s="111" t="s">
        <v>182</v>
      </c>
      <c r="O18" s="121">
        <f t="shared" si="2"/>
        <v>17.028571428571425</v>
      </c>
      <c r="P18" s="115">
        <v>14</v>
      </c>
      <c r="Q18" s="103">
        <v>238.39999999999995</v>
      </c>
    </row>
    <row r="19" spans="1:17" x14ac:dyDescent="0.4">
      <c r="A19" s="51" t="s">
        <v>11</v>
      </c>
      <c r="B19" s="44">
        <v>65</v>
      </c>
      <c r="C19" s="37">
        <f>IF(B$17=0,0,B19/B$17)</f>
        <v>0.56034482758620685</v>
      </c>
      <c r="E19" s="59" t="s">
        <v>81</v>
      </c>
      <c r="F19" s="56" t="s">
        <v>36</v>
      </c>
      <c r="G19" s="44">
        <v>1</v>
      </c>
      <c r="H19" s="129">
        <f>IF(B$17=0,0,G19/B$17)</f>
        <v>8.6206896551724137E-3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 t="shared" si="2"/>
        <v>6.26</v>
      </c>
      <c r="P19" s="115">
        <v>10</v>
      </c>
      <c r="Q19" s="103">
        <v>62.599999999999994</v>
      </c>
    </row>
    <row r="20" spans="1:17" x14ac:dyDescent="0.4">
      <c r="A20" s="51" t="s">
        <v>13</v>
      </c>
      <c r="B20" s="44">
        <v>57</v>
      </c>
      <c r="C20" s="37">
        <f>IF(B$3=0,0,B20/B$3)</f>
        <v>0.13636363636363635</v>
      </c>
      <c r="E20" s="59" t="s">
        <v>85</v>
      </c>
      <c r="F20" s="56" t="s">
        <v>40</v>
      </c>
      <c r="G20" s="44">
        <v>1</v>
      </c>
      <c r="H20" s="129">
        <f>IF(B$17=0,0,G20/B$17)</f>
        <v>8.6206896551724137E-3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 t="shared" si="2"/>
        <v>-11.695238095238096</v>
      </c>
      <c r="P20" s="115">
        <v>21</v>
      </c>
      <c r="Q20" s="103">
        <v>-245.60000000000002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91</v>
      </c>
      <c r="F21" s="56" t="s">
        <v>46</v>
      </c>
      <c r="G21" s="44">
        <v>1</v>
      </c>
      <c r="H21" s="129">
        <f>IF(B$17=0,0,G21/B$17)</f>
        <v>8.6206896551724137E-3</v>
      </c>
      <c r="I21" s="90">
        <v>6</v>
      </c>
      <c r="K21" s="36">
        <v>19</v>
      </c>
      <c r="L21" s="95">
        <v>-56.399999999999991</v>
      </c>
      <c r="N21" s="111" t="s">
        <v>177</v>
      </c>
      <c r="O21" s="121">
        <f t="shared" si="2"/>
        <v>-14.204761904761906</v>
      </c>
      <c r="P21" s="115">
        <v>21</v>
      </c>
      <c r="Q21" s="103">
        <v>-298.3</v>
      </c>
    </row>
    <row r="22" spans="1:17" x14ac:dyDescent="0.4">
      <c r="A22" s="51" t="s">
        <v>170</v>
      </c>
      <c r="B22" s="44">
        <v>44</v>
      </c>
      <c r="C22" s="131">
        <v>13</v>
      </c>
      <c r="E22" s="59" t="s">
        <v>101</v>
      </c>
      <c r="F22" s="56" t="s">
        <v>56</v>
      </c>
      <c r="G22" s="44">
        <v>1</v>
      </c>
      <c r="H22" s="129">
        <f>IF(B$17=0,0,G22/B$17)</f>
        <v>8.6206896551724137E-3</v>
      </c>
      <c r="I22" s="90">
        <v>1</v>
      </c>
      <c r="K22" s="36">
        <v>20</v>
      </c>
      <c r="L22" s="95">
        <v>-93.199999999999989</v>
      </c>
      <c r="N22" s="111" t="s">
        <v>181</v>
      </c>
      <c r="O22" s="121">
        <f t="shared" si="2"/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8543.1034482758623</v>
      </c>
      <c r="C23" s="39">
        <v>991000</v>
      </c>
      <c r="E23" s="59" t="s">
        <v>74</v>
      </c>
      <c r="F23" s="56" t="s">
        <v>29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  <c r="N23" s="111" t="s">
        <v>126</v>
      </c>
      <c r="O23" s="121">
        <f t="shared" si="2"/>
        <v>-18.563157894736847</v>
      </c>
      <c r="P23" s="115">
        <v>19</v>
      </c>
      <c r="Q23" s="103">
        <v>-352.7000000000001</v>
      </c>
    </row>
    <row r="24" spans="1:17" x14ac:dyDescent="0.4">
      <c r="A24" s="52" t="s">
        <v>216</v>
      </c>
      <c r="B24" s="136">
        <f>IF($B$17-B$16=0,0,C24/($B$17-B$16))</f>
        <v>9727.6315789473683</v>
      </c>
      <c r="C24" s="137">
        <v>739300</v>
      </c>
      <c r="E24" s="59" t="s">
        <v>75</v>
      </c>
      <c r="F24" s="56" t="s">
        <v>30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6292.5</v>
      </c>
      <c r="C25" s="137">
        <v>251700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-7705.2631578947367</v>
      </c>
      <c r="C26" s="137">
        <v>-439200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4">
        <v>6</v>
      </c>
      <c r="C27" s="145"/>
      <c r="E27" s="59" t="s">
        <v>80</v>
      </c>
      <c r="F27" s="56" t="s">
        <v>35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2">
        <v>86500</v>
      </c>
      <c r="C28" s="143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4.7846889952153108E-3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4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</sheetData>
  <sortState xmlns:xlrd2="http://schemas.microsoft.com/office/spreadsheetml/2017/richdata2" ref="E2:I5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182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26</v>
      </c>
      <c r="C2" s="151"/>
      <c r="E2" s="58" t="s">
        <v>66</v>
      </c>
      <c r="F2" s="55" t="s">
        <v>22</v>
      </c>
      <c r="G2" s="43">
        <v>33</v>
      </c>
      <c r="H2" s="128">
        <f>IF(B$17=0,0,G2/B$17)</f>
        <v>0.6875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-3423.0769230769229</v>
      </c>
      <c r="P2" s="114">
        <v>26</v>
      </c>
      <c r="Q2" s="98">
        <v>-89000</v>
      </c>
    </row>
    <row r="3" spans="1:17" x14ac:dyDescent="0.4">
      <c r="A3" s="51" t="s">
        <v>8</v>
      </c>
      <c r="B3" s="152">
        <v>208</v>
      </c>
      <c r="C3" s="153"/>
      <c r="E3" s="59" t="s">
        <v>72</v>
      </c>
      <c r="F3" s="56" t="s">
        <v>27</v>
      </c>
      <c r="G3" s="44">
        <v>23</v>
      </c>
      <c r="H3" s="129">
        <f>IF(B$17=0,0,G3/B$17)</f>
        <v>0.47916666666666669</v>
      </c>
      <c r="I3" s="90">
        <v>9</v>
      </c>
      <c r="K3" s="36">
        <v>1</v>
      </c>
      <c r="L3" s="95">
        <v>-12</v>
      </c>
      <c r="N3" s="111" t="s">
        <v>131</v>
      </c>
      <c r="O3" s="118">
        <f t="shared" si="0"/>
        <v>-915.38461538461536</v>
      </c>
      <c r="P3" s="115">
        <v>26</v>
      </c>
      <c r="Q3" s="99">
        <v>-23800</v>
      </c>
    </row>
    <row r="4" spans="1:17" x14ac:dyDescent="0.4">
      <c r="A4" s="51" t="s">
        <v>6</v>
      </c>
      <c r="B4" s="154">
        <v>-439.2000000000001</v>
      </c>
      <c r="C4" s="155"/>
      <c r="E4" s="59" t="s">
        <v>64</v>
      </c>
      <c r="F4" s="56" t="s">
        <v>20</v>
      </c>
      <c r="G4" s="44">
        <v>22</v>
      </c>
      <c r="H4" s="129">
        <f>IF(B$17=0,0,G4/B$17)</f>
        <v>0.45833333333333331</v>
      </c>
      <c r="I4" s="90">
        <v>6</v>
      </c>
      <c r="K4" s="36">
        <v>2</v>
      </c>
      <c r="L4" s="95">
        <v>-40.6</v>
      </c>
      <c r="N4" s="111" t="s">
        <v>132</v>
      </c>
      <c r="O4" s="118">
        <f t="shared" si="0"/>
        <v>-457.69230769230768</v>
      </c>
      <c r="P4" s="115">
        <v>26</v>
      </c>
      <c r="Q4" s="99">
        <v>-11900</v>
      </c>
    </row>
    <row r="5" spans="1:17" x14ac:dyDescent="0.4">
      <c r="A5" s="51" t="s">
        <v>7</v>
      </c>
      <c r="B5" s="156">
        <f>IF(B$2=0,0,B$4/B$2)</f>
        <v>-16.892307692307696</v>
      </c>
      <c r="C5" s="157"/>
      <c r="E5" s="59" t="s">
        <v>67</v>
      </c>
      <c r="F5" s="56" t="s">
        <v>23</v>
      </c>
      <c r="G5" s="44">
        <v>17</v>
      </c>
      <c r="H5" s="129">
        <f>IF(B$17=0,0,G5/B$17)</f>
        <v>0.35416666666666669</v>
      </c>
      <c r="I5" s="90">
        <v>5</v>
      </c>
      <c r="K5" s="36">
        <v>3</v>
      </c>
      <c r="L5" s="95">
        <v>-33.6</v>
      </c>
      <c r="N5" s="111" t="s">
        <v>133</v>
      </c>
      <c r="O5" s="118">
        <f t="shared" si="0"/>
        <v>-2992</v>
      </c>
      <c r="P5" s="115">
        <v>25</v>
      </c>
      <c r="Q5" s="99">
        <v>-74800</v>
      </c>
    </row>
    <row r="6" spans="1:17" x14ac:dyDescent="0.4">
      <c r="A6" s="51" t="s">
        <v>1</v>
      </c>
      <c r="B6" s="146">
        <f>IF(B$2=0,0,(B$7*1+B$8*2+B$9*3)/B$2)</f>
        <v>2.5</v>
      </c>
      <c r="C6" s="147"/>
      <c r="E6" s="59" t="s">
        <v>68</v>
      </c>
      <c r="F6" s="56" t="s">
        <v>12</v>
      </c>
      <c r="G6" s="44">
        <v>16</v>
      </c>
      <c r="H6" s="129">
        <f>IF(B$17=0,0,G6/B$17)</f>
        <v>0.33333333333333331</v>
      </c>
      <c r="I6" s="90">
        <v>4</v>
      </c>
      <c r="K6" s="36">
        <v>4</v>
      </c>
      <c r="L6" s="95">
        <v>-80.5</v>
      </c>
      <c r="N6" s="111" t="s">
        <v>134</v>
      </c>
      <c r="O6" s="118">
        <f t="shared" si="0"/>
        <v>-1716.6666666666667</v>
      </c>
      <c r="P6" s="115">
        <v>24</v>
      </c>
      <c r="Q6" s="99">
        <v>-41200</v>
      </c>
    </row>
    <row r="7" spans="1:17" x14ac:dyDescent="0.4">
      <c r="A7" s="51" t="s">
        <v>2</v>
      </c>
      <c r="B7" s="44">
        <v>2</v>
      </c>
      <c r="C7" s="37">
        <f t="shared" ref="C7:C12" si="1">IF(B$2=0,0,B7/B$2)</f>
        <v>7.6923076923076927E-2</v>
      </c>
      <c r="E7" s="59" t="s">
        <v>171</v>
      </c>
      <c r="F7" s="56" t="s">
        <v>172</v>
      </c>
      <c r="G7" s="44">
        <v>16</v>
      </c>
      <c r="H7" s="129">
        <f>IF(B$17=0,0,G7/B$17)</f>
        <v>0.33333333333333331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-3342.1052631578946</v>
      </c>
      <c r="P7" s="116">
        <v>19</v>
      </c>
      <c r="Q7" s="100">
        <v>-63500</v>
      </c>
    </row>
    <row r="8" spans="1:17" x14ac:dyDescent="0.4">
      <c r="A8" s="51" t="s">
        <v>3</v>
      </c>
      <c r="B8" s="44">
        <v>9</v>
      </c>
      <c r="C8" s="37">
        <f t="shared" si="1"/>
        <v>0.34615384615384615</v>
      </c>
      <c r="E8" s="59" t="s">
        <v>89</v>
      </c>
      <c r="F8" s="56" t="s">
        <v>44</v>
      </c>
      <c r="G8" s="44">
        <v>7</v>
      </c>
      <c r="H8" s="129">
        <f>IF(B$17=0,0,G8/B$17)</f>
        <v>0.14583333333333334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0.57692307692307687</v>
      </c>
      <c r="E9" s="59" t="s">
        <v>65</v>
      </c>
      <c r="F9" s="56" t="s">
        <v>21</v>
      </c>
      <c r="G9" s="44">
        <v>6</v>
      </c>
      <c r="H9" s="129">
        <f>IF(B$17=0,0,G9/B$17)</f>
        <v>0.125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0.19230769230769232</v>
      </c>
      <c r="E10" s="59" t="s">
        <v>71</v>
      </c>
      <c r="F10" s="56" t="s">
        <v>26</v>
      </c>
      <c r="G10" s="44">
        <v>5</v>
      </c>
      <c r="H10" s="129">
        <f>IF(B$17=0,0,G10/B$17)</f>
        <v>0.10416666666666667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-26.033333333333335</v>
      </c>
      <c r="P10" s="114">
        <v>15</v>
      </c>
      <c r="Q10" s="102">
        <v>-390.5</v>
      </c>
    </row>
    <row r="11" spans="1:17" x14ac:dyDescent="0.4">
      <c r="A11" s="52" t="s">
        <v>138</v>
      </c>
      <c r="B11" s="45">
        <v>1</v>
      </c>
      <c r="C11" s="38">
        <f t="shared" si="1"/>
        <v>3.8461538461538464E-2</v>
      </c>
      <c r="E11" s="59" t="s">
        <v>69</v>
      </c>
      <c r="F11" s="56" t="s">
        <v>24</v>
      </c>
      <c r="G11" s="44">
        <v>4</v>
      </c>
      <c r="H11" s="129">
        <f>IF(B$17=0,0,G11/B$17)</f>
        <v>8.3333333333333329E-2</v>
      </c>
      <c r="I11" s="90">
        <v>9</v>
      </c>
      <c r="K11" s="36">
        <v>9</v>
      </c>
      <c r="L11" s="95">
        <v>-150.6</v>
      </c>
      <c r="N11" s="111" t="s">
        <v>163</v>
      </c>
      <c r="O11" s="121">
        <f>IF(P11=0,0,Q11/P11)</f>
        <v>-4.2571428571428553</v>
      </c>
      <c r="P11" s="115">
        <v>7</v>
      </c>
      <c r="Q11" s="103">
        <v>-29.79999999999999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83</v>
      </c>
      <c r="F12" s="56" t="s">
        <v>38</v>
      </c>
      <c r="G12" s="44">
        <v>4</v>
      </c>
      <c r="H12" s="129">
        <f>IF(B$17=0,0,G12/B$17)</f>
        <v>8.3333333333333329E-2</v>
      </c>
      <c r="I12" s="90">
        <v>3</v>
      </c>
      <c r="K12" s="36">
        <v>10</v>
      </c>
      <c r="L12" s="95">
        <v>-151.1</v>
      </c>
      <c r="N12" s="112" t="s">
        <v>164</v>
      </c>
      <c r="O12" s="122">
        <f>IF(P12=0,0,Q12/P12)</f>
        <v>-4.7249999999999996</v>
      </c>
      <c r="P12" s="116">
        <v>4</v>
      </c>
      <c r="Q12" s="104">
        <v>-18.899999999999999</v>
      </c>
    </row>
    <row r="13" spans="1:17" x14ac:dyDescent="0.4">
      <c r="A13" s="54" t="s">
        <v>121</v>
      </c>
      <c r="B13" s="47">
        <v>42</v>
      </c>
      <c r="C13" s="42">
        <f>IF(B$3=0,0,B13/B$3)</f>
        <v>0.20192307692307693</v>
      </c>
      <c r="E13" s="59" t="s">
        <v>86</v>
      </c>
      <c r="F13" s="56" t="s">
        <v>41</v>
      </c>
      <c r="G13" s="44">
        <v>4</v>
      </c>
      <c r="H13" s="129">
        <f>IF(B$17=0,0,G13/B$17)</f>
        <v>8.3333333333333329E-2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42</v>
      </c>
      <c r="C14" s="37">
        <f>IF(B$3=0,0,B14/B$3)</f>
        <v>0.20192307692307693</v>
      </c>
      <c r="E14" s="59" t="s">
        <v>70</v>
      </c>
      <c r="F14" s="56" t="s">
        <v>25</v>
      </c>
      <c r="G14" s="44">
        <v>3</v>
      </c>
      <c r="H14" s="129">
        <f>IF(B$17=0,0,G14/B$17)</f>
        <v>6.25E-2</v>
      </c>
      <c r="I14" s="90">
        <v>10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24</v>
      </c>
      <c r="C15" s="35">
        <f>IF(B$13=0,0,B15/B$13)</f>
        <v>0.5714285714285714</v>
      </c>
      <c r="E15" s="59" t="s">
        <v>81</v>
      </c>
      <c r="F15" s="56" t="s">
        <v>36</v>
      </c>
      <c r="G15" s="44">
        <v>2</v>
      </c>
      <c r="H15" s="129">
        <f>IF(B$17=0,0,G15/B$17)</f>
        <v>4.1666666666666664E-2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15</v>
      </c>
      <c r="C16" s="35">
        <f>IF(B$14=0,0,B16/B$14)</f>
        <v>0.35714285714285715</v>
      </c>
      <c r="E16" s="59" t="s">
        <v>74</v>
      </c>
      <c r="F16" s="56" t="s">
        <v>29</v>
      </c>
      <c r="G16" s="44">
        <v>1</v>
      </c>
      <c r="H16" s="129">
        <f>IF(B$17=0,0,G16/B$17)</f>
        <v>2.0833333333333332E-2</v>
      </c>
      <c r="I16" s="90">
        <v>1</v>
      </c>
      <c r="K16" s="36">
        <v>14</v>
      </c>
      <c r="L16" s="95">
        <v>-266.90000000000003</v>
      </c>
      <c r="N16" s="111" t="s">
        <v>178</v>
      </c>
      <c r="O16" s="121">
        <f t="shared" si="2"/>
        <v>-17.028571428571425</v>
      </c>
      <c r="P16" s="115">
        <v>14</v>
      </c>
      <c r="Q16" s="103">
        <v>-238.39999999999995</v>
      </c>
    </row>
    <row r="17" spans="1:17" x14ac:dyDescent="0.4">
      <c r="A17" s="50" t="s">
        <v>10</v>
      </c>
      <c r="B17" s="43">
        <f>B19+B18</f>
        <v>48</v>
      </c>
      <c r="C17" s="35">
        <f>IF(B$3=0,0,B17/B$3)</f>
        <v>0.23076923076923078</v>
      </c>
      <c r="E17" s="59" t="s">
        <v>78</v>
      </c>
      <c r="F17" s="56" t="s">
        <v>33</v>
      </c>
      <c r="G17" s="44">
        <v>1</v>
      </c>
      <c r="H17" s="129">
        <f>IF(B$17=0,0,G17/B$17)</f>
        <v>2.0833333333333332E-2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23</v>
      </c>
      <c r="C18" s="37">
        <f>IF(B$17=0,0,B18/B$17)</f>
        <v>0.47916666666666669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3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25</v>
      </c>
      <c r="C19" s="37">
        <f>IF(B$17=0,0,B19/B$17)</f>
        <v>0.52083333333333337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7</v>
      </c>
      <c r="K19" s="36">
        <v>17</v>
      </c>
      <c r="L19" s="95">
        <v>-352.60000000000008</v>
      </c>
      <c r="N19" s="111" t="s">
        <v>179</v>
      </c>
      <c r="O19" s="121">
        <f t="shared" si="2"/>
        <v>-25.799999999999997</v>
      </c>
      <c r="P19" s="115">
        <v>1</v>
      </c>
      <c r="Q19" s="103">
        <v>-25.799999999999997</v>
      </c>
    </row>
    <row r="20" spans="1:17" x14ac:dyDescent="0.4">
      <c r="A20" s="51" t="s">
        <v>13</v>
      </c>
      <c r="B20" s="44">
        <v>39</v>
      </c>
      <c r="C20" s="37">
        <f>IF(B$3=0,0,B20/B$3)</f>
        <v>0.1875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126</v>
      </c>
      <c r="O20" s="121">
        <f t="shared" si="2"/>
        <v>-32.228571428571435</v>
      </c>
      <c r="P20" s="115">
        <v>7</v>
      </c>
      <c r="Q20" s="103">
        <v>-225.60000000000002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12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127</v>
      </c>
      <c r="O22" s="121">
        <f t="shared" si="2"/>
        <v>-52.783333333333331</v>
      </c>
      <c r="P22" s="115">
        <v>6</v>
      </c>
      <c r="Q22" s="103">
        <v>-316.7</v>
      </c>
    </row>
    <row r="23" spans="1:17" x14ac:dyDescent="0.4">
      <c r="A23" s="51" t="s">
        <v>5</v>
      </c>
      <c r="B23" s="48">
        <f>IF(B$17=0,0,C23/B$17)</f>
        <v>7606.25</v>
      </c>
      <c r="C23" s="39">
        <v>365100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8257.575757575758</v>
      </c>
      <c r="C24" s="137">
        <v>272500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6173.333333333333</v>
      </c>
      <c r="C25" s="137">
        <v>92600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-8656.4102564102559</v>
      </c>
      <c r="C26" s="137">
        <v>-337600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4">
        <v>6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2">
        <v>85100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4.807692307692308E-3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181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14</v>
      </c>
      <c r="C2" s="151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2">
        <v>142</v>
      </c>
      <c r="C3" s="153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4">
        <v>49.900000000000006</v>
      </c>
      <c r="C4" s="155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6">
        <f>IF(B$2=0,0,B$4/B$2)</f>
        <v>3.5642857142857145</v>
      </c>
      <c r="C5" s="157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-1492.3076923076924</v>
      </c>
      <c r="P5" s="115">
        <v>13</v>
      </c>
      <c r="Q5" s="99">
        <v>-19400</v>
      </c>
    </row>
    <row r="6" spans="1:17" x14ac:dyDescent="0.4">
      <c r="A6" s="51" t="s">
        <v>1</v>
      </c>
      <c r="B6" s="146">
        <f>IF(B$2=0,0,(B$7*1+B$8*2+B$9*3)/B$2)</f>
        <v>1.9285714285714286</v>
      </c>
      <c r="C6" s="147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1300</v>
      </c>
      <c r="P7" s="116">
        <v>9</v>
      </c>
      <c r="Q7" s="100">
        <v>11700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4">
        <v>7</v>
      </c>
      <c r="C27" s="145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2">
        <v>95200</v>
      </c>
      <c r="C28" s="143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4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195</v>
      </c>
      <c r="C1" s="149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7</v>
      </c>
      <c r="C2" s="151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2">
        <v>62</v>
      </c>
      <c r="C3" s="153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4">
        <v>-104.80000000000001</v>
      </c>
      <c r="C4" s="155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6">
        <f>IF(B$2=0,0,B$4/B$2)</f>
        <v>-14.971428571428573</v>
      </c>
      <c r="C5" s="157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6">
        <f>IF(B$2=0,0,(B$7*1+B$8*2+B$9*3)/B$2)</f>
        <v>2.1428571428571428</v>
      </c>
      <c r="C6" s="147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9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8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59500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58B-23C7-4D1F-A96B-F1A8166E7CC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8" t="s">
        <v>222</v>
      </c>
      <c r="C1" s="149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0">
        <v>2</v>
      </c>
      <c r="C2" s="151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2">
        <v>15</v>
      </c>
      <c r="C3" s="153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4">
        <v>26.2</v>
      </c>
      <c r="C4" s="155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6">
        <f>IF(B$2=0,0,B$4/B$2)</f>
        <v>13.1</v>
      </c>
      <c r="C5" s="157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6">
        <f>IF(B$2=0,0,(B$7*1+B$8*2+B$9*3)/B$2)</f>
        <v>1.5</v>
      </c>
      <c r="C6" s="147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4">
        <v>4</v>
      </c>
      <c r="C27" s="145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2">
        <v>52800</v>
      </c>
      <c r="C28" s="143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E266-DC58-4F11-894D-64199DBCB0D1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りくと</vt:lpstr>
      <vt:lpstr>ただ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2019-10-22T16:52:49Z</dcterms:modified>
</cp:coreProperties>
</file>